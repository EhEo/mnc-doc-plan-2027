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건비 요약" sheetId="1" state="visible" r:id="rId1"/>
    <sheet xmlns:r="http://schemas.openxmlformats.org/officeDocument/2006/relationships" name="관리직 vs 생산직" sheetId="2" state="visible" r:id="rId2"/>
    <sheet xmlns:r="http://schemas.openxmlformats.org/officeDocument/2006/relationships" name="부서별 인당 비용" sheetId="3" state="visible" r:id="rId3"/>
    <sheet xmlns:r="http://schemas.openxmlformats.org/officeDocument/2006/relationships" name="분포 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"/>
    <numFmt numFmtId="165" formatCode="0.00 &quot;배&quot;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595959"/>
      <sz val="9"/>
    </font>
    <font>
      <name val="맑은 고딕"/>
      <b val="1"/>
      <color rgb="001F4E78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595959"/>
      <sz val="9"/>
    </font>
    <font>
      <name val="맑은 고딕"/>
      <b val="1"/>
      <sz val="11"/>
    </font>
    <font>
      <name val="맑은 고딕"/>
      <b val="1"/>
      <color rgb="00C00000"/>
      <sz val="12"/>
    </font>
    <font>
      <name val="맑은 고딕"/>
      <b val="1"/>
      <color rgb="00C00000"/>
      <sz val="11"/>
    </font>
    <font>
      <name val="맑은 고딕"/>
      <b val="1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5" fillId="0" borderId="0" pivotButton="0" quotePrefix="0" xfId="0"/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right" vertical="center"/>
    </xf>
    <xf numFmtId="3" fontId="7" fillId="8" borderId="1" applyAlignment="1" pivotButton="0" quotePrefix="0" xfId="0">
      <alignment horizontal="right" vertical="center"/>
    </xf>
    <xf numFmtId="4" fontId="5" fillId="8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7" fillId="9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비용 구성 비중</a:t>
            </a:r>
          </a:p>
        </rich>
      </tx>
    </title>
    <plotArea>
      <pieChart>
        <varyColors val="1"/>
        <ser>
          <idx val="0"/>
          <order val="0"/>
          <tx>
            <strRef>
              <f>'인건비 요약'!B20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'인건비 요약'!$A$21:$A$25</f>
            </numRef>
          </cat>
          <val>
            <numRef>
              <f>'인건비 요약'!$B$21:$B$25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관리직 vs 생산직 인당 비용 항목별 비교 (VND)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'관리직 vs 생산직'!M4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'관리직 vs 생산직'!$L$5:$L$10</f>
            </numRef>
          </cat>
          <val>
            <numRef>
              <f>'관리직 vs 생산직'!$M$5:$M$10</f>
            </numRef>
          </val>
        </ser>
        <ser>
          <idx val="1"/>
          <order val="1"/>
          <tx>
            <strRef>
              <f>'관리직 vs 생산직'!N4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'관리직 vs 생산직'!$L$5:$L$10</f>
            </numRef>
          </cat>
          <val>
            <numRef>
              <f>'관리직 vs 생산직'!$N$5:$N$10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부서별 인당 총비용 (VND)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'부서별 인당 비용'!I3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'부서별 인당 비용'!$B$4:$B$33</f>
            </numRef>
          </cat>
          <val>
            <numRef>
              <f>'부서별 인당 비용'!$I$4:$I$33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인당 총비용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부서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2</row>
      <rowOff>0</rowOff>
    </from>
    <ext cx="79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22" customWidth="1" min="4" max="4"/>
    <col width="18" customWidth="1" min="5" max="5"/>
    <col width="36" customWidth="1" min="6" max="6"/>
  </cols>
  <sheetData>
    <row r="1" ht="30" customHeight="1">
      <c r="A1" s="1" t="inlineStr">
        <is>
          <t>현지직원 인건비 분석 보고서 (2026년 4월분)</t>
        </is>
      </c>
    </row>
    <row r="2">
      <c r="A2" s="2" t="inlineStr">
        <is>
          <t>대상 기간: 2026-03-21 ~ 2026-04-20  /  환율: 1 USD = 26,000 VND  /  분석 기준: HR_Salary.xlsx</t>
        </is>
      </c>
    </row>
    <row r="4">
      <c r="A4" s="3" t="inlineStr">
        <is>
          <t>■ 핵심 지표 요약</t>
        </is>
      </c>
    </row>
    <row r="5">
      <c r="A5" s="4" t="inlineStr">
        <is>
          <t>구 분</t>
        </is>
      </c>
      <c r="B5" s="4" t="inlineStr">
        <is>
          <t>금액 (VND)</t>
        </is>
      </c>
      <c r="C5" s="4" t="inlineStr">
        <is>
          <t>금액 (USD)</t>
        </is>
      </c>
      <c r="D5" s="4" t="inlineStr">
        <is>
          <t>인당 평균 (VND)</t>
        </is>
      </c>
      <c r="E5" s="4" t="inlineStr">
        <is>
          <t>인당 평균 (USD)</t>
        </is>
      </c>
      <c r="F5" s="4" t="inlineStr">
        <is>
          <t>비고</t>
        </is>
      </c>
    </row>
    <row r="6">
      <c r="A6" s="5" t="inlineStr">
        <is>
          <t>총 인원</t>
        </is>
      </c>
      <c r="B6" s="6" t="n">
        <v>800</v>
      </c>
      <c r="C6" s="7" t="inlineStr"/>
      <c r="D6" s="7" t="inlineStr"/>
      <c r="E6" s="7" t="inlineStr"/>
      <c r="F6" s="8" t="inlineStr">
        <is>
          <t>명</t>
        </is>
      </c>
    </row>
    <row r="7">
      <c r="A7" s="5" t="inlineStr">
        <is>
          <t>① 기본급 (Basic Salary)</t>
        </is>
      </c>
      <c r="B7" s="6" t="n">
        <v>5508320048.180777</v>
      </c>
      <c r="C7" s="9" t="n">
        <v>211858.4633915683</v>
      </c>
      <c r="D7" s="6" t="n">
        <v>6885400.060225971</v>
      </c>
      <c r="E7" s="9" t="n">
        <v>264.8230792394604</v>
      </c>
      <c r="F7" s="8" t="inlineStr">
        <is>
          <t>근로계약 기본급</t>
        </is>
      </c>
    </row>
    <row r="8">
      <c r="A8" s="5" t="inlineStr">
        <is>
          <t>② 각종 수당 (Allowances)</t>
        </is>
      </c>
      <c r="B8" s="6" t="n">
        <v>2501181682.02596</v>
      </c>
      <c r="C8" s="9" t="n">
        <v>96199.29546253695</v>
      </c>
      <c r="D8" s="6" t="n">
        <v>3126477.102532451</v>
      </c>
      <c r="E8" s="9" t="n">
        <v>120.2491193281712</v>
      </c>
      <c r="F8" s="8" t="inlineStr">
        <is>
          <t>직책/근속/식대/출퇴근/자녀 등</t>
        </is>
      </c>
    </row>
    <row r="9">
      <c r="A9" s="5" t="inlineStr">
        <is>
          <t>③ 잔업수당 (Overtime)</t>
        </is>
      </c>
      <c r="B9" s="6" t="n">
        <v>5574640087</v>
      </c>
      <c r="C9" s="9" t="n">
        <v>214409.2341153846</v>
      </c>
      <c r="D9" s="6" t="n">
        <v>6968300.10875</v>
      </c>
      <c r="E9" s="9" t="n">
        <v>268.0115426442308</v>
      </c>
      <c r="F9" s="8" t="inlineStr">
        <is>
          <t>주간/야간/휴일 OT 합산</t>
        </is>
      </c>
    </row>
    <row r="10">
      <c r="A10" s="10">
        <f> 총 급여 (Gross, ①+②+③)</f>
        <v/>
      </c>
      <c r="B10" s="11" t="n">
        <v>13584141817.20672</v>
      </c>
      <c r="C10" s="12" t="n">
        <v>522466.9929694893</v>
      </c>
      <c r="D10" s="11" t="n">
        <v>16980177.2715084</v>
      </c>
      <c r="E10" s="12" t="n">
        <v>653.0837412118617</v>
      </c>
      <c r="F10" s="10" t="inlineStr">
        <is>
          <t>직원 지급 기준 총액</t>
        </is>
      </c>
    </row>
    <row r="11">
      <c r="A11" s="5" t="inlineStr">
        <is>
          <t>④ 회사부담 사회보험 (21.5%)</t>
        </is>
      </c>
      <c r="B11" s="6" t="n">
        <v>1519419882</v>
      </c>
      <c r="C11" s="9" t="n">
        <v>58439.22623076923</v>
      </c>
      <c r="D11" s="6" t="n">
        <v>1899274.8525</v>
      </c>
      <c r="E11" s="9" t="n">
        <v>73.04903278846155</v>
      </c>
      <c r="F11" s="8" t="inlineStr">
        <is>
          <t>BHXH+BHYT+BHTN 사용자분</t>
        </is>
      </c>
    </row>
    <row r="12">
      <c r="A12" s="5" t="inlineStr">
        <is>
          <t>⑤ 회사부담 노조비 (2%)</t>
        </is>
      </c>
      <c r="B12" s="6" t="n">
        <v>141318893.3055</v>
      </c>
      <c r="C12" s="9" t="n">
        <v>5435.342050211539</v>
      </c>
      <c r="D12" s="6" t="n">
        <v>176648.616631875</v>
      </c>
      <c r="E12" s="9" t="n">
        <v>6.794177562764423</v>
      </c>
      <c r="F12" s="8" t="inlineStr">
        <is>
          <t>Trade Union Fee (Employer)</t>
        </is>
      </c>
    </row>
    <row r="13">
      <c r="A13" s="13" t="inlineStr">
        <is>
          <t>★ 회사 총 인건비 (=Gross+④+⑤)</t>
        </is>
      </c>
      <c r="B13" s="14" t="n">
        <v>15244880592.51222</v>
      </c>
      <c r="C13" s="15" t="n">
        <v>586341.5612504701</v>
      </c>
      <c r="D13" s="14" t="n">
        <v>19056100.74064028</v>
      </c>
      <c r="E13" s="15" t="n">
        <v>732.9269515630876</v>
      </c>
      <c r="F13" s="13" t="inlineStr">
        <is>
          <t>실 비용 (인당 총비용)</t>
        </is>
      </c>
    </row>
    <row r="16" ht="35" customHeight="1">
      <c r="A16" s="16" t="inlineStr">
        <is>
          <t>💡 결론: 현지직원 1인당 회사가 부담하는 평균 총비용 = 19,056,101 VND/월 (≈ USD 732.93, ≈ KRW 1,004,110 환산)</t>
        </is>
      </c>
    </row>
    <row r="19">
      <c r="A19" s="3" t="inlineStr">
        <is>
          <t>■ 비용 구성비 (총 인건비 대비)</t>
        </is>
      </c>
    </row>
    <row r="20">
      <c r="A20" s="4" t="inlineStr">
        <is>
          <t>항목</t>
        </is>
      </c>
      <c r="B20" s="4" t="inlineStr">
        <is>
          <t>금액 (VND)</t>
        </is>
      </c>
      <c r="C20" s="4" t="inlineStr">
        <is>
          <t>비중 (%)</t>
        </is>
      </c>
    </row>
    <row r="21">
      <c r="A21" s="5" t="inlineStr">
        <is>
          <t>기본급</t>
        </is>
      </c>
      <c r="B21" s="6" t="n">
        <v>5508320048.180777</v>
      </c>
      <c r="C21" s="17" t="n">
        <v>0.3613226102201338</v>
      </c>
    </row>
    <row r="22">
      <c r="A22" s="5" t="inlineStr">
        <is>
          <t>수당</t>
        </is>
      </c>
      <c r="B22" s="6" t="n">
        <v>2501181682.02596</v>
      </c>
      <c r="C22" s="17" t="n">
        <v>0.1640669906758376</v>
      </c>
    </row>
    <row r="23">
      <c r="A23" s="5" t="inlineStr">
        <is>
          <t>잔업수당</t>
        </is>
      </c>
      <c r="B23" s="6" t="n">
        <v>5574640087</v>
      </c>
      <c r="C23" s="17" t="n">
        <v>0.3656729256205574</v>
      </c>
    </row>
    <row r="24">
      <c r="A24" s="5" t="inlineStr">
        <is>
          <t>회사부담 사회보험(21.5%)</t>
        </is>
      </c>
      <c r="B24" s="6" t="n">
        <v>1519419882</v>
      </c>
      <c r="C24" s="17" t="n">
        <v>0.09966754890466564</v>
      </c>
    </row>
    <row r="25">
      <c r="A25" s="5" t="inlineStr">
        <is>
          <t>회사부담 노조비(2%)</t>
        </is>
      </c>
      <c r="B25" s="6" t="n">
        <v>141318893.3055</v>
      </c>
      <c r="C25" s="17" t="n">
        <v>0.00926992457880655</v>
      </c>
    </row>
    <row r="26">
      <c r="A26" s="10" t="inlineStr">
        <is>
          <t>합 계</t>
        </is>
      </c>
      <c r="B26" s="11" t="n">
        <v>15244880592.51222</v>
      </c>
      <c r="C26" s="18" t="n">
        <v>1</v>
      </c>
    </row>
  </sheetData>
  <mergeCells count="3">
    <mergeCell ref="A2:F2"/>
    <mergeCell ref="A16:F1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2" customWidth="1" min="10" max="10"/>
  </cols>
  <sheetData>
    <row r="1" ht="30" customHeight="1">
      <c r="A1" s="1" t="inlineStr">
        <is>
          <t>관리직 vs 생산직 인당 인건비 비교 (2026년 4월)</t>
        </is>
      </c>
    </row>
    <row r="2">
      <c r="A2" s="2" t="inlineStr">
        <is>
          <t>분류 기준: 직책(Chức vụ)  |  생산직 = 생산직(직접/간접) + 조장 + 현장 기술자(Kỹ thuật viên)  |  관리직 = 부장/차장/전문직/사무원/임원/통역</t>
        </is>
      </c>
    </row>
    <row r="4">
      <c r="A4" s="3" t="inlineStr">
        <is>
          <t>■ 그룹별 합계 및 인당 평균</t>
        </is>
      </c>
      <c r="L4" s="19" t="inlineStr">
        <is>
          <t>항목</t>
        </is>
      </c>
      <c r="M4" s="19" t="inlineStr">
        <is>
          <t>생산직</t>
        </is>
      </c>
      <c r="N4" s="19" t="inlineStr">
        <is>
          <t>관리직</t>
        </is>
      </c>
    </row>
    <row r="5" ht="32" customHeight="1">
      <c r="A5" s="4" t="inlineStr">
        <is>
          <t>구 분</t>
        </is>
      </c>
      <c r="B5" s="4" t="inlineStr">
        <is>
          <t>인 원</t>
        </is>
      </c>
      <c r="C5" s="4" t="inlineStr">
        <is>
          <t>평균 기본급</t>
        </is>
      </c>
      <c r="D5" s="4" t="inlineStr">
        <is>
          <t>평균 수당</t>
        </is>
      </c>
      <c r="E5" s="4" t="inlineStr">
        <is>
          <t>평균 OT</t>
        </is>
      </c>
      <c r="F5" s="4" t="inlineStr">
        <is>
          <t>평균 사회보험
(21.5%)</t>
        </is>
      </c>
      <c r="G5" s="4" t="inlineStr">
        <is>
          <t>평균 노조비
(2%)</t>
        </is>
      </c>
      <c r="H5" s="4" t="inlineStr">
        <is>
          <t>★ 인당 총비용 VND</t>
        </is>
      </c>
      <c r="I5" s="4" t="inlineStr">
        <is>
          <t>인당 총비용 USD</t>
        </is>
      </c>
      <c r="L5" s="20" t="inlineStr">
        <is>
          <t>기본급</t>
        </is>
      </c>
      <c r="M5" s="20" t="n">
        <v>5875037.67283514</v>
      </c>
      <c r="N5" s="20" t="n">
        <v>12843054.13759947</v>
      </c>
    </row>
    <row r="6">
      <c r="A6" s="21" t="inlineStr">
        <is>
          <t>🟢 생산직 (Production)</t>
        </is>
      </c>
      <c r="B6" s="22" t="n">
        <v>684</v>
      </c>
      <c r="C6" s="23" t="n">
        <v>5875037.67283514</v>
      </c>
      <c r="D6" s="23" t="n">
        <v>2676120.647423245</v>
      </c>
      <c r="E6" s="23" t="n">
        <v>7001640.165204679</v>
      </c>
      <c r="F6" s="23" t="n">
        <v>1575044.998538012</v>
      </c>
      <c r="G6" s="23" t="n">
        <v>146515.8117141813</v>
      </c>
      <c r="H6" s="24" t="n">
        <v>17274359.29571525</v>
      </c>
      <c r="I6" s="25" t="n">
        <v>664.3984344505864</v>
      </c>
      <c r="L6" s="20" t="inlineStr">
        <is>
          <t>수당</t>
        </is>
      </c>
      <c r="M6" s="20" t="n">
        <v>2676120.647423245</v>
      </c>
      <c r="N6" s="20" t="n">
        <v>5782027.234383291</v>
      </c>
    </row>
    <row r="7">
      <c r="A7" s="26" t="inlineStr">
        <is>
          <t>🟠 관리직 (Management)</t>
        </is>
      </c>
      <c r="B7" s="27" t="n">
        <v>116</v>
      </c>
      <c r="C7" s="28" t="n">
        <v>12843054.13759947</v>
      </c>
      <c r="D7" s="28" t="n">
        <v>5782027.234383291</v>
      </c>
      <c r="E7" s="28" t="n">
        <v>6771708.74137931</v>
      </c>
      <c r="F7" s="28" t="n">
        <v>3811112.956896552</v>
      </c>
      <c r="G7" s="28" t="n">
        <v>354328.2594224138</v>
      </c>
      <c r="H7" s="29" t="n">
        <v>29562231.32968105</v>
      </c>
      <c r="I7" s="30" t="n">
        <v>1137.008897295425</v>
      </c>
      <c r="L7" s="20" t="inlineStr">
        <is>
          <t>잔업수당</t>
        </is>
      </c>
      <c r="M7" s="20" t="n">
        <v>7001640.165204679</v>
      </c>
      <c r="N7" s="20" t="n">
        <v>6771708.74137931</v>
      </c>
    </row>
    <row r="8">
      <c r="A8" s="10" t="inlineStr">
        <is>
          <t>◆ 전사 평균</t>
        </is>
      </c>
      <c r="B8" s="31" t="n">
        <v>800</v>
      </c>
      <c r="C8" s="11" t="n">
        <v>6885400.060225971</v>
      </c>
      <c r="D8" s="11" t="n">
        <v>3126477.102532451</v>
      </c>
      <c r="E8" s="11" t="n">
        <v>6968300.10875</v>
      </c>
      <c r="F8" s="11" t="n">
        <v>1899274.8525</v>
      </c>
      <c r="G8" s="11" t="n">
        <v>176648.616631875</v>
      </c>
      <c r="H8" s="11" t="n">
        <v>19056100.74064028</v>
      </c>
      <c r="I8" s="12" t="n">
        <v>732.9269515630876</v>
      </c>
      <c r="L8" s="20" t="inlineStr">
        <is>
          <t>사회보험</t>
        </is>
      </c>
      <c r="M8" s="20" t="n">
        <v>1575044.998538012</v>
      </c>
      <c r="N8" s="20" t="n">
        <v>3811112.956896552</v>
      </c>
    </row>
    <row r="9">
      <c r="L9" s="20" t="inlineStr">
        <is>
          <t>노조비</t>
        </is>
      </c>
      <c r="M9" s="20" t="n">
        <v>146515.8117141813</v>
      </c>
      <c r="N9" s="20" t="n">
        <v>354328.2594224138</v>
      </c>
    </row>
    <row r="10">
      <c r="A10" s="3" t="inlineStr">
        <is>
          <t>■ 격차 분석</t>
        </is>
      </c>
      <c r="L10" s="20" t="inlineStr">
        <is>
          <t>인당 총비용</t>
        </is>
      </c>
      <c r="M10" s="20" t="n">
        <v>17274359.29571525</v>
      </c>
      <c r="N10" s="20" t="n">
        <v>29562231.32968105</v>
      </c>
    </row>
    <row r="11">
      <c r="A11" s="4" t="inlineStr">
        <is>
          <t>항 목</t>
        </is>
      </c>
      <c r="B11" s="4" t="inlineStr">
        <is>
          <t>평균 기본급</t>
        </is>
      </c>
      <c r="C11" s="4" t="inlineStr">
        <is>
          <t>평균 수당</t>
        </is>
      </c>
      <c r="D11" s="4" t="inlineStr">
        <is>
          <t>평균 OT</t>
        </is>
      </c>
      <c r="E11" s="4" t="inlineStr">
        <is>
          <t>평균 사회보험</t>
        </is>
      </c>
      <c r="F11" s="4" t="inlineStr">
        <is>
          <t>평균 노조비</t>
        </is>
      </c>
      <c r="G11" s="4" t="inlineStr">
        <is>
          <t>★ 인당 총비용</t>
        </is>
      </c>
    </row>
    <row r="12">
      <c r="A12" s="5" t="inlineStr">
        <is>
          <t>관리직 - 생산직 (절대차, VND)</t>
        </is>
      </c>
      <c r="B12" s="32" t="n">
        <v>6968016.464764331</v>
      </c>
      <c r="C12" s="32" t="n">
        <v>3105906.586960046</v>
      </c>
      <c r="D12" s="32" t="n">
        <v>-229931.4238253683</v>
      </c>
      <c r="E12" s="32" t="n">
        <v>2236067.95835854</v>
      </c>
      <c r="F12" s="32" t="n">
        <v>207812.4477082325</v>
      </c>
      <c r="G12" s="32" t="n">
        <v>12287872.0339658</v>
      </c>
    </row>
    <row r="13">
      <c r="A13" s="5" t="inlineStr">
        <is>
          <t>관리직 / 생산직 (배수)</t>
        </is>
      </c>
      <c r="B13" s="33" t="n">
        <v>2.186037750359096</v>
      </c>
      <c r="C13" s="33" t="n">
        <v>2.16060036005874</v>
      </c>
      <c r="D13" s="33" t="n">
        <v>0.9671603483755086</v>
      </c>
      <c r="E13" s="33" t="n">
        <v>2.419685126732318</v>
      </c>
      <c r="F13" s="33" t="n">
        <v>2.418361917917958</v>
      </c>
      <c r="G13" s="33" t="n">
        <v>1.711335906797637</v>
      </c>
    </row>
    <row r="15" ht="50" customHeight="1">
      <c r="A15" s="34" t="inlineStr">
        <is>
          <t>💡 핵심 결론:  관리직(116명, 14.5%) 인당 총비용 29,562,231 VND  vs  생산직(684명, 85.5%) 17,274,359 VND  →  관리직이 생산직 대비 1.71배  (차이 +12,287,872 VND/인·월, USD 472.61)</t>
        </is>
      </c>
    </row>
    <row r="17">
      <c r="A17" s="3" t="inlineStr">
        <is>
          <t>■ 그룹별 비용 구성비 (인당 총비용 대비)</t>
        </is>
      </c>
    </row>
    <row r="18">
      <c r="A18" s="4" t="inlineStr">
        <is>
          <t>항 목</t>
        </is>
      </c>
      <c r="B18" s="4" t="inlineStr">
        <is>
          <t>생산직 평균(VND)</t>
        </is>
      </c>
      <c r="C18" s="4" t="inlineStr">
        <is>
          <t>생산직 비중</t>
        </is>
      </c>
      <c r="D18" s="4" t="inlineStr">
        <is>
          <t>관리직 평균(VND)</t>
        </is>
      </c>
      <c r="E18" s="4" t="inlineStr">
        <is>
          <t>관리직 비중</t>
        </is>
      </c>
    </row>
    <row r="19">
      <c r="A19" s="5" t="inlineStr">
        <is>
          <t>기본급</t>
        </is>
      </c>
      <c r="B19" s="6" t="n">
        <v>5875037.67283514</v>
      </c>
      <c r="C19" s="17" t="n">
        <v>0.3401016253200425</v>
      </c>
      <c r="D19" s="6" t="n">
        <v>12843054.13759947</v>
      </c>
      <c r="E19" s="17" t="n">
        <v>0.4344412975587806</v>
      </c>
    </row>
    <row r="20">
      <c r="A20" s="5" t="inlineStr">
        <is>
          <t>수당</t>
        </is>
      </c>
      <c r="B20" s="6" t="n">
        <v>2676120.647423245</v>
      </c>
      <c r="C20" s="17" t="n">
        <v>0.1549186630665389</v>
      </c>
      <c r="D20" s="6" t="n">
        <v>5782027.234383291</v>
      </c>
      <c r="E20" s="17" t="n">
        <v>0.1955883224747661</v>
      </c>
    </row>
    <row r="21">
      <c r="A21" s="5" t="inlineStr">
        <is>
          <t>잔업수당</t>
        </is>
      </c>
      <c r="B21" s="6" t="n">
        <v>7001640.165204679</v>
      </c>
      <c r="C21" s="17" t="n">
        <v>0.4053198179651951</v>
      </c>
      <c r="D21" s="6" t="n">
        <v>6771708.74137931</v>
      </c>
      <c r="E21" s="17" t="n">
        <v>0.2290662252744226</v>
      </c>
    </row>
    <row r="22">
      <c r="A22" s="5" t="inlineStr">
        <is>
          <t>회사부담 사회보험(21.5%)</t>
        </is>
      </c>
      <c r="B22" s="6" t="n">
        <v>1575044.998538012</v>
      </c>
      <c r="C22" s="17" t="n">
        <v>0.091178200683176</v>
      </c>
      <c r="D22" s="6" t="n">
        <v>3811112.956896552</v>
      </c>
      <c r="E22" s="17" t="n">
        <v>0.1289183118281779</v>
      </c>
    </row>
    <row r="23">
      <c r="A23" s="5" t="inlineStr">
        <is>
          <t>회사부담 노조비(2%)</t>
        </is>
      </c>
      <c r="B23" s="6" t="n">
        <v>146515.8117141813</v>
      </c>
      <c r="C23" s="17" t="n">
        <v>0.008481692965048103</v>
      </c>
      <c r="D23" s="6" t="n">
        <v>354328.2594224138</v>
      </c>
      <c r="E23" s="17" t="n">
        <v>0.01198584286385248</v>
      </c>
    </row>
    <row r="24">
      <c r="A24" s="10" t="inlineStr">
        <is>
          <t>인당 총비용</t>
        </is>
      </c>
      <c r="B24" s="11" t="n">
        <v>17274359.29571525</v>
      </c>
      <c r="C24" s="18" t="n">
        <v>1</v>
      </c>
      <c r="D24" s="11" t="n">
        <v>29562231.32968105</v>
      </c>
      <c r="E24" s="18" t="n">
        <v>1</v>
      </c>
    </row>
    <row r="27">
      <c r="A27" s="3" t="inlineStr">
        <is>
          <t>■ 직책(Chức vụ)별 상세</t>
        </is>
      </c>
    </row>
    <row r="28">
      <c r="A28" s="4" t="inlineStr">
        <is>
          <t>그룹</t>
        </is>
      </c>
      <c r="B28" s="4" t="inlineStr">
        <is>
          <t>직책 (Chức vụ)</t>
        </is>
      </c>
      <c r="C28" s="4" t="inlineStr">
        <is>
          <t>인원</t>
        </is>
      </c>
      <c r="D28" s="4" t="inlineStr">
        <is>
          <t>평균 기본급</t>
        </is>
      </c>
      <c r="E28" s="4" t="inlineStr">
        <is>
          <t>평균 수당</t>
        </is>
      </c>
      <c r="F28" s="4" t="inlineStr">
        <is>
          <t>평균 OT</t>
        </is>
      </c>
      <c r="G28" s="4" t="inlineStr">
        <is>
          <t>평균 사보</t>
        </is>
      </c>
      <c r="H28" s="4" t="inlineStr">
        <is>
          <t>평균 노조비</t>
        </is>
      </c>
      <c r="I28" s="4" t="inlineStr">
        <is>
          <t>인당 총비용 VND</t>
        </is>
      </c>
      <c r="J28" s="4" t="inlineStr">
        <is>
          <t>USD</t>
        </is>
      </c>
    </row>
    <row r="29">
      <c r="A29" s="27" t="inlineStr">
        <is>
          <t>관리직</t>
        </is>
      </c>
      <c r="B29" s="26" t="inlineStr">
        <is>
          <t>Phó Giám đốc (부사장/이사)</t>
        </is>
      </c>
      <c r="C29" s="27" t="n">
        <v>4</v>
      </c>
      <c r="D29" s="28" t="n">
        <v>37349479.3</v>
      </c>
      <c r="E29" s="28" t="n">
        <v>16019419.75</v>
      </c>
      <c r="F29" s="28" t="n">
        <v>7532084.25</v>
      </c>
      <c r="G29" s="28" t="n">
        <v>10122439</v>
      </c>
      <c r="H29" s="28" t="n">
        <v>936000</v>
      </c>
      <c r="I29" s="28" t="n">
        <v>71959422.3</v>
      </c>
      <c r="J29" s="30" t="n">
        <v>2767.670088461538</v>
      </c>
    </row>
    <row r="30">
      <c r="A30" s="27" t="inlineStr">
        <is>
          <t>관리직</t>
        </is>
      </c>
      <c r="B30" s="26" t="inlineStr">
        <is>
          <t>Trưởng phòng cấp cao (선임 부장)</t>
        </is>
      </c>
      <c r="C30" s="27" t="n">
        <v>6</v>
      </c>
      <c r="D30" s="28" t="n">
        <v>23935146.66666667</v>
      </c>
      <c r="E30" s="28" t="n">
        <v>10207913.07692308</v>
      </c>
      <c r="F30" s="28" t="n">
        <v>12344693.66666667</v>
      </c>
      <c r="G30" s="28" t="n">
        <v>7244009.333333333</v>
      </c>
      <c r="H30" s="28" t="n">
        <v>673861.3333333334</v>
      </c>
      <c r="I30" s="28" t="n">
        <v>54405624.07692307</v>
      </c>
      <c r="J30" s="30" t="n">
        <v>2092.52400295858</v>
      </c>
    </row>
    <row r="31">
      <c r="A31" s="27" t="inlineStr">
        <is>
          <t>관리직</t>
        </is>
      </c>
      <c r="B31" s="26" t="inlineStr">
        <is>
          <t>Trưởng phòng (부장)</t>
        </is>
      </c>
      <c r="C31" s="27" t="n">
        <v>18</v>
      </c>
      <c r="D31" s="28" t="n">
        <v>15999820.62008547</v>
      </c>
      <c r="E31" s="28" t="n">
        <v>7046984.66161859</v>
      </c>
      <c r="F31" s="28" t="n">
        <v>9174090.611111112</v>
      </c>
      <c r="G31" s="28" t="n">
        <v>4866047.111111111</v>
      </c>
      <c r="H31" s="28" t="n">
        <v>452655.5374444445</v>
      </c>
      <c r="I31" s="28" t="n">
        <v>37539598.54137073</v>
      </c>
      <c r="J31" s="30" t="n">
        <v>1443.830713129643</v>
      </c>
    </row>
    <row r="32">
      <c r="A32" s="27" t="inlineStr">
        <is>
          <t>관리직</t>
        </is>
      </c>
      <c r="B32" s="26" t="inlineStr">
        <is>
          <t>Phó phòng (차장)</t>
        </is>
      </c>
      <c r="C32" s="27" t="n">
        <v>36</v>
      </c>
      <c r="D32" s="28" t="n">
        <v>12476070.55833333</v>
      </c>
      <c r="E32" s="28" t="n">
        <v>5786261.544751602</v>
      </c>
      <c r="F32" s="28" t="n">
        <v>8246354.166666667</v>
      </c>
      <c r="G32" s="28" t="n">
        <v>3727939.25</v>
      </c>
      <c r="H32" s="28" t="n">
        <v>346785.03775</v>
      </c>
      <c r="I32" s="28" t="n">
        <v>30583410.5575016</v>
      </c>
      <c r="J32" s="30" t="n">
        <v>1176.285021442369</v>
      </c>
    </row>
    <row r="33">
      <c r="A33" s="27" t="inlineStr">
        <is>
          <t>관리직</t>
        </is>
      </c>
      <c r="B33" s="26" t="inlineStr">
        <is>
          <t>Phiên dịch tiếng Hàn (한국어 통역)</t>
        </is>
      </c>
      <c r="C33" s="27" t="n">
        <v>8</v>
      </c>
      <c r="D33" s="28" t="n">
        <v>14956075.35576923</v>
      </c>
      <c r="E33" s="28" t="n">
        <v>6057793.327463943</v>
      </c>
      <c r="F33" s="28" t="n">
        <v>2712775.375</v>
      </c>
      <c r="G33" s="28" t="n">
        <v>4441194.5</v>
      </c>
      <c r="H33" s="28" t="n">
        <v>413134.3725</v>
      </c>
      <c r="I33" s="28" t="n">
        <v>28580972.93073317</v>
      </c>
      <c r="J33" s="30" t="n">
        <v>1099.268189643584</v>
      </c>
    </row>
    <row r="34">
      <c r="A34" s="27" t="inlineStr">
        <is>
          <t>관리직</t>
        </is>
      </c>
      <c r="B34" s="26" t="inlineStr">
        <is>
          <t>Phiên dịch tiếng Nhật (일본어 통역)</t>
        </is>
      </c>
      <c r="C34" s="27" t="n">
        <v>1</v>
      </c>
      <c r="D34" s="28" t="n">
        <v>13325900</v>
      </c>
      <c r="E34" s="28" t="n">
        <v>5450000</v>
      </c>
      <c r="F34" s="28" t="n">
        <v>0</v>
      </c>
      <c r="G34" s="28" t="n">
        <v>3918569</v>
      </c>
      <c r="H34" s="28" t="n">
        <v>364518</v>
      </c>
      <c r="I34" s="28" t="n">
        <v>23058987</v>
      </c>
      <c r="J34" s="30" t="n">
        <v>886.8841153846154</v>
      </c>
    </row>
    <row r="35">
      <c r="A35" s="27" t="inlineStr">
        <is>
          <t>관리직</t>
        </is>
      </c>
      <c r="B35" s="26" t="inlineStr">
        <is>
          <t>Phiên dịch tiếng Trung (중국어 통역)</t>
        </is>
      </c>
      <c r="C35" s="27" t="n">
        <v>1</v>
      </c>
      <c r="D35" s="28" t="n">
        <v>10950000</v>
      </c>
      <c r="E35" s="28" t="n">
        <v>4210312.5</v>
      </c>
      <c r="F35" s="28" t="n">
        <v>4312500</v>
      </c>
      <c r="G35" s="28" t="n">
        <v>3214250</v>
      </c>
      <c r="H35" s="28" t="n">
        <v>299000</v>
      </c>
      <c r="I35" s="28" t="n">
        <v>22986062.5</v>
      </c>
      <c r="J35" s="30" t="n">
        <v>884.0793269230769</v>
      </c>
    </row>
    <row r="36">
      <c r="A36" s="27" t="inlineStr">
        <is>
          <t>관리직</t>
        </is>
      </c>
      <c r="B36" s="26" t="inlineStr">
        <is>
          <t>Chuyên viên (전문직)</t>
        </is>
      </c>
      <c r="C36" s="27" t="n">
        <v>22</v>
      </c>
      <c r="D36" s="28" t="n">
        <v>8544952.910839161</v>
      </c>
      <c r="E36" s="28" t="n">
        <v>4331986.591368007</v>
      </c>
      <c r="F36" s="28" t="n">
        <v>6007205.454545454</v>
      </c>
      <c r="G36" s="28" t="n">
        <v>2521583.136363636</v>
      </c>
      <c r="H36" s="28" t="n">
        <v>234565.8718181818</v>
      </c>
      <c r="I36" s="28" t="n">
        <v>21640293.96493444</v>
      </c>
      <c r="J36" s="30" t="n">
        <v>832.3189986513247</v>
      </c>
    </row>
    <row r="37">
      <c r="A37" s="27" t="inlineStr">
        <is>
          <t>관리직</t>
        </is>
      </c>
      <c r="B37" s="26" t="inlineStr">
        <is>
          <t>Nhân viên (사무원)</t>
        </is>
      </c>
      <c r="C37" s="27" t="n">
        <v>20</v>
      </c>
      <c r="D37" s="28" t="n">
        <v>6386835.23076923</v>
      </c>
      <c r="E37" s="28" t="n">
        <v>2840624.903846153</v>
      </c>
      <c r="F37" s="28" t="n">
        <v>3057305.55</v>
      </c>
      <c r="G37" s="28" t="n">
        <v>1910171.3</v>
      </c>
      <c r="H37" s="28" t="n">
        <v>177690.345</v>
      </c>
      <c r="I37" s="28" t="n">
        <v>14372627.32961538</v>
      </c>
      <c r="J37" s="30" t="n">
        <v>552.7933588313609</v>
      </c>
    </row>
    <row r="38">
      <c r="A38" s="22" t="inlineStr">
        <is>
          <t>생산직</t>
        </is>
      </c>
      <c r="B38" s="21" t="inlineStr">
        <is>
          <t>Trưởng ca (조장)</t>
        </is>
      </c>
      <c r="C38" s="22" t="n">
        <v>9</v>
      </c>
      <c r="D38" s="23" t="n">
        <v>10441150.87606838</v>
      </c>
      <c r="E38" s="23" t="n">
        <v>6015071.415865384</v>
      </c>
      <c r="F38" s="23" t="n">
        <v>11916096.33333333</v>
      </c>
      <c r="G38" s="23" t="n">
        <v>3282773.333333333</v>
      </c>
      <c r="H38" s="23" t="n">
        <v>305374.2631666667</v>
      </c>
      <c r="I38" s="23" t="n">
        <v>31960466.22176709</v>
      </c>
      <c r="J38" s="25" t="n">
        <v>1229.248700837196</v>
      </c>
    </row>
    <row r="39">
      <c r="A39" s="22" t="inlineStr">
        <is>
          <t>생산직</t>
        </is>
      </c>
      <c r="B39" s="21" t="inlineStr">
        <is>
          <t>Kỹ thuật viên (현장 기술자)</t>
        </is>
      </c>
      <c r="C39" s="22" t="n">
        <v>117</v>
      </c>
      <c r="D39" s="23" t="n">
        <v>7663162.612984878</v>
      </c>
      <c r="E39" s="23" t="n">
        <v>4330648.970812786</v>
      </c>
      <c r="F39" s="23" t="n">
        <v>9602854.23076923</v>
      </c>
      <c r="G39" s="23" t="n">
        <v>2149838.931623932</v>
      </c>
      <c r="H39" s="23" t="n">
        <v>199985.0157606838</v>
      </c>
      <c r="I39" s="23" t="n">
        <v>23946489.76195151</v>
      </c>
      <c r="J39" s="25" t="n">
        <v>921.0188369981352</v>
      </c>
    </row>
    <row r="40">
      <c r="A40" s="22" t="inlineStr">
        <is>
          <t>생산직</t>
        </is>
      </c>
      <c r="B40" s="21" t="inlineStr">
        <is>
          <t>Công nhân sản xuất (생산직 (직접))</t>
        </is>
      </c>
      <c r="C40" s="22" t="n">
        <v>538</v>
      </c>
      <c r="D40" s="23" t="n">
        <v>5426835.50185874</v>
      </c>
      <c r="E40" s="23" t="n">
        <v>2290437.872694452</v>
      </c>
      <c r="F40" s="23" t="n">
        <v>6386411.801115242</v>
      </c>
      <c r="G40" s="23" t="n">
        <v>1428515.17472119</v>
      </c>
      <c r="H40" s="23" t="n">
        <v>132885.1301115242</v>
      </c>
      <c r="I40" s="23" t="n">
        <v>15665085.48050115</v>
      </c>
      <c r="J40" s="25" t="n">
        <v>602.5032877115827</v>
      </c>
    </row>
    <row r="41">
      <c r="A41" s="22" t="inlineStr">
        <is>
          <t>생산직</t>
        </is>
      </c>
      <c r="B41" s="21" t="inlineStr">
        <is>
          <t>Công nhân sản xuất gián tiếp (생산직 (간접))</t>
        </is>
      </c>
      <c r="C41" s="22" t="n">
        <v>20</v>
      </c>
      <c r="D41" s="23" t="n">
        <v>5416394.230769231</v>
      </c>
      <c r="E41" s="23" t="n">
        <v>1869468.75</v>
      </c>
      <c r="F41" s="23" t="n">
        <v>6122675.6</v>
      </c>
      <c r="G41" s="23" t="n">
        <v>1385675</v>
      </c>
      <c r="H41" s="23" t="n">
        <v>128900</v>
      </c>
      <c r="I41" s="23" t="n">
        <v>14923113.58076923</v>
      </c>
      <c r="J41" s="25" t="n">
        <v>573.9659069526626</v>
      </c>
    </row>
  </sheetData>
  <mergeCells count="3">
    <mergeCell ref="A1:I1"/>
    <mergeCell ref="A2:I2"/>
    <mergeCell ref="A15:I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18" customWidth="1" min="9" max="9"/>
  </cols>
  <sheetData>
    <row r="1" ht="28" customHeight="1">
      <c r="A1" s="1" t="inlineStr">
        <is>
          <t>부서별 인당 평균 인건비 (VND, 2026년 4월)</t>
        </is>
      </c>
    </row>
    <row r="3">
      <c r="A3" s="4" t="inlineStr">
        <is>
          <t>순위</t>
        </is>
      </c>
      <c r="B3" s="4" t="inlineStr">
        <is>
          <t>부서</t>
        </is>
      </c>
      <c r="C3" s="4" t="inlineStr">
        <is>
          <t>인원</t>
        </is>
      </c>
      <c r="D3" s="4" t="inlineStr">
        <is>
          <t>평균 기본급</t>
        </is>
      </c>
      <c r="E3" s="4" t="inlineStr">
        <is>
          <t>평균 수당</t>
        </is>
      </c>
      <c r="F3" s="4" t="inlineStr">
        <is>
          <t>평균 OT</t>
        </is>
      </c>
      <c r="G3" s="4" t="inlineStr">
        <is>
          <t>평균 사회보험</t>
        </is>
      </c>
      <c r="H3" s="4" t="inlineStr">
        <is>
          <t>평균 노조비</t>
        </is>
      </c>
      <c r="I3" s="4" t="inlineStr">
        <is>
          <t>★ 인당 총비용</t>
        </is>
      </c>
    </row>
    <row r="4">
      <c r="A4" s="35" t="n">
        <v>1</v>
      </c>
      <c r="B4" s="5" t="inlineStr">
        <is>
          <t>PT</t>
        </is>
      </c>
      <c r="C4" s="35" t="n">
        <v>6</v>
      </c>
      <c r="D4" s="6" t="n">
        <v>14336334.15384615</v>
      </c>
      <c r="E4" s="6" t="n">
        <v>6341160.457532051</v>
      </c>
      <c r="F4" s="6" t="n">
        <v>8923158.666666666</v>
      </c>
      <c r="G4" s="6" t="n">
        <v>4276806</v>
      </c>
      <c r="H4" s="6" t="n">
        <v>397842.41</v>
      </c>
      <c r="I4" s="36" t="n">
        <v>34275301.68804487</v>
      </c>
    </row>
    <row r="5">
      <c r="A5" s="35" t="n">
        <v>2</v>
      </c>
      <c r="B5" s="5" t="inlineStr">
        <is>
          <t>회계 (Account)</t>
        </is>
      </c>
      <c r="C5" s="35" t="n">
        <v>6</v>
      </c>
      <c r="D5" s="6" t="n">
        <v>17309505.56410256</v>
      </c>
      <c r="E5" s="6" t="n">
        <v>7186698.717948719</v>
      </c>
      <c r="F5" s="6" t="n">
        <v>3868311.666666667</v>
      </c>
      <c r="G5" s="6" t="n">
        <v>4665272</v>
      </c>
      <c r="H5" s="6" t="n">
        <v>431699.7266666666</v>
      </c>
      <c r="I5" s="36" t="n">
        <v>33461487.67538462</v>
      </c>
    </row>
    <row r="6">
      <c r="A6" s="35" t="n">
        <v>3</v>
      </c>
      <c r="B6" s="5" t="inlineStr">
        <is>
          <t>영업 (Sales)</t>
        </is>
      </c>
      <c r="C6" s="35" t="n">
        <v>5</v>
      </c>
      <c r="D6" s="6" t="n">
        <v>16793561.07692308</v>
      </c>
      <c r="E6" s="6" t="n">
        <v>7012985.846153846</v>
      </c>
      <c r="F6" s="6" t="n">
        <v>2654462.2</v>
      </c>
      <c r="G6" s="6" t="n">
        <v>4940506.2</v>
      </c>
      <c r="H6" s="6" t="n">
        <v>458907.6</v>
      </c>
      <c r="I6" s="36" t="n">
        <v>31860422.92307693</v>
      </c>
    </row>
    <row r="7">
      <c r="A7" s="35" t="n">
        <v>4</v>
      </c>
      <c r="B7" s="5" t="inlineStr">
        <is>
          <t>생산기획 (Prod Plan)</t>
        </is>
      </c>
      <c r="C7" s="35" t="n">
        <v>4</v>
      </c>
      <c r="D7" s="6" t="n">
        <v>16709583.15</v>
      </c>
      <c r="E7" s="6" t="n">
        <v>6967433.114903847</v>
      </c>
      <c r="F7" s="6" t="n">
        <v>1145238.25</v>
      </c>
      <c r="G7" s="6" t="n">
        <v>4931636.5</v>
      </c>
      <c r="H7" s="6" t="n">
        <v>458594.048</v>
      </c>
      <c r="I7" s="36" t="n">
        <v>30212485.06290385</v>
      </c>
    </row>
    <row r="8">
      <c r="A8" s="35" t="n">
        <v>5</v>
      </c>
      <c r="B8" s="5" t="inlineStr">
        <is>
          <t>CS</t>
        </is>
      </c>
      <c r="C8" s="35" t="n">
        <v>7</v>
      </c>
      <c r="D8" s="6" t="n">
        <v>13267510.98901099</v>
      </c>
      <c r="E8" s="6" t="n">
        <v>5559923.076923078</v>
      </c>
      <c r="F8" s="6" t="n">
        <v>5193685.142857143</v>
      </c>
      <c r="G8" s="6" t="n">
        <v>3984334</v>
      </c>
      <c r="H8" s="6" t="n">
        <v>370635.7142857143</v>
      </c>
      <c r="I8" s="36" t="n">
        <v>28376088.92307692</v>
      </c>
    </row>
    <row r="9">
      <c r="A9" s="35" t="n">
        <v>6</v>
      </c>
      <c r="B9" s="5" t="inlineStr">
        <is>
          <t>환경안전 (EHS)</t>
        </is>
      </c>
      <c r="C9" s="35" t="n">
        <v>4</v>
      </c>
      <c r="D9" s="6" t="n">
        <v>9548011.480769232</v>
      </c>
      <c r="E9" s="6" t="n">
        <v>4886561.885096153</v>
      </c>
      <c r="F9" s="6" t="n">
        <v>10083628</v>
      </c>
      <c r="G9" s="6" t="n">
        <v>2929427.25</v>
      </c>
      <c r="H9" s="6" t="n">
        <v>272504.845</v>
      </c>
      <c r="I9" s="36" t="n">
        <v>27720133.46086539</v>
      </c>
    </row>
    <row r="10">
      <c r="A10" s="35" t="n">
        <v>7</v>
      </c>
      <c r="B10" s="5" t="inlineStr">
        <is>
          <t>금형 (Moulding)</t>
        </is>
      </c>
      <c r="C10" s="35" t="n">
        <v>24</v>
      </c>
      <c r="D10" s="6" t="n">
        <v>9953227.985576924</v>
      </c>
      <c r="E10" s="6" t="n">
        <v>4967595.518709936</v>
      </c>
      <c r="F10" s="6" t="n">
        <v>9506820.75</v>
      </c>
      <c r="G10" s="6" t="n">
        <v>2909953.125</v>
      </c>
      <c r="H10" s="6" t="n">
        <v>270693.3158333334</v>
      </c>
      <c r="I10" s="36" t="n">
        <v>27608290.69512019</v>
      </c>
    </row>
    <row r="11">
      <c r="A11" s="35" t="n">
        <v>8</v>
      </c>
      <c r="B11" s="5" t="inlineStr">
        <is>
          <t>총무 (GA)</t>
        </is>
      </c>
      <c r="C11" s="35" t="n">
        <v>9</v>
      </c>
      <c r="D11" s="6" t="n">
        <v>10803445.75726496</v>
      </c>
      <c r="E11" s="6" t="n">
        <v>4836378.713675213</v>
      </c>
      <c r="F11" s="6" t="n">
        <v>6492834.777777778</v>
      </c>
      <c r="G11" s="6" t="n">
        <v>3070667.666666667</v>
      </c>
      <c r="H11" s="6" t="n">
        <v>285111.1111111111</v>
      </c>
      <c r="I11" s="36" t="n">
        <v>25488438.02649573</v>
      </c>
    </row>
    <row r="12">
      <c r="A12" s="35" t="n">
        <v>9</v>
      </c>
      <c r="B12" s="5" t="inlineStr">
        <is>
          <t>R&amp;D</t>
        </is>
      </c>
      <c r="C12" s="35" t="n">
        <v>12</v>
      </c>
      <c r="D12" s="6" t="n">
        <v>12526762.34679487</v>
      </c>
      <c r="E12" s="6" t="n">
        <v>5163088.463902243</v>
      </c>
      <c r="F12" s="6" t="n">
        <v>3021538.833333333</v>
      </c>
      <c r="G12" s="6" t="n">
        <v>3715974.416666667</v>
      </c>
      <c r="H12" s="6" t="n">
        <v>345672.0445</v>
      </c>
      <c r="I12" s="36" t="n">
        <v>24773036.10519711</v>
      </c>
    </row>
    <row r="13">
      <c r="A13" s="35" t="n">
        <v>10</v>
      </c>
      <c r="B13" s="5" t="inlineStr">
        <is>
          <t>주조 (Die-Casting)</t>
        </is>
      </c>
      <c r="C13" s="35" t="n">
        <v>84</v>
      </c>
      <c r="D13" s="6" t="n">
        <v>7184352.648809524</v>
      </c>
      <c r="E13" s="6" t="n">
        <v>4244286.480059524</v>
      </c>
      <c r="F13" s="6" t="n">
        <v>9713365.321428571</v>
      </c>
      <c r="G13" s="6" t="n">
        <v>2212769.166666667</v>
      </c>
      <c r="H13" s="6" t="n">
        <v>205838.9907142857</v>
      </c>
      <c r="I13" s="36" t="n">
        <v>23560612.60767857</v>
      </c>
    </row>
    <row r="14">
      <c r="A14" s="35" t="n">
        <v>11</v>
      </c>
      <c r="B14" s="5" t="inlineStr">
        <is>
          <t>물류 (Logs)</t>
        </is>
      </c>
      <c r="C14" s="35" t="n">
        <v>2</v>
      </c>
      <c r="D14" s="6" t="n">
        <v>13231925</v>
      </c>
      <c r="E14" s="6" t="n">
        <v>5670825</v>
      </c>
      <c r="F14" s="6" t="n">
        <v>273196.5</v>
      </c>
      <c r="G14" s="6" t="n">
        <v>3951216.5</v>
      </c>
      <c r="H14" s="6" t="n">
        <v>367555</v>
      </c>
      <c r="I14" s="36" t="n">
        <v>23494718</v>
      </c>
    </row>
    <row r="15">
      <c r="A15" s="35" t="n">
        <v>12</v>
      </c>
      <c r="B15" s="5" t="inlineStr">
        <is>
          <t>설비 (Utility)</t>
        </is>
      </c>
      <c r="C15" s="35" t="n">
        <v>37</v>
      </c>
      <c r="D15" s="6" t="n">
        <v>8063230.483367982</v>
      </c>
      <c r="E15" s="6" t="n">
        <v>3736715.275740645</v>
      </c>
      <c r="F15" s="6" t="n">
        <v>8574719.432432432</v>
      </c>
      <c r="G15" s="6" t="n">
        <v>2176633.135135135</v>
      </c>
      <c r="H15" s="6" t="n">
        <v>202477.4967567568</v>
      </c>
      <c r="I15" s="36" t="n">
        <v>22753775.82343296</v>
      </c>
    </row>
    <row r="16">
      <c r="A16" s="35" t="n">
        <v>13</v>
      </c>
      <c r="B16" s="5" t="inlineStr">
        <is>
          <t>IT</t>
        </is>
      </c>
      <c r="C16" s="35" t="n">
        <v>6</v>
      </c>
      <c r="D16" s="6" t="n">
        <v>11530376.92307692</v>
      </c>
      <c r="E16" s="6" t="n">
        <v>4704263.621794871</v>
      </c>
      <c r="F16" s="6" t="n">
        <v>2095316.5</v>
      </c>
      <c r="G16" s="6" t="n">
        <v>3528196.666666667</v>
      </c>
      <c r="H16" s="6" t="n">
        <v>328204.3333333333</v>
      </c>
      <c r="I16" s="36" t="n">
        <v>22186358.0448718</v>
      </c>
    </row>
    <row r="17">
      <c r="A17" s="35" t="n">
        <v>14</v>
      </c>
      <c r="B17" s="5" t="inlineStr">
        <is>
          <t>인사 (HR)</t>
        </is>
      </c>
      <c r="C17" s="35" t="n">
        <v>3</v>
      </c>
      <c r="D17" s="6" t="n">
        <v>11245663.46153846</v>
      </c>
      <c r="E17" s="6" t="n">
        <v>4744807.692307692</v>
      </c>
      <c r="F17" s="6" t="n">
        <v>1856058.666666667</v>
      </c>
      <c r="G17" s="6" t="n">
        <v>3387719.333333333</v>
      </c>
      <c r="H17" s="6" t="n">
        <v>315136.6666666667</v>
      </c>
      <c r="I17" s="36" t="n">
        <v>21549385.82051282</v>
      </c>
    </row>
    <row r="18">
      <c r="A18" s="35" t="n">
        <v>15</v>
      </c>
      <c r="B18" s="5" t="inlineStr">
        <is>
          <t>주조 2 (Die-Casting 2)</t>
        </is>
      </c>
      <c r="C18" s="35" t="n">
        <v>10</v>
      </c>
      <c r="D18" s="6" t="n">
        <v>6583460.738461538</v>
      </c>
      <c r="E18" s="6" t="n">
        <v>3648583.083076924</v>
      </c>
      <c r="F18" s="6" t="n">
        <v>8647383.699999999</v>
      </c>
      <c r="G18" s="6" t="n">
        <v>1944137.4</v>
      </c>
      <c r="H18" s="6" t="n">
        <v>180849.984</v>
      </c>
      <c r="I18" s="36" t="n">
        <v>21004414.90553846</v>
      </c>
    </row>
    <row r="19">
      <c r="A19" s="35" t="n">
        <v>16</v>
      </c>
      <c r="B19" s="5" t="inlineStr">
        <is>
          <t>구매 (Purchasing)</t>
        </is>
      </c>
      <c r="C19" s="35" t="n">
        <v>5</v>
      </c>
      <c r="D19" s="6" t="n">
        <v>11130230.76923077</v>
      </c>
      <c r="E19" s="6" t="n">
        <v>4606114.423076923</v>
      </c>
      <c r="F19" s="6" t="n">
        <v>724384.6</v>
      </c>
      <c r="G19" s="6" t="n">
        <v>3304980</v>
      </c>
      <c r="H19" s="6" t="n">
        <v>307440</v>
      </c>
      <c r="I19" s="36" t="n">
        <v>20073149.79230769</v>
      </c>
    </row>
    <row r="20">
      <c r="A20" s="35" t="n">
        <v>17</v>
      </c>
      <c r="B20" s="5" t="inlineStr">
        <is>
          <t>사출 (Injection-Moulding)</t>
        </is>
      </c>
      <c r="C20" s="35" t="n">
        <v>6</v>
      </c>
      <c r="D20" s="6" t="n">
        <v>8161274.692307692</v>
      </c>
      <c r="E20" s="6" t="n">
        <v>3206204.879086539</v>
      </c>
      <c r="F20" s="6" t="n">
        <v>5440366</v>
      </c>
      <c r="G20" s="6" t="n">
        <v>2287161.833333333</v>
      </c>
      <c r="H20" s="6" t="n">
        <v>212759.2566666667</v>
      </c>
      <c r="I20" s="36" t="n">
        <v>19307766.66139423</v>
      </c>
    </row>
    <row r="21">
      <c r="A21" s="35" t="n">
        <v>18</v>
      </c>
      <c r="B21" s="5" t="inlineStr">
        <is>
          <t>신뢰성 (Reliability)</t>
        </is>
      </c>
      <c r="C21" s="35" t="n">
        <v>10</v>
      </c>
      <c r="D21" s="6" t="n">
        <v>6860133.192307693</v>
      </c>
      <c r="E21" s="6" t="n">
        <v>3396171.923076923</v>
      </c>
      <c r="F21" s="6" t="n">
        <v>6724155.5</v>
      </c>
      <c r="G21" s="6" t="n">
        <v>1941873</v>
      </c>
      <c r="H21" s="6" t="n">
        <v>180639.33</v>
      </c>
      <c r="I21" s="36" t="n">
        <v>19102972.94538461</v>
      </c>
    </row>
    <row r="22">
      <c r="A22" s="35" t="n">
        <v>19</v>
      </c>
      <c r="B22" s="5" t="inlineStr">
        <is>
          <t>제품창고 (Product WH)</t>
        </is>
      </c>
      <c r="C22" s="35" t="n">
        <v>8</v>
      </c>
      <c r="D22" s="6" t="n">
        <v>6456610.576923078</v>
      </c>
      <c r="E22" s="6" t="n">
        <v>2598521.634615385</v>
      </c>
      <c r="F22" s="6" t="n">
        <v>7562962.875</v>
      </c>
      <c r="G22" s="6" t="n">
        <v>1728062.5</v>
      </c>
      <c r="H22" s="6" t="n">
        <v>160750</v>
      </c>
      <c r="I22" s="36" t="n">
        <v>18506907.58653846</v>
      </c>
    </row>
    <row r="23">
      <c r="A23" s="35" t="n">
        <v>20</v>
      </c>
      <c r="B23" s="5" t="inlineStr">
        <is>
          <t>PQC</t>
        </is>
      </c>
      <c r="C23" s="35" t="n">
        <v>30</v>
      </c>
      <c r="D23" s="6" t="n">
        <v>6262506.41025641</v>
      </c>
      <c r="E23" s="6" t="n">
        <v>3162287.980769231</v>
      </c>
      <c r="F23" s="6" t="n">
        <v>6862449.333333333</v>
      </c>
      <c r="G23" s="6" t="n">
        <v>1715198.333333333</v>
      </c>
      <c r="H23" s="6" t="n">
        <v>159553.3333333333</v>
      </c>
      <c r="I23" s="36" t="n">
        <v>18161995.39102564</v>
      </c>
    </row>
    <row r="24">
      <c r="A24" s="35" t="n">
        <v>21</v>
      </c>
      <c r="B24" s="5" t="inlineStr">
        <is>
          <t>프레스 (Press/Trim)</t>
        </is>
      </c>
      <c r="C24" s="35" t="n">
        <v>55</v>
      </c>
      <c r="D24" s="6" t="n">
        <v>6057386.013986016</v>
      </c>
      <c r="E24" s="6" t="n">
        <v>2558367.905244755</v>
      </c>
      <c r="F24" s="6" t="n">
        <v>7655895.109090909</v>
      </c>
      <c r="G24" s="6" t="n">
        <v>1605293.6</v>
      </c>
      <c r="H24" s="6" t="n">
        <v>149329.6363636364</v>
      </c>
      <c r="I24" s="36" t="n">
        <v>18026272.26468532</v>
      </c>
    </row>
    <row r="25">
      <c r="A25" s="35" t="n">
        <v>22</v>
      </c>
      <c r="B25" s="5" t="inlineStr">
        <is>
          <t>IQC</t>
        </is>
      </c>
      <c r="C25" s="35" t="n">
        <v>2</v>
      </c>
      <c r="D25" s="6" t="n">
        <v>7025000</v>
      </c>
      <c r="E25" s="6" t="n">
        <v>2800000</v>
      </c>
      <c r="F25" s="6" t="n">
        <v>5286057.5</v>
      </c>
      <c r="G25" s="6" t="n">
        <v>1999500</v>
      </c>
      <c r="H25" s="6" t="n">
        <v>186000</v>
      </c>
      <c r="I25" s="36" t="n">
        <v>17296557.5</v>
      </c>
    </row>
    <row r="26">
      <c r="A26" s="35" t="n">
        <v>23</v>
      </c>
      <c r="B26" s="5" t="inlineStr">
        <is>
          <t>CNC</t>
        </is>
      </c>
      <c r="C26" s="35" t="n">
        <v>218</v>
      </c>
      <c r="D26" s="6" t="n">
        <v>5986900.782021873</v>
      </c>
      <c r="E26" s="6" t="n">
        <v>2746987.859110358</v>
      </c>
      <c r="F26" s="6" t="n">
        <v>6726492.270642201</v>
      </c>
      <c r="G26" s="6" t="n">
        <v>1553309.26146789</v>
      </c>
      <c r="H26" s="6" t="n">
        <v>144493.8847706422</v>
      </c>
      <c r="I26" s="36" t="n">
        <v>17158184.05801298</v>
      </c>
    </row>
    <row r="27">
      <c r="A27" s="35" t="n">
        <v>24</v>
      </c>
      <c r="B27" s="5" t="inlineStr">
        <is>
          <t>자재창고 (Material WH)</t>
        </is>
      </c>
      <c r="C27" s="35" t="n">
        <v>4</v>
      </c>
      <c r="D27" s="6" t="n">
        <v>6468584.75</v>
      </c>
      <c r="E27" s="6" t="n">
        <v>2843115.747235577</v>
      </c>
      <c r="F27" s="6" t="n">
        <v>5610565.5</v>
      </c>
      <c r="G27" s="6" t="n">
        <v>1796128</v>
      </c>
      <c r="H27" s="6" t="n">
        <v>167081.695</v>
      </c>
      <c r="I27" s="36" t="n">
        <v>16885475.69223558</v>
      </c>
    </row>
    <row r="28">
      <c r="A28" s="35" t="n">
        <v>25</v>
      </c>
      <c r="B28" s="5" t="inlineStr">
        <is>
          <t>표면처리 (Non-chromate)</t>
        </is>
      </c>
      <c r="C28" s="35" t="n">
        <v>17</v>
      </c>
      <c r="D28" s="6" t="n">
        <v>5699636.970588235</v>
      </c>
      <c r="E28" s="6" t="n">
        <v>2744727.451244343</v>
      </c>
      <c r="F28" s="6" t="n">
        <v>6355008.411764706</v>
      </c>
      <c r="G28" s="6" t="n">
        <v>1622548.117647059</v>
      </c>
      <c r="H28" s="6" t="n">
        <v>150934.6857941176</v>
      </c>
      <c r="I28" s="36" t="n">
        <v>16572855.63703846</v>
      </c>
    </row>
    <row r="29">
      <c r="A29" s="35" t="n">
        <v>26</v>
      </c>
      <c r="B29" s="5" t="inlineStr">
        <is>
          <t>연마 (Polishing)</t>
        </is>
      </c>
      <c r="C29" s="35" t="n">
        <v>111</v>
      </c>
      <c r="D29" s="6" t="n">
        <v>5610015.440748439</v>
      </c>
      <c r="E29" s="6" t="n">
        <v>2101585.883017152</v>
      </c>
      <c r="F29" s="6" t="n">
        <v>6631937.27927928</v>
      </c>
      <c r="G29" s="6" t="n">
        <v>1477002.522522523</v>
      </c>
      <c r="H29" s="6" t="n">
        <v>137395.5754684685</v>
      </c>
      <c r="I29" s="36" t="n">
        <v>15957936.70103586</v>
      </c>
    </row>
    <row r="30">
      <c r="A30" s="35" t="n">
        <v>27</v>
      </c>
      <c r="B30" s="5" t="inlineStr">
        <is>
          <t>OQC</t>
        </is>
      </c>
      <c r="C30" s="35" t="n">
        <v>48</v>
      </c>
      <c r="D30" s="6" t="n">
        <v>5650665.336538463</v>
      </c>
      <c r="E30" s="6" t="n">
        <v>2382027.95272436</v>
      </c>
      <c r="F30" s="6" t="n">
        <v>6272754.666666667</v>
      </c>
      <c r="G30" s="6" t="n">
        <v>1471476.083333333</v>
      </c>
      <c r="H30" s="6" t="n">
        <v>136881.4958333333</v>
      </c>
      <c r="I30" s="36" t="n">
        <v>15913805.53509615</v>
      </c>
    </row>
    <row r="31">
      <c r="A31" s="35" t="n">
        <v>28</v>
      </c>
      <c r="B31" s="5" t="inlineStr">
        <is>
          <t>핫프레스 (Hot Press)</t>
        </is>
      </c>
      <c r="C31" s="35" t="n">
        <v>8</v>
      </c>
      <c r="D31" s="6" t="n">
        <v>5933173.076923077</v>
      </c>
      <c r="E31" s="6" t="n">
        <v>2615530.649038461</v>
      </c>
      <c r="F31" s="6" t="n">
        <v>5533104.125</v>
      </c>
      <c r="G31" s="6" t="n">
        <v>1558750</v>
      </c>
      <c r="H31" s="6" t="n">
        <v>145000</v>
      </c>
      <c r="I31" s="36" t="n">
        <v>15785557.85096154</v>
      </c>
    </row>
    <row r="32">
      <c r="A32" s="35" t="n">
        <v>29</v>
      </c>
      <c r="B32" s="5" t="inlineStr">
        <is>
          <t>조립 (Assembly)</t>
        </is>
      </c>
      <c r="C32" s="35" t="n">
        <v>53</v>
      </c>
      <c r="D32" s="6" t="n">
        <v>5599941.458055151</v>
      </c>
      <c r="E32" s="6" t="n">
        <v>2173021.101560232</v>
      </c>
      <c r="F32" s="6" t="n">
        <v>6349271.528301887</v>
      </c>
      <c r="G32" s="6" t="n">
        <v>1483942.490566038</v>
      </c>
      <c r="H32" s="6" t="n">
        <v>138041.1608301887</v>
      </c>
      <c r="I32" s="36" t="n">
        <v>15744217.7393135</v>
      </c>
    </row>
    <row r="33">
      <c r="A33" s="35" t="n">
        <v>30</v>
      </c>
      <c r="B33" s="5" t="inlineStr">
        <is>
          <t>Độ Tin Cậy</t>
        </is>
      </c>
      <c r="C33" s="35" t="n">
        <v>6</v>
      </c>
      <c r="D33" s="6" t="n">
        <v>4504807.692307693</v>
      </c>
      <c r="E33" s="6" t="n">
        <v>1676814.903846154</v>
      </c>
      <c r="F33" s="6" t="n">
        <v>4291166</v>
      </c>
      <c r="G33" s="6" t="n">
        <v>1376000</v>
      </c>
      <c r="H33" s="6" t="n">
        <v>128000</v>
      </c>
      <c r="I33" s="36" t="n">
        <v>11976788.59615385</v>
      </c>
    </row>
    <row r="34">
      <c r="A34" s="37" t="inlineStr">
        <is>
          <t>-</t>
        </is>
      </c>
      <c r="B34" s="38" t="inlineStr">
        <is>
          <t>전사 평균</t>
        </is>
      </c>
      <c r="C34" s="37" t="n">
        <v>800</v>
      </c>
      <c r="D34" s="14" t="n">
        <v>6885400.060225971</v>
      </c>
      <c r="E34" s="14" t="n">
        <v>3126477.102532451</v>
      </c>
      <c r="F34" s="14" t="n">
        <v>6968300.10875</v>
      </c>
      <c r="G34" s="14" t="n">
        <v>1899274.8525</v>
      </c>
      <c r="H34" s="14" t="n">
        <v>176648.616631875</v>
      </c>
      <c r="I34" s="14" t="n">
        <v>19056100.74064028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인당 총비용 분포 분석</t>
        </is>
      </c>
    </row>
    <row r="3">
      <c r="A3" s="3" t="inlineStr">
        <is>
          <t>■ 통계 요약</t>
        </is>
      </c>
    </row>
    <row r="4">
      <c r="A4" s="39" t="inlineStr">
        <is>
          <t>직원 수</t>
        </is>
      </c>
      <c r="B4" s="5" t="inlineStr">
        <is>
          <t>800 명</t>
        </is>
      </c>
    </row>
    <row r="5">
      <c r="A5" s="39" t="inlineStr">
        <is>
          <t>평균 (Mean)</t>
        </is>
      </c>
      <c r="B5" s="5" t="inlineStr">
        <is>
          <t>19,056,101 VND  (USD 732.93)</t>
        </is>
      </c>
    </row>
    <row r="6">
      <c r="A6" s="39" t="inlineStr">
        <is>
          <t>중앙값 (Median)</t>
        </is>
      </c>
      <c r="B6" s="5" t="inlineStr">
        <is>
          <t>16,582,889 VND  (USD 637.80)</t>
        </is>
      </c>
    </row>
    <row r="7">
      <c r="A7" s="39" t="inlineStr">
        <is>
          <t>표준편차</t>
        </is>
      </c>
      <c r="B7" s="5" t="inlineStr">
        <is>
          <t>8,382,148 VND</t>
        </is>
      </c>
    </row>
    <row r="8">
      <c r="A8" s="39" t="inlineStr">
        <is>
          <t>최소</t>
        </is>
      </c>
      <c r="B8" s="5" t="inlineStr">
        <is>
          <t>2,233,630 VND  (USD 85.91)</t>
        </is>
      </c>
    </row>
    <row r="9">
      <c r="A9" s="39" t="inlineStr">
        <is>
          <t>최대</t>
        </is>
      </c>
      <c r="B9" s="5" t="inlineStr">
        <is>
          <t>85,164,111 VND  (USD 3,275.54)</t>
        </is>
      </c>
    </row>
    <row r="12">
      <c r="A12" s="3" t="inlineStr">
        <is>
          <t>■ 인건비 구간별 인원 분포 (VND) — 그룹 구분</t>
        </is>
      </c>
    </row>
    <row r="13">
      <c r="A13" s="4" t="inlineStr">
        <is>
          <t>구간 (VND)</t>
        </is>
      </c>
      <c r="B13" s="4" t="inlineStr">
        <is>
          <t>전체 인원</t>
        </is>
      </c>
      <c r="C13" s="4" t="inlineStr">
        <is>
          <t>전체 비중</t>
        </is>
      </c>
      <c r="D13" s="4" t="inlineStr">
        <is>
          <t>생산직</t>
        </is>
      </c>
      <c r="E13" s="4" t="inlineStr">
        <is>
          <t>관리직</t>
        </is>
      </c>
    </row>
    <row r="14">
      <c r="A14" s="5" t="inlineStr">
        <is>
          <t>~ 1천만</t>
        </is>
      </c>
      <c r="B14" s="7" t="n">
        <v>27</v>
      </c>
      <c r="C14" s="17" t="n">
        <v>0.03375</v>
      </c>
      <c r="D14" s="40" t="n">
        <v>25</v>
      </c>
      <c r="E14" s="41" t="n">
        <v>2</v>
      </c>
    </row>
    <row r="15">
      <c r="A15" s="5" t="inlineStr">
        <is>
          <t>1천만 ~ 1.5천만</t>
        </is>
      </c>
      <c r="B15" s="7" t="n">
        <v>163</v>
      </c>
      <c r="C15" s="17" t="n">
        <v>0.20375</v>
      </c>
      <c r="D15" s="40" t="n">
        <v>146</v>
      </c>
      <c r="E15" s="41" t="n">
        <v>17</v>
      </c>
    </row>
    <row r="16">
      <c r="A16" s="5" t="inlineStr">
        <is>
          <t>1.5천만 ~ 2천만</t>
        </is>
      </c>
      <c r="B16" s="7" t="n">
        <v>407</v>
      </c>
      <c r="C16" s="17" t="n">
        <v>0.50875</v>
      </c>
      <c r="D16" s="40" t="n">
        <v>395</v>
      </c>
      <c r="E16" s="41" t="n">
        <v>12</v>
      </c>
    </row>
    <row r="17">
      <c r="A17" s="5" t="inlineStr">
        <is>
          <t>2천만 ~ 2.5천만</t>
        </is>
      </c>
      <c r="B17" s="7" t="n">
        <v>83</v>
      </c>
      <c r="C17" s="17" t="n">
        <v>0.10375</v>
      </c>
      <c r="D17" s="40" t="n">
        <v>66</v>
      </c>
      <c r="E17" s="41" t="n">
        <v>17</v>
      </c>
    </row>
    <row r="18">
      <c r="A18" s="5" t="inlineStr">
        <is>
          <t>2.5천만 ~ 3천만</t>
        </is>
      </c>
      <c r="B18" s="7" t="n">
        <v>45</v>
      </c>
      <c r="C18" s="17" t="n">
        <v>0.05625</v>
      </c>
      <c r="D18" s="40" t="n">
        <v>25</v>
      </c>
      <c r="E18" s="41" t="n">
        <v>20</v>
      </c>
    </row>
    <row r="19">
      <c r="A19" s="5" t="inlineStr">
        <is>
          <t>3천만 ~ 5천만</t>
        </is>
      </c>
      <c r="B19" s="7" t="n">
        <v>64</v>
      </c>
      <c r="C19" s="17" t="n">
        <v>0.08</v>
      </c>
      <c r="D19" s="40" t="n">
        <v>27</v>
      </c>
      <c r="E19" s="41" t="n">
        <v>37</v>
      </c>
    </row>
    <row r="20">
      <c r="A20" s="5" t="inlineStr">
        <is>
          <t>5천만 이상</t>
        </is>
      </c>
      <c r="B20" s="7" t="n">
        <v>11</v>
      </c>
      <c r="C20" s="17" t="n">
        <v>0.01375</v>
      </c>
      <c r="D20" s="40" t="n">
        <v>0</v>
      </c>
      <c r="E20" s="41" t="n">
        <v>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2026-05-08T10:28:28Z</dcterms:created>
  <dcterms:modified xmlns:dcterms="http://purl.org/dc/terms/" xmlns:xsi="http://www.w3.org/2001/XMLSchema-instance" xsi:type="dcterms:W3CDTF">2026-05-08T10:28:28Z</dcterms:modified>
</cp:coreProperties>
</file>