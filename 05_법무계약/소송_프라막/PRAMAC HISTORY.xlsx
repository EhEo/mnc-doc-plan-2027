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12_구매관리/50.계약관리/PRAMAC/"/>
    </mc:Choice>
  </mc:AlternateContent>
  <xr:revisionPtr revIDLastSave="26" documentId="13_ncr:1_{8302E756-5BF7-4522-8D7C-9352CE0DCB8B}" xr6:coauthVersionLast="47" xr6:coauthVersionMax="47" xr10:uidLastSave="{88A0581E-E398-4AA1-8E73-83145A834409}"/>
  <bookViews>
    <workbookView xWindow="-120" yWindow="360" windowWidth="29040" windowHeight="15240" firstSheet="2" activeTab="2" xr2:uid="{00000000-000D-0000-FFFF-FFFF00000000}"/>
  </bookViews>
  <sheets>
    <sheet name="SCT331-Pramac" sheetId="1" state="hidden" r:id="rId1"/>
    <sheet name="SCT331-Pramac (2)" sheetId="2" state="hidden" r:id="rId2"/>
    <sheet name="Payment" sheetId="3" r:id="rId3"/>
  </sheets>
  <definedNames>
    <definedName name="_xlnm._FilterDatabase" localSheetId="0" hidden="1">'SCT331-Pramac'!$C$8:$J$77</definedName>
    <definedName name="_xlnm._FilterDatabase" localSheetId="1" hidden="1">'SCT331-Pramac (2)'!$C$1:$J$70</definedName>
    <definedName name="_xlnm.Print_Area" localSheetId="0">'SCT331-Pramac'!$C$2:$J$77</definedName>
    <definedName name="_xlnm.Print_Area" localSheetId="1">'SCT331-Pramac (2)'!$C$1:$J$70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" l="1"/>
  <c r="J8" i="3"/>
  <c r="K8" i="3" s="1"/>
  <c r="K11" i="3"/>
  <c r="K10" i="3"/>
  <c r="K9" i="3"/>
  <c r="H50" i="3"/>
  <c r="H48" i="3"/>
  <c r="J48" i="3" s="1"/>
  <c r="K48" i="3" s="1"/>
  <c r="H47" i="3"/>
  <c r="J47" i="3" s="1"/>
  <c r="K47" i="3" s="1"/>
  <c r="H45" i="3"/>
  <c r="J45" i="3" s="1"/>
  <c r="K45" i="3" s="1"/>
  <c r="H44" i="3"/>
  <c r="J44" i="3" s="1"/>
  <c r="K44" i="3" s="1"/>
  <c r="H43" i="3"/>
  <c r="J43" i="3" s="1"/>
  <c r="K43" i="3" s="1"/>
  <c r="H42" i="3"/>
  <c r="H41" i="3"/>
  <c r="J41" i="3" s="1"/>
  <c r="K41" i="3" s="1"/>
  <c r="K40" i="3" s="1"/>
  <c r="H39" i="3"/>
  <c r="J39" i="3" s="1"/>
  <c r="K39" i="3" s="1"/>
  <c r="H38" i="3"/>
  <c r="J38" i="3" s="1"/>
  <c r="K38" i="3" s="1"/>
  <c r="K37" i="3" s="1"/>
  <c r="H35" i="3"/>
  <c r="J35" i="3" s="1"/>
  <c r="K35" i="3" s="1"/>
  <c r="H34" i="3"/>
  <c r="J34" i="3" s="1"/>
  <c r="K34" i="3" s="1"/>
  <c r="H32" i="3"/>
  <c r="J32" i="3" s="1"/>
  <c r="K32" i="3" s="1"/>
  <c r="K31" i="3" s="1"/>
  <c r="H30" i="3"/>
  <c r="J30" i="3" s="1"/>
  <c r="K30" i="3" s="1"/>
  <c r="K29" i="3" s="1"/>
  <c r="H28" i="3"/>
  <c r="J28" i="3" s="1"/>
  <c r="K28" i="3" s="1"/>
  <c r="H27" i="3"/>
  <c r="J27" i="3" s="1"/>
  <c r="K27" i="3" s="1"/>
  <c r="K26" i="3" s="1"/>
  <c r="H25" i="3"/>
  <c r="J25" i="3" s="1"/>
  <c r="K25" i="3" s="1"/>
  <c r="H24" i="3"/>
  <c r="J24" i="3" s="1"/>
  <c r="K24" i="3" s="1"/>
  <c r="H23" i="3"/>
  <c r="J23" i="3" s="1"/>
  <c r="K23" i="3" s="1"/>
  <c r="H21" i="3"/>
  <c r="J21" i="3" s="1"/>
  <c r="K21" i="3" s="1"/>
  <c r="H20" i="3"/>
  <c r="J20" i="3" s="1"/>
  <c r="K20" i="3" s="1"/>
  <c r="H19" i="3"/>
  <c r="J19" i="3" s="1"/>
  <c r="K19" i="3" s="1"/>
  <c r="H18" i="3"/>
  <c r="J18" i="3" s="1"/>
  <c r="K18" i="3" s="1"/>
  <c r="H16" i="3"/>
  <c r="J16" i="3" s="1"/>
  <c r="K16" i="3" s="1"/>
  <c r="H15" i="3"/>
  <c r="J15" i="3" s="1"/>
  <c r="K15" i="3" s="1"/>
  <c r="K14" i="3" s="1"/>
  <c r="H13" i="3"/>
  <c r="J13" i="3" s="1"/>
  <c r="K13" i="3" s="1"/>
  <c r="H12" i="3"/>
  <c r="J12" i="3" s="1"/>
  <c r="K12" i="3" s="1"/>
  <c r="E51" i="3"/>
  <c r="H8" i="3"/>
  <c r="F7" i="3"/>
  <c r="F51" i="3" s="1"/>
  <c r="H10" i="3"/>
  <c r="J10" i="3" s="1"/>
  <c r="H9" i="3"/>
  <c r="J9" i="3" s="1"/>
  <c r="H69" i="2"/>
  <c r="G69" i="2"/>
  <c r="I4" i="2"/>
  <c r="K7" i="3" l="1"/>
  <c r="K51" i="3" s="1"/>
  <c r="K52" i="3" s="1"/>
  <c r="K22" i="3"/>
  <c r="K17" i="3"/>
  <c r="K33" i="3"/>
  <c r="K46" i="3"/>
  <c r="K42" i="3"/>
  <c r="I5" i="2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H70" i="2"/>
  <c r="M27" i="1"/>
  <c r="M26" i="1"/>
  <c r="I11" i="1" l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H76" i="1" l="1"/>
  <c r="H77" i="1" s="1"/>
  <c r="G76" i="1"/>
</calcChain>
</file>

<file path=xl/sharedStrings.xml><?xml version="1.0" encoding="utf-8"?>
<sst xmlns="http://schemas.openxmlformats.org/spreadsheetml/2006/main" count="597" uniqueCount="155">
  <si>
    <t>CÔNG TY TNHH M&amp;C ELECTRONIC VINA</t>
  </si>
  <si>
    <t>MST: 2300781686</t>
  </si>
  <si>
    <t>CHI TIẾT CÔNG NỢ PHẢI TRẢ TK 331</t>
  </si>
  <si>
    <t>Từ ngày 01/11/2021 đến ngày 31/12/2025</t>
  </si>
  <si>
    <t>Tên người bán: CÔNG TY CỔ PHẦN PRAMAC</t>
  </si>
  <si>
    <t>Năm mua</t>
  </si>
  <si>
    <t>Ngày tháng</t>
  </si>
  <si>
    <t>Số chứng từ</t>
  </si>
  <si>
    <t>Nội dung</t>
  </si>
  <si>
    <t>Trả tiền</t>
  </si>
  <si>
    <t>Mua hàng</t>
  </si>
  <si>
    <t>Nhà cung cấp</t>
  </si>
  <si>
    <t>Dư đầu kỳ</t>
  </si>
  <si>
    <t>Phát sinh trong kỳ</t>
  </si>
  <si>
    <t>N</t>
  </si>
  <si>
    <t>30/11/2021</t>
  </si>
  <si>
    <t>Aluminium ingot ADC12 and ADC12 Fe 0.9%/Nhôm thỏi ADC12 và ADC12 Fe 0.9%</t>
  </si>
  <si>
    <t>CÔNG TY CỔ PHẦN PRAMAC</t>
  </si>
  <si>
    <t>29/12/2021</t>
  </si>
  <si>
    <t>Buy alloy aluminium ADC12 and A413/Mua nhôm hợp kim ADC12 và A413</t>
  </si>
  <si>
    <t>26/01/2022</t>
  </si>
  <si>
    <t>Buy alumium ADC12 and A380 for casting/Mua nhôm ADC12 và A380 cho casting</t>
  </si>
  <si>
    <t>Alumium ADC12 crap recycle fee/Chi phí tái chế nhôm phế ADC12</t>
  </si>
  <si>
    <t>25/02/2022</t>
  </si>
  <si>
    <t>Thanh toán tiền hàng cho CÔNG TY CỔ PHẦN PRAMAC theo hóa đơn số 0000191_PA/19E ngày 30/11/2021</t>
  </si>
  <si>
    <t>26/02/2022</t>
  </si>
  <si>
    <t>Buy alumium ADC12 for casting/Mua nhônhooDC12 cho đúc</t>
  </si>
  <si>
    <t>31/03/2022</t>
  </si>
  <si>
    <t>Aluminium ingot/ Hợp kim nhôm dạng thanh ADC12</t>
  </si>
  <si>
    <t>01/04/2022</t>
  </si>
  <si>
    <t>Thanh toán tiền hàng cho CÔNG TY CP PRAMAC theo hóa đơn số 12 ngày 29/12/2021</t>
  </si>
  <si>
    <t>06/04/2022</t>
  </si>
  <si>
    <t>Thanh toán tiền hàng cho PRAMAC theo hóa đơn số 0000214_PA/19E ngày 29/12/2021</t>
  </si>
  <si>
    <t>29/04/2022</t>
  </si>
  <si>
    <t>Thanh toán tiền hàng cho PRAMAC theo hóa đơn số 241 ngày 26/01/2022</t>
  </si>
  <si>
    <t>Nhôm ADC12/ ADC12 aluminium</t>
  </si>
  <si>
    <t>09/05/2022</t>
  </si>
  <si>
    <t>Thanh toán tiền hàng cho PRAMAC theo hóa đơn số 240 ngày 26/01/2022</t>
  </si>
  <si>
    <t>31/05/2022</t>
  </si>
  <si>
    <t>Alumium ADC12/ Nhôm Kim loại dạng thanh ADC12</t>
  </si>
  <si>
    <t>28/06/2022</t>
  </si>
  <si>
    <t>Thanh toán tiền hàng cho PRAMAC theo hóa đơn số 0000022_PA/21E ngày 26/02/2022</t>
  </si>
  <si>
    <t>29/06/2022</t>
  </si>
  <si>
    <t>Aluminium Ingot/ Nhôm thỏi ADC12, Nhôm tái chế ADC12</t>
  </si>
  <si>
    <t>30/07/2022</t>
  </si>
  <si>
    <t>Aluminium ADC12/ Hợp kim nhôm dạng thanh ADC12</t>
  </si>
  <si>
    <t>24/08/2022</t>
  </si>
  <si>
    <t>Thanh toán tiền hàng cho PRAMAC theo hóa đơn số 0000292-PA/19E ngày 31/03/2022</t>
  </si>
  <si>
    <t>30/08/2022</t>
  </si>
  <si>
    <t>Thanh toán tiền hàng cho PRAMAC theo hóa đơn số 0000324 ngày 29/04/2022</t>
  </si>
  <si>
    <t>31/08/2022</t>
  </si>
  <si>
    <t>08/09/2022</t>
  </si>
  <si>
    <t>29/09/2022</t>
  </si>
  <si>
    <t>Hợp kim dạng thỏi ADC12/ Adc12 Aluminium</t>
  </si>
  <si>
    <t>05/10/2022</t>
  </si>
  <si>
    <t>31/10/2022</t>
  </si>
  <si>
    <t>Thanh toán tiền hàng cho CÔNG TY CP PRAMAC theo hóa đơn số 11 ngày 31/05/2022</t>
  </si>
  <si>
    <t>Nhôm hợp kim dạng thỏi ADC12+A413/ ADC12+A413 Aluminium</t>
  </si>
  <si>
    <t>17/11/2022</t>
  </si>
  <si>
    <t>Thanh toán tiền hàng cho CÔNG TY CP PRAMAC theo hóa đơn số 27 ngày 29/06/2022</t>
  </si>
  <si>
    <t>29/11/2022</t>
  </si>
  <si>
    <t>Nhôm hợp kim dạng thỏi ADC12/ ADC12 aluminium</t>
  </si>
  <si>
    <t>30/11/2022</t>
  </si>
  <si>
    <t>15/12/2022</t>
  </si>
  <si>
    <t>28/12/2022</t>
  </si>
  <si>
    <t>Thanh toán tiền hàng cho CÔNG TY CP PRAMAC theo hóa đơn số 57 ngày 30/07/2022</t>
  </si>
  <si>
    <t>29/12/2022</t>
  </si>
  <si>
    <t>Hợp kim nhôm dạng thỏi / Aluminium Ingot</t>
  </si>
  <si>
    <t>17/01/2023</t>
  </si>
  <si>
    <t>Thanh toán tiền hàng cho Pramac theo hóa đơn 57 ngày 30.07.2022</t>
  </si>
  <si>
    <t>Thanh toán tiền hàng cho Pramac theo hóa đơn 87 ngày 31.08.2022</t>
  </si>
  <si>
    <t>27/01/2023</t>
  </si>
  <si>
    <t>Hợp kim dạng thỏi / Aluminium Ingot</t>
  </si>
  <si>
    <t>31/01/2023</t>
  </si>
  <si>
    <t>Thanh toán tiền hàng cho CÔNG TY CP PRAMAC theo hóa đơn số 87 ngày 31/08/2022</t>
  </si>
  <si>
    <t>Thanh toán tiền hàng cho CÔNG TY CP PRAMAC theo hóa đơn số 112 ngày 29/09/2022</t>
  </si>
  <si>
    <t>06/02/2023</t>
  </si>
  <si>
    <t>Thanh toán 1 phần theo hóa đơn 112 ngày 29.09.2022 cho pramac</t>
  </si>
  <si>
    <t>07/02/2023</t>
  </si>
  <si>
    <t>28/02/2023</t>
  </si>
  <si>
    <t>Thanh toán tiền hàng cho CÔNG TY CP PRAMAC theo hóa đơn số 152 ngày 31/10/2022</t>
  </si>
  <si>
    <t>16/03/2023</t>
  </si>
  <si>
    <t>Thanh toán một phần tiền hàng cho PRAMAC theo hóa đơn 152 ngày 29/10/2022</t>
  </si>
  <si>
    <t>28/03/2023</t>
  </si>
  <si>
    <t>Hợp kim dạng thỏi ADC12 và chi phí gia công hợp kim nhôm/ Aluminium Ingot</t>
  </si>
  <si>
    <t>30/03/2023</t>
  </si>
  <si>
    <t>03/04/2023</t>
  </si>
  <si>
    <t>Thanh toán tiền hàng cho CÔNG TY CP PRAMAC theo hóa đơn số 152 ngày 29/10/2022</t>
  </si>
  <si>
    <t>Thanh toán tiền hàng cho CÔNG TY CP PRAMAC theo hóa đơn số 194 ngày 29/11/2022</t>
  </si>
  <si>
    <t>27/04/2023</t>
  </si>
  <si>
    <t>Thanh toán tiền hàng cho CÔNG TY CỔ PHẦN PRAMAC theo hóa đơn số 194 ngày 29/11/2022</t>
  </si>
  <si>
    <t>Thanh toán tiền hàng cho CÔNG TY CỔ PHẦN PRAMAC theo hóa đơn số 220 ngày 29/12/2022</t>
  </si>
  <si>
    <t>Thanh toán tiền hàng cho CÔNG TY CỔ PHẦN PRAMAC theo hóa đơn số 21 ngày 27/01/2023</t>
  </si>
  <si>
    <t>28/04/2023</t>
  </si>
  <si>
    <t>31/05/2023</t>
  </si>
  <si>
    <t>Hợp kim dạng thỏi/ Aluminium Ingot</t>
  </si>
  <si>
    <t>07/06/2023</t>
  </si>
  <si>
    <t>Thanh toán tiền hàng cho PHẦN PRAMAC theo hóa đơn số 57 ngày 28/02/2023</t>
  </si>
  <si>
    <t>30/06/2023</t>
  </si>
  <si>
    <t>Nhôm hợp kim dạng thỏi / Aluminium Ingot</t>
  </si>
  <si>
    <t>25/07/2023</t>
  </si>
  <si>
    <t>Thanh toán tiền hàng cho CÔNG TY CỔ PHẦN PRAMAC theo hóa đơn số 98 ngày 28/03/2023</t>
  </si>
  <si>
    <t>Thanh toán tiền hàng cho CÔNG TY CỔ PHẦN PRAMAC theo hóa đơn số 57 ngày 28/02/2023</t>
  </si>
  <si>
    <t>31/08/2023</t>
  </si>
  <si>
    <t xml:space="preserve">Thanh toán tiền hàng PRAMAC </t>
  </si>
  <si>
    <t>29/09/2023</t>
  </si>
  <si>
    <t>Thanh toán tiền hàng cho CÔNG TY CỔ PHẦN PRAMAC theo hóa đơn số 142 ngày 28/4/2023</t>
  </si>
  <si>
    <t>31/10/2023</t>
  </si>
  <si>
    <t>Thanh toán tiền hàng cho CÔNG TY CỔ PHẦN PRAMAC theo hóa đơn số 185 ngày 31/5/2023</t>
  </si>
  <si>
    <t>28/11/2023</t>
  </si>
  <si>
    <t>Thanh tóan tiền hàng cho PRAMAC hóa đơn 185 ngày 31/05/2023</t>
  </si>
  <si>
    <t>30/11/2023</t>
  </si>
  <si>
    <t>Thanh toán tiền hàng cho CÔNG TY CỔ PHẦN PRAMAC theo hóa đơn số 185 ngày 31/05/2023</t>
  </si>
  <si>
    <t>Thanh toán tiền hàng cho CÔNG TY CỔ PHẦN PRAMAC theo hóa đơn số 207 ngày 30/06/2023</t>
  </si>
  <si>
    <t>07/12/2023</t>
  </si>
  <si>
    <t>Thanh toán tiền hàng cho PRAMAC hoa đơn 207/1C23TPM  30/6/2023</t>
  </si>
  <si>
    <t>25/12/2023</t>
  </si>
  <si>
    <t>Aluminium ALDCS 12 Fe 0.9%/ Hợp kim nhôm dạng thỏi ALDC12 thành phần Fe 0.9%</t>
  </si>
  <si>
    <t>29/12/2023</t>
  </si>
  <si>
    <t>Thanh toán tiền hàng cho PRAMAC HĐ 419 ngày 26/12/2023</t>
  </si>
  <si>
    <t>Cộng phát sinh</t>
  </si>
  <si>
    <t>Dư cuối kỳ</t>
  </si>
  <si>
    <t>Số dư lũy kế</t>
  </si>
  <si>
    <t>Số hóa đơn</t>
  </si>
  <si>
    <t>0000191_PA/19E</t>
  </si>
  <si>
    <t>0000214_PA/19E</t>
  </si>
  <si>
    <t>0000241_PA/19E</t>
  </si>
  <si>
    <t>0000240_PA/19E</t>
  </si>
  <si>
    <t>0000022_PA/21E</t>
  </si>
  <si>
    <t>0000292-PA/19E</t>
  </si>
  <si>
    <t>0000324-PA/19E</t>
  </si>
  <si>
    <t>11-1C22P</t>
  </si>
  <si>
    <t>27-1C22TMP</t>
  </si>
  <si>
    <t>57-1C22TPM</t>
  </si>
  <si>
    <t>87-1C22TPM</t>
  </si>
  <si>
    <t>112-1C22TPM</t>
  </si>
  <si>
    <t>152-1C22TPM</t>
  </si>
  <si>
    <t>142-1C23TPM</t>
  </si>
  <si>
    <t>AP</t>
  </si>
  <si>
    <t>Paid</t>
  </si>
  <si>
    <t>IV</t>
  </si>
  <si>
    <t>Receipt month</t>
  </si>
  <si>
    <t>Payment date</t>
  </si>
  <si>
    <t>Due date</t>
  </si>
  <si>
    <t>Overdue date</t>
  </si>
  <si>
    <t>Penalty (0.05%/ day)</t>
  </si>
  <si>
    <t>Payment amount</t>
  </si>
  <si>
    <t>Thanh toán tiền hàng PRAMAC hóa đơn 98 &amp;103</t>
  </si>
  <si>
    <t>Year</t>
  </si>
  <si>
    <t>Date</t>
  </si>
  <si>
    <t>IV no</t>
  </si>
  <si>
    <t>Content</t>
  </si>
  <si>
    <r>
      <t xml:space="preserve">이 표는 PRAMAC 거래 건에 대해 </t>
    </r>
    <r>
      <rPr>
        <b/>
        <sz val="11"/>
        <color theme="1"/>
        <rFont val="맑은 고딕"/>
        <family val="3"/>
        <charset val="129"/>
        <scheme val="minor"/>
      </rPr>
      <t>실제 지급 지연 기간을 기준으로 계약서에 있는 연체이자 (0.05%/일)을 재계산한 검증용 요약표이며, 총 원금 약 1,106억동에서 연체이자는 약 45억 VND 수준</t>
    </r>
    <phoneticPr fontId="18" type="noConversion"/>
  </si>
  <si>
    <r>
      <t>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맑은 고딕"/>
        <family val="2"/>
        <scheme val="minor"/>
      </rPr>
      <t>ng này là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맑은 고딕"/>
        <family val="2"/>
        <scheme val="minor"/>
      </rPr>
      <t>ng 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맑은 고딕"/>
        <family val="2"/>
        <scheme val="minor"/>
      </rPr>
      <t>ng h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맑은 고딕"/>
        <family val="2"/>
        <scheme val="minor"/>
      </rPr>
      <t>p ph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맑은 고딕"/>
        <family val="2"/>
        <scheme val="minor"/>
      </rPr>
      <t>c v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맑은 고딕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맑은 고딕"/>
        <family val="2"/>
        <scheme val="minor"/>
      </rPr>
      <t>c đích 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맑은 고딕"/>
        <family val="2"/>
        <scheme val="minor"/>
      </rPr>
      <t>m tra và đ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맑은 고딕"/>
        <family val="2"/>
        <scheme val="minor"/>
      </rPr>
      <t>i chi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맑은 고딕"/>
        <family val="2"/>
        <scheme val="minor"/>
      </rPr>
      <t>u, trong đó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맑은 고딕"/>
        <family val="2"/>
        <scheme val="minor"/>
      </rPr>
      <t>n lãi ch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맑은 고딕"/>
        <family val="2"/>
        <scheme val="minor"/>
      </rPr>
      <t>m thanh toán theo quy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맑은 고딕"/>
        <family val="2"/>
        <scheme val="minor"/>
      </rPr>
      <t>nh h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맑은 고딕"/>
        <family val="2"/>
        <scheme val="minor"/>
      </rPr>
      <t>p đ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맑은 고딕"/>
        <family val="2"/>
        <scheme val="minor"/>
      </rPr>
      <t>ng (0,05%/ngày)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맑은 고딕"/>
        <family val="2"/>
        <scheme val="minor"/>
      </rPr>
      <t>c tính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맑은 고딕"/>
        <family val="2"/>
        <scheme val="minor"/>
      </rPr>
      <t>i c</t>
    </r>
    <r>
      <rPr>
        <sz val="11"/>
        <color theme="1"/>
        <rFont val="Segoe UI"/>
        <family val="2"/>
        <charset val="238"/>
      </rPr>
      <t>ă</t>
    </r>
    <r>
      <rPr>
        <sz val="11"/>
        <color theme="1"/>
        <rFont val="맑은 고딕"/>
        <family val="2"/>
        <scheme val="minor"/>
      </rPr>
      <t>n c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맑은 고딕"/>
        <family val="2"/>
        <scheme val="minor"/>
      </rPr>
      <t xml:space="preserve"> vào th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맑은 고딕"/>
        <family val="2"/>
        <scheme val="minor"/>
      </rPr>
      <t>i gian thanh toán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맑은 고딕"/>
        <family val="2"/>
        <scheme val="minor"/>
      </rPr>
      <t>c t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맑은 고딕"/>
        <family val="2"/>
        <scheme val="minor"/>
      </rPr>
      <t xml:space="preserve">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맑은 고딕"/>
        <family val="2"/>
        <scheme val="minor"/>
      </rPr>
      <t>a các giao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맑은 고딕"/>
        <family val="2"/>
        <scheme val="minor"/>
      </rPr>
      <t>ch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맑은 고딕"/>
        <family val="2"/>
        <scheme val="minor"/>
      </rPr>
      <t xml:space="preserve">i PRAMAC. </t>
    </r>
    <phoneticPr fontId="18" type="noConversion"/>
  </si>
  <si>
    <r>
      <t>Tổng giá trị tiền gốc khoảng 110,6 tỷ đồng Việt Nam, tiền lãi chậm trả t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scheme val="minor"/>
      </rPr>
      <t>ng ứng khoảng 4,5 tỷ đồng Việt Nam.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</si>
</sst>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.00_);_(* \(#,##0.00\);_(* &quot;-&quot;??_);_(@_)"/>
    <numFmt numFmtId="177" formatCode="[$-409]d\-mmm\-yy;@"/>
  </numFmts>
  <fonts count="22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rgb="FF0033CC"/>
      <name val="Times New Roman"/>
      <family val="1"/>
    </font>
    <font>
      <b/>
      <sz val="11"/>
      <color rgb="FF0033CC"/>
      <name val="Times New Roman"/>
      <family val="1"/>
    </font>
    <font>
      <b/>
      <sz val="10"/>
      <color rgb="FF0033CC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맑은 고딕"/>
      <family val="2"/>
      <scheme val="minor"/>
    </font>
    <font>
      <sz val="10"/>
      <color rgb="FFC00000"/>
      <name val="Times New Roman"/>
      <family val="1"/>
    </font>
    <font>
      <sz val="11"/>
      <color rgb="FFC0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0"/>
    <xf numFmtId="0" fontId="1" fillId="0" borderId="0" applyNumberFormat="0" applyFont="0" applyFill="0" applyBorder="0" applyAlignment="0" applyProtection="0"/>
    <xf numFmtId="176" fontId="1" fillId="0" borderId="0" applyNumberFormat="0" applyFont="0" applyFill="0" applyBorder="0" applyAlignment="0" applyProtection="0"/>
    <xf numFmtId="17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2" fillId="0" borderId="0" xfId="1" applyNumberFormat="1" applyFont="1" applyFill="1" applyBorder="1" applyAlignment="1"/>
    <xf numFmtId="0" fontId="2" fillId="2" borderId="0" xfId="1" applyNumberFormat="1" applyFont="1" applyFill="1" applyBorder="1" applyAlignment="1"/>
    <xf numFmtId="0" fontId="2" fillId="2" borderId="0" xfId="1" applyNumberFormat="1" applyFont="1" applyFill="1" applyBorder="1" applyAlignment="1">
      <alignment horizontal="center"/>
    </xf>
    <xf numFmtId="3" fontId="2" fillId="2" borderId="0" xfId="1" applyNumberFormat="1" applyFont="1" applyFill="1" applyBorder="1" applyAlignment="1"/>
    <xf numFmtId="0" fontId="3" fillId="2" borderId="0" xfId="1" applyNumberFormat="1" applyFont="1" applyFill="1" applyBorder="1" applyAlignment="1"/>
    <xf numFmtId="0" fontId="4" fillId="2" borderId="0" xfId="1" applyNumberFormat="1" applyFont="1" applyFill="1" applyBorder="1" applyAlignment="1"/>
    <xf numFmtId="0" fontId="8" fillId="0" borderId="0" xfId="1" applyNumberFormat="1" applyFont="1" applyFill="1" applyBorder="1" applyAlignment="1">
      <alignment horizontal="center"/>
    </xf>
    <xf numFmtId="0" fontId="8" fillId="0" borderId="1" xfId="1" applyNumberFormat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3" fontId="8" fillId="0" borderId="1" xfId="1" applyNumberFormat="1" applyFont="1" applyFill="1" applyBorder="1" applyAlignment="1">
      <alignment horizontal="center"/>
    </xf>
    <xf numFmtId="0" fontId="8" fillId="0" borderId="2" xfId="1" applyNumberFormat="1" applyFont="1" applyFill="1" applyBorder="1" applyAlignment="1">
      <alignment horizontal="center"/>
    </xf>
    <xf numFmtId="0" fontId="8" fillId="0" borderId="2" xfId="1" applyFont="1" applyBorder="1" applyAlignment="1">
      <alignment horizontal="center"/>
    </xf>
    <xf numFmtId="3" fontId="8" fillId="0" borderId="2" xfId="1" applyNumberFormat="1" applyFont="1" applyFill="1" applyBorder="1" applyAlignment="1">
      <alignment horizontal="center"/>
    </xf>
    <xf numFmtId="0" fontId="8" fillId="0" borderId="3" xfId="1" applyNumberFormat="1" applyFont="1" applyFill="1" applyBorder="1" applyAlignment="1">
      <alignment horizontal="center"/>
    </xf>
    <xf numFmtId="0" fontId="8" fillId="0" borderId="3" xfId="1" applyFont="1" applyBorder="1" applyAlignment="1">
      <alignment horizontal="center"/>
    </xf>
    <xf numFmtId="3" fontId="8" fillId="0" borderId="3" xfId="1" applyNumberFormat="1" applyFont="1" applyFill="1" applyBorder="1" applyAlignment="1">
      <alignment horizontal="center"/>
    </xf>
    <xf numFmtId="0" fontId="2" fillId="0" borderId="3" xfId="1" applyFont="1" applyBorder="1"/>
    <xf numFmtId="0" fontId="9" fillId="0" borderId="1" xfId="1" applyNumberFormat="1" applyFont="1" applyBorder="1"/>
    <xf numFmtId="0" fontId="9" fillId="0" borderId="1" xfId="1" applyFont="1" applyBorder="1" applyAlignment="1">
      <alignment horizontal="center"/>
    </xf>
    <xf numFmtId="0" fontId="9" fillId="0" borderId="1" xfId="1" applyFont="1" applyBorder="1"/>
    <xf numFmtId="3" fontId="9" fillId="0" borderId="1" xfId="2" applyNumberFormat="1" applyFont="1" applyBorder="1"/>
    <xf numFmtId="0" fontId="10" fillId="0" borderId="0" xfId="1" applyNumberFormat="1" applyFont="1" applyFill="1" applyBorder="1" applyAlignment="1"/>
    <xf numFmtId="3" fontId="9" fillId="0" borderId="1" xfId="2" applyNumberFormat="1" applyFont="1" applyFill="1" applyBorder="1"/>
    <xf numFmtId="0" fontId="11" fillId="0" borderId="1" xfId="1" applyNumberFormat="1" applyFont="1" applyFill="1" applyBorder="1" applyAlignment="1">
      <alignment horizontal="center"/>
    </xf>
    <xf numFmtId="0" fontId="11" fillId="0" borderId="1" xfId="1" applyFont="1" applyBorder="1" applyAlignment="1">
      <alignment horizontal="center"/>
    </xf>
    <xf numFmtId="3" fontId="11" fillId="0" borderId="1" xfId="2" applyNumberFormat="1" applyFont="1" applyFill="1" applyBorder="1" applyAlignment="1">
      <alignment horizontal="right"/>
    </xf>
    <xf numFmtId="3" fontId="8" fillId="0" borderId="2" xfId="1" applyNumberFormat="1" applyFont="1" applyFill="1" applyBorder="1" applyAlignment="1">
      <alignment horizontal="right"/>
    </xf>
    <xf numFmtId="0" fontId="2" fillId="0" borderId="0" xfId="1" applyNumberFormat="1" applyFont="1" applyFill="1" applyBorder="1" applyAlignment="1">
      <alignment horizontal="center"/>
    </xf>
    <xf numFmtId="3" fontId="2" fillId="0" borderId="0" xfId="1" applyNumberFormat="1" applyFont="1" applyFill="1" applyBorder="1" applyAlignment="1"/>
    <xf numFmtId="0" fontId="10" fillId="0" borderId="1" xfId="1" applyNumberFormat="1" applyFont="1" applyBorder="1"/>
    <xf numFmtId="0" fontId="10" fillId="0" borderId="1" xfId="1" applyFont="1" applyBorder="1" applyAlignment="1">
      <alignment horizontal="center"/>
    </xf>
    <xf numFmtId="0" fontId="10" fillId="0" borderId="1" xfId="1" applyFont="1" applyBorder="1"/>
    <xf numFmtId="3" fontId="10" fillId="0" borderId="1" xfId="2" applyNumberFormat="1" applyFont="1" applyBorder="1"/>
    <xf numFmtId="0" fontId="10" fillId="0" borderId="3" xfId="1" applyFont="1" applyBorder="1"/>
    <xf numFmtId="0" fontId="10" fillId="0" borderId="3" xfId="1" applyNumberFormat="1" applyFont="1" applyBorder="1"/>
    <xf numFmtId="0" fontId="10" fillId="0" borderId="3" xfId="1" applyFont="1" applyBorder="1" applyAlignment="1">
      <alignment horizontal="center"/>
    </xf>
    <xf numFmtId="3" fontId="10" fillId="0" borderId="3" xfId="2" applyNumberFormat="1" applyFont="1" applyBorder="1"/>
    <xf numFmtId="3" fontId="9" fillId="3" borderId="1" xfId="2" applyNumberFormat="1" applyFont="1" applyFill="1" applyBorder="1"/>
    <xf numFmtId="3" fontId="10" fillId="3" borderId="1" xfId="2" applyNumberFormat="1" applyFont="1" applyFill="1" applyBorder="1"/>
    <xf numFmtId="14" fontId="10" fillId="0" borderId="0" xfId="1" applyNumberFormat="1" applyFont="1" applyFill="1" applyBorder="1" applyAlignment="1"/>
    <xf numFmtId="14" fontId="2" fillId="0" borderId="0" xfId="1" applyNumberFormat="1" applyFont="1" applyFill="1" applyBorder="1" applyAlignment="1"/>
    <xf numFmtId="177" fontId="2" fillId="0" borderId="0" xfId="1" applyNumberFormat="1" applyFont="1" applyFill="1" applyBorder="1" applyAlignment="1"/>
    <xf numFmtId="2" fontId="2" fillId="0" borderId="0" xfId="1" applyNumberFormat="1" applyFont="1" applyFill="1" applyBorder="1" applyAlignment="1"/>
    <xf numFmtId="176" fontId="2" fillId="0" borderId="0" xfId="3" applyFont="1" applyFill="1" applyBorder="1" applyAlignment="1"/>
    <xf numFmtId="3" fontId="9" fillId="4" borderId="1" xfId="2" applyNumberFormat="1" applyFont="1" applyFill="1" applyBorder="1"/>
    <xf numFmtId="176" fontId="2" fillId="0" borderId="0" xfId="1" applyNumberFormat="1" applyFont="1" applyFill="1" applyBorder="1" applyAlignment="1"/>
    <xf numFmtId="3" fontId="10" fillId="0" borderId="0" xfId="1" applyNumberFormat="1" applyFont="1" applyFill="1" applyBorder="1" applyAlignment="1"/>
    <xf numFmtId="0" fontId="9" fillId="0" borderId="0" xfId="1" applyNumberFormat="1" applyFont="1" applyFill="1" applyBorder="1" applyAlignment="1"/>
    <xf numFmtId="0" fontId="9" fillId="0" borderId="3" xfId="1" applyNumberFormat="1" applyFont="1" applyBorder="1"/>
    <xf numFmtId="0" fontId="9" fillId="0" borderId="3" xfId="1" applyFont="1" applyBorder="1" applyAlignment="1">
      <alignment horizontal="center"/>
    </xf>
    <xf numFmtId="0" fontId="9" fillId="0" borderId="3" xfId="1" applyFont="1" applyBorder="1"/>
    <xf numFmtId="3" fontId="9" fillId="0" borderId="3" xfId="2" applyNumberFormat="1" applyFont="1" applyBorder="1"/>
    <xf numFmtId="3" fontId="9" fillId="0" borderId="0" xfId="1" applyNumberFormat="1" applyFont="1" applyFill="1" applyBorder="1" applyAlignment="1"/>
    <xf numFmtId="14" fontId="9" fillId="0" borderId="0" xfId="1" applyNumberFormat="1" applyFont="1" applyFill="1" applyBorder="1" applyAlignment="1"/>
    <xf numFmtId="177" fontId="9" fillId="0" borderId="0" xfId="1" applyNumberFormat="1" applyFont="1" applyFill="1" applyBorder="1" applyAlignment="1"/>
    <xf numFmtId="2" fontId="9" fillId="0" borderId="0" xfId="1" applyNumberFormat="1" applyFont="1" applyFill="1" applyBorder="1" applyAlignment="1"/>
    <xf numFmtId="176" fontId="9" fillId="0" borderId="0" xfId="3" applyFont="1" applyFill="1" applyBorder="1" applyAlignment="1"/>
    <xf numFmtId="0" fontId="13" fillId="0" borderId="0" xfId="1" applyNumberFormat="1" applyFont="1" applyFill="1" applyBorder="1" applyAlignment="1"/>
    <xf numFmtId="0" fontId="13" fillId="0" borderId="1" xfId="1" applyNumberFormat="1" applyFont="1" applyBorder="1"/>
    <xf numFmtId="0" fontId="13" fillId="0" borderId="1" xfId="1" applyFont="1" applyBorder="1"/>
    <xf numFmtId="3" fontId="13" fillId="0" borderId="1" xfId="2" applyNumberFormat="1" applyFont="1" applyBorder="1"/>
    <xf numFmtId="0" fontId="13" fillId="0" borderId="3" xfId="1" applyFont="1" applyBorder="1"/>
    <xf numFmtId="0" fontId="10" fillId="0" borderId="0" xfId="1" applyNumberFormat="1" applyFont="1" applyFill="1" applyBorder="1" applyAlignment="1">
      <alignment vertical="center"/>
    </xf>
    <xf numFmtId="0" fontId="10" fillId="0" borderId="1" xfId="1" applyNumberFormat="1" applyFont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3" fontId="10" fillId="0" borderId="1" xfId="2" applyNumberFormat="1" applyFont="1" applyBorder="1" applyAlignment="1">
      <alignment vertical="center"/>
    </xf>
    <xf numFmtId="3" fontId="10" fillId="3" borderId="1" xfId="2" applyNumberFormat="1" applyFont="1" applyFill="1" applyBorder="1" applyAlignment="1">
      <alignment vertical="center"/>
    </xf>
    <xf numFmtId="0" fontId="10" fillId="0" borderId="3" xfId="1" applyFont="1" applyBorder="1" applyAlignment="1">
      <alignment vertical="center"/>
    </xf>
    <xf numFmtId="14" fontId="10" fillId="0" borderId="0" xfId="1" applyNumberFormat="1" applyFont="1" applyFill="1" applyBorder="1" applyAlignment="1">
      <alignment vertical="center"/>
    </xf>
    <xf numFmtId="176" fontId="9" fillId="0" borderId="0" xfId="1" applyNumberFormat="1" applyFont="1" applyFill="1" applyBorder="1" applyAlignment="1"/>
    <xf numFmtId="0" fontId="12" fillId="0" borderId="0" xfId="0" applyFont="1"/>
    <xf numFmtId="41" fontId="12" fillId="0" borderId="0" xfId="4" applyFont="1"/>
    <xf numFmtId="0" fontId="14" fillId="0" borderId="0" xfId="0" applyFont="1"/>
    <xf numFmtId="0" fontId="0" fillId="2" borderId="0" xfId="0" applyFill="1"/>
    <xf numFmtId="3" fontId="0" fillId="0" borderId="0" xfId="0" applyNumberFormat="1"/>
    <xf numFmtId="0" fontId="0" fillId="0" borderId="0" xfId="0" applyAlignment="1">
      <alignment vertical="center"/>
    </xf>
    <xf numFmtId="0" fontId="15" fillId="0" borderId="0" xfId="0" applyFont="1"/>
    <xf numFmtId="0" fontId="16" fillId="6" borderId="4" xfId="1" applyNumberFormat="1" applyFont="1" applyFill="1" applyBorder="1" applyAlignment="1">
      <alignment horizontal="center" vertical="center"/>
    </xf>
    <xf numFmtId="3" fontId="16" fillId="6" borderId="4" xfId="1" applyNumberFormat="1" applyFont="1" applyFill="1" applyBorder="1" applyAlignment="1">
      <alignment horizontal="center" vertical="center"/>
    </xf>
    <xf numFmtId="0" fontId="16" fillId="6" borderId="4" xfId="1" applyNumberFormat="1" applyFont="1" applyFill="1" applyBorder="1" applyAlignment="1">
      <alignment horizontal="center" vertical="center" wrapText="1"/>
    </xf>
    <xf numFmtId="0" fontId="17" fillId="5" borderId="4" xfId="1" applyNumberFormat="1" applyFont="1" applyFill="1" applyBorder="1" applyAlignment="1">
      <alignment vertical="center"/>
    </xf>
    <xf numFmtId="0" fontId="17" fillId="5" borderId="4" xfId="1" applyFont="1" applyFill="1" applyBorder="1" applyAlignment="1">
      <alignment vertical="center"/>
    </xf>
    <xf numFmtId="3" fontId="17" fillId="5" borderId="4" xfId="2" applyNumberFormat="1" applyFont="1" applyFill="1" applyBorder="1" applyAlignment="1">
      <alignment vertical="center"/>
    </xf>
    <xf numFmtId="0" fontId="17" fillId="5" borderId="4" xfId="0" applyFont="1" applyFill="1" applyBorder="1"/>
    <xf numFmtId="41" fontId="16" fillId="5" borderId="4" xfId="4" applyFont="1" applyFill="1" applyBorder="1"/>
    <xf numFmtId="0" fontId="17" fillId="0" borderId="4" xfId="1" applyNumberFormat="1" applyFont="1" applyFill="1" applyBorder="1" applyAlignment="1"/>
    <xf numFmtId="0" fontId="17" fillId="0" borderId="4" xfId="1" applyNumberFormat="1" applyFont="1" applyBorder="1"/>
    <xf numFmtId="0" fontId="17" fillId="0" borderId="4" xfId="1" applyFont="1" applyBorder="1"/>
    <xf numFmtId="3" fontId="17" fillId="2" borderId="4" xfId="2" applyNumberFormat="1" applyFont="1" applyFill="1" applyBorder="1"/>
    <xf numFmtId="14" fontId="17" fillId="0" borderId="4" xfId="0" applyNumberFormat="1" applyFont="1" applyBorder="1"/>
    <xf numFmtId="0" fontId="17" fillId="0" borderId="4" xfId="0" applyFont="1" applyBorder="1"/>
    <xf numFmtId="41" fontId="17" fillId="0" borderId="4" xfId="4" applyFont="1" applyBorder="1"/>
    <xf numFmtId="0" fontId="17" fillId="5" borderId="4" xfId="1" applyNumberFormat="1" applyFont="1" applyFill="1" applyBorder="1" applyAlignment="1"/>
    <xf numFmtId="0" fontId="17" fillId="5" borderId="4" xfId="1" applyNumberFormat="1" applyFont="1" applyFill="1" applyBorder="1"/>
    <xf numFmtId="0" fontId="17" fillId="5" borderId="4" xfId="1" applyFont="1" applyFill="1" applyBorder="1"/>
    <xf numFmtId="3" fontId="17" fillId="5" borderId="4" xfId="2" applyNumberFormat="1" applyFont="1" applyFill="1" applyBorder="1"/>
    <xf numFmtId="14" fontId="17" fillId="5" borderId="4" xfId="0" applyNumberFormat="1" applyFont="1" applyFill="1" applyBorder="1"/>
    <xf numFmtId="3" fontId="17" fillId="0" borderId="4" xfId="2" applyNumberFormat="1" applyFont="1" applyBorder="1"/>
    <xf numFmtId="41" fontId="17" fillId="5" borderId="4" xfId="4" applyFont="1" applyFill="1" applyBorder="1"/>
    <xf numFmtId="0" fontId="17" fillId="2" borderId="4" xfId="1" applyNumberFormat="1" applyFont="1" applyFill="1" applyBorder="1" applyAlignment="1"/>
    <xf numFmtId="0" fontId="17" fillId="2" borderId="4" xfId="1" applyNumberFormat="1" applyFont="1" applyFill="1" applyBorder="1"/>
    <xf numFmtId="0" fontId="17" fillId="2" borderId="4" xfId="1" applyFont="1" applyFill="1" applyBorder="1"/>
    <xf numFmtId="14" fontId="17" fillId="2" borderId="4" xfId="0" applyNumberFormat="1" applyFont="1" applyFill="1" applyBorder="1"/>
    <xf numFmtId="0" fontId="16" fillId="6" borderId="4" xfId="0" applyFont="1" applyFill="1" applyBorder="1"/>
    <xf numFmtId="3" fontId="16" fillId="6" borderId="4" xfId="0" applyNumberFormat="1" applyFont="1" applyFill="1" applyBorder="1"/>
    <xf numFmtId="41" fontId="16" fillId="6" borderId="4" xfId="4" applyFont="1" applyFill="1" applyBorder="1"/>
    <xf numFmtId="0" fontId="12" fillId="2" borderId="0" xfId="0" applyFont="1" applyFill="1"/>
    <xf numFmtId="4" fontId="5" fillId="2" borderId="0" xfId="2" applyNumberFormat="1" applyFont="1" applyFill="1" applyBorder="1" applyAlignment="1">
      <alignment horizontal="center"/>
    </xf>
    <xf numFmtId="4" fontId="6" fillId="2" borderId="0" xfId="2" applyNumberFormat="1" applyFont="1" applyFill="1" applyBorder="1" applyAlignment="1">
      <alignment horizontal="center"/>
    </xf>
    <xf numFmtId="4" fontId="7" fillId="2" borderId="0" xfId="2" applyNumberFormat="1" applyFont="1" applyFill="1" applyBorder="1" applyAlignment="1">
      <alignment horizontal="center"/>
    </xf>
    <xf numFmtId="9" fontId="12" fillId="0" borderId="0" xfId="5" applyFont="1" applyAlignment="1"/>
  </cellXfs>
  <cellStyles count="6">
    <cellStyle name="Comma 2" xfId="2" xr:uid="{00000000-0005-0000-0000-000002000000}"/>
    <cellStyle name="Normal 2" xfId="1" xr:uid="{00000000-0005-0000-0000-000004000000}"/>
    <cellStyle name="백분율" xfId="5" builtinId="5"/>
    <cellStyle name="쉼표" xfId="3" builtinId="3"/>
    <cellStyle name="쉼표 [0]" xfId="4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8"/>
  <sheetViews>
    <sheetView topLeftCell="B1" zoomScaleNormal="100" workbookViewId="0">
      <pane ySplit="8" topLeftCell="A27" activePane="bottomLeft" state="frozen"/>
      <selection activeCell="B1" sqref="B1"/>
      <selection pane="bottomLeft" activeCell="L49" sqref="K49:L49"/>
    </sheetView>
  </sheetViews>
  <sheetFormatPr defaultRowHeight="12.75" x14ac:dyDescent="0.2"/>
  <cols>
    <col min="1" max="1" width="0" style="1" hidden="1" customWidth="1"/>
    <col min="2" max="2" width="9.125" style="1"/>
    <col min="3" max="3" width="19" style="1" customWidth="1"/>
    <col min="4" max="4" width="13.375" style="1" customWidth="1"/>
    <col min="5" max="5" width="15.875" style="28" customWidth="1"/>
    <col min="6" max="6" width="80.375" style="1" customWidth="1"/>
    <col min="7" max="7" width="14.875" style="29" customWidth="1"/>
    <col min="8" max="9" width="15.125" style="29" customWidth="1"/>
    <col min="10" max="10" width="35.125" style="1" customWidth="1"/>
    <col min="11" max="11" width="9.625" style="1" bestFit="1" customWidth="1"/>
    <col min="12" max="13" width="9.125" style="1"/>
    <col min="14" max="14" width="12.875" style="1" bestFit="1" customWidth="1"/>
    <col min="15" max="235" width="9.125" style="1"/>
    <col min="236" max="236" width="0" style="1" hidden="1" customWidth="1"/>
    <col min="237" max="237" width="10.125" style="1" customWidth="1"/>
    <col min="238" max="238" width="15.875" style="1" customWidth="1"/>
    <col min="239" max="239" width="0" style="1" hidden="1" customWidth="1"/>
    <col min="240" max="240" width="80.375" style="1" customWidth="1"/>
    <col min="241" max="245" width="0" style="1" hidden="1" customWidth="1"/>
    <col min="246" max="246" width="14.875" style="1" customWidth="1"/>
    <col min="247" max="247" width="15.125" style="1" customWidth="1"/>
    <col min="248" max="260" width="0" style="1" hidden="1" customWidth="1"/>
    <col min="261" max="261" width="17.25" style="1" customWidth="1"/>
    <col min="262" max="262" width="17" style="1" customWidth="1"/>
    <col min="263" max="263" width="11.375" style="1" customWidth="1"/>
    <col min="264" max="491" width="9.125" style="1"/>
    <col min="492" max="492" width="0" style="1" hidden="1" customWidth="1"/>
    <col min="493" max="493" width="10.125" style="1" customWidth="1"/>
    <col min="494" max="494" width="15.875" style="1" customWidth="1"/>
    <col min="495" max="495" width="0" style="1" hidden="1" customWidth="1"/>
    <col min="496" max="496" width="80.375" style="1" customWidth="1"/>
    <col min="497" max="501" width="0" style="1" hidden="1" customWidth="1"/>
    <col min="502" max="502" width="14.875" style="1" customWidth="1"/>
    <col min="503" max="503" width="15.125" style="1" customWidth="1"/>
    <col min="504" max="516" width="0" style="1" hidden="1" customWidth="1"/>
    <col min="517" max="517" width="17.25" style="1" customWidth="1"/>
    <col min="518" max="518" width="17" style="1" customWidth="1"/>
    <col min="519" max="519" width="11.375" style="1" customWidth="1"/>
    <col min="520" max="747" width="9.125" style="1"/>
    <col min="748" max="748" width="0" style="1" hidden="1" customWidth="1"/>
    <col min="749" max="749" width="10.125" style="1" customWidth="1"/>
    <col min="750" max="750" width="15.875" style="1" customWidth="1"/>
    <col min="751" max="751" width="0" style="1" hidden="1" customWidth="1"/>
    <col min="752" max="752" width="80.375" style="1" customWidth="1"/>
    <col min="753" max="757" width="0" style="1" hidden="1" customWidth="1"/>
    <col min="758" max="758" width="14.875" style="1" customWidth="1"/>
    <col min="759" max="759" width="15.125" style="1" customWidth="1"/>
    <col min="760" max="772" width="0" style="1" hidden="1" customWidth="1"/>
    <col min="773" max="773" width="17.25" style="1" customWidth="1"/>
    <col min="774" max="774" width="17" style="1" customWidth="1"/>
    <col min="775" max="775" width="11.375" style="1" customWidth="1"/>
    <col min="776" max="1003" width="9.125" style="1"/>
    <col min="1004" max="1004" width="0" style="1" hidden="1" customWidth="1"/>
    <col min="1005" max="1005" width="10.125" style="1" customWidth="1"/>
    <col min="1006" max="1006" width="15.875" style="1" customWidth="1"/>
    <col min="1007" max="1007" width="0" style="1" hidden="1" customWidth="1"/>
    <col min="1008" max="1008" width="80.375" style="1" customWidth="1"/>
    <col min="1009" max="1013" width="0" style="1" hidden="1" customWidth="1"/>
    <col min="1014" max="1014" width="14.875" style="1" customWidth="1"/>
    <col min="1015" max="1015" width="15.125" style="1" customWidth="1"/>
    <col min="1016" max="1028" width="0" style="1" hidden="1" customWidth="1"/>
    <col min="1029" max="1029" width="17.25" style="1" customWidth="1"/>
    <col min="1030" max="1030" width="17" style="1" customWidth="1"/>
    <col min="1031" max="1031" width="11.375" style="1" customWidth="1"/>
    <col min="1032" max="1259" width="9.125" style="1"/>
    <col min="1260" max="1260" width="0" style="1" hidden="1" customWidth="1"/>
    <col min="1261" max="1261" width="10.125" style="1" customWidth="1"/>
    <col min="1262" max="1262" width="15.875" style="1" customWidth="1"/>
    <col min="1263" max="1263" width="0" style="1" hidden="1" customWidth="1"/>
    <col min="1264" max="1264" width="80.375" style="1" customWidth="1"/>
    <col min="1265" max="1269" width="0" style="1" hidden="1" customWidth="1"/>
    <col min="1270" max="1270" width="14.875" style="1" customWidth="1"/>
    <col min="1271" max="1271" width="15.125" style="1" customWidth="1"/>
    <col min="1272" max="1284" width="0" style="1" hidden="1" customWidth="1"/>
    <col min="1285" max="1285" width="17.25" style="1" customWidth="1"/>
    <col min="1286" max="1286" width="17" style="1" customWidth="1"/>
    <col min="1287" max="1287" width="11.375" style="1" customWidth="1"/>
    <col min="1288" max="1515" width="9.125" style="1"/>
    <col min="1516" max="1516" width="0" style="1" hidden="1" customWidth="1"/>
    <col min="1517" max="1517" width="10.125" style="1" customWidth="1"/>
    <col min="1518" max="1518" width="15.875" style="1" customWidth="1"/>
    <col min="1519" max="1519" width="0" style="1" hidden="1" customWidth="1"/>
    <col min="1520" max="1520" width="80.375" style="1" customWidth="1"/>
    <col min="1521" max="1525" width="0" style="1" hidden="1" customWidth="1"/>
    <col min="1526" max="1526" width="14.875" style="1" customWidth="1"/>
    <col min="1527" max="1527" width="15.125" style="1" customWidth="1"/>
    <col min="1528" max="1540" width="0" style="1" hidden="1" customWidth="1"/>
    <col min="1541" max="1541" width="17.25" style="1" customWidth="1"/>
    <col min="1542" max="1542" width="17" style="1" customWidth="1"/>
    <col min="1543" max="1543" width="11.375" style="1" customWidth="1"/>
    <col min="1544" max="1771" width="9.125" style="1"/>
    <col min="1772" max="1772" width="0" style="1" hidden="1" customWidth="1"/>
    <col min="1773" max="1773" width="10.125" style="1" customWidth="1"/>
    <col min="1774" max="1774" width="15.875" style="1" customWidth="1"/>
    <col min="1775" max="1775" width="0" style="1" hidden="1" customWidth="1"/>
    <col min="1776" max="1776" width="80.375" style="1" customWidth="1"/>
    <col min="1777" max="1781" width="0" style="1" hidden="1" customWidth="1"/>
    <col min="1782" max="1782" width="14.875" style="1" customWidth="1"/>
    <col min="1783" max="1783" width="15.125" style="1" customWidth="1"/>
    <col min="1784" max="1796" width="0" style="1" hidden="1" customWidth="1"/>
    <col min="1797" max="1797" width="17.25" style="1" customWidth="1"/>
    <col min="1798" max="1798" width="17" style="1" customWidth="1"/>
    <col min="1799" max="1799" width="11.375" style="1" customWidth="1"/>
    <col min="1800" max="2027" width="9.125" style="1"/>
    <col min="2028" max="2028" width="0" style="1" hidden="1" customWidth="1"/>
    <col min="2029" max="2029" width="10.125" style="1" customWidth="1"/>
    <col min="2030" max="2030" width="15.875" style="1" customWidth="1"/>
    <col min="2031" max="2031" width="0" style="1" hidden="1" customWidth="1"/>
    <col min="2032" max="2032" width="80.375" style="1" customWidth="1"/>
    <col min="2033" max="2037" width="0" style="1" hidden="1" customWidth="1"/>
    <col min="2038" max="2038" width="14.875" style="1" customWidth="1"/>
    <col min="2039" max="2039" width="15.125" style="1" customWidth="1"/>
    <col min="2040" max="2052" width="0" style="1" hidden="1" customWidth="1"/>
    <col min="2053" max="2053" width="17.25" style="1" customWidth="1"/>
    <col min="2054" max="2054" width="17" style="1" customWidth="1"/>
    <col min="2055" max="2055" width="11.375" style="1" customWidth="1"/>
    <col min="2056" max="2283" width="9.125" style="1"/>
    <col min="2284" max="2284" width="0" style="1" hidden="1" customWidth="1"/>
    <col min="2285" max="2285" width="10.125" style="1" customWidth="1"/>
    <col min="2286" max="2286" width="15.875" style="1" customWidth="1"/>
    <col min="2287" max="2287" width="0" style="1" hidden="1" customWidth="1"/>
    <col min="2288" max="2288" width="80.375" style="1" customWidth="1"/>
    <col min="2289" max="2293" width="0" style="1" hidden="1" customWidth="1"/>
    <col min="2294" max="2294" width="14.875" style="1" customWidth="1"/>
    <col min="2295" max="2295" width="15.125" style="1" customWidth="1"/>
    <col min="2296" max="2308" width="0" style="1" hidden="1" customWidth="1"/>
    <col min="2309" max="2309" width="17.25" style="1" customWidth="1"/>
    <col min="2310" max="2310" width="17" style="1" customWidth="1"/>
    <col min="2311" max="2311" width="11.375" style="1" customWidth="1"/>
    <col min="2312" max="2539" width="9.125" style="1"/>
    <col min="2540" max="2540" width="0" style="1" hidden="1" customWidth="1"/>
    <col min="2541" max="2541" width="10.125" style="1" customWidth="1"/>
    <col min="2542" max="2542" width="15.875" style="1" customWidth="1"/>
    <col min="2543" max="2543" width="0" style="1" hidden="1" customWidth="1"/>
    <col min="2544" max="2544" width="80.375" style="1" customWidth="1"/>
    <col min="2545" max="2549" width="0" style="1" hidden="1" customWidth="1"/>
    <col min="2550" max="2550" width="14.875" style="1" customWidth="1"/>
    <col min="2551" max="2551" width="15.125" style="1" customWidth="1"/>
    <col min="2552" max="2564" width="0" style="1" hidden="1" customWidth="1"/>
    <col min="2565" max="2565" width="17.25" style="1" customWidth="1"/>
    <col min="2566" max="2566" width="17" style="1" customWidth="1"/>
    <col min="2567" max="2567" width="11.375" style="1" customWidth="1"/>
    <col min="2568" max="2795" width="9.125" style="1"/>
    <col min="2796" max="2796" width="0" style="1" hidden="1" customWidth="1"/>
    <col min="2797" max="2797" width="10.125" style="1" customWidth="1"/>
    <col min="2798" max="2798" width="15.875" style="1" customWidth="1"/>
    <col min="2799" max="2799" width="0" style="1" hidden="1" customWidth="1"/>
    <col min="2800" max="2800" width="80.375" style="1" customWidth="1"/>
    <col min="2801" max="2805" width="0" style="1" hidden="1" customWidth="1"/>
    <col min="2806" max="2806" width="14.875" style="1" customWidth="1"/>
    <col min="2807" max="2807" width="15.125" style="1" customWidth="1"/>
    <col min="2808" max="2820" width="0" style="1" hidden="1" customWidth="1"/>
    <col min="2821" max="2821" width="17.25" style="1" customWidth="1"/>
    <col min="2822" max="2822" width="17" style="1" customWidth="1"/>
    <col min="2823" max="2823" width="11.375" style="1" customWidth="1"/>
    <col min="2824" max="3051" width="9.125" style="1"/>
    <col min="3052" max="3052" width="0" style="1" hidden="1" customWidth="1"/>
    <col min="3053" max="3053" width="10.125" style="1" customWidth="1"/>
    <col min="3054" max="3054" width="15.875" style="1" customWidth="1"/>
    <col min="3055" max="3055" width="0" style="1" hidden="1" customWidth="1"/>
    <col min="3056" max="3056" width="80.375" style="1" customWidth="1"/>
    <col min="3057" max="3061" width="0" style="1" hidden="1" customWidth="1"/>
    <col min="3062" max="3062" width="14.875" style="1" customWidth="1"/>
    <col min="3063" max="3063" width="15.125" style="1" customWidth="1"/>
    <col min="3064" max="3076" width="0" style="1" hidden="1" customWidth="1"/>
    <col min="3077" max="3077" width="17.25" style="1" customWidth="1"/>
    <col min="3078" max="3078" width="17" style="1" customWidth="1"/>
    <col min="3079" max="3079" width="11.375" style="1" customWidth="1"/>
    <col min="3080" max="3307" width="9.125" style="1"/>
    <col min="3308" max="3308" width="0" style="1" hidden="1" customWidth="1"/>
    <col min="3309" max="3309" width="10.125" style="1" customWidth="1"/>
    <col min="3310" max="3310" width="15.875" style="1" customWidth="1"/>
    <col min="3311" max="3311" width="0" style="1" hidden="1" customWidth="1"/>
    <col min="3312" max="3312" width="80.375" style="1" customWidth="1"/>
    <col min="3313" max="3317" width="0" style="1" hidden="1" customWidth="1"/>
    <col min="3318" max="3318" width="14.875" style="1" customWidth="1"/>
    <col min="3319" max="3319" width="15.125" style="1" customWidth="1"/>
    <col min="3320" max="3332" width="0" style="1" hidden="1" customWidth="1"/>
    <col min="3333" max="3333" width="17.25" style="1" customWidth="1"/>
    <col min="3334" max="3334" width="17" style="1" customWidth="1"/>
    <col min="3335" max="3335" width="11.375" style="1" customWidth="1"/>
    <col min="3336" max="3563" width="9.125" style="1"/>
    <col min="3564" max="3564" width="0" style="1" hidden="1" customWidth="1"/>
    <col min="3565" max="3565" width="10.125" style="1" customWidth="1"/>
    <col min="3566" max="3566" width="15.875" style="1" customWidth="1"/>
    <col min="3567" max="3567" width="0" style="1" hidden="1" customWidth="1"/>
    <col min="3568" max="3568" width="80.375" style="1" customWidth="1"/>
    <col min="3569" max="3573" width="0" style="1" hidden="1" customWidth="1"/>
    <col min="3574" max="3574" width="14.875" style="1" customWidth="1"/>
    <col min="3575" max="3575" width="15.125" style="1" customWidth="1"/>
    <col min="3576" max="3588" width="0" style="1" hidden="1" customWidth="1"/>
    <col min="3589" max="3589" width="17.25" style="1" customWidth="1"/>
    <col min="3590" max="3590" width="17" style="1" customWidth="1"/>
    <col min="3591" max="3591" width="11.375" style="1" customWidth="1"/>
    <col min="3592" max="3819" width="9.125" style="1"/>
    <col min="3820" max="3820" width="0" style="1" hidden="1" customWidth="1"/>
    <col min="3821" max="3821" width="10.125" style="1" customWidth="1"/>
    <col min="3822" max="3822" width="15.875" style="1" customWidth="1"/>
    <col min="3823" max="3823" width="0" style="1" hidden="1" customWidth="1"/>
    <col min="3824" max="3824" width="80.375" style="1" customWidth="1"/>
    <col min="3825" max="3829" width="0" style="1" hidden="1" customWidth="1"/>
    <col min="3830" max="3830" width="14.875" style="1" customWidth="1"/>
    <col min="3831" max="3831" width="15.125" style="1" customWidth="1"/>
    <col min="3832" max="3844" width="0" style="1" hidden="1" customWidth="1"/>
    <col min="3845" max="3845" width="17.25" style="1" customWidth="1"/>
    <col min="3846" max="3846" width="17" style="1" customWidth="1"/>
    <col min="3847" max="3847" width="11.375" style="1" customWidth="1"/>
    <col min="3848" max="4075" width="9.125" style="1"/>
    <col min="4076" max="4076" width="0" style="1" hidden="1" customWidth="1"/>
    <col min="4077" max="4077" width="10.125" style="1" customWidth="1"/>
    <col min="4078" max="4078" width="15.875" style="1" customWidth="1"/>
    <col min="4079" max="4079" width="0" style="1" hidden="1" customWidth="1"/>
    <col min="4080" max="4080" width="80.375" style="1" customWidth="1"/>
    <col min="4081" max="4085" width="0" style="1" hidden="1" customWidth="1"/>
    <col min="4086" max="4086" width="14.875" style="1" customWidth="1"/>
    <col min="4087" max="4087" width="15.125" style="1" customWidth="1"/>
    <col min="4088" max="4100" width="0" style="1" hidden="1" customWidth="1"/>
    <col min="4101" max="4101" width="17.25" style="1" customWidth="1"/>
    <col min="4102" max="4102" width="17" style="1" customWidth="1"/>
    <col min="4103" max="4103" width="11.375" style="1" customWidth="1"/>
    <col min="4104" max="4331" width="9.125" style="1"/>
    <col min="4332" max="4332" width="0" style="1" hidden="1" customWidth="1"/>
    <col min="4333" max="4333" width="10.125" style="1" customWidth="1"/>
    <col min="4334" max="4334" width="15.875" style="1" customWidth="1"/>
    <col min="4335" max="4335" width="0" style="1" hidden="1" customWidth="1"/>
    <col min="4336" max="4336" width="80.375" style="1" customWidth="1"/>
    <col min="4337" max="4341" width="0" style="1" hidden="1" customWidth="1"/>
    <col min="4342" max="4342" width="14.875" style="1" customWidth="1"/>
    <col min="4343" max="4343" width="15.125" style="1" customWidth="1"/>
    <col min="4344" max="4356" width="0" style="1" hidden="1" customWidth="1"/>
    <col min="4357" max="4357" width="17.25" style="1" customWidth="1"/>
    <col min="4358" max="4358" width="17" style="1" customWidth="1"/>
    <col min="4359" max="4359" width="11.375" style="1" customWidth="1"/>
    <col min="4360" max="4587" width="9.125" style="1"/>
    <col min="4588" max="4588" width="0" style="1" hidden="1" customWidth="1"/>
    <col min="4589" max="4589" width="10.125" style="1" customWidth="1"/>
    <col min="4590" max="4590" width="15.875" style="1" customWidth="1"/>
    <col min="4591" max="4591" width="0" style="1" hidden="1" customWidth="1"/>
    <col min="4592" max="4592" width="80.375" style="1" customWidth="1"/>
    <col min="4593" max="4597" width="0" style="1" hidden="1" customWidth="1"/>
    <col min="4598" max="4598" width="14.875" style="1" customWidth="1"/>
    <col min="4599" max="4599" width="15.125" style="1" customWidth="1"/>
    <col min="4600" max="4612" width="0" style="1" hidden="1" customWidth="1"/>
    <col min="4613" max="4613" width="17.25" style="1" customWidth="1"/>
    <col min="4614" max="4614" width="17" style="1" customWidth="1"/>
    <col min="4615" max="4615" width="11.375" style="1" customWidth="1"/>
    <col min="4616" max="4843" width="9.125" style="1"/>
    <col min="4844" max="4844" width="0" style="1" hidden="1" customWidth="1"/>
    <col min="4845" max="4845" width="10.125" style="1" customWidth="1"/>
    <col min="4846" max="4846" width="15.875" style="1" customWidth="1"/>
    <col min="4847" max="4847" width="0" style="1" hidden="1" customWidth="1"/>
    <col min="4848" max="4848" width="80.375" style="1" customWidth="1"/>
    <col min="4849" max="4853" width="0" style="1" hidden="1" customWidth="1"/>
    <col min="4854" max="4854" width="14.875" style="1" customWidth="1"/>
    <col min="4855" max="4855" width="15.125" style="1" customWidth="1"/>
    <col min="4856" max="4868" width="0" style="1" hidden="1" customWidth="1"/>
    <col min="4869" max="4869" width="17.25" style="1" customWidth="1"/>
    <col min="4870" max="4870" width="17" style="1" customWidth="1"/>
    <col min="4871" max="4871" width="11.375" style="1" customWidth="1"/>
    <col min="4872" max="5099" width="9.125" style="1"/>
    <col min="5100" max="5100" width="0" style="1" hidden="1" customWidth="1"/>
    <col min="5101" max="5101" width="10.125" style="1" customWidth="1"/>
    <col min="5102" max="5102" width="15.875" style="1" customWidth="1"/>
    <col min="5103" max="5103" width="0" style="1" hidden="1" customWidth="1"/>
    <col min="5104" max="5104" width="80.375" style="1" customWidth="1"/>
    <col min="5105" max="5109" width="0" style="1" hidden="1" customWidth="1"/>
    <col min="5110" max="5110" width="14.875" style="1" customWidth="1"/>
    <col min="5111" max="5111" width="15.125" style="1" customWidth="1"/>
    <col min="5112" max="5124" width="0" style="1" hidden="1" customWidth="1"/>
    <col min="5125" max="5125" width="17.25" style="1" customWidth="1"/>
    <col min="5126" max="5126" width="17" style="1" customWidth="1"/>
    <col min="5127" max="5127" width="11.375" style="1" customWidth="1"/>
    <col min="5128" max="5355" width="9.125" style="1"/>
    <col min="5356" max="5356" width="0" style="1" hidden="1" customWidth="1"/>
    <col min="5357" max="5357" width="10.125" style="1" customWidth="1"/>
    <col min="5358" max="5358" width="15.875" style="1" customWidth="1"/>
    <col min="5359" max="5359" width="0" style="1" hidden="1" customWidth="1"/>
    <col min="5360" max="5360" width="80.375" style="1" customWidth="1"/>
    <col min="5361" max="5365" width="0" style="1" hidden="1" customWidth="1"/>
    <col min="5366" max="5366" width="14.875" style="1" customWidth="1"/>
    <col min="5367" max="5367" width="15.125" style="1" customWidth="1"/>
    <col min="5368" max="5380" width="0" style="1" hidden="1" customWidth="1"/>
    <col min="5381" max="5381" width="17.25" style="1" customWidth="1"/>
    <col min="5382" max="5382" width="17" style="1" customWidth="1"/>
    <col min="5383" max="5383" width="11.375" style="1" customWidth="1"/>
    <col min="5384" max="5611" width="9.125" style="1"/>
    <col min="5612" max="5612" width="0" style="1" hidden="1" customWidth="1"/>
    <col min="5613" max="5613" width="10.125" style="1" customWidth="1"/>
    <col min="5614" max="5614" width="15.875" style="1" customWidth="1"/>
    <col min="5615" max="5615" width="0" style="1" hidden="1" customWidth="1"/>
    <col min="5616" max="5616" width="80.375" style="1" customWidth="1"/>
    <col min="5617" max="5621" width="0" style="1" hidden="1" customWidth="1"/>
    <col min="5622" max="5622" width="14.875" style="1" customWidth="1"/>
    <col min="5623" max="5623" width="15.125" style="1" customWidth="1"/>
    <col min="5624" max="5636" width="0" style="1" hidden="1" customWidth="1"/>
    <col min="5637" max="5637" width="17.25" style="1" customWidth="1"/>
    <col min="5638" max="5638" width="17" style="1" customWidth="1"/>
    <col min="5639" max="5639" width="11.375" style="1" customWidth="1"/>
    <col min="5640" max="5867" width="9.125" style="1"/>
    <col min="5868" max="5868" width="0" style="1" hidden="1" customWidth="1"/>
    <col min="5869" max="5869" width="10.125" style="1" customWidth="1"/>
    <col min="5870" max="5870" width="15.875" style="1" customWidth="1"/>
    <col min="5871" max="5871" width="0" style="1" hidden="1" customWidth="1"/>
    <col min="5872" max="5872" width="80.375" style="1" customWidth="1"/>
    <col min="5873" max="5877" width="0" style="1" hidden="1" customWidth="1"/>
    <col min="5878" max="5878" width="14.875" style="1" customWidth="1"/>
    <col min="5879" max="5879" width="15.125" style="1" customWidth="1"/>
    <col min="5880" max="5892" width="0" style="1" hidden="1" customWidth="1"/>
    <col min="5893" max="5893" width="17.25" style="1" customWidth="1"/>
    <col min="5894" max="5894" width="17" style="1" customWidth="1"/>
    <col min="5895" max="5895" width="11.375" style="1" customWidth="1"/>
    <col min="5896" max="6123" width="9.125" style="1"/>
    <col min="6124" max="6124" width="0" style="1" hidden="1" customWidth="1"/>
    <col min="6125" max="6125" width="10.125" style="1" customWidth="1"/>
    <col min="6126" max="6126" width="15.875" style="1" customWidth="1"/>
    <col min="6127" max="6127" width="0" style="1" hidden="1" customWidth="1"/>
    <col min="6128" max="6128" width="80.375" style="1" customWidth="1"/>
    <col min="6129" max="6133" width="0" style="1" hidden="1" customWidth="1"/>
    <col min="6134" max="6134" width="14.875" style="1" customWidth="1"/>
    <col min="6135" max="6135" width="15.125" style="1" customWidth="1"/>
    <col min="6136" max="6148" width="0" style="1" hidden="1" customWidth="1"/>
    <col min="6149" max="6149" width="17.25" style="1" customWidth="1"/>
    <col min="6150" max="6150" width="17" style="1" customWidth="1"/>
    <col min="6151" max="6151" width="11.375" style="1" customWidth="1"/>
    <col min="6152" max="6379" width="9.125" style="1"/>
    <col min="6380" max="6380" width="0" style="1" hidden="1" customWidth="1"/>
    <col min="6381" max="6381" width="10.125" style="1" customWidth="1"/>
    <col min="6382" max="6382" width="15.875" style="1" customWidth="1"/>
    <col min="6383" max="6383" width="0" style="1" hidden="1" customWidth="1"/>
    <col min="6384" max="6384" width="80.375" style="1" customWidth="1"/>
    <col min="6385" max="6389" width="0" style="1" hidden="1" customWidth="1"/>
    <col min="6390" max="6390" width="14.875" style="1" customWidth="1"/>
    <col min="6391" max="6391" width="15.125" style="1" customWidth="1"/>
    <col min="6392" max="6404" width="0" style="1" hidden="1" customWidth="1"/>
    <col min="6405" max="6405" width="17.25" style="1" customWidth="1"/>
    <col min="6406" max="6406" width="17" style="1" customWidth="1"/>
    <col min="6407" max="6407" width="11.375" style="1" customWidth="1"/>
    <col min="6408" max="6635" width="9.125" style="1"/>
    <col min="6636" max="6636" width="0" style="1" hidden="1" customWidth="1"/>
    <col min="6637" max="6637" width="10.125" style="1" customWidth="1"/>
    <col min="6638" max="6638" width="15.875" style="1" customWidth="1"/>
    <col min="6639" max="6639" width="0" style="1" hidden="1" customWidth="1"/>
    <col min="6640" max="6640" width="80.375" style="1" customWidth="1"/>
    <col min="6641" max="6645" width="0" style="1" hidden="1" customWidth="1"/>
    <col min="6646" max="6646" width="14.875" style="1" customWidth="1"/>
    <col min="6647" max="6647" width="15.125" style="1" customWidth="1"/>
    <col min="6648" max="6660" width="0" style="1" hidden="1" customWidth="1"/>
    <col min="6661" max="6661" width="17.25" style="1" customWidth="1"/>
    <col min="6662" max="6662" width="17" style="1" customWidth="1"/>
    <col min="6663" max="6663" width="11.375" style="1" customWidth="1"/>
    <col min="6664" max="6891" width="9.125" style="1"/>
    <col min="6892" max="6892" width="0" style="1" hidden="1" customWidth="1"/>
    <col min="6893" max="6893" width="10.125" style="1" customWidth="1"/>
    <col min="6894" max="6894" width="15.875" style="1" customWidth="1"/>
    <col min="6895" max="6895" width="0" style="1" hidden="1" customWidth="1"/>
    <col min="6896" max="6896" width="80.375" style="1" customWidth="1"/>
    <col min="6897" max="6901" width="0" style="1" hidden="1" customWidth="1"/>
    <col min="6902" max="6902" width="14.875" style="1" customWidth="1"/>
    <col min="6903" max="6903" width="15.125" style="1" customWidth="1"/>
    <col min="6904" max="6916" width="0" style="1" hidden="1" customWidth="1"/>
    <col min="6917" max="6917" width="17.25" style="1" customWidth="1"/>
    <col min="6918" max="6918" width="17" style="1" customWidth="1"/>
    <col min="6919" max="6919" width="11.375" style="1" customWidth="1"/>
    <col min="6920" max="7147" width="9.125" style="1"/>
    <col min="7148" max="7148" width="0" style="1" hidden="1" customWidth="1"/>
    <col min="7149" max="7149" width="10.125" style="1" customWidth="1"/>
    <col min="7150" max="7150" width="15.875" style="1" customWidth="1"/>
    <col min="7151" max="7151" width="0" style="1" hidden="1" customWidth="1"/>
    <col min="7152" max="7152" width="80.375" style="1" customWidth="1"/>
    <col min="7153" max="7157" width="0" style="1" hidden="1" customWidth="1"/>
    <col min="7158" max="7158" width="14.875" style="1" customWidth="1"/>
    <col min="7159" max="7159" width="15.125" style="1" customWidth="1"/>
    <col min="7160" max="7172" width="0" style="1" hidden="1" customWidth="1"/>
    <col min="7173" max="7173" width="17.25" style="1" customWidth="1"/>
    <col min="7174" max="7174" width="17" style="1" customWidth="1"/>
    <col min="7175" max="7175" width="11.375" style="1" customWidth="1"/>
    <col min="7176" max="7403" width="9.125" style="1"/>
    <col min="7404" max="7404" width="0" style="1" hidden="1" customWidth="1"/>
    <col min="7405" max="7405" width="10.125" style="1" customWidth="1"/>
    <col min="7406" max="7406" width="15.875" style="1" customWidth="1"/>
    <col min="7407" max="7407" width="0" style="1" hidden="1" customWidth="1"/>
    <col min="7408" max="7408" width="80.375" style="1" customWidth="1"/>
    <col min="7409" max="7413" width="0" style="1" hidden="1" customWidth="1"/>
    <col min="7414" max="7414" width="14.875" style="1" customWidth="1"/>
    <col min="7415" max="7415" width="15.125" style="1" customWidth="1"/>
    <col min="7416" max="7428" width="0" style="1" hidden="1" customWidth="1"/>
    <col min="7429" max="7429" width="17.25" style="1" customWidth="1"/>
    <col min="7430" max="7430" width="17" style="1" customWidth="1"/>
    <col min="7431" max="7431" width="11.375" style="1" customWidth="1"/>
    <col min="7432" max="7659" width="9.125" style="1"/>
    <col min="7660" max="7660" width="0" style="1" hidden="1" customWidth="1"/>
    <col min="7661" max="7661" width="10.125" style="1" customWidth="1"/>
    <col min="7662" max="7662" width="15.875" style="1" customWidth="1"/>
    <col min="7663" max="7663" width="0" style="1" hidden="1" customWidth="1"/>
    <col min="7664" max="7664" width="80.375" style="1" customWidth="1"/>
    <col min="7665" max="7669" width="0" style="1" hidden="1" customWidth="1"/>
    <col min="7670" max="7670" width="14.875" style="1" customWidth="1"/>
    <col min="7671" max="7671" width="15.125" style="1" customWidth="1"/>
    <col min="7672" max="7684" width="0" style="1" hidden="1" customWidth="1"/>
    <col min="7685" max="7685" width="17.25" style="1" customWidth="1"/>
    <col min="7686" max="7686" width="17" style="1" customWidth="1"/>
    <col min="7687" max="7687" width="11.375" style="1" customWidth="1"/>
    <col min="7688" max="7915" width="9.125" style="1"/>
    <col min="7916" max="7916" width="0" style="1" hidden="1" customWidth="1"/>
    <col min="7917" max="7917" width="10.125" style="1" customWidth="1"/>
    <col min="7918" max="7918" width="15.875" style="1" customWidth="1"/>
    <col min="7919" max="7919" width="0" style="1" hidden="1" customWidth="1"/>
    <col min="7920" max="7920" width="80.375" style="1" customWidth="1"/>
    <col min="7921" max="7925" width="0" style="1" hidden="1" customWidth="1"/>
    <col min="7926" max="7926" width="14.875" style="1" customWidth="1"/>
    <col min="7927" max="7927" width="15.125" style="1" customWidth="1"/>
    <col min="7928" max="7940" width="0" style="1" hidden="1" customWidth="1"/>
    <col min="7941" max="7941" width="17.25" style="1" customWidth="1"/>
    <col min="7942" max="7942" width="17" style="1" customWidth="1"/>
    <col min="7943" max="7943" width="11.375" style="1" customWidth="1"/>
    <col min="7944" max="8171" width="9.125" style="1"/>
    <col min="8172" max="8172" width="0" style="1" hidden="1" customWidth="1"/>
    <col min="8173" max="8173" width="10.125" style="1" customWidth="1"/>
    <col min="8174" max="8174" width="15.875" style="1" customWidth="1"/>
    <col min="8175" max="8175" width="0" style="1" hidden="1" customWidth="1"/>
    <col min="8176" max="8176" width="80.375" style="1" customWidth="1"/>
    <col min="8177" max="8181" width="0" style="1" hidden="1" customWidth="1"/>
    <col min="8182" max="8182" width="14.875" style="1" customWidth="1"/>
    <col min="8183" max="8183" width="15.125" style="1" customWidth="1"/>
    <col min="8184" max="8196" width="0" style="1" hidden="1" customWidth="1"/>
    <col min="8197" max="8197" width="17.25" style="1" customWidth="1"/>
    <col min="8198" max="8198" width="17" style="1" customWidth="1"/>
    <col min="8199" max="8199" width="11.375" style="1" customWidth="1"/>
    <col min="8200" max="8427" width="9.125" style="1"/>
    <col min="8428" max="8428" width="0" style="1" hidden="1" customWidth="1"/>
    <col min="8429" max="8429" width="10.125" style="1" customWidth="1"/>
    <col min="8430" max="8430" width="15.875" style="1" customWidth="1"/>
    <col min="8431" max="8431" width="0" style="1" hidden="1" customWidth="1"/>
    <col min="8432" max="8432" width="80.375" style="1" customWidth="1"/>
    <col min="8433" max="8437" width="0" style="1" hidden="1" customWidth="1"/>
    <col min="8438" max="8438" width="14.875" style="1" customWidth="1"/>
    <col min="8439" max="8439" width="15.125" style="1" customWidth="1"/>
    <col min="8440" max="8452" width="0" style="1" hidden="1" customWidth="1"/>
    <col min="8453" max="8453" width="17.25" style="1" customWidth="1"/>
    <col min="8454" max="8454" width="17" style="1" customWidth="1"/>
    <col min="8455" max="8455" width="11.375" style="1" customWidth="1"/>
    <col min="8456" max="8683" width="9.125" style="1"/>
    <col min="8684" max="8684" width="0" style="1" hidden="1" customWidth="1"/>
    <col min="8685" max="8685" width="10.125" style="1" customWidth="1"/>
    <col min="8686" max="8686" width="15.875" style="1" customWidth="1"/>
    <col min="8687" max="8687" width="0" style="1" hidden="1" customWidth="1"/>
    <col min="8688" max="8688" width="80.375" style="1" customWidth="1"/>
    <col min="8689" max="8693" width="0" style="1" hidden="1" customWidth="1"/>
    <col min="8694" max="8694" width="14.875" style="1" customWidth="1"/>
    <col min="8695" max="8695" width="15.125" style="1" customWidth="1"/>
    <col min="8696" max="8708" width="0" style="1" hidden="1" customWidth="1"/>
    <col min="8709" max="8709" width="17.25" style="1" customWidth="1"/>
    <col min="8710" max="8710" width="17" style="1" customWidth="1"/>
    <col min="8711" max="8711" width="11.375" style="1" customWidth="1"/>
    <col min="8712" max="8939" width="9.125" style="1"/>
    <col min="8940" max="8940" width="0" style="1" hidden="1" customWidth="1"/>
    <col min="8941" max="8941" width="10.125" style="1" customWidth="1"/>
    <col min="8942" max="8942" width="15.875" style="1" customWidth="1"/>
    <col min="8943" max="8943" width="0" style="1" hidden="1" customWidth="1"/>
    <col min="8944" max="8944" width="80.375" style="1" customWidth="1"/>
    <col min="8945" max="8949" width="0" style="1" hidden="1" customWidth="1"/>
    <col min="8950" max="8950" width="14.875" style="1" customWidth="1"/>
    <col min="8951" max="8951" width="15.125" style="1" customWidth="1"/>
    <col min="8952" max="8964" width="0" style="1" hidden="1" customWidth="1"/>
    <col min="8965" max="8965" width="17.25" style="1" customWidth="1"/>
    <col min="8966" max="8966" width="17" style="1" customWidth="1"/>
    <col min="8967" max="8967" width="11.375" style="1" customWidth="1"/>
    <col min="8968" max="9195" width="9.125" style="1"/>
    <col min="9196" max="9196" width="0" style="1" hidden="1" customWidth="1"/>
    <col min="9197" max="9197" width="10.125" style="1" customWidth="1"/>
    <col min="9198" max="9198" width="15.875" style="1" customWidth="1"/>
    <col min="9199" max="9199" width="0" style="1" hidden="1" customWidth="1"/>
    <col min="9200" max="9200" width="80.375" style="1" customWidth="1"/>
    <col min="9201" max="9205" width="0" style="1" hidden="1" customWidth="1"/>
    <col min="9206" max="9206" width="14.875" style="1" customWidth="1"/>
    <col min="9207" max="9207" width="15.125" style="1" customWidth="1"/>
    <col min="9208" max="9220" width="0" style="1" hidden="1" customWidth="1"/>
    <col min="9221" max="9221" width="17.25" style="1" customWidth="1"/>
    <col min="9222" max="9222" width="17" style="1" customWidth="1"/>
    <col min="9223" max="9223" width="11.375" style="1" customWidth="1"/>
    <col min="9224" max="9451" width="9.125" style="1"/>
    <col min="9452" max="9452" width="0" style="1" hidden="1" customWidth="1"/>
    <col min="9453" max="9453" width="10.125" style="1" customWidth="1"/>
    <col min="9454" max="9454" width="15.875" style="1" customWidth="1"/>
    <col min="9455" max="9455" width="0" style="1" hidden="1" customWidth="1"/>
    <col min="9456" max="9456" width="80.375" style="1" customWidth="1"/>
    <col min="9457" max="9461" width="0" style="1" hidden="1" customWidth="1"/>
    <col min="9462" max="9462" width="14.875" style="1" customWidth="1"/>
    <col min="9463" max="9463" width="15.125" style="1" customWidth="1"/>
    <col min="9464" max="9476" width="0" style="1" hidden="1" customWidth="1"/>
    <col min="9477" max="9477" width="17.25" style="1" customWidth="1"/>
    <col min="9478" max="9478" width="17" style="1" customWidth="1"/>
    <col min="9479" max="9479" width="11.375" style="1" customWidth="1"/>
    <col min="9480" max="9707" width="9.125" style="1"/>
    <col min="9708" max="9708" width="0" style="1" hidden="1" customWidth="1"/>
    <col min="9709" max="9709" width="10.125" style="1" customWidth="1"/>
    <col min="9710" max="9710" width="15.875" style="1" customWidth="1"/>
    <col min="9711" max="9711" width="0" style="1" hidden="1" customWidth="1"/>
    <col min="9712" max="9712" width="80.375" style="1" customWidth="1"/>
    <col min="9713" max="9717" width="0" style="1" hidden="1" customWidth="1"/>
    <col min="9718" max="9718" width="14.875" style="1" customWidth="1"/>
    <col min="9719" max="9719" width="15.125" style="1" customWidth="1"/>
    <col min="9720" max="9732" width="0" style="1" hidden="1" customWidth="1"/>
    <col min="9733" max="9733" width="17.25" style="1" customWidth="1"/>
    <col min="9734" max="9734" width="17" style="1" customWidth="1"/>
    <col min="9735" max="9735" width="11.375" style="1" customWidth="1"/>
    <col min="9736" max="9963" width="9.125" style="1"/>
    <col min="9964" max="9964" width="0" style="1" hidden="1" customWidth="1"/>
    <col min="9965" max="9965" width="10.125" style="1" customWidth="1"/>
    <col min="9966" max="9966" width="15.875" style="1" customWidth="1"/>
    <col min="9967" max="9967" width="0" style="1" hidden="1" customWidth="1"/>
    <col min="9968" max="9968" width="80.375" style="1" customWidth="1"/>
    <col min="9969" max="9973" width="0" style="1" hidden="1" customWidth="1"/>
    <col min="9974" max="9974" width="14.875" style="1" customWidth="1"/>
    <col min="9975" max="9975" width="15.125" style="1" customWidth="1"/>
    <col min="9976" max="9988" width="0" style="1" hidden="1" customWidth="1"/>
    <col min="9989" max="9989" width="17.25" style="1" customWidth="1"/>
    <col min="9990" max="9990" width="17" style="1" customWidth="1"/>
    <col min="9991" max="9991" width="11.375" style="1" customWidth="1"/>
    <col min="9992" max="10219" width="9.125" style="1"/>
    <col min="10220" max="10220" width="0" style="1" hidden="1" customWidth="1"/>
    <col min="10221" max="10221" width="10.125" style="1" customWidth="1"/>
    <col min="10222" max="10222" width="15.875" style="1" customWidth="1"/>
    <col min="10223" max="10223" width="0" style="1" hidden="1" customWidth="1"/>
    <col min="10224" max="10224" width="80.375" style="1" customWidth="1"/>
    <col min="10225" max="10229" width="0" style="1" hidden="1" customWidth="1"/>
    <col min="10230" max="10230" width="14.875" style="1" customWidth="1"/>
    <col min="10231" max="10231" width="15.125" style="1" customWidth="1"/>
    <col min="10232" max="10244" width="0" style="1" hidden="1" customWidth="1"/>
    <col min="10245" max="10245" width="17.25" style="1" customWidth="1"/>
    <col min="10246" max="10246" width="17" style="1" customWidth="1"/>
    <col min="10247" max="10247" width="11.375" style="1" customWidth="1"/>
    <col min="10248" max="10475" width="9.125" style="1"/>
    <col min="10476" max="10476" width="0" style="1" hidden="1" customWidth="1"/>
    <col min="10477" max="10477" width="10.125" style="1" customWidth="1"/>
    <col min="10478" max="10478" width="15.875" style="1" customWidth="1"/>
    <col min="10479" max="10479" width="0" style="1" hidden="1" customWidth="1"/>
    <col min="10480" max="10480" width="80.375" style="1" customWidth="1"/>
    <col min="10481" max="10485" width="0" style="1" hidden="1" customWidth="1"/>
    <col min="10486" max="10486" width="14.875" style="1" customWidth="1"/>
    <col min="10487" max="10487" width="15.125" style="1" customWidth="1"/>
    <col min="10488" max="10500" width="0" style="1" hidden="1" customWidth="1"/>
    <col min="10501" max="10501" width="17.25" style="1" customWidth="1"/>
    <col min="10502" max="10502" width="17" style="1" customWidth="1"/>
    <col min="10503" max="10503" width="11.375" style="1" customWidth="1"/>
    <col min="10504" max="10731" width="9.125" style="1"/>
    <col min="10732" max="10732" width="0" style="1" hidden="1" customWidth="1"/>
    <col min="10733" max="10733" width="10.125" style="1" customWidth="1"/>
    <col min="10734" max="10734" width="15.875" style="1" customWidth="1"/>
    <col min="10735" max="10735" width="0" style="1" hidden="1" customWidth="1"/>
    <col min="10736" max="10736" width="80.375" style="1" customWidth="1"/>
    <col min="10737" max="10741" width="0" style="1" hidden="1" customWidth="1"/>
    <col min="10742" max="10742" width="14.875" style="1" customWidth="1"/>
    <col min="10743" max="10743" width="15.125" style="1" customWidth="1"/>
    <col min="10744" max="10756" width="0" style="1" hidden="1" customWidth="1"/>
    <col min="10757" max="10757" width="17.25" style="1" customWidth="1"/>
    <col min="10758" max="10758" width="17" style="1" customWidth="1"/>
    <col min="10759" max="10759" width="11.375" style="1" customWidth="1"/>
    <col min="10760" max="10987" width="9.125" style="1"/>
    <col min="10988" max="10988" width="0" style="1" hidden="1" customWidth="1"/>
    <col min="10989" max="10989" width="10.125" style="1" customWidth="1"/>
    <col min="10990" max="10990" width="15.875" style="1" customWidth="1"/>
    <col min="10991" max="10991" width="0" style="1" hidden="1" customWidth="1"/>
    <col min="10992" max="10992" width="80.375" style="1" customWidth="1"/>
    <col min="10993" max="10997" width="0" style="1" hidden="1" customWidth="1"/>
    <col min="10998" max="10998" width="14.875" style="1" customWidth="1"/>
    <col min="10999" max="10999" width="15.125" style="1" customWidth="1"/>
    <col min="11000" max="11012" width="0" style="1" hidden="1" customWidth="1"/>
    <col min="11013" max="11013" width="17.25" style="1" customWidth="1"/>
    <col min="11014" max="11014" width="17" style="1" customWidth="1"/>
    <col min="11015" max="11015" width="11.375" style="1" customWidth="1"/>
    <col min="11016" max="11243" width="9.125" style="1"/>
    <col min="11244" max="11244" width="0" style="1" hidden="1" customWidth="1"/>
    <col min="11245" max="11245" width="10.125" style="1" customWidth="1"/>
    <col min="11246" max="11246" width="15.875" style="1" customWidth="1"/>
    <col min="11247" max="11247" width="0" style="1" hidden="1" customWidth="1"/>
    <col min="11248" max="11248" width="80.375" style="1" customWidth="1"/>
    <col min="11249" max="11253" width="0" style="1" hidden="1" customWidth="1"/>
    <col min="11254" max="11254" width="14.875" style="1" customWidth="1"/>
    <col min="11255" max="11255" width="15.125" style="1" customWidth="1"/>
    <col min="11256" max="11268" width="0" style="1" hidden="1" customWidth="1"/>
    <col min="11269" max="11269" width="17.25" style="1" customWidth="1"/>
    <col min="11270" max="11270" width="17" style="1" customWidth="1"/>
    <col min="11271" max="11271" width="11.375" style="1" customWidth="1"/>
    <col min="11272" max="11499" width="9.125" style="1"/>
    <col min="11500" max="11500" width="0" style="1" hidden="1" customWidth="1"/>
    <col min="11501" max="11501" width="10.125" style="1" customWidth="1"/>
    <col min="11502" max="11502" width="15.875" style="1" customWidth="1"/>
    <col min="11503" max="11503" width="0" style="1" hidden="1" customWidth="1"/>
    <col min="11504" max="11504" width="80.375" style="1" customWidth="1"/>
    <col min="11505" max="11509" width="0" style="1" hidden="1" customWidth="1"/>
    <col min="11510" max="11510" width="14.875" style="1" customWidth="1"/>
    <col min="11511" max="11511" width="15.125" style="1" customWidth="1"/>
    <col min="11512" max="11524" width="0" style="1" hidden="1" customWidth="1"/>
    <col min="11525" max="11525" width="17.25" style="1" customWidth="1"/>
    <col min="11526" max="11526" width="17" style="1" customWidth="1"/>
    <col min="11527" max="11527" width="11.375" style="1" customWidth="1"/>
    <col min="11528" max="11755" width="9.125" style="1"/>
    <col min="11756" max="11756" width="0" style="1" hidden="1" customWidth="1"/>
    <col min="11757" max="11757" width="10.125" style="1" customWidth="1"/>
    <col min="11758" max="11758" width="15.875" style="1" customWidth="1"/>
    <col min="11759" max="11759" width="0" style="1" hidden="1" customWidth="1"/>
    <col min="11760" max="11760" width="80.375" style="1" customWidth="1"/>
    <col min="11761" max="11765" width="0" style="1" hidden="1" customWidth="1"/>
    <col min="11766" max="11766" width="14.875" style="1" customWidth="1"/>
    <col min="11767" max="11767" width="15.125" style="1" customWidth="1"/>
    <col min="11768" max="11780" width="0" style="1" hidden="1" customWidth="1"/>
    <col min="11781" max="11781" width="17.25" style="1" customWidth="1"/>
    <col min="11782" max="11782" width="17" style="1" customWidth="1"/>
    <col min="11783" max="11783" width="11.375" style="1" customWidth="1"/>
    <col min="11784" max="12011" width="9.125" style="1"/>
    <col min="12012" max="12012" width="0" style="1" hidden="1" customWidth="1"/>
    <col min="12013" max="12013" width="10.125" style="1" customWidth="1"/>
    <col min="12014" max="12014" width="15.875" style="1" customWidth="1"/>
    <col min="12015" max="12015" width="0" style="1" hidden="1" customWidth="1"/>
    <col min="12016" max="12016" width="80.375" style="1" customWidth="1"/>
    <col min="12017" max="12021" width="0" style="1" hidden="1" customWidth="1"/>
    <col min="12022" max="12022" width="14.875" style="1" customWidth="1"/>
    <col min="12023" max="12023" width="15.125" style="1" customWidth="1"/>
    <col min="12024" max="12036" width="0" style="1" hidden="1" customWidth="1"/>
    <col min="12037" max="12037" width="17.25" style="1" customWidth="1"/>
    <col min="12038" max="12038" width="17" style="1" customWidth="1"/>
    <col min="12039" max="12039" width="11.375" style="1" customWidth="1"/>
    <col min="12040" max="12267" width="9.125" style="1"/>
    <col min="12268" max="12268" width="0" style="1" hidden="1" customWidth="1"/>
    <col min="12269" max="12269" width="10.125" style="1" customWidth="1"/>
    <col min="12270" max="12270" width="15.875" style="1" customWidth="1"/>
    <col min="12271" max="12271" width="0" style="1" hidden="1" customWidth="1"/>
    <col min="12272" max="12272" width="80.375" style="1" customWidth="1"/>
    <col min="12273" max="12277" width="0" style="1" hidden="1" customWidth="1"/>
    <col min="12278" max="12278" width="14.875" style="1" customWidth="1"/>
    <col min="12279" max="12279" width="15.125" style="1" customWidth="1"/>
    <col min="12280" max="12292" width="0" style="1" hidden="1" customWidth="1"/>
    <col min="12293" max="12293" width="17.25" style="1" customWidth="1"/>
    <col min="12294" max="12294" width="17" style="1" customWidth="1"/>
    <col min="12295" max="12295" width="11.375" style="1" customWidth="1"/>
    <col min="12296" max="12523" width="9.125" style="1"/>
    <col min="12524" max="12524" width="0" style="1" hidden="1" customWidth="1"/>
    <col min="12525" max="12525" width="10.125" style="1" customWidth="1"/>
    <col min="12526" max="12526" width="15.875" style="1" customWidth="1"/>
    <col min="12527" max="12527" width="0" style="1" hidden="1" customWidth="1"/>
    <col min="12528" max="12528" width="80.375" style="1" customWidth="1"/>
    <col min="12529" max="12533" width="0" style="1" hidden="1" customWidth="1"/>
    <col min="12534" max="12534" width="14.875" style="1" customWidth="1"/>
    <col min="12535" max="12535" width="15.125" style="1" customWidth="1"/>
    <col min="12536" max="12548" width="0" style="1" hidden="1" customWidth="1"/>
    <col min="12549" max="12549" width="17.25" style="1" customWidth="1"/>
    <col min="12550" max="12550" width="17" style="1" customWidth="1"/>
    <col min="12551" max="12551" width="11.375" style="1" customWidth="1"/>
    <col min="12552" max="12779" width="9.125" style="1"/>
    <col min="12780" max="12780" width="0" style="1" hidden="1" customWidth="1"/>
    <col min="12781" max="12781" width="10.125" style="1" customWidth="1"/>
    <col min="12782" max="12782" width="15.875" style="1" customWidth="1"/>
    <col min="12783" max="12783" width="0" style="1" hidden="1" customWidth="1"/>
    <col min="12784" max="12784" width="80.375" style="1" customWidth="1"/>
    <col min="12785" max="12789" width="0" style="1" hidden="1" customWidth="1"/>
    <col min="12790" max="12790" width="14.875" style="1" customWidth="1"/>
    <col min="12791" max="12791" width="15.125" style="1" customWidth="1"/>
    <col min="12792" max="12804" width="0" style="1" hidden="1" customWidth="1"/>
    <col min="12805" max="12805" width="17.25" style="1" customWidth="1"/>
    <col min="12806" max="12806" width="17" style="1" customWidth="1"/>
    <col min="12807" max="12807" width="11.375" style="1" customWidth="1"/>
    <col min="12808" max="13035" width="9.125" style="1"/>
    <col min="13036" max="13036" width="0" style="1" hidden="1" customWidth="1"/>
    <col min="13037" max="13037" width="10.125" style="1" customWidth="1"/>
    <col min="13038" max="13038" width="15.875" style="1" customWidth="1"/>
    <col min="13039" max="13039" width="0" style="1" hidden="1" customWidth="1"/>
    <col min="13040" max="13040" width="80.375" style="1" customWidth="1"/>
    <col min="13041" max="13045" width="0" style="1" hidden="1" customWidth="1"/>
    <col min="13046" max="13046" width="14.875" style="1" customWidth="1"/>
    <col min="13047" max="13047" width="15.125" style="1" customWidth="1"/>
    <col min="13048" max="13060" width="0" style="1" hidden="1" customWidth="1"/>
    <col min="13061" max="13061" width="17.25" style="1" customWidth="1"/>
    <col min="13062" max="13062" width="17" style="1" customWidth="1"/>
    <col min="13063" max="13063" width="11.375" style="1" customWidth="1"/>
    <col min="13064" max="13291" width="9.125" style="1"/>
    <col min="13292" max="13292" width="0" style="1" hidden="1" customWidth="1"/>
    <col min="13293" max="13293" width="10.125" style="1" customWidth="1"/>
    <col min="13294" max="13294" width="15.875" style="1" customWidth="1"/>
    <col min="13295" max="13295" width="0" style="1" hidden="1" customWidth="1"/>
    <col min="13296" max="13296" width="80.375" style="1" customWidth="1"/>
    <col min="13297" max="13301" width="0" style="1" hidden="1" customWidth="1"/>
    <col min="13302" max="13302" width="14.875" style="1" customWidth="1"/>
    <col min="13303" max="13303" width="15.125" style="1" customWidth="1"/>
    <col min="13304" max="13316" width="0" style="1" hidden="1" customWidth="1"/>
    <col min="13317" max="13317" width="17.25" style="1" customWidth="1"/>
    <col min="13318" max="13318" width="17" style="1" customWidth="1"/>
    <col min="13319" max="13319" width="11.375" style="1" customWidth="1"/>
    <col min="13320" max="13547" width="9.125" style="1"/>
    <col min="13548" max="13548" width="0" style="1" hidden="1" customWidth="1"/>
    <col min="13549" max="13549" width="10.125" style="1" customWidth="1"/>
    <col min="13550" max="13550" width="15.875" style="1" customWidth="1"/>
    <col min="13551" max="13551" width="0" style="1" hidden="1" customWidth="1"/>
    <col min="13552" max="13552" width="80.375" style="1" customWidth="1"/>
    <col min="13553" max="13557" width="0" style="1" hidden="1" customWidth="1"/>
    <col min="13558" max="13558" width="14.875" style="1" customWidth="1"/>
    <col min="13559" max="13559" width="15.125" style="1" customWidth="1"/>
    <col min="13560" max="13572" width="0" style="1" hidden="1" customWidth="1"/>
    <col min="13573" max="13573" width="17.25" style="1" customWidth="1"/>
    <col min="13574" max="13574" width="17" style="1" customWidth="1"/>
    <col min="13575" max="13575" width="11.375" style="1" customWidth="1"/>
    <col min="13576" max="13803" width="9.125" style="1"/>
    <col min="13804" max="13804" width="0" style="1" hidden="1" customWidth="1"/>
    <col min="13805" max="13805" width="10.125" style="1" customWidth="1"/>
    <col min="13806" max="13806" width="15.875" style="1" customWidth="1"/>
    <col min="13807" max="13807" width="0" style="1" hidden="1" customWidth="1"/>
    <col min="13808" max="13808" width="80.375" style="1" customWidth="1"/>
    <col min="13809" max="13813" width="0" style="1" hidden="1" customWidth="1"/>
    <col min="13814" max="13814" width="14.875" style="1" customWidth="1"/>
    <col min="13815" max="13815" width="15.125" style="1" customWidth="1"/>
    <col min="13816" max="13828" width="0" style="1" hidden="1" customWidth="1"/>
    <col min="13829" max="13829" width="17.25" style="1" customWidth="1"/>
    <col min="13830" max="13830" width="17" style="1" customWidth="1"/>
    <col min="13831" max="13831" width="11.375" style="1" customWidth="1"/>
    <col min="13832" max="14059" width="9.125" style="1"/>
    <col min="14060" max="14060" width="0" style="1" hidden="1" customWidth="1"/>
    <col min="14061" max="14061" width="10.125" style="1" customWidth="1"/>
    <col min="14062" max="14062" width="15.875" style="1" customWidth="1"/>
    <col min="14063" max="14063" width="0" style="1" hidden="1" customWidth="1"/>
    <col min="14064" max="14064" width="80.375" style="1" customWidth="1"/>
    <col min="14065" max="14069" width="0" style="1" hidden="1" customWidth="1"/>
    <col min="14070" max="14070" width="14.875" style="1" customWidth="1"/>
    <col min="14071" max="14071" width="15.125" style="1" customWidth="1"/>
    <col min="14072" max="14084" width="0" style="1" hidden="1" customWidth="1"/>
    <col min="14085" max="14085" width="17.25" style="1" customWidth="1"/>
    <col min="14086" max="14086" width="17" style="1" customWidth="1"/>
    <col min="14087" max="14087" width="11.375" style="1" customWidth="1"/>
    <col min="14088" max="14315" width="9.125" style="1"/>
    <col min="14316" max="14316" width="0" style="1" hidden="1" customWidth="1"/>
    <col min="14317" max="14317" width="10.125" style="1" customWidth="1"/>
    <col min="14318" max="14318" width="15.875" style="1" customWidth="1"/>
    <col min="14319" max="14319" width="0" style="1" hidden="1" customWidth="1"/>
    <col min="14320" max="14320" width="80.375" style="1" customWidth="1"/>
    <col min="14321" max="14325" width="0" style="1" hidden="1" customWidth="1"/>
    <col min="14326" max="14326" width="14.875" style="1" customWidth="1"/>
    <col min="14327" max="14327" width="15.125" style="1" customWidth="1"/>
    <col min="14328" max="14340" width="0" style="1" hidden="1" customWidth="1"/>
    <col min="14341" max="14341" width="17.25" style="1" customWidth="1"/>
    <col min="14342" max="14342" width="17" style="1" customWidth="1"/>
    <col min="14343" max="14343" width="11.375" style="1" customWidth="1"/>
    <col min="14344" max="14571" width="9.125" style="1"/>
    <col min="14572" max="14572" width="0" style="1" hidden="1" customWidth="1"/>
    <col min="14573" max="14573" width="10.125" style="1" customWidth="1"/>
    <col min="14574" max="14574" width="15.875" style="1" customWidth="1"/>
    <col min="14575" max="14575" width="0" style="1" hidden="1" customWidth="1"/>
    <col min="14576" max="14576" width="80.375" style="1" customWidth="1"/>
    <col min="14577" max="14581" width="0" style="1" hidden="1" customWidth="1"/>
    <col min="14582" max="14582" width="14.875" style="1" customWidth="1"/>
    <col min="14583" max="14583" width="15.125" style="1" customWidth="1"/>
    <col min="14584" max="14596" width="0" style="1" hidden="1" customWidth="1"/>
    <col min="14597" max="14597" width="17.25" style="1" customWidth="1"/>
    <col min="14598" max="14598" width="17" style="1" customWidth="1"/>
    <col min="14599" max="14599" width="11.375" style="1" customWidth="1"/>
    <col min="14600" max="14827" width="9.125" style="1"/>
    <col min="14828" max="14828" width="0" style="1" hidden="1" customWidth="1"/>
    <col min="14829" max="14829" width="10.125" style="1" customWidth="1"/>
    <col min="14830" max="14830" width="15.875" style="1" customWidth="1"/>
    <col min="14831" max="14831" width="0" style="1" hidden="1" customWidth="1"/>
    <col min="14832" max="14832" width="80.375" style="1" customWidth="1"/>
    <col min="14833" max="14837" width="0" style="1" hidden="1" customWidth="1"/>
    <col min="14838" max="14838" width="14.875" style="1" customWidth="1"/>
    <col min="14839" max="14839" width="15.125" style="1" customWidth="1"/>
    <col min="14840" max="14852" width="0" style="1" hidden="1" customWidth="1"/>
    <col min="14853" max="14853" width="17.25" style="1" customWidth="1"/>
    <col min="14854" max="14854" width="17" style="1" customWidth="1"/>
    <col min="14855" max="14855" width="11.375" style="1" customWidth="1"/>
    <col min="14856" max="15083" width="9.125" style="1"/>
    <col min="15084" max="15084" width="0" style="1" hidden="1" customWidth="1"/>
    <col min="15085" max="15085" width="10.125" style="1" customWidth="1"/>
    <col min="15086" max="15086" width="15.875" style="1" customWidth="1"/>
    <col min="15087" max="15087" width="0" style="1" hidden="1" customWidth="1"/>
    <col min="15088" max="15088" width="80.375" style="1" customWidth="1"/>
    <col min="15089" max="15093" width="0" style="1" hidden="1" customWidth="1"/>
    <col min="15094" max="15094" width="14.875" style="1" customWidth="1"/>
    <col min="15095" max="15095" width="15.125" style="1" customWidth="1"/>
    <col min="15096" max="15108" width="0" style="1" hidden="1" customWidth="1"/>
    <col min="15109" max="15109" width="17.25" style="1" customWidth="1"/>
    <col min="15110" max="15110" width="17" style="1" customWidth="1"/>
    <col min="15111" max="15111" width="11.375" style="1" customWidth="1"/>
    <col min="15112" max="15339" width="9.125" style="1"/>
    <col min="15340" max="15340" width="0" style="1" hidden="1" customWidth="1"/>
    <col min="15341" max="15341" width="10.125" style="1" customWidth="1"/>
    <col min="15342" max="15342" width="15.875" style="1" customWidth="1"/>
    <col min="15343" max="15343" width="0" style="1" hidden="1" customWidth="1"/>
    <col min="15344" max="15344" width="80.375" style="1" customWidth="1"/>
    <col min="15345" max="15349" width="0" style="1" hidden="1" customWidth="1"/>
    <col min="15350" max="15350" width="14.875" style="1" customWidth="1"/>
    <col min="15351" max="15351" width="15.125" style="1" customWidth="1"/>
    <col min="15352" max="15364" width="0" style="1" hidden="1" customWidth="1"/>
    <col min="15365" max="15365" width="17.25" style="1" customWidth="1"/>
    <col min="15366" max="15366" width="17" style="1" customWidth="1"/>
    <col min="15367" max="15367" width="11.375" style="1" customWidth="1"/>
    <col min="15368" max="15595" width="9.125" style="1"/>
    <col min="15596" max="15596" width="0" style="1" hidden="1" customWidth="1"/>
    <col min="15597" max="15597" width="10.125" style="1" customWidth="1"/>
    <col min="15598" max="15598" width="15.875" style="1" customWidth="1"/>
    <col min="15599" max="15599" width="0" style="1" hidden="1" customWidth="1"/>
    <col min="15600" max="15600" width="80.375" style="1" customWidth="1"/>
    <col min="15601" max="15605" width="0" style="1" hidden="1" customWidth="1"/>
    <col min="15606" max="15606" width="14.875" style="1" customWidth="1"/>
    <col min="15607" max="15607" width="15.125" style="1" customWidth="1"/>
    <col min="15608" max="15620" width="0" style="1" hidden="1" customWidth="1"/>
    <col min="15621" max="15621" width="17.25" style="1" customWidth="1"/>
    <col min="15622" max="15622" width="17" style="1" customWidth="1"/>
    <col min="15623" max="15623" width="11.375" style="1" customWidth="1"/>
    <col min="15624" max="15851" width="9.125" style="1"/>
    <col min="15852" max="15852" width="0" style="1" hidden="1" customWidth="1"/>
    <col min="15853" max="15853" width="10.125" style="1" customWidth="1"/>
    <col min="15854" max="15854" width="15.875" style="1" customWidth="1"/>
    <col min="15855" max="15855" width="0" style="1" hidden="1" customWidth="1"/>
    <col min="15856" max="15856" width="80.375" style="1" customWidth="1"/>
    <col min="15857" max="15861" width="0" style="1" hidden="1" customWidth="1"/>
    <col min="15862" max="15862" width="14.875" style="1" customWidth="1"/>
    <col min="15863" max="15863" width="15.125" style="1" customWidth="1"/>
    <col min="15864" max="15876" width="0" style="1" hidden="1" customWidth="1"/>
    <col min="15877" max="15877" width="17.25" style="1" customWidth="1"/>
    <col min="15878" max="15878" width="17" style="1" customWidth="1"/>
    <col min="15879" max="15879" width="11.375" style="1" customWidth="1"/>
    <col min="15880" max="16107" width="9.125" style="1"/>
    <col min="16108" max="16108" width="0" style="1" hidden="1" customWidth="1"/>
    <col min="16109" max="16109" width="10.125" style="1" customWidth="1"/>
    <col min="16110" max="16110" width="15.875" style="1" customWidth="1"/>
    <col min="16111" max="16111" width="0" style="1" hidden="1" customWidth="1"/>
    <col min="16112" max="16112" width="80.375" style="1" customWidth="1"/>
    <col min="16113" max="16117" width="0" style="1" hidden="1" customWidth="1"/>
    <col min="16118" max="16118" width="14.875" style="1" customWidth="1"/>
    <col min="16119" max="16119" width="15.125" style="1" customWidth="1"/>
    <col min="16120" max="16132" width="0" style="1" hidden="1" customWidth="1"/>
    <col min="16133" max="16133" width="17.25" style="1" customWidth="1"/>
    <col min="16134" max="16134" width="17" style="1" customWidth="1"/>
    <col min="16135" max="16135" width="11.375" style="1" customWidth="1"/>
    <col min="16136" max="16384" width="9.125" style="1"/>
  </cols>
  <sheetData>
    <row r="1" spans="1:12" x14ac:dyDescent="0.2">
      <c r="C1" s="2"/>
      <c r="D1" s="2"/>
      <c r="E1" s="3"/>
      <c r="F1" s="2"/>
      <c r="G1" s="4"/>
      <c r="H1" s="4"/>
      <c r="I1" s="4"/>
      <c r="J1" s="2"/>
    </row>
    <row r="2" spans="1:12" x14ac:dyDescent="0.2">
      <c r="C2" s="5" t="s">
        <v>0</v>
      </c>
      <c r="D2" s="5"/>
      <c r="E2" s="3"/>
      <c r="F2" s="2"/>
      <c r="G2" s="4"/>
      <c r="H2" s="4"/>
      <c r="I2" s="4"/>
      <c r="J2" s="2"/>
    </row>
    <row r="3" spans="1:12" x14ac:dyDescent="0.2">
      <c r="C3" s="6" t="s">
        <v>1</v>
      </c>
      <c r="D3" s="6"/>
      <c r="E3" s="3"/>
      <c r="F3" s="2"/>
      <c r="G3" s="4"/>
      <c r="H3" s="4"/>
      <c r="I3" s="4"/>
      <c r="J3" s="2"/>
    </row>
    <row r="4" spans="1:12" ht="15.75" x14ac:dyDescent="0.25">
      <c r="C4" s="109" t="s">
        <v>2</v>
      </c>
      <c r="D4" s="109"/>
      <c r="E4" s="109"/>
      <c r="F4" s="109"/>
      <c r="G4" s="109"/>
      <c r="H4" s="109"/>
      <c r="I4" s="109"/>
      <c r="J4" s="109"/>
    </row>
    <row r="5" spans="1:12" ht="14.25" x14ac:dyDescent="0.2">
      <c r="C5" s="110" t="s">
        <v>3</v>
      </c>
      <c r="D5" s="110"/>
      <c r="E5" s="110"/>
      <c r="F5" s="110"/>
      <c r="G5" s="110"/>
      <c r="H5" s="110"/>
      <c r="I5" s="110"/>
      <c r="J5" s="110"/>
    </row>
    <row r="6" spans="1:12" x14ac:dyDescent="0.2">
      <c r="C6" s="111" t="s">
        <v>4</v>
      </c>
      <c r="D6" s="111"/>
      <c r="E6" s="111"/>
      <c r="F6" s="111"/>
      <c r="G6" s="111"/>
      <c r="H6" s="111"/>
      <c r="I6" s="111"/>
      <c r="J6" s="111"/>
    </row>
    <row r="7" spans="1:12" x14ac:dyDescent="0.2">
      <c r="C7" s="2"/>
      <c r="D7" s="2"/>
      <c r="E7" s="3"/>
      <c r="F7" s="2"/>
      <c r="G7" s="4"/>
      <c r="H7" s="4"/>
      <c r="I7" s="4"/>
      <c r="J7" s="2"/>
    </row>
    <row r="8" spans="1:12" s="7" customFormat="1" x14ac:dyDescent="0.2">
      <c r="B8" s="7" t="s">
        <v>5</v>
      </c>
      <c r="C8" s="8" t="s">
        <v>6</v>
      </c>
      <c r="D8" s="8" t="s">
        <v>123</v>
      </c>
      <c r="E8" s="9" t="s">
        <v>7</v>
      </c>
      <c r="F8" s="8" t="s">
        <v>8</v>
      </c>
      <c r="G8" s="10" t="s">
        <v>9</v>
      </c>
      <c r="H8" s="10" t="s">
        <v>10</v>
      </c>
      <c r="I8" s="10" t="s">
        <v>122</v>
      </c>
      <c r="J8" s="8" t="s">
        <v>11</v>
      </c>
    </row>
    <row r="9" spans="1:12" s="7" customFormat="1" ht="18" customHeight="1" thickBot="1" x14ac:dyDescent="0.25">
      <c r="C9" s="11"/>
      <c r="D9" s="11"/>
      <c r="E9" s="12"/>
      <c r="F9" s="11" t="s">
        <v>12</v>
      </c>
      <c r="G9" s="13"/>
      <c r="H9" s="13">
        <v>0</v>
      </c>
      <c r="I9" s="13"/>
      <c r="J9" s="8"/>
    </row>
    <row r="10" spans="1:12" s="7" customFormat="1" ht="13.5" thickTop="1" x14ac:dyDescent="0.2">
      <c r="C10" s="14"/>
      <c r="D10" s="14"/>
      <c r="E10" s="15"/>
      <c r="F10" s="14" t="s">
        <v>13</v>
      </c>
      <c r="G10" s="16"/>
      <c r="H10" s="16"/>
      <c r="I10" s="16"/>
      <c r="J10" s="14"/>
    </row>
    <row r="11" spans="1:12" s="22" customFormat="1" ht="15" customHeight="1" x14ac:dyDescent="0.2">
      <c r="A11" s="22" t="s">
        <v>14</v>
      </c>
      <c r="B11" s="22">
        <v>2021</v>
      </c>
      <c r="C11" s="35" t="s">
        <v>15</v>
      </c>
      <c r="D11" s="35" t="s">
        <v>124</v>
      </c>
      <c r="E11" s="36">
        <v>21110620</v>
      </c>
      <c r="F11" s="34" t="s">
        <v>16</v>
      </c>
      <c r="G11" s="37"/>
      <c r="H11" s="37">
        <v>2378894650</v>
      </c>
      <c r="I11" s="37">
        <f>+H9+H11-G11</f>
        <v>2378894650</v>
      </c>
      <c r="J11" s="34" t="s">
        <v>17</v>
      </c>
      <c r="L11" s="47"/>
    </row>
    <row r="12" spans="1:12" ht="15" customHeight="1" x14ac:dyDescent="0.2">
      <c r="A12" s="1" t="s">
        <v>14</v>
      </c>
      <c r="B12" s="1">
        <v>2021</v>
      </c>
      <c r="C12" s="18" t="s">
        <v>18</v>
      </c>
      <c r="D12" s="18" t="s">
        <v>125</v>
      </c>
      <c r="E12" s="19">
        <v>21120662</v>
      </c>
      <c r="F12" s="20" t="s">
        <v>19</v>
      </c>
      <c r="G12" s="21"/>
      <c r="H12" s="21">
        <v>7686740875</v>
      </c>
      <c r="I12" s="21">
        <f>+I11+H12-G12</f>
        <v>10065635525</v>
      </c>
      <c r="J12" s="17" t="s">
        <v>17</v>
      </c>
    </row>
    <row r="13" spans="1:12" ht="15" customHeight="1" x14ac:dyDescent="0.2">
      <c r="A13" s="1" t="s">
        <v>14</v>
      </c>
      <c r="B13" s="1">
        <v>2022</v>
      </c>
      <c r="C13" s="18" t="s">
        <v>20</v>
      </c>
      <c r="D13" s="18" t="s">
        <v>126</v>
      </c>
      <c r="E13" s="19">
        <v>22010341</v>
      </c>
      <c r="F13" s="20" t="s">
        <v>21</v>
      </c>
      <c r="G13" s="21"/>
      <c r="H13" s="21">
        <v>2964678750</v>
      </c>
      <c r="I13" s="21">
        <f t="shared" ref="I13:I75" si="0">+I12+H13-G13</f>
        <v>13030314275</v>
      </c>
      <c r="J13" s="17" t="s">
        <v>17</v>
      </c>
    </row>
    <row r="14" spans="1:12" ht="15" customHeight="1" x14ac:dyDescent="0.2">
      <c r="A14" s="1" t="s">
        <v>14</v>
      </c>
      <c r="B14" s="1">
        <v>2022</v>
      </c>
      <c r="C14" s="18" t="s">
        <v>20</v>
      </c>
      <c r="D14" s="18" t="s">
        <v>127</v>
      </c>
      <c r="E14" s="19">
        <v>22010342</v>
      </c>
      <c r="F14" s="20" t="s">
        <v>22</v>
      </c>
      <c r="G14" s="21"/>
      <c r="H14" s="21">
        <v>46530000</v>
      </c>
      <c r="I14" s="21">
        <f t="shared" si="0"/>
        <v>13076844275</v>
      </c>
      <c r="J14" s="17" t="s">
        <v>17</v>
      </c>
    </row>
    <row r="15" spans="1:12" s="22" customFormat="1" ht="15" customHeight="1" x14ac:dyDescent="0.2">
      <c r="A15" s="22" t="s">
        <v>14</v>
      </c>
      <c r="B15" s="22">
        <v>2022</v>
      </c>
      <c r="C15" s="30" t="s">
        <v>23</v>
      </c>
      <c r="D15" s="30"/>
      <c r="E15" s="31">
        <v>22020309</v>
      </c>
      <c r="F15" s="32" t="s">
        <v>24</v>
      </c>
      <c r="G15" s="33">
        <v>2378894650</v>
      </c>
      <c r="H15" s="33">
        <v>0</v>
      </c>
      <c r="I15" s="21">
        <f t="shared" si="0"/>
        <v>10697949625</v>
      </c>
      <c r="J15" s="34" t="s">
        <v>17</v>
      </c>
    </row>
    <row r="16" spans="1:12" ht="15" customHeight="1" x14ac:dyDescent="0.2">
      <c r="A16" s="1" t="s">
        <v>14</v>
      </c>
      <c r="B16" s="1">
        <v>2022</v>
      </c>
      <c r="C16" s="18" t="s">
        <v>25</v>
      </c>
      <c r="D16" s="18" t="s">
        <v>128</v>
      </c>
      <c r="E16" s="19">
        <v>22020552</v>
      </c>
      <c r="F16" s="20" t="s">
        <v>26</v>
      </c>
      <c r="G16" s="21"/>
      <c r="H16" s="21">
        <v>2619364000</v>
      </c>
      <c r="I16" s="21">
        <f t="shared" si="0"/>
        <v>13317313625</v>
      </c>
      <c r="J16" s="17" t="s">
        <v>17</v>
      </c>
    </row>
    <row r="17" spans="1:13" ht="15" customHeight="1" x14ac:dyDescent="0.2">
      <c r="A17" s="1" t="s">
        <v>14</v>
      </c>
      <c r="B17" s="1">
        <v>2022</v>
      </c>
      <c r="C17" s="18" t="s">
        <v>27</v>
      </c>
      <c r="D17" s="18" t="s">
        <v>129</v>
      </c>
      <c r="E17" s="19">
        <v>22030469</v>
      </c>
      <c r="F17" s="20" t="s">
        <v>28</v>
      </c>
      <c r="G17" s="21"/>
      <c r="H17" s="21">
        <v>3724833750</v>
      </c>
      <c r="I17" s="21">
        <f t="shared" si="0"/>
        <v>17042147375</v>
      </c>
      <c r="J17" s="17" t="s">
        <v>17</v>
      </c>
    </row>
    <row r="18" spans="1:13" ht="15" customHeight="1" x14ac:dyDescent="0.2">
      <c r="A18" s="1" t="s">
        <v>14</v>
      </c>
      <c r="B18" s="1">
        <v>2022</v>
      </c>
      <c r="C18" s="18" t="s">
        <v>29</v>
      </c>
      <c r="D18" s="18"/>
      <c r="E18" s="19">
        <v>22040629</v>
      </c>
      <c r="F18" s="20" t="s">
        <v>30</v>
      </c>
      <c r="G18" s="21">
        <v>5750000000</v>
      </c>
      <c r="H18" s="21"/>
      <c r="I18" s="21">
        <f t="shared" si="0"/>
        <v>11292147375</v>
      </c>
      <c r="J18" s="17" t="s">
        <v>17</v>
      </c>
    </row>
    <row r="19" spans="1:13" ht="15" customHeight="1" x14ac:dyDescent="0.2">
      <c r="A19" s="1" t="s">
        <v>14</v>
      </c>
      <c r="B19" s="1">
        <v>2022</v>
      </c>
      <c r="C19" s="18" t="s">
        <v>31</v>
      </c>
      <c r="D19" s="18"/>
      <c r="E19" s="19">
        <v>22040306</v>
      </c>
      <c r="F19" s="20" t="s">
        <v>32</v>
      </c>
      <c r="G19" s="21">
        <v>1936740875</v>
      </c>
      <c r="H19" s="21"/>
      <c r="I19" s="21">
        <f t="shared" si="0"/>
        <v>9355406500</v>
      </c>
      <c r="J19" s="17" t="s">
        <v>17</v>
      </c>
    </row>
    <row r="20" spans="1:13" ht="15" customHeight="1" x14ac:dyDescent="0.2">
      <c r="A20" s="1" t="s">
        <v>14</v>
      </c>
      <c r="B20" s="1">
        <v>2022</v>
      </c>
      <c r="C20" s="18" t="s">
        <v>33</v>
      </c>
      <c r="D20" s="18"/>
      <c r="E20" s="19">
        <v>22040356</v>
      </c>
      <c r="F20" s="20" t="s">
        <v>34</v>
      </c>
      <c r="G20" s="21">
        <v>1150000000</v>
      </c>
      <c r="H20" s="21"/>
      <c r="I20" s="21">
        <f t="shared" si="0"/>
        <v>8205406500</v>
      </c>
      <c r="J20" s="17" t="s">
        <v>17</v>
      </c>
    </row>
    <row r="21" spans="1:13" ht="15" customHeight="1" x14ac:dyDescent="0.2">
      <c r="A21" s="1" t="s">
        <v>14</v>
      </c>
      <c r="B21" s="1">
        <v>2022</v>
      </c>
      <c r="C21" s="18" t="s">
        <v>33</v>
      </c>
      <c r="D21" s="18" t="s">
        <v>130</v>
      </c>
      <c r="E21" s="19">
        <v>22040880</v>
      </c>
      <c r="F21" s="20" t="s">
        <v>35</v>
      </c>
      <c r="G21" s="21"/>
      <c r="H21" s="21">
        <v>9831910000</v>
      </c>
      <c r="I21" s="21">
        <f t="shared" si="0"/>
        <v>18037316500</v>
      </c>
      <c r="J21" s="17" t="s">
        <v>17</v>
      </c>
    </row>
    <row r="22" spans="1:13" ht="15" customHeight="1" x14ac:dyDescent="0.2">
      <c r="A22" s="1" t="s">
        <v>14</v>
      </c>
      <c r="B22" s="1">
        <v>2022</v>
      </c>
      <c r="C22" s="18" t="s">
        <v>36</v>
      </c>
      <c r="D22" s="18"/>
      <c r="E22" s="19">
        <v>22050179</v>
      </c>
      <c r="F22" s="20" t="s">
        <v>34</v>
      </c>
      <c r="G22" s="21">
        <v>1814678750</v>
      </c>
      <c r="H22" s="21"/>
      <c r="I22" s="21">
        <f t="shared" si="0"/>
        <v>16222637750</v>
      </c>
      <c r="J22" s="17" t="s">
        <v>17</v>
      </c>
    </row>
    <row r="23" spans="1:13" ht="15" customHeight="1" x14ac:dyDescent="0.2">
      <c r="A23" s="1" t="s">
        <v>14</v>
      </c>
      <c r="B23" s="1">
        <v>2022</v>
      </c>
      <c r="C23" s="18" t="s">
        <v>36</v>
      </c>
      <c r="D23" s="18"/>
      <c r="E23" s="19">
        <v>22050179</v>
      </c>
      <c r="F23" s="20" t="s">
        <v>37</v>
      </c>
      <c r="G23" s="21">
        <v>46530000</v>
      </c>
      <c r="H23" s="21"/>
      <c r="I23" s="21">
        <f t="shared" si="0"/>
        <v>16176107750</v>
      </c>
      <c r="J23" s="17" t="s">
        <v>17</v>
      </c>
    </row>
    <row r="24" spans="1:13" ht="15" customHeight="1" x14ac:dyDescent="0.2">
      <c r="A24" s="1" t="s">
        <v>14</v>
      </c>
      <c r="B24" s="1">
        <v>2022</v>
      </c>
      <c r="C24" s="18" t="s">
        <v>38</v>
      </c>
      <c r="D24" s="18" t="s">
        <v>131</v>
      </c>
      <c r="E24" s="19">
        <v>22050622</v>
      </c>
      <c r="F24" s="20" t="s">
        <v>39</v>
      </c>
      <c r="G24" s="21"/>
      <c r="H24" s="21">
        <v>9298488650</v>
      </c>
      <c r="I24" s="21">
        <f t="shared" si="0"/>
        <v>25474596400</v>
      </c>
      <c r="J24" s="17" t="s">
        <v>17</v>
      </c>
    </row>
    <row r="25" spans="1:13" s="22" customFormat="1" ht="15" customHeight="1" x14ac:dyDescent="0.2">
      <c r="A25" s="22" t="s">
        <v>14</v>
      </c>
      <c r="B25" s="22">
        <v>2022</v>
      </c>
      <c r="C25" s="30" t="s">
        <v>40</v>
      </c>
      <c r="D25" s="30"/>
      <c r="E25" s="31">
        <v>22060386</v>
      </c>
      <c r="F25" s="32" t="s">
        <v>41</v>
      </c>
      <c r="G25" s="33">
        <v>2619364000</v>
      </c>
      <c r="H25" s="33"/>
      <c r="I25" s="33">
        <f t="shared" si="0"/>
        <v>22855232400</v>
      </c>
      <c r="J25" s="34" t="s">
        <v>17</v>
      </c>
    </row>
    <row r="26" spans="1:13" s="22" customFormat="1" ht="15" customHeight="1" x14ac:dyDescent="0.2">
      <c r="A26" s="22" t="s">
        <v>14</v>
      </c>
      <c r="B26" s="22">
        <v>2022</v>
      </c>
      <c r="C26" s="30" t="s">
        <v>42</v>
      </c>
      <c r="D26" s="30" t="s">
        <v>132</v>
      </c>
      <c r="E26" s="31">
        <v>22060661</v>
      </c>
      <c r="F26" s="32" t="s">
        <v>43</v>
      </c>
      <c r="G26" s="33"/>
      <c r="H26" s="39">
        <v>11086603000</v>
      </c>
      <c r="I26" s="33">
        <f t="shared" si="0"/>
        <v>33941835400</v>
      </c>
      <c r="J26" s="34" t="s">
        <v>17</v>
      </c>
      <c r="L26" s="40">
        <v>44742</v>
      </c>
      <c r="M26" s="40">
        <f>+L26+60</f>
        <v>44802</v>
      </c>
    </row>
    <row r="27" spans="1:13" ht="15" customHeight="1" x14ac:dyDescent="0.2">
      <c r="A27" s="1" t="s">
        <v>14</v>
      </c>
      <c r="B27" s="1">
        <v>2022</v>
      </c>
      <c r="C27" s="18" t="s">
        <v>44</v>
      </c>
      <c r="D27" s="18" t="s">
        <v>133</v>
      </c>
      <c r="E27" s="19">
        <v>22070585</v>
      </c>
      <c r="F27" s="20" t="s">
        <v>45</v>
      </c>
      <c r="G27" s="21"/>
      <c r="H27" s="45">
        <v>10184806500</v>
      </c>
      <c r="I27" s="21">
        <f t="shared" si="0"/>
        <v>44126641900</v>
      </c>
      <c r="J27" s="17" t="s">
        <v>17</v>
      </c>
      <c r="L27" s="41">
        <v>44773</v>
      </c>
      <c r="M27" s="40">
        <f>+L27+60</f>
        <v>44833</v>
      </c>
    </row>
    <row r="28" spans="1:13" ht="15" customHeight="1" x14ac:dyDescent="0.2">
      <c r="A28" s="1" t="s">
        <v>14</v>
      </c>
      <c r="B28" s="1">
        <v>2022</v>
      </c>
      <c r="C28" s="18" t="s">
        <v>46</v>
      </c>
      <c r="D28" s="18"/>
      <c r="E28" s="19">
        <v>22080228</v>
      </c>
      <c r="F28" s="20" t="s">
        <v>47</v>
      </c>
      <c r="G28" s="21">
        <v>1686999698</v>
      </c>
      <c r="H28" s="21"/>
      <c r="I28" s="21">
        <f t="shared" si="0"/>
        <v>42439642202</v>
      </c>
      <c r="J28" s="17" t="s">
        <v>17</v>
      </c>
    </row>
    <row r="29" spans="1:13" s="22" customFormat="1" ht="15" customHeight="1" x14ac:dyDescent="0.2">
      <c r="A29" s="22" t="s">
        <v>14</v>
      </c>
      <c r="B29" s="1">
        <v>2022</v>
      </c>
      <c r="C29" s="18" t="s">
        <v>48</v>
      </c>
      <c r="D29" s="18"/>
      <c r="E29" s="19">
        <v>22080375</v>
      </c>
      <c r="F29" s="20" t="s">
        <v>47</v>
      </c>
      <c r="G29" s="23">
        <v>2037834052</v>
      </c>
      <c r="H29" s="21"/>
      <c r="I29" s="21">
        <f t="shared" si="0"/>
        <v>40401808150</v>
      </c>
      <c r="J29" s="17" t="s">
        <v>17</v>
      </c>
      <c r="K29" s="1"/>
    </row>
    <row r="30" spans="1:13" ht="15" customHeight="1" x14ac:dyDescent="0.2">
      <c r="A30" s="1" t="s">
        <v>14</v>
      </c>
      <c r="B30" s="1">
        <v>2022</v>
      </c>
      <c r="C30" s="18" t="s">
        <v>48</v>
      </c>
      <c r="D30" s="18"/>
      <c r="E30" s="19">
        <v>22080375</v>
      </c>
      <c r="F30" s="20" t="s">
        <v>49</v>
      </c>
      <c r="G30" s="21">
        <v>2300000000</v>
      </c>
      <c r="H30" s="21"/>
      <c r="I30" s="21">
        <f t="shared" si="0"/>
        <v>38101808150</v>
      </c>
      <c r="J30" s="17" t="s">
        <v>17</v>
      </c>
    </row>
    <row r="31" spans="1:13" ht="15" customHeight="1" x14ac:dyDescent="0.2">
      <c r="B31" s="1">
        <v>2022</v>
      </c>
      <c r="C31" s="18" t="s">
        <v>50</v>
      </c>
      <c r="D31" s="18" t="s">
        <v>134</v>
      </c>
      <c r="E31" s="19">
        <v>22080583</v>
      </c>
      <c r="F31" s="20" t="s">
        <v>45</v>
      </c>
      <c r="G31" s="21"/>
      <c r="H31" s="21">
        <v>10521619900</v>
      </c>
      <c r="I31" s="21">
        <f t="shared" si="0"/>
        <v>48623428050</v>
      </c>
      <c r="J31" s="17" t="s">
        <v>17</v>
      </c>
    </row>
    <row r="32" spans="1:13" ht="15" customHeight="1" x14ac:dyDescent="0.2">
      <c r="B32" s="1">
        <v>2022</v>
      </c>
      <c r="C32" s="18" t="s">
        <v>51</v>
      </c>
      <c r="D32" s="18"/>
      <c r="E32" s="19">
        <v>22090280</v>
      </c>
      <c r="F32" s="20" t="s">
        <v>49</v>
      </c>
      <c r="G32" s="21">
        <v>2300000000</v>
      </c>
      <c r="H32" s="21">
        <v>0</v>
      </c>
      <c r="I32" s="21">
        <f t="shared" si="0"/>
        <v>46323428050</v>
      </c>
      <c r="J32" s="17" t="s">
        <v>17</v>
      </c>
    </row>
    <row r="33" spans="2:14" ht="15" customHeight="1" x14ac:dyDescent="0.2">
      <c r="B33" s="1">
        <v>2022</v>
      </c>
      <c r="C33" s="18" t="s">
        <v>52</v>
      </c>
      <c r="D33" s="18" t="s">
        <v>135</v>
      </c>
      <c r="E33" s="19">
        <v>22090555</v>
      </c>
      <c r="F33" s="20" t="s">
        <v>53</v>
      </c>
      <c r="G33" s="21"/>
      <c r="H33" s="21">
        <v>10217982610</v>
      </c>
      <c r="I33" s="21">
        <f t="shared" si="0"/>
        <v>56541410660</v>
      </c>
      <c r="J33" s="17" t="s">
        <v>17</v>
      </c>
    </row>
    <row r="34" spans="2:14" ht="15" customHeight="1" x14ac:dyDescent="0.2">
      <c r="B34" s="1">
        <v>2022</v>
      </c>
      <c r="C34" s="18" t="s">
        <v>54</v>
      </c>
      <c r="D34" s="18"/>
      <c r="E34" s="19">
        <v>22100125</v>
      </c>
      <c r="F34" s="20" t="s">
        <v>49</v>
      </c>
      <c r="G34" s="21">
        <v>5231910000</v>
      </c>
      <c r="H34" s="21"/>
      <c r="I34" s="21">
        <f t="shared" si="0"/>
        <v>51309500660</v>
      </c>
      <c r="J34" s="17" t="s">
        <v>17</v>
      </c>
    </row>
    <row r="35" spans="2:14" ht="15" customHeight="1" x14ac:dyDescent="0.2">
      <c r="B35" s="1">
        <v>2022</v>
      </c>
      <c r="C35" s="18" t="s">
        <v>55</v>
      </c>
      <c r="D35" s="18"/>
      <c r="E35" s="19">
        <v>22100430</v>
      </c>
      <c r="F35" s="20" t="s">
        <v>56</v>
      </c>
      <c r="G35" s="21">
        <v>9298488650</v>
      </c>
      <c r="H35" s="21"/>
      <c r="I35" s="21">
        <f t="shared" si="0"/>
        <v>42011012010</v>
      </c>
      <c r="J35" s="17" t="s">
        <v>17</v>
      </c>
    </row>
    <row r="36" spans="2:14" ht="15" customHeight="1" x14ac:dyDescent="0.2">
      <c r="B36" s="1">
        <v>2022</v>
      </c>
      <c r="C36" s="18" t="s">
        <v>55</v>
      </c>
      <c r="D36" s="18" t="s">
        <v>136</v>
      </c>
      <c r="E36" s="19">
        <v>22100659</v>
      </c>
      <c r="F36" s="20" t="s">
        <v>57</v>
      </c>
      <c r="G36" s="21"/>
      <c r="H36" s="21">
        <v>11417721700</v>
      </c>
      <c r="I36" s="21">
        <f t="shared" si="0"/>
        <v>53428733710</v>
      </c>
      <c r="J36" s="17" t="s">
        <v>17</v>
      </c>
    </row>
    <row r="37" spans="2:14" ht="15" customHeight="1" x14ac:dyDescent="0.2">
      <c r="B37" s="1">
        <v>2022</v>
      </c>
      <c r="C37" s="18" t="s">
        <v>58</v>
      </c>
      <c r="D37" s="18"/>
      <c r="E37" s="19">
        <v>22110237</v>
      </c>
      <c r="F37" s="20" t="s">
        <v>59</v>
      </c>
      <c r="G37" s="38">
        <v>2450000000</v>
      </c>
      <c r="H37" s="21">
        <v>0</v>
      </c>
      <c r="I37" s="21">
        <f t="shared" si="0"/>
        <v>50978733710</v>
      </c>
      <c r="J37" s="17" t="s">
        <v>17</v>
      </c>
      <c r="L37" s="42"/>
      <c r="M37" s="43"/>
      <c r="N37" s="44"/>
    </row>
    <row r="38" spans="2:14" ht="15" customHeight="1" x14ac:dyDescent="0.2">
      <c r="B38" s="1">
        <v>2022</v>
      </c>
      <c r="C38" s="18" t="s">
        <v>60</v>
      </c>
      <c r="D38" s="18">
        <v>194</v>
      </c>
      <c r="E38" s="19">
        <v>22110793</v>
      </c>
      <c r="F38" s="20" t="s">
        <v>61</v>
      </c>
      <c r="G38" s="21"/>
      <c r="H38" s="21">
        <v>9835248500</v>
      </c>
      <c r="I38" s="21">
        <f t="shared" si="0"/>
        <v>60813982210</v>
      </c>
      <c r="J38" s="17" t="s">
        <v>17</v>
      </c>
    </row>
    <row r="39" spans="2:14" ht="15" customHeight="1" x14ac:dyDescent="0.2">
      <c r="B39" s="1">
        <v>2022</v>
      </c>
      <c r="C39" s="18" t="s">
        <v>62</v>
      </c>
      <c r="D39" s="18"/>
      <c r="E39" s="19">
        <v>22110331</v>
      </c>
      <c r="F39" s="20" t="s">
        <v>59</v>
      </c>
      <c r="G39" s="38">
        <v>6125000000</v>
      </c>
      <c r="H39" s="21"/>
      <c r="I39" s="21">
        <f t="shared" si="0"/>
        <v>54688982210</v>
      </c>
      <c r="J39" s="17" t="s">
        <v>17</v>
      </c>
      <c r="L39" s="42"/>
      <c r="M39" s="43"/>
      <c r="N39" s="44"/>
    </row>
    <row r="40" spans="2:14" ht="15" customHeight="1" x14ac:dyDescent="0.2">
      <c r="B40" s="1">
        <v>2022</v>
      </c>
      <c r="C40" s="18" t="s">
        <v>63</v>
      </c>
      <c r="D40" s="18"/>
      <c r="E40" s="19">
        <v>22120110</v>
      </c>
      <c r="F40" s="20" t="s">
        <v>59</v>
      </c>
      <c r="G40" s="38">
        <v>2511603000</v>
      </c>
      <c r="H40" s="21"/>
      <c r="I40" s="21">
        <f t="shared" si="0"/>
        <v>52177379210</v>
      </c>
      <c r="J40" s="17" t="s">
        <v>17</v>
      </c>
      <c r="L40" s="42"/>
      <c r="M40" s="43"/>
      <c r="N40" s="44"/>
    </row>
    <row r="41" spans="2:14" ht="15" customHeight="1" x14ac:dyDescent="0.2">
      <c r="B41" s="1">
        <v>2022</v>
      </c>
      <c r="C41" s="18" t="s">
        <v>64</v>
      </c>
      <c r="D41" s="18"/>
      <c r="E41" s="19">
        <v>22120465</v>
      </c>
      <c r="F41" s="20" t="s">
        <v>65</v>
      </c>
      <c r="G41" s="45">
        <v>8724360000</v>
      </c>
      <c r="H41" s="21"/>
      <c r="I41" s="21">
        <f t="shared" si="0"/>
        <v>43453019210</v>
      </c>
      <c r="J41" s="17" t="s">
        <v>17</v>
      </c>
      <c r="L41" s="42"/>
      <c r="M41" s="43"/>
      <c r="N41" s="44"/>
    </row>
    <row r="42" spans="2:14" ht="15" customHeight="1" x14ac:dyDescent="0.2">
      <c r="B42" s="1">
        <v>2022</v>
      </c>
      <c r="C42" s="18" t="s">
        <v>66</v>
      </c>
      <c r="D42" s="18">
        <v>220</v>
      </c>
      <c r="E42" s="19">
        <v>22120844</v>
      </c>
      <c r="F42" s="20" t="s">
        <v>67</v>
      </c>
      <c r="G42" s="21"/>
      <c r="H42" s="21">
        <v>2669576360</v>
      </c>
      <c r="I42" s="21">
        <f t="shared" si="0"/>
        <v>46122595570</v>
      </c>
      <c r="J42" s="17" t="s">
        <v>17</v>
      </c>
    </row>
    <row r="43" spans="2:14" ht="15" customHeight="1" x14ac:dyDescent="0.2">
      <c r="B43" s="1">
        <v>2023</v>
      </c>
      <c r="C43" s="18" t="s">
        <v>68</v>
      </c>
      <c r="D43" s="18"/>
      <c r="E43" s="19">
        <v>23010057</v>
      </c>
      <c r="F43" s="20" t="s">
        <v>69</v>
      </c>
      <c r="G43" s="45">
        <v>1460446500</v>
      </c>
      <c r="H43" s="21"/>
      <c r="I43" s="21">
        <f t="shared" si="0"/>
        <v>44662149070</v>
      </c>
      <c r="J43" s="17" t="s">
        <v>17</v>
      </c>
      <c r="L43" s="42"/>
      <c r="M43" s="43"/>
      <c r="N43" s="44"/>
    </row>
    <row r="44" spans="2:14" ht="15" customHeight="1" x14ac:dyDescent="0.2">
      <c r="B44" s="1">
        <v>2023</v>
      </c>
      <c r="C44" s="18" t="s">
        <v>68</v>
      </c>
      <c r="D44" s="18"/>
      <c r="E44" s="19">
        <v>23010057</v>
      </c>
      <c r="F44" s="20" t="s">
        <v>70</v>
      </c>
      <c r="G44" s="21">
        <v>3339553500</v>
      </c>
      <c r="H44" s="21"/>
      <c r="I44" s="21">
        <f t="shared" si="0"/>
        <v>41322595570</v>
      </c>
      <c r="J44" s="17" t="s">
        <v>17</v>
      </c>
    </row>
    <row r="45" spans="2:14" ht="15" customHeight="1" x14ac:dyDescent="0.2">
      <c r="B45" s="1">
        <v>2023</v>
      </c>
      <c r="C45" s="18" t="s">
        <v>71</v>
      </c>
      <c r="D45" s="18">
        <v>21</v>
      </c>
      <c r="E45" s="19">
        <v>23010428</v>
      </c>
      <c r="F45" s="20" t="s">
        <v>72</v>
      </c>
      <c r="G45" s="21">
        <v>0</v>
      </c>
      <c r="H45" s="21">
        <v>432694020</v>
      </c>
      <c r="I45" s="21">
        <f t="shared" si="0"/>
        <v>41755289590</v>
      </c>
      <c r="J45" s="17" t="s">
        <v>17</v>
      </c>
      <c r="N45" s="44"/>
    </row>
    <row r="46" spans="2:14" ht="15" customHeight="1" x14ac:dyDescent="0.2">
      <c r="B46" s="1">
        <v>2023</v>
      </c>
      <c r="C46" s="18" t="s">
        <v>73</v>
      </c>
      <c r="D46" s="18"/>
      <c r="E46" s="19">
        <v>23010281</v>
      </c>
      <c r="F46" s="20" t="s">
        <v>74</v>
      </c>
      <c r="G46" s="21">
        <v>7182066400</v>
      </c>
      <c r="H46" s="21"/>
      <c r="I46" s="21">
        <f t="shared" si="0"/>
        <v>34573223190</v>
      </c>
      <c r="J46" s="17" t="s">
        <v>17</v>
      </c>
      <c r="N46" s="46"/>
    </row>
    <row r="47" spans="2:14" ht="15" customHeight="1" x14ac:dyDescent="0.2">
      <c r="B47" s="1">
        <v>2023</v>
      </c>
      <c r="C47" s="18" t="s">
        <v>73</v>
      </c>
      <c r="D47" s="18"/>
      <c r="E47" s="19">
        <v>23010281</v>
      </c>
      <c r="F47" s="20" t="s">
        <v>75</v>
      </c>
      <c r="G47" s="21">
        <v>2417933600</v>
      </c>
      <c r="H47" s="21"/>
      <c r="I47" s="21">
        <f t="shared" si="0"/>
        <v>32155289590</v>
      </c>
      <c r="J47" s="17" t="s">
        <v>17</v>
      </c>
    </row>
    <row r="48" spans="2:14" ht="15" customHeight="1" x14ac:dyDescent="0.2">
      <c r="B48" s="1">
        <v>2023</v>
      </c>
      <c r="C48" s="18" t="s">
        <v>76</v>
      </c>
      <c r="D48" s="18"/>
      <c r="E48" s="19">
        <v>23020006</v>
      </c>
      <c r="F48" s="20" t="s">
        <v>77</v>
      </c>
      <c r="G48" s="21">
        <v>1080788500</v>
      </c>
      <c r="H48" s="21"/>
      <c r="I48" s="21">
        <f t="shared" si="0"/>
        <v>31074501090</v>
      </c>
      <c r="J48" s="17" t="s">
        <v>17</v>
      </c>
    </row>
    <row r="49" spans="2:10" ht="15" customHeight="1" x14ac:dyDescent="0.2">
      <c r="B49" s="1">
        <v>2023</v>
      </c>
      <c r="C49" s="18" t="s">
        <v>78</v>
      </c>
      <c r="D49" s="18"/>
      <c r="E49" s="19">
        <v>23020150</v>
      </c>
      <c r="F49" s="20" t="s">
        <v>75</v>
      </c>
      <c r="G49" s="21">
        <v>2971434000</v>
      </c>
      <c r="H49" s="21"/>
      <c r="I49" s="21">
        <f t="shared" si="0"/>
        <v>28103067090</v>
      </c>
      <c r="J49" s="17" t="s">
        <v>17</v>
      </c>
    </row>
    <row r="50" spans="2:10" ht="15" customHeight="1" x14ac:dyDescent="0.2">
      <c r="B50" s="1">
        <v>2023</v>
      </c>
      <c r="C50" s="18" t="s">
        <v>79</v>
      </c>
      <c r="D50" s="18"/>
      <c r="E50" s="19">
        <v>23020080</v>
      </c>
      <c r="F50" s="20" t="s">
        <v>75</v>
      </c>
      <c r="G50" s="21">
        <v>3747826510</v>
      </c>
      <c r="H50" s="21"/>
      <c r="I50" s="21">
        <f t="shared" si="0"/>
        <v>24355240580</v>
      </c>
      <c r="J50" s="17" t="s">
        <v>17</v>
      </c>
    </row>
    <row r="51" spans="2:10" ht="15" customHeight="1" x14ac:dyDescent="0.2">
      <c r="B51" s="1">
        <v>2023</v>
      </c>
      <c r="C51" s="18" t="s">
        <v>79</v>
      </c>
      <c r="D51" s="18"/>
      <c r="E51" s="19">
        <v>23020080</v>
      </c>
      <c r="F51" s="20" t="s">
        <v>80</v>
      </c>
      <c r="G51" s="21">
        <v>4477173490</v>
      </c>
      <c r="H51" s="21"/>
      <c r="I51" s="21">
        <f t="shared" si="0"/>
        <v>19878067090</v>
      </c>
      <c r="J51" s="17" t="s">
        <v>17</v>
      </c>
    </row>
    <row r="52" spans="2:10" ht="15" customHeight="1" x14ac:dyDescent="0.2">
      <c r="B52" s="1">
        <v>2023</v>
      </c>
      <c r="C52" s="18" t="s">
        <v>79</v>
      </c>
      <c r="D52" s="18">
        <v>57</v>
      </c>
      <c r="E52" s="19">
        <v>23020629</v>
      </c>
      <c r="F52" s="20" t="s">
        <v>72</v>
      </c>
      <c r="G52" s="21"/>
      <c r="H52" s="21">
        <v>7484749800</v>
      </c>
      <c r="I52" s="21">
        <f t="shared" si="0"/>
        <v>27362816890</v>
      </c>
      <c r="J52" s="17" t="s">
        <v>17</v>
      </c>
    </row>
    <row r="53" spans="2:10" ht="15" customHeight="1" x14ac:dyDescent="0.2">
      <c r="B53" s="1">
        <v>2023</v>
      </c>
      <c r="C53" s="18" t="s">
        <v>81</v>
      </c>
      <c r="D53" s="18"/>
      <c r="E53" s="19">
        <v>23030290</v>
      </c>
      <c r="F53" s="20" t="s">
        <v>82</v>
      </c>
      <c r="G53" s="21">
        <v>3525000000</v>
      </c>
      <c r="H53" s="21">
        <v>0</v>
      </c>
      <c r="I53" s="21">
        <f t="shared" si="0"/>
        <v>23837816890</v>
      </c>
      <c r="J53" s="17" t="s">
        <v>17</v>
      </c>
    </row>
    <row r="54" spans="2:10" ht="15" customHeight="1" x14ac:dyDescent="0.2">
      <c r="B54" s="1">
        <v>2023</v>
      </c>
      <c r="C54" s="18" t="s">
        <v>83</v>
      </c>
      <c r="D54" s="18">
        <v>98</v>
      </c>
      <c r="E54" s="19">
        <v>23030695</v>
      </c>
      <c r="F54" s="20" t="s">
        <v>84</v>
      </c>
      <c r="G54" s="21"/>
      <c r="H54" s="21">
        <v>7988039400</v>
      </c>
      <c r="I54" s="21">
        <f t="shared" si="0"/>
        <v>31825856290</v>
      </c>
      <c r="J54" s="17" t="s">
        <v>17</v>
      </c>
    </row>
    <row r="55" spans="2:10" ht="15" customHeight="1" x14ac:dyDescent="0.2">
      <c r="B55" s="1">
        <v>2023</v>
      </c>
      <c r="C55" s="18" t="s">
        <v>85</v>
      </c>
      <c r="D55" s="18">
        <v>103</v>
      </c>
      <c r="E55" s="19">
        <v>23030694</v>
      </c>
      <c r="F55" s="20" t="s">
        <v>72</v>
      </c>
      <c r="G55" s="21"/>
      <c r="H55" s="21">
        <v>602315450</v>
      </c>
      <c r="I55" s="21">
        <f t="shared" si="0"/>
        <v>32428171740</v>
      </c>
      <c r="J55" s="17" t="s">
        <v>17</v>
      </c>
    </row>
    <row r="56" spans="2:10" ht="15" customHeight="1" x14ac:dyDescent="0.2">
      <c r="B56" s="1">
        <v>2023</v>
      </c>
      <c r="C56" s="18" t="s">
        <v>86</v>
      </c>
      <c r="D56" s="18"/>
      <c r="E56" s="19">
        <v>23040911</v>
      </c>
      <c r="F56" s="20" t="s">
        <v>87</v>
      </c>
      <c r="G56" s="21">
        <v>3415548210</v>
      </c>
      <c r="H56" s="21"/>
      <c r="I56" s="21">
        <f t="shared" si="0"/>
        <v>29012623530</v>
      </c>
      <c r="J56" s="17" t="s">
        <v>17</v>
      </c>
    </row>
    <row r="57" spans="2:10" ht="15" customHeight="1" x14ac:dyDescent="0.2">
      <c r="B57" s="1">
        <v>2023</v>
      </c>
      <c r="C57" s="18" t="s">
        <v>86</v>
      </c>
      <c r="D57" s="18"/>
      <c r="E57" s="19">
        <v>23040911</v>
      </c>
      <c r="F57" s="20" t="s">
        <v>88</v>
      </c>
      <c r="G57" s="21">
        <v>5984451790</v>
      </c>
      <c r="H57" s="21"/>
      <c r="I57" s="21">
        <f t="shared" si="0"/>
        <v>23028171740</v>
      </c>
      <c r="J57" s="17" t="s">
        <v>17</v>
      </c>
    </row>
    <row r="58" spans="2:10" ht="15" customHeight="1" x14ac:dyDescent="0.2">
      <c r="B58" s="1">
        <v>2023</v>
      </c>
      <c r="C58" s="18" t="s">
        <v>89</v>
      </c>
      <c r="D58" s="18"/>
      <c r="E58" s="19">
        <v>23040959</v>
      </c>
      <c r="F58" s="20" t="s">
        <v>90</v>
      </c>
      <c r="G58" s="21">
        <v>3850796710</v>
      </c>
      <c r="H58" s="21"/>
      <c r="I58" s="21">
        <f t="shared" si="0"/>
        <v>19177375030</v>
      </c>
      <c r="J58" s="17" t="s">
        <v>17</v>
      </c>
    </row>
    <row r="59" spans="2:10" ht="15" customHeight="1" x14ac:dyDescent="0.2">
      <c r="B59" s="1">
        <v>2023</v>
      </c>
      <c r="C59" s="18" t="s">
        <v>89</v>
      </c>
      <c r="D59" s="18"/>
      <c r="E59" s="19">
        <v>23040959</v>
      </c>
      <c r="F59" s="20" t="s">
        <v>91</v>
      </c>
      <c r="G59" s="21">
        <v>2669576360</v>
      </c>
      <c r="H59" s="21"/>
      <c r="I59" s="21">
        <f t="shared" si="0"/>
        <v>16507798670</v>
      </c>
      <c r="J59" s="17" t="s">
        <v>17</v>
      </c>
    </row>
    <row r="60" spans="2:10" ht="15" customHeight="1" x14ac:dyDescent="0.2">
      <c r="B60" s="1">
        <v>2023</v>
      </c>
      <c r="C60" s="18" t="s">
        <v>89</v>
      </c>
      <c r="D60" s="18"/>
      <c r="E60" s="19">
        <v>23040959</v>
      </c>
      <c r="F60" s="20" t="s">
        <v>92</v>
      </c>
      <c r="G60" s="21">
        <v>432694020</v>
      </c>
      <c r="H60" s="21"/>
      <c r="I60" s="21">
        <f t="shared" si="0"/>
        <v>16075104650</v>
      </c>
      <c r="J60" s="17" t="s">
        <v>17</v>
      </c>
    </row>
    <row r="61" spans="2:10" ht="15" customHeight="1" x14ac:dyDescent="0.2">
      <c r="B61" s="1">
        <v>2023</v>
      </c>
      <c r="C61" s="18" t="s">
        <v>93</v>
      </c>
      <c r="D61" s="18" t="s">
        <v>137</v>
      </c>
      <c r="E61" s="19">
        <v>23040590</v>
      </c>
      <c r="F61" s="20" t="s">
        <v>72</v>
      </c>
      <c r="G61" s="21"/>
      <c r="H61" s="21">
        <v>8385043700</v>
      </c>
      <c r="I61" s="21">
        <f t="shared" si="0"/>
        <v>24460148350</v>
      </c>
      <c r="J61" s="17" t="s">
        <v>17</v>
      </c>
    </row>
    <row r="62" spans="2:10" ht="15" customHeight="1" x14ac:dyDescent="0.2">
      <c r="B62" s="1">
        <v>2023</v>
      </c>
      <c r="C62" s="18" t="s">
        <v>94</v>
      </c>
      <c r="D62" s="18">
        <v>185</v>
      </c>
      <c r="E62" s="19">
        <v>23050829</v>
      </c>
      <c r="F62" s="20" t="s">
        <v>95</v>
      </c>
      <c r="G62" s="21"/>
      <c r="H62" s="21">
        <v>9469925300</v>
      </c>
      <c r="I62" s="21">
        <f t="shared" si="0"/>
        <v>33930073650</v>
      </c>
      <c r="J62" s="17" t="s">
        <v>17</v>
      </c>
    </row>
    <row r="63" spans="2:10" ht="15" customHeight="1" x14ac:dyDescent="0.2">
      <c r="B63" s="1">
        <v>2023</v>
      </c>
      <c r="C63" s="18" t="s">
        <v>96</v>
      </c>
      <c r="D63" s="18"/>
      <c r="E63" s="19">
        <v>23060398</v>
      </c>
      <c r="F63" s="20" t="s">
        <v>97</v>
      </c>
      <c r="G63" s="21">
        <v>1175000000</v>
      </c>
      <c r="H63" s="21"/>
      <c r="I63" s="21">
        <f t="shared" si="0"/>
        <v>32755073650</v>
      </c>
      <c r="J63" s="17" t="s">
        <v>17</v>
      </c>
    </row>
    <row r="64" spans="2:10" ht="15" customHeight="1" x14ac:dyDescent="0.2">
      <c r="B64" s="1">
        <v>2023</v>
      </c>
      <c r="C64" s="18" t="s">
        <v>98</v>
      </c>
      <c r="D64" s="18">
        <v>207</v>
      </c>
      <c r="E64" s="19">
        <v>23060566</v>
      </c>
      <c r="F64" s="20" t="s">
        <v>99</v>
      </c>
      <c r="G64" s="21"/>
      <c r="H64" s="21">
        <v>5753386650</v>
      </c>
      <c r="I64" s="21">
        <f t="shared" si="0"/>
        <v>38508460300</v>
      </c>
      <c r="J64" s="17" t="s">
        <v>17</v>
      </c>
    </row>
    <row r="65" spans="2:10" ht="15" customHeight="1" x14ac:dyDescent="0.2">
      <c r="B65" s="1">
        <v>2023</v>
      </c>
      <c r="C65" s="18" t="s">
        <v>100</v>
      </c>
      <c r="D65" s="18"/>
      <c r="E65" s="19">
        <v>23070389</v>
      </c>
      <c r="F65" s="20" t="s">
        <v>101</v>
      </c>
      <c r="G65" s="21">
        <v>2201832700</v>
      </c>
      <c r="H65" s="21"/>
      <c r="I65" s="21">
        <f t="shared" si="0"/>
        <v>36306627600</v>
      </c>
      <c r="J65" s="17" t="s">
        <v>17</v>
      </c>
    </row>
    <row r="66" spans="2:10" ht="15" customHeight="1" x14ac:dyDescent="0.2">
      <c r="B66" s="1">
        <v>2023</v>
      </c>
      <c r="C66" s="18" t="s">
        <v>100</v>
      </c>
      <c r="D66" s="18"/>
      <c r="E66" s="19">
        <v>23070389</v>
      </c>
      <c r="F66" s="20" t="s">
        <v>102</v>
      </c>
      <c r="G66" s="21">
        <v>6309749800</v>
      </c>
      <c r="H66" s="21"/>
      <c r="I66" s="21">
        <f t="shared" si="0"/>
        <v>29996877800</v>
      </c>
      <c r="J66" s="17" t="s">
        <v>17</v>
      </c>
    </row>
    <row r="67" spans="2:10" ht="15" customHeight="1" x14ac:dyDescent="0.2">
      <c r="B67" s="1">
        <v>2023</v>
      </c>
      <c r="C67" s="18" t="s">
        <v>103</v>
      </c>
      <c r="D67" s="18"/>
      <c r="E67" s="19">
        <v>23080494</v>
      </c>
      <c r="F67" s="20" t="s">
        <v>104</v>
      </c>
      <c r="G67" s="21">
        <v>6388522235</v>
      </c>
      <c r="H67" s="21"/>
      <c r="I67" s="21">
        <f t="shared" si="0"/>
        <v>23608355565</v>
      </c>
      <c r="J67" s="17" t="s">
        <v>17</v>
      </c>
    </row>
    <row r="68" spans="2:10" ht="15" customHeight="1" x14ac:dyDescent="0.2">
      <c r="B68" s="1">
        <v>2023</v>
      </c>
      <c r="C68" s="18" t="s">
        <v>105</v>
      </c>
      <c r="D68" s="18"/>
      <c r="E68" s="19">
        <v>23090429</v>
      </c>
      <c r="F68" s="20" t="s">
        <v>106</v>
      </c>
      <c r="G68" s="21">
        <v>8385043615</v>
      </c>
      <c r="H68" s="21"/>
      <c r="I68" s="21">
        <f t="shared" si="0"/>
        <v>15223311950</v>
      </c>
      <c r="J68" s="17" t="s">
        <v>17</v>
      </c>
    </row>
    <row r="69" spans="2:10" ht="15" customHeight="1" x14ac:dyDescent="0.2">
      <c r="B69" s="1">
        <v>2023</v>
      </c>
      <c r="C69" s="18" t="s">
        <v>107</v>
      </c>
      <c r="D69" s="18"/>
      <c r="E69" s="19">
        <v>23100625</v>
      </c>
      <c r="F69" s="20" t="s">
        <v>108</v>
      </c>
      <c r="G69" s="21">
        <v>4800000000</v>
      </c>
      <c r="H69" s="21"/>
      <c r="I69" s="21">
        <f t="shared" si="0"/>
        <v>10423311950</v>
      </c>
      <c r="J69" s="17" t="s">
        <v>17</v>
      </c>
    </row>
    <row r="70" spans="2:10" ht="15" customHeight="1" x14ac:dyDescent="0.2">
      <c r="B70" s="1">
        <v>2023</v>
      </c>
      <c r="C70" s="18" t="s">
        <v>109</v>
      </c>
      <c r="D70" s="18"/>
      <c r="E70" s="19">
        <v>23110581</v>
      </c>
      <c r="F70" s="20" t="s">
        <v>110</v>
      </c>
      <c r="G70" s="21">
        <v>3494904000</v>
      </c>
      <c r="H70" s="21"/>
      <c r="I70" s="21">
        <f t="shared" si="0"/>
        <v>6928407950</v>
      </c>
      <c r="J70" s="17" t="s">
        <v>17</v>
      </c>
    </row>
    <row r="71" spans="2:10" ht="15" customHeight="1" x14ac:dyDescent="0.2">
      <c r="B71" s="1">
        <v>2023</v>
      </c>
      <c r="C71" s="18" t="s">
        <v>111</v>
      </c>
      <c r="D71" s="18"/>
      <c r="E71" s="19">
        <v>23110416</v>
      </c>
      <c r="F71" s="20" t="s">
        <v>112</v>
      </c>
      <c r="G71" s="21">
        <v>1175021300</v>
      </c>
      <c r="H71" s="21"/>
      <c r="I71" s="21">
        <f t="shared" si="0"/>
        <v>5753386650</v>
      </c>
      <c r="J71" s="17" t="s">
        <v>17</v>
      </c>
    </row>
    <row r="72" spans="2:10" ht="15" customHeight="1" x14ac:dyDescent="0.2">
      <c r="B72" s="1">
        <v>2023</v>
      </c>
      <c r="C72" s="18" t="s">
        <v>111</v>
      </c>
      <c r="D72" s="18"/>
      <c r="E72" s="19">
        <v>23110416</v>
      </c>
      <c r="F72" s="20" t="s">
        <v>113</v>
      </c>
      <c r="G72" s="21">
        <v>3413394700</v>
      </c>
      <c r="H72" s="21"/>
      <c r="I72" s="21">
        <f t="shared" si="0"/>
        <v>2339991950</v>
      </c>
      <c r="J72" s="17" t="s">
        <v>17</v>
      </c>
    </row>
    <row r="73" spans="2:10" ht="15" customHeight="1" x14ac:dyDescent="0.2">
      <c r="B73" s="1">
        <v>2023</v>
      </c>
      <c r="C73" s="18" t="s">
        <v>114</v>
      </c>
      <c r="D73" s="18"/>
      <c r="E73" s="19">
        <v>23120126</v>
      </c>
      <c r="F73" s="20" t="s">
        <v>115</v>
      </c>
      <c r="G73" s="21">
        <v>2339991950</v>
      </c>
      <c r="H73" s="21"/>
      <c r="I73" s="21">
        <f t="shared" si="0"/>
        <v>0</v>
      </c>
      <c r="J73" s="17" t="s">
        <v>17</v>
      </c>
    </row>
    <row r="74" spans="2:10" ht="15" customHeight="1" x14ac:dyDescent="0.2">
      <c r="B74" s="1">
        <v>2023</v>
      </c>
      <c r="C74" s="18" t="s">
        <v>116</v>
      </c>
      <c r="D74" s="18">
        <v>419</v>
      </c>
      <c r="E74" s="19">
        <v>23120457</v>
      </c>
      <c r="F74" s="20" t="s">
        <v>117</v>
      </c>
      <c r="G74" s="21"/>
      <c r="H74" s="21">
        <v>261409500</v>
      </c>
      <c r="I74" s="21">
        <f t="shared" si="0"/>
        <v>261409500</v>
      </c>
      <c r="J74" s="17" t="s">
        <v>17</v>
      </c>
    </row>
    <row r="75" spans="2:10" ht="15" customHeight="1" x14ac:dyDescent="0.2">
      <c r="B75" s="1">
        <v>2023</v>
      </c>
      <c r="C75" s="18" t="s">
        <v>118</v>
      </c>
      <c r="D75" s="18"/>
      <c r="E75" s="19">
        <v>23120456</v>
      </c>
      <c r="F75" s="20" t="s">
        <v>119</v>
      </c>
      <c r="G75" s="21">
        <v>261409500</v>
      </c>
      <c r="H75" s="21"/>
      <c r="I75" s="21">
        <f t="shared" si="0"/>
        <v>0</v>
      </c>
      <c r="J75" s="17" t="s">
        <v>17</v>
      </c>
    </row>
    <row r="76" spans="2:10" s="7" customFormat="1" ht="17.25" customHeight="1" x14ac:dyDescent="0.2">
      <c r="C76" s="24"/>
      <c r="D76" s="24"/>
      <c r="E76" s="25"/>
      <c r="F76" s="24" t="s">
        <v>120</v>
      </c>
      <c r="G76" s="26">
        <f>+SUM(G11:G75)</f>
        <v>144862563065</v>
      </c>
      <c r="H76" s="26">
        <f>+SUM(H11:H75)</f>
        <v>144862563065</v>
      </c>
      <c r="I76" s="26">
        <f>+I75</f>
        <v>0</v>
      </c>
      <c r="J76" s="17"/>
    </row>
    <row r="77" spans="2:10" s="7" customFormat="1" ht="18.75" customHeight="1" thickBot="1" x14ac:dyDescent="0.25">
      <c r="C77" s="11"/>
      <c r="D77" s="11"/>
      <c r="E77" s="12"/>
      <c r="F77" s="11" t="s">
        <v>121</v>
      </c>
      <c r="G77" s="13"/>
      <c r="H77" s="27">
        <f>+H9+H76-G76</f>
        <v>0</v>
      </c>
      <c r="I77" s="27"/>
      <c r="J77" s="8"/>
    </row>
    <row r="78" spans="2:10" ht="13.5" thickTop="1" x14ac:dyDescent="0.2"/>
  </sheetData>
  <autoFilter ref="C8:J77" xr:uid="{00000000-0009-0000-0000-000000000000}"/>
  <mergeCells count="3">
    <mergeCell ref="C4:J4"/>
    <mergeCell ref="C5:J5"/>
    <mergeCell ref="C6:J6"/>
  </mergeCells>
  <phoneticPr fontId="18" type="noConversion"/>
  <printOptions horizontalCentered="1"/>
  <pageMargins left="0.25" right="0" top="1" bottom="1" header="0.5" footer="0.5"/>
  <pageSetup paperSize="9" scale="70" firstPageNumber="0" fitToWidth="0" fitToHeight="0" pageOrder="overThenDown" orientation="portrait" r:id="rId1"/>
  <headerFooter alignWithMargins="0"/>
  <customProperties>
    <customPr name="BudgetSheetCodeNam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FD70"/>
  <sheetViews>
    <sheetView topLeftCell="B1" zoomScaleNormal="100" workbookViewId="0">
      <pane ySplit="1" topLeftCell="A17" activePane="bottomLeft" state="frozen"/>
      <selection activeCell="B1" sqref="B1"/>
      <selection pane="bottomLeft" activeCell="H47" sqref="H47:H48"/>
    </sheetView>
  </sheetViews>
  <sheetFormatPr defaultRowHeight="12.75" x14ac:dyDescent="0.2"/>
  <cols>
    <col min="1" max="1" width="0" style="1" hidden="1" customWidth="1"/>
    <col min="2" max="2" width="9.125" style="1"/>
    <col min="3" max="3" width="19" style="1" customWidth="1"/>
    <col min="4" max="4" width="13.375" style="1" customWidth="1"/>
    <col min="5" max="5" width="15.875" style="28" hidden="1" customWidth="1"/>
    <col min="6" max="6" width="80.375" style="1" customWidth="1"/>
    <col min="7" max="7" width="14.875" style="29" customWidth="1"/>
    <col min="8" max="8" width="15.125" style="29" customWidth="1"/>
    <col min="9" max="9" width="15.125" style="29" hidden="1" customWidth="1"/>
    <col min="10" max="10" width="35.125" style="1" customWidth="1"/>
    <col min="11" max="11" width="9.625" style="1" bestFit="1" customWidth="1"/>
    <col min="12" max="13" width="9.125" style="1"/>
    <col min="14" max="14" width="12.875" style="1" bestFit="1" customWidth="1"/>
    <col min="15" max="235" width="9.125" style="1"/>
    <col min="236" max="236" width="0" style="1" hidden="1" customWidth="1"/>
    <col min="237" max="237" width="10.125" style="1" customWidth="1"/>
    <col min="238" max="238" width="15.875" style="1" customWidth="1"/>
    <col min="239" max="239" width="0" style="1" hidden="1" customWidth="1"/>
    <col min="240" max="240" width="80.375" style="1" customWidth="1"/>
    <col min="241" max="245" width="0" style="1" hidden="1" customWidth="1"/>
    <col min="246" max="246" width="14.875" style="1" customWidth="1"/>
    <col min="247" max="247" width="15.125" style="1" customWidth="1"/>
    <col min="248" max="260" width="0" style="1" hidden="1" customWidth="1"/>
    <col min="261" max="261" width="17.25" style="1" customWidth="1"/>
    <col min="262" max="262" width="17" style="1" customWidth="1"/>
    <col min="263" max="263" width="11.375" style="1" customWidth="1"/>
    <col min="264" max="491" width="9.125" style="1"/>
    <col min="492" max="492" width="0" style="1" hidden="1" customWidth="1"/>
    <col min="493" max="493" width="10.125" style="1" customWidth="1"/>
    <col min="494" max="494" width="15.875" style="1" customWidth="1"/>
    <col min="495" max="495" width="0" style="1" hidden="1" customWidth="1"/>
    <col min="496" max="496" width="80.375" style="1" customWidth="1"/>
    <col min="497" max="501" width="0" style="1" hidden="1" customWidth="1"/>
    <col min="502" max="502" width="14.875" style="1" customWidth="1"/>
    <col min="503" max="503" width="15.125" style="1" customWidth="1"/>
    <col min="504" max="516" width="0" style="1" hidden="1" customWidth="1"/>
    <col min="517" max="517" width="17.25" style="1" customWidth="1"/>
    <col min="518" max="518" width="17" style="1" customWidth="1"/>
    <col min="519" max="519" width="11.375" style="1" customWidth="1"/>
    <col min="520" max="747" width="9.125" style="1"/>
    <col min="748" max="748" width="0" style="1" hidden="1" customWidth="1"/>
    <col min="749" max="749" width="10.125" style="1" customWidth="1"/>
    <col min="750" max="750" width="15.875" style="1" customWidth="1"/>
    <col min="751" max="751" width="0" style="1" hidden="1" customWidth="1"/>
    <col min="752" max="752" width="80.375" style="1" customWidth="1"/>
    <col min="753" max="757" width="0" style="1" hidden="1" customWidth="1"/>
    <col min="758" max="758" width="14.875" style="1" customWidth="1"/>
    <col min="759" max="759" width="15.125" style="1" customWidth="1"/>
    <col min="760" max="772" width="0" style="1" hidden="1" customWidth="1"/>
    <col min="773" max="773" width="17.25" style="1" customWidth="1"/>
    <col min="774" max="774" width="17" style="1" customWidth="1"/>
    <col min="775" max="775" width="11.375" style="1" customWidth="1"/>
    <col min="776" max="1003" width="9.125" style="1"/>
    <col min="1004" max="1004" width="0" style="1" hidden="1" customWidth="1"/>
    <col min="1005" max="1005" width="10.125" style="1" customWidth="1"/>
    <col min="1006" max="1006" width="15.875" style="1" customWidth="1"/>
    <col min="1007" max="1007" width="0" style="1" hidden="1" customWidth="1"/>
    <col min="1008" max="1008" width="80.375" style="1" customWidth="1"/>
    <col min="1009" max="1013" width="0" style="1" hidden="1" customWidth="1"/>
    <col min="1014" max="1014" width="14.875" style="1" customWidth="1"/>
    <col min="1015" max="1015" width="15.125" style="1" customWidth="1"/>
    <col min="1016" max="1028" width="0" style="1" hidden="1" customWidth="1"/>
    <col min="1029" max="1029" width="17.25" style="1" customWidth="1"/>
    <col min="1030" max="1030" width="17" style="1" customWidth="1"/>
    <col min="1031" max="1031" width="11.375" style="1" customWidth="1"/>
    <col min="1032" max="1259" width="9.125" style="1"/>
    <col min="1260" max="1260" width="0" style="1" hidden="1" customWidth="1"/>
    <col min="1261" max="1261" width="10.125" style="1" customWidth="1"/>
    <col min="1262" max="1262" width="15.875" style="1" customWidth="1"/>
    <col min="1263" max="1263" width="0" style="1" hidden="1" customWidth="1"/>
    <col min="1264" max="1264" width="80.375" style="1" customWidth="1"/>
    <col min="1265" max="1269" width="0" style="1" hidden="1" customWidth="1"/>
    <col min="1270" max="1270" width="14.875" style="1" customWidth="1"/>
    <col min="1271" max="1271" width="15.125" style="1" customWidth="1"/>
    <col min="1272" max="1284" width="0" style="1" hidden="1" customWidth="1"/>
    <col min="1285" max="1285" width="17.25" style="1" customWidth="1"/>
    <col min="1286" max="1286" width="17" style="1" customWidth="1"/>
    <col min="1287" max="1287" width="11.375" style="1" customWidth="1"/>
    <col min="1288" max="1515" width="9.125" style="1"/>
    <col min="1516" max="1516" width="0" style="1" hidden="1" customWidth="1"/>
    <col min="1517" max="1517" width="10.125" style="1" customWidth="1"/>
    <col min="1518" max="1518" width="15.875" style="1" customWidth="1"/>
    <col min="1519" max="1519" width="0" style="1" hidden="1" customWidth="1"/>
    <col min="1520" max="1520" width="80.375" style="1" customWidth="1"/>
    <col min="1521" max="1525" width="0" style="1" hidden="1" customWidth="1"/>
    <col min="1526" max="1526" width="14.875" style="1" customWidth="1"/>
    <col min="1527" max="1527" width="15.125" style="1" customWidth="1"/>
    <col min="1528" max="1540" width="0" style="1" hidden="1" customWidth="1"/>
    <col min="1541" max="1541" width="17.25" style="1" customWidth="1"/>
    <col min="1542" max="1542" width="17" style="1" customWidth="1"/>
    <col min="1543" max="1543" width="11.375" style="1" customWidth="1"/>
    <col min="1544" max="1771" width="9.125" style="1"/>
    <col min="1772" max="1772" width="0" style="1" hidden="1" customWidth="1"/>
    <col min="1773" max="1773" width="10.125" style="1" customWidth="1"/>
    <col min="1774" max="1774" width="15.875" style="1" customWidth="1"/>
    <col min="1775" max="1775" width="0" style="1" hidden="1" customWidth="1"/>
    <col min="1776" max="1776" width="80.375" style="1" customWidth="1"/>
    <col min="1777" max="1781" width="0" style="1" hidden="1" customWidth="1"/>
    <col min="1782" max="1782" width="14.875" style="1" customWidth="1"/>
    <col min="1783" max="1783" width="15.125" style="1" customWidth="1"/>
    <col min="1784" max="1796" width="0" style="1" hidden="1" customWidth="1"/>
    <col min="1797" max="1797" width="17.25" style="1" customWidth="1"/>
    <col min="1798" max="1798" width="17" style="1" customWidth="1"/>
    <col min="1799" max="1799" width="11.375" style="1" customWidth="1"/>
    <col min="1800" max="2027" width="9.125" style="1"/>
    <col min="2028" max="2028" width="0" style="1" hidden="1" customWidth="1"/>
    <col min="2029" max="2029" width="10.125" style="1" customWidth="1"/>
    <col min="2030" max="2030" width="15.875" style="1" customWidth="1"/>
    <col min="2031" max="2031" width="0" style="1" hidden="1" customWidth="1"/>
    <col min="2032" max="2032" width="80.375" style="1" customWidth="1"/>
    <col min="2033" max="2037" width="0" style="1" hidden="1" customWidth="1"/>
    <col min="2038" max="2038" width="14.875" style="1" customWidth="1"/>
    <col min="2039" max="2039" width="15.125" style="1" customWidth="1"/>
    <col min="2040" max="2052" width="0" style="1" hidden="1" customWidth="1"/>
    <col min="2053" max="2053" width="17.25" style="1" customWidth="1"/>
    <col min="2054" max="2054" width="17" style="1" customWidth="1"/>
    <col min="2055" max="2055" width="11.375" style="1" customWidth="1"/>
    <col min="2056" max="2283" width="9.125" style="1"/>
    <col min="2284" max="2284" width="0" style="1" hidden="1" customWidth="1"/>
    <col min="2285" max="2285" width="10.125" style="1" customWidth="1"/>
    <col min="2286" max="2286" width="15.875" style="1" customWidth="1"/>
    <col min="2287" max="2287" width="0" style="1" hidden="1" customWidth="1"/>
    <col min="2288" max="2288" width="80.375" style="1" customWidth="1"/>
    <col min="2289" max="2293" width="0" style="1" hidden="1" customWidth="1"/>
    <col min="2294" max="2294" width="14.875" style="1" customWidth="1"/>
    <col min="2295" max="2295" width="15.125" style="1" customWidth="1"/>
    <col min="2296" max="2308" width="0" style="1" hidden="1" customWidth="1"/>
    <col min="2309" max="2309" width="17.25" style="1" customWidth="1"/>
    <col min="2310" max="2310" width="17" style="1" customWidth="1"/>
    <col min="2311" max="2311" width="11.375" style="1" customWidth="1"/>
    <col min="2312" max="2539" width="9.125" style="1"/>
    <col min="2540" max="2540" width="0" style="1" hidden="1" customWidth="1"/>
    <col min="2541" max="2541" width="10.125" style="1" customWidth="1"/>
    <col min="2542" max="2542" width="15.875" style="1" customWidth="1"/>
    <col min="2543" max="2543" width="0" style="1" hidden="1" customWidth="1"/>
    <col min="2544" max="2544" width="80.375" style="1" customWidth="1"/>
    <col min="2545" max="2549" width="0" style="1" hidden="1" customWidth="1"/>
    <col min="2550" max="2550" width="14.875" style="1" customWidth="1"/>
    <col min="2551" max="2551" width="15.125" style="1" customWidth="1"/>
    <col min="2552" max="2564" width="0" style="1" hidden="1" customWidth="1"/>
    <col min="2565" max="2565" width="17.25" style="1" customWidth="1"/>
    <col min="2566" max="2566" width="17" style="1" customWidth="1"/>
    <col min="2567" max="2567" width="11.375" style="1" customWidth="1"/>
    <col min="2568" max="2795" width="9.125" style="1"/>
    <col min="2796" max="2796" width="0" style="1" hidden="1" customWidth="1"/>
    <col min="2797" max="2797" width="10.125" style="1" customWidth="1"/>
    <col min="2798" max="2798" width="15.875" style="1" customWidth="1"/>
    <col min="2799" max="2799" width="0" style="1" hidden="1" customWidth="1"/>
    <col min="2800" max="2800" width="80.375" style="1" customWidth="1"/>
    <col min="2801" max="2805" width="0" style="1" hidden="1" customWidth="1"/>
    <col min="2806" max="2806" width="14.875" style="1" customWidth="1"/>
    <col min="2807" max="2807" width="15.125" style="1" customWidth="1"/>
    <col min="2808" max="2820" width="0" style="1" hidden="1" customWidth="1"/>
    <col min="2821" max="2821" width="17.25" style="1" customWidth="1"/>
    <col min="2822" max="2822" width="17" style="1" customWidth="1"/>
    <col min="2823" max="2823" width="11.375" style="1" customWidth="1"/>
    <col min="2824" max="3051" width="9.125" style="1"/>
    <col min="3052" max="3052" width="0" style="1" hidden="1" customWidth="1"/>
    <col min="3053" max="3053" width="10.125" style="1" customWidth="1"/>
    <col min="3054" max="3054" width="15.875" style="1" customWidth="1"/>
    <col min="3055" max="3055" width="0" style="1" hidden="1" customWidth="1"/>
    <col min="3056" max="3056" width="80.375" style="1" customWidth="1"/>
    <col min="3057" max="3061" width="0" style="1" hidden="1" customWidth="1"/>
    <col min="3062" max="3062" width="14.875" style="1" customWidth="1"/>
    <col min="3063" max="3063" width="15.125" style="1" customWidth="1"/>
    <col min="3064" max="3076" width="0" style="1" hidden="1" customWidth="1"/>
    <col min="3077" max="3077" width="17.25" style="1" customWidth="1"/>
    <col min="3078" max="3078" width="17" style="1" customWidth="1"/>
    <col min="3079" max="3079" width="11.375" style="1" customWidth="1"/>
    <col min="3080" max="3307" width="9.125" style="1"/>
    <col min="3308" max="3308" width="0" style="1" hidden="1" customWidth="1"/>
    <col min="3309" max="3309" width="10.125" style="1" customWidth="1"/>
    <col min="3310" max="3310" width="15.875" style="1" customWidth="1"/>
    <col min="3311" max="3311" width="0" style="1" hidden="1" customWidth="1"/>
    <col min="3312" max="3312" width="80.375" style="1" customWidth="1"/>
    <col min="3313" max="3317" width="0" style="1" hidden="1" customWidth="1"/>
    <col min="3318" max="3318" width="14.875" style="1" customWidth="1"/>
    <col min="3319" max="3319" width="15.125" style="1" customWidth="1"/>
    <col min="3320" max="3332" width="0" style="1" hidden="1" customWidth="1"/>
    <col min="3333" max="3333" width="17.25" style="1" customWidth="1"/>
    <col min="3334" max="3334" width="17" style="1" customWidth="1"/>
    <col min="3335" max="3335" width="11.375" style="1" customWidth="1"/>
    <col min="3336" max="3563" width="9.125" style="1"/>
    <col min="3564" max="3564" width="0" style="1" hidden="1" customWidth="1"/>
    <col min="3565" max="3565" width="10.125" style="1" customWidth="1"/>
    <col min="3566" max="3566" width="15.875" style="1" customWidth="1"/>
    <col min="3567" max="3567" width="0" style="1" hidden="1" customWidth="1"/>
    <col min="3568" max="3568" width="80.375" style="1" customWidth="1"/>
    <col min="3569" max="3573" width="0" style="1" hidden="1" customWidth="1"/>
    <col min="3574" max="3574" width="14.875" style="1" customWidth="1"/>
    <col min="3575" max="3575" width="15.125" style="1" customWidth="1"/>
    <col min="3576" max="3588" width="0" style="1" hidden="1" customWidth="1"/>
    <col min="3589" max="3589" width="17.25" style="1" customWidth="1"/>
    <col min="3590" max="3590" width="17" style="1" customWidth="1"/>
    <col min="3591" max="3591" width="11.375" style="1" customWidth="1"/>
    <col min="3592" max="3819" width="9.125" style="1"/>
    <col min="3820" max="3820" width="0" style="1" hidden="1" customWidth="1"/>
    <col min="3821" max="3821" width="10.125" style="1" customWidth="1"/>
    <col min="3822" max="3822" width="15.875" style="1" customWidth="1"/>
    <col min="3823" max="3823" width="0" style="1" hidden="1" customWidth="1"/>
    <col min="3824" max="3824" width="80.375" style="1" customWidth="1"/>
    <col min="3825" max="3829" width="0" style="1" hidden="1" customWidth="1"/>
    <col min="3830" max="3830" width="14.875" style="1" customWidth="1"/>
    <col min="3831" max="3831" width="15.125" style="1" customWidth="1"/>
    <col min="3832" max="3844" width="0" style="1" hidden="1" customWidth="1"/>
    <col min="3845" max="3845" width="17.25" style="1" customWidth="1"/>
    <col min="3846" max="3846" width="17" style="1" customWidth="1"/>
    <col min="3847" max="3847" width="11.375" style="1" customWidth="1"/>
    <col min="3848" max="4075" width="9.125" style="1"/>
    <col min="4076" max="4076" width="0" style="1" hidden="1" customWidth="1"/>
    <col min="4077" max="4077" width="10.125" style="1" customWidth="1"/>
    <col min="4078" max="4078" width="15.875" style="1" customWidth="1"/>
    <col min="4079" max="4079" width="0" style="1" hidden="1" customWidth="1"/>
    <col min="4080" max="4080" width="80.375" style="1" customWidth="1"/>
    <col min="4081" max="4085" width="0" style="1" hidden="1" customWidth="1"/>
    <col min="4086" max="4086" width="14.875" style="1" customWidth="1"/>
    <col min="4087" max="4087" width="15.125" style="1" customWidth="1"/>
    <col min="4088" max="4100" width="0" style="1" hidden="1" customWidth="1"/>
    <col min="4101" max="4101" width="17.25" style="1" customWidth="1"/>
    <col min="4102" max="4102" width="17" style="1" customWidth="1"/>
    <col min="4103" max="4103" width="11.375" style="1" customWidth="1"/>
    <col min="4104" max="4331" width="9.125" style="1"/>
    <col min="4332" max="4332" width="0" style="1" hidden="1" customWidth="1"/>
    <col min="4333" max="4333" width="10.125" style="1" customWidth="1"/>
    <col min="4334" max="4334" width="15.875" style="1" customWidth="1"/>
    <col min="4335" max="4335" width="0" style="1" hidden="1" customWidth="1"/>
    <col min="4336" max="4336" width="80.375" style="1" customWidth="1"/>
    <col min="4337" max="4341" width="0" style="1" hidden="1" customWidth="1"/>
    <col min="4342" max="4342" width="14.875" style="1" customWidth="1"/>
    <col min="4343" max="4343" width="15.125" style="1" customWidth="1"/>
    <col min="4344" max="4356" width="0" style="1" hidden="1" customWidth="1"/>
    <col min="4357" max="4357" width="17.25" style="1" customWidth="1"/>
    <col min="4358" max="4358" width="17" style="1" customWidth="1"/>
    <col min="4359" max="4359" width="11.375" style="1" customWidth="1"/>
    <col min="4360" max="4587" width="9.125" style="1"/>
    <col min="4588" max="4588" width="0" style="1" hidden="1" customWidth="1"/>
    <col min="4589" max="4589" width="10.125" style="1" customWidth="1"/>
    <col min="4590" max="4590" width="15.875" style="1" customWidth="1"/>
    <col min="4591" max="4591" width="0" style="1" hidden="1" customWidth="1"/>
    <col min="4592" max="4592" width="80.375" style="1" customWidth="1"/>
    <col min="4593" max="4597" width="0" style="1" hidden="1" customWidth="1"/>
    <col min="4598" max="4598" width="14.875" style="1" customWidth="1"/>
    <col min="4599" max="4599" width="15.125" style="1" customWidth="1"/>
    <col min="4600" max="4612" width="0" style="1" hidden="1" customWidth="1"/>
    <col min="4613" max="4613" width="17.25" style="1" customWidth="1"/>
    <col min="4614" max="4614" width="17" style="1" customWidth="1"/>
    <col min="4615" max="4615" width="11.375" style="1" customWidth="1"/>
    <col min="4616" max="4843" width="9.125" style="1"/>
    <col min="4844" max="4844" width="0" style="1" hidden="1" customWidth="1"/>
    <col min="4845" max="4845" width="10.125" style="1" customWidth="1"/>
    <col min="4846" max="4846" width="15.875" style="1" customWidth="1"/>
    <col min="4847" max="4847" width="0" style="1" hidden="1" customWidth="1"/>
    <col min="4848" max="4848" width="80.375" style="1" customWidth="1"/>
    <col min="4849" max="4853" width="0" style="1" hidden="1" customWidth="1"/>
    <col min="4854" max="4854" width="14.875" style="1" customWidth="1"/>
    <col min="4855" max="4855" width="15.125" style="1" customWidth="1"/>
    <col min="4856" max="4868" width="0" style="1" hidden="1" customWidth="1"/>
    <col min="4869" max="4869" width="17.25" style="1" customWidth="1"/>
    <col min="4870" max="4870" width="17" style="1" customWidth="1"/>
    <col min="4871" max="4871" width="11.375" style="1" customWidth="1"/>
    <col min="4872" max="5099" width="9.125" style="1"/>
    <col min="5100" max="5100" width="0" style="1" hidden="1" customWidth="1"/>
    <col min="5101" max="5101" width="10.125" style="1" customWidth="1"/>
    <col min="5102" max="5102" width="15.875" style="1" customWidth="1"/>
    <col min="5103" max="5103" width="0" style="1" hidden="1" customWidth="1"/>
    <col min="5104" max="5104" width="80.375" style="1" customWidth="1"/>
    <col min="5105" max="5109" width="0" style="1" hidden="1" customWidth="1"/>
    <col min="5110" max="5110" width="14.875" style="1" customWidth="1"/>
    <col min="5111" max="5111" width="15.125" style="1" customWidth="1"/>
    <col min="5112" max="5124" width="0" style="1" hidden="1" customWidth="1"/>
    <col min="5125" max="5125" width="17.25" style="1" customWidth="1"/>
    <col min="5126" max="5126" width="17" style="1" customWidth="1"/>
    <col min="5127" max="5127" width="11.375" style="1" customWidth="1"/>
    <col min="5128" max="5355" width="9.125" style="1"/>
    <col min="5356" max="5356" width="0" style="1" hidden="1" customWidth="1"/>
    <col min="5357" max="5357" width="10.125" style="1" customWidth="1"/>
    <col min="5358" max="5358" width="15.875" style="1" customWidth="1"/>
    <col min="5359" max="5359" width="0" style="1" hidden="1" customWidth="1"/>
    <col min="5360" max="5360" width="80.375" style="1" customWidth="1"/>
    <col min="5361" max="5365" width="0" style="1" hidden="1" customWidth="1"/>
    <col min="5366" max="5366" width="14.875" style="1" customWidth="1"/>
    <col min="5367" max="5367" width="15.125" style="1" customWidth="1"/>
    <col min="5368" max="5380" width="0" style="1" hidden="1" customWidth="1"/>
    <col min="5381" max="5381" width="17.25" style="1" customWidth="1"/>
    <col min="5382" max="5382" width="17" style="1" customWidth="1"/>
    <col min="5383" max="5383" width="11.375" style="1" customWidth="1"/>
    <col min="5384" max="5611" width="9.125" style="1"/>
    <col min="5612" max="5612" width="0" style="1" hidden="1" customWidth="1"/>
    <col min="5613" max="5613" width="10.125" style="1" customWidth="1"/>
    <col min="5614" max="5614" width="15.875" style="1" customWidth="1"/>
    <col min="5615" max="5615" width="0" style="1" hidden="1" customWidth="1"/>
    <col min="5616" max="5616" width="80.375" style="1" customWidth="1"/>
    <col min="5617" max="5621" width="0" style="1" hidden="1" customWidth="1"/>
    <col min="5622" max="5622" width="14.875" style="1" customWidth="1"/>
    <col min="5623" max="5623" width="15.125" style="1" customWidth="1"/>
    <col min="5624" max="5636" width="0" style="1" hidden="1" customWidth="1"/>
    <col min="5637" max="5637" width="17.25" style="1" customWidth="1"/>
    <col min="5638" max="5638" width="17" style="1" customWidth="1"/>
    <col min="5639" max="5639" width="11.375" style="1" customWidth="1"/>
    <col min="5640" max="5867" width="9.125" style="1"/>
    <col min="5868" max="5868" width="0" style="1" hidden="1" customWidth="1"/>
    <col min="5869" max="5869" width="10.125" style="1" customWidth="1"/>
    <col min="5870" max="5870" width="15.875" style="1" customWidth="1"/>
    <col min="5871" max="5871" width="0" style="1" hidden="1" customWidth="1"/>
    <col min="5872" max="5872" width="80.375" style="1" customWidth="1"/>
    <col min="5873" max="5877" width="0" style="1" hidden="1" customWidth="1"/>
    <col min="5878" max="5878" width="14.875" style="1" customWidth="1"/>
    <col min="5879" max="5879" width="15.125" style="1" customWidth="1"/>
    <col min="5880" max="5892" width="0" style="1" hidden="1" customWidth="1"/>
    <col min="5893" max="5893" width="17.25" style="1" customWidth="1"/>
    <col min="5894" max="5894" width="17" style="1" customWidth="1"/>
    <col min="5895" max="5895" width="11.375" style="1" customWidth="1"/>
    <col min="5896" max="6123" width="9.125" style="1"/>
    <col min="6124" max="6124" width="0" style="1" hidden="1" customWidth="1"/>
    <col min="6125" max="6125" width="10.125" style="1" customWidth="1"/>
    <col min="6126" max="6126" width="15.875" style="1" customWidth="1"/>
    <col min="6127" max="6127" width="0" style="1" hidden="1" customWidth="1"/>
    <col min="6128" max="6128" width="80.375" style="1" customWidth="1"/>
    <col min="6129" max="6133" width="0" style="1" hidden="1" customWidth="1"/>
    <col min="6134" max="6134" width="14.875" style="1" customWidth="1"/>
    <col min="6135" max="6135" width="15.125" style="1" customWidth="1"/>
    <col min="6136" max="6148" width="0" style="1" hidden="1" customWidth="1"/>
    <col min="6149" max="6149" width="17.25" style="1" customWidth="1"/>
    <col min="6150" max="6150" width="17" style="1" customWidth="1"/>
    <col min="6151" max="6151" width="11.375" style="1" customWidth="1"/>
    <col min="6152" max="6379" width="9.125" style="1"/>
    <col min="6380" max="6380" width="0" style="1" hidden="1" customWidth="1"/>
    <col min="6381" max="6381" width="10.125" style="1" customWidth="1"/>
    <col min="6382" max="6382" width="15.875" style="1" customWidth="1"/>
    <col min="6383" max="6383" width="0" style="1" hidden="1" customWidth="1"/>
    <col min="6384" max="6384" width="80.375" style="1" customWidth="1"/>
    <col min="6385" max="6389" width="0" style="1" hidden="1" customWidth="1"/>
    <col min="6390" max="6390" width="14.875" style="1" customWidth="1"/>
    <col min="6391" max="6391" width="15.125" style="1" customWidth="1"/>
    <col min="6392" max="6404" width="0" style="1" hidden="1" customWidth="1"/>
    <col min="6405" max="6405" width="17.25" style="1" customWidth="1"/>
    <col min="6406" max="6406" width="17" style="1" customWidth="1"/>
    <col min="6407" max="6407" width="11.375" style="1" customWidth="1"/>
    <col min="6408" max="6635" width="9.125" style="1"/>
    <col min="6636" max="6636" width="0" style="1" hidden="1" customWidth="1"/>
    <col min="6637" max="6637" width="10.125" style="1" customWidth="1"/>
    <col min="6638" max="6638" width="15.875" style="1" customWidth="1"/>
    <col min="6639" max="6639" width="0" style="1" hidden="1" customWidth="1"/>
    <col min="6640" max="6640" width="80.375" style="1" customWidth="1"/>
    <col min="6641" max="6645" width="0" style="1" hidden="1" customWidth="1"/>
    <col min="6646" max="6646" width="14.875" style="1" customWidth="1"/>
    <col min="6647" max="6647" width="15.125" style="1" customWidth="1"/>
    <col min="6648" max="6660" width="0" style="1" hidden="1" customWidth="1"/>
    <col min="6661" max="6661" width="17.25" style="1" customWidth="1"/>
    <col min="6662" max="6662" width="17" style="1" customWidth="1"/>
    <col min="6663" max="6663" width="11.375" style="1" customWidth="1"/>
    <col min="6664" max="6891" width="9.125" style="1"/>
    <col min="6892" max="6892" width="0" style="1" hidden="1" customWidth="1"/>
    <col min="6893" max="6893" width="10.125" style="1" customWidth="1"/>
    <col min="6894" max="6894" width="15.875" style="1" customWidth="1"/>
    <col min="6895" max="6895" width="0" style="1" hidden="1" customWidth="1"/>
    <col min="6896" max="6896" width="80.375" style="1" customWidth="1"/>
    <col min="6897" max="6901" width="0" style="1" hidden="1" customWidth="1"/>
    <col min="6902" max="6902" width="14.875" style="1" customWidth="1"/>
    <col min="6903" max="6903" width="15.125" style="1" customWidth="1"/>
    <col min="6904" max="6916" width="0" style="1" hidden="1" customWidth="1"/>
    <col min="6917" max="6917" width="17.25" style="1" customWidth="1"/>
    <col min="6918" max="6918" width="17" style="1" customWidth="1"/>
    <col min="6919" max="6919" width="11.375" style="1" customWidth="1"/>
    <col min="6920" max="7147" width="9.125" style="1"/>
    <col min="7148" max="7148" width="0" style="1" hidden="1" customWidth="1"/>
    <col min="7149" max="7149" width="10.125" style="1" customWidth="1"/>
    <col min="7150" max="7150" width="15.875" style="1" customWidth="1"/>
    <col min="7151" max="7151" width="0" style="1" hidden="1" customWidth="1"/>
    <col min="7152" max="7152" width="80.375" style="1" customWidth="1"/>
    <col min="7153" max="7157" width="0" style="1" hidden="1" customWidth="1"/>
    <col min="7158" max="7158" width="14.875" style="1" customWidth="1"/>
    <col min="7159" max="7159" width="15.125" style="1" customWidth="1"/>
    <col min="7160" max="7172" width="0" style="1" hidden="1" customWidth="1"/>
    <col min="7173" max="7173" width="17.25" style="1" customWidth="1"/>
    <col min="7174" max="7174" width="17" style="1" customWidth="1"/>
    <col min="7175" max="7175" width="11.375" style="1" customWidth="1"/>
    <col min="7176" max="7403" width="9.125" style="1"/>
    <col min="7404" max="7404" width="0" style="1" hidden="1" customWidth="1"/>
    <col min="7405" max="7405" width="10.125" style="1" customWidth="1"/>
    <col min="7406" max="7406" width="15.875" style="1" customWidth="1"/>
    <col min="7407" max="7407" width="0" style="1" hidden="1" customWidth="1"/>
    <col min="7408" max="7408" width="80.375" style="1" customWidth="1"/>
    <col min="7409" max="7413" width="0" style="1" hidden="1" customWidth="1"/>
    <col min="7414" max="7414" width="14.875" style="1" customWidth="1"/>
    <col min="7415" max="7415" width="15.125" style="1" customWidth="1"/>
    <col min="7416" max="7428" width="0" style="1" hidden="1" customWidth="1"/>
    <col min="7429" max="7429" width="17.25" style="1" customWidth="1"/>
    <col min="7430" max="7430" width="17" style="1" customWidth="1"/>
    <col min="7431" max="7431" width="11.375" style="1" customWidth="1"/>
    <col min="7432" max="7659" width="9.125" style="1"/>
    <col min="7660" max="7660" width="0" style="1" hidden="1" customWidth="1"/>
    <col min="7661" max="7661" width="10.125" style="1" customWidth="1"/>
    <col min="7662" max="7662" width="15.875" style="1" customWidth="1"/>
    <col min="7663" max="7663" width="0" style="1" hidden="1" customWidth="1"/>
    <col min="7664" max="7664" width="80.375" style="1" customWidth="1"/>
    <col min="7665" max="7669" width="0" style="1" hidden="1" customWidth="1"/>
    <col min="7670" max="7670" width="14.875" style="1" customWidth="1"/>
    <col min="7671" max="7671" width="15.125" style="1" customWidth="1"/>
    <col min="7672" max="7684" width="0" style="1" hidden="1" customWidth="1"/>
    <col min="7685" max="7685" width="17.25" style="1" customWidth="1"/>
    <col min="7686" max="7686" width="17" style="1" customWidth="1"/>
    <col min="7687" max="7687" width="11.375" style="1" customWidth="1"/>
    <col min="7688" max="7915" width="9.125" style="1"/>
    <col min="7916" max="7916" width="0" style="1" hidden="1" customWidth="1"/>
    <col min="7917" max="7917" width="10.125" style="1" customWidth="1"/>
    <col min="7918" max="7918" width="15.875" style="1" customWidth="1"/>
    <col min="7919" max="7919" width="0" style="1" hidden="1" customWidth="1"/>
    <col min="7920" max="7920" width="80.375" style="1" customWidth="1"/>
    <col min="7921" max="7925" width="0" style="1" hidden="1" customWidth="1"/>
    <col min="7926" max="7926" width="14.875" style="1" customWidth="1"/>
    <col min="7927" max="7927" width="15.125" style="1" customWidth="1"/>
    <col min="7928" max="7940" width="0" style="1" hidden="1" customWidth="1"/>
    <col min="7941" max="7941" width="17.25" style="1" customWidth="1"/>
    <col min="7942" max="7942" width="17" style="1" customWidth="1"/>
    <col min="7943" max="7943" width="11.375" style="1" customWidth="1"/>
    <col min="7944" max="8171" width="9.125" style="1"/>
    <col min="8172" max="8172" width="0" style="1" hidden="1" customWidth="1"/>
    <col min="8173" max="8173" width="10.125" style="1" customWidth="1"/>
    <col min="8174" max="8174" width="15.875" style="1" customWidth="1"/>
    <col min="8175" max="8175" width="0" style="1" hidden="1" customWidth="1"/>
    <col min="8176" max="8176" width="80.375" style="1" customWidth="1"/>
    <col min="8177" max="8181" width="0" style="1" hidden="1" customWidth="1"/>
    <col min="8182" max="8182" width="14.875" style="1" customWidth="1"/>
    <col min="8183" max="8183" width="15.125" style="1" customWidth="1"/>
    <col min="8184" max="8196" width="0" style="1" hidden="1" customWidth="1"/>
    <col min="8197" max="8197" width="17.25" style="1" customWidth="1"/>
    <col min="8198" max="8198" width="17" style="1" customWidth="1"/>
    <col min="8199" max="8199" width="11.375" style="1" customWidth="1"/>
    <col min="8200" max="8427" width="9.125" style="1"/>
    <col min="8428" max="8428" width="0" style="1" hidden="1" customWidth="1"/>
    <col min="8429" max="8429" width="10.125" style="1" customWidth="1"/>
    <col min="8430" max="8430" width="15.875" style="1" customWidth="1"/>
    <col min="8431" max="8431" width="0" style="1" hidden="1" customWidth="1"/>
    <col min="8432" max="8432" width="80.375" style="1" customWidth="1"/>
    <col min="8433" max="8437" width="0" style="1" hidden="1" customWidth="1"/>
    <col min="8438" max="8438" width="14.875" style="1" customWidth="1"/>
    <col min="8439" max="8439" width="15.125" style="1" customWidth="1"/>
    <col min="8440" max="8452" width="0" style="1" hidden="1" customWidth="1"/>
    <col min="8453" max="8453" width="17.25" style="1" customWidth="1"/>
    <col min="8454" max="8454" width="17" style="1" customWidth="1"/>
    <col min="8455" max="8455" width="11.375" style="1" customWidth="1"/>
    <col min="8456" max="8683" width="9.125" style="1"/>
    <col min="8684" max="8684" width="0" style="1" hidden="1" customWidth="1"/>
    <col min="8685" max="8685" width="10.125" style="1" customWidth="1"/>
    <col min="8686" max="8686" width="15.875" style="1" customWidth="1"/>
    <col min="8687" max="8687" width="0" style="1" hidden="1" customWidth="1"/>
    <col min="8688" max="8688" width="80.375" style="1" customWidth="1"/>
    <col min="8689" max="8693" width="0" style="1" hidden="1" customWidth="1"/>
    <col min="8694" max="8694" width="14.875" style="1" customWidth="1"/>
    <col min="8695" max="8695" width="15.125" style="1" customWidth="1"/>
    <col min="8696" max="8708" width="0" style="1" hidden="1" customWidth="1"/>
    <col min="8709" max="8709" width="17.25" style="1" customWidth="1"/>
    <col min="8710" max="8710" width="17" style="1" customWidth="1"/>
    <col min="8711" max="8711" width="11.375" style="1" customWidth="1"/>
    <col min="8712" max="8939" width="9.125" style="1"/>
    <col min="8940" max="8940" width="0" style="1" hidden="1" customWidth="1"/>
    <col min="8941" max="8941" width="10.125" style="1" customWidth="1"/>
    <col min="8942" max="8942" width="15.875" style="1" customWidth="1"/>
    <col min="8943" max="8943" width="0" style="1" hidden="1" customWidth="1"/>
    <col min="8944" max="8944" width="80.375" style="1" customWidth="1"/>
    <col min="8945" max="8949" width="0" style="1" hidden="1" customWidth="1"/>
    <col min="8950" max="8950" width="14.875" style="1" customWidth="1"/>
    <col min="8951" max="8951" width="15.125" style="1" customWidth="1"/>
    <col min="8952" max="8964" width="0" style="1" hidden="1" customWidth="1"/>
    <col min="8965" max="8965" width="17.25" style="1" customWidth="1"/>
    <col min="8966" max="8966" width="17" style="1" customWidth="1"/>
    <col min="8967" max="8967" width="11.375" style="1" customWidth="1"/>
    <col min="8968" max="9195" width="9.125" style="1"/>
    <col min="9196" max="9196" width="0" style="1" hidden="1" customWidth="1"/>
    <col min="9197" max="9197" width="10.125" style="1" customWidth="1"/>
    <col min="9198" max="9198" width="15.875" style="1" customWidth="1"/>
    <col min="9199" max="9199" width="0" style="1" hidden="1" customWidth="1"/>
    <col min="9200" max="9200" width="80.375" style="1" customWidth="1"/>
    <col min="9201" max="9205" width="0" style="1" hidden="1" customWidth="1"/>
    <col min="9206" max="9206" width="14.875" style="1" customWidth="1"/>
    <col min="9207" max="9207" width="15.125" style="1" customWidth="1"/>
    <col min="9208" max="9220" width="0" style="1" hidden="1" customWidth="1"/>
    <col min="9221" max="9221" width="17.25" style="1" customWidth="1"/>
    <col min="9222" max="9222" width="17" style="1" customWidth="1"/>
    <col min="9223" max="9223" width="11.375" style="1" customWidth="1"/>
    <col min="9224" max="9451" width="9.125" style="1"/>
    <col min="9452" max="9452" width="0" style="1" hidden="1" customWidth="1"/>
    <col min="9453" max="9453" width="10.125" style="1" customWidth="1"/>
    <col min="9454" max="9454" width="15.875" style="1" customWidth="1"/>
    <col min="9455" max="9455" width="0" style="1" hidden="1" customWidth="1"/>
    <col min="9456" max="9456" width="80.375" style="1" customWidth="1"/>
    <col min="9457" max="9461" width="0" style="1" hidden="1" customWidth="1"/>
    <col min="9462" max="9462" width="14.875" style="1" customWidth="1"/>
    <col min="9463" max="9463" width="15.125" style="1" customWidth="1"/>
    <col min="9464" max="9476" width="0" style="1" hidden="1" customWidth="1"/>
    <col min="9477" max="9477" width="17.25" style="1" customWidth="1"/>
    <col min="9478" max="9478" width="17" style="1" customWidth="1"/>
    <col min="9479" max="9479" width="11.375" style="1" customWidth="1"/>
    <col min="9480" max="9707" width="9.125" style="1"/>
    <col min="9708" max="9708" width="0" style="1" hidden="1" customWidth="1"/>
    <col min="9709" max="9709" width="10.125" style="1" customWidth="1"/>
    <col min="9710" max="9710" width="15.875" style="1" customWidth="1"/>
    <col min="9711" max="9711" width="0" style="1" hidden="1" customWidth="1"/>
    <col min="9712" max="9712" width="80.375" style="1" customWidth="1"/>
    <col min="9713" max="9717" width="0" style="1" hidden="1" customWidth="1"/>
    <col min="9718" max="9718" width="14.875" style="1" customWidth="1"/>
    <col min="9719" max="9719" width="15.125" style="1" customWidth="1"/>
    <col min="9720" max="9732" width="0" style="1" hidden="1" customWidth="1"/>
    <col min="9733" max="9733" width="17.25" style="1" customWidth="1"/>
    <col min="9734" max="9734" width="17" style="1" customWidth="1"/>
    <col min="9735" max="9735" width="11.375" style="1" customWidth="1"/>
    <col min="9736" max="9963" width="9.125" style="1"/>
    <col min="9964" max="9964" width="0" style="1" hidden="1" customWidth="1"/>
    <col min="9965" max="9965" width="10.125" style="1" customWidth="1"/>
    <col min="9966" max="9966" width="15.875" style="1" customWidth="1"/>
    <col min="9967" max="9967" width="0" style="1" hidden="1" customWidth="1"/>
    <col min="9968" max="9968" width="80.375" style="1" customWidth="1"/>
    <col min="9969" max="9973" width="0" style="1" hidden="1" customWidth="1"/>
    <col min="9974" max="9974" width="14.875" style="1" customWidth="1"/>
    <col min="9975" max="9975" width="15.125" style="1" customWidth="1"/>
    <col min="9976" max="9988" width="0" style="1" hidden="1" customWidth="1"/>
    <col min="9989" max="9989" width="17.25" style="1" customWidth="1"/>
    <col min="9990" max="9990" width="17" style="1" customWidth="1"/>
    <col min="9991" max="9991" width="11.375" style="1" customWidth="1"/>
    <col min="9992" max="10219" width="9.125" style="1"/>
    <col min="10220" max="10220" width="0" style="1" hidden="1" customWidth="1"/>
    <col min="10221" max="10221" width="10.125" style="1" customWidth="1"/>
    <col min="10222" max="10222" width="15.875" style="1" customWidth="1"/>
    <col min="10223" max="10223" width="0" style="1" hidden="1" customWidth="1"/>
    <col min="10224" max="10224" width="80.375" style="1" customWidth="1"/>
    <col min="10225" max="10229" width="0" style="1" hidden="1" customWidth="1"/>
    <col min="10230" max="10230" width="14.875" style="1" customWidth="1"/>
    <col min="10231" max="10231" width="15.125" style="1" customWidth="1"/>
    <col min="10232" max="10244" width="0" style="1" hidden="1" customWidth="1"/>
    <col min="10245" max="10245" width="17.25" style="1" customWidth="1"/>
    <col min="10246" max="10246" width="17" style="1" customWidth="1"/>
    <col min="10247" max="10247" width="11.375" style="1" customWidth="1"/>
    <col min="10248" max="10475" width="9.125" style="1"/>
    <col min="10476" max="10476" width="0" style="1" hidden="1" customWidth="1"/>
    <col min="10477" max="10477" width="10.125" style="1" customWidth="1"/>
    <col min="10478" max="10478" width="15.875" style="1" customWidth="1"/>
    <col min="10479" max="10479" width="0" style="1" hidden="1" customWidth="1"/>
    <col min="10480" max="10480" width="80.375" style="1" customWidth="1"/>
    <col min="10481" max="10485" width="0" style="1" hidden="1" customWidth="1"/>
    <col min="10486" max="10486" width="14.875" style="1" customWidth="1"/>
    <col min="10487" max="10487" width="15.125" style="1" customWidth="1"/>
    <col min="10488" max="10500" width="0" style="1" hidden="1" customWidth="1"/>
    <col min="10501" max="10501" width="17.25" style="1" customWidth="1"/>
    <col min="10502" max="10502" width="17" style="1" customWidth="1"/>
    <col min="10503" max="10503" width="11.375" style="1" customWidth="1"/>
    <col min="10504" max="10731" width="9.125" style="1"/>
    <col min="10732" max="10732" width="0" style="1" hidden="1" customWidth="1"/>
    <col min="10733" max="10733" width="10.125" style="1" customWidth="1"/>
    <col min="10734" max="10734" width="15.875" style="1" customWidth="1"/>
    <col min="10735" max="10735" width="0" style="1" hidden="1" customWidth="1"/>
    <col min="10736" max="10736" width="80.375" style="1" customWidth="1"/>
    <col min="10737" max="10741" width="0" style="1" hidden="1" customWidth="1"/>
    <col min="10742" max="10742" width="14.875" style="1" customWidth="1"/>
    <col min="10743" max="10743" width="15.125" style="1" customWidth="1"/>
    <col min="10744" max="10756" width="0" style="1" hidden="1" customWidth="1"/>
    <col min="10757" max="10757" width="17.25" style="1" customWidth="1"/>
    <col min="10758" max="10758" width="17" style="1" customWidth="1"/>
    <col min="10759" max="10759" width="11.375" style="1" customWidth="1"/>
    <col min="10760" max="10987" width="9.125" style="1"/>
    <col min="10988" max="10988" width="0" style="1" hidden="1" customWidth="1"/>
    <col min="10989" max="10989" width="10.125" style="1" customWidth="1"/>
    <col min="10990" max="10990" width="15.875" style="1" customWidth="1"/>
    <col min="10991" max="10991" width="0" style="1" hidden="1" customWidth="1"/>
    <col min="10992" max="10992" width="80.375" style="1" customWidth="1"/>
    <col min="10993" max="10997" width="0" style="1" hidden="1" customWidth="1"/>
    <col min="10998" max="10998" width="14.875" style="1" customWidth="1"/>
    <col min="10999" max="10999" width="15.125" style="1" customWidth="1"/>
    <col min="11000" max="11012" width="0" style="1" hidden="1" customWidth="1"/>
    <col min="11013" max="11013" width="17.25" style="1" customWidth="1"/>
    <col min="11014" max="11014" width="17" style="1" customWidth="1"/>
    <col min="11015" max="11015" width="11.375" style="1" customWidth="1"/>
    <col min="11016" max="11243" width="9.125" style="1"/>
    <col min="11244" max="11244" width="0" style="1" hidden="1" customWidth="1"/>
    <col min="11245" max="11245" width="10.125" style="1" customWidth="1"/>
    <col min="11246" max="11246" width="15.875" style="1" customWidth="1"/>
    <col min="11247" max="11247" width="0" style="1" hidden="1" customWidth="1"/>
    <col min="11248" max="11248" width="80.375" style="1" customWidth="1"/>
    <col min="11249" max="11253" width="0" style="1" hidden="1" customWidth="1"/>
    <col min="11254" max="11254" width="14.875" style="1" customWidth="1"/>
    <col min="11255" max="11255" width="15.125" style="1" customWidth="1"/>
    <col min="11256" max="11268" width="0" style="1" hidden="1" customWidth="1"/>
    <col min="11269" max="11269" width="17.25" style="1" customWidth="1"/>
    <col min="11270" max="11270" width="17" style="1" customWidth="1"/>
    <col min="11271" max="11271" width="11.375" style="1" customWidth="1"/>
    <col min="11272" max="11499" width="9.125" style="1"/>
    <col min="11500" max="11500" width="0" style="1" hidden="1" customWidth="1"/>
    <col min="11501" max="11501" width="10.125" style="1" customWidth="1"/>
    <col min="11502" max="11502" width="15.875" style="1" customWidth="1"/>
    <col min="11503" max="11503" width="0" style="1" hidden="1" customWidth="1"/>
    <col min="11504" max="11504" width="80.375" style="1" customWidth="1"/>
    <col min="11505" max="11509" width="0" style="1" hidden="1" customWidth="1"/>
    <col min="11510" max="11510" width="14.875" style="1" customWidth="1"/>
    <col min="11511" max="11511" width="15.125" style="1" customWidth="1"/>
    <col min="11512" max="11524" width="0" style="1" hidden="1" customWidth="1"/>
    <col min="11525" max="11525" width="17.25" style="1" customWidth="1"/>
    <col min="11526" max="11526" width="17" style="1" customWidth="1"/>
    <col min="11527" max="11527" width="11.375" style="1" customWidth="1"/>
    <col min="11528" max="11755" width="9.125" style="1"/>
    <col min="11756" max="11756" width="0" style="1" hidden="1" customWidth="1"/>
    <col min="11757" max="11757" width="10.125" style="1" customWidth="1"/>
    <col min="11758" max="11758" width="15.875" style="1" customWidth="1"/>
    <col min="11759" max="11759" width="0" style="1" hidden="1" customWidth="1"/>
    <col min="11760" max="11760" width="80.375" style="1" customWidth="1"/>
    <col min="11761" max="11765" width="0" style="1" hidden="1" customWidth="1"/>
    <col min="11766" max="11766" width="14.875" style="1" customWidth="1"/>
    <col min="11767" max="11767" width="15.125" style="1" customWidth="1"/>
    <col min="11768" max="11780" width="0" style="1" hidden="1" customWidth="1"/>
    <col min="11781" max="11781" width="17.25" style="1" customWidth="1"/>
    <col min="11782" max="11782" width="17" style="1" customWidth="1"/>
    <col min="11783" max="11783" width="11.375" style="1" customWidth="1"/>
    <col min="11784" max="12011" width="9.125" style="1"/>
    <col min="12012" max="12012" width="0" style="1" hidden="1" customWidth="1"/>
    <col min="12013" max="12013" width="10.125" style="1" customWidth="1"/>
    <col min="12014" max="12014" width="15.875" style="1" customWidth="1"/>
    <col min="12015" max="12015" width="0" style="1" hidden="1" customWidth="1"/>
    <col min="12016" max="12016" width="80.375" style="1" customWidth="1"/>
    <col min="12017" max="12021" width="0" style="1" hidden="1" customWidth="1"/>
    <col min="12022" max="12022" width="14.875" style="1" customWidth="1"/>
    <col min="12023" max="12023" width="15.125" style="1" customWidth="1"/>
    <col min="12024" max="12036" width="0" style="1" hidden="1" customWidth="1"/>
    <col min="12037" max="12037" width="17.25" style="1" customWidth="1"/>
    <col min="12038" max="12038" width="17" style="1" customWidth="1"/>
    <col min="12039" max="12039" width="11.375" style="1" customWidth="1"/>
    <col min="12040" max="12267" width="9.125" style="1"/>
    <col min="12268" max="12268" width="0" style="1" hidden="1" customWidth="1"/>
    <col min="12269" max="12269" width="10.125" style="1" customWidth="1"/>
    <col min="12270" max="12270" width="15.875" style="1" customWidth="1"/>
    <col min="12271" max="12271" width="0" style="1" hidden="1" customWidth="1"/>
    <col min="12272" max="12272" width="80.375" style="1" customWidth="1"/>
    <col min="12273" max="12277" width="0" style="1" hidden="1" customWidth="1"/>
    <col min="12278" max="12278" width="14.875" style="1" customWidth="1"/>
    <col min="12279" max="12279" width="15.125" style="1" customWidth="1"/>
    <col min="12280" max="12292" width="0" style="1" hidden="1" customWidth="1"/>
    <col min="12293" max="12293" width="17.25" style="1" customWidth="1"/>
    <col min="12294" max="12294" width="17" style="1" customWidth="1"/>
    <col min="12295" max="12295" width="11.375" style="1" customWidth="1"/>
    <col min="12296" max="12523" width="9.125" style="1"/>
    <col min="12524" max="12524" width="0" style="1" hidden="1" customWidth="1"/>
    <col min="12525" max="12525" width="10.125" style="1" customWidth="1"/>
    <col min="12526" max="12526" width="15.875" style="1" customWidth="1"/>
    <col min="12527" max="12527" width="0" style="1" hidden="1" customWidth="1"/>
    <col min="12528" max="12528" width="80.375" style="1" customWidth="1"/>
    <col min="12529" max="12533" width="0" style="1" hidden="1" customWidth="1"/>
    <col min="12534" max="12534" width="14.875" style="1" customWidth="1"/>
    <col min="12535" max="12535" width="15.125" style="1" customWidth="1"/>
    <col min="12536" max="12548" width="0" style="1" hidden="1" customWidth="1"/>
    <col min="12549" max="12549" width="17.25" style="1" customWidth="1"/>
    <col min="12550" max="12550" width="17" style="1" customWidth="1"/>
    <col min="12551" max="12551" width="11.375" style="1" customWidth="1"/>
    <col min="12552" max="12779" width="9.125" style="1"/>
    <col min="12780" max="12780" width="0" style="1" hidden="1" customWidth="1"/>
    <col min="12781" max="12781" width="10.125" style="1" customWidth="1"/>
    <col min="12782" max="12782" width="15.875" style="1" customWidth="1"/>
    <col min="12783" max="12783" width="0" style="1" hidden="1" customWidth="1"/>
    <col min="12784" max="12784" width="80.375" style="1" customWidth="1"/>
    <col min="12785" max="12789" width="0" style="1" hidden="1" customWidth="1"/>
    <col min="12790" max="12790" width="14.875" style="1" customWidth="1"/>
    <col min="12791" max="12791" width="15.125" style="1" customWidth="1"/>
    <col min="12792" max="12804" width="0" style="1" hidden="1" customWidth="1"/>
    <col min="12805" max="12805" width="17.25" style="1" customWidth="1"/>
    <col min="12806" max="12806" width="17" style="1" customWidth="1"/>
    <col min="12807" max="12807" width="11.375" style="1" customWidth="1"/>
    <col min="12808" max="13035" width="9.125" style="1"/>
    <col min="13036" max="13036" width="0" style="1" hidden="1" customWidth="1"/>
    <col min="13037" max="13037" width="10.125" style="1" customWidth="1"/>
    <col min="13038" max="13038" width="15.875" style="1" customWidth="1"/>
    <col min="13039" max="13039" width="0" style="1" hidden="1" customWidth="1"/>
    <col min="13040" max="13040" width="80.375" style="1" customWidth="1"/>
    <col min="13041" max="13045" width="0" style="1" hidden="1" customWidth="1"/>
    <col min="13046" max="13046" width="14.875" style="1" customWidth="1"/>
    <col min="13047" max="13047" width="15.125" style="1" customWidth="1"/>
    <col min="13048" max="13060" width="0" style="1" hidden="1" customWidth="1"/>
    <col min="13061" max="13061" width="17.25" style="1" customWidth="1"/>
    <col min="13062" max="13062" width="17" style="1" customWidth="1"/>
    <col min="13063" max="13063" width="11.375" style="1" customWidth="1"/>
    <col min="13064" max="13291" width="9.125" style="1"/>
    <col min="13292" max="13292" width="0" style="1" hidden="1" customWidth="1"/>
    <col min="13293" max="13293" width="10.125" style="1" customWidth="1"/>
    <col min="13294" max="13294" width="15.875" style="1" customWidth="1"/>
    <col min="13295" max="13295" width="0" style="1" hidden="1" customWidth="1"/>
    <col min="13296" max="13296" width="80.375" style="1" customWidth="1"/>
    <col min="13297" max="13301" width="0" style="1" hidden="1" customWidth="1"/>
    <col min="13302" max="13302" width="14.875" style="1" customWidth="1"/>
    <col min="13303" max="13303" width="15.125" style="1" customWidth="1"/>
    <col min="13304" max="13316" width="0" style="1" hidden="1" customWidth="1"/>
    <col min="13317" max="13317" width="17.25" style="1" customWidth="1"/>
    <col min="13318" max="13318" width="17" style="1" customWidth="1"/>
    <col min="13319" max="13319" width="11.375" style="1" customWidth="1"/>
    <col min="13320" max="13547" width="9.125" style="1"/>
    <col min="13548" max="13548" width="0" style="1" hidden="1" customWidth="1"/>
    <col min="13549" max="13549" width="10.125" style="1" customWidth="1"/>
    <col min="13550" max="13550" width="15.875" style="1" customWidth="1"/>
    <col min="13551" max="13551" width="0" style="1" hidden="1" customWidth="1"/>
    <col min="13552" max="13552" width="80.375" style="1" customWidth="1"/>
    <col min="13553" max="13557" width="0" style="1" hidden="1" customWidth="1"/>
    <col min="13558" max="13558" width="14.875" style="1" customWidth="1"/>
    <col min="13559" max="13559" width="15.125" style="1" customWidth="1"/>
    <col min="13560" max="13572" width="0" style="1" hidden="1" customWidth="1"/>
    <col min="13573" max="13573" width="17.25" style="1" customWidth="1"/>
    <col min="13574" max="13574" width="17" style="1" customWidth="1"/>
    <col min="13575" max="13575" width="11.375" style="1" customWidth="1"/>
    <col min="13576" max="13803" width="9.125" style="1"/>
    <col min="13804" max="13804" width="0" style="1" hidden="1" customWidth="1"/>
    <col min="13805" max="13805" width="10.125" style="1" customWidth="1"/>
    <col min="13806" max="13806" width="15.875" style="1" customWidth="1"/>
    <col min="13807" max="13807" width="0" style="1" hidden="1" customWidth="1"/>
    <col min="13808" max="13808" width="80.375" style="1" customWidth="1"/>
    <col min="13809" max="13813" width="0" style="1" hidden="1" customWidth="1"/>
    <col min="13814" max="13814" width="14.875" style="1" customWidth="1"/>
    <col min="13815" max="13815" width="15.125" style="1" customWidth="1"/>
    <col min="13816" max="13828" width="0" style="1" hidden="1" customWidth="1"/>
    <col min="13829" max="13829" width="17.25" style="1" customWidth="1"/>
    <col min="13830" max="13830" width="17" style="1" customWidth="1"/>
    <col min="13831" max="13831" width="11.375" style="1" customWidth="1"/>
    <col min="13832" max="14059" width="9.125" style="1"/>
    <col min="14060" max="14060" width="0" style="1" hidden="1" customWidth="1"/>
    <col min="14061" max="14061" width="10.125" style="1" customWidth="1"/>
    <col min="14062" max="14062" width="15.875" style="1" customWidth="1"/>
    <col min="14063" max="14063" width="0" style="1" hidden="1" customWidth="1"/>
    <col min="14064" max="14064" width="80.375" style="1" customWidth="1"/>
    <col min="14065" max="14069" width="0" style="1" hidden="1" customWidth="1"/>
    <col min="14070" max="14070" width="14.875" style="1" customWidth="1"/>
    <col min="14071" max="14071" width="15.125" style="1" customWidth="1"/>
    <col min="14072" max="14084" width="0" style="1" hidden="1" customWidth="1"/>
    <col min="14085" max="14085" width="17.25" style="1" customWidth="1"/>
    <col min="14086" max="14086" width="17" style="1" customWidth="1"/>
    <col min="14087" max="14087" width="11.375" style="1" customWidth="1"/>
    <col min="14088" max="14315" width="9.125" style="1"/>
    <col min="14316" max="14316" width="0" style="1" hidden="1" customWidth="1"/>
    <col min="14317" max="14317" width="10.125" style="1" customWidth="1"/>
    <col min="14318" max="14318" width="15.875" style="1" customWidth="1"/>
    <col min="14319" max="14319" width="0" style="1" hidden="1" customWidth="1"/>
    <col min="14320" max="14320" width="80.375" style="1" customWidth="1"/>
    <col min="14321" max="14325" width="0" style="1" hidden="1" customWidth="1"/>
    <col min="14326" max="14326" width="14.875" style="1" customWidth="1"/>
    <col min="14327" max="14327" width="15.125" style="1" customWidth="1"/>
    <col min="14328" max="14340" width="0" style="1" hidden="1" customWidth="1"/>
    <col min="14341" max="14341" width="17.25" style="1" customWidth="1"/>
    <col min="14342" max="14342" width="17" style="1" customWidth="1"/>
    <col min="14343" max="14343" width="11.375" style="1" customWidth="1"/>
    <col min="14344" max="14571" width="9.125" style="1"/>
    <col min="14572" max="14572" width="0" style="1" hidden="1" customWidth="1"/>
    <col min="14573" max="14573" width="10.125" style="1" customWidth="1"/>
    <col min="14574" max="14574" width="15.875" style="1" customWidth="1"/>
    <col min="14575" max="14575" width="0" style="1" hidden="1" customWidth="1"/>
    <col min="14576" max="14576" width="80.375" style="1" customWidth="1"/>
    <col min="14577" max="14581" width="0" style="1" hidden="1" customWidth="1"/>
    <col min="14582" max="14582" width="14.875" style="1" customWidth="1"/>
    <col min="14583" max="14583" width="15.125" style="1" customWidth="1"/>
    <col min="14584" max="14596" width="0" style="1" hidden="1" customWidth="1"/>
    <col min="14597" max="14597" width="17.25" style="1" customWidth="1"/>
    <col min="14598" max="14598" width="17" style="1" customWidth="1"/>
    <col min="14599" max="14599" width="11.375" style="1" customWidth="1"/>
    <col min="14600" max="14827" width="9.125" style="1"/>
    <col min="14828" max="14828" width="0" style="1" hidden="1" customWidth="1"/>
    <col min="14829" max="14829" width="10.125" style="1" customWidth="1"/>
    <col min="14830" max="14830" width="15.875" style="1" customWidth="1"/>
    <col min="14831" max="14831" width="0" style="1" hidden="1" customWidth="1"/>
    <col min="14832" max="14832" width="80.375" style="1" customWidth="1"/>
    <col min="14833" max="14837" width="0" style="1" hidden="1" customWidth="1"/>
    <col min="14838" max="14838" width="14.875" style="1" customWidth="1"/>
    <col min="14839" max="14839" width="15.125" style="1" customWidth="1"/>
    <col min="14840" max="14852" width="0" style="1" hidden="1" customWidth="1"/>
    <col min="14853" max="14853" width="17.25" style="1" customWidth="1"/>
    <col min="14854" max="14854" width="17" style="1" customWidth="1"/>
    <col min="14855" max="14855" width="11.375" style="1" customWidth="1"/>
    <col min="14856" max="15083" width="9.125" style="1"/>
    <col min="15084" max="15084" width="0" style="1" hidden="1" customWidth="1"/>
    <col min="15085" max="15085" width="10.125" style="1" customWidth="1"/>
    <col min="15086" max="15086" width="15.875" style="1" customWidth="1"/>
    <col min="15087" max="15087" width="0" style="1" hidden="1" customWidth="1"/>
    <col min="15088" max="15088" width="80.375" style="1" customWidth="1"/>
    <col min="15089" max="15093" width="0" style="1" hidden="1" customWidth="1"/>
    <col min="15094" max="15094" width="14.875" style="1" customWidth="1"/>
    <col min="15095" max="15095" width="15.125" style="1" customWidth="1"/>
    <col min="15096" max="15108" width="0" style="1" hidden="1" customWidth="1"/>
    <col min="15109" max="15109" width="17.25" style="1" customWidth="1"/>
    <col min="15110" max="15110" width="17" style="1" customWidth="1"/>
    <col min="15111" max="15111" width="11.375" style="1" customWidth="1"/>
    <col min="15112" max="15339" width="9.125" style="1"/>
    <col min="15340" max="15340" width="0" style="1" hidden="1" customWidth="1"/>
    <col min="15341" max="15341" width="10.125" style="1" customWidth="1"/>
    <col min="15342" max="15342" width="15.875" style="1" customWidth="1"/>
    <col min="15343" max="15343" width="0" style="1" hidden="1" customWidth="1"/>
    <col min="15344" max="15344" width="80.375" style="1" customWidth="1"/>
    <col min="15345" max="15349" width="0" style="1" hidden="1" customWidth="1"/>
    <col min="15350" max="15350" width="14.875" style="1" customWidth="1"/>
    <col min="15351" max="15351" width="15.125" style="1" customWidth="1"/>
    <col min="15352" max="15364" width="0" style="1" hidden="1" customWidth="1"/>
    <col min="15365" max="15365" width="17.25" style="1" customWidth="1"/>
    <col min="15366" max="15366" width="17" style="1" customWidth="1"/>
    <col min="15367" max="15367" width="11.375" style="1" customWidth="1"/>
    <col min="15368" max="15595" width="9.125" style="1"/>
    <col min="15596" max="15596" width="0" style="1" hidden="1" customWidth="1"/>
    <col min="15597" max="15597" width="10.125" style="1" customWidth="1"/>
    <col min="15598" max="15598" width="15.875" style="1" customWidth="1"/>
    <col min="15599" max="15599" width="0" style="1" hidden="1" customWidth="1"/>
    <col min="15600" max="15600" width="80.375" style="1" customWidth="1"/>
    <col min="15601" max="15605" width="0" style="1" hidden="1" customWidth="1"/>
    <col min="15606" max="15606" width="14.875" style="1" customWidth="1"/>
    <col min="15607" max="15607" width="15.125" style="1" customWidth="1"/>
    <col min="15608" max="15620" width="0" style="1" hidden="1" customWidth="1"/>
    <col min="15621" max="15621" width="17.25" style="1" customWidth="1"/>
    <col min="15622" max="15622" width="17" style="1" customWidth="1"/>
    <col min="15623" max="15623" width="11.375" style="1" customWidth="1"/>
    <col min="15624" max="15851" width="9.125" style="1"/>
    <col min="15852" max="15852" width="0" style="1" hidden="1" customWidth="1"/>
    <col min="15853" max="15853" width="10.125" style="1" customWidth="1"/>
    <col min="15854" max="15854" width="15.875" style="1" customWidth="1"/>
    <col min="15855" max="15855" width="0" style="1" hidden="1" customWidth="1"/>
    <col min="15856" max="15856" width="80.375" style="1" customWidth="1"/>
    <col min="15857" max="15861" width="0" style="1" hidden="1" customWidth="1"/>
    <col min="15862" max="15862" width="14.875" style="1" customWidth="1"/>
    <col min="15863" max="15863" width="15.125" style="1" customWidth="1"/>
    <col min="15864" max="15876" width="0" style="1" hidden="1" customWidth="1"/>
    <col min="15877" max="15877" width="17.25" style="1" customWidth="1"/>
    <col min="15878" max="15878" width="17" style="1" customWidth="1"/>
    <col min="15879" max="15879" width="11.375" style="1" customWidth="1"/>
    <col min="15880" max="16107" width="9.125" style="1"/>
    <col min="16108" max="16108" width="0" style="1" hidden="1" customWidth="1"/>
    <col min="16109" max="16109" width="10.125" style="1" customWidth="1"/>
    <col min="16110" max="16110" width="15.875" style="1" customWidth="1"/>
    <col min="16111" max="16111" width="0" style="1" hidden="1" customWidth="1"/>
    <col min="16112" max="16112" width="80.375" style="1" customWidth="1"/>
    <col min="16113" max="16117" width="0" style="1" hidden="1" customWidth="1"/>
    <col min="16118" max="16118" width="14.875" style="1" customWidth="1"/>
    <col min="16119" max="16119" width="15.125" style="1" customWidth="1"/>
    <col min="16120" max="16132" width="0" style="1" hidden="1" customWidth="1"/>
    <col min="16133" max="16133" width="17.25" style="1" customWidth="1"/>
    <col min="16134" max="16134" width="17" style="1" customWidth="1"/>
    <col min="16135" max="16135" width="11.375" style="1" customWidth="1"/>
    <col min="16136" max="16384" width="9.125" style="1"/>
  </cols>
  <sheetData>
    <row r="1" spans="1:12" s="7" customFormat="1" x14ac:dyDescent="0.2">
      <c r="B1" s="7" t="s">
        <v>5</v>
      </c>
      <c r="C1" s="8" t="s">
        <v>6</v>
      </c>
      <c r="D1" s="8" t="s">
        <v>140</v>
      </c>
      <c r="E1" s="9" t="s">
        <v>7</v>
      </c>
      <c r="F1" s="8" t="s">
        <v>8</v>
      </c>
      <c r="G1" s="10" t="s">
        <v>139</v>
      </c>
      <c r="H1" s="10" t="s">
        <v>138</v>
      </c>
      <c r="I1" s="10" t="s">
        <v>122</v>
      </c>
      <c r="J1" s="8" t="s">
        <v>11</v>
      </c>
    </row>
    <row r="2" spans="1:12" s="7" customFormat="1" ht="18" hidden="1" customHeight="1" thickBot="1" x14ac:dyDescent="0.25">
      <c r="C2" s="11"/>
      <c r="D2" s="11"/>
      <c r="E2" s="12"/>
      <c r="F2" s="11" t="s">
        <v>12</v>
      </c>
      <c r="G2" s="13"/>
      <c r="H2" s="13">
        <v>0</v>
      </c>
      <c r="I2" s="13"/>
      <c r="J2" s="8"/>
    </row>
    <row r="3" spans="1:12" s="7" customFormat="1" hidden="1" x14ac:dyDescent="0.2">
      <c r="C3" s="14"/>
      <c r="D3" s="14"/>
      <c r="E3" s="15"/>
      <c r="F3" s="14" t="s">
        <v>13</v>
      </c>
      <c r="G3" s="16"/>
      <c r="H3" s="16"/>
      <c r="I3" s="16"/>
      <c r="J3" s="14"/>
    </row>
    <row r="4" spans="1:12" s="48" customFormat="1" ht="15" customHeight="1" x14ac:dyDescent="0.2">
      <c r="A4" s="48" t="s">
        <v>14</v>
      </c>
      <c r="B4" s="48">
        <v>2021</v>
      </c>
      <c r="C4" s="49" t="s">
        <v>15</v>
      </c>
      <c r="D4" s="49" t="s">
        <v>124</v>
      </c>
      <c r="E4" s="50">
        <v>21110620</v>
      </c>
      <c r="F4" s="51" t="s">
        <v>16</v>
      </c>
      <c r="G4" s="52"/>
      <c r="H4" s="52">
        <v>2378894650</v>
      </c>
      <c r="I4" s="52">
        <f>+H2+H4-G4</f>
        <v>2378894650</v>
      </c>
      <c r="J4" s="51" t="s">
        <v>17</v>
      </c>
      <c r="L4" s="53"/>
    </row>
    <row r="5" spans="1:12" s="48" customFormat="1" ht="15" customHeight="1" x14ac:dyDescent="0.2">
      <c r="A5" s="48" t="s">
        <v>14</v>
      </c>
      <c r="B5" s="48">
        <v>2021</v>
      </c>
      <c r="C5" s="18" t="s">
        <v>18</v>
      </c>
      <c r="D5" s="18" t="s">
        <v>125</v>
      </c>
      <c r="E5" s="19">
        <v>21120662</v>
      </c>
      <c r="F5" s="20" t="s">
        <v>19</v>
      </c>
      <c r="G5" s="21"/>
      <c r="H5" s="21">
        <v>7686740875</v>
      </c>
      <c r="I5" s="21">
        <f>+I4+H5-G5</f>
        <v>10065635525</v>
      </c>
      <c r="J5" s="51" t="s">
        <v>17</v>
      </c>
    </row>
    <row r="6" spans="1:12" s="48" customFormat="1" ht="15" customHeight="1" x14ac:dyDescent="0.2">
      <c r="A6" s="48" t="s">
        <v>14</v>
      </c>
      <c r="B6" s="48">
        <v>2022</v>
      </c>
      <c r="C6" s="18" t="s">
        <v>20</v>
      </c>
      <c r="D6" s="18" t="s">
        <v>126</v>
      </c>
      <c r="E6" s="19">
        <v>22010341</v>
      </c>
      <c r="F6" s="20" t="s">
        <v>21</v>
      </c>
      <c r="G6" s="21"/>
      <c r="H6" s="21">
        <v>2964678750</v>
      </c>
      <c r="I6" s="21">
        <f t="shared" ref="I6:I68" si="0">+I5+H6-G6</f>
        <v>13030314275</v>
      </c>
      <c r="J6" s="51" t="s">
        <v>17</v>
      </c>
    </row>
    <row r="7" spans="1:12" s="48" customFormat="1" ht="15" customHeight="1" x14ac:dyDescent="0.2">
      <c r="A7" s="48" t="s">
        <v>14</v>
      </c>
      <c r="B7" s="48">
        <v>2022</v>
      </c>
      <c r="C7" s="18" t="s">
        <v>20</v>
      </c>
      <c r="D7" s="18" t="s">
        <v>127</v>
      </c>
      <c r="E7" s="19">
        <v>22010342</v>
      </c>
      <c r="F7" s="20" t="s">
        <v>22</v>
      </c>
      <c r="G7" s="21"/>
      <c r="H7" s="21">
        <v>46530000</v>
      </c>
      <c r="I7" s="21">
        <f t="shared" si="0"/>
        <v>13076844275</v>
      </c>
      <c r="J7" s="51" t="s">
        <v>17</v>
      </c>
    </row>
    <row r="8" spans="1:12" s="48" customFormat="1" ht="15" hidden="1" customHeight="1" x14ac:dyDescent="0.2">
      <c r="A8" s="48" t="s">
        <v>14</v>
      </c>
      <c r="B8" s="48">
        <v>2022</v>
      </c>
      <c r="C8" s="18" t="s">
        <v>23</v>
      </c>
      <c r="D8" s="18"/>
      <c r="E8" s="19">
        <v>22020309</v>
      </c>
      <c r="F8" s="20" t="s">
        <v>24</v>
      </c>
      <c r="G8" s="21">
        <v>2378894650</v>
      </c>
      <c r="H8" s="21">
        <v>0</v>
      </c>
      <c r="I8" s="21">
        <f t="shared" si="0"/>
        <v>10697949625</v>
      </c>
      <c r="J8" s="51" t="s">
        <v>17</v>
      </c>
    </row>
    <row r="9" spans="1:12" s="48" customFormat="1" ht="15" customHeight="1" x14ac:dyDescent="0.2">
      <c r="A9" s="48" t="s">
        <v>14</v>
      </c>
      <c r="B9" s="48">
        <v>2022</v>
      </c>
      <c r="C9" s="18" t="s">
        <v>25</v>
      </c>
      <c r="D9" s="18" t="s">
        <v>128</v>
      </c>
      <c r="E9" s="19">
        <v>22020552</v>
      </c>
      <c r="F9" s="20" t="s">
        <v>26</v>
      </c>
      <c r="G9" s="21"/>
      <c r="H9" s="21">
        <v>2619364000</v>
      </c>
      <c r="I9" s="21">
        <f t="shared" si="0"/>
        <v>13317313625</v>
      </c>
      <c r="J9" s="51" t="s">
        <v>17</v>
      </c>
    </row>
    <row r="10" spans="1:12" s="48" customFormat="1" ht="15" customHeight="1" x14ac:dyDescent="0.2">
      <c r="A10" s="48" t="s">
        <v>14</v>
      </c>
      <c r="B10" s="48">
        <v>2022</v>
      </c>
      <c r="C10" s="18" t="s">
        <v>27</v>
      </c>
      <c r="D10" s="18" t="s">
        <v>129</v>
      </c>
      <c r="E10" s="19">
        <v>22030469</v>
      </c>
      <c r="F10" s="20" t="s">
        <v>28</v>
      </c>
      <c r="G10" s="21"/>
      <c r="H10" s="21">
        <v>3724833750</v>
      </c>
      <c r="I10" s="21">
        <f t="shared" si="0"/>
        <v>17042147375</v>
      </c>
      <c r="J10" s="51" t="s">
        <v>17</v>
      </c>
    </row>
    <row r="11" spans="1:12" s="48" customFormat="1" ht="15" hidden="1" customHeight="1" x14ac:dyDescent="0.2">
      <c r="A11" s="48" t="s">
        <v>14</v>
      </c>
      <c r="B11" s="48">
        <v>2022</v>
      </c>
      <c r="C11" s="18" t="s">
        <v>29</v>
      </c>
      <c r="D11" s="18"/>
      <c r="E11" s="19">
        <v>22040629</v>
      </c>
      <c r="F11" s="20" t="s">
        <v>30</v>
      </c>
      <c r="G11" s="21">
        <v>5750000000</v>
      </c>
      <c r="H11" s="21"/>
      <c r="I11" s="21">
        <f t="shared" si="0"/>
        <v>11292147375</v>
      </c>
      <c r="J11" s="51" t="s">
        <v>17</v>
      </c>
    </row>
    <row r="12" spans="1:12" s="48" customFormat="1" ht="15" hidden="1" customHeight="1" x14ac:dyDescent="0.2">
      <c r="A12" s="48" t="s">
        <v>14</v>
      </c>
      <c r="B12" s="48">
        <v>2022</v>
      </c>
      <c r="C12" s="18" t="s">
        <v>31</v>
      </c>
      <c r="D12" s="18"/>
      <c r="E12" s="19">
        <v>22040306</v>
      </c>
      <c r="F12" s="20" t="s">
        <v>32</v>
      </c>
      <c r="G12" s="21">
        <v>1936740875</v>
      </c>
      <c r="H12" s="21"/>
      <c r="I12" s="21">
        <f t="shared" si="0"/>
        <v>9355406500</v>
      </c>
      <c r="J12" s="51" t="s">
        <v>17</v>
      </c>
    </row>
    <row r="13" spans="1:12" s="48" customFormat="1" ht="15" hidden="1" customHeight="1" x14ac:dyDescent="0.2">
      <c r="A13" s="48" t="s">
        <v>14</v>
      </c>
      <c r="B13" s="48">
        <v>2022</v>
      </c>
      <c r="C13" s="18" t="s">
        <v>33</v>
      </c>
      <c r="D13" s="18"/>
      <c r="E13" s="19">
        <v>22040356</v>
      </c>
      <c r="F13" s="20" t="s">
        <v>34</v>
      </c>
      <c r="G13" s="21">
        <v>1150000000</v>
      </c>
      <c r="H13" s="21"/>
      <c r="I13" s="21">
        <f t="shared" si="0"/>
        <v>8205406500</v>
      </c>
      <c r="J13" s="51" t="s">
        <v>17</v>
      </c>
    </row>
    <row r="14" spans="1:12" s="48" customFormat="1" ht="15" customHeight="1" x14ac:dyDescent="0.2">
      <c r="A14" s="48" t="s">
        <v>14</v>
      </c>
      <c r="B14" s="48">
        <v>2022</v>
      </c>
      <c r="C14" s="18" t="s">
        <v>33</v>
      </c>
      <c r="D14" s="18" t="s">
        <v>130</v>
      </c>
      <c r="E14" s="19">
        <v>22040880</v>
      </c>
      <c r="F14" s="20" t="s">
        <v>35</v>
      </c>
      <c r="G14" s="21"/>
      <c r="H14" s="21">
        <v>9831910000</v>
      </c>
      <c r="I14" s="21">
        <f t="shared" si="0"/>
        <v>18037316500</v>
      </c>
      <c r="J14" s="51" t="s">
        <v>17</v>
      </c>
    </row>
    <row r="15" spans="1:12" s="48" customFormat="1" ht="15" hidden="1" customHeight="1" x14ac:dyDescent="0.2">
      <c r="A15" s="48" t="s">
        <v>14</v>
      </c>
      <c r="B15" s="48">
        <v>2022</v>
      </c>
      <c r="C15" s="18" t="s">
        <v>36</v>
      </c>
      <c r="D15" s="18"/>
      <c r="E15" s="19">
        <v>22050179</v>
      </c>
      <c r="F15" s="20" t="s">
        <v>34</v>
      </c>
      <c r="G15" s="21">
        <v>1814678750</v>
      </c>
      <c r="H15" s="21"/>
      <c r="I15" s="21">
        <f t="shared" si="0"/>
        <v>16222637750</v>
      </c>
      <c r="J15" s="51" t="s">
        <v>17</v>
      </c>
    </row>
    <row r="16" spans="1:12" s="48" customFormat="1" ht="15" hidden="1" customHeight="1" x14ac:dyDescent="0.2">
      <c r="A16" s="48" t="s">
        <v>14</v>
      </c>
      <c r="B16" s="48">
        <v>2022</v>
      </c>
      <c r="C16" s="18" t="s">
        <v>36</v>
      </c>
      <c r="D16" s="18"/>
      <c r="E16" s="19">
        <v>22050179</v>
      </c>
      <c r="F16" s="20" t="s">
        <v>37</v>
      </c>
      <c r="G16" s="21">
        <v>46530000</v>
      </c>
      <c r="H16" s="21"/>
      <c r="I16" s="21">
        <f t="shared" si="0"/>
        <v>16176107750</v>
      </c>
      <c r="J16" s="51" t="s">
        <v>17</v>
      </c>
    </row>
    <row r="17" spans="1:14" s="48" customFormat="1" ht="15" customHeight="1" x14ac:dyDescent="0.2">
      <c r="A17" s="48" t="s">
        <v>14</v>
      </c>
      <c r="B17" s="48">
        <v>2022</v>
      </c>
      <c r="C17" s="18" t="s">
        <v>38</v>
      </c>
      <c r="D17" s="18" t="s">
        <v>131</v>
      </c>
      <c r="E17" s="19">
        <v>22050622</v>
      </c>
      <c r="F17" s="20" t="s">
        <v>39</v>
      </c>
      <c r="G17" s="21"/>
      <c r="H17" s="21">
        <v>9298488650</v>
      </c>
      <c r="I17" s="21">
        <f t="shared" si="0"/>
        <v>25474596400</v>
      </c>
      <c r="J17" s="51" t="s">
        <v>17</v>
      </c>
    </row>
    <row r="18" spans="1:14" s="48" customFormat="1" ht="15" hidden="1" customHeight="1" x14ac:dyDescent="0.2">
      <c r="A18" s="48" t="s">
        <v>14</v>
      </c>
      <c r="B18" s="48">
        <v>2022</v>
      </c>
      <c r="C18" s="18" t="s">
        <v>40</v>
      </c>
      <c r="D18" s="18"/>
      <c r="E18" s="19">
        <v>22060386</v>
      </c>
      <c r="F18" s="20" t="s">
        <v>41</v>
      </c>
      <c r="G18" s="21">
        <v>2619364000</v>
      </c>
      <c r="H18" s="21"/>
      <c r="I18" s="21">
        <f t="shared" si="0"/>
        <v>22855232400</v>
      </c>
      <c r="J18" s="51" t="s">
        <v>17</v>
      </c>
    </row>
    <row r="19" spans="1:14" s="63" customFormat="1" ht="15" customHeight="1" x14ac:dyDescent="0.3">
      <c r="A19" s="63" t="s">
        <v>14</v>
      </c>
      <c r="B19" s="63">
        <v>2022</v>
      </c>
      <c r="C19" s="64" t="s">
        <v>42</v>
      </c>
      <c r="D19" s="64" t="s">
        <v>132</v>
      </c>
      <c r="E19" s="65">
        <v>22060661</v>
      </c>
      <c r="F19" s="66" t="s">
        <v>43</v>
      </c>
      <c r="G19" s="67"/>
      <c r="H19" s="68">
        <v>11086603000</v>
      </c>
      <c r="I19" s="67">
        <f t="shared" si="0"/>
        <v>33941835400</v>
      </c>
      <c r="J19" s="69" t="s">
        <v>17</v>
      </c>
      <c r="L19" s="70"/>
      <c r="M19" s="70"/>
    </row>
    <row r="20" spans="1:14" s="48" customFormat="1" ht="15" customHeight="1" x14ac:dyDescent="0.2">
      <c r="A20" s="48" t="s">
        <v>14</v>
      </c>
      <c r="B20" s="48">
        <v>2022</v>
      </c>
      <c r="C20" s="18" t="s">
        <v>44</v>
      </c>
      <c r="D20" s="18" t="s">
        <v>133</v>
      </c>
      <c r="E20" s="19">
        <v>22070585</v>
      </c>
      <c r="F20" s="20" t="s">
        <v>45</v>
      </c>
      <c r="G20" s="21"/>
      <c r="H20" s="45">
        <v>10184806500</v>
      </c>
      <c r="I20" s="21">
        <f t="shared" si="0"/>
        <v>44126641900</v>
      </c>
      <c r="J20" s="51" t="s">
        <v>17</v>
      </c>
      <c r="L20" s="54"/>
      <c r="M20" s="54"/>
    </row>
    <row r="21" spans="1:14" s="48" customFormat="1" ht="15" hidden="1" customHeight="1" x14ac:dyDescent="0.2">
      <c r="A21" s="48" t="s">
        <v>14</v>
      </c>
      <c r="B21" s="48">
        <v>2022</v>
      </c>
      <c r="C21" s="18" t="s">
        <v>46</v>
      </c>
      <c r="D21" s="18"/>
      <c r="E21" s="19">
        <v>22080228</v>
      </c>
      <c r="F21" s="20" t="s">
        <v>47</v>
      </c>
      <c r="G21" s="21">
        <v>1686999698</v>
      </c>
      <c r="H21" s="21"/>
      <c r="I21" s="21">
        <f t="shared" si="0"/>
        <v>42439642202</v>
      </c>
      <c r="J21" s="51" t="s">
        <v>17</v>
      </c>
    </row>
    <row r="22" spans="1:14" s="48" customFormat="1" ht="15" hidden="1" customHeight="1" x14ac:dyDescent="0.2">
      <c r="A22" s="48" t="s">
        <v>14</v>
      </c>
      <c r="B22" s="48">
        <v>2022</v>
      </c>
      <c r="C22" s="18" t="s">
        <v>48</v>
      </c>
      <c r="D22" s="18"/>
      <c r="E22" s="19">
        <v>22080375</v>
      </c>
      <c r="F22" s="20" t="s">
        <v>47</v>
      </c>
      <c r="G22" s="23">
        <v>2037834052</v>
      </c>
      <c r="H22" s="21"/>
      <c r="I22" s="21">
        <f t="shared" si="0"/>
        <v>40401808150</v>
      </c>
      <c r="J22" s="51" t="s">
        <v>17</v>
      </c>
    </row>
    <row r="23" spans="1:14" s="48" customFormat="1" ht="15" hidden="1" customHeight="1" x14ac:dyDescent="0.2">
      <c r="A23" s="48" t="s">
        <v>14</v>
      </c>
      <c r="B23" s="48">
        <v>2022</v>
      </c>
      <c r="C23" s="18" t="s">
        <v>48</v>
      </c>
      <c r="D23" s="18"/>
      <c r="E23" s="19">
        <v>22080375</v>
      </c>
      <c r="F23" s="20" t="s">
        <v>49</v>
      </c>
      <c r="G23" s="21">
        <v>2300000000</v>
      </c>
      <c r="H23" s="21"/>
      <c r="I23" s="21">
        <f t="shared" si="0"/>
        <v>38101808150</v>
      </c>
      <c r="J23" s="51" t="s">
        <v>17</v>
      </c>
    </row>
    <row r="24" spans="1:14" s="48" customFormat="1" ht="15" customHeight="1" x14ac:dyDescent="0.2">
      <c r="B24" s="48">
        <v>2022</v>
      </c>
      <c r="C24" s="18" t="s">
        <v>50</v>
      </c>
      <c r="D24" s="18" t="s">
        <v>134</v>
      </c>
      <c r="E24" s="19">
        <v>22080583</v>
      </c>
      <c r="F24" s="20" t="s">
        <v>45</v>
      </c>
      <c r="G24" s="21"/>
      <c r="H24" s="21">
        <v>10521619900</v>
      </c>
      <c r="I24" s="21">
        <f t="shared" si="0"/>
        <v>48623428050</v>
      </c>
      <c r="J24" s="51" t="s">
        <v>17</v>
      </c>
    </row>
    <row r="25" spans="1:14" s="48" customFormat="1" ht="15" hidden="1" customHeight="1" x14ac:dyDescent="0.2">
      <c r="B25" s="48">
        <v>2022</v>
      </c>
      <c r="C25" s="18" t="s">
        <v>51</v>
      </c>
      <c r="D25" s="18"/>
      <c r="E25" s="19">
        <v>22090280</v>
      </c>
      <c r="F25" s="20" t="s">
        <v>49</v>
      </c>
      <c r="G25" s="21">
        <v>2300000000</v>
      </c>
      <c r="H25" s="21">
        <v>0</v>
      </c>
      <c r="I25" s="21">
        <f t="shared" si="0"/>
        <v>46323428050</v>
      </c>
      <c r="J25" s="51" t="s">
        <v>17</v>
      </c>
    </row>
    <row r="26" spans="1:14" s="48" customFormat="1" ht="15" customHeight="1" x14ac:dyDescent="0.2">
      <c r="B26" s="48">
        <v>2022</v>
      </c>
      <c r="C26" s="18" t="s">
        <v>52</v>
      </c>
      <c r="D26" s="18" t="s">
        <v>135</v>
      </c>
      <c r="E26" s="19">
        <v>22090555</v>
      </c>
      <c r="F26" s="20" t="s">
        <v>53</v>
      </c>
      <c r="G26" s="21"/>
      <c r="H26" s="21">
        <v>10217982610</v>
      </c>
      <c r="I26" s="21">
        <f t="shared" si="0"/>
        <v>56541410660</v>
      </c>
      <c r="J26" s="51" t="s">
        <v>17</v>
      </c>
    </row>
    <row r="27" spans="1:14" s="48" customFormat="1" ht="15" hidden="1" customHeight="1" x14ac:dyDescent="0.2">
      <c r="B27" s="48">
        <v>2022</v>
      </c>
      <c r="C27" s="18" t="s">
        <v>54</v>
      </c>
      <c r="D27" s="18"/>
      <c r="E27" s="19">
        <v>22100125</v>
      </c>
      <c r="F27" s="20" t="s">
        <v>49</v>
      </c>
      <c r="G27" s="21">
        <v>5231910000</v>
      </c>
      <c r="H27" s="21"/>
      <c r="I27" s="21">
        <f t="shared" si="0"/>
        <v>51309500660</v>
      </c>
      <c r="J27" s="51" t="s">
        <v>17</v>
      </c>
    </row>
    <row r="28" spans="1:14" s="48" customFormat="1" ht="15" hidden="1" customHeight="1" x14ac:dyDescent="0.2">
      <c r="B28" s="48">
        <v>2022</v>
      </c>
      <c r="C28" s="18" t="s">
        <v>55</v>
      </c>
      <c r="D28" s="18"/>
      <c r="E28" s="19">
        <v>22100430</v>
      </c>
      <c r="F28" s="20" t="s">
        <v>56</v>
      </c>
      <c r="G28" s="21">
        <v>9298488650</v>
      </c>
      <c r="H28" s="21"/>
      <c r="I28" s="21">
        <f t="shared" si="0"/>
        <v>42011012010</v>
      </c>
      <c r="J28" s="51" t="s">
        <v>17</v>
      </c>
    </row>
    <row r="29" spans="1:14" s="48" customFormat="1" ht="15" customHeight="1" x14ac:dyDescent="0.2">
      <c r="B29" s="48">
        <v>2022</v>
      </c>
      <c r="C29" s="18" t="s">
        <v>55</v>
      </c>
      <c r="D29" s="18" t="s">
        <v>136</v>
      </c>
      <c r="E29" s="19">
        <v>22100659</v>
      </c>
      <c r="F29" s="20" t="s">
        <v>57</v>
      </c>
      <c r="G29" s="21"/>
      <c r="H29" s="21">
        <v>11417721700</v>
      </c>
      <c r="I29" s="21">
        <f t="shared" si="0"/>
        <v>53428733710</v>
      </c>
      <c r="J29" s="51" t="s">
        <v>17</v>
      </c>
    </row>
    <row r="30" spans="1:14" s="48" customFormat="1" ht="15" hidden="1" customHeight="1" x14ac:dyDescent="0.2">
      <c r="B30" s="48">
        <v>2022</v>
      </c>
      <c r="C30" s="18" t="s">
        <v>58</v>
      </c>
      <c r="D30" s="18"/>
      <c r="E30" s="19">
        <v>22110237</v>
      </c>
      <c r="F30" s="20" t="s">
        <v>59</v>
      </c>
      <c r="G30" s="21">
        <v>2450000000</v>
      </c>
      <c r="H30" s="21">
        <v>0</v>
      </c>
      <c r="I30" s="21">
        <f t="shared" si="0"/>
        <v>50978733710</v>
      </c>
      <c r="J30" s="51" t="s">
        <v>17</v>
      </c>
      <c r="L30" s="55"/>
      <c r="M30" s="56"/>
      <c r="N30" s="57"/>
    </row>
    <row r="31" spans="1:14" s="48" customFormat="1" ht="15" customHeight="1" x14ac:dyDescent="0.2">
      <c r="B31" s="48">
        <v>2022</v>
      </c>
      <c r="C31" s="18" t="s">
        <v>60</v>
      </c>
      <c r="D31" s="18">
        <v>194</v>
      </c>
      <c r="E31" s="19">
        <v>22110793</v>
      </c>
      <c r="F31" s="20" t="s">
        <v>61</v>
      </c>
      <c r="G31" s="21"/>
      <c r="H31" s="21">
        <v>9835248500</v>
      </c>
      <c r="I31" s="21">
        <f t="shared" si="0"/>
        <v>60813982210</v>
      </c>
      <c r="J31" s="51" t="s">
        <v>17</v>
      </c>
    </row>
    <row r="32" spans="1:14" s="48" customFormat="1" ht="15" hidden="1" customHeight="1" x14ac:dyDescent="0.2">
      <c r="B32" s="48">
        <v>2022</v>
      </c>
      <c r="C32" s="18" t="s">
        <v>62</v>
      </c>
      <c r="D32" s="18"/>
      <c r="E32" s="19">
        <v>22110331</v>
      </c>
      <c r="F32" s="20" t="s">
        <v>59</v>
      </c>
      <c r="G32" s="21">
        <v>6125000000</v>
      </c>
      <c r="H32" s="21"/>
      <c r="I32" s="21">
        <f t="shared" si="0"/>
        <v>54688982210</v>
      </c>
      <c r="J32" s="51" t="s">
        <v>17</v>
      </c>
      <c r="L32" s="55"/>
      <c r="M32" s="56"/>
      <c r="N32" s="57"/>
    </row>
    <row r="33" spans="2:14" s="48" customFormat="1" ht="15" hidden="1" customHeight="1" x14ac:dyDescent="0.2">
      <c r="B33" s="48">
        <v>2022</v>
      </c>
      <c r="C33" s="18" t="s">
        <v>63</v>
      </c>
      <c r="D33" s="18"/>
      <c r="E33" s="19">
        <v>22120110</v>
      </c>
      <c r="F33" s="20" t="s">
        <v>59</v>
      </c>
      <c r="G33" s="21">
        <v>2511603000</v>
      </c>
      <c r="H33" s="21"/>
      <c r="I33" s="21">
        <f t="shared" si="0"/>
        <v>52177379210</v>
      </c>
      <c r="J33" s="51" t="s">
        <v>17</v>
      </c>
      <c r="L33" s="55"/>
      <c r="M33" s="56"/>
      <c r="N33" s="57"/>
    </row>
    <row r="34" spans="2:14" s="48" customFormat="1" ht="15" hidden="1" customHeight="1" x14ac:dyDescent="0.2">
      <c r="B34" s="48">
        <v>2022</v>
      </c>
      <c r="C34" s="18" t="s">
        <v>64</v>
      </c>
      <c r="D34" s="18"/>
      <c r="E34" s="19">
        <v>22120465</v>
      </c>
      <c r="F34" s="20" t="s">
        <v>65</v>
      </c>
      <c r="G34" s="21">
        <v>8724360000</v>
      </c>
      <c r="H34" s="21"/>
      <c r="I34" s="21">
        <f t="shared" si="0"/>
        <v>43453019210</v>
      </c>
      <c r="J34" s="51" t="s">
        <v>17</v>
      </c>
      <c r="L34" s="55"/>
      <c r="M34" s="56"/>
      <c r="N34" s="57"/>
    </row>
    <row r="35" spans="2:14" s="48" customFormat="1" ht="15" customHeight="1" x14ac:dyDescent="0.2">
      <c r="B35" s="48">
        <v>2022</v>
      </c>
      <c r="C35" s="18" t="s">
        <v>66</v>
      </c>
      <c r="D35" s="18">
        <v>220</v>
      </c>
      <c r="E35" s="19">
        <v>22120844</v>
      </c>
      <c r="F35" s="20" t="s">
        <v>67</v>
      </c>
      <c r="G35" s="21"/>
      <c r="H35" s="21">
        <v>2669576360</v>
      </c>
      <c r="I35" s="21">
        <f t="shared" si="0"/>
        <v>46122595570</v>
      </c>
      <c r="J35" s="51" t="s">
        <v>17</v>
      </c>
    </row>
    <row r="36" spans="2:14" s="48" customFormat="1" ht="15" hidden="1" customHeight="1" x14ac:dyDescent="0.2">
      <c r="B36" s="48">
        <v>2023</v>
      </c>
      <c r="C36" s="18" t="s">
        <v>68</v>
      </c>
      <c r="D36" s="18"/>
      <c r="E36" s="19">
        <v>23010057</v>
      </c>
      <c r="F36" s="20" t="s">
        <v>69</v>
      </c>
      <c r="G36" s="21">
        <v>1460446500</v>
      </c>
      <c r="H36" s="21"/>
      <c r="I36" s="21">
        <f t="shared" si="0"/>
        <v>44662149070</v>
      </c>
      <c r="J36" s="51" t="s">
        <v>17</v>
      </c>
      <c r="L36" s="55"/>
      <c r="M36" s="56"/>
      <c r="N36" s="57"/>
    </row>
    <row r="37" spans="2:14" s="48" customFormat="1" ht="15" hidden="1" customHeight="1" x14ac:dyDescent="0.2">
      <c r="B37" s="48">
        <v>2023</v>
      </c>
      <c r="C37" s="18" t="s">
        <v>68</v>
      </c>
      <c r="D37" s="18"/>
      <c r="E37" s="19">
        <v>23010057</v>
      </c>
      <c r="F37" s="20" t="s">
        <v>70</v>
      </c>
      <c r="G37" s="21">
        <v>3339553500</v>
      </c>
      <c r="H37" s="21"/>
      <c r="I37" s="21">
        <f t="shared" si="0"/>
        <v>41322595570</v>
      </c>
      <c r="J37" s="51" t="s">
        <v>17</v>
      </c>
    </row>
    <row r="38" spans="2:14" s="48" customFormat="1" ht="15" customHeight="1" x14ac:dyDescent="0.2">
      <c r="B38" s="48">
        <v>2023</v>
      </c>
      <c r="C38" s="18" t="s">
        <v>71</v>
      </c>
      <c r="D38" s="18">
        <v>21</v>
      </c>
      <c r="E38" s="19">
        <v>23010428</v>
      </c>
      <c r="F38" s="20" t="s">
        <v>72</v>
      </c>
      <c r="G38" s="21">
        <v>0</v>
      </c>
      <c r="H38" s="21">
        <v>432694020</v>
      </c>
      <c r="I38" s="21">
        <f t="shared" si="0"/>
        <v>41755289590</v>
      </c>
      <c r="J38" s="51" t="s">
        <v>17</v>
      </c>
      <c r="N38" s="57"/>
    </row>
    <row r="39" spans="2:14" s="48" customFormat="1" ht="15" hidden="1" customHeight="1" x14ac:dyDescent="0.2">
      <c r="B39" s="48">
        <v>2023</v>
      </c>
      <c r="C39" s="18" t="s">
        <v>73</v>
      </c>
      <c r="D39" s="18"/>
      <c r="E39" s="19">
        <v>23010281</v>
      </c>
      <c r="F39" s="20" t="s">
        <v>74</v>
      </c>
      <c r="G39" s="21">
        <v>7182066400</v>
      </c>
      <c r="H39" s="21"/>
      <c r="I39" s="21">
        <f t="shared" si="0"/>
        <v>34573223190</v>
      </c>
      <c r="J39" s="51" t="s">
        <v>17</v>
      </c>
      <c r="N39" s="71"/>
    </row>
    <row r="40" spans="2:14" s="48" customFormat="1" ht="15" hidden="1" customHeight="1" x14ac:dyDescent="0.2">
      <c r="B40" s="48">
        <v>2023</v>
      </c>
      <c r="C40" s="18" t="s">
        <v>73</v>
      </c>
      <c r="D40" s="18"/>
      <c r="E40" s="19">
        <v>23010281</v>
      </c>
      <c r="F40" s="20" t="s">
        <v>75</v>
      </c>
      <c r="G40" s="21">
        <v>2417933600</v>
      </c>
      <c r="H40" s="21"/>
      <c r="I40" s="21">
        <f t="shared" si="0"/>
        <v>32155289590</v>
      </c>
      <c r="J40" s="51" t="s">
        <v>17</v>
      </c>
    </row>
    <row r="41" spans="2:14" s="48" customFormat="1" ht="15" hidden="1" customHeight="1" x14ac:dyDescent="0.2">
      <c r="B41" s="48">
        <v>2023</v>
      </c>
      <c r="C41" s="18" t="s">
        <v>76</v>
      </c>
      <c r="D41" s="18"/>
      <c r="E41" s="19">
        <v>23020006</v>
      </c>
      <c r="F41" s="20" t="s">
        <v>77</v>
      </c>
      <c r="G41" s="21">
        <v>1080788500</v>
      </c>
      <c r="H41" s="21"/>
      <c r="I41" s="21">
        <f t="shared" si="0"/>
        <v>31074501090</v>
      </c>
      <c r="J41" s="51" t="s">
        <v>17</v>
      </c>
    </row>
    <row r="42" spans="2:14" s="48" customFormat="1" ht="15" hidden="1" customHeight="1" x14ac:dyDescent="0.2">
      <c r="B42" s="48">
        <v>2023</v>
      </c>
      <c r="C42" s="18" t="s">
        <v>78</v>
      </c>
      <c r="D42" s="18"/>
      <c r="E42" s="19">
        <v>23020150</v>
      </c>
      <c r="F42" s="20" t="s">
        <v>75</v>
      </c>
      <c r="G42" s="21">
        <v>2971434000</v>
      </c>
      <c r="H42" s="21"/>
      <c r="I42" s="21">
        <f t="shared" si="0"/>
        <v>28103067090</v>
      </c>
      <c r="J42" s="51" t="s">
        <v>17</v>
      </c>
    </row>
    <row r="43" spans="2:14" s="48" customFormat="1" ht="15" hidden="1" customHeight="1" x14ac:dyDescent="0.2">
      <c r="B43" s="48">
        <v>2023</v>
      </c>
      <c r="C43" s="18" t="s">
        <v>79</v>
      </c>
      <c r="D43" s="18"/>
      <c r="E43" s="19">
        <v>23020080</v>
      </c>
      <c r="F43" s="20" t="s">
        <v>75</v>
      </c>
      <c r="G43" s="21">
        <v>3747826510</v>
      </c>
      <c r="H43" s="21"/>
      <c r="I43" s="21">
        <f t="shared" si="0"/>
        <v>24355240580</v>
      </c>
      <c r="J43" s="51" t="s">
        <v>17</v>
      </c>
    </row>
    <row r="44" spans="2:14" s="48" customFormat="1" ht="15" hidden="1" customHeight="1" x14ac:dyDescent="0.2">
      <c r="B44" s="48">
        <v>2023</v>
      </c>
      <c r="C44" s="18" t="s">
        <v>79</v>
      </c>
      <c r="D44" s="18"/>
      <c r="E44" s="19">
        <v>23020080</v>
      </c>
      <c r="F44" s="20" t="s">
        <v>80</v>
      </c>
      <c r="G44" s="21">
        <v>4477173490</v>
      </c>
      <c r="H44" s="21"/>
      <c r="I44" s="21">
        <f t="shared" si="0"/>
        <v>19878067090</v>
      </c>
      <c r="J44" s="51" t="s">
        <v>17</v>
      </c>
    </row>
    <row r="45" spans="2:14" s="48" customFormat="1" ht="15" customHeight="1" x14ac:dyDescent="0.2">
      <c r="B45" s="48">
        <v>2023</v>
      </c>
      <c r="C45" s="18" t="s">
        <v>79</v>
      </c>
      <c r="D45" s="18">
        <v>57</v>
      </c>
      <c r="E45" s="19">
        <v>23020629</v>
      </c>
      <c r="F45" s="20" t="s">
        <v>72</v>
      </c>
      <c r="G45" s="21"/>
      <c r="H45" s="21">
        <v>7484749800</v>
      </c>
      <c r="I45" s="21">
        <f t="shared" si="0"/>
        <v>27362816890</v>
      </c>
      <c r="J45" s="51" t="s">
        <v>17</v>
      </c>
    </row>
    <row r="46" spans="2:14" s="48" customFormat="1" ht="15" hidden="1" customHeight="1" x14ac:dyDescent="0.2">
      <c r="B46" s="48">
        <v>2023</v>
      </c>
      <c r="C46" s="18" t="s">
        <v>81</v>
      </c>
      <c r="D46" s="18"/>
      <c r="E46" s="19">
        <v>23030290</v>
      </c>
      <c r="F46" s="20" t="s">
        <v>82</v>
      </c>
      <c r="G46" s="21">
        <v>3525000000</v>
      </c>
      <c r="H46" s="21">
        <v>0</v>
      </c>
      <c r="I46" s="21">
        <f t="shared" si="0"/>
        <v>23837816890</v>
      </c>
      <c r="J46" s="51" t="s">
        <v>17</v>
      </c>
    </row>
    <row r="47" spans="2:14" ht="15" customHeight="1" x14ac:dyDescent="0.2">
      <c r="B47" s="1">
        <v>2023</v>
      </c>
      <c r="C47" s="18" t="s">
        <v>83</v>
      </c>
      <c r="D47" s="18">
        <v>98</v>
      </c>
      <c r="E47" s="19">
        <v>23030695</v>
      </c>
      <c r="F47" s="20" t="s">
        <v>84</v>
      </c>
      <c r="G47" s="21"/>
      <c r="H47" s="21">
        <v>7988039400</v>
      </c>
      <c r="I47" s="21">
        <f t="shared" si="0"/>
        <v>31825856290</v>
      </c>
      <c r="J47" s="17" t="s">
        <v>17</v>
      </c>
    </row>
    <row r="48" spans="2:14" ht="15" customHeight="1" x14ac:dyDescent="0.2">
      <c r="B48" s="1">
        <v>2023</v>
      </c>
      <c r="C48" s="18" t="s">
        <v>85</v>
      </c>
      <c r="D48" s="18">
        <v>103</v>
      </c>
      <c r="E48" s="19">
        <v>23030694</v>
      </c>
      <c r="F48" s="20" t="s">
        <v>72</v>
      </c>
      <c r="G48" s="21"/>
      <c r="H48" s="21">
        <v>602315450</v>
      </c>
      <c r="I48" s="21">
        <f t="shared" si="0"/>
        <v>32428171740</v>
      </c>
      <c r="J48" s="17" t="s">
        <v>17</v>
      </c>
    </row>
    <row r="49" spans="2:1015 1029:2039 2053:3063 3077:4087 4101:5111 5125:6135 6149:7159 7173:8183 8197:9207 9221:10231 10245:11255 11269:12279 12293:13303 13317:14327 14341:15351 15365:16384" ht="15" hidden="1" customHeight="1" x14ac:dyDescent="0.2">
      <c r="B49" s="1">
        <v>2023</v>
      </c>
      <c r="C49" s="18" t="s">
        <v>86</v>
      </c>
      <c r="D49" s="18"/>
      <c r="E49" s="19">
        <v>23040911</v>
      </c>
      <c r="F49" s="20" t="s">
        <v>87</v>
      </c>
      <c r="G49" s="21">
        <v>3415548210</v>
      </c>
      <c r="H49" s="21"/>
      <c r="I49" s="21">
        <f t="shared" si="0"/>
        <v>29012623530</v>
      </c>
      <c r="J49" s="17" t="s">
        <v>17</v>
      </c>
    </row>
    <row r="50" spans="2:1015 1029:2039 2053:3063 3077:4087 4101:5111 5125:6135 6149:7159 7173:8183 8197:9207 9221:10231 10245:11255 11269:12279 12293:13303 13317:14327 14341:15351 15365:16384" ht="15" hidden="1" customHeight="1" x14ac:dyDescent="0.2">
      <c r="B50" s="1">
        <v>2023</v>
      </c>
      <c r="C50" s="18" t="s">
        <v>86</v>
      </c>
      <c r="D50" s="18"/>
      <c r="E50" s="19">
        <v>23040911</v>
      </c>
      <c r="F50" s="20" t="s">
        <v>88</v>
      </c>
      <c r="G50" s="21">
        <v>5984451790</v>
      </c>
      <c r="H50" s="21"/>
      <c r="I50" s="21">
        <f t="shared" si="0"/>
        <v>23028171740</v>
      </c>
      <c r="J50" s="17" t="s">
        <v>17</v>
      </c>
    </row>
    <row r="51" spans="2:1015 1029:2039 2053:3063 3077:4087 4101:5111 5125:6135 6149:7159 7173:8183 8197:9207 9221:10231 10245:11255 11269:12279 12293:13303 13317:14327 14341:15351 15365:16384" ht="15" hidden="1" customHeight="1" x14ac:dyDescent="0.2">
      <c r="B51" s="1">
        <v>2023</v>
      </c>
      <c r="C51" s="18" t="s">
        <v>89</v>
      </c>
      <c r="D51" s="18"/>
      <c r="E51" s="19">
        <v>23040959</v>
      </c>
      <c r="F51" s="20" t="s">
        <v>90</v>
      </c>
      <c r="G51" s="21">
        <v>3850796710</v>
      </c>
      <c r="H51" s="21"/>
      <c r="I51" s="21">
        <f t="shared" si="0"/>
        <v>19177375030</v>
      </c>
      <c r="J51" s="17" t="s">
        <v>17</v>
      </c>
    </row>
    <row r="52" spans="2:1015 1029:2039 2053:3063 3077:4087 4101:5111 5125:6135 6149:7159 7173:8183 8197:9207 9221:10231 10245:11255 11269:12279 12293:13303 13317:14327 14341:15351 15365:16384" ht="15" hidden="1" customHeight="1" x14ac:dyDescent="0.2">
      <c r="B52" s="1">
        <v>2023</v>
      </c>
      <c r="C52" s="18" t="s">
        <v>89</v>
      </c>
      <c r="D52" s="18"/>
      <c r="E52" s="19">
        <v>23040959</v>
      </c>
      <c r="F52" s="20" t="s">
        <v>91</v>
      </c>
      <c r="G52" s="21">
        <v>2669576360</v>
      </c>
      <c r="H52" s="21"/>
      <c r="I52" s="21">
        <f t="shared" si="0"/>
        <v>16507798670</v>
      </c>
      <c r="J52" s="17" t="s">
        <v>17</v>
      </c>
    </row>
    <row r="53" spans="2:1015 1029:2039 2053:3063 3077:4087 4101:5111 5125:6135 6149:7159 7173:8183 8197:9207 9221:10231 10245:11255 11269:12279 12293:13303 13317:14327 14341:15351 15365:16384" ht="15" hidden="1" customHeight="1" x14ac:dyDescent="0.2">
      <c r="B53" s="1">
        <v>2023</v>
      </c>
      <c r="C53" s="18" t="s">
        <v>89</v>
      </c>
      <c r="D53" s="18"/>
      <c r="E53" s="19">
        <v>23040959</v>
      </c>
      <c r="F53" s="20" t="s">
        <v>92</v>
      </c>
      <c r="G53" s="21">
        <v>432694020</v>
      </c>
      <c r="H53" s="21"/>
      <c r="I53" s="21">
        <f t="shared" si="0"/>
        <v>16075104650</v>
      </c>
      <c r="J53" s="17" t="s">
        <v>17</v>
      </c>
    </row>
    <row r="54" spans="2:1015 1029:2039 2053:3063 3077:4087 4101:5111 5125:6135 6149:7159 7173:8183 8197:9207 9221:10231 10245:11255 11269:12279 12293:13303 13317:14327 14341:15351 15365:16384" ht="15" customHeight="1" x14ac:dyDescent="0.2">
      <c r="B54" s="1">
        <v>2023</v>
      </c>
      <c r="C54" s="18" t="s">
        <v>93</v>
      </c>
      <c r="D54" s="18" t="s">
        <v>137</v>
      </c>
      <c r="E54" s="19">
        <v>23040590</v>
      </c>
      <c r="F54" s="20" t="s">
        <v>72</v>
      </c>
      <c r="G54" s="21"/>
      <c r="H54" s="21">
        <v>8385043700</v>
      </c>
      <c r="I54" s="21">
        <f t="shared" si="0"/>
        <v>24460148350</v>
      </c>
      <c r="J54" s="17" t="s">
        <v>17</v>
      </c>
    </row>
    <row r="55" spans="2:1015 1029:2039 2053:3063 3077:4087 4101:5111 5125:6135 6149:7159 7173:8183 8197:9207 9221:10231 10245:11255 11269:12279 12293:13303 13317:14327 14341:15351 15365:16384" ht="15" customHeight="1" x14ac:dyDescent="0.2">
      <c r="B55" s="1">
        <v>2023</v>
      </c>
      <c r="C55" s="18" t="s">
        <v>94</v>
      </c>
      <c r="D55" s="18">
        <v>185</v>
      </c>
      <c r="E55" s="19">
        <v>23050829</v>
      </c>
      <c r="F55" s="20" t="s">
        <v>95</v>
      </c>
      <c r="G55" s="21"/>
      <c r="H55" s="21">
        <v>9469925300</v>
      </c>
      <c r="I55" s="21">
        <f t="shared" si="0"/>
        <v>33930073650</v>
      </c>
      <c r="J55" s="17" t="s">
        <v>17</v>
      </c>
    </row>
    <row r="56" spans="2:1015 1029:2039 2053:3063 3077:4087 4101:5111 5125:6135 6149:7159 7173:8183 8197:9207 9221:10231 10245:11255 11269:12279 12293:13303 13317:14327 14341:15351 15365:16384" ht="15" hidden="1" customHeight="1" x14ac:dyDescent="0.2">
      <c r="B56" s="1">
        <v>2023</v>
      </c>
      <c r="C56" s="18" t="s">
        <v>96</v>
      </c>
      <c r="D56" s="18"/>
      <c r="E56" s="19">
        <v>23060398</v>
      </c>
      <c r="F56" s="20" t="s">
        <v>97</v>
      </c>
      <c r="G56" s="21">
        <v>1175000000</v>
      </c>
      <c r="H56" s="21"/>
      <c r="I56" s="21">
        <f t="shared" si="0"/>
        <v>32755073650</v>
      </c>
      <c r="J56" s="17" t="s">
        <v>17</v>
      </c>
    </row>
    <row r="57" spans="2:1015 1029:2039 2053:3063 3077:4087 4101:5111 5125:6135 6149:7159 7173:8183 8197:9207 9221:10231 10245:11255 11269:12279 12293:13303 13317:14327 14341:15351 15365:16384" ht="15" customHeight="1" x14ac:dyDescent="0.2">
      <c r="B57" s="1">
        <v>2023</v>
      </c>
      <c r="C57" s="18" t="s">
        <v>98</v>
      </c>
      <c r="D57" s="18">
        <v>207</v>
      </c>
      <c r="E57" s="19">
        <v>23060566</v>
      </c>
      <c r="F57" s="20" t="s">
        <v>99</v>
      </c>
      <c r="G57" s="21"/>
      <c r="H57" s="21">
        <v>5753386650</v>
      </c>
      <c r="I57" s="21">
        <f t="shared" si="0"/>
        <v>38508460300</v>
      </c>
      <c r="J57" s="17" t="s">
        <v>17</v>
      </c>
    </row>
    <row r="58" spans="2:1015 1029:2039 2053:3063 3077:4087 4101:5111 5125:6135 6149:7159 7173:8183 8197:9207 9221:10231 10245:11255 11269:12279 12293:13303 13317:14327 14341:15351 15365:16384" ht="15" hidden="1" customHeight="1" x14ac:dyDescent="0.2">
      <c r="B58" s="1">
        <v>2023</v>
      </c>
      <c r="C58" s="18" t="s">
        <v>100</v>
      </c>
      <c r="D58" s="18"/>
      <c r="E58" s="19">
        <v>23070389</v>
      </c>
      <c r="F58" s="20" t="s">
        <v>101</v>
      </c>
      <c r="G58" s="21">
        <v>2201832700</v>
      </c>
      <c r="H58" s="21"/>
      <c r="I58" s="21">
        <f t="shared" si="0"/>
        <v>36306627600</v>
      </c>
      <c r="J58" s="17" t="s">
        <v>17</v>
      </c>
    </row>
    <row r="59" spans="2:1015 1029:2039 2053:3063 3077:4087 4101:5111 5125:6135 6149:7159 7173:8183 8197:9207 9221:10231 10245:11255 11269:12279 12293:13303 13317:14327 14341:15351 15365:16384" ht="15" hidden="1" customHeight="1" x14ac:dyDescent="0.2">
      <c r="B59" s="1">
        <v>2023</v>
      </c>
      <c r="C59" s="18" t="s">
        <v>100</v>
      </c>
      <c r="D59" s="18"/>
      <c r="E59" s="19">
        <v>23070389</v>
      </c>
      <c r="F59" s="20" t="s">
        <v>102</v>
      </c>
      <c r="G59" s="21">
        <v>6309749800</v>
      </c>
      <c r="H59" s="21"/>
      <c r="I59" s="21">
        <f t="shared" si="0"/>
        <v>29996877800</v>
      </c>
      <c r="J59" s="17" t="s">
        <v>17</v>
      </c>
    </row>
    <row r="60" spans="2:1015 1029:2039 2053:3063 3077:4087 4101:5111 5125:6135 6149:7159 7173:8183 8197:9207 9221:10231 10245:11255 11269:12279 12293:13303 13317:14327 14341:15351 15365:16384" ht="15" hidden="1" customHeight="1" x14ac:dyDescent="0.2">
      <c r="B60" s="58">
        <v>2023</v>
      </c>
      <c r="C60" s="59" t="s">
        <v>103</v>
      </c>
      <c r="D60" s="59"/>
      <c r="E60" s="19">
        <v>23080494</v>
      </c>
      <c r="F60" s="60" t="s">
        <v>104</v>
      </c>
      <c r="G60" s="61">
        <v>6388522235</v>
      </c>
      <c r="H60" s="61"/>
      <c r="I60" s="21">
        <f t="shared" si="0"/>
        <v>23608355565</v>
      </c>
      <c r="J60" s="62" t="s">
        <v>17</v>
      </c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  <c r="GL60" s="58"/>
      <c r="GM60" s="58"/>
      <c r="GN60" s="58"/>
      <c r="GO60" s="58"/>
      <c r="GP60" s="58"/>
      <c r="GQ60" s="58"/>
      <c r="GR60" s="58"/>
      <c r="GS60" s="58"/>
      <c r="GT60" s="58"/>
      <c r="GU60" s="58"/>
      <c r="GV60" s="58"/>
      <c r="GW60" s="58"/>
      <c r="GX60" s="58"/>
      <c r="GY60" s="58"/>
      <c r="GZ60" s="58"/>
      <c r="HA60" s="58"/>
      <c r="HB60" s="58"/>
      <c r="HC60" s="58"/>
      <c r="HD60" s="58"/>
      <c r="HE60" s="58"/>
      <c r="HF60" s="58"/>
      <c r="HG60" s="58"/>
      <c r="HH60" s="58"/>
      <c r="HI60" s="58"/>
      <c r="HJ60" s="58"/>
      <c r="HK60" s="58"/>
      <c r="HL60" s="58"/>
      <c r="HM60" s="58"/>
      <c r="HN60" s="58"/>
      <c r="HO60" s="58"/>
      <c r="HP60" s="58"/>
      <c r="HQ60" s="58"/>
      <c r="HR60" s="58"/>
      <c r="HS60" s="58"/>
      <c r="HT60" s="58"/>
      <c r="HU60" s="58"/>
      <c r="HV60" s="58"/>
      <c r="HW60" s="58"/>
      <c r="HX60" s="58"/>
      <c r="HY60" s="58"/>
      <c r="HZ60" s="58"/>
      <c r="IA60" s="58"/>
      <c r="IC60" s="58"/>
      <c r="ID60" s="58"/>
      <c r="IF60" s="58"/>
      <c r="IL60" s="58"/>
      <c r="IM60" s="58"/>
      <c r="JA60" s="58"/>
      <c r="JB60" s="58"/>
      <c r="JC60" s="58"/>
      <c r="JD60" s="58"/>
      <c r="JE60" s="58"/>
      <c r="JF60" s="58"/>
      <c r="JG60" s="58"/>
      <c r="JH60" s="58"/>
      <c r="JI60" s="58"/>
      <c r="JJ60" s="58"/>
      <c r="JK60" s="58"/>
      <c r="JL60" s="58"/>
      <c r="JM60" s="58"/>
      <c r="JN60" s="58"/>
      <c r="JO60" s="58"/>
      <c r="JP60" s="58"/>
      <c r="JQ60" s="58"/>
      <c r="JR60" s="58"/>
      <c r="JS60" s="58"/>
      <c r="JT60" s="58"/>
      <c r="JU60" s="58"/>
      <c r="JV60" s="58"/>
      <c r="JW60" s="58"/>
      <c r="JX60" s="58"/>
      <c r="JY60" s="58"/>
      <c r="JZ60" s="58"/>
      <c r="KA60" s="58"/>
      <c r="KB60" s="58"/>
      <c r="KC60" s="58"/>
      <c r="KD60" s="58"/>
      <c r="KE60" s="58"/>
      <c r="KF60" s="58"/>
      <c r="KG60" s="58"/>
      <c r="KH60" s="58"/>
      <c r="KI60" s="58"/>
      <c r="KJ60" s="58"/>
      <c r="KK60" s="58"/>
      <c r="KL60" s="58"/>
      <c r="KM60" s="58"/>
      <c r="KN60" s="58"/>
      <c r="KO60" s="58"/>
      <c r="KP60" s="58"/>
      <c r="KQ60" s="58"/>
      <c r="KR60" s="58"/>
      <c r="KS60" s="58"/>
      <c r="KT60" s="58"/>
      <c r="KU60" s="58"/>
      <c r="KV60" s="58"/>
      <c r="KW60" s="58"/>
      <c r="KX60" s="58"/>
      <c r="KY60" s="58"/>
      <c r="KZ60" s="58"/>
      <c r="LA60" s="58"/>
      <c r="LB60" s="58"/>
      <c r="LC60" s="58"/>
      <c r="LD60" s="58"/>
      <c r="LE60" s="58"/>
      <c r="LF60" s="58"/>
      <c r="LG60" s="58"/>
      <c r="LH60" s="58"/>
      <c r="LI60" s="58"/>
      <c r="LJ60" s="58"/>
      <c r="LK60" s="58"/>
      <c r="LL60" s="58"/>
      <c r="LM60" s="58"/>
      <c r="LN60" s="58"/>
      <c r="LO60" s="58"/>
      <c r="LP60" s="58"/>
      <c r="LQ60" s="58"/>
      <c r="LR60" s="58"/>
      <c r="LS60" s="58"/>
      <c r="LT60" s="58"/>
      <c r="LU60" s="58"/>
      <c r="LV60" s="58"/>
      <c r="LW60" s="58"/>
      <c r="LX60" s="58"/>
      <c r="LY60" s="58"/>
      <c r="LZ60" s="58"/>
      <c r="MA60" s="58"/>
      <c r="MB60" s="58"/>
      <c r="MC60" s="58"/>
      <c r="MD60" s="58"/>
      <c r="ME60" s="58"/>
      <c r="MF60" s="58"/>
      <c r="MG60" s="58"/>
      <c r="MH60" s="58"/>
      <c r="MI60" s="58"/>
      <c r="MJ60" s="58"/>
      <c r="MK60" s="58"/>
      <c r="ML60" s="58"/>
      <c r="MM60" s="58"/>
      <c r="MN60" s="58"/>
      <c r="MO60" s="58"/>
      <c r="MP60" s="58"/>
      <c r="MQ60" s="58"/>
      <c r="MR60" s="58"/>
      <c r="MS60" s="58"/>
      <c r="MT60" s="58"/>
      <c r="MU60" s="58"/>
      <c r="MV60" s="58"/>
      <c r="MW60" s="58"/>
      <c r="MX60" s="58"/>
      <c r="MY60" s="58"/>
      <c r="MZ60" s="58"/>
      <c r="NA60" s="58"/>
      <c r="NB60" s="58"/>
      <c r="NC60" s="58"/>
      <c r="ND60" s="58"/>
      <c r="NE60" s="58"/>
      <c r="NF60" s="58"/>
      <c r="NG60" s="58"/>
      <c r="NH60" s="58"/>
      <c r="NI60" s="58"/>
      <c r="NJ60" s="58"/>
      <c r="NK60" s="58"/>
      <c r="NL60" s="58"/>
      <c r="NM60" s="58"/>
      <c r="NN60" s="58"/>
      <c r="NO60" s="58"/>
      <c r="NP60" s="58"/>
      <c r="NQ60" s="58"/>
      <c r="NR60" s="58"/>
      <c r="NS60" s="58"/>
      <c r="NT60" s="58"/>
      <c r="NU60" s="58"/>
      <c r="NV60" s="58"/>
      <c r="NW60" s="58"/>
      <c r="NX60" s="58"/>
      <c r="NY60" s="58"/>
      <c r="NZ60" s="58"/>
      <c r="OA60" s="58"/>
      <c r="OB60" s="58"/>
      <c r="OC60" s="58"/>
      <c r="OD60" s="58"/>
      <c r="OE60" s="58"/>
      <c r="OF60" s="58"/>
      <c r="OG60" s="58"/>
      <c r="OH60" s="58"/>
      <c r="OI60" s="58"/>
      <c r="OJ60" s="58"/>
      <c r="OK60" s="58"/>
      <c r="OL60" s="58"/>
      <c r="OM60" s="58"/>
      <c r="ON60" s="58"/>
      <c r="OO60" s="58"/>
      <c r="OP60" s="58"/>
      <c r="OQ60" s="58"/>
      <c r="OR60" s="58"/>
      <c r="OS60" s="58"/>
      <c r="OT60" s="58"/>
      <c r="OU60" s="58"/>
      <c r="OV60" s="58"/>
      <c r="OW60" s="58"/>
      <c r="OX60" s="58"/>
      <c r="OY60" s="58"/>
      <c r="OZ60" s="58"/>
      <c r="PA60" s="58"/>
      <c r="PB60" s="58"/>
      <c r="PC60" s="58"/>
      <c r="PD60" s="58"/>
      <c r="PE60" s="58"/>
      <c r="PF60" s="58"/>
      <c r="PG60" s="58"/>
      <c r="PH60" s="58"/>
      <c r="PI60" s="58"/>
      <c r="PJ60" s="58"/>
      <c r="PK60" s="58"/>
      <c r="PL60" s="58"/>
      <c r="PM60" s="58"/>
      <c r="PN60" s="58"/>
      <c r="PO60" s="58"/>
      <c r="PP60" s="58"/>
      <c r="PQ60" s="58"/>
      <c r="PR60" s="58"/>
      <c r="PS60" s="58"/>
      <c r="PT60" s="58"/>
      <c r="PU60" s="58"/>
      <c r="PV60" s="58"/>
      <c r="PW60" s="58"/>
      <c r="PX60" s="58"/>
      <c r="PY60" s="58"/>
      <c r="PZ60" s="58"/>
      <c r="QA60" s="58"/>
      <c r="QB60" s="58"/>
      <c r="QC60" s="58"/>
      <c r="QD60" s="58"/>
      <c r="QE60" s="58"/>
      <c r="QF60" s="58"/>
      <c r="QG60" s="58"/>
      <c r="QH60" s="58"/>
      <c r="QI60" s="58"/>
      <c r="QJ60" s="58"/>
      <c r="QK60" s="58"/>
      <c r="QL60" s="58"/>
      <c r="QM60" s="58"/>
      <c r="QN60" s="58"/>
      <c r="QO60" s="58"/>
      <c r="QP60" s="58"/>
      <c r="QQ60" s="58"/>
      <c r="QR60" s="58"/>
      <c r="QS60" s="58"/>
      <c r="QT60" s="58"/>
      <c r="QU60" s="58"/>
      <c r="QV60" s="58"/>
      <c r="QW60" s="58"/>
      <c r="QX60" s="58"/>
      <c r="QY60" s="58"/>
      <c r="QZ60" s="58"/>
      <c r="RA60" s="58"/>
      <c r="RB60" s="58"/>
      <c r="RC60" s="58"/>
      <c r="RD60" s="58"/>
      <c r="RE60" s="58"/>
      <c r="RF60" s="58"/>
      <c r="RG60" s="58"/>
      <c r="RH60" s="58"/>
      <c r="RI60" s="58"/>
      <c r="RJ60" s="58"/>
      <c r="RK60" s="58"/>
      <c r="RL60" s="58"/>
      <c r="RM60" s="58"/>
      <c r="RN60" s="58"/>
      <c r="RO60" s="58"/>
      <c r="RP60" s="58"/>
      <c r="RQ60" s="58"/>
      <c r="RR60" s="58"/>
      <c r="RS60" s="58"/>
      <c r="RT60" s="58"/>
      <c r="RU60" s="58"/>
      <c r="RV60" s="58"/>
      <c r="RW60" s="58"/>
      <c r="RY60" s="58"/>
      <c r="RZ60" s="58"/>
      <c r="SB60" s="58"/>
      <c r="SH60" s="58"/>
      <c r="SI60" s="58"/>
      <c r="SW60" s="58"/>
      <c r="SX60" s="58"/>
      <c r="SY60" s="58"/>
      <c r="SZ60" s="58"/>
      <c r="TA60" s="58"/>
      <c r="TB60" s="58"/>
      <c r="TC60" s="58"/>
      <c r="TD60" s="58"/>
      <c r="TE60" s="58"/>
      <c r="TF60" s="58"/>
      <c r="TG60" s="58"/>
      <c r="TH60" s="58"/>
      <c r="TI60" s="58"/>
      <c r="TJ60" s="58"/>
      <c r="TK60" s="58"/>
      <c r="TL60" s="58"/>
      <c r="TM60" s="58"/>
      <c r="TN60" s="58"/>
      <c r="TO60" s="58"/>
      <c r="TP60" s="58"/>
      <c r="TQ60" s="58"/>
      <c r="TR60" s="58"/>
      <c r="TS60" s="58"/>
      <c r="TT60" s="58"/>
      <c r="TU60" s="58"/>
      <c r="TV60" s="58"/>
      <c r="TW60" s="58"/>
      <c r="TX60" s="58"/>
      <c r="TY60" s="58"/>
      <c r="TZ60" s="58"/>
      <c r="UA60" s="58"/>
      <c r="UB60" s="58"/>
      <c r="UC60" s="58"/>
      <c r="UD60" s="58"/>
      <c r="UE60" s="58"/>
      <c r="UF60" s="58"/>
      <c r="UG60" s="58"/>
      <c r="UH60" s="58"/>
      <c r="UI60" s="58"/>
      <c r="UJ60" s="58"/>
      <c r="UK60" s="58"/>
      <c r="UL60" s="58"/>
      <c r="UM60" s="58"/>
      <c r="UN60" s="58"/>
      <c r="UO60" s="58"/>
      <c r="UP60" s="58"/>
      <c r="UQ60" s="58"/>
      <c r="UR60" s="58"/>
      <c r="US60" s="58"/>
      <c r="UT60" s="58"/>
      <c r="UU60" s="58"/>
      <c r="UV60" s="58"/>
      <c r="UW60" s="58"/>
      <c r="UX60" s="58"/>
      <c r="UY60" s="58"/>
      <c r="UZ60" s="58"/>
      <c r="VA60" s="58"/>
      <c r="VB60" s="58"/>
      <c r="VC60" s="58"/>
      <c r="VD60" s="58"/>
      <c r="VE60" s="58"/>
      <c r="VF60" s="58"/>
      <c r="VG60" s="58"/>
      <c r="VH60" s="58"/>
      <c r="VI60" s="58"/>
      <c r="VJ60" s="58"/>
      <c r="VK60" s="58"/>
      <c r="VL60" s="58"/>
      <c r="VM60" s="58"/>
      <c r="VN60" s="58"/>
      <c r="VO60" s="58"/>
      <c r="VP60" s="58"/>
      <c r="VQ60" s="58"/>
      <c r="VR60" s="58"/>
      <c r="VS60" s="58"/>
      <c r="VT60" s="58"/>
      <c r="VU60" s="58"/>
      <c r="VV60" s="58"/>
      <c r="VW60" s="58"/>
      <c r="VX60" s="58"/>
      <c r="VY60" s="58"/>
      <c r="VZ60" s="58"/>
      <c r="WA60" s="58"/>
      <c r="WB60" s="58"/>
      <c r="WC60" s="58"/>
      <c r="WD60" s="58"/>
      <c r="WE60" s="58"/>
      <c r="WF60" s="58"/>
      <c r="WG60" s="58"/>
      <c r="WH60" s="58"/>
      <c r="WI60" s="58"/>
      <c r="WJ60" s="58"/>
      <c r="WK60" s="58"/>
      <c r="WL60" s="58"/>
      <c r="WM60" s="58"/>
      <c r="WN60" s="58"/>
      <c r="WO60" s="58"/>
      <c r="WP60" s="58"/>
      <c r="WQ60" s="58"/>
      <c r="WR60" s="58"/>
      <c r="WS60" s="58"/>
      <c r="WT60" s="58"/>
      <c r="WU60" s="58"/>
      <c r="WV60" s="58"/>
      <c r="WW60" s="58"/>
      <c r="WX60" s="58"/>
      <c r="WY60" s="58"/>
      <c r="WZ60" s="58"/>
      <c r="XA60" s="58"/>
      <c r="XB60" s="58"/>
      <c r="XC60" s="58"/>
      <c r="XD60" s="58"/>
      <c r="XE60" s="58"/>
      <c r="XF60" s="58"/>
      <c r="XG60" s="58"/>
      <c r="XH60" s="58"/>
      <c r="XI60" s="58"/>
      <c r="XJ60" s="58"/>
      <c r="XK60" s="58"/>
      <c r="XL60" s="58"/>
      <c r="XM60" s="58"/>
      <c r="XN60" s="58"/>
      <c r="XO60" s="58"/>
      <c r="XP60" s="58"/>
      <c r="XQ60" s="58"/>
      <c r="XR60" s="58"/>
      <c r="XS60" s="58"/>
      <c r="XT60" s="58"/>
      <c r="XU60" s="58"/>
      <c r="XV60" s="58"/>
      <c r="XW60" s="58"/>
      <c r="XX60" s="58"/>
      <c r="XY60" s="58"/>
      <c r="XZ60" s="58"/>
      <c r="YA60" s="58"/>
      <c r="YB60" s="58"/>
      <c r="YC60" s="58"/>
      <c r="YD60" s="58"/>
      <c r="YE60" s="58"/>
      <c r="YF60" s="58"/>
      <c r="YG60" s="58"/>
      <c r="YH60" s="58"/>
      <c r="YI60" s="58"/>
      <c r="YJ60" s="58"/>
      <c r="YK60" s="58"/>
      <c r="YL60" s="58"/>
      <c r="YM60" s="58"/>
      <c r="YN60" s="58"/>
      <c r="YO60" s="58"/>
      <c r="YP60" s="58"/>
      <c r="YQ60" s="58"/>
      <c r="YR60" s="58"/>
      <c r="YS60" s="58"/>
      <c r="YT60" s="58"/>
      <c r="YU60" s="58"/>
      <c r="YV60" s="58"/>
      <c r="YW60" s="58"/>
      <c r="YX60" s="58"/>
      <c r="YY60" s="58"/>
      <c r="YZ60" s="58"/>
      <c r="ZA60" s="58"/>
      <c r="ZB60" s="58"/>
      <c r="ZC60" s="58"/>
      <c r="ZD60" s="58"/>
      <c r="ZE60" s="58"/>
      <c r="ZF60" s="58"/>
      <c r="ZG60" s="58"/>
      <c r="ZH60" s="58"/>
      <c r="ZI60" s="58"/>
      <c r="ZJ60" s="58"/>
      <c r="ZK60" s="58"/>
      <c r="ZL60" s="58"/>
      <c r="ZM60" s="58"/>
      <c r="ZN60" s="58"/>
      <c r="ZO60" s="58"/>
      <c r="ZP60" s="58"/>
      <c r="ZQ60" s="58"/>
      <c r="ZR60" s="58"/>
      <c r="ZS60" s="58"/>
      <c r="ZT60" s="58"/>
      <c r="ZU60" s="58"/>
      <c r="ZV60" s="58"/>
      <c r="ZW60" s="58"/>
      <c r="ZX60" s="58"/>
      <c r="ZY60" s="58"/>
      <c r="ZZ60" s="58"/>
      <c r="AAA60" s="58"/>
      <c r="AAB60" s="58"/>
      <c r="AAC60" s="58"/>
      <c r="AAD60" s="58"/>
      <c r="AAE60" s="58"/>
      <c r="AAF60" s="58"/>
      <c r="AAG60" s="58"/>
      <c r="AAH60" s="58"/>
      <c r="AAI60" s="58"/>
      <c r="AAJ60" s="58"/>
      <c r="AAK60" s="58"/>
      <c r="AAL60" s="58"/>
      <c r="AAM60" s="58"/>
      <c r="AAN60" s="58"/>
      <c r="AAO60" s="58"/>
      <c r="AAP60" s="58"/>
      <c r="AAQ60" s="58"/>
      <c r="AAR60" s="58"/>
      <c r="AAS60" s="58"/>
      <c r="AAT60" s="58"/>
      <c r="AAU60" s="58"/>
      <c r="AAV60" s="58"/>
      <c r="AAW60" s="58"/>
      <c r="AAX60" s="58"/>
      <c r="AAY60" s="58"/>
      <c r="AAZ60" s="58"/>
      <c r="ABA60" s="58"/>
      <c r="ABB60" s="58"/>
      <c r="ABC60" s="58"/>
      <c r="ABD60" s="58"/>
      <c r="ABE60" s="58"/>
      <c r="ABF60" s="58"/>
      <c r="ABG60" s="58"/>
      <c r="ABH60" s="58"/>
      <c r="ABI60" s="58"/>
      <c r="ABJ60" s="58"/>
      <c r="ABK60" s="58"/>
      <c r="ABL60" s="58"/>
      <c r="ABM60" s="58"/>
      <c r="ABN60" s="58"/>
      <c r="ABO60" s="58"/>
      <c r="ABP60" s="58"/>
      <c r="ABQ60" s="58"/>
      <c r="ABR60" s="58"/>
      <c r="ABS60" s="58"/>
      <c r="ABU60" s="58"/>
      <c r="ABV60" s="58"/>
      <c r="ABX60" s="58"/>
      <c r="ACD60" s="58"/>
      <c r="ACE60" s="58"/>
      <c r="ACS60" s="58"/>
      <c r="ACT60" s="58"/>
      <c r="ACU60" s="58"/>
      <c r="ACV60" s="58"/>
      <c r="ACW60" s="58"/>
      <c r="ACX60" s="58"/>
      <c r="ACY60" s="58"/>
      <c r="ACZ60" s="58"/>
      <c r="ADA60" s="58"/>
      <c r="ADB60" s="58"/>
      <c r="ADC60" s="58"/>
      <c r="ADD60" s="58"/>
      <c r="ADE60" s="58"/>
      <c r="ADF60" s="58"/>
      <c r="ADG60" s="58"/>
      <c r="ADH60" s="58"/>
      <c r="ADI60" s="58"/>
      <c r="ADJ60" s="58"/>
      <c r="ADK60" s="58"/>
      <c r="ADL60" s="58"/>
      <c r="ADM60" s="58"/>
      <c r="ADN60" s="58"/>
      <c r="ADO60" s="58"/>
      <c r="ADP60" s="58"/>
      <c r="ADQ60" s="58"/>
      <c r="ADR60" s="58"/>
      <c r="ADS60" s="58"/>
      <c r="ADT60" s="58"/>
      <c r="ADU60" s="58"/>
      <c r="ADV60" s="58"/>
      <c r="ADW60" s="58"/>
      <c r="ADX60" s="58"/>
      <c r="ADY60" s="58"/>
      <c r="ADZ60" s="58"/>
      <c r="AEA60" s="58"/>
      <c r="AEB60" s="58"/>
      <c r="AEC60" s="58"/>
      <c r="AED60" s="58"/>
      <c r="AEE60" s="58"/>
      <c r="AEF60" s="58"/>
      <c r="AEG60" s="58"/>
      <c r="AEH60" s="58"/>
      <c r="AEI60" s="58"/>
      <c r="AEJ60" s="58"/>
      <c r="AEK60" s="58"/>
      <c r="AEL60" s="58"/>
      <c r="AEM60" s="58"/>
      <c r="AEN60" s="58"/>
      <c r="AEO60" s="58"/>
      <c r="AEP60" s="58"/>
      <c r="AEQ60" s="58"/>
      <c r="AER60" s="58"/>
      <c r="AES60" s="58"/>
      <c r="AET60" s="58"/>
      <c r="AEU60" s="58"/>
      <c r="AEV60" s="58"/>
      <c r="AEW60" s="58"/>
      <c r="AEX60" s="58"/>
      <c r="AEY60" s="58"/>
      <c r="AEZ60" s="58"/>
      <c r="AFA60" s="58"/>
      <c r="AFB60" s="58"/>
      <c r="AFC60" s="58"/>
      <c r="AFD60" s="58"/>
      <c r="AFE60" s="58"/>
      <c r="AFF60" s="58"/>
      <c r="AFG60" s="58"/>
      <c r="AFH60" s="58"/>
      <c r="AFI60" s="58"/>
      <c r="AFJ60" s="58"/>
      <c r="AFK60" s="58"/>
      <c r="AFL60" s="58"/>
      <c r="AFM60" s="58"/>
      <c r="AFN60" s="58"/>
      <c r="AFO60" s="58"/>
      <c r="AFP60" s="58"/>
      <c r="AFQ60" s="58"/>
      <c r="AFR60" s="58"/>
      <c r="AFS60" s="58"/>
      <c r="AFT60" s="58"/>
      <c r="AFU60" s="58"/>
      <c r="AFV60" s="58"/>
      <c r="AFW60" s="58"/>
      <c r="AFX60" s="58"/>
      <c r="AFY60" s="58"/>
      <c r="AFZ60" s="58"/>
      <c r="AGA60" s="58"/>
      <c r="AGB60" s="58"/>
      <c r="AGC60" s="58"/>
      <c r="AGD60" s="58"/>
      <c r="AGE60" s="58"/>
      <c r="AGF60" s="58"/>
      <c r="AGG60" s="58"/>
      <c r="AGH60" s="58"/>
      <c r="AGI60" s="58"/>
      <c r="AGJ60" s="58"/>
      <c r="AGK60" s="58"/>
      <c r="AGL60" s="58"/>
      <c r="AGM60" s="58"/>
      <c r="AGN60" s="58"/>
      <c r="AGO60" s="58"/>
      <c r="AGP60" s="58"/>
      <c r="AGQ60" s="58"/>
      <c r="AGR60" s="58"/>
      <c r="AGS60" s="58"/>
      <c r="AGT60" s="58"/>
      <c r="AGU60" s="58"/>
      <c r="AGV60" s="58"/>
      <c r="AGW60" s="58"/>
      <c r="AGX60" s="58"/>
      <c r="AGY60" s="58"/>
      <c r="AGZ60" s="58"/>
      <c r="AHA60" s="58"/>
      <c r="AHB60" s="58"/>
      <c r="AHC60" s="58"/>
      <c r="AHD60" s="58"/>
      <c r="AHE60" s="58"/>
      <c r="AHF60" s="58"/>
      <c r="AHG60" s="58"/>
      <c r="AHH60" s="58"/>
      <c r="AHI60" s="58"/>
      <c r="AHJ60" s="58"/>
      <c r="AHK60" s="58"/>
      <c r="AHL60" s="58"/>
      <c r="AHM60" s="58"/>
      <c r="AHN60" s="58"/>
      <c r="AHO60" s="58"/>
      <c r="AHP60" s="58"/>
      <c r="AHQ60" s="58"/>
      <c r="AHR60" s="58"/>
      <c r="AHS60" s="58"/>
      <c r="AHT60" s="58"/>
      <c r="AHU60" s="58"/>
      <c r="AHV60" s="58"/>
      <c r="AHW60" s="58"/>
      <c r="AHX60" s="58"/>
      <c r="AHY60" s="58"/>
      <c r="AHZ60" s="58"/>
      <c r="AIA60" s="58"/>
      <c r="AIB60" s="58"/>
      <c r="AIC60" s="58"/>
      <c r="AID60" s="58"/>
      <c r="AIE60" s="58"/>
      <c r="AIF60" s="58"/>
      <c r="AIG60" s="58"/>
      <c r="AIH60" s="58"/>
      <c r="AII60" s="58"/>
      <c r="AIJ60" s="58"/>
      <c r="AIK60" s="58"/>
      <c r="AIL60" s="58"/>
      <c r="AIM60" s="58"/>
      <c r="AIN60" s="58"/>
      <c r="AIO60" s="58"/>
      <c r="AIP60" s="58"/>
      <c r="AIQ60" s="58"/>
      <c r="AIR60" s="58"/>
      <c r="AIS60" s="58"/>
      <c r="AIT60" s="58"/>
      <c r="AIU60" s="58"/>
      <c r="AIV60" s="58"/>
      <c r="AIW60" s="58"/>
      <c r="AIX60" s="58"/>
      <c r="AIY60" s="58"/>
      <c r="AIZ60" s="58"/>
      <c r="AJA60" s="58"/>
      <c r="AJB60" s="58"/>
      <c r="AJC60" s="58"/>
      <c r="AJD60" s="58"/>
      <c r="AJE60" s="58"/>
      <c r="AJF60" s="58"/>
      <c r="AJG60" s="58"/>
      <c r="AJH60" s="58"/>
      <c r="AJI60" s="58"/>
      <c r="AJJ60" s="58"/>
      <c r="AJK60" s="58"/>
      <c r="AJL60" s="58"/>
      <c r="AJM60" s="58"/>
      <c r="AJN60" s="58"/>
      <c r="AJO60" s="58"/>
      <c r="AJP60" s="58"/>
      <c r="AJQ60" s="58"/>
      <c r="AJR60" s="58"/>
      <c r="AJS60" s="58"/>
      <c r="AJT60" s="58"/>
      <c r="AJU60" s="58"/>
      <c r="AJV60" s="58"/>
      <c r="AJW60" s="58"/>
      <c r="AJX60" s="58"/>
      <c r="AJY60" s="58"/>
      <c r="AJZ60" s="58"/>
      <c r="AKA60" s="58"/>
      <c r="AKB60" s="58"/>
      <c r="AKC60" s="58"/>
      <c r="AKD60" s="58"/>
      <c r="AKE60" s="58"/>
      <c r="AKF60" s="58"/>
      <c r="AKG60" s="58"/>
      <c r="AKH60" s="58"/>
      <c r="AKI60" s="58"/>
      <c r="AKJ60" s="58"/>
      <c r="AKK60" s="58"/>
      <c r="AKL60" s="58"/>
      <c r="AKM60" s="58"/>
      <c r="AKN60" s="58"/>
      <c r="AKO60" s="58"/>
      <c r="AKP60" s="58"/>
      <c r="AKQ60" s="58"/>
      <c r="AKR60" s="58"/>
      <c r="AKS60" s="58"/>
      <c r="AKT60" s="58"/>
      <c r="AKU60" s="58"/>
      <c r="AKV60" s="58"/>
      <c r="AKW60" s="58"/>
      <c r="AKX60" s="58"/>
      <c r="AKY60" s="58"/>
      <c r="AKZ60" s="58"/>
      <c r="ALA60" s="58"/>
      <c r="ALB60" s="58"/>
      <c r="ALC60" s="58"/>
      <c r="ALD60" s="58"/>
      <c r="ALE60" s="58"/>
      <c r="ALF60" s="58"/>
      <c r="ALG60" s="58"/>
      <c r="ALH60" s="58"/>
      <c r="ALI60" s="58"/>
      <c r="ALJ60" s="58"/>
      <c r="ALK60" s="58"/>
      <c r="ALL60" s="58"/>
      <c r="ALM60" s="58"/>
      <c r="ALN60" s="58"/>
      <c r="ALO60" s="58"/>
      <c r="ALQ60" s="58"/>
      <c r="ALR60" s="58"/>
      <c r="ALT60" s="58"/>
      <c r="ALZ60" s="58"/>
      <c r="AMA60" s="58"/>
      <c r="AMO60" s="58"/>
      <c r="AMP60" s="58"/>
      <c r="AMQ60" s="58"/>
      <c r="AMR60" s="58"/>
      <c r="AMS60" s="58"/>
      <c r="AMT60" s="58"/>
      <c r="AMU60" s="58"/>
      <c r="AMV60" s="58"/>
      <c r="AMW60" s="58"/>
      <c r="AMX60" s="58"/>
      <c r="AMY60" s="58"/>
      <c r="AMZ60" s="58"/>
      <c r="ANA60" s="58"/>
      <c r="ANB60" s="58"/>
      <c r="ANC60" s="58"/>
      <c r="AND60" s="58"/>
      <c r="ANE60" s="58"/>
      <c r="ANF60" s="58"/>
      <c r="ANG60" s="58"/>
      <c r="ANH60" s="58"/>
      <c r="ANI60" s="58"/>
      <c r="ANJ60" s="58"/>
      <c r="ANK60" s="58"/>
      <c r="ANL60" s="58"/>
      <c r="ANM60" s="58"/>
      <c r="ANN60" s="58"/>
      <c r="ANO60" s="58"/>
      <c r="ANP60" s="58"/>
      <c r="ANQ60" s="58"/>
      <c r="ANR60" s="58"/>
      <c r="ANS60" s="58"/>
      <c r="ANT60" s="58"/>
      <c r="ANU60" s="58"/>
      <c r="ANV60" s="58"/>
      <c r="ANW60" s="58"/>
      <c r="ANX60" s="58"/>
      <c r="ANY60" s="58"/>
      <c r="ANZ60" s="58"/>
      <c r="AOA60" s="58"/>
      <c r="AOB60" s="58"/>
      <c r="AOC60" s="58"/>
      <c r="AOD60" s="58"/>
      <c r="AOE60" s="58"/>
      <c r="AOF60" s="58"/>
      <c r="AOG60" s="58"/>
      <c r="AOH60" s="58"/>
      <c r="AOI60" s="58"/>
      <c r="AOJ60" s="58"/>
      <c r="AOK60" s="58"/>
      <c r="AOL60" s="58"/>
      <c r="AOM60" s="58"/>
      <c r="AON60" s="58"/>
      <c r="AOO60" s="58"/>
      <c r="AOP60" s="58"/>
      <c r="AOQ60" s="58"/>
      <c r="AOR60" s="58"/>
      <c r="AOS60" s="58"/>
      <c r="AOT60" s="58"/>
      <c r="AOU60" s="58"/>
      <c r="AOV60" s="58"/>
      <c r="AOW60" s="58"/>
      <c r="AOX60" s="58"/>
      <c r="AOY60" s="58"/>
      <c r="AOZ60" s="58"/>
      <c r="APA60" s="58"/>
      <c r="APB60" s="58"/>
      <c r="APC60" s="58"/>
      <c r="APD60" s="58"/>
      <c r="APE60" s="58"/>
      <c r="APF60" s="58"/>
      <c r="APG60" s="58"/>
      <c r="APH60" s="58"/>
      <c r="API60" s="58"/>
      <c r="APJ60" s="58"/>
      <c r="APK60" s="58"/>
      <c r="APL60" s="58"/>
      <c r="APM60" s="58"/>
      <c r="APN60" s="58"/>
      <c r="APO60" s="58"/>
      <c r="APP60" s="58"/>
      <c r="APQ60" s="58"/>
      <c r="APR60" s="58"/>
      <c r="APS60" s="58"/>
      <c r="APT60" s="58"/>
      <c r="APU60" s="58"/>
      <c r="APV60" s="58"/>
      <c r="APW60" s="58"/>
      <c r="APX60" s="58"/>
      <c r="APY60" s="58"/>
      <c r="APZ60" s="58"/>
      <c r="AQA60" s="58"/>
      <c r="AQB60" s="58"/>
      <c r="AQC60" s="58"/>
      <c r="AQD60" s="58"/>
      <c r="AQE60" s="58"/>
      <c r="AQF60" s="58"/>
      <c r="AQG60" s="58"/>
      <c r="AQH60" s="58"/>
      <c r="AQI60" s="58"/>
      <c r="AQJ60" s="58"/>
      <c r="AQK60" s="58"/>
      <c r="AQL60" s="58"/>
      <c r="AQM60" s="58"/>
      <c r="AQN60" s="58"/>
      <c r="AQO60" s="58"/>
      <c r="AQP60" s="58"/>
      <c r="AQQ60" s="58"/>
      <c r="AQR60" s="58"/>
      <c r="AQS60" s="58"/>
      <c r="AQT60" s="58"/>
      <c r="AQU60" s="58"/>
      <c r="AQV60" s="58"/>
      <c r="AQW60" s="58"/>
      <c r="AQX60" s="58"/>
      <c r="AQY60" s="58"/>
      <c r="AQZ60" s="58"/>
      <c r="ARA60" s="58"/>
      <c r="ARB60" s="58"/>
      <c r="ARC60" s="58"/>
      <c r="ARD60" s="58"/>
      <c r="ARE60" s="58"/>
      <c r="ARF60" s="58"/>
      <c r="ARG60" s="58"/>
      <c r="ARH60" s="58"/>
      <c r="ARI60" s="58"/>
      <c r="ARJ60" s="58"/>
      <c r="ARK60" s="58"/>
      <c r="ARL60" s="58"/>
      <c r="ARM60" s="58"/>
      <c r="ARN60" s="58"/>
      <c r="ARO60" s="58"/>
      <c r="ARP60" s="58"/>
      <c r="ARQ60" s="58"/>
      <c r="ARR60" s="58"/>
      <c r="ARS60" s="58"/>
      <c r="ART60" s="58"/>
      <c r="ARU60" s="58"/>
      <c r="ARV60" s="58"/>
      <c r="ARW60" s="58"/>
      <c r="ARX60" s="58"/>
      <c r="ARY60" s="58"/>
      <c r="ARZ60" s="58"/>
      <c r="ASA60" s="58"/>
      <c r="ASB60" s="58"/>
      <c r="ASC60" s="58"/>
      <c r="ASD60" s="58"/>
      <c r="ASE60" s="58"/>
      <c r="ASF60" s="58"/>
      <c r="ASG60" s="58"/>
      <c r="ASH60" s="58"/>
      <c r="ASI60" s="58"/>
      <c r="ASJ60" s="58"/>
      <c r="ASK60" s="58"/>
      <c r="ASL60" s="58"/>
      <c r="ASM60" s="58"/>
      <c r="ASN60" s="58"/>
      <c r="ASO60" s="58"/>
      <c r="ASP60" s="58"/>
      <c r="ASQ60" s="58"/>
      <c r="ASR60" s="58"/>
      <c r="ASS60" s="58"/>
      <c r="AST60" s="58"/>
      <c r="ASU60" s="58"/>
      <c r="ASV60" s="58"/>
      <c r="ASW60" s="58"/>
      <c r="ASX60" s="58"/>
      <c r="ASY60" s="58"/>
      <c r="ASZ60" s="58"/>
      <c r="ATA60" s="58"/>
      <c r="ATB60" s="58"/>
      <c r="ATC60" s="58"/>
      <c r="ATD60" s="58"/>
      <c r="ATE60" s="58"/>
      <c r="ATF60" s="58"/>
      <c r="ATG60" s="58"/>
      <c r="ATH60" s="58"/>
      <c r="ATI60" s="58"/>
      <c r="ATJ60" s="58"/>
      <c r="ATK60" s="58"/>
      <c r="ATL60" s="58"/>
      <c r="ATM60" s="58"/>
      <c r="ATN60" s="58"/>
      <c r="ATO60" s="58"/>
      <c r="ATP60" s="58"/>
      <c r="ATQ60" s="58"/>
      <c r="ATR60" s="58"/>
      <c r="ATS60" s="58"/>
      <c r="ATT60" s="58"/>
      <c r="ATU60" s="58"/>
      <c r="ATV60" s="58"/>
      <c r="ATW60" s="58"/>
      <c r="ATX60" s="58"/>
      <c r="ATY60" s="58"/>
      <c r="ATZ60" s="58"/>
      <c r="AUA60" s="58"/>
      <c r="AUB60" s="58"/>
      <c r="AUC60" s="58"/>
      <c r="AUD60" s="58"/>
      <c r="AUE60" s="58"/>
      <c r="AUF60" s="58"/>
      <c r="AUG60" s="58"/>
      <c r="AUH60" s="58"/>
      <c r="AUI60" s="58"/>
      <c r="AUJ60" s="58"/>
      <c r="AUK60" s="58"/>
      <c r="AUL60" s="58"/>
      <c r="AUM60" s="58"/>
      <c r="AUN60" s="58"/>
      <c r="AUO60" s="58"/>
      <c r="AUP60" s="58"/>
      <c r="AUQ60" s="58"/>
      <c r="AUR60" s="58"/>
      <c r="AUS60" s="58"/>
      <c r="AUT60" s="58"/>
      <c r="AUU60" s="58"/>
      <c r="AUV60" s="58"/>
      <c r="AUW60" s="58"/>
      <c r="AUX60" s="58"/>
      <c r="AUY60" s="58"/>
      <c r="AUZ60" s="58"/>
      <c r="AVA60" s="58"/>
      <c r="AVB60" s="58"/>
      <c r="AVC60" s="58"/>
      <c r="AVD60" s="58"/>
      <c r="AVE60" s="58"/>
      <c r="AVF60" s="58"/>
      <c r="AVG60" s="58"/>
      <c r="AVH60" s="58"/>
      <c r="AVI60" s="58"/>
      <c r="AVJ60" s="58"/>
      <c r="AVK60" s="58"/>
      <c r="AVM60" s="58"/>
      <c r="AVN60" s="58"/>
      <c r="AVP60" s="58"/>
      <c r="AVV60" s="58"/>
      <c r="AVW60" s="58"/>
      <c r="AWK60" s="58"/>
      <c r="AWL60" s="58"/>
      <c r="AWM60" s="58"/>
      <c r="AWN60" s="58"/>
      <c r="AWO60" s="58"/>
      <c r="AWP60" s="58"/>
      <c r="AWQ60" s="58"/>
      <c r="AWR60" s="58"/>
      <c r="AWS60" s="58"/>
      <c r="AWT60" s="58"/>
      <c r="AWU60" s="58"/>
      <c r="AWV60" s="58"/>
      <c r="AWW60" s="58"/>
      <c r="AWX60" s="58"/>
      <c r="AWY60" s="58"/>
      <c r="AWZ60" s="58"/>
      <c r="AXA60" s="58"/>
      <c r="AXB60" s="58"/>
      <c r="AXC60" s="58"/>
      <c r="AXD60" s="58"/>
      <c r="AXE60" s="58"/>
      <c r="AXF60" s="58"/>
      <c r="AXG60" s="58"/>
      <c r="AXH60" s="58"/>
      <c r="AXI60" s="58"/>
      <c r="AXJ60" s="58"/>
      <c r="AXK60" s="58"/>
      <c r="AXL60" s="58"/>
      <c r="AXM60" s="58"/>
      <c r="AXN60" s="58"/>
      <c r="AXO60" s="58"/>
      <c r="AXP60" s="58"/>
      <c r="AXQ60" s="58"/>
      <c r="AXR60" s="58"/>
      <c r="AXS60" s="58"/>
      <c r="AXT60" s="58"/>
      <c r="AXU60" s="58"/>
      <c r="AXV60" s="58"/>
      <c r="AXW60" s="58"/>
      <c r="AXX60" s="58"/>
      <c r="AXY60" s="58"/>
      <c r="AXZ60" s="58"/>
      <c r="AYA60" s="58"/>
      <c r="AYB60" s="58"/>
      <c r="AYC60" s="58"/>
      <c r="AYD60" s="58"/>
      <c r="AYE60" s="58"/>
      <c r="AYF60" s="58"/>
      <c r="AYG60" s="58"/>
      <c r="AYH60" s="58"/>
      <c r="AYI60" s="58"/>
      <c r="AYJ60" s="58"/>
      <c r="AYK60" s="58"/>
      <c r="AYL60" s="58"/>
      <c r="AYM60" s="58"/>
      <c r="AYN60" s="58"/>
      <c r="AYO60" s="58"/>
      <c r="AYP60" s="58"/>
      <c r="AYQ60" s="58"/>
      <c r="AYR60" s="58"/>
      <c r="AYS60" s="58"/>
      <c r="AYT60" s="58"/>
      <c r="AYU60" s="58"/>
      <c r="AYV60" s="58"/>
      <c r="AYW60" s="58"/>
      <c r="AYX60" s="58"/>
      <c r="AYY60" s="58"/>
      <c r="AYZ60" s="58"/>
      <c r="AZA60" s="58"/>
      <c r="AZB60" s="58"/>
      <c r="AZC60" s="58"/>
      <c r="AZD60" s="58"/>
      <c r="AZE60" s="58"/>
      <c r="AZF60" s="58"/>
      <c r="AZG60" s="58"/>
      <c r="AZH60" s="58"/>
      <c r="AZI60" s="58"/>
      <c r="AZJ60" s="58"/>
      <c r="AZK60" s="58"/>
      <c r="AZL60" s="58"/>
      <c r="AZM60" s="58"/>
      <c r="AZN60" s="58"/>
      <c r="AZO60" s="58"/>
      <c r="AZP60" s="58"/>
      <c r="AZQ60" s="58"/>
      <c r="AZR60" s="58"/>
      <c r="AZS60" s="58"/>
      <c r="AZT60" s="58"/>
      <c r="AZU60" s="58"/>
      <c r="AZV60" s="58"/>
      <c r="AZW60" s="58"/>
      <c r="AZX60" s="58"/>
      <c r="AZY60" s="58"/>
      <c r="AZZ60" s="58"/>
      <c r="BAA60" s="58"/>
      <c r="BAB60" s="58"/>
      <c r="BAC60" s="58"/>
      <c r="BAD60" s="58"/>
      <c r="BAE60" s="58"/>
      <c r="BAF60" s="58"/>
      <c r="BAG60" s="58"/>
      <c r="BAH60" s="58"/>
      <c r="BAI60" s="58"/>
      <c r="BAJ60" s="58"/>
      <c r="BAK60" s="58"/>
      <c r="BAL60" s="58"/>
      <c r="BAM60" s="58"/>
      <c r="BAN60" s="58"/>
      <c r="BAO60" s="58"/>
      <c r="BAP60" s="58"/>
      <c r="BAQ60" s="58"/>
      <c r="BAR60" s="58"/>
      <c r="BAS60" s="58"/>
      <c r="BAT60" s="58"/>
      <c r="BAU60" s="58"/>
      <c r="BAV60" s="58"/>
      <c r="BAW60" s="58"/>
      <c r="BAX60" s="58"/>
      <c r="BAY60" s="58"/>
      <c r="BAZ60" s="58"/>
      <c r="BBA60" s="58"/>
      <c r="BBB60" s="58"/>
      <c r="BBC60" s="58"/>
      <c r="BBD60" s="58"/>
      <c r="BBE60" s="58"/>
      <c r="BBF60" s="58"/>
      <c r="BBG60" s="58"/>
      <c r="BBH60" s="58"/>
      <c r="BBI60" s="58"/>
      <c r="BBJ60" s="58"/>
      <c r="BBK60" s="58"/>
      <c r="BBL60" s="58"/>
      <c r="BBM60" s="58"/>
      <c r="BBN60" s="58"/>
      <c r="BBO60" s="58"/>
      <c r="BBP60" s="58"/>
      <c r="BBQ60" s="58"/>
      <c r="BBR60" s="58"/>
      <c r="BBS60" s="58"/>
      <c r="BBT60" s="58"/>
      <c r="BBU60" s="58"/>
      <c r="BBV60" s="58"/>
      <c r="BBW60" s="58"/>
      <c r="BBX60" s="58"/>
      <c r="BBY60" s="58"/>
      <c r="BBZ60" s="58"/>
      <c r="BCA60" s="58"/>
      <c r="BCB60" s="58"/>
      <c r="BCC60" s="58"/>
      <c r="BCD60" s="58"/>
      <c r="BCE60" s="58"/>
      <c r="BCF60" s="58"/>
      <c r="BCG60" s="58"/>
      <c r="BCH60" s="58"/>
      <c r="BCI60" s="58"/>
      <c r="BCJ60" s="58"/>
      <c r="BCK60" s="58"/>
      <c r="BCL60" s="58"/>
      <c r="BCM60" s="58"/>
      <c r="BCN60" s="58"/>
      <c r="BCO60" s="58"/>
      <c r="BCP60" s="58"/>
      <c r="BCQ60" s="58"/>
      <c r="BCR60" s="58"/>
      <c r="BCS60" s="58"/>
      <c r="BCT60" s="58"/>
      <c r="BCU60" s="58"/>
      <c r="BCV60" s="58"/>
      <c r="BCW60" s="58"/>
      <c r="BCX60" s="58"/>
      <c r="BCY60" s="58"/>
      <c r="BCZ60" s="58"/>
      <c r="BDA60" s="58"/>
      <c r="BDB60" s="58"/>
      <c r="BDC60" s="58"/>
      <c r="BDD60" s="58"/>
      <c r="BDE60" s="58"/>
      <c r="BDF60" s="58"/>
      <c r="BDG60" s="58"/>
      <c r="BDH60" s="58"/>
      <c r="BDI60" s="58"/>
      <c r="BDJ60" s="58"/>
      <c r="BDK60" s="58"/>
      <c r="BDL60" s="58"/>
      <c r="BDM60" s="58"/>
      <c r="BDN60" s="58"/>
      <c r="BDO60" s="58"/>
      <c r="BDP60" s="58"/>
      <c r="BDQ60" s="58"/>
      <c r="BDR60" s="58"/>
      <c r="BDS60" s="58"/>
      <c r="BDT60" s="58"/>
      <c r="BDU60" s="58"/>
      <c r="BDV60" s="58"/>
      <c r="BDW60" s="58"/>
      <c r="BDX60" s="58"/>
      <c r="BDY60" s="58"/>
      <c r="BDZ60" s="58"/>
      <c r="BEA60" s="58"/>
      <c r="BEB60" s="58"/>
      <c r="BEC60" s="58"/>
      <c r="BED60" s="58"/>
      <c r="BEE60" s="58"/>
      <c r="BEF60" s="58"/>
      <c r="BEG60" s="58"/>
      <c r="BEH60" s="58"/>
      <c r="BEI60" s="58"/>
      <c r="BEJ60" s="58"/>
      <c r="BEK60" s="58"/>
      <c r="BEL60" s="58"/>
      <c r="BEM60" s="58"/>
      <c r="BEN60" s="58"/>
      <c r="BEO60" s="58"/>
      <c r="BEP60" s="58"/>
      <c r="BEQ60" s="58"/>
      <c r="BER60" s="58"/>
      <c r="BES60" s="58"/>
      <c r="BET60" s="58"/>
      <c r="BEU60" s="58"/>
      <c r="BEV60" s="58"/>
      <c r="BEW60" s="58"/>
      <c r="BEX60" s="58"/>
      <c r="BEY60" s="58"/>
      <c r="BEZ60" s="58"/>
      <c r="BFA60" s="58"/>
      <c r="BFB60" s="58"/>
      <c r="BFC60" s="58"/>
      <c r="BFD60" s="58"/>
      <c r="BFE60" s="58"/>
      <c r="BFF60" s="58"/>
      <c r="BFG60" s="58"/>
      <c r="BFI60" s="58"/>
      <c r="BFJ60" s="58"/>
      <c r="BFL60" s="58"/>
      <c r="BFR60" s="58"/>
      <c r="BFS60" s="58"/>
      <c r="BGG60" s="58"/>
      <c r="BGH60" s="58"/>
      <c r="BGI60" s="58"/>
      <c r="BGJ60" s="58"/>
      <c r="BGK60" s="58"/>
      <c r="BGL60" s="58"/>
      <c r="BGM60" s="58"/>
      <c r="BGN60" s="58"/>
      <c r="BGO60" s="58"/>
      <c r="BGP60" s="58"/>
      <c r="BGQ60" s="58"/>
      <c r="BGR60" s="58"/>
      <c r="BGS60" s="58"/>
      <c r="BGT60" s="58"/>
      <c r="BGU60" s="58"/>
      <c r="BGV60" s="58"/>
      <c r="BGW60" s="58"/>
      <c r="BGX60" s="58"/>
      <c r="BGY60" s="58"/>
      <c r="BGZ60" s="58"/>
      <c r="BHA60" s="58"/>
      <c r="BHB60" s="58"/>
      <c r="BHC60" s="58"/>
      <c r="BHD60" s="58"/>
      <c r="BHE60" s="58"/>
      <c r="BHF60" s="58"/>
      <c r="BHG60" s="58"/>
      <c r="BHH60" s="58"/>
      <c r="BHI60" s="58"/>
      <c r="BHJ60" s="58"/>
      <c r="BHK60" s="58"/>
      <c r="BHL60" s="58"/>
      <c r="BHM60" s="58"/>
      <c r="BHN60" s="58"/>
      <c r="BHO60" s="58"/>
      <c r="BHP60" s="58"/>
      <c r="BHQ60" s="58"/>
      <c r="BHR60" s="58"/>
      <c r="BHS60" s="58"/>
      <c r="BHT60" s="58"/>
      <c r="BHU60" s="58"/>
      <c r="BHV60" s="58"/>
      <c r="BHW60" s="58"/>
      <c r="BHX60" s="58"/>
      <c r="BHY60" s="58"/>
      <c r="BHZ60" s="58"/>
      <c r="BIA60" s="58"/>
      <c r="BIB60" s="58"/>
      <c r="BIC60" s="58"/>
      <c r="BID60" s="58"/>
      <c r="BIE60" s="58"/>
      <c r="BIF60" s="58"/>
      <c r="BIG60" s="58"/>
      <c r="BIH60" s="58"/>
      <c r="BII60" s="58"/>
      <c r="BIJ60" s="58"/>
      <c r="BIK60" s="58"/>
      <c r="BIL60" s="58"/>
      <c r="BIM60" s="58"/>
      <c r="BIN60" s="58"/>
      <c r="BIO60" s="58"/>
      <c r="BIP60" s="58"/>
      <c r="BIQ60" s="58"/>
      <c r="BIR60" s="58"/>
      <c r="BIS60" s="58"/>
      <c r="BIT60" s="58"/>
      <c r="BIU60" s="58"/>
      <c r="BIV60" s="58"/>
      <c r="BIW60" s="58"/>
      <c r="BIX60" s="58"/>
      <c r="BIY60" s="58"/>
      <c r="BIZ60" s="58"/>
      <c r="BJA60" s="58"/>
      <c r="BJB60" s="58"/>
      <c r="BJC60" s="58"/>
      <c r="BJD60" s="58"/>
      <c r="BJE60" s="58"/>
      <c r="BJF60" s="58"/>
      <c r="BJG60" s="58"/>
      <c r="BJH60" s="58"/>
      <c r="BJI60" s="58"/>
      <c r="BJJ60" s="58"/>
      <c r="BJK60" s="58"/>
      <c r="BJL60" s="58"/>
      <c r="BJM60" s="58"/>
      <c r="BJN60" s="58"/>
      <c r="BJO60" s="58"/>
      <c r="BJP60" s="58"/>
      <c r="BJQ60" s="58"/>
      <c r="BJR60" s="58"/>
      <c r="BJS60" s="58"/>
      <c r="BJT60" s="58"/>
      <c r="BJU60" s="58"/>
      <c r="BJV60" s="58"/>
      <c r="BJW60" s="58"/>
      <c r="BJX60" s="58"/>
      <c r="BJY60" s="58"/>
      <c r="BJZ60" s="58"/>
      <c r="BKA60" s="58"/>
      <c r="BKB60" s="58"/>
      <c r="BKC60" s="58"/>
      <c r="BKD60" s="58"/>
      <c r="BKE60" s="58"/>
      <c r="BKF60" s="58"/>
      <c r="BKG60" s="58"/>
      <c r="BKH60" s="58"/>
      <c r="BKI60" s="58"/>
      <c r="BKJ60" s="58"/>
      <c r="BKK60" s="58"/>
      <c r="BKL60" s="58"/>
      <c r="BKM60" s="58"/>
      <c r="BKN60" s="58"/>
      <c r="BKO60" s="58"/>
      <c r="BKP60" s="58"/>
      <c r="BKQ60" s="58"/>
      <c r="BKR60" s="58"/>
      <c r="BKS60" s="58"/>
      <c r="BKT60" s="58"/>
      <c r="BKU60" s="58"/>
      <c r="BKV60" s="58"/>
      <c r="BKW60" s="58"/>
      <c r="BKX60" s="58"/>
      <c r="BKY60" s="58"/>
      <c r="BKZ60" s="58"/>
      <c r="BLA60" s="58"/>
      <c r="BLB60" s="58"/>
      <c r="BLC60" s="58"/>
      <c r="BLD60" s="58"/>
      <c r="BLE60" s="58"/>
      <c r="BLF60" s="58"/>
      <c r="BLG60" s="58"/>
      <c r="BLH60" s="58"/>
      <c r="BLI60" s="58"/>
      <c r="BLJ60" s="58"/>
      <c r="BLK60" s="58"/>
      <c r="BLL60" s="58"/>
      <c r="BLM60" s="58"/>
      <c r="BLN60" s="58"/>
      <c r="BLO60" s="58"/>
      <c r="BLP60" s="58"/>
      <c r="BLQ60" s="58"/>
      <c r="BLR60" s="58"/>
      <c r="BLS60" s="58"/>
      <c r="BLT60" s="58"/>
      <c r="BLU60" s="58"/>
      <c r="BLV60" s="58"/>
      <c r="BLW60" s="58"/>
      <c r="BLX60" s="58"/>
      <c r="BLY60" s="58"/>
      <c r="BLZ60" s="58"/>
      <c r="BMA60" s="58"/>
      <c r="BMB60" s="58"/>
      <c r="BMC60" s="58"/>
      <c r="BMD60" s="58"/>
      <c r="BME60" s="58"/>
      <c r="BMF60" s="58"/>
      <c r="BMG60" s="58"/>
      <c r="BMH60" s="58"/>
      <c r="BMI60" s="58"/>
      <c r="BMJ60" s="58"/>
      <c r="BMK60" s="58"/>
      <c r="BML60" s="58"/>
      <c r="BMM60" s="58"/>
      <c r="BMN60" s="58"/>
      <c r="BMO60" s="58"/>
      <c r="BMP60" s="58"/>
      <c r="BMQ60" s="58"/>
      <c r="BMR60" s="58"/>
      <c r="BMS60" s="58"/>
      <c r="BMT60" s="58"/>
      <c r="BMU60" s="58"/>
      <c r="BMV60" s="58"/>
      <c r="BMW60" s="58"/>
      <c r="BMX60" s="58"/>
      <c r="BMY60" s="58"/>
      <c r="BMZ60" s="58"/>
      <c r="BNA60" s="58"/>
      <c r="BNB60" s="58"/>
      <c r="BNC60" s="58"/>
      <c r="BND60" s="58"/>
      <c r="BNE60" s="58"/>
      <c r="BNF60" s="58"/>
      <c r="BNG60" s="58"/>
      <c r="BNH60" s="58"/>
      <c r="BNI60" s="58"/>
      <c r="BNJ60" s="58"/>
      <c r="BNK60" s="58"/>
      <c r="BNL60" s="58"/>
      <c r="BNM60" s="58"/>
      <c r="BNN60" s="58"/>
      <c r="BNO60" s="58"/>
      <c r="BNP60" s="58"/>
      <c r="BNQ60" s="58"/>
      <c r="BNR60" s="58"/>
      <c r="BNS60" s="58"/>
      <c r="BNT60" s="58"/>
      <c r="BNU60" s="58"/>
      <c r="BNV60" s="58"/>
      <c r="BNW60" s="58"/>
      <c r="BNX60" s="58"/>
      <c r="BNY60" s="58"/>
      <c r="BNZ60" s="58"/>
      <c r="BOA60" s="58"/>
      <c r="BOB60" s="58"/>
      <c r="BOC60" s="58"/>
      <c r="BOD60" s="58"/>
      <c r="BOE60" s="58"/>
      <c r="BOF60" s="58"/>
      <c r="BOG60" s="58"/>
      <c r="BOH60" s="58"/>
      <c r="BOI60" s="58"/>
      <c r="BOJ60" s="58"/>
      <c r="BOK60" s="58"/>
      <c r="BOL60" s="58"/>
      <c r="BOM60" s="58"/>
      <c r="BON60" s="58"/>
      <c r="BOO60" s="58"/>
      <c r="BOP60" s="58"/>
      <c r="BOQ60" s="58"/>
      <c r="BOR60" s="58"/>
      <c r="BOS60" s="58"/>
      <c r="BOT60" s="58"/>
      <c r="BOU60" s="58"/>
      <c r="BOV60" s="58"/>
      <c r="BOW60" s="58"/>
      <c r="BOX60" s="58"/>
      <c r="BOY60" s="58"/>
      <c r="BOZ60" s="58"/>
      <c r="BPA60" s="58"/>
      <c r="BPB60" s="58"/>
      <c r="BPC60" s="58"/>
      <c r="BPE60" s="58"/>
      <c r="BPF60" s="58"/>
      <c r="BPH60" s="58"/>
      <c r="BPN60" s="58"/>
      <c r="BPO60" s="58"/>
      <c r="BQC60" s="58"/>
      <c r="BQD60" s="58"/>
      <c r="BQE60" s="58"/>
      <c r="BQF60" s="58"/>
      <c r="BQG60" s="58"/>
      <c r="BQH60" s="58"/>
      <c r="BQI60" s="58"/>
      <c r="BQJ60" s="58"/>
      <c r="BQK60" s="58"/>
      <c r="BQL60" s="58"/>
      <c r="BQM60" s="58"/>
      <c r="BQN60" s="58"/>
      <c r="BQO60" s="58"/>
      <c r="BQP60" s="58"/>
      <c r="BQQ60" s="58"/>
      <c r="BQR60" s="58"/>
      <c r="BQS60" s="58"/>
      <c r="BQT60" s="58"/>
      <c r="BQU60" s="58"/>
      <c r="BQV60" s="58"/>
      <c r="BQW60" s="58"/>
      <c r="BQX60" s="58"/>
      <c r="BQY60" s="58"/>
      <c r="BQZ60" s="58"/>
      <c r="BRA60" s="58"/>
      <c r="BRB60" s="58"/>
      <c r="BRC60" s="58"/>
      <c r="BRD60" s="58"/>
      <c r="BRE60" s="58"/>
      <c r="BRF60" s="58"/>
      <c r="BRG60" s="58"/>
      <c r="BRH60" s="58"/>
      <c r="BRI60" s="58"/>
      <c r="BRJ60" s="58"/>
      <c r="BRK60" s="58"/>
      <c r="BRL60" s="58"/>
      <c r="BRM60" s="58"/>
      <c r="BRN60" s="58"/>
      <c r="BRO60" s="58"/>
      <c r="BRP60" s="58"/>
      <c r="BRQ60" s="58"/>
      <c r="BRR60" s="58"/>
      <c r="BRS60" s="58"/>
      <c r="BRT60" s="58"/>
      <c r="BRU60" s="58"/>
      <c r="BRV60" s="58"/>
      <c r="BRW60" s="58"/>
      <c r="BRX60" s="58"/>
      <c r="BRY60" s="58"/>
      <c r="BRZ60" s="58"/>
      <c r="BSA60" s="58"/>
      <c r="BSB60" s="58"/>
      <c r="BSC60" s="58"/>
      <c r="BSD60" s="58"/>
      <c r="BSE60" s="58"/>
      <c r="BSF60" s="58"/>
      <c r="BSG60" s="58"/>
      <c r="BSH60" s="58"/>
      <c r="BSI60" s="58"/>
      <c r="BSJ60" s="58"/>
      <c r="BSK60" s="58"/>
      <c r="BSL60" s="58"/>
      <c r="BSM60" s="58"/>
      <c r="BSN60" s="58"/>
      <c r="BSO60" s="58"/>
      <c r="BSP60" s="58"/>
      <c r="BSQ60" s="58"/>
      <c r="BSR60" s="58"/>
      <c r="BSS60" s="58"/>
      <c r="BST60" s="58"/>
      <c r="BSU60" s="58"/>
      <c r="BSV60" s="58"/>
      <c r="BSW60" s="58"/>
      <c r="BSX60" s="58"/>
      <c r="BSY60" s="58"/>
      <c r="BSZ60" s="58"/>
      <c r="BTA60" s="58"/>
      <c r="BTB60" s="58"/>
      <c r="BTC60" s="58"/>
      <c r="BTD60" s="58"/>
      <c r="BTE60" s="58"/>
      <c r="BTF60" s="58"/>
      <c r="BTG60" s="58"/>
      <c r="BTH60" s="58"/>
      <c r="BTI60" s="58"/>
      <c r="BTJ60" s="58"/>
      <c r="BTK60" s="58"/>
      <c r="BTL60" s="58"/>
      <c r="BTM60" s="58"/>
      <c r="BTN60" s="58"/>
      <c r="BTO60" s="58"/>
      <c r="BTP60" s="58"/>
      <c r="BTQ60" s="58"/>
      <c r="BTR60" s="58"/>
      <c r="BTS60" s="58"/>
      <c r="BTT60" s="58"/>
      <c r="BTU60" s="58"/>
      <c r="BTV60" s="58"/>
      <c r="BTW60" s="58"/>
      <c r="BTX60" s="58"/>
      <c r="BTY60" s="58"/>
      <c r="BTZ60" s="58"/>
      <c r="BUA60" s="58"/>
      <c r="BUB60" s="58"/>
      <c r="BUC60" s="58"/>
      <c r="BUD60" s="58"/>
      <c r="BUE60" s="58"/>
      <c r="BUF60" s="58"/>
      <c r="BUG60" s="58"/>
      <c r="BUH60" s="58"/>
      <c r="BUI60" s="58"/>
      <c r="BUJ60" s="58"/>
      <c r="BUK60" s="58"/>
      <c r="BUL60" s="58"/>
      <c r="BUM60" s="58"/>
      <c r="BUN60" s="58"/>
      <c r="BUO60" s="58"/>
      <c r="BUP60" s="58"/>
      <c r="BUQ60" s="58"/>
      <c r="BUR60" s="58"/>
      <c r="BUS60" s="58"/>
      <c r="BUT60" s="58"/>
      <c r="BUU60" s="58"/>
      <c r="BUV60" s="58"/>
      <c r="BUW60" s="58"/>
      <c r="BUX60" s="58"/>
      <c r="BUY60" s="58"/>
      <c r="BUZ60" s="58"/>
      <c r="BVA60" s="58"/>
      <c r="BVB60" s="58"/>
      <c r="BVC60" s="58"/>
      <c r="BVD60" s="58"/>
      <c r="BVE60" s="58"/>
      <c r="BVF60" s="58"/>
      <c r="BVG60" s="58"/>
      <c r="BVH60" s="58"/>
      <c r="BVI60" s="58"/>
      <c r="BVJ60" s="58"/>
      <c r="BVK60" s="58"/>
      <c r="BVL60" s="58"/>
      <c r="BVM60" s="58"/>
      <c r="BVN60" s="58"/>
      <c r="BVO60" s="58"/>
      <c r="BVP60" s="58"/>
      <c r="BVQ60" s="58"/>
      <c r="BVR60" s="58"/>
      <c r="BVS60" s="58"/>
      <c r="BVT60" s="58"/>
      <c r="BVU60" s="58"/>
      <c r="BVV60" s="58"/>
      <c r="BVW60" s="58"/>
      <c r="BVX60" s="58"/>
      <c r="BVY60" s="58"/>
      <c r="BVZ60" s="58"/>
      <c r="BWA60" s="58"/>
      <c r="BWB60" s="58"/>
      <c r="BWC60" s="58"/>
      <c r="BWD60" s="58"/>
      <c r="BWE60" s="58"/>
      <c r="BWF60" s="58"/>
      <c r="BWG60" s="58"/>
      <c r="BWH60" s="58"/>
      <c r="BWI60" s="58"/>
      <c r="BWJ60" s="58"/>
      <c r="BWK60" s="58"/>
      <c r="BWL60" s="58"/>
      <c r="BWM60" s="58"/>
      <c r="BWN60" s="58"/>
      <c r="BWO60" s="58"/>
      <c r="BWP60" s="58"/>
      <c r="BWQ60" s="58"/>
      <c r="BWR60" s="58"/>
      <c r="BWS60" s="58"/>
      <c r="BWT60" s="58"/>
      <c r="BWU60" s="58"/>
      <c r="BWV60" s="58"/>
      <c r="BWW60" s="58"/>
      <c r="BWX60" s="58"/>
      <c r="BWY60" s="58"/>
      <c r="BWZ60" s="58"/>
      <c r="BXA60" s="58"/>
      <c r="BXB60" s="58"/>
      <c r="BXC60" s="58"/>
      <c r="BXD60" s="58"/>
      <c r="BXE60" s="58"/>
      <c r="BXF60" s="58"/>
      <c r="BXG60" s="58"/>
      <c r="BXH60" s="58"/>
      <c r="BXI60" s="58"/>
      <c r="BXJ60" s="58"/>
      <c r="BXK60" s="58"/>
      <c r="BXL60" s="58"/>
      <c r="BXM60" s="58"/>
      <c r="BXN60" s="58"/>
      <c r="BXO60" s="58"/>
      <c r="BXP60" s="58"/>
      <c r="BXQ60" s="58"/>
      <c r="BXR60" s="58"/>
      <c r="BXS60" s="58"/>
      <c r="BXT60" s="58"/>
      <c r="BXU60" s="58"/>
      <c r="BXV60" s="58"/>
      <c r="BXW60" s="58"/>
      <c r="BXX60" s="58"/>
      <c r="BXY60" s="58"/>
      <c r="BXZ60" s="58"/>
      <c r="BYA60" s="58"/>
      <c r="BYB60" s="58"/>
      <c r="BYC60" s="58"/>
      <c r="BYD60" s="58"/>
      <c r="BYE60" s="58"/>
      <c r="BYF60" s="58"/>
      <c r="BYG60" s="58"/>
      <c r="BYH60" s="58"/>
      <c r="BYI60" s="58"/>
      <c r="BYJ60" s="58"/>
      <c r="BYK60" s="58"/>
      <c r="BYL60" s="58"/>
      <c r="BYM60" s="58"/>
      <c r="BYN60" s="58"/>
      <c r="BYO60" s="58"/>
      <c r="BYP60" s="58"/>
      <c r="BYQ60" s="58"/>
      <c r="BYR60" s="58"/>
      <c r="BYS60" s="58"/>
      <c r="BYT60" s="58"/>
      <c r="BYU60" s="58"/>
      <c r="BYV60" s="58"/>
      <c r="BYW60" s="58"/>
      <c r="BYX60" s="58"/>
      <c r="BYY60" s="58"/>
      <c r="BZA60" s="58"/>
      <c r="BZB60" s="58"/>
      <c r="BZD60" s="58"/>
      <c r="BZJ60" s="58"/>
      <c r="BZK60" s="58"/>
      <c r="BZY60" s="58"/>
      <c r="BZZ60" s="58"/>
      <c r="CAA60" s="58"/>
      <c r="CAB60" s="58"/>
      <c r="CAC60" s="58"/>
      <c r="CAD60" s="58"/>
      <c r="CAE60" s="58"/>
      <c r="CAF60" s="58"/>
      <c r="CAG60" s="58"/>
      <c r="CAH60" s="58"/>
      <c r="CAI60" s="58"/>
      <c r="CAJ60" s="58"/>
      <c r="CAK60" s="58"/>
      <c r="CAL60" s="58"/>
      <c r="CAM60" s="58"/>
      <c r="CAN60" s="58"/>
      <c r="CAO60" s="58"/>
      <c r="CAP60" s="58"/>
      <c r="CAQ60" s="58"/>
      <c r="CAR60" s="58"/>
      <c r="CAS60" s="58"/>
      <c r="CAT60" s="58"/>
      <c r="CAU60" s="58"/>
      <c r="CAV60" s="58"/>
      <c r="CAW60" s="58"/>
      <c r="CAX60" s="58"/>
      <c r="CAY60" s="58"/>
      <c r="CAZ60" s="58"/>
      <c r="CBA60" s="58"/>
      <c r="CBB60" s="58"/>
      <c r="CBC60" s="58"/>
      <c r="CBD60" s="58"/>
      <c r="CBE60" s="58"/>
      <c r="CBF60" s="58"/>
      <c r="CBG60" s="58"/>
      <c r="CBH60" s="58"/>
      <c r="CBI60" s="58"/>
      <c r="CBJ60" s="58"/>
      <c r="CBK60" s="58"/>
      <c r="CBL60" s="58"/>
      <c r="CBM60" s="58"/>
      <c r="CBN60" s="58"/>
      <c r="CBO60" s="58"/>
      <c r="CBP60" s="58"/>
      <c r="CBQ60" s="58"/>
      <c r="CBR60" s="58"/>
      <c r="CBS60" s="58"/>
      <c r="CBT60" s="58"/>
      <c r="CBU60" s="58"/>
      <c r="CBV60" s="58"/>
      <c r="CBW60" s="58"/>
      <c r="CBX60" s="58"/>
      <c r="CBY60" s="58"/>
      <c r="CBZ60" s="58"/>
      <c r="CCA60" s="58"/>
      <c r="CCB60" s="58"/>
      <c r="CCC60" s="58"/>
      <c r="CCD60" s="58"/>
      <c r="CCE60" s="58"/>
      <c r="CCF60" s="58"/>
      <c r="CCG60" s="58"/>
      <c r="CCH60" s="58"/>
      <c r="CCI60" s="58"/>
      <c r="CCJ60" s="58"/>
      <c r="CCK60" s="58"/>
      <c r="CCL60" s="58"/>
      <c r="CCM60" s="58"/>
      <c r="CCN60" s="58"/>
      <c r="CCO60" s="58"/>
      <c r="CCP60" s="58"/>
      <c r="CCQ60" s="58"/>
      <c r="CCR60" s="58"/>
      <c r="CCS60" s="58"/>
      <c r="CCT60" s="58"/>
      <c r="CCU60" s="58"/>
      <c r="CCV60" s="58"/>
      <c r="CCW60" s="58"/>
      <c r="CCX60" s="58"/>
      <c r="CCY60" s="58"/>
      <c r="CCZ60" s="58"/>
      <c r="CDA60" s="58"/>
      <c r="CDB60" s="58"/>
      <c r="CDC60" s="58"/>
      <c r="CDD60" s="58"/>
      <c r="CDE60" s="58"/>
      <c r="CDF60" s="58"/>
      <c r="CDG60" s="58"/>
      <c r="CDH60" s="58"/>
      <c r="CDI60" s="58"/>
      <c r="CDJ60" s="58"/>
      <c r="CDK60" s="58"/>
      <c r="CDL60" s="58"/>
      <c r="CDM60" s="58"/>
      <c r="CDN60" s="58"/>
      <c r="CDO60" s="58"/>
      <c r="CDP60" s="58"/>
      <c r="CDQ60" s="58"/>
      <c r="CDR60" s="58"/>
      <c r="CDS60" s="58"/>
      <c r="CDT60" s="58"/>
      <c r="CDU60" s="58"/>
      <c r="CDV60" s="58"/>
      <c r="CDW60" s="58"/>
      <c r="CDX60" s="58"/>
      <c r="CDY60" s="58"/>
      <c r="CDZ60" s="58"/>
      <c r="CEA60" s="58"/>
      <c r="CEB60" s="58"/>
      <c r="CEC60" s="58"/>
      <c r="CED60" s="58"/>
      <c r="CEE60" s="58"/>
      <c r="CEF60" s="58"/>
      <c r="CEG60" s="58"/>
      <c r="CEH60" s="58"/>
      <c r="CEI60" s="58"/>
      <c r="CEJ60" s="58"/>
      <c r="CEK60" s="58"/>
      <c r="CEL60" s="58"/>
      <c r="CEM60" s="58"/>
      <c r="CEN60" s="58"/>
      <c r="CEO60" s="58"/>
      <c r="CEP60" s="58"/>
      <c r="CEQ60" s="58"/>
      <c r="CER60" s="58"/>
      <c r="CES60" s="58"/>
      <c r="CET60" s="58"/>
      <c r="CEU60" s="58"/>
      <c r="CEV60" s="58"/>
      <c r="CEW60" s="58"/>
      <c r="CEX60" s="58"/>
      <c r="CEY60" s="58"/>
      <c r="CEZ60" s="58"/>
      <c r="CFA60" s="58"/>
      <c r="CFB60" s="58"/>
      <c r="CFC60" s="58"/>
      <c r="CFD60" s="58"/>
      <c r="CFE60" s="58"/>
      <c r="CFF60" s="58"/>
      <c r="CFG60" s="58"/>
      <c r="CFH60" s="58"/>
      <c r="CFI60" s="58"/>
      <c r="CFJ60" s="58"/>
      <c r="CFK60" s="58"/>
      <c r="CFL60" s="58"/>
      <c r="CFM60" s="58"/>
      <c r="CFN60" s="58"/>
      <c r="CFO60" s="58"/>
      <c r="CFP60" s="58"/>
      <c r="CFQ60" s="58"/>
      <c r="CFR60" s="58"/>
      <c r="CFS60" s="58"/>
      <c r="CFT60" s="58"/>
      <c r="CFU60" s="58"/>
      <c r="CFV60" s="58"/>
      <c r="CFW60" s="58"/>
      <c r="CFX60" s="58"/>
      <c r="CFY60" s="58"/>
      <c r="CFZ60" s="58"/>
      <c r="CGA60" s="58"/>
      <c r="CGB60" s="58"/>
      <c r="CGC60" s="58"/>
      <c r="CGD60" s="58"/>
      <c r="CGE60" s="58"/>
      <c r="CGF60" s="58"/>
      <c r="CGG60" s="58"/>
      <c r="CGH60" s="58"/>
      <c r="CGI60" s="58"/>
      <c r="CGJ60" s="58"/>
      <c r="CGK60" s="58"/>
      <c r="CGL60" s="58"/>
      <c r="CGM60" s="58"/>
      <c r="CGN60" s="58"/>
      <c r="CGO60" s="58"/>
      <c r="CGP60" s="58"/>
      <c r="CGQ60" s="58"/>
      <c r="CGR60" s="58"/>
      <c r="CGS60" s="58"/>
      <c r="CGT60" s="58"/>
      <c r="CGU60" s="58"/>
      <c r="CGV60" s="58"/>
      <c r="CGW60" s="58"/>
      <c r="CGX60" s="58"/>
      <c r="CGY60" s="58"/>
      <c r="CGZ60" s="58"/>
      <c r="CHA60" s="58"/>
      <c r="CHB60" s="58"/>
      <c r="CHC60" s="58"/>
      <c r="CHD60" s="58"/>
      <c r="CHE60" s="58"/>
      <c r="CHF60" s="58"/>
      <c r="CHG60" s="58"/>
      <c r="CHH60" s="58"/>
      <c r="CHI60" s="58"/>
      <c r="CHJ60" s="58"/>
      <c r="CHK60" s="58"/>
      <c r="CHL60" s="58"/>
      <c r="CHM60" s="58"/>
      <c r="CHN60" s="58"/>
      <c r="CHO60" s="58"/>
      <c r="CHP60" s="58"/>
      <c r="CHQ60" s="58"/>
      <c r="CHR60" s="58"/>
      <c r="CHS60" s="58"/>
      <c r="CHT60" s="58"/>
      <c r="CHU60" s="58"/>
      <c r="CHV60" s="58"/>
      <c r="CHW60" s="58"/>
      <c r="CHX60" s="58"/>
      <c r="CHY60" s="58"/>
      <c r="CHZ60" s="58"/>
      <c r="CIA60" s="58"/>
      <c r="CIB60" s="58"/>
      <c r="CIC60" s="58"/>
      <c r="CID60" s="58"/>
      <c r="CIE60" s="58"/>
      <c r="CIF60" s="58"/>
      <c r="CIG60" s="58"/>
      <c r="CIH60" s="58"/>
      <c r="CII60" s="58"/>
      <c r="CIJ60" s="58"/>
      <c r="CIK60" s="58"/>
      <c r="CIL60" s="58"/>
      <c r="CIM60" s="58"/>
      <c r="CIN60" s="58"/>
      <c r="CIO60" s="58"/>
      <c r="CIP60" s="58"/>
      <c r="CIQ60" s="58"/>
      <c r="CIR60" s="58"/>
      <c r="CIS60" s="58"/>
      <c r="CIT60" s="58"/>
      <c r="CIU60" s="58"/>
      <c r="CIW60" s="58"/>
      <c r="CIX60" s="58"/>
      <c r="CIZ60" s="58"/>
      <c r="CJF60" s="58"/>
      <c r="CJG60" s="58"/>
      <c r="CJU60" s="58"/>
      <c r="CJV60" s="58"/>
      <c r="CJW60" s="58"/>
      <c r="CJX60" s="58"/>
      <c r="CJY60" s="58"/>
      <c r="CJZ60" s="58"/>
      <c r="CKA60" s="58"/>
      <c r="CKB60" s="58"/>
      <c r="CKC60" s="58"/>
      <c r="CKD60" s="58"/>
      <c r="CKE60" s="58"/>
      <c r="CKF60" s="58"/>
      <c r="CKG60" s="58"/>
      <c r="CKH60" s="58"/>
      <c r="CKI60" s="58"/>
      <c r="CKJ60" s="58"/>
      <c r="CKK60" s="58"/>
      <c r="CKL60" s="58"/>
      <c r="CKM60" s="58"/>
      <c r="CKN60" s="58"/>
      <c r="CKO60" s="58"/>
      <c r="CKP60" s="58"/>
      <c r="CKQ60" s="58"/>
      <c r="CKR60" s="58"/>
      <c r="CKS60" s="58"/>
      <c r="CKT60" s="58"/>
      <c r="CKU60" s="58"/>
      <c r="CKV60" s="58"/>
      <c r="CKW60" s="58"/>
      <c r="CKX60" s="58"/>
      <c r="CKY60" s="58"/>
      <c r="CKZ60" s="58"/>
      <c r="CLA60" s="58"/>
      <c r="CLB60" s="58"/>
      <c r="CLC60" s="58"/>
      <c r="CLD60" s="58"/>
      <c r="CLE60" s="58"/>
      <c r="CLF60" s="58"/>
      <c r="CLG60" s="58"/>
      <c r="CLH60" s="58"/>
      <c r="CLI60" s="58"/>
      <c r="CLJ60" s="58"/>
      <c r="CLK60" s="58"/>
      <c r="CLL60" s="58"/>
      <c r="CLM60" s="58"/>
      <c r="CLN60" s="58"/>
      <c r="CLO60" s="58"/>
      <c r="CLP60" s="58"/>
      <c r="CLQ60" s="58"/>
      <c r="CLR60" s="58"/>
      <c r="CLS60" s="58"/>
      <c r="CLT60" s="58"/>
      <c r="CLU60" s="58"/>
      <c r="CLV60" s="58"/>
      <c r="CLW60" s="58"/>
      <c r="CLX60" s="58"/>
      <c r="CLY60" s="58"/>
      <c r="CLZ60" s="58"/>
      <c r="CMA60" s="58"/>
      <c r="CMB60" s="58"/>
      <c r="CMC60" s="58"/>
      <c r="CMD60" s="58"/>
      <c r="CME60" s="58"/>
      <c r="CMF60" s="58"/>
      <c r="CMG60" s="58"/>
      <c r="CMH60" s="58"/>
      <c r="CMI60" s="58"/>
      <c r="CMJ60" s="58"/>
      <c r="CMK60" s="58"/>
      <c r="CML60" s="58"/>
      <c r="CMM60" s="58"/>
      <c r="CMN60" s="58"/>
      <c r="CMO60" s="58"/>
      <c r="CMP60" s="58"/>
      <c r="CMQ60" s="58"/>
      <c r="CMR60" s="58"/>
      <c r="CMS60" s="58"/>
      <c r="CMT60" s="58"/>
      <c r="CMU60" s="58"/>
      <c r="CMV60" s="58"/>
      <c r="CMW60" s="58"/>
      <c r="CMX60" s="58"/>
      <c r="CMY60" s="58"/>
      <c r="CMZ60" s="58"/>
      <c r="CNA60" s="58"/>
      <c r="CNB60" s="58"/>
      <c r="CNC60" s="58"/>
      <c r="CND60" s="58"/>
      <c r="CNE60" s="58"/>
      <c r="CNF60" s="58"/>
      <c r="CNG60" s="58"/>
      <c r="CNH60" s="58"/>
      <c r="CNI60" s="58"/>
      <c r="CNJ60" s="58"/>
      <c r="CNK60" s="58"/>
      <c r="CNL60" s="58"/>
      <c r="CNM60" s="58"/>
      <c r="CNN60" s="58"/>
      <c r="CNO60" s="58"/>
      <c r="CNP60" s="58"/>
      <c r="CNQ60" s="58"/>
      <c r="CNR60" s="58"/>
      <c r="CNS60" s="58"/>
      <c r="CNT60" s="58"/>
      <c r="CNU60" s="58"/>
      <c r="CNV60" s="58"/>
      <c r="CNW60" s="58"/>
      <c r="CNX60" s="58"/>
      <c r="CNY60" s="58"/>
      <c r="CNZ60" s="58"/>
      <c r="COA60" s="58"/>
      <c r="COB60" s="58"/>
      <c r="COC60" s="58"/>
      <c r="COD60" s="58"/>
      <c r="COE60" s="58"/>
      <c r="COF60" s="58"/>
      <c r="COG60" s="58"/>
      <c r="COH60" s="58"/>
      <c r="COI60" s="58"/>
      <c r="COJ60" s="58"/>
      <c r="COK60" s="58"/>
      <c r="COL60" s="58"/>
      <c r="COM60" s="58"/>
      <c r="CON60" s="58"/>
      <c r="COO60" s="58"/>
      <c r="COP60" s="58"/>
      <c r="COQ60" s="58"/>
      <c r="COR60" s="58"/>
      <c r="COS60" s="58"/>
      <c r="COT60" s="58"/>
      <c r="COU60" s="58"/>
      <c r="COV60" s="58"/>
      <c r="COW60" s="58"/>
      <c r="COX60" s="58"/>
      <c r="COY60" s="58"/>
      <c r="COZ60" s="58"/>
      <c r="CPA60" s="58"/>
      <c r="CPB60" s="58"/>
      <c r="CPC60" s="58"/>
      <c r="CPD60" s="58"/>
      <c r="CPE60" s="58"/>
      <c r="CPF60" s="58"/>
      <c r="CPG60" s="58"/>
      <c r="CPH60" s="58"/>
      <c r="CPI60" s="58"/>
      <c r="CPJ60" s="58"/>
      <c r="CPK60" s="58"/>
      <c r="CPL60" s="58"/>
      <c r="CPM60" s="58"/>
      <c r="CPN60" s="58"/>
      <c r="CPO60" s="58"/>
      <c r="CPP60" s="58"/>
      <c r="CPQ60" s="58"/>
      <c r="CPR60" s="58"/>
      <c r="CPS60" s="58"/>
      <c r="CPT60" s="58"/>
      <c r="CPU60" s="58"/>
      <c r="CPV60" s="58"/>
      <c r="CPW60" s="58"/>
      <c r="CPX60" s="58"/>
      <c r="CPY60" s="58"/>
      <c r="CPZ60" s="58"/>
      <c r="CQA60" s="58"/>
      <c r="CQB60" s="58"/>
      <c r="CQC60" s="58"/>
      <c r="CQD60" s="58"/>
      <c r="CQE60" s="58"/>
      <c r="CQF60" s="58"/>
      <c r="CQG60" s="58"/>
      <c r="CQH60" s="58"/>
      <c r="CQI60" s="58"/>
      <c r="CQJ60" s="58"/>
      <c r="CQK60" s="58"/>
      <c r="CQL60" s="58"/>
      <c r="CQM60" s="58"/>
      <c r="CQN60" s="58"/>
      <c r="CQO60" s="58"/>
      <c r="CQP60" s="58"/>
      <c r="CQQ60" s="58"/>
      <c r="CQR60" s="58"/>
      <c r="CQS60" s="58"/>
      <c r="CQT60" s="58"/>
      <c r="CQU60" s="58"/>
      <c r="CQV60" s="58"/>
      <c r="CQW60" s="58"/>
      <c r="CQX60" s="58"/>
      <c r="CQY60" s="58"/>
      <c r="CQZ60" s="58"/>
      <c r="CRA60" s="58"/>
      <c r="CRB60" s="58"/>
      <c r="CRC60" s="58"/>
      <c r="CRD60" s="58"/>
      <c r="CRE60" s="58"/>
      <c r="CRF60" s="58"/>
      <c r="CRG60" s="58"/>
      <c r="CRH60" s="58"/>
      <c r="CRI60" s="58"/>
      <c r="CRJ60" s="58"/>
      <c r="CRK60" s="58"/>
      <c r="CRL60" s="58"/>
      <c r="CRM60" s="58"/>
      <c r="CRN60" s="58"/>
      <c r="CRO60" s="58"/>
      <c r="CRP60" s="58"/>
      <c r="CRQ60" s="58"/>
      <c r="CRR60" s="58"/>
      <c r="CRS60" s="58"/>
      <c r="CRT60" s="58"/>
      <c r="CRU60" s="58"/>
      <c r="CRV60" s="58"/>
      <c r="CRW60" s="58"/>
      <c r="CRX60" s="58"/>
      <c r="CRY60" s="58"/>
      <c r="CRZ60" s="58"/>
      <c r="CSA60" s="58"/>
      <c r="CSB60" s="58"/>
      <c r="CSC60" s="58"/>
      <c r="CSD60" s="58"/>
      <c r="CSE60" s="58"/>
      <c r="CSF60" s="58"/>
      <c r="CSG60" s="58"/>
      <c r="CSH60" s="58"/>
      <c r="CSI60" s="58"/>
      <c r="CSJ60" s="58"/>
      <c r="CSK60" s="58"/>
      <c r="CSL60" s="58"/>
      <c r="CSM60" s="58"/>
      <c r="CSN60" s="58"/>
      <c r="CSO60" s="58"/>
      <c r="CSP60" s="58"/>
      <c r="CSQ60" s="58"/>
      <c r="CSS60" s="58"/>
      <c r="CST60" s="58"/>
      <c r="CSV60" s="58"/>
      <c r="CTB60" s="58"/>
      <c r="CTC60" s="58"/>
      <c r="CTQ60" s="58"/>
      <c r="CTR60" s="58"/>
      <c r="CTS60" s="58"/>
      <c r="CTT60" s="58"/>
      <c r="CTU60" s="58"/>
      <c r="CTV60" s="58"/>
      <c r="CTW60" s="58"/>
      <c r="CTX60" s="58"/>
      <c r="CTY60" s="58"/>
      <c r="CTZ60" s="58"/>
      <c r="CUA60" s="58"/>
      <c r="CUB60" s="58"/>
      <c r="CUC60" s="58"/>
      <c r="CUD60" s="58"/>
      <c r="CUE60" s="58"/>
      <c r="CUF60" s="58"/>
      <c r="CUG60" s="58"/>
      <c r="CUH60" s="58"/>
      <c r="CUI60" s="58"/>
      <c r="CUJ60" s="58"/>
      <c r="CUK60" s="58"/>
      <c r="CUL60" s="58"/>
      <c r="CUM60" s="58"/>
      <c r="CUN60" s="58"/>
      <c r="CUO60" s="58"/>
      <c r="CUP60" s="58"/>
      <c r="CUQ60" s="58"/>
      <c r="CUR60" s="58"/>
      <c r="CUS60" s="58"/>
      <c r="CUT60" s="58"/>
      <c r="CUU60" s="58"/>
      <c r="CUV60" s="58"/>
      <c r="CUW60" s="58"/>
      <c r="CUX60" s="58"/>
      <c r="CUY60" s="58"/>
      <c r="CUZ60" s="58"/>
      <c r="CVA60" s="58"/>
      <c r="CVB60" s="58"/>
      <c r="CVC60" s="58"/>
      <c r="CVD60" s="58"/>
      <c r="CVE60" s="58"/>
      <c r="CVF60" s="58"/>
      <c r="CVG60" s="58"/>
      <c r="CVH60" s="58"/>
      <c r="CVI60" s="58"/>
      <c r="CVJ60" s="58"/>
      <c r="CVK60" s="58"/>
      <c r="CVL60" s="58"/>
      <c r="CVM60" s="58"/>
      <c r="CVN60" s="58"/>
      <c r="CVO60" s="58"/>
      <c r="CVP60" s="58"/>
      <c r="CVQ60" s="58"/>
      <c r="CVR60" s="58"/>
      <c r="CVS60" s="58"/>
      <c r="CVT60" s="58"/>
      <c r="CVU60" s="58"/>
      <c r="CVV60" s="58"/>
      <c r="CVW60" s="58"/>
      <c r="CVX60" s="58"/>
      <c r="CVY60" s="58"/>
      <c r="CVZ60" s="58"/>
      <c r="CWA60" s="58"/>
      <c r="CWB60" s="58"/>
      <c r="CWC60" s="58"/>
      <c r="CWD60" s="58"/>
      <c r="CWE60" s="58"/>
      <c r="CWF60" s="58"/>
      <c r="CWG60" s="58"/>
      <c r="CWH60" s="58"/>
      <c r="CWI60" s="58"/>
      <c r="CWJ60" s="58"/>
      <c r="CWK60" s="58"/>
      <c r="CWL60" s="58"/>
      <c r="CWM60" s="58"/>
      <c r="CWN60" s="58"/>
      <c r="CWO60" s="58"/>
      <c r="CWP60" s="58"/>
      <c r="CWQ60" s="58"/>
      <c r="CWR60" s="58"/>
      <c r="CWS60" s="58"/>
      <c r="CWT60" s="58"/>
      <c r="CWU60" s="58"/>
      <c r="CWV60" s="58"/>
      <c r="CWW60" s="58"/>
      <c r="CWX60" s="58"/>
      <c r="CWY60" s="58"/>
      <c r="CWZ60" s="58"/>
      <c r="CXA60" s="58"/>
      <c r="CXB60" s="58"/>
      <c r="CXC60" s="58"/>
      <c r="CXD60" s="58"/>
      <c r="CXE60" s="58"/>
      <c r="CXF60" s="58"/>
      <c r="CXG60" s="58"/>
      <c r="CXH60" s="58"/>
      <c r="CXI60" s="58"/>
      <c r="CXJ60" s="58"/>
      <c r="CXK60" s="58"/>
      <c r="CXL60" s="58"/>
      <c r="CXM60" s="58"/>
      <c r="CXN60" s="58"/>
      <c r="CXO60" s="58"/>
      <c r="CXP60" s="58"/>
      <c r="CXQ60" s="58"/>
      <c r="CXR60" s="58"/>
      <c r="CXS60" s="58"/>
      <c r="CXT60" s="58"/>
      <c r="CXU60" s="58"/>
      <c r="CXV60" s="58"/>
      <c r="CXW60" s="58"/>
      <c r="CXX60" s="58"/>
      <c r="CXY60" s="58"/>
      <c r="CXZ60" s="58"/>
      <c r="CYA60" s="58"/>
      <c r="CYB60" s="58"/>
      <c r="CYC60" s="58"/>
      <c r="CYD60" s="58"/>
      <c r="CYE60" s="58"/>
      <c r="CYF60" s="58"/>
      <c r="CYG60" s="58"/>
      <c r="CYH60" s="58"/>
      <c r="CYI60" s="58"/>
      <c r="CYJ60" s="58"/>
      <c r="CYK60" s="58"/>
      <c r="CYL60" s="58"/>
      <c r="CYM60" s="58"/>
      <c r="CYN60" s="58"/>
      <c r="CYO60" s="58"/>
      <c r="CYP60" s="58"/>
      <c r="CYQ60" s="58"/>
      <c r="CYR60" s="58"/>
      <c r="CYS60" s="58"/>
      <c r="CYT60" s="58"/>
      <c r="CYU60" s="58"/>
      <c r="CYV60" s="58"/>
      <c r="CYW60" s="58"/>
      <c r="CYX60" s="58"/>
      <c r="CYY60" s="58"/>
      <c r="CYZ60" s="58"/>
      <c r="CZA60" s="58"/>
      <c r="CZB60" s="58"/>
      <c r="CZC60" s="58"/>
      <c r="CZD60" s="58"/>
      <c r="CZE60" s="58"/>
      <c r="CZF60" s="58"/>
      <c r="CZG60" s="58"/>
      <c r="CZH60" s="58"/>
      <c r="CZI60" s="58"/>
      <c r="CZJ60" s="58"/>
      <c r="CZK60" s="58"/>
      <c r="CZL60" s="58"/>
      <c r="CZM60" s="58"/>
      <c r="CZN60" s="58"/>
      <c r="CZO60" s="58"/>
      <c r="CZP60" s="58"/>
      <c r="CZQ60" s="58"/>
      <c r="CZR60" s="58"/>
      <c r="CZS60" s="58"/>
      <c r="CZT60" s="58"/>
      <c r="CZU60" s="58"/>
      <c r="CZV60" s="58"/>
      <c r="CZW60" s="58"/>
      <c r="CZX60" s="58"/>
      <c r="CZY60" s="58"/>
      <c r="CZZ60" s="58"/>
      <c r="DAA60" s="58"/>
      <c r="DAB60" s="58"/>
      <c r="DAC60" s="58"/>
      <c r="DAD60" s="58"/>
      <c r="DAE60" s="58"/>
      <c r="DAF60" s="58"/>
      <c r="DAG60" s="58"/>
      <c r="DAH60" s="58"/>
      <c r="DAI60" s="58"/>
      <c r="DAJ60" s="58"/>
      <c r="DAK60" s="58"/>
      <c r="DAL60" s="58"/>
      <c r="DAM60" s="58"/>
      <c r="DAN60" s="58"/>
      <c r="DAO60" s="58"/>
      <c r="DAP60" s="58"/>
      <c r="DAQ60" s="58"/>
      <c r="DAR60" s="58"/>
      <c r="DAS60" s="58"/>
      <c r="DAT60" s="58"/>
      <c r="DAU60" s="58"/>
      <c r="DAV60" s="58"/>
      <c r="DAW60" s="58"/>
      <c r="DAX60" s="58"/>
      <c r="DAY60" s="58"/>
      <c r="DAZ60" s="58"/>
      <c r="DBA60" s="58"/>
      <c r="DBB60" s="58"/>
      <c r="DBC60" s="58"/>
      <c r="DBD60" s="58"/>
      <c r="DBE60" s="58"/>
      <c r="DBF60" s="58"/>
      <c r="DBG60" s="58"/>
      <c r="DBH60" s="58"/>
      <c r="DBI60" s="58"/>
      <c r="DBJ60" s="58"/>
      <c r="DBK60" s="58"/>
      <c r="DBL60" s="58"/>
      <c r="DBM60" s="58"/>
      <c r="DBN60" s="58"/>
      <c r="DBO60" s="58"/>
      <c r="DBP60" s="58"/>
      <c r="DBQ60" s="58"/>
      <c r="DBR60" s="58"/>
      <c r="DBS60" s="58"/>
      <c r="DBT60" s="58"/>
      <c r="DBU60" s="58"/>
      <c r="DBV60" s="58"/>
      <c r="DBW60" s="58"/>
      <c r="DBX60" s="58"/>
      <c r="DBY60" s="58"/>
      <c r="DBZ60" s="58"/>
      <c r="DCA60" s="58"/>
      <c r="DCB60" s="58"/>
      <c r="DCC60" s="58"/>
      <c r="DCD60" s="58"/>
      <c r="DCE60" s="58"/>
      <c r="DCF60" s="58"/>
      <c r="DCG60" s="58"/>
      <c r="DCH60" s="58"/>
      <c r="DCI60" s="58"/>
      <c r="DCJ60" s="58"/>
      <c r="DCK60" s="58"/>
      <c r="DCL60" s="58"/>
      <c r="DCM60" s="58"/>
      <c r="DCO60" s="58"/>
      <c r="DCP60" s="58"/>
      <c r="DCR60" s="58"/>
      <c r="DCX60" s="58"/>
      <c r="DCY60" s="58"/>
      <c r="DDM60" s="58"/>
      <c r="DDN60" s="58"/>
      <c r="DDO60" s="58"/>
      <c r="DDP60" s="58"/>
      <c r="DDQ60" s="58"/>
      <c r="DDR60" s="58"/>
      <c r="DDS60" s="58"/>
      <c r="DDT60" s="58"/>
      <c r="DDU60" s="58"/>
      <c r="DDV60" s="58"/>
      <c r="DDW60" s="58"/>
      <c r="DDX60" s="58"/>
      <c r="DDY60" s="58"/>
      <c r="DDZ60" s="58"/>
      <c r="DEA60" s="58"/>
      <c r="DEB60" s="58"/>
      <c r="DEC60" s="58"/>
      <c r="DED60" s="58"/>
      <c r="DEE60" s="58"/>
      <c r="DEF60" s="58"/>
      <c r="DEG60" s="58"/>
      <c r="DEH60" s="58"/>
      <c r="DEI60" s="58"/>
      <c r="DEJ60" s="58"/>
      <c r="DEK60" s="58"/>
      <c r="DEL60" s="58"/>
      <c r="DEM60" s="58"/>
      <c r="DEN60" s="58"/>
      <c r="DEO60" s="58"/>
      <c r="DEP60" s="58"/>
      <c r="DEQ60" s="58"/>
      <c r="DER60" s="58"/>
      <c r="DES60" s="58"/>
      <c r="DET60" s="58"/>
      <c r="DEU60" s="58"/>
      <c r="DEV60" s="58"/>
      <c r="DEW60" s="58"/>
      <c r="DEX60" s="58"/>
      <c r="DEY60" s="58"/>
      <c r="DEZ60" s="58"/>
      <c r="DFA60" s="58"/>
      <c r="DFB60" s="58"/>
      <c r="DFC60" s="58"/>
      <c r="DFD60" s="58"/>
      <c r="DFE60" s="58"/>
      <c r="DFF60" s="58"/>
      <c r="DFG60" s="58"/>
      <c r="DFH60" s="58"/>
      <c r="DFI60" s="58"/>
      <c r="DFJ60" s="58"/>
      <c r="DFK60" s="58"/>
      <c r="DFL60" s="58"/>
      <c r="DFM60" s="58"/>
      <c r="DFN60" s="58"/>
      <c r="DFO60" s="58"/>
      <c r="DFP60" s="58"/>
      <c r="DFQ60" s="58"/>
      <c r="DFR60" s="58"/>
      <c r="DFS60" s="58"/>
      <c r="DFT60" s="58"/>
      <c r="DFU60" s="58"/>
      <c r="DFV60" s="58"/>
      <c r="DFW60" s="58"/>
      <c r="DFX60" s="58"/>
      <c r="DFY60" s="58"/>
      <c r="DFZ60" s="58"/>
      <c r="DGA60" s="58"/>
      <c r="DGB60" s="58"/>
      <c r="DGC60" s="58"/>
      <c r="DGD60" s="58"/>
      <c r="DGE60" s="58"/>
      <c r="DGF60" s="58"/>
      <c r="DGG60" s="58"/>
      <c r="DGH60" s="58"/>
      <c r="DGI60" s="58"/>
      <c r="DGJ60" s="58"/>
      <c r="DGK60" s="58"/>
      <c r="DGL60" s="58"/>
      <c r="DGM60" s="58"/>
      <c r="DGN60" s="58"/>
      <c r="DGO60" s="58"/>
      <c r="DGP60" s="58"/>
      <c r="DGQ60" s="58"/>
      <c r="DGR60" s="58"/>
      <c r="DGS60" s="58"/>
      <c r="DGT60" s="58"/>
      <c r="DGU60" s="58"/>
      <c r="DGV60" s="58"/>
      <c r="DGW60" s="58"/>
      <c r="DGX60" s="58"/>
      <c r="DGY60" s="58"/>
      <c r="DGZ60" s="58"/>
      <c r="DHA60" s="58"/>
      <c r="DHB60" s="58"/>
      <c r="DHC60" s="58"/>
      <c r="DHD60" s="58"/>
      <c r="DHE60" s="58"/>
      <c r="DHF60" s="58"/>
      <c r="DHG60" s="58"/>
      <c r="DHH60" s="58"/>
      <c r="DHI60" s="58"/>
      <c r="DHJ60" s="58"/>
      <c r="DHK60" s="58"/>
      <c r="DHL60" s="58"/>
      <c r="DHM60" s="58"/>
      <c r="DHN60" s="58"/>
      <c r="DHO60" s="58"/>
      <c r="DHP60" s="58"/>
      <c r="DHQ60" s="58"/>
      <c r="DHR60" s="58"/>
      <c r="DHS60" s="58"/>
      <c r="DHT60" s="58"/>
      <c r="DHU60" s="58"/>
      <c r="DHV60" s="58"/>
      <c r="DHW60" s="58"/>
      <c r="DHX60" s="58"/>
      <c r="DHY60" s="58"/>
      <c r="DHZ60" s="58"/>
      <c r="DIA60" s="58"/>
      <c r="DIB60" s="58"/>
      <c r="DIC60" s="58"/>
      <c r="DID60" s="58"/>
      <c r="DIE60" s="58"/>
      <c r="DIF60" s="58"/>
      <c r="DIG60" s="58"/>
      <c r="DIH60" s="58"/>
      <c r="DII60" s="58"/>
      <c r="DIJ60" s="58"/>
      <c r="DIK60" s="58"/>
      <c r="DIL60" s="58"/>
      <c r="DIM60" s="58"/>
      <c r="DIN60" s="58"/>
      <c r="DIO60" s="58"/>
      <c r="DIP60" s="58"/>
      <c r="DIQ60" s="58"/>
      <c r="DIR60" s="58"/>
      <c r="DIS60" s="58"/>
      <c r="DIT60" s="58"/>
      <c r="DIU60" s="58"/>
      <c r="DIV60" s="58"/>
      <c r="DIW60" s="58"/>
      <c r="DIX60" s="58"/>
      <c r="DIY60" s="58"/>
      <c r="DIZ60" s="58"/>
      <c r="DJA60" s="58"/>
      <c r="DJB60" s="58"/>
      <c r="DJC60" s="58"/>
      <c r="DJD60" s="58"/>
      <c r="DJE60" s="58"/>
      <c r="DJF60" s="58"/>
      <c r="DJG60" s="58"/>
      <c r="DJH60" s="58"/>
      <c r="DJI60" s="58"/>
      <c r="DJJ60" s="58"/>
      <c r="DJK60" s="58"/>
      <c r="DJL60" s="58"/>
      <c r="DJM60" s="58"/>
      <c r="DJN60" s="58"/>
      <c r="DJO60" s="58"/>
      <c r="DJP60" s="58"/>
      <c r="DJQ60" s="58"/>
      <c r="DJR60" s="58"/>
      <c r="DJS60" s="58"/>
      <c r="DJT60" s="58"/>
      <c r="DJU60" s="58"/>
      <c r="DJV60" s="58"/>
      <c r="DJW60" s="58"/>
      <c r="DJX60" s="58"/>
      <c r="DJY60" s="58"/>
      <c r="DJZ60" s="58"/>
      <c r="DKA60" s="58"/>
      <c r="DKB60" s="58"/>
      <c r="DKC60" s="58"/>
      <c r="DKD60" s="58"/>
      <c r="DKE60" s="58"/>
      <c r="DKF60" s="58"/>
      <c r="DKG60" s="58"/>
      <c r="DKH60" s="58"/>
      <c r="DKI60" s="58"/>
      <c r="DKJ60" s="58"/>
      <c r="DKK60" s="58"/>
      <c r="DKL60" s="58"/>
      <c r="DKM60" s="58"/>
      <c r="DKN60" s="58"/>
      <c r="DKO60" s="58"/>
      <c r="DKP60" s="58"/>
      <c r="DKQ60" s="58"/>
      <c r="DKR60" s="58"/>
      <c r="DKS60" s="58"/>
      <c r="DKT60" s="58"/>
      <c r="DKU60" s="58"/>
      <c r="DKV60" s="58"/>
      <c r="DKW60" s="58"/>
      <c r="DKX60" s="58"/>
      <c r="DKY60" s="58"/>
      <c r="DKZ60" s="58"/>
      <c r="DLA60" s="58"/>
      <c r="DLB60" s="58"/>
      <c r="DLC60" s="58"/>
      <c r="DLD60" s="58"/>
      <c r="DLE60" s="58"/>
      <c r="DLF60" s="58"/>
      <c r="DLG60" s="58"/>
      <c r="DLH60" s="58"/>
      <c r="DLI60" s="58"/>
      <c r="DLJ60" s="58"/>
      <c r="DLK60" s="58"/>
      <c r="DLL60" s="58"/>
      <c r="DLM60" s="58"/>
      <c r="DLN60" s="58"/>
      <c r="DLO60" s="58"/>
      <c r="DLP60" s="58"/>
      <c r="DLQ60" s="58"/>
      <c r="DLR60" s="58"/>
      <c r="DLS60" s="58"/>
      <c r="DLT60" s="58"/>
      <c r="DLU60" s="58"/>
      <c r="DLV60" s="58"/>
      <c r="DLW60" s="58"/>
      <c r="DLX60" s="58"/>
      <c r="DLY60" s="58"/>
      <c r="DLZ60" s="58"/>
      <c r="DMA60" s="58"/>
      <c r="DMB60" s="58"/>
      <c r="DMC60" s="58"/>
      <c r="DMD60" s="58"/>
      <c r="DME60" s="58"/>
      <c r="DMF60" s="58"/>
      <c r="DMG60" s="58"/>
      <c r="DMH60" s="58"/>
      <c r="DMI60" s="58"/>
      <c r="DMK60" s="58"/>
      <c r="DML60" s="58"/>
      <c r="DMN60" s="58"/>
      <c r="DMT60" s="58"/>
      <c r="DMU60" s="58"/>
      <c r="DNI60" s="58"/>
      <c r="DNJ60" s="58"/>
      <c r="DNK60" s="58"/>
      <c r="DNL60" s="58"/>
      <c r="DNM60" s="58"/>
      <c r="DNN60" s="58"/>
      <c r="DNO60" s="58"/>
      <c r="DNP60" s="58"/>
      <c r="DNQ60" s="58"/>
      <c r="DNR60" s="58"/>
      <c r="DNS60" s="58"/>
      <c r="DNT60" s="58"/>
      <c r="DNU60" s="58"/>
      <c r="DNV60" s="58"/>
      <c r="DNW60" s="58"/>
      <c r="DNX60" s="58"/>
      <c r="DNY60" s="58"/>
      <c r="DNZ60" s="58"/>
      <c r="DOA60" s="58"/>
      <c r="DOB60" s="58"/>
      <c r="DOC60" s="58"/>
      <c r="DOD60" s="58"/>
      <c r="DOE60" s="58"/>
      <c r="DOF60" s="58"/>
      <c r="DOG60" s="58"/>
      <c r="DOH60" s="58"/>
      <c r="DOI60" s="58"/>
      <c r="DOJ60" s="58"/>
      <c r="DOK60" s="58"/>
      <c r="DOL60" s="58"/>
      <c r="DOM60" s="58"/>
      <c r="DON60" s="58"/>
      <c r="DOO60" s="58"/>
      <c r="DOP60" s="58"/>
      <c r="DOQ60" s="58"/>
      <c r="DOR60" s="58"/>
      <c r="DOS60" s="58"/>
      <c r="DOT60" s="58"/>
      <c r="DOU60" s="58"/>
      <c r="DOV60" s="58"/>
      <c r="DOW60" s="58"/>
      <c r="DOX60" s="58"/>
      <c r="DOY60" s="58"/>
      <c r="DOZ60" s="58"/>
      <c r="DPA60" s="58"/>
      <c r="DPB60" s="58"/>
      <c r="DPC60" s="58"/>
      <c r="DPD60" s="58"/>
      <c r="DPE60" s="58"/>
      <c r="DPF60" s="58"/>
      <c r="DPG60" s="58"/>
      <c r="DPH60" s="58"/>
      <c r="DPI60" s="58"/>
      <c r="DPJ60" s="58"/>
      <c r="DPK60" s="58"/>
      <c r="DPL60" s="58"/>
      <c r="DPM60" s="58"/>
      <c r="DPN60" s="58"/>
      <c r="DPO60" s="58"/>
      <c r="DPP60" s="58"/>
      <c r="DPQ60" s="58"/>
      <c r="DPR60" s="58"/>
      <c r="DPS60" s="58"/>
      <c r="DPT60" s="58"/>
      <c r="DPU60" s="58"/>
      <c r="DPV60" s="58"/>
      <c r="DPW60" s="58"/>
      <c r="DPX60" s="58"/>
      <c r="DPY60" s="58"/>
      <c r="DPZ60" s="58"/>
      <c r="DQA60" s="58"/>
      <c r="DQB60" s="58"/>
      <c r="DQC60" s="58"/>
      <c r="DQD60" s="58"/>
      <c r="DQE60" s="58"/>
      <c r="DQF60" s="58"/>
      <c r="DQG60" s="58"/>
      <c r="DQH60" s="58"/>
      <c r="DQI60" s="58"/>
      <c r="DQJ60" s="58"/>
      <c r="DQK60" s="58"/>
      <c r="DQL60" s="58"/>
      <c r="DQM60" s="58"/>
      <c r="DQN60" s="58"/>
      <c r="DQO60" s="58"/>
      <c r="DQP60" s="58"/>
      <c r="DQQ60" s="58"/>
      <c r="DQR60" s="58"/>
      <c r="DQS60" s="58"/>
      <c r="DQT60" s="58"/>
      <c r="DQU60" s="58"/>
      <c r="DQV60" s="58"/>
      <c r="DQW60" s="58"/>
      <c r="DQX60" s="58"/>
      <c r="DQY60" s="58"/>
      <c r="DQZ60" s="58"/>
      <c r="DRA60" s="58"/>
      <c r="DRB60" s="58"/>
      <c r="DRC60" s="58"/>
      <c r="DRD60" s="58"/>
      <c r="DRE60" s="58"/>
      <c r="DRF60" s="58"/>
      <c r="DRG60" s="58"/>
      <c r="DRH60" s="58"/>
      <c r="DRI60" s="58"/>
      <c r="DRJ60" s="58"/>
      <c r="DRK60" s="58"/>
      <c r="DRL60" s="58"/>
      <c r="DRM60" s="58"/>
      <c r="DRN60" s="58"/>
      <c r="DRO60" s="58"/>
      <c r="DRP60" s="58"/>
      <c r="DRQ60" s="58"/>
      <c r="DRR60" s="58"/>
      <c r="DRS60" s="58"/>
      <c r="DRT60" s="58"/>
      <c r="DRU60" s="58"/>
      <c r="DRV60" s="58"/>
      <c r="DRW60" s="58"/>
      <c r="DRX60" s="58"/>
      <c r="DRY60" s="58"/>
      <c r="DRZ60" s="58"/>
      <c r="DSA60" s="58"/>
      <c r="DSB60" s="58"/>
      <c r="DSC60" s="58"/>
      <c r="DSD60" s="58"/>
      <c r="DSE60" s="58"/>
      <c r="DSF60" s="58"/>
      <c r="DSG60" s="58"/>
      <c r="DSH60" s="58"/>
      <c r="DSI60" s="58"/>
      <c r="DSJ60" s="58"/>
      <c r="DSK60" s="58"/>
      <c r="DSL60" s="58"/>
      <c r="DSM60" s="58"/>
      <c r="DSN60" s="58"/>
      <c r="DSO60" s="58"/>
      <c r="DSP60" s="58"/>
      <c r="DSQ60" s="58"/>
      <c r="DSR60" s="58"/>
      <c r="DSS60" s="58"/>
      <c r="DST60" s="58"/>
      <c r="DSU60" s="58"/>
      <c r="DSV60" s="58"/>
      <c r="DSW60" s="58"/>
      <c r="DSX60" s="58"/>
      <c r="DSY60" s="58"/>
      <c r="DSZ60" s="58"/>
      <c r="DTA60" s="58"/>
      <c r="DTB60" s="58"/>
      <c r="DTC60" s="58"/>
      <c r="DTD60" s="58"/>
      <c r="DTE60" s="58"/>
      <c r="DTF60" s="58"/>
      <c r="DTG60" s="58"/>
      <c r="DTH60" s="58"/>
      <c r="DTI60" s="58"/>
      <c r="DTJ60" s="58"/>
      <c r="DTK60" s="58"/>
      <c r="DTL60" s="58"/>
      <c r="DTM60" s="58"/>
      <c r="DTN60" s="58"/>
      <c r="DTO60" s="58"/>
      <c r="DTP60" s="58"/>
      <c r="DTQ60" s="58"/>
      <c r="DTR60" s="58"/>
      <c r="DTS60" s="58"/>
      <c r="DTT60" s="58"/>
      <c r="DTU60" s="58"/>
      <c r="DTV60" s="58"/>
      <c r="DTW60" s="58"/>
      <c r="DTX60" s="58"/>
      <c r="DTY60" s="58"/>
      <c r="DTZ60" s="58"/>
      <c r="DUA60" s="58"/>
      <c r="DUB60" s="58"/>
      <c r="DUC60" s="58"/>
      <c r="DUD60" s="58"/>
      <c r="DUE60" s="58"/>
      <c r="DUF60" s="58"/>
      <c r="DUG60" s="58"/>
      <c r="DUH60" s="58"/>
      <c r="DUI60" s="58"/>
      <c r="DUJ60" s="58"/>
      <c r="DUK60" s="58"/>
      <c r="DUL60" s="58"/>
      <c r="DUM60" s="58"/>
      <c r="DUN60" s="58"/>
      <c r="DUO60" s="58"/>
      <c r="DUP60" s="58"/>
      <c r="DUQ60" s="58"/>
      <c r="DUR60" s="58"/>
      <c r="DUS60" s="58"/>
      <c r="DUT60" s="58"/>
      <c r="DUU60" s="58"/>
      <c r="DUV60" s="58"/>
      <c r="DUW60" s="58"/>
      <c r="DUX60" s="58"/>
      <c r="DUY60" s="58"/>
      <c r="DUZ60" s="58"/>
      <c r="DVA60" s="58"/>
      <c r="DVB60" s="58"/>
      <c r="DVC60" s="58"/>
      <c r="DVD60" s="58"/>
      <c r="DVE60" s="58"/>
      <c r="DVF60" s="58"/>
      <c r="DVG60" s="58"/>
      <c r="DVH60" s="58"/>
      <c r="DVI60" s="58"/>
      <c r="DVJ60" s="58"/>
      <c r="DVK60" s="58"/>
      <c r="DVL60" s="58"/>
      <c r="DVM60" s="58"/>
      <c r="DVN60" s="58"/>
      <c r="DVO60" s="58"/>
      <c r="DVP60" s="58"/>
      <c r="DVQ60" s="58"/>
      <c r="DVR60" s="58"/>
      <c r="DVS60" s="58"/>
      <c r="DVT60" s="58"/>
      <c r="DVU60" s="58"/>
      <c r="DVV60" s="58"/>
      <c r="DVW60" s="58"/>
      <c r="DVX60" s="58"/>
      <c r="DVY60" s="58"/>
      <c r="DVZ60" s="58"/>
      <c r="DWA60" s="58"/>
      <c r="DWB60" s="58"/>
      <c r="DWC60" s="58"/>
      <c r="DWD60" s="58"/>
      <c r="DWE60" s="58"/>
      <c r="DWG60" s="58"/>
      <c r="DWH60" s="58"/>
      <c r="DWJ60" s="58"/>
      <c r="DWP60" s="58"/>
      <c r="DWQ60" s="58"/>
      <c r="DXE60" s="58"/>
      <c r="DXF60" s="58"/>
      <c r="DXG60" s="58"/>
      <c r="DXH60" s="58"/>
      <c r="DXI60" s="58"/>
      <c r="DXJ60" s="58"/>
      <c r="DXK60" s="58"/>
      <c r="DXL60" s="58"/>
      <c r="DXM60" s="58"/>
      <c r="DXN60" s="58"/>
      <c r="DXO60" s="58"/>
      <c r="DXP60" s="58"/>
      <c r="DXQ60" s="58"/>
      <c r="DXR60" s="58"/>
      <c r="DXS60" s="58"/>
      <c r="DXT60" s="58"/>
      <c r="DXU60" s="58"/>
      <c r="DXV60" s="58"/>
      <c r="DXW60" s="58"/>
      <c r="DXX60" s="58"/>
      <c r="DXY60" s="58"/>
      <c r="DXZ60" s="58"/>
      <c r="DYA60" s="58"/>
      <c r="DYB60" s="58"/>
      <c r="DYC60" s="58"/>
      <c r="DYD60" s="58"/>
      <c r="DYE60" s="58"/>
      <c r="DYF60" s="58"/>
      <c r="DYG60" s="58"/>
      <c r="DYH60" s="58"/>
      <c r="DYI60" s="58"/>
      <c r="DYJ60" s="58"/>
      <c r="DYK60" s="58"/>
      <c r="DYL60" s="58"/>
      <c r="DYM60" s="58"/>
      <c r="DYN60" s="58"/>
      <c r="DYO60" s="58"/>
      <c r="DYP60" s="58"/>
      <c r="DYQ60" s="58"/>
      <c r="DYR60" s="58"/>
      <c r="DYS60" s="58"/>
      <c r="DYT60" s="58"/>
      <c r="DYU60" s="58"/>
      <c r="DYV60" s="58"/>
      <c r="DYW60" s="58"/>
      <c r="DYX60" s="58"/>
      <c r="DYY60" s="58"/>
      <c r="DYZ60" s="58"/>
      <c r="DZA60" s="58"/>
      <c r="DZB60" s="58"/>
      <c r="DZC60" s="58"/>
      <c r="DZD60" s="58"/>
      <c r="DZE60" s="58"/>
      <c r="DZF60" s="58"/>
      <c r="DZG60" s="58"/>
      <c r="DZH60" s="58"/>
      <c r="DZI60" s="58"/>
      <c r="DZJ60" s="58"/>
      <c r="DZK60" s="58"/>
      <c r="DZL60" s="58"/>
      <c r="DZM60" s="58"/>
      <c r="DZN60" s="58"/>
      <c r="DZO60" s="58"/>
      <c r="DZP60" s="58"/>
      <c r="DZQ60" s="58"/>
      <c r="DZR60" s="58"/>
      <c r="DZS60" s="58"/>
      <c r="DZT60" s="58"/>
      <c r="DZU60" s="58"/>
      <c r="DZV60" s="58"/>
      <c r="DZW60" s="58"/>
      <c r="DZX60" s="58"/>
      <c r="DZY60" s="58"/>
      <c r="DZZ60" s="58"/>
      <c r="EAA60" s="58"/>
      <c r="EAB60" s="58"/>
      <c r="EAC60" s="58"/>
      <c r="EAD60" s="58"/>
      <c r="EAE60" s="58"/>
      <c r="EAF60" s="58"/>
      <c r="EAG60" s="58"/>
      <c r="EAH60" s="58"/>
      <c r="EAI60" s="58"/>
      <c r="EAJ60" s="58"/>
      <c r="EAK60" s="58"/>
      <c r="EAL60" s="58"/>
      <c r="EAM60" s="58"/>
      <c r="EAN60" s="58"/>
      <c r="EAO60" s="58"/>
      <c r="EAP60" s="58"/>
      <c r="EAQ60" s="58"/>
      <c r="EAR60" s="58"/>
      <c r="EAS60" s="58"/>
      <c r="EAT60" s="58"/>
      <c r="EAU60" s="58"/>
      <c r="EAV60" s="58"/>
      <c r="EAW60" s="58"/>
      <c r="EAX60" s="58"/>
      <c r="EAY60" s="58"/>
      <c r="EAZ60" s="58"/>
      <c r="EBA60" s="58"/>
      <c r="EBB60" s="58"/>
      <c r="EBC60" s="58"/>
      <c r="EBD60" s="58"/>
      <c r="EBE60" s="58"/>
      <c r="EBF60" s="58"/>
      <c r="EBG60" s="58"/>
      <c r="EBH60" s="58"/>
      <c r="EBI60" s="58"/>
      <c r="EBJ60" s="58"/>
      <c r="EBK60" s="58"/>
      <c r="EBL60" s="58"/>
      <c r="EBM60" s="58"/>
      <c r="EBN60" s="58"/>
      <c r="EBO60" s="58"/>
      <c r="EBP60" s="58"/>
      <c r="EBQ60" s="58"/>
      <c r="EBR60" s="58"/>
      <c r="EBS60" s="58"/>
      <c r="EBT60" s="58"/>
      <c r="EBU60" s="58"/>
      <c r="EBV60" s="58"/>
      <c r="EBW60" s="58"/>
      <c r="EBX60" s="58"/>
      <c r="EBY60" s="58"/>
      <c r="EBZ60" s="58"/>
      <c r="ECA60" s="58"/>
      <c r="ECB60" s="58"/>
      <c r="ECC60" s="58"/>
      <c r="ECD60" s="58"/>
      <c r="ECE60" s="58"/>
      <c r="ECF60" s="58"/>
      <c r="ECG60" s="58"/>
      <c r="ECH60" s="58"/>
      <c r="ECI60" s="58"/>
      <c r="ECJ60" s="58"/>
      <c r="ECK60" s="58"/>
      <c r="ECL60" s="58"/>
      <c r="ECM60" s="58"/>
      <c r="ECN60" s="58"/>
      <c r="ECO60" s="58"/>
      <c r="ECP60" s="58"/>
      <c r="ECQ60" s="58"/>
      <c r="ECR60" s="58"/>
      <c r="ECS60" s="58"/>
      <c r="ECT60" s="58"/>
      <c r="ECU60" s="58"/>
      <c r="ECV60" s="58"/>
      <c r="ECW60" s="58"/>
      <c r="ECX60" s="58"/>
      <c r="ECY60" s="58"/>
      <c r="ECZ60" s="58"/>
      <c r="EDA60" s="58"/>
      <c r="EDB60" s="58"/>
      <c r="EDC60" s="58"/>
      <c r="EDD60" s="58"/>
      <c r="EDE60" s="58"/>
      <c r="EDF60" s="58"/>
      <c r="EDG60" s="58"/>
      <c r="EDH60" s="58"/>
      <c r="EDI60" s="58"/>
      <c r="EDJ60" s="58"/>
      <c r="EDK60" s="58"/>
      <c r="EDL60" s="58"/>
      <c r="EDM60" s="58"/>
      <c r="EDN60" s="58"/>
      <c r="EDO60" s="58"/>
      <c r="EDP60" s="58"/>
      <c r="EDQ60" s="58"/>
      <c r="EDR60" s="58"/>
      <c r="EDS60" s="58"/>
      <c r="EDT60" s="58"/>
      <c r="EDU60" s="58"/>
      <c r="EDV60" s="58"/>
      <c r="EDW60" s="58"/>
      <c r="EDX60" s="58"/>
      <c r="EDY60" s="58"/>
      <c r="EDZ60" s="58"/>
      <c r="EEA60" s="58"/>
      <c r="EEB60" s="58"/>
      <c r="EEC60" s="58"/>
      <c r="EED60" s="58"/>
      <c r="EEE60" s="58"/>
      <c r="EEF60" s="58"/>
      <c r="EEG60" s="58"/>
      <c r="EEH60" s="58"/>
      <c r="EEI60" s="58"/>
      <c r="EEJ60" s="58"/>
      <c r="EEK60" s="58"/>
      <c r="EEL60" s="58"/>
      <c r="EEM60" s="58"/>
      <c r="EEN60" s="58"/>
      <c r="EEO60" s="58"/>
      <c r="EEP60" s="58"/>
      <c r="EEQ60" s="58"/>
      <c r="EER60" s="58"/>
      <c r="EES60" s="58"/>
      <c r="EET60" s="58"/>
      <c r="EEU60" s="58"/>
      <c r="EEV60" s="58"/>
      <c r="EEW60" s="58"/>
      <c r="EEX60" s="58"/>
      <c r="EEY60" s="58"/>
      <c r="EEZ60" s="58"/>
      <c r="EFA60" s="58"/>
      <c r="EFB60" s="58"/>
      <c r="EFC60" s="58"/>
      <c r="EFD60" s="58"/>
      <c r="EFE60" s="58"/>
      <c r="EFF60" s="58"/>
      <c r="EFG60" s="58"/>
      <c r="EFH60" s="58"/>
      <c r="EFI60" s="58"/>
      <c r="EFJ60" s="58"/>
      <c r="EFK60" s="58"/>
      <c r="EFL60" s="58"/>
      <c r="EFM60" s="58"/>
      <c r="EFN60" s="58"/>
      <c r="EFO60" s="58"/>
      <c r="EFP60" s="58"/>
      <c r="EFQ60" s="58"/>
      <c r="EFR60" s="58"/>
      <c r="EFS60" s="58"/>
      <c r="EFT60" s="58"/>
      <c r="EFU60" s="58"/>
      <c r="EFV60" s="58"/>
      <c r="EFW60" s="58"/>
      <c r="EFX60" s="58"/>
      <c r="EFY60" s="58"/>
      <c r="EFZ60" s="58"/>
      <c r="EGA60" s="58"/>
      <c r="EGC60" s="58"/>
      <c r="EGD60" s="58"/>
      <c r="EGF60" s="58"/>
      <c r="EGL60" s="58"/>
      <c r="EGM60" s="58"/>
      <c r="EHA60" s="58"/>
      <c r="EHB60" s="58"/>
      <c r="EHC60" s="58"/>
      <c r="EHD60" s="58"/>
      <c r="EHE60" s="58"/>
      <c r="EHF60" s="58"/>
      <c r="EHG60" s="58"/>
      <c r="EHH60" s="58"/>
      <c r="EHI60" s="58"/>
      <c r="EHJ60" s="58"/>
      <c r="EHK60" s="58"/>
      <c r="EHL60" s="58"/>
      <c r="EHM60" s="58"/>
      <c r="EHN60" s="58"/>
      <c r="EHO60" s="58"/>
      <c r="EHP60" s="58"/>
      <c r="EHQ60" s="58"/>
      <c r="EHR60" s="58"/>
      <c r="EHS60" s="58"/>
      <c r="EHT60" s="58"/>
      <c r="EHU60" s="58"/>
      <c r="EHV60" s="58"/>
      <c r="EHW60" s="58"/>
      <c r="EHX60" s="58"/>
      <c r="EHY60" s="58"/>
      <c r="EHZ60" s="58"/>
      <c r="EIA60" s="58"/>
      <c r="EIB60" s="58"/>
      <c r="EIC60" s="58"/>
      <c r="EID60" s="58"/>
      <c r="EIE60" s="58"/>
      <c r="EIF60" s="58"/>
      <c r="EIG60" s="58"/>
      <c r="EIH60" s="58"/>
      <c r="EII60" s="58"/>
      <c r="EIJ60" s="58"/>
      <c r="EIK60" s="58"/>
      <c r="EIL60" s="58"/>
      <c r="EIM60" s="58"/>
      <c r="EIN60" s="58"/>
      <c r="EIO60" s="58"/>
      <c r="EIP60" s="58"/>
      <c r="EIQ60" s="58"/>
      <c r="EIR60" s="58"/>
      <c r="EIS60" s="58"/>
      <c r="EIT60" s="58"/>
      <c r="EIU60" s="58"/>
      <c r="EIV60" s="58"/>
      <c r="EIW60" s="58"/>
      <c r="EIX60" s="58"/>
      <c r="EIY60" s="58"/>
      <c r="EIZ60" s="58"/>
      <c r="EJA60" s="58"/>
      <c r="EJB60" s="58"/>
      <c r="EJC60" s="58"/>
      <c r="EJD60" s="58"/>
      <c r="EJE60" s="58"/>
      <c r="EJF60" s="58"/>
      <c r="EJG60" s="58"/>
      <c r="EJH60" s="58"/>
      <c r="EJI60" s="58"/>
      <c r="EJJ60" s="58"/>
      <c r="EJK60" s="58"/>
      <c r="EJL60" s="58"/>
      <c r="EJM60" s="58"/>
      <c r="EJN60" s="58"/>
      <c r="EJO60" s="58"/>
      <c r="EJP60" s="58"/>
      <c r="EJQ60" s="58"/>
      <c r="EJR60" s="58"/>
      <c r="EJS60" s="58"/>
      <c r="EJT60" s="58"/>
      <c r="EJU60" s="58"/>
      <c r="EJV60" s="58"/>
      <c r="EJW60" s="58"/>
      <c r="EJX60" s="58"/>
      <c r="EJY60" s="58"/>
      <c r="EJZ60" s="58"/>
      <c r="EKA60" s="58"/>
      <c r="EKB60" s="58"/>
      <c r="EKC60" s="58"/>
      <c r="EKD60" s="58"/>
      <c r="EKE60" s="58"/>
      <c r="EKF60" s="58"/>
      <c r="EKG60" s="58"/>
      <c r="EKH60" s="58"/>
      <c r="EKI60" s="58"/>
      <c r="EKJ60" s="58"/>
      <c r="EKK60" s="58"/>
      <c r="EKL60" s="58"/>
      <c r="EKM60" s="58"/>
      <c r="EKN60" s="58"/>
      <c r="EKO60" s="58"/>
      <c r="EKP60" s="58"/>
      <c r="EKQ60" s="58"/>
      <c r="EKR60" s="58"/>
      <c r="EKS60" s="58"/>
      <c r="EKT60" s="58"/>
      <c r="EKU60" s="58"/>
      <c r="EKV60" s="58"/>
      <c r="EKW60" s="58"/>
      <c r="EKX60" s="58"/>
      <c r="EKY60" s="58"/>
      <c r="EKZ60" s="58"/>
      <c r="ELA60" s="58"/>
      <c r="ELB60" s="58"/>
      <c r="ELC60" s="58"/>
      <c r="ELD60" s="58"/>
      <c r="ELE60" s="58"/>
      <c r="ELF60" s="58"/>
      <c r="ELG60" s="58"/>
      <c r="ELH60" s="58"/>
      <c r="ELI60" s="58"/>
      <c r="ELJ60" s="58"/>
      <c r="ELK60" s="58"/>
      <c r="ELL60" s="58"/>
      <c r="ELM60" s="58"/>
      <c r="ELN60" s="58"/>
      <c r="ELO60" s="58"/>
      <c r="ELP60" s="58"/>
      <c r="ELQ60" s="58"/>
      <c r="ELR60" s="58"/>
      <c r="ELS60" s="58"/>
      <c r="ELT60" s="58"/>
      <c r="ELU60" s="58"/>
      <c r="ELV60" s="58"/>
      <c r="ELW60" s="58"/>
      <c r="ELX60" s="58"/>
      <c r="ELY60" s="58"/>
      <c r="ELZ60" s="58"/>
      <c r="EMA60" s="58"/>
      <c r="EMB60" s="58"/>
      <c r="EMC60" s="58"/>
      <c r="EMD60" s="58"/>
      <c r="EME60" s="58"/>
      <c r="EMF60" s="58"/>
      <c r="EMG60" s="58"/>
      <c r="EMH60" s="58"/>
      <c r="EMI60" s="58"/>
      <c r="EMJ60" s="58"/>
      <c r="EMK60" s="58"/>
      <c r="EML60" s="58"/>
      <c r="EMM60" s="58"/>
      <c r="EMN60" s="58"/>
      <c r="EMO60" s="58"/>
      <c r="EMP60" s="58"/>
      <c r="EMQ60" s="58"/>
      <c r="EMR60" s="58"/>
      <c r="EMS60" s="58"/>
      <c r="EMT60" s="58"/>
      <c r="EMU60" s="58"/>
      <c r="EMV60" s="58"/>
      <c r="EMW60" s="58"/>
      <c r="EMX60" s="58"/>
      <c r="EMY60" s="58"/>
      <c r="EMZ60" s="58"/>
      <c r="ENA60" s="58"/>
      <c r="ENB60" s="58"/>
      <c r="ENC60" s="58"/>
      <c r="END60" s="58"/>
      <c r="ENE60" s="58"/>
      <c r="ENF60" s="58"/>
      <c r="ENG60" s="58"/>
      <c r="ENH60" s="58"/>
      <c r="ENI60" s="58"/>
      <c r="ENJ60" s="58"/>
      <c r="ENK60" s="58"/>
      <c r="ENL60" s="58"/>
      <c r="ENM60" s="58"/>
      <c r="ENN60" s="58"/>
      <c r="ENO60" s="58"/>
      <c r="ENP60" s="58"/>
      <c r="ENQ60" s="58"/>
      <c r="ENR60" s="58"/>
      <c r="ENS60" s="58"/>
      <c r="ENT60" s="58"/>
      <c r="ENU60" s="58"/>
      <c r="ENV60" s="58"/>
      <c r="ENW60" s="58"/>
      <c r="ENX60" s="58"/>
      <c r="ENY60" s="58"/>
      <c r="ENZ60" s="58"/>
      <c r="EOA60" s="58"/>
      <c r="EOB60" s="58"/>
      <c r="EOC60" s="58"/>
      <c r="EOD60" s="58"/>
      <c r="EOE60" s="58"/>
      <c r="EOF60" s="58"/>
      <c r="EOG60" s="58"/>
      <c r="EOH60" s="58"/>
      <c r="EOI60" s="58"/>
      <c r="EOJ60" s="58"/>
      <c r="EOK60" s="58"/>
      <c r="EOL60" s="58"/>
      <c r="EOM60" s="58"/>
      <c r="EON60" s="58"/>
      <c r="EOO60" s="58"/>
      <c r="EOP60" s="58"/>
      <c r="EOQ60" s="58"/>
      <c r="EOR60" s="58"/>
      <c r="EOS60" s="58"/>
      <c r="EOT60" s="58"/>
      <c r="EOU60" s="58"/>
      <c r="EOV60" s="58"/>
      <c r="EOW60" s="58"/>
      <c r="EOX60" s="58"/>
      <c r="EOY60" s="58"/>
      <c r="EOZ60" s="58"/>
      <c r="EPA60" s="58"/>
      <c r="EPB60" s="58"/>
      <c r="EPC60" s="58"/>
      <c r="EPD60" s="58"/>
      <c r="EPE60" s="58"/>
      <c r="EPF60" s="58"/>
      <c r="EPG60" s="58"/>
      <c r="EPH60" s="58"/>
      <c r="EPI60" s="58"/>
      <c r="EPJ60" s="58"/>
      <c r="EPK60" s="58"/>
      <c r="EPL60" s="58"/>
      <c r="EPM60" s="58"/>
      <c r="EPN60" s="58"/>
      <c r="EPO60" s="58"/>
      <c r="EPP60" s="58"/>
      <c r="EPQ60" s="58"/>
      <c r="EPR60" s="58"/>
      <c r="EPS60" s="58"/>
      <c r="EPT60" s="58"/>
      <c r="EPU60" s="58"/>
      <c r="EPV60" s="58"/>
      <c r="EPW60" s="58"/>
      <c r="EPY60" s="58"/>
      <c r="EPZ60" s="58"/>
      <c r="EQB60" s="58"/>
      <c r="EQH60" s="58"/>
      <c r="EQI60" s="58"/>
      <c r="EQW60" s="58"/>
      <c r="EQX60" s="58"/>
      <c r="EQY60" s="58"/>
      <c r="EQZ60" s="58"/>
      <c r="ERA60" s="58"/>
      <c r="ERB60" s="58"/>
      <c r="ERC60" s="58"/>
      <c r="ERD60" s="58"/>
      <c r="ERE60" s="58"/>
      <c r="ERF60" s="58"/>
      <c r="ERG60" s="58"/>
      <c r="ERH60" s="58"/>
      <c r="ERI60" s="58"/>
      <c r="ERJ60" s="58"/>
      <c r="ERK60" s="58"/>
      <c r="ERL60" s="58"/>
      <c r="ERM60" s="58"/>
      <c r="ERN60" s="58"/>
      <c r="ERO60" s="58"/>
      <c r="ERP60" s="58"/>
      <c r="ERQ60" s="58"/>
      <c r="ERR60" s="58"/>
      <c r="ERS60" s="58"/>
      <c r="ERT60" s="58"/>
      <c r="ERU60" s="58"/>
      <c r="ERV60" s="58"/>
      <c r="ERW60" s="58"/>
      <c r="ERX60" s="58"/>
      <c r="ERY60" s="58"/>
      <c r="ERZ60" s="58"/>
      <c r="ESA60" s="58"/>
      <c r="ESB60" s="58"/>
      <c r="ESC60" s="58"/>
      <c r="ESD60" s="58"/>
      <c r="ESE60" s="58"/>
      <c r="ESF60" s="58"/>
      <c r="ESG60" s="58"/>
      <c r="ESH60" s="58"/>
      <c r="ESI60" s="58"/>
      <c r="ESJ60" s="58"/>
      <c r="ESK60" s="58"/>
      <c r="ESL60" s="58"/>
      <c r="ESM60" s="58"/>
      <c r="ESN60" s="58"/>
      <c r="ESO60" s="58"/>
      <c r="ESP60" s="58"/>
      <c r="ESQ60" s="58"/>
      <c r="ESR60" s="58"/>
      <c r="ESS60" s="58"/>
      <c r="EST60" s="58"/>
      <c r="ESU60" s="58"/>
      <c r="ESV60" s="58"/>
      <c r="ESW60" s="58"/>
      <c r="ESX60" s="58"/>
      <c r="ESY60" s="58"/>
      <c r="ESZ60" s="58"/>
      <c r="ETA60" s="58"/>
      <c r="ETB60" s="58"/>
      <c r="ETC60" s="58"/>
      <c r="ETD60" s="58"/>
      <c r="ETE60" s="58"/>
      <c r="ETF60" s="58"/>
      <c r="ETG60" s="58"/>
      <c r="ETH60" s="58"/>
      <c r="ETI60" s="58"/>
      <c r="ETJ60" s="58"/>
      <c r="ETK60" s="58"/>
      <c r="ETL60" s="58"/>
      <c r="ETM60" s="58"/>
      <c r="ETN60" s="58"/>
      <c r="ETO60" s="58"/>
      <c r="ETP60" s="58"/>
      <c r="ETQ60" s="58"/>
      <c r="ETR60" s="58"/>
      <c r="ETS60" s="58"/>
      <c r="ETT60" s="58"/>
      <c r="ETU60" s="58"/>
      <c r="ETV60" s="58"/>
      <c r="ETW60" s="58"/>
      <c r="ETX60" s="58"/>
      <c r="ETY60" s="58"/>
      <c r="ETZ60" s="58"/>
      <c r="EUA60" s="58"/>
      <c r="EUB60" s="58"/>
      <c r="EUC60" s="58"/>
      <c r="EUD60" s="58"/>
      <c r="EUE60" s="58"/>
      <c r="EUF60" s="58"/>
      <c r="EUG60" s="58"/>
      <c r="EUH60" s="58"/>
      <c r="EUI60" s="58"/>
      <c r="EUJ60" s="58"/>
      <c r="EUK60" s="58"/>
      <c r="EUL60" s="58"/>
      <c r="EUM60" s="58"/>
      <c r="EUN60" s="58"/>
      <c r="EUO60" s="58"/>
      <c r="EUP60" s="58"/>
      <c r="EUQ60" s="58"/>
      <c r="EUR60" s="58"/>
      <c r="EUS60" s="58"/>
      <c r="EUT60" s="58"/>
      <c r="EUU60" s="58"/>
      <c r="EUV60" s="58"/>
      <c r="EUW60" s="58"/>
      <c r="EUX60" s="58"/>
      <c r="EUY60" s="58"/>
      <c r="EUZ60" s="58"/>
      <c r="EVA60" s="58"/>
      <c r="EVB60" s="58"/>
      <c r="EVC60" s="58"/>
      <c r="EVD60" s="58"/>
      <c r="EVE60" s="58"/>
      <c r="EVF60" s="58"/>
      <c r="EVG60" s="58"/>
      <c r="EVH60" s="58"/>
      <c r="EVI60" s="58"/>
      <c r="EVJ60" s="58"/>
      <c r="EVK60" s="58"/>
      <c r="EVL60" s="58"/>
      <c r="EVM60" s="58"/>
      <c r="EVN60" s="58"/>
      <c r="EVO60" s="58"/>
      <c r="EVP60" s="58"/>
      <c r="EVQ60" s="58"/>
      <c r="EVR60" s="58"/>
      <c r="EVS60" s="58"/>
      <c r="EVT60" s="58"/>
      <c r="EVU60" s="58"/>
      <c r="EVV60" s="58"/>
      <c r="EVW60" s="58"/>
      <c r="EVX60" s="58"/>
      <c r="EVY60" s="58"/>
      <c r="EVZ60" s="58"/>
      <c r="EWA60" s="58"/>
      <c r="EWB60" s="58"/>
      <c r="EWC60" s="58"/>
      <c r="EWD60" s="58"/>
      <c r="EWE60" s="58"/>
      <c r="EWF60" s="58"/>
      <c r="EWG60" s="58"/>
      <c r="EWH60" s="58"/>
      <c r="EWI60" s="58"/>
      <c r="EWJ60" s="58"/>
      <c r="EWK60" s="58"/>
      <c r="EWL60" s="58"/>
      <c r="EWM60" s="58"/>
      <c r="EWN60" s="58"/>
      <c r="EWO60" s="58"/>
      <c r="EWP60" s="58"/>
      <c r="EWQ60" s="58"/>
      <c r="EWR60" s="58"/>
      <c r="EWS60" s="58"/>
      <c r="EWT60" s="58"/>
      <c r="EWU60" s="58"/>
      <c r="EWV60" s="58"/>
      <c r="EWW60" s="58"/>
      <c r="EWX60" s="58"/>
      <c r="EWY60" s="58"/>
      <c r="EWZ60" s="58"/>
      <c r="EXA60" s="58"/>
      <c r="EXB60" s="58"/>
      <c r="EXC60" s="58"/>
      <c r="EXD60" s="58"/>
      <c r="EXE60" s="58"/>
      <c r="EXF60" s="58"/>
      <c r="EXG60" s="58"/>
      <c r="EXH60" s="58"/>
      <c r="EXI60" s="58"/>
      <c r="EXJ60" s="58"/>
      <c r="EXK60" s="58"/>
      <c r="EXL60" s="58"/>
      <c r="EXM60" s="58"/>
      <c r="EXN60" s="58"/>
      <c r="EXO60" s="58"/>
      <c r="EXP60" s="58"/>
      <c r="EXQ60" s="58"/>
      <c r="EXR60" s="58"/>
      <c r="EXS60" s="58"/>
      <c r="EXT60" s="58"/>
      <c r="EXU60" s="58"/>
      <c r="EXV60" s="58"/>
      <c r="EXW60" s="58"/>
      <c r="EXX60" s="58"/>
      <c r="EXY60" s="58"/>
      <c r="EXZ60" s="58"/>
      <c r="EYA60" s="58"/>
      <c r="EYB60" s="58"/>
      <c r="EYC60" s="58"/>
      <c r="EYD60" s="58"/>
      <c r="EYE60" s="58"/>
      <c r="EYF60" s="58"/>
      <c r="EYG60" s="58"/>
      <c r="EYH60" s="58"/>
      <c r="EYI60" s="58"/>
      <c r="EYJ60" s="58"/>
      <c r="EYK60" s="58"/>
      <c r="EYL60" s="58"/>
      <c r="EYM60" s="58"/>
      <c r="EYN60" s="58"/>
      <c r="EYO60" s="58"/>
      <c r="EYP60" s="58"/>
      <c r="EYQ60" s="58"/>
      <c r="EYR60" s="58"/>
      <c r="EYS60" s="58"/>
      <c r="EYT60" s="58"/>
      <c r="EYU60" s="58"/>
      <c r="EYV60" s="58"/>
      <c r="EYW60" s="58"/>
      <c r="EYX60" s="58"/>
      <c r="EYY60" s="58"/>
      <c r="EYZ60" s="58"/>
      <c r="EZA60" s="58"/>
      <c r="EZB60" s="58"/>
      <c r="EZC60" s="58"/>
      <c r="EZD60" s="58"/>
      <c r="EZE60" s="58"/>
      <c r="EZF60" s="58"/>
      <c r="EZG60" s="58"/>
      <c r="EZH60" s="58"/>
      <c r="EZI60" s="58"/>
      <c r="EZJ60" s="58"/>
      <c r="EZK60" s="58"/>
      <c r="EZL60" s="58"/>
      <c r="EZM60" s="58"/>
      <c r="EZN60" s="58"/>
      <c r="EZO60" s="58"/>
      <c r="EZP60" s="58"/>
      <c r="EZQ60" s="58"/>
      <c r="EZR60" s="58"/>
      <c r="EZS60" s="58"/>
      <c r="EZU60" s="58"/>
      <c r="EZV60" s="58"/>
      <c r="EZX60" s="58"/>
      <c r="FAD60" s="58"/>
      <c r="FAE60" s="58"/>
      <c r="FAS60" s="58"/>
      <c r="FAT60" s="58"/>
      <c r="FAU60" s="58"/>
      <c r="FAV60" s="58"/>
      <c r="FAW60" s="58"/>
      <c r="FAX60" s="58"/>
      <c r="FAY60" s="58"/>
      <c r="FAZ60" s="58"/>
      <c r="FBA60" s="58"/>
      <c r="FBB60" s="58"/>
      <c r="FBC60" s="58"/>
      <c r="FBD60" s="58"/>
      <c r="FBE60" s="58"/>
      <c r="FBF60" s="58"/>
      <c r="FBG60" s="58"/>
      <c r="FBH60" s="58"/>
      <c r="FBI60" s="58"/>
      <c r="FBJ60" s="58"/>
      <c r="FBK60" s="58"/>
      <c r="FBL60" s="58"/>
      <c r="FBM60" s="58"/>
      <c r="FBN60" s="58"/>
      <c r="FBO60" s="58"/>
      <c r="FBP60" s="58"/>
      <c r="FBQ60" s="58"/>
      <c r="FBR60" s="58"/>
      <c r="FBS60" s="58"/>
      <c r="FBT60" s="58"/>
      <c r="FBU60" s="58"/>
      <c r="FBV60" s="58"/>
      <c r="FBW60" s="58"/>
      <c r="FBX60" s="58"/>
      <c r="FBY60" s="58"/>
      <c r="FBZ60" s="58"/>
      <c r="FCA60" s="58"/>
      <c r="FCB60" s="58"/>
      <c r="FCC60" s="58"/>
      <c r="FCD60" s="58"/>
      <c r="FCE60" s="58"/>
      <c r="FCF60" s="58"/>
      <c r="FCG60" s="58"/>
      <c r="FCH60" s="58"/>
      <c r="FCI60" s="58"/>
      <c r="FCJ60" s="58"/>
      <c r="FCK60" s="58"/>
      <c r="FCL60" s="58"/>
      <c r="FCM60" s="58"/>
      <c r="FCN60" s="58"/>
      <c r="FCO60" s="58"/>
      <c r="FCP60" s="58"/>
      <c r="FCQ60" s="58"/>
      <c r="FCR60" s="58"/>
      <c r="FCS60" s="58"/>
      <c r="FCT60" s="58"/>
      <c r="FCU60" s="58"/>
      <c r="FCV60" s="58"/>
      <c r="FCW60" s="58"/>
      <c r="FCX60" s="58"/>
      <c r="FCY60" s="58"/>
      <c r="FCZ60" s="58"/>
      <c r="FDA60" s="58"/>
      <c r="FDB60" s="58"/>
      <c r="FDC60" s="58"/>
      <c r="FDD60" s="58"/>
      <c r="FDE60" s="58"/>
      <c r="FDF60" s="58"/>
      <c r="FDG60" s="58"/>
      <c r="FDH60" s="58"/>
      <c r="FDI60" s="58"/>
      <c r="FDJ60" s="58"/>
      <c r="FDK60" s="58"/>
      <c r="FDL60" s="58"/>
      <c r="FDM60" s="58"/>
      <c r="FDN60" s="58"/>
      <c r="FDO60" s="58"/>
      <c r="FDP60" s="58"/>
      <c r="FDQ60" s="58"/>
      <c r="FDR60" s="58"/>
      <c r="FDS60" s="58"/>
      <c r="FDT60" s="58"/>
      <c r="FDU60" s="58"/>
      <c r="FDV60" s="58"/>
      <c r="FDW60" s="58"/>
      <c r="FDX60" s="58"/>
      <c r="FDY60" s="58"/>
      <c r="FDZ60" s="58"/>
      <c r="FEA60" s="58"/>
      <c r="FEB60" s="58"/>
      <c r="FEC60" s="58"/>
      <c r="FED60" s="58"/>
      <c r="FEE60" s="58"/>
      <c r="FEF60" s="58"/>
      <c r="FEG60" s="58"/>
      <c r="FEH60" s="58"/>
      <c r="FEI60" s="58"/>
      <c r="FEJ60" s="58"/>
      <c r="FEK60" s="58"/>
      <c r="FEL60" s="58"/>
      <c r="FEM60" s="58"/>
      <c r="FEN60" s="58"/>
      <c r="FEO60" s="58"/>
      <c r="FEP60" s="58"/>
      <c r="FEQ60" s="58"/>
      <c r="FER60" s="58"/>
      <c r="FES60" s="58"/>
      <c r="FET60" s="58"/>
      <c r="FEU60" s="58"/>
      <c r="FEV60" s="58"/>
      <c r="FEW60" s="58"/>
      <c r="FEX60" s="58"/>
      <c r="FEY60" s="58"/>
      <c r="FEZ60" s="58"/>
      <c r="FFA60" s="58"/>
      <c r="FFB60" s="58"/>
      <c r="FFC60" s="58"/>
      <c r="FFD60" s="58"/>
      <c r="FFE60" s="58"/>
      <c r="FFF60" s="58"/>
      <c r="FFG60" s="58"/>
      <c r="FFH60" s="58"/>
      <c r="FFI60" s="58"/>
      <c r="FFJ60" s="58"/>
      <c r="FFK60" s="58"/>
      <c r="FFL60" s="58"/>
      <c r="FFM60" s="58"/>
      <c r="FFN60" s="58"/>
      <c r="FFO60" s="58"/>
      <c r="FFP60" s="58"/>
      <c r="FFQ60" s="58"/>
      <c r="FFR60" s="58"/>
      <c r="FFS60" s="58"/>
      <c r="FFT60" s="58"/>
      <c r="FFU60" s="58"/>
      <c r="FFV60" s="58"/>
      <c r="FFW60" s="58"/>
      <c r="FFX60" s="58"/>
      <c r="FFY60" s="58"/>
      <c r="FFZ60" s="58"/>
      <c r="FGA60" s="58"/>
      <c r="FGB60" s="58"/>
      <c r="FGC60" s="58"/>
      <c r="FGD60" s="58"/>
      <c r="FGE60" s="58"/>
      <c r="FGF60" s="58"/>
      <c r="FGG60" s="58"/>
      <c r="FGH60" s="58"/>
      <c r="FGI60" s="58"/>
      <c r="FGJ60" s="58"/>
      <c r="FGK60" s="58"/>
      <c r="FGL60" s="58"/>
      <c r="FGM60" s="58"/>
      <c r="FGN60" s="58"/>
      <c r="FGO60" s="58"/>
      <c r="FGP60" s="58"/>
      <c r="FGQ60" s="58"/>
      <c r="FGR60" s="58"/>
      <c r="FGS60" s="58"/>
      <c r="FGT60" s="58"/>
      <c r="FGU60" s="58"/>
      <c r="FGV60" s="58"/>
      <c r="FGW60" s="58"/>
      <c r="FGX60" s="58"/>
      <c r="FGY60" s="58"/>
      <c r="FGZ60" s="58"/>
      <c r="FHA60" s="58"/>
      <c r="FHB60" s="58"/>
      <c r="FHC60" s="58"/>
      <c r="FHD60" s="58"/>
      <c r="FHE60" s="58"/>
      <c r="FHF60" s="58"/>
      <c r="FHG60" s="58"/>
      <c r="FHH60" s="58"/>
      <c r="FHI60" s="58"/>
      <c r="FHJ60" s="58"/>
      <c r="FHK60" s="58"/>
      <c r="FHL60" s="58"/>
      <c r="FHM60" s="58"/>
      <c r="FHN60" s="58"/>
      <c r="FHO60" s="58"/>
      <c r="FHP60" s="58"/>
      <c r="FHQ60" s="58"/>
      <c r="FHR60" s="58"/>
      <c r="FHS60" s="58"/>
      <c r="FHT60" s="58"/>
      <c r="FHU60" s="58"/>
      <c r="FHV60" s="58"/>
      <c r="FHW60" s="58"/>
      <c r="FHX60" s="58"/>
      <c r="FHY60" s="58"/>
      <c r="FHZ60" s="58"/>
      <c r="FIA60" s="58"/>
      <c r="FIB60" s="58"/>
      <c r="FIC60" s="58"/>
      <c r="FID60" s="58"/>
      <c r="FIE60" s="58"/>
      <c r="FIF60" s="58"/>
      <c r="FIG60" s="58"/>
      <c r="FIH60" s="58"/>
      <c r="FII60" s="58"/>
      <c r="FIJ60" s="58"/>
      <c r="FIK60" s="58"/>
      <c r="FIL60" s="58"/>
      <c r="FIM60" s="58"/>
      <c r="FIN60" s="58"/>
      <c r="FIO60" s="58"/>
      <c r="FIP60" s="58"/>
      <c r="FIQ60" s="58"/>
      <c r="FIR60" s="58"/>
      <c r="FIS60" s="58"/>
      <c r="FIT60" s="58"/>
      <c r="FIU60" s="58"/>
      <c r="FIV60" s="58"/>
      <c r="FIW60" s="58"/>
      <c r="FIX60" s="58"/>
      <c r="FIY60" s="58"/>
      <c r="FIZ60" s="58"/>
      <c r="FJA60" s="58"/>
      <c r="FJB60" s="58"/>
      <c r="FJC60" s="58"/>
      <c r="FJD60" s="58"/>
      <c r="FJE60" s="58"/>
      <c r="FJF60" s="58"/>
      <c r="FJG60" s="58"/>
      <c r="FJH60" s="58"/>
      <c r="FJI60" s="58"/>
      <c r="FJJ60" s="58"/>
      <c r="FJK60" s="58"/>
      <c r="FJL60" s="58"/>
      <c r="FJM60" s="58"/>
      <c r="FJN60" s="58"/>
      <c r="FJO60" s="58"/>
      <c r="FJQ60" s="58"/>
      <c r="FJR60" s="58"/>
      <c r="FJT60" s="58"/>
      <c r="FJZ60" s="58"/>
      <c r="FKA60" s="58"/>
      <c r="FKO60" s="58"/>
      <c r="FKP60" s="58"/>
      <c r="FKQ60" s="58"/>
      <c r="FKR60" s="58"/>
      <c r="FKS60" s="58"/>
      <c r="FKT60" s="58"/>
      <c r="FKU60" s="58"/>
      <c r="FKV60" s="58"/>
      <c r="FKW60" s="58"/>
      <c r="FKX60" s="58"/>
      <c r="FKY60" s="58"/>
      <c r="FKZ60" s="58"/>
      <c r="FLA60" s="58"/>
      <c r="FLB60" s="58"/>
      <c r="FLC60" s="58"/>
      <c r="FLD60" s="58"/>
      <c r="FLE60" s="58"/>
      <c r="FLF60" s="58"/>
      <c r="FLG60" s="58"/>
      <c r="FLH60" s="58"/>
      <c r="FLI60" s="58"/>
      <c r="FLJ60" s="58"/>
      <c r="FLK60" s="58"/>
      <c r="FLL60" s="58"/>
      <c r="FLM60" s="58"/>
      <c r="FLN60" s="58"/>
      <c r="FLO60" s="58"/>
      <c r="FLP60" s="58"/>
      <c r="FLQ60" s="58"/>
      <c r="FLR60" s="58"/>
      <c r="FLS60" s="58"/>
      <c r="FLT60" s="58"/>
      <c r="FLU60" s="58"/>
      <c r="FLV60" s="58"/>
      <c r="FLW60" s="58"/>
      <c r="FLX60" s="58"/>
      <c r="FLY60" s="58"/>
      <c r="FLZ60" s="58"/>
      <c r="FMA60" s="58"/>
      <c r="FMB60" s="58"/>
      <c r="FMC60" s="58"/>
      <c r="FMD60" s="58"/>
      <c r="FME60" s="58"/>
      <c r="FMF60" s="58"/>
      <c r="FMG60" s="58"/>
      <c r="FMH60" s="58"/>
      <c r="FMI60" s="58"/>
      <c r="FMJ60" s="58"/>
      <c r="FMK60" s="58"/>
      <c r="FML60" s="58"/>
      <c r="FMM60" s="58"/>
      <c r="FMN60" s="58"/>
      <c r="FMO60" s="58"/>
      <c r="FMP60" s="58"/>
      <c r="FMQ60" s="58"/>
      <c r="FMR60" s="58"/>
      <c r="FMS60" s="58"/>
      <c r="FMT60" s="58"/>
      <c r="FMU60" s="58"/>
      <c r="FMV60" s="58"/>
      <c r="FMW60" s="58"/>
      <c r="FMX60" s="58"/>
      <c r="FMY60" s="58"/>
      <c r="FMZ60" s="58"/>
      <c r="FNA60" s="58"/>
      <c r="FNB60" s="58"/>
      <c r="FNC60" s="58"/>
      <c r="FND60" s="58"/>
      <c r="FNE60" s="58"/>
      <c r="FNF60" s="58"/>
      <c r="FNG60" s="58"/>
      <c r="FNH60" s="58"/>
      <c r="FNI60" s="58"/>
      <c r="FNJ60" s="58"/>
      <c r="FNK60" s="58"/>
      <c r="FNL60" s="58"/>
      <c r="FNM60" s="58"/>
      <c r="FNN60" s="58"/>
      <c r="FNO60" s="58"/>
      <c r="FNP60" s="58"/>
      <c r="FNQ60" s="58"/>
      <c r="FNR60" s="58"/>
      <c r="FNS60" s="58"/>
      <c r="FNT60" s="58"/>
      <c r="FNU60" s="58"/>
      <c r="FNV60" s="58"/>
      <c r="FNW60" s="58"/>
      <c r="FNX60" s="58"/>
      <c r="FNY60" s="58"/>
      <c r="FNZ60" s="58"/>
      <c r="FOA60" s="58"/>
      <c r="FOB60" s="58"/>
      <c r="FOC60" s="58"/>
      <c r="FOD60" s="58"/>
      <c r="FOE60" s="58"/>
      <c r="FOF60" s="58"/>
      <c r="FOG60" s="58"/>
      <c r="FOH60" s="58"/>
      <c r="FOI60" s="58"/>
      <c r="FOJ60" s="58"/>
      <c r="FOK60" s="58"/>
      <c r="FOL60" s="58"/>
      <c r="FOM60" s="58"/>
      <c r="FON60" s="58"/>
      <c r="FOO60" s="58"/>
      <c r="FOP60" s="58"/>
      <c r="FOQ60" s="58"/>
      <c r="FOR60" s="58"/>
      <c r="FOS60" s="58"/>
      <c r="FOT60" s="58"/>
      <c r="FOU60" s="58"/>
      <c r="FOV60" s="58"/>
      <c r="FOW60" s="58"/>
      <c r="FOX60" s="58"/>
      <c r="FOY60" s="58"/>
      <c r="FOZ60" s="58"/>
      <c r="FPA60" s="58"/>
      <c r="FPB60" s="58"/>
      <c r="FPC60" s="58"/>
      <c r="FPD60" s="58"/>
      <c r="FPE60" s="58"/>
      <c r="FPF60" s="58"/>
      <c r="FPG60" s="58"/>
      <c r="FPH60" s="58"/>
      <c r="FPI60" s="58"/>
      <c r="FPJ60" s="58"/>
      <c r="FPK60" s="58"/>
      <c r="FPL60" s="58"/>
      <c r="FPM60" s="58"/>
      <c r="FPN60" s="58"/>
      <c r="FPO60" s="58"/>
      <c r="FPP60" s="58"/>
      <c r="FPQ60" s="58"/>
      <c r="FPR60" s="58"/>
      <c r="FPS60" s="58"/>
      <c r="FPT60" s="58"/>
      <c r="FPU60" s="58"/>
      <c r="FPV60" s="58"/>
      <c r="FPW60" s="58"/>
      <c r="FPX60" s="58"/>
      <c r="FPY60" s="58"/>
      <c r="FPZ60" s="58"/>
      <c r="FQA60" s="58"/>
      <c r="FQB60" s="58"/>
      <c r="FQC60" s="58"/>
      <c r="FQD60" s="58"/>
      <c r="FQE60" s="58"/>
      <c r="FQF60" s="58"/>
      <c r="FQG60" s="58"/>
      <c r="FQH60" s="58"/>
      <c r="FQI60" s="58"/>
      <c r="FQJ60" s="58"/>
      <c r="FQK60" s="58"/>
      <c r="FQL60" s="58"/>
      <c r="FQM60" s="58"/>
      <c r="FQN60" s="58"/>
      <c r="FQO60" s="58"/>
      <c r="FQP60" s="58"/>
      <c r="FQQ60" s="58"/>
      <c r="FQR60" s="58"/>
      <c r="FQS60" s="58"/>
      <c r="FQT60" s="58"/>
      <c r="FQU60" s="58"/>
      <c r="FQV60" s="58"/>
      <c r="FQW60" s="58"/>
      <c r="FQX60" s="58"/>
      <c r="FQY60" s="58"/>
      <c r="FQZ60" s="58"/>
      <c r="FRA60" s="58"/>
      <c r="FRB60" s="58"/>
      <c r="FRC60" s="58"/>
      <c r="FRD60" s="58"/>
      <c r="FRE60" s="58"/>
      <c r="FRF60" s="58"/>
      <c r="FRG60" s="58"/>
      <c r="FRH60" s="58"/>
      <c r="FRI60" s="58"/>
      <c r="FRJ60" s="58"/>
      <c r="FRK60" s="58"/>
      <c r="FRL60" s="58"/>
      <c r="FRM60" s="58"/>
      <c r="FRN60" s="58"/>
      <c r="FRO60" s="58"/>
      <c r="FRP60" s="58"/>
      <c r="FRQ60" s="58"/>
      <c r="FRR60" s="58"/>
      <c r="FRS60" s="58"/>
      <c r="FRT60" s="58"/>
      <c r="FRU60" s="58"/>
      <c r="FRV60" s="58"/>
      <c r="FRW60" s="58"/>
      <c r="FRX60" s="58"/>
      <c r="FRY60" s="58"/>
      <c r="FRZ60" s="58"/>
      <c r="FSA60" s="58"/>
      <c r="FSB60" s="58"/>
      <c r="FSC60" s="58"/>
      <c r="FSD60" s="58"/>
      <c r="FSE60" s="58"/>
      <c r="FSF60" s="58"/>
      <c r="FSG60" s="58"/>
      <c r="FSH60" s="58"/>
      <c r="FSI60" s="58"/>
      <c r="FSJ60" s="58"/>
      <c r="FSK60" s="58"/>
      <c r="FSL60" s="58"/>
      <c r="FSM60" s="58"/>
      <c r="FSN60" s="58"/>
      <c r="FSO60" s="58"/>
      <c r="FSP60" s="58"/>
      <c r="FSQ60" s="58"/>
      <c r="FSR60" s="58"/>
      <c r="FSS60" s="58"/>
      <c r="FST60" s="58"/>
      <c r="FSU60" s="58"/>
      <c r="FSV60" s="58"/>
      <c r="FSW60" s="58"/>
      <c r="FSX60" s="58"/>
      <c r="FSY60" s="58"/>
      <c r="FSZ60" s="58"/>
      <c r="FTA60" s="58"/>
      <c r="FTB60" s="58"/>
      <c r="FTC60" s="58"/>
      <c r="FTD60" s="58"/>
      <c r="FTE60" s="58"/>
      <c r="FTF60" s="58"/>
      <c r="FTG60" s="58"/>
      <c r="FTH60" s="58"/>
      <c r="FTI60" s="58"/>
      <c r="FTJ60" s="58"/>
      <c r="FTK60" s="58"/>
      <c r="FTM60" s="58"/>
      <c r="FTN60" s="58"/>
      <c r="FTP60" s="58"/>
      <c r="FTV60" s="58"/>
      <c r="FTW60" s="58"/>
      <c r="FUK60" s="58"/>
      <c r="FUL60" s="58"/>
      <c r="FUM60" s="58"/>
      <c r="FUN60" s="58"/>
      <c r="FUO60" s="58"/>
      <c r="FUP60" s="58"/>
      <c r="FUQ60" s="58"/>
      <c r="FUR60" s="58"/>
      <c r="FUS60" s="58"/>
      <c r="FUT60" s="58"/>
      <c r="FUU60" s="58"/>
      <c r="FUV60" s="58"/>
      <c r="FUW60" s="58"/>
      <c r="FUX60" s="58"/>
      <c r="FUY60" s="58"/>
      <c r="FUZ60" s="58"/>
      <c r="FVA60" s="58"/>
      <c r="FVB60" s="58"/>
      <c r="FVC60" s="58"/>
      <c r="FVD60" s="58"/>
      <c r="FVE60" s="58"/>
      <c r="FVF60" s="58"/>
      <c r="FVG60" s="58"/>
      <c r="FVH60" s="58"/>
      <c r="FVI60" s="58"/>
      <c r="FVJ60" s="58"/>
      <c r="FVK60" s="58"/>
      <c r="FVL60" s="58"/>
      <c r="FVM60" s="58"/>
      <c r="FVN60" s="58"/>
      <c r="FVO60" s="58"/>
      <c r="FVP60" s="58"/>
      <c r="FVQ60" s="58"/>
      <c r="FVR60" s="58"/>
      <c r="FVS60" s="58"/>
      <c r="FVT60" s="58"/>
      <c r="FVU60" s="58"/>
      <c r="FVV60" s="58"/>
      <c r="FVW60" s="58"/>
      <c r="FVX60" s="58"/>
      <c r="FVY60" s="58"/>
      <c r="FVZ60" s="58"/>
      <c r="FWA60" s="58"/>
      <c r="FWB60" s="58"/>
      <c r="FWC60" s="58"/>
      <c r="FWD60" s="58"/>
      <c r="FWE60" s="58"/>
      <c r="FWF60" s="58"/>
      <c r="FWG60" s="58"/>
      <c r="FWH60" s="58"/>
      <c r="FWI60" s="58"/>
      <c r="FWJ60" s="58"/>
      <c r="FWK60" s="58"/>
      <c r="FWL60" s="58"/>
      <c r="FWM60" s="58"/>
      <c r="FWN60" s="58"/>
      <c r="FWO60" s="58"/>
      <c r="FWP60" s="58"/>
      <c r="FWQ60" s="58"/>
      <c r="FWR60" s="58"/>
      <c r="FWS60" s="58"/>
      <c r="FWT60" s="58"/>
      <c r="FWU60" s="58"/>
      <c r="FWV60" s="58"/>
      <c r="FWW60" s="58"/>
      <c r="FWX60" s="58"/>
      <c r="FWY60" s="58"/>
      <c r="FWZ60" s="58"/>
      <c r="FXA60" s="58"/>
      <c r="FXB60" s="58"/>
      <c r="FXC60" s="58"/>
      <c r="FXD60" s="58"/>
      <c r="FXE60" s="58"/>
      <c r="FXF60" s="58"/>
      <c r="FXG60" s="58"/>
      <c r="FXH60" s="58"/>
      <c r="FXI60" s="58"/>
      <c r="FXJ60" s="58"/>
      <c r="FXK60" s="58"/>
      <c r="FXL60" s="58"/>
      <c r="FXM60" s="58"/>
      <c r="FXN60" s="58"/>
      <c r="FXO60" s="58"/>
      <c r="FXP60" s="58"/>
      <c r="FXQ60" s="58"/>
      <c r="FXR60" s="58"/>
      <c r="FXS60" s="58"/>
      <c r="FXT60" s="58"/>
      <c r="FXU60" s="58"/>
      <c r="FXV60" s="58"/>
      <c r="FXW60" s="58"/>
      <c r="FXX60" s="58"/>
      <c r="FXY60" s="58"/>
      <c r="FXZ60" s="58"/>
      <c r="FYA60" s="58"/>
      <c r="FYB60" s="58"/>
      <c r="FYC60" s="58"/>
      <c r="FYD60" s="58"/>
      <c r="FYE60" s="58"/>
      <c r="FYF60" s="58"/>
      <c r="FYG60" s="58"/>
      <c r="FYH60" s="58"/>
      <c r="FYI60" s="58"/>
      <c r="FYJ60" s="58"/>
      <c r="FYK60" s="58"/>
      <c r="FYL60" s="58"/>
      <c r="FYM60" s="58"/>
      <c r="FYN60" s="58"/>
      <c r="FYO60" s="58"/>
      <c r="FYP60" s="58"/>
      <c r="FYQ60" s="58"/>
      <c r="FYR60" s="58"/>
      <c r="FYS60" s="58"/>
      <c r="FYT60" s="58"/>
      <c r="FYU60" s="58"/>
      <c r="FYV60" s="58"/>
      <c r="FYW60" s="58"/>
      <c r="FYX60" s="58"/>
      <c r="FYY60" s="58"/>
      <c r="FYZ60" s="58"/>
      <c r="FZA60" s="58"/>
      <c r="FZB60" s="58"/>
      <c r="FZC60" s="58"/>
      <c r="FZD60" s="58"/>
      <c r="FZE60" s="58"/>
      <c r="FZF60" s="58"/>
      <c r="FZG60" s="58"/>
      <c r="FZH60" s="58"/>
      <c r="FZI60" s="58"/>
      <c r="FZJ60" s="58"/>
      <c r="FZK60" s="58"/>
      <c r="FZL60" s="58"/>
      <c r="FZM60" s="58"/>
      <c r="FZN60" s="58"/>
      <c r="FZO60" s="58"/>
      <c r="FZP60" s="58"/>
      <c r="FZQ60" s="58"/>
      <c r="FZR60" s="58"/>
      <c r="FZS60" s="58"/>
      <c r="FZT60" s="58"/>
      <c r="FZU60" s="58"/>
      <c r="FZV60" s="58"/>
      <c r="FZW60" s="58"/>
      <c r="FZX60" s="58"/>
      <c r="FZY60" s="58"/>
      <c r="FZZ60" s="58"/>
      <c r="GAA60" s="58"/>
      <c r="GAB60" s="58"/>
      <c r="GAC60" s="58"/>
      <c r="GAD60" s="58"/>
      <c r="GAE60" s="58"/>
      <c r="GAF60" s="58"/>
      <c r="GAG60" s="58"/>
      <c r="GAH60" s="58"/>
      <c r="GAI60" s="58"/>
      <c r="GAJ60" s="58"/>
      <c r="GAK60" s="58"/>
      <c r="GAL60" s="58"/>
      <c r="GAM60" s="58"/>
      <c r="GAN60" s="58"/>
      <c r="GAO60" s="58"/>
      <c r="GAP60" s="58"/>
      <c r="GAQ60" s="58"/>
      <c r="GAR60" s="58"/>
      <c r="GAS60" s="58"/>
      <c r="GAT60" s="58"/>
      <c r="GAU60" s="58"/>
      <c r="GAV60" s="58"/>
      <c r="GAW60" s="58"/>
      <c r="GAX60" s="58"/>
      <c r="GAY60" s="58"/>
      <c r="GAZ60" s="58"/>
      <c r="GBA60" s="58"/>
      <c r="GBB60" s="58"/>
      <c r="GBC60" s="58"/>
      <c r="GBD60" s="58"/>
      <c r="GBE60" s="58"/>
      <c r="GBF60" s="58"/>
      <c r="GBG60" s="58"/>
      <c r="GBH60" s="58"/>
      <c r="GBI60" s="58"/>
      <c r="GBJ60" s="58"/>
      <c r="GBK60" s="58"/>
      <c r="GBL60" s="58"/>
      <c r="GBM60" s="58"/>
      <c r="GBN60" s="58"/>
      <c r="GBO60" s="58"/>
      <c r="GBP60" s="58"/>
      <c r="GBQ60" s="58"/>
      <c r="GBR60" s="58"/>
      <c r="GBS60" s="58"/>
      <c r="GBT60" s="58"/>
      <c r="GBU60" s="58"/>
      <c r="GBV60" s="58"/>
      <c r="GBW60" s="58"/>
      <c r="GBX60" s="58"/>
      <c r="GBY60" s="58"/>
      <c r="GBZ60" s="58"/>
      <c r="GCA60" s="58"/>
      <c r="GCB60" s="58"/>
      <c r="GCC60" s="58"/>
      <c r="GCD60" s="58"/>
      <c r="GCE60" s="58"/>
      <c r="GCF60" s="58"/>
      <c r="GCG60" s="58"/>
      <c r="GCH60" s="58"/>
      <c r="GCI60" s="58"/>
      <c r="GCJ60" s="58"/>
      <c r="GCK60" s="58"/>
      <c r="GCL60" s="58"/>
      <c r="GCM60" s="58"/>
      <c r="GCN60" s="58"/>
      <c r="GCO60" s="58"/>
      <c r="GCP60" s="58"/>
      <c r="GCQ60" s="58"/>
      <c r="GCR60" s="58"/>
      <c r="GCS60" s="58"/>
      <c r="GCT60" s="58"/>
      <c r="GCU60" s="58"/>
      <c r="GCV60" s="58"/>
      <c r="GCW60" s="58"/>
      <c r="GCX60" s="58"/>
      <c r="GCY60" s="58"/>
      <c r="GCZ60" s="58"/>
      <c r="GDA60" s="58"/>
      <c r="GDB60" s="58"/>
      <c r="GDC60" s="58"/>
      <c r="GDD60" s="58"/>
      <c r="GDE60" s="58"/>
      <c r="GDF60" s="58"/>
      <c r="GDG60" s="58"/>
      <c r="GDI60" s="58"/>
      <c r="GDJ60" s="58"/>
      <c r="GDL60" s="58"/>
      <c r="GDR60" s="58"/>
      <c r="GDS60" s="58"/>
      <c r="GEG60" s="58"/>
      <c r="GEH60" s="58"/>
      <c r="GEI60" s="58"/>
      <c r="GEJ60" s="58"/>
      <c r="GEK60" s="58"/>
      <c r="GEL60" s="58"/>
      <c r="GEM60" s="58"/>
      <c r="GEN60" s="58"/>
      <c r="GEO60" s="58"/>
      <c r="GEP60" s="58"/>
      <c r="GEQ60" s="58"/>
      <c r="GER60" s="58"/>
      <c r="GES60" s="58"/>
      <c r="GET60" s="58"/>
      <c r="GEU60" s="58"/>
      <c r="GEV60" s="58"/>
      <c r="GEW60" s="58"/>
      <c r="GEX60" s="58"/>
      <c r="GEY60" s="58"/>
      <c r="GEZ60" s="58"/>
      <c r="GFA60" s="58"/>
      <c r="GFB60" s="58"/>
      <c r="GFC60" s="58"/>
      <c r="GFD60" s="58"/>
      <c r="GFE60" s="58"/>
      <c r="GFF60" s="58"/>
      <c r="GFG60" s="58"/>
      <c r="GFH60" s="58"/>
      <c r="GFI60" s="58"/>
      <c r="GFJ60" s="58"/>
      <c r="GFK60" s="58"/>
      <c r="GFL60" s="58"/>
      <c r="GFM60" s="58"/>
      <c r="GFN60" s="58"/>
      <c r="GFO60" s="58"/>
      <c r="GFP60" s="58"/>
      <c r="GFQ60" s="58"/>
      <c r="GFR60" s="58"/>
      <c r="GFS60" s="58"/>
      <c r="GFT60" s="58"/>
      <c r="GFU60" s="58"/>
      <c r="GFV60" s="58"/>
      <c r="GFW60" s="58"/>
      <c r="GFX60" s="58"/>
      <c r="GFY60" s="58"/>
      <c r="GFZ60" s="58"/>
      <c r="GGA60" s="58"/>
      <c r="GGB60" s="58"/>
      <c r="GGC60" s="58"/>
      <c r="GGD60" s="58"/>
      <c r="GGE60" s="58"/>
      <c r="GGF60" s="58"/>
      <c r="GGG60" s="58"/>
      <c r="GGH60" s="58"/>
      <c r="GGI60" s="58"/>
      <c r="GGJ60" s="58"/>
      <c r="GGK60" s="58"/>
      <c r="GGL60" s="58"/>
      <c r="GGM60" s="58"/>
      <c r="GGN60" s="58"/>
      <c r="GGO60" s="58"/>
      <c r="GGP60" s="58"/>
      <c r="GGQ60" s="58"/>
      <c r="GGR60" s="58"/>
      <c r="GGS60" s="58"/>
      <c r="GGT60" s="58"/>
      <c r="GGU60" s="58"/>
      <c r="GGV60" s="58"/>
      <c r="GGW60" s="58"/>
      <c r="GGX60" s="58"/>
      <c r="GGY60" s="58"/>
      <c r="GGZ60" s="58"/>
      <c r="GHA60" s="58"/>
      <c r="GHB60" s="58"/>
      <c r="GHC60" s="58"/>
      <c r="GHD60" s="58"/>
      <c r="GHE60" s="58"/>
      <c r="GHF60" s="58"/>
      <c r="GHG60" s="58"/>
      <c r="GHH60" s="58"/>
      <c r="GHI60" s="58"/>
      <c r="GHJ60" s="58"/>
      <c r="GHK60" s="58"/>
      <c r="GHL60" s="58"/>
      <c r="GHM60" s="58"/>
      <c r="GHN60" s="58"/>
      <c r="GHO60" s="58"/>
      <c r="GHP60" s="58"/>
      <c r="GHQ60" s="58"/>
      <c r="GHR60" s="58"/>
      <c r="GHS60" s="58"/>
      <c r="GHT60" s="58"/>
      <c r="GHU60" s="58"/>
      <c r="GHV60" s="58"/>
      <c r="GHW60" s="58"/>
      <c r="GHX60" s="58"/>
      <c r="GHY60" s="58"/>
      <c r="GHZ60" s="58"/>
      <c r="GIA60" s="58"/>
      <c r="GIB60" s="58"/>
      <c r="GIC60" s="58"/>
      <c r="GID60" s="58"/>
      <c r="GIE60" s="58"/>
      <c r="GIF60" s="58"/>
      <c r="GIG60" s="58"/>
      <c r="GIH60" s="58"/>
      <c r="GII60" s="58"/>
      <c r="GIJ60" s="58"/>
      <c r="GIK60" s="58"/>
      <c r="GIL60" s="58"/>
      <c r="GIM60" s="58"/>
      <c r="GIN60" s="58"/>
      <c r="GIO60" s="58"/>
      <c r="GIP60" s="58"/>
      <c r="GIQ60" s="58"/>
      <c r="GIR60" s="58"/>
      <c r="GIS60" s="58"/>
      <c r="GIT60" s="58"/>
      <c r="GIU60" s="58"/>
      <c r="GIV60" s="58"/>
      <c r="GIW60" s="58"/>
      <c r="GIX60" s="58"/>
      <c r="GIY60" s="58"/>
      <c r="GIZ60" s="58"/>
      <c r="GJA60" s="58"/>
      <c r="GJB60" s="58"/>
      <c r="GJC60" s="58"/>
      <c r="GJD60" s="58"/>
      <c r="GJE60" s="58"/>
      <c r="GJF60" s="58"/>
      <c r="GJG60" s="58"/>
      <c r="GJH60" s="58"/>
      <c r="GJI60" s="58"/>
      <c r="GJJ60" s="58"/>
      <c r="GJK60" s="58"/>
      <c r="GJL60" s="58"/>
      <c r="GJM60" s="58"/>
      <c r="GJN60" s="58"/>
      <c r="GJO60" s="58"/>
      <c r="GJP60" s="58"/>
      <c r="GJQ60" s="58"/>
      <c r="GJR60" s="58"/>
      <c r="GJS60" s="58"/>
      <c r="GJT60" s="58"/>
      <c r="GJU60" s="58"/>
      <c r="GJV60" s="58"/>
      <c r="GJW60" s="58"/>
      <c r="GJX60" s="58"/>
      <c r="GJY60" s="58"/>
      <c r="GJZ60" s="58"/>
      <c r="GKA60" s="58"/>
      <c r="GKB60" s="58"/>
      <c r="GKC60" s="58"/>
      <c r="GKD60" s="58"/>
      <c r="GKE60" s="58"/>
      <c r="GKF60" s="58"/>
      <c r="GKG60" s="58"/>
      <c r="GKH60" s="58"/>
      <c r="GKI60" s="58"/>
      <c r="GKJ60" s="58"/>
      <c r="GKK60" s="58"/>
      <c r="GKL60" s="58"/>
      <c r="GKM60" s="58"/>
      <c r="GKN60" s="58"/>
      <c r="GKO60" s="58"/>
      <c r="GKP60" s="58"/>
      <c r="GKQ60" s="58"/>
      <c r="GKR60" s="58"/>
      <c r="GKS60" s="58"/>
      <c r="GKT60" s="58"/>
      <c r="GKU60" s="58"/>
      <c r="GKV60" s="58"/>
      <c r="GKW60" s="58"/>
      <c r="GKX60" s="58"/>
      <c r="GKY60" s="58"/>
      <c r="GKZ60" s="58"/>
      <c r="GLA60" s="58"/>
      <c r="GLB60" s="58"/>
      <c r="GLC60" s="58"/>
      <c r="GLD60" s="58"/>
      <c r="GLE60" s="58"/>
      <c r="GLF60" s="58"/>
      <c r="GLG60" s="58"/>
      <c r="GLH60" s="58"/>
      <c r="GLI60" s="58"/>
      <c r="GLJ60" s="58"/>
      <c r="GLK60" s="58"/>
      <c r="GLL60" s="58"/>
      <c r="GLM60" s="58"/>
      <c r="GLN60" s="58"/>
      <c r="GLO60" s="58"/>
      <c r="GLP60" s="58"/>
      <c r="GLQ60" s="58"/>
      <c r="GLR60" s="58"/>
      <c r="GLS60" s="58"/>
      <c r="GLT60" s="58"/>
      <c r="GLU60" s="58"/>
      <c r="GLV60" s="58"/>
      <c r="GLW60" s="58"/>
      <c r="GLX60" s="58"/>
      <c r="GLY60" s="58"/>
      <c r="GLZ60" s="58"/>
      <c r="GMA60" s="58"/>
      <c r="GMB60" s="58"/>
      <c r="GMC60" s="58"/>
      <c r="GMD60" s="58"/>
      <c r="GME60" s="58"/>
      <c r="GMF60" s="58"/>
      <c r="GMG60" s="58"/>
      <c r="GMH60" s="58"/>
      <c r="GMI60" s="58"/>
      <c r="GMJ60" s="58"/>
      <c r="GMK60" s="58"/>
      <c r="GML60" s="58"/>
      <c r="GMM60" s="58"/>
      <c r="GMN60" s="58"/>
      <c r="GMO60" s="58"/>
      <c r="GMP60" s="58"/>
      <c r="GMQ60" s="58"/>
      <c r="GMR60" s="58"/>
      <c r="GMS60" s="58"/>
      <c r="GMT60" s="58"/>
      <c r="GMU60" s="58"/>
      <c r="GMV60" s="58"/>
      <c r="GMW60" s="58"/>
      <c r="GMX60" s="58"/>
      <c r="GMY60" s="58"/>
      <c r="GMZ60" s="58"/>
      <c r="GNA60" s="58"/>
      <c r="GNB60" s="58"/>
      <c r="GNC60" s="58"/>
      <c r="GNE60" s="58"/>
      <c r="GNF60" s="58"/>
      <c r="GNH60" s="58"/>
      <c r="GNN60" s="58"/>
      <c r="GNO60" s="58"/>
      <c r="GOC60" s="58"/>
      <c r="GOD60" s="58"/>
      <c r="GOE60" s="58"/>
      <c r="GOF60" s="58"/>
      <c r="GOG60" s="58"/>
      <c r="GOH60" s="58"/>
      <c r="GOI60" s="58"/>
      <c r="GOJ60" s="58"/>
      <c r="GOK60" s="58"/>
      <c r="GOL60" s="58"/>
      <c r="GOM60" s="58"/>
      <c r="GON60" s="58"/>
      <c r="GOO60" s="58"/>
      <c r="GOP60" s="58"/>
      <c r="GOQ60" s="58"/>
      <c r="GOR60" s="58"/>
      <c r="GOS60" s="58"/>
      <c r="GOT60" s="58"/>
      <c r="GOU60" s="58"/>
      <c r="GOV60" s="58"/>
      <c r="GOW60" s="58"/>
      <c r="GOX60" s="58"/>
      <c r="GOY60" s="58"/>
      <c r="GOZ60" s="58"/>
      <c r="GPA60" s="58"/>
      <c r="GPB60" s="58"/>
      <c r="GPC60" s="58"/>
      <c r="GPD60" s="58"/>
      <c r="GPE60" s="58"/>
      <c r="GPF60" s="58"/>
      <c r="GPG60" s="58"/>
      <c r="GPH60" s="58"/>
      <c r="GPI60" s="58"/>
      <c r="GPJ60" s="58"/>
      <c r="GPK60" s="58"/>
      <c r="GPL60" s="58"/>
      <c r="GPM60" s="58"/>
      <c r="GPN60" s="58"/>
      <c r="GPO60" s="58"/>
      <c r="GPP60" s="58"/>
      <c r="GPQ60" s="58"/>
      <c r="GPR60" s="58"/>
      <c r="GPS60" s="58"/>
      <c r="GPT60" s="58"/>
      <c r="GPU60" s="58"/>
      <c r="GPV60" s="58"/>
      <c r="GPW60" s="58"/>
      <c r="GPX60" s="58"/>
      <c r="GPY60" s="58"/>
      <c r="GPZ60" s="58"/>
      <c r="GQA60" s="58"/>
      <c r="GQB60" s="58"/>
      <c r="GQC60" s="58"/>
      <c r="GQD60" s="58"/>
      <c r="GQE60" s="58"/>
      <c r="GQF60" s="58"/>
      <c r="GQG60" s="58"/>
      <c r="GQH60" s="58"/>
      <c r="GQI60" s="58"/>
      <c r="GQJ60" s="58"/>
      <c r="GQK60" s="58"/>
      <c r="GQL60" s="58"/>
      <c r="GQM60" s="58"/>
      <c r="GQN60" s="58"/>
      <c r="GQO60" s="58"/>
      <c r="GQP60" s="58"/>
      <c r="GQQ60" s="58"/>
      <c r="GQR60" s="58"/>
      <c r="GQS60" s="58"/>
      <c r="GQT60" s="58"/>
      <c r="GQU60" s="58"/>
      <c r="GQV60" s="58"/>
      <c r="GQW60" s="58"/>
      <c r="GQX60" s="58"/>
      <c r="GQY60" s="58"/>
      <c r="GQZ60" s="58"/>
      <c r="GRA60" s="58"/>
      <c r="GRB60" s="58"/>
      <c r="GRC60" s="58"/>
      <c r="GRD60" s="58"/>
      <c r="GRE60" s="58"/>
      <c r="GRF60" s="58"/>
      <c r="GRG60" s="58"/>
      <c r="GRH60" s="58"/>
      <c r="GRI60" s="58"/>
      <c r="GRJ60" s="58"/>
      <c r="GRK60" s="58"/>
      <c r="GRL60" s="58"/>
      <c r="GRM60" s="58"/>
      <c r="GRN60" s="58"/>
      <c r="GRO60" s="58"/>
      <c r="GRP60" s="58"/>
      <c r="GRQ60" s="58"/>
      <c r="GRR60" s="58"/>
      <c r="GRS60" s="58"/>
      <c r="GRT60" s="58"/>
      <c r="GRU60" s="58"/>
      <c r="GRV60" s="58"/>
      <c r="GRW60" s="58"/>
      <c r="GRX60" s="58"/>
      <c r="GRY60" s="58"/>
      <c r="GRZ60" s="58"/>
      <c r="GSA60" s="58"/>
      <c r="GSB60" s="58"/>
      <c r="GSC60" s="58"/>
      <c r="GSD60" s="58"/>
      <c r="GSE60" s="58"/>
      <c r="GSF60" s="58"/>
      <c r="GSG60" s="58"/>
      <c r="GSH60" s="58"/>
      <c r="GSI60" s="58"/>
      <c r="GSJ60" s="58"/>
      <c r="GSK60" s="58"/>
      <c r="GSL60" s="58"/>
      <c r="GSM60" s="58"/>
      <c r="GSN60" s="58"/>
      <c r="GSO60" s="58"/>
      <c r="GSP60" s="58"/>
      <c r="GSQ60" s="58"/>
      <c r="GSR60" s="58"/>
      <c r="GSS60" s="58"/>
      <c r="GST60" s="58"/>
      <c r="GSU60" s="58"/>
      <c r="GSV60" s="58"/>
      <c r="GSW60" s="58"/>
      <c r="GSX60" s="58"/>
      <c r="GSY60" s="58"/>
      <c r="GSZ60" s="58"/>
      <c r="GTA60" s="58"/>
      <c r="GTB60" s="58"/>
      <c r="GTC60" s="58"/>
      <c r="GTD60" s="58"/>
      <c r="GTE60" s="58"/>
      <c r="GTF60" s="58"/>
      <c r="GTG60" s="58"/>
      <c r="GTH60" s="58"/>
      <c r="GTI60" s="58"/>
      <c r="GTJ60" s="58"/>
      <c r="GTK60" s="58"/>
      <c r="GTL60" s="58"/>
      <c r="GTM60" s="58"/>
      <c r="GTN60" s="58"/>
      <c r="GTO60" s="58"/>
      <c r="GTP60" s="58"/>
      <c r="GTQ60" s="58"/>
      <c r="GTR60" s="58"/>
      <c r="GTS60" s="58"/>
      <c r="GTT60" s="58"/>
      <c r="GTU60" s="58"/>
      <c r="GTV60" s="58"/>
      <c r="GTW60" s="58"/>
      <c r="GTX60" s="58"/>
      <c r="GTY60" s="58"/>
      <c r="GTZ60" s="58"/>
      <c r="GUA60" s="58"/>
      <c r="GUB60" s="58"/>
      <c r="GUC60" s="58"/>
      <c r="GUD60" s="58"/>
      <c r="GUE60" s="58"/>
      <c r="GUF60" s="58"/>
      <c r="GUG60" s="58"/>
      <c r="GUH60" s="58"/>
      <c r="GUI60" s="58"/>
      <c r="GUJ60" s="58"/>
      <c r="GUK60" s="58"/>
      <c r="GUL60" s="58"/>
      <c r="GUM60" s="58"/>
      <c r="GUN60" s="58"/>
      <c r="GUO60" s="58"/>
      <c r="GUP60" s="58"/>
      <c r="GUQ60" s="58"/>
      <c r="GUR60" s="58"/>
      <c r="GUS60" s="58"/>
      <c r="GUT60" s="58"/>
      <c r="GUU60" s="58"/>
      <c r="GUV60" s="58"/>
      <c r="GUW60" s="58"/>
      <c r="GUX60" s="58"/>
      <c r="GUY60" s="58"/>
      <c r="GUZ60" s="58"/>
      <c r="GVA60" s="58"/>
      <c r="GVB60" s="58"/>
      <c r="GVC60" s="58"/>
      <c r="GVD60" s="58"/>
      <c r="GVE60" s="58"/>
      <c r="GVF60" s="58"/>
      <c r="GVG60" s="58"/>
      <c r="GVH60" s="58"/>
      <c r="GVI60" s="58"/>
      <c r="GVJ60" s="58"/>
      <c r="GVK60" s="58"/>
      <c r="GVL60" s="58"/>
      <c r="GVM60" s="58"/>
      <c r="GVN60" s="58"/>
      <c r="GVO60" s="58"/>
      <c r="GVP60" s="58"/>
      <c r="GVQ60" s="58"/>
      <c r="GVR60" s="58"/>
      <c r="GVS60" s="58"/>
      <c r="GVT60" s="58"/>
      <c r="GVU60" s="58"/>
      <c r="GVV60" s="58"/>
      <c r="GVW60" s="58"/>
      <c r="GVX60" s="58"/>
      <c r="GVY60" s="58"/>
      <c r="GVZ60" s="58"/>
      <c r="GWA60" s="58"/>
      <c r="GWB60" s="58"/>
      <c r="GWC60" s="58"/>
      <c r="GWD60" s="58"/>
      <c r="GWE60" s="58"/>
      <c r="GWF60" s="58"/>
      <c r="GWG60" s="58"/>
      <c r="GWH60" s="58"/>
      <c r="GWI60" s="58"/>
      <c r="GWJ60" s="58"/>
      <c r="GWK60" s="58"/>
      <c r="GWL60" s="58"/>
      <c r="GWM60" s="58"/>
      <c r="GWN60" s="58"/>
      <c r="GWO60" s="58"/>
      <c r="GWP60" s="58"/>
      <c r="GWQ60" s="58"/>
      <c r="GWR60" s="58"/>
      <c r="GWS60" s="58"/>
      <c r="GWT60" s="58"/>
      <c r="GWU60" s="58"/>
      <c r="GWV60" s="58"/>
      <c r="GWW60" s="58"/>
      <c r="GWX60" s="58"/>
      <c r="GWY60" s="58"/>
      <c r="GXA60" s="58"/>
      <c r="GXB60" s="58"/>
      <c r="GXD60" s="58"/>
      <c r="GXJ60" s="58"/>
      <c r="GXK60" s="58"/>
      <c r="GXY60" s="58"/>
      <c r="GXZ60" s="58"/>
      <c r="GYA60" s="58"/>
      <c r="GYB60" s="58"/>
      <c r="GYC60" s="58"/>
      <c r="GYD60" s="58"/>
      <c r="GYE60" s="58"/>
      <c r="GYF60" s="58"/>
      <c r="GYG60" s="58"/>
      <c r="GYH60" s="58"/>
      <c r="GYI60" s="58"/>
      <c r="GYJ60" s="58"/>
      <c r="GYK60" s="58"/>
      <c r="GYL60" s="58"/>
      <c r="GYM60" s="58"/>
      <c r="GYN60" s="58"/>
      <c r="GYO60" s="58"/>
      <c r="GYP60" s="58"/>
      <c r="GYQ60" s="58"/>
      <c r="GYR60" s="58"/>
      <c r="GYS60" s="58"/>
      <c r="GYT60" s="58"/>
      <c r="GYU60" s="58"/>
      <c r="GYV60" s="58"/>
      <c r="GYW60" s="58"/>
      <c r="GYX60" s="58"/>
      <c r="GYY60" s="58"/>
      <c r="GYZ60" s="58"/>
      <c r="GZA60" s="58"/>
      <c r="GZB60" s="58"/>
      <c r="GZC60" s="58"/>
      <c r="GZD60" s="58"/>
      <c r="GZE60" s="58"/>
      <c r="GZF60" s="58"/>
      <c r="GZG60" s="58"/>
      <c r="GZH60" s="58"/>
      <c r="GZI60" s="58"/>
      <c r="GZJ60" s="58"/>
      <c r="GZK60" s="58"/>
      <c r="GZL60" s="58"/>
      <c r="GZM60" s="58"/>
      <c r="GZN60" s="58"/>
      <c r="GZO60" s="58"/>
      <c r="GZP60" s="58"/>
      <c r="GZQ60" s="58"/>
      <c r="GZR60" s="58"/>
      <c r="GZS60" s="58"/>
      <c r="GZT60" s="58"/>
      <c r="GZU60" s="58"/>
      <c r="GZV60" s="58"/>
      <c r="GZW60" s="58"/>
      <c r="GZX60" s="58"/>
      <c r="GZY60" s="58"/>
      <c r="GZZ60" s="58"/>
      <c r="HAA60" s="58"/>
      <c r="HAB60" s="58"/>
      <c r="HAC60" s="58"/>
      <c r="HAD60" s="58"/>
      <c r="HAE60" s="58"/>
      <c r="HAF60" s="58"/>
      <c r="HAG60" s="58"/>
      <c r="HAH60" s="58"/>
      <c r="HAI60" s="58"/>
      <c r="HAJ60" s="58"/>
      <c r="HAK60" s="58"/>
      <c r="HAL60" s="58"/>
      <c r="HAM60" s="58"/>
      <c r="HAN60" s="58"/>
      <c r="HAO60" s="58"/>
      <c r="HAP60" s="58"/>
      <c r="HAQ60" s="58"/>
      <c r="HAR60" s="58"/>
      <c r="HAS60" s="58"/>
      <c r="HAT60" s="58"/>
      <c r="HAU60" s="58"/>
      <c r="HAV60" s="58"/>
      <c r="HAW60" s="58"/>
      <c r="HAX60" s="58"/>
      <c r="HAY60" s="58"/>
      <c r="HAZ60" s="58"/>
      <c r="HBA60" s="58"/>
      <c r="HBB60" s="58"/>
      <c r="HBC60" s="58"/>
      <c r="HBD60" s="58"/>
      <c r="HBE60" s="58"/>
      <c r="HBF60" s="58"/>
      <c r="HBG60" s="58"/>
      <c r="HBH60" s="58"/>
      <c r="HBI60" s="58"/>
      <c r="HBJ60" s="58"/>
      <c r="HBK60" s="58"/>
      <c r="HBL60" s="58"/>
      <c r="HBM60" s="58"/>
      <c r="HBN60" s="58"/>
      <c r="HBO60" s="58"/>
      <c r="HBP60" s="58"/>
      <c r="HBQ60" s="58"/>
      <c r="HBR60" s="58"/>
      <c r="HBS60" s="58"/>
      <c r="HBT60" s="58"/>
      <c r="HBU60" s="58"/>
      <c r="HBV60" s="58"/>
      <c r="HBW60" s="58"/>
      <c r="HBX60" s="58"/>
      <c r="HBY60" s="58"/>
      <c r="HBZ60" s="58"/>
      <c r="HCA60" s="58"/>
      <c r="HCB60" s="58"/>
      <c r="HCC60" s="58"/>
      <c r="HCD60" s="58"/>
      <c r="HCE60" s="58"/>
      <c r="HCF60" s="58"/>
      <c r="HCG60" s="58"/>
      <c r="HCH60" s="58"/>
      <c r="HCI60" s="58"/>
      <c r="HCJ60" s="58"/>
      <c r="HCK60" s="58"/>
      <c r="HCL60" s="58"/>
      <c r="HCM60" s="58"/>
      <c r="HCN60" s="58"/>
      <c r="HCO60" s="58"/>
      <c r="HCP60" s="58"/>
      <c r="HCQ60" s="58"/>
      <c r="HCR60" s="58"/>
      <c r="HCS60" s="58"/>
      <c r="HCT60" s="58"/>
      <c r="HCU60" s="58"/>
      <c r="HCV60" s="58"/>
      <c r="HCW60" s="58"/>
      <c r="HCX60" s="58"/>
      <c r="HCY60" s="58"/>
      <c r="HCZ60" s="58"/>
      <c r="HDA60" s="58"/>
      <c r="HDB60" s="58"/>
      <c r="HDC60" s="58"/>
      <c r="HDD60" s="58"/>
      <c r="HDE60" s="58"/>
      <c r="HDF60" s="58"/>
      <c r="HDG60" s="58"/>
      <c r="HDH60" s="58"/>
      <c r="HDI60" s="58"/>
      <c r="HDJ60" s="58"/>
      <c r="HDK60" s="58"/>
      <c r="HDL60" s="58"/>
      <c r="HDM60" s="58"/>
      <c r="HDN60" s="58"/>
      <c r="HDO60" s="58"/>
      <c r="HDP60" s="58"/>
      <c r="HDQ60" s="58"/>
      <c r="HDR60" s="58"/>
      <c r="HDS60" s="58"/>
      <c r="HDT60" s="58"/>
      <c r="HDU60" s="58"/>
      <c r="HDV60" s="58"/>
      <c r="HDW60" s="58"/>
      <c r="HDX60" s="58"/>
      <c r="HDY60" s="58"/>
      <c r="HDZ60" s="58"/>
      <c r="HEA60" s="58"/>
      <c r="HEB60" s="58"/>
      <c r="HEC60" s="58"/>
      <c r="HED60" s="58"/>
      <c r="HEE60" s="58"/>
      <c r="HEF60" s="58"/>
      <c r="HEG60" s="58"/>
      <c r="HEH60" s="58"/>
      <c r="HEI60" s="58"/>
      <c r="HEJ60" s="58"/>
      <c r="HEK60" s="58"/>
      <c r="HEL60" s="58"/>
      <c r="HEM60" s="58"/>
      <c r="HEN60" s="58"/>
      <c r="HEO60" s="58"/>
      <c r="HEP60" s="58"/>
      <c r="HEQ60" s="58"/>
      <c r="HER60" s="58"/>
      <c r="HES60" s="58"/>
      <c r="HET60" s="58"/>
      <c r="HEU60" s="58"/>
      <c r="HEV60" s="58"/>
      <c r="HEW60" s="58"/>
      <c r="HEX60" s="58"/>
      <c r="HEY60" s="58"/>
      <c r="HEZ60" s="58"/>
      <c r="HFA60" s="58"/>
      <c r="HFB60" s="58"/>
      <c r="HFC60" s="58"/>
      <c r="HFD60" s="58"/>
      <c r="HFE60" s="58"/>
      <c r="HFF60" s="58"/>
      <c r="HFG60" s="58"/>
      <c r="HFH60" s="58"/>
      <c r="HFI60" s="58"/>
      <c r="HFJ60" s="58"/>
      <c r="HFK60" s="58"/>
      <c r="HFL60" s="58"/>
      <c r="HFM60" s="58"/>
      <c r="HFN60" s="58"/>
      <c r="HFO60" s="58"/>
      <c r="HFP60" s="58"/>
      <c r="HFQ60" s="58"/>
      <c r="HFR60" s="58"/>
      <c r="HFS60" s="58"/>
      <c r="HFT60" s="58"/>
      <c r="HFU60" s="58"/>
      <c r="HFV60" s="58"/>
      <c r="HFW60" s="58"/>
      <c r="HFX60" s="58"/>
      <c r="HFY60" s="58"/>
      <c r="HFZ60" s="58"/>
      <c r="HGA60" s="58"/>
      <c r="HGB60" s="58"/>
      <c r="HGC60" s="58"/>
      <c r="HGD60" s="58"/>
      <c r="HGE60" s="58"/>
      <c r="HGF60" s="58"/>
      <c r="HGG60" s="58"/>
      <c r="HGH60" s="58"/>
      <c r="HGI60" s="58"/>
      <c r="HGJ60" s="58"/>
      <c r="HGK60" s="58"/>
      <c r="HGL60" s="58"/>
      <c r="HGM60" s="58"/>
      <c r="HGN60" s="58"/>
      <c r="HGO60" s="58"/>
      <c r="HGP60" s="58"/>
      <c r="HGQ60" s="58"/>
      <c r="HGR60" s="58"/>
      <c r="HGS60" s="58"/>
      <c r="HGT60" s="58"/>
      <c r="HGU60" s="58"/>
      <c r="HGW60" s="58"/>
      <c r="HGX60" s="58"/>
      <c r="HGZ60" s="58"/>
      <c r="HHF60" s="58"/>
      <c r="HHG60" s="58"/>
      <c r="HHU60" s="58"/>
      <c r="HHV60" s="58"/>
      <c r="HHW60" s="58"/>
      <c r="HHX60" s="58"/>
      <c r="HHY60" s="58"/>
      <c r="HHZ60" s="58"/>
      <c r="HIA60" s="58"/>
      <c r="HIB60" s="58"/>
      <c r="HIC60" s="58"/>
      <c r="HID60" s="58"/>
      <c r="HIE60" s="58"/>
      <c r="HIF60" s="58"/>
      <c r="HIG60" s="58"/>
      <c r="HIH60" s="58"/>
      <c r="HII60" s="58"/>
      <c r="HIJ60" s="58"/>
      <c r="HIK60" s="58"/>
      <c r="HIL60" s="58"/>
      <c r="HIM60" s="58"/>
      <c r="HIN60" s="58"/>
      <c r="HIO60" s="58"/>
      <c r="HIP60" s="58"/>
      <c r="HIQ60" s="58"/>
      <c r="HIR60" s="58"/>
      <c r="HIS60" s="58"/>
      <c r="HIT60" s="58"/>
      <c r="HIU60" s="58"/>
      <c r="HIV60" s="58"/>
      <c r="HIW60" s="58"/>
      <c r="HIX60" s="58"/>
      <c r="HIY60" s="58"/>
      <c r="HIZ60" s="58"/>
      <c r="HJA60" s="58"/>
      <c r="HJB60" s="58"/>
      <c r="HJC60" s="58"/>
      <c r="HJD60" s="58"/>
      <c r="HJE60" s="58"/>
      <c r="HJF60" s="58"/>
      <c r="HJG60" s="58"/>
      <c r="HJH60" s="58"/>
      <c r="HJI60" s="58"/>
      <c r="HJJ60" s="58"/>
      <c r="HJK60" s="58"/>
      <c r="HJL60" s="58"/>
      <c r="HJM60" s="58"/>
      <c r="HJN60" s="58"/>
      <c r="HJO60" s="58"/>
      <c r="HJP60" s="58"/>
      <c r="HJQ60" s="58"/>
      <c r="HJR60" s="58"/>
      <c r="HJS60" s="58"/>
      <c r="HJT60" s="58"/>
      <c r="HJU60" s="58"/>
      <c r="HJV60" s="58"/>
      <c r="HJW60" s="58"/>
      <c r="HJX60" s="58"/>
      <c r="HJY60" s="58"/>
      <c r="HJZ60" s="58"/>
      <c r="HKA60" s="58"/>
      <c r="HKB60" s="58"/>
      <c r="HKC60" s="58"/>
      <c r="HKD60" s="58"/>
      <c r="HKE60" s="58"/>
      <c r="HKF60" s="58"/>
      <c r="HKG60" s="58"/>
      <c r="HKH60" s="58"/>
      <c r="HKI60" s="58"/>
      <c r="HKJ60" s="58"/>
      <c r="HKK60" s="58"/>
      <c r="HKL60" s="58"/>
      <c r="HKM60" s="58"/>
      <c r="HKN60" s="58"/>
      <c r="HKO60" s="58"/>
      <c r="HKP60" s="58"/>
      <c r="HKQ60" s="58"/>
      <c r="HKR60" s="58"/>
      <c r="HKS60" s="58"/>
      <c r="HKT60" s="58"/>
      <c r="HKU60" s="58"/>
      <c r="HKV60" s="58"/>
      <c r="HKW60" s="58"/>
      <c r="HKX60" s="58"/>
      <c r="HKY60" s="58"/>
      <c r="HKZ60" s="58"/>
      <c r="HLA60" s="58"/>
      <c r="HLB60" s="58"/>
      <c r="HLC60" s="58"/>
      <c r="HLD60" s="58"/>
      <c r="HLE60" s="58"/>
      <c r="HLF60" s="58"/>
      <c r="HLG60" s="58"/>
      <c r="HLH60" s="58"/>
      <c r="HLI60" s="58"/>
      <c r="HLJ60" s="58"/>
      <c r="HLK60" s="58"/>
      <c r="HLL60" s="58"/>
      <c r="HLM60" s="58"/>
      <c r="HLN60" s="58"/>
      <c r="HLO60" s="58"/>
      <c r="HLP60" s="58"/>
      <c r="HLQ60" s="58"/>
      <c r="HLR60" s="58"/>
      <c r="HLS60" s="58"/>
      <c r="HLT60" s="58"/>
      <c r="HLU60" s="58"/>
      <c r="HLV60" s="58"/>
      <c r="HLW60" s="58"/>
      <c r="HLX60" s="58"/>
      <c r="HLY60" s="58"/>
      <c r="HLZ60" s="58"/>
      <c r="HMA60" s="58"/>
      <c r="HMB60" s="58"/>
      <c r="HMC60" s="58"/>
      <c r="HMD60" s="58"/>
      <c r="HME60" s="58"/>
      <c r="HMF60" s="58"/>
      <c r="HMG60" s="58"/>
      <c r="HMH60" s="58"/>
      <c r="HMI60" s="58"/>
      <c r="HMJ60" s="58"/>
      <c r="HMK60" s="58"/>
      <c r="HML60" s="58"/>
      <c r="HMM60" s="58"/>
      <c r="HMN60" s="58"/>
      <c r="HMO60" s="58"/>
      <c r="HMP60" s="58"/>
      <c r="HMQ60" s="58"/>
      <c r="HMR60" s="58"/>
      <c r="HMS60" s="58"/>
      <c r="HMT60" s="58"/>
      <c r="HMU60" s="58"/>
      <c r="HMV60" s="58"/>
      <c r="HMW60" s="58"/>
      <c r="HMX60" s="58"/>
      <c r="HMY60" s="58"/>
      <c r="HMZ60" s="58"/>
      <c r="HNA60" s="58"/>
      <c r="HNB60" s="58"/>
      <c r="HNC60" s="58"/>
      <c r="HND60" s="58"/>
      <c r="HNE60" s="58"/>
      <c r="HNF60" s="58"/>
      <c r="HNG60" s="58"/>
      <c r="HNH60" s="58"/>
      <c r="HNI60" s="58"/>
      <c r="HNJ60" s="58"/>
      <c r="HNK60" s="58"/>
      <c r="HNL60" s="58"/>
      <c r="HNM60" s="58"/>
      <c r="HNN60" s="58"/>
      <c r="HNO60" s="58"/>
      <c r="HNP60" s="58"/>
      <c r="HNQ60" s="58"/>
      <c r="HNR60" s="58"/>
      <c r="HNS60" s="58"/>
      <c r="HNT60" s="58"/>
      <c r="HNU60" s="58"/>
      <c r="HNV60" s="58"/>
      <c r="HNW60" s="58"/>
      <c r="HNX60" s="58"/>
      <c r="HNY60" s="58"/>
      <c r="HNZ60" s="58"/>
      <c r="HOA60" s="58"/>
      <c r="HOB60" s="58"/>
      <c r="HOC60" s="58"/>
      <c r="HOD60" s="58"/>
      <c r="HOE60" s="58"/>
      <c r="HOF60" s="58"/>
      <c r="HOG60" s="58"/>
      <c r="HOH60" s="58"/>
      <c r="HOI60" s="58"/>
      <c r="HOJ60" s="58"/>
      <c r="HOK60" s="58"/>
      <c r="HOL60" s="58"/>
      <c r="HOM60" s="58"/>
      <c r="HON60" s="58"/>
      <c r="HOO60" s="58"/>
      <c r="HOP60" s="58"/>
      <c r="HOQ60" s="58"/>
      <c r="HOR60" s="58"/>
      <c r="HOS60" s="58"/>
      <c r="HOT60" s="58"/>
      <c r="HOU60" s="58"/>
      <c r="HOV60" s="58"/>
      <c r="HOW60" s="58"/>
      <c r="HOX60" s="58"/>
      <c r="HOY60" s="58"/>
      <c r="HOZ60" s="58"/>
      <c r="HPA60" s="58"/>
      <c r="HPB60" s="58"/>
      <c r="HPC60" s="58"/>
      <c r="HPD60" s="58"/>
      <c r="HPE60" s="58"/>
      <c r="HPF60" s="58"/>
      <c r="HPG60" s="58"/>
      <c r="HPH60" s="58"/>
      <c r="HPI60" s="58"/>
      <c r="HPJ60" s="58"/>
      <c r="HPK60" s="58"/>
      <c r="HPL60" s="58"/>
      <c r="HPM60" s="58"/>
      <c r="HPN60" s="58"/>
      <c r="HPO60" s="58"/>
      <c r="HPP60" s="58"/>
      <c r="HPQ60" s="58"/>
      <c r="HPR60" s="58"/>
      <c r="HPS60" s="58"/>
      <c r="HPT60" s="58"/>
      <c r="HPU60" s="58"/>
      <c r="HPV60" s="58"/>
      <c r="HPW60" s="58"/>
      <c r="HPX60" s="58"/>
      <c r="HPY60" s="58"/>
      <c r="HPZ60" s="58"/>
      <c r="HQA60" s="58"/>
      <c r="HQB60" s="58"/>
      <c r="HQC60" s="58"/>
      <c r="HQD60" s="58"/>
      <c r="HQE60" s="58"/>
      <c r="HQF60" s="58"/>
      <c r="HQG60" s="58"/>
      <c r="HQH60" s="58"/>
      <c r="HQI60" s="58"/>
      <c r="HQJ60" s="58"/>
      <c r="HQK60" s="58"/>
      <c r="HQL60" s="58"/>
      <c r="HQM60" s="58"/>
      <c r="HQN60" s="58"/>
      <c r="HQO60" s="58"/>
      <c r="HQP60" s="58"/>
      <c r="HQQ60" s="58"/>
      <c r="HQS60" s="58"/>
      <c r="HQT60" s="58"/>
      <c r="HQV60" s="58"/>
      <c r="HRB60" s="58"/>
      <c r="HRC60" s="58"/>
      <c r="HRQ60" s="58"/>
      <c r="HRR60" s="58"/>
      <c r="HRS60" s="58"/>
      <c r="HRT60" s="58"/>
      <c r="HRU60" s="58"/>
      <c r="HRV60" s="58"/>
      <c r="HRW60" s="58"/>
      <c r="HRX60" s="58"/>
      <c r="HRY60" s="58"/>
      <c r="HRZ60" s="58"/>
      <c r="HSA60" s="58"/>
      <c r="HSB60" s="58"/>
      <c r="HSC60" s="58"/>
      <c r="HSD60" s="58"/>
      <c r="HSE60" s="58"/>
      <c r="HSF60" s="58"/>
      <c r="HSG60" s="58"/>
      <c r="HSH60" s="58"/>
      <c r="HSI60" s="58"/>
      <c r="HSJ60" s="58"/>
      <c r="HSK60" s="58"/>
      <c r="HSL60" s="58"/>
      <c r="HSM60" s="58"/>
      <c r="HSN60" s="58"/>
      <c r="HSO60" s="58"/>
      <c r="HSP60" s="58"/>
      <c r="HSQ60" s="58"/>
      <c r="HSR60" s="58"/>
      <c r="HSS60" s="58"/>
      <c r="HST60" s="58"/>
      <c r="HSU60" s="58"/>
      <c r="HSV60" s="58"/>
      <c r="HSW60" s="58"/>
      <c r="HSX60" s="58"/>
      <c r="HSY60" s="58"/>
      <c r="HSZ60" s="58"/>
      <c r="HTA60" s="58"/>
      <c r="HTB60" s="58"/>
      <c r="HTC60" s="58"/>
      <c r="HTD60" s="58"/>
      <c r="HTE60" s="58"/>
      <c r="HTF60" s="58"/>
      <c r="HTG60" s="58"/>
      <c r="HTH60" s="58"/>
      <c r="HTI60" s="58"/>
      <c r="HTJ60" s="58"/>
      <c r="HTK60" s="58"/>
      <c r="HTL60" s="58"/>
      <c r="HTM60" s="58"/>
      <c r="HTN60" s="58"/>
      <c r="HTO60" s="58"/>
      <c r="HTP60" s="58"/>
      <c r="HTQ60" s="58"/>
      <c r="HTR60" s="58"/>
      <c r="HTS60" s="58"/>
      <c r="HTT60" s="58"/>
      <c r="HTU60" s="58"/>
      <c r="HTV60" s="58"/>
      <c r="HTW60" s="58"/>
      <c r="HTX60" s="58"/>
      <c r="HTY60" s="58"/>
      <c r="HTZ60" s="58"/>
      <c r="HUA60" s="58"/>
      <c r="HUB60" s="58"/>
      <c r="HUC60" s="58"/>
      <c r="HUD60" s="58"/>
      <c r="HUE60" s="58"/>
      <c r="HUF60" s="58"/>
      <c r="HUG60" s="58"/>
      <c r="HUH60" s="58"/>
      <c r="HUI60" s="58"/>
      <c r="HUJ60" s="58"/>
      <c r="HUK60" s="58"/>
      <c r="HUL60" s="58"/>
      <c r="HUM60" s="58"/>
      <c r="HUN60" s="58"/>
      <c r="HUO60" s="58"/>
      <c r="HUP60" s="58"/>
      <c r="HUQ60" s="58"/>
      <c r="HUR60" s="58"/>
      <c r="HUS60" s="58"/>
      <c r="HUT60" s="58"/>
      <c r="HUU60" s="58"/>
      <c r="HUV60" s="58"/>
      <c r="HUW60" s="58"/>
      <c r="HUX60" s="58"/>
      <c r="HUY60" s="58"/>
      <c r="HUZ60" s="58"/>
      <c r="HVA60" s="58"/>
      <c r="HVB60" s="58"/>
      <c r="HVC60" s="58"/>
      <c r="HVD60" s="58"/>
      <c r="HVE60" s="58"/>
      <c r="HVF60" s="58"/>
      <c r="HVG60" s="58"/>
      <c r="HVH60" s="58"/>
      <c r="HVI60" s="58"/>
      <c r="HVJ60" s="58"/>
      <c r="HVK60" s="58"/>
      <c r="HVL60" s="58"/>
      <c r="HVM60" s="58"/>
      <c r="HVN60" s="58"/>
      <c r="HVO60" s="58"/>
      <c r="HVP60" s="58"/>
      <c r="HVQ60" s="58"/>
      <c r="HVR60" s="58"/>
      <c r="HVS60" s="58"/>
      <c r="HVT60" s="58"/>
      <c r="HVU60" s="58"/>
      <c r="HVV60" s="58"/>
      <c r="HVW60" s="58"/>
      <c r="HVX60" s="58"/>
      <c r="HVY60" s="58"/>
      <c r="HVZ60" s="58"/>
      <c r="HWA60" s="58"/>
      <c r="HWB60" s="58"/>
      <c r="HWC60" s="58"/>
      <c r="HWD60" s="58"/>
      <c r="HWE60" s="58"/>
      <c r="HWF60" s="58"/>
      <c r="HWG60" s="58"/>
      <c r="HWH60" s="58"/>
      <c r="HWI60" s="58"/>
      <c r="HWJ60" s="58"/>
      <c r="HWK60" s="58"/>
      <c r="HWL60" s="58"/>
      <c r="HWM60" s="58"/>
      <c r="HWN60" s="58"/>
      <c r="HWO60" s="58"/>
      <c r="HWP60" s="58"/>
      <c r="HWQ60" s="58"/>
      <c r="HWR60" s="58"/>
      <c r="HWS60" s="58"/>
      <c r="HWT60" s="58"/>
      <c r="HWU60" s="58"/>
      <c r="HWV60" s="58"/>
      <c r="HWW60" s="58"/>
      <c r="HWX60" s="58"/>
      <c r="HWY60" s="58"/>
      <c r="HWZ60" s="58"/>
      <c r="HXA60" s="58"/>
      <c r="HXB60" s="58"/>
      <c r="HXC60" s="58"/>
      <c r="HXD60" s="58"/>
      <c r="HXE60" s="58"/>
      <c r="HXF60" s="58"/>
      <c r="HXG60" s="58"/>
      <c r="HXH60" s="58"/>
      <c r="HXI60" s="58"/>
      <c r="HXJ60" s="58"/>
      <c r="HXK60" s="58"/>
      <c r="HXL60" s="58"/>
      <c r="HXM60" s="58"/>
      <c r="HXN60" s="58"/>
      <c r="HXO60" s="58"/>
      <c r="HXP60" s="58"/>
      <c r="HXQ60" s="58"/>
      <c r="HXR60" s="58"/>
      <c r="HXS60" s="58"/>
      <c r="HXT60" s="58"/>
      <c r="HXU60" s="58"/>
      <c r="HXV60" s="58"/>
      <c r="HXW60" s="58"/>
      <c r="HXX60" s="58"/>
      <c r="HXY60" s="58"/>
      <c r="HXZ60" s="58"/>
      <c r="HYA60" s="58"/>
      <c r="HYB60" s="58"/>
      <c r="HYC60" s="58"/>
      <c r="HYD60" s="58"/>
      <c r="HYE60" s="58"/>
      <c r="HYF60" s="58"/>
      <c r="HYG60" s="58"/>
      <c r="HYH60" s="58"/>
      <c r="HYI60" s="58"/>
      <c r="HYJ60" s="58"/>
      <c r="HYK60" s="58"/>
      <c r="HYL60" s="58"/>
      <c r="HYM60" s="58"/>
      <c r="HYN60" s="58"/>
      <c r="HYO60" s="58"/>
      <c r="HYP60" s="58"/>
      <c r="HYQ60" s="58"/>
      <c r="HYR60" s="58"/>
      <c r="HYS60" s="58"/>
      <c r="HYT60" s="58"/>
      <c r="HYU60" s="58"/>
      <c r="HYV60" s="58"/>
      <c r="HYW60" s="58"/>
      <c r="HYX60" s="58"/>
      <c r="HYY60" s="58"/>
      <c r="HYZ60" s="58"/>
      <c r="HZA60" s="58"/>
      <c r="HZB60" s="58"/>
      <c r="HZC60" s="58"/>
      <c r="HZD60" s="58"/>
      <c r="HZE60" s="58"/>
      <c r="HZF60" s="58"/>
      <c r="HZG60" s="58"/>
      <c r="HZH60" s="58"/>
      <c r="HZI60" s="58"/>
      <c r="HZJ60" s="58"/>
      <c r="HZK60" s="58"/>
      <c r="HZL60" s="58"/>
      <c r="HZM60" s="58"/>
      <c r="HZN60" s="58"/>
      <c r="HZO60" s="58"/>
      <c r="HZP60" s="58"/>
      <c r="HZQ60" s="58"/>
      <c r="HZR60" s="58"/>
      <c r="HZS60" s="58"/>
      <c r="HZT60" s="58"/>
      <c r="HZU60" s="58"/>
      <c r="HZV60" s="58"/>
      <c r="HZW60" s="58"/>
      <c r="HZX60" s="58"/>
      <c r="HZY60" s="58"/>
      <c r="HZZ60" s="58"/>
      <c r="IAA60" s="58"/>
      <c r="IAB60" s="58"/>
      <c r="IAC60" s="58"/>
      <c r="IAD60" s="58"/>
      <c r="IAE60" s="58"/>
      <c r="IAF60" s="58"/>
      <c r="IAG60" s="58"/>
      <c r="IAH60" s="58"/>
      <c r="IAI60" s="58"/>
      <c r="IAJ60" s="58"/>
      <c r="IAK60" s="58"/>
      <c r="IAL60" s="58"/>
      <c r="IAM60" s="58"/>
      <c r="IAO60" s="58"/>
      <c r="IAP60" s="58"/>
      <c r="IAR60" s="58"/>
      <c r="IAX60" s="58"/>
      <c r="IAY60" s="58"/>
      <c r="IBM60" s="58"/>
      <c r="IBN60" s="58"/>
      <c r="IBO60" s="58"/>
      <c r="IBP60" s="58"/>
      <c r="IBQ60" s="58"/>
      <c r="IBR60" s="58"/>
      <c r="IBS60" s="58"/>
      <c r="IBT60" s="58"/>
      <c r="IBU60" s="58"/>
      <c r="IBV60" s="58"/>
      <c r="IBW60" s="58"/>
      <c r="IBX60" s="58"/>
      <c r="IBY60" s="58"/>
      <c r="IBZ60" s="58"/>
      <c r="ICA60" s="58"/>
      <c r="ICB60" s="58"/>
      <c r="ICC60" s="58"/>
      <c r="ICD60" s="58"/>
      <c r="ICE60" s="58"/>
      <c r="ICF60" s="58"/>
      <c r="ICG60" s="58"/>
      <c r="ICH60" s="58"/>
      <c r="ICI60" s="58"/>
      <c r="ICJ60" s="58"/>
      <c r="ICK60" s="58"/>
      <c r="ICL60" s="58"/>
      <c r="ICM60" s="58"/>
      <c r="ICN60" s="58"/>
      <c r="ICO60" s="58"/>
      <c r="ICP60" s="58"/>
      <c r="ICQ60" s="58"/>
      <c r="ICR60" s="58"/>
      <c r="ICS60" s="58"/>
      <c r="ICT60" s="58"/>
      <c r="ICU60" s="58"/>
      <c r="ICV60" s="58"/>
      <c r="ICW60" s="58"/>
      <c r="ICX60" s="58"/>
      <c r="ICY60" s="58"/>
      <c r="ICZ60" s="58"/>
      <c r="IDA60" s="58"/>
      <c r="IDB60" s="58"/>
      <c r="IDC60" s="58"/>
      <c r="IDD60" s="58"/>
      <c r="IDE60" s="58"/>
      <c r="IDF60" s="58"/>
      <c r="IDG60" s="58"/>
      <c r="IDH60" s="58"/>
      <c r="IDI60" s="58"/>
      <c r="IDJ60" s="58"/>
      <c r="IDK60" s="58"/>
      <c r="IDL60" s="58"/>
      <c r="IDM60" s="58"/>
      <c r="IDN60" s="58"/>
      <c r="IDO60" s="58"/>
      <c r="IDP60" s="58"/>
      <c r="IDQ60" s="58"/>
      <c r="IDR60" s="58"/>
      <c r="IDS60" s="58"/>
      <c r="IDT60" s="58"/>
      <c r="IDU60" s="58"/>
      <c r="IDV60" s="58"/>
      <c r="IDW60" s="58"/>
      <c r="IDX60" s="58"/>
      <c r="IDY60" s="58"/>
      <c r="IDZ60" s="58"/>
      <c r="IEA60" s="58"/>
      <c r="IEB60" s="58"/>
      <c r="IEC60" s="58"/>
      <c r="IED60" s="58"/>
      <c r="IEE60" s="58"/>
      <c r="IEF60" s="58"/>
      <c r="IEG60" s="58"/>
      <c r="IEH60" s="58"/>
      <c r="IEI60" s="58"/>
      <c r="IEJ60" s="58"/>
      <c r="IEK60" s="58"/>
      <c r="IEL60" s="58"/>
      <c r="IEM60" s="58"/>
      <c r="IEN60" s="58"/>
      <c r="IEO60" s="58"/>
      <c r="IEP60" s="58"/>
      <c r="IEQ60" s="58"/>
      <c r="IER60" s="58"/>
      <c r="IES60" s="58"/>
      <c r="IET60" s="58"/>
      <c r="IEU60" s="58"/>
      <c r="IEV60" s="58"/>
      <c r="IEW60" s="58"/>
      <c r="IEX60" s="58"/>
      <c r="IEY60" s="58"/>
      <c r="IEZ60" s="58"/>
      <c r="IFA60" s="58"/>
      <c r="IFB60" s="58"/>
      <c r="IFC60" s="58"/>
      <c r="IFD60" s="58"/>
      <c r="IFE60" s="58"/>
      <c r="IFF60" s="58"/>
      <c r="IFG60" s="58"/>
      <c r="IFH60" s="58"/>
      <c r="IFI60" s="58"/>
      <c r="IFJ60" s="58"/>
      <c r="IFK60" s="58"/>
      <c r="IFL60" s="58"/>
      <c r="IFM60" s="58"/>
      <c r="IFN60" s="58"/>
      <c r="IFO60" s="58"/>
      <c r="IFP60" s="58"/>
      <c r="IFQ60" s="58"/>
      <c r="IFR60" s="58"/>
      <c r="IFS60" s="58"/>
      <c r="IFT60" s="58"/>
      <c r="IFU60" s="58"/>
      <c r="IFV60" s="58"/>
      <c r="IFW60" s="58"/>
      <c r="IFX60" s="58"/>
      <c r="IFY60" s="58"/>
      <c r="IFZ60" s="58"/>
      <c r="IGA60" s="58"/>
      <c r="IGB60" s="58"/>
      <c r="IGC60" s="58"/>
      <c r="IGD60" s="58"/>
      <c r="IGE60" s="58"/>
      <c r="IGF60" s="58"/>
      <c r="IGG60" s="58"/>
      <c r="IGH60" s="58"/>
      <c r="IGI60" s="58"/>
      <c r="IGJ60" s="58"/>
      <c r="IGK60" s="58"/>
      <c r="IGL60" s="58"/>
      <c r="IGM60" s="58"/>
      <c r="IGN60" s="58"/>
      <c r="IGO60" s="58"/>
      <c r="IGP60" s="58"/>
      <c r="IGQ60" s="58"/>
      <c r="IGR60" s="58"/>
      <c r="IGS60" s="58"/>
      <c r="IGT60" s="58"/>
      <c r="IGU60" s="58"/>
      <c r="IGV60" s="58"/>
      <c r="IGW60" s="58"/>
      <c r="IGX60" s="58"/>
      <c r="IGY60" s="58"/>
      <c r="IGZ60" s="58"/>
      <c r="IHA60" s="58"/>
      <c r="IHB60" s="58"/>
      <c r="IHC60" s="58"/>
      <c r="IHD60" s="58"/>
      <c r="IHE60" s="58"/>
      <c r="IHF60" s="58"/>
      <c r="IHG60" s="58"/>
      <c r="IHH60" s="58"/>
      <c r="IHI60" s="58"/>
      <c r="IHJ60" s="58"/>
      <c r="IHK60" s="58"/>
      <c r="IHL60" s="58"/>
      <c r="IHM60" s="58"/>
      <c r="IHN60" s="58"/>
      <c r="IHO60" s="58"/>
      <c r="IHP60" s="58"/>
      <c r="IHQ60" s="58"/>
      <c r="IHR60" s="58"/>
      <c r="IHS60" s="58"/>
      <c r="IHT60" s="58"/>
      <c r="IHU60" s="58"/>
      <c r="IHV60" s="58"/>
      <c r="IHW60" s="58"/>
      <c r="IHX60" s="58"/>
      <c r="IHY60" s="58"/>
      <c r="IHZ60" s="58"/>
      <c r="IIA60" s="58"/>
      <c r="IIB60" s="58"/>
      <c r="IIC60" s="58"/>
      <c r="IID60" s="58"/>
      <c r="IIE60" s="58"/>
      <c r="IIF60" s="58"/>
      <c r="IIG60" s="58"/>
      <c r="IIH60" s="58"/>
      <c r="III60" s="58"/>
      <c r="IIJ60" s="58"/>
      <c r="IIK60" s="58"/>
      <c r="IIL60" s="58"/>
      <c r="IIM60" s="58"/>
      <c r="IIN60" s="58"/>
      <c r="IIO60" s="58"/>
      <c r="IIP60" s="58"/>
      <c r="IIQ60" s="58"/>
      <c r="IIR60" s="58"/>
      <c r="IIS60" s="58"/>
      <c r="IIT60" s="58"/>
      <c r="IIU60" s="58"/>
      <c r="IIV60" s="58"/>
      <c r="IIW60" s="58"/>
      <c r="IIX60" s="58"/>
      <c r="IIY60" s="58"/>
      <c r="IIZ60" s="58"/>
      <c r="IJA60" s="58"/>
      <c r="IJB60" s="58"/>
      <c r="IJC60" s="58"/>
      <c r="IJD60" s="58"/>
      <c r="IJE60" s="58"/>
      <c r="IJF60" s="58"/>
      <c r="IJG60" s="58"/>
      <c r="IJH60" s="58"/>
      <c r="IJI60" s="58"/>
      <c r="IJJ60" s="58"/>
      <c r="IJK60" s="58"/>
      <c r="IJL60" s="58"/>
      <c r="IJM60" s="58"/>
      <c r="IJN60" s="58"/>
      <c r="IJO60" s="58"/>
      <c r="IJP60" s="58"/>
      <c r="IJQ60" s="58"/>
      <c r="IJR60" s="58"/>
      <c r="IJS60" s="58"/>
      <c r="IJT60" s="58"/>
      <c r="IJU60" s="58"/>
      <c r="IJV60" s="58"/>
      <c r="IJW60" s="58"/>
      <c r="IJX60" s="58"/>
      <c r="IJY60" s="58"/>
      <c r="IJZ60" s="58"/>
      <c r="IKA60" s="58"/>
      <c r="IKB60" s="58"/>
      <c r="IKC60" s="58"/>
      <c r="IKD60" s="58"/>
      <c r="IKE60" s="58"/>
      <c r="IKF60" s="58"/>
      <c r="IKG60" s="58"/>
      <c r="IKH60" s="58"/>
      <c r="IKI60" s="58"/>
      <c r="IKK60" s="58"/>
      <c r="IKL60" s="58"/>
      <c r="IKN60" s="58"/>
      <c r="IKT60" s="58"/>
      <c r="IKU60" s="58"/>
      <c r="ILI60" s="58"/>
      <c r="ILJ60" s="58"/>
      <c r="ILK60" s="58"/>
      <c r="ILL60" s="58"/>
      <c r="ILM60" s="58"/>
      <c r="ILN60" s="58"/>
      <c r="ILO60" s="58"/>
      <c r="ILP60" s="58"/>
      <c r="ILQ60" s="58"/>
      <c r="ILR60" s="58"/>
      <c r="ILS60" s="58"/>
      <c r="ILT60" s="58"/>
      <c r="ILU60" s="58"/>
      <c r="ILV60" s="58"/>
      <c r="ILW60" s="58"/>
      <c r="ILX60" s="58"/>
      <c r="ILY60" s="58"/>
      <c r="ILZ60" s="58"/>
      <c r="IMA60" s="58"/>
      <c r="IMB60" s="58"/>
      <c r="IMC60" s="58"/>
      <c r="IMD60" s="58"/>
      <c r="IME60" s="58"/>
      <c r="IMF60" s="58"/>
      <c r="IMG60" s="58"/>
      <c r="IMH60" s="58"/>
      <c r="IMI60" s="58"/>
      <c r="IMJ60" s="58"/>
      <c r="IMK60" s="58"/>
      <c r="IML60" s="58"/>
      <c r="IMM60" s="58"/>
      <c r="IMN60" s="58"/>
      <c r="IMO60" s="58"/>
      <c r="IMP60" s="58"/>
      <c r="IMQ60" s="58"/>
      <c r="IMR60" s="58"/>
      <c r="IMS60" s="58"/>
      <c r="IMT60" s="58"/>
      <c r="IMU60" s="58"/>
      <c r="IMV60" s="58"/>
      <c r="IMW60" s="58"/>
      <c r="IMX60" s="58"/>
      <c r="IMY60" s="58"/>
      <c r="IMZ60" s="58"/>
      <c r="INA60" s="58"/>
      <c r="INB60" s="58"/>
      <c r="INC60" s="58"/>
      <c r="IND60" s="58"/>
      <c r="INE60" s="58"/>
      <c r="INF60" s="58"/>
      <c r="ING60" s="58"/>
      <c r="INH60" s="58"/>
      <c r="INI60" s="58"/>
      <c r="INJ60" s="58"/>
      <c r="INK60" s="58"/>
      <c r="INL60" s="58"/>
      <c r="INM60" s="58"/>
      <c r="INN60" s="58"/>
      <c r="INO60" s="58"/>
      <c r="INP60" s="58"/>
      <c r="INQ60" s="58"/>
      <c r="INR60" s="58"/>
      <c r="INS60" s="58"/>
      <c r="INT60" s="58"/>
      <c r="INU60" s="58"/>
      <c r="INV60" s="58"/>
      <c r="INW60" s="58"/>
      <c r="INX60" s="58"/>
      <c r="INY60" s="58"/>
      <c r="INZ60" s="58"/>
      <c r="IOA60" s="58"/>
      <c r="IOB60" s="58"/>
      <c r="IOC60" s="58"/>
      <c r="IOD60" s="58"/>
      <c r="IOE60" s="58"/>
      <c r="IOF60" s="58"/>
      <c r="IOG60" s="58"/>
      <c r="IOH60" s="58"/>
      <c r="IOI60" s="58"/>
      <c r="IOJ60" s="58"/>
      <c r="IOK60" s="58"/>
      <c r="IOL60" s="58"/>
      <c r="IOM60" s="58"/>
      <c r="ION60" s="58"/>
      <c r="IOO60" s="58"/>
      <c r="IOP60" s="58"/>
      <c r="IOQ60" s="58"/>
      <c r="IOR60" s="58"/>
      <c r="IOS60" s="58"/>
      <c r="IOT60" s="58"/>
      <c r="IOU60" s="58"/>
      <c r="IOV60" s="58"/>
      <c r="IOW60" s="58"/>
      <c r="IOX60" s="58"/>
      <c r="IOY60" s="58"/>
      <c r="IOZ60" s="58"/>
      <c r="IPA60" s="58"/>
      <c r="IPB60" s="58"/>
      <c r="IPC60" s="58"/>
      <c r="IPD60" s="58"/>
      <c r="IPE60" s="58"/>
      <c r="IPF60" s="58"/>
      <c r="IPG60" s="58"/>
      <c r="IPH60" s="58"/>
      <c r="IPI60" s="58"/>
      <c r="IPJ60" s="58"/>
      <c r="IPK60" s="58"/>
      <c r="IPL60" s="58"/>
      <c r="IPM60" s="58"/>
      <c r="IPN60" s="58"/>
      <c r="IPO60" s="58"/>
      <c r="IPP60" s="58"/>
      <c r="IPQ60" s="58"/>
      <c r="IPR60" s="58"/>
      <c r="IPS60" s="58"/>
      <c r="IPT60" s="58"/>
      <c r="IPU60" s="58"/>
      <c r="IPV60" s="58"/>
      <c r="IPW60" s="58"/>
      <c r="IPX60" s="58"/>
      <c r="IPY60" s="58"/>
      <c r="IPZ60" s="58"/>
      <c r="IQA60" s="58"/>
      <c r="IQB60" s="58"/>
      <c r="IQC60" s="58"/>
      <c r="IQD60" s="58"/>
      <c r="IQE60" s="58"/>
      <c r="IQF60" s="58"/>
      <c r="IQG60" s="58"/>
      <c r="IQH60" s="58"/>
      <c r="IQI60" s="58"/>
      <c r="IQJ60" s="58"/>
      <c r="IQK60" s="58"/>
      <c r="IQL60" s="58"/>
      <c r="IQM60" s="58"/>
      <c r="IQN60" s="58"/>
      <c r="IQO60" s="58"/>
      <c r="IQP60" s="58"/>
      <c r="IQQ60" s="58"/>
      <c r="IQR60" s="58"/>
      <c r="IQS60" s="58"/>
      <c r="IQT60" s="58"/>
      <c r="IQU60" s="58"/>
      <c r="IQV60" s="58"/>
      <c r="IQW60" s="58"/>
      <c r="IQX60" s="58"/>
      <c r="IQY60" s="58"/>
      <c r="IQZ60" s="58"/>
      <c r="IRA60" s="58"/>
      <c r="IRB60" s="58"/>
      <c r="IRC60" s="58"/>
      <c r="IRD60" s="58"/>
      <c r="IRE60" s="58"/>
      <c r="IRF60" s="58"/>
      <c r="IRG60" s="58"/>
      <c r="IRH60" s="58"/>
      <c r="IRI60" s="58"/>
      <c r="IRJ60" s="58"/>
      <c r="IRK60" s="58"/>
      <c r="IRL60" s="58"/>
      <c r="IRM60" s="58"/>
      <c r="IRN60" s="58"/>
      <c r="IRO60" s="58"/>
      <c r="IRP60" s="58"/>
      <c r="IRQ60" s="58"/>
      <c r="IRR60" s="58"/>
      <c r="IRS60" s="58"/>
      <c r="IRT60" s="58"/>
      <c r="IRU60" s="58"/>
      <c r="IRV60" s="58"/>
      <c r="IRW60" s="58"/>
      <c r="IRX60" s="58"/>
      <c r="IRY60" s="58"/>
      <c r="IRZ60" s="58"/>
      <c r="ISA60" s="58"/>
      <c r="ISB60" s="58"/>
      <c r="ISC60" s="58"/>
      <c r="ISD60" s="58"/>
      <c r="ISE60" s="58"/>
      <c r="ISF60" s="58"/>
      <c r="ISG60" s="58"/>
      <c r="ISH60" s="58"/>
      <c r="ISI60" s="58"/>
      <c r="ISJ60" s="58"/>
      <c r="ISK60" s="58"/>
      <c r="ISL60" s="58"/>
      <c r="ISM60" s="58"/>
      <c r="ISN60" s="58"/>
      <c r="ISO60" s="58"/>
      <c r="ISP60" s="58"/>
      <c r="ISQ60" s="58"/>
      <c r="ISR60" s="58"/>
      <c r="ISS60" s="58"/>
      <c r="IST60" s="58"/>
      <c r="ISU60" s="58"/>
      <c r="ISV60" s="58"/>
      <c r="ISW60" s="58"/>
      <c r="ISX60" s="58"/>
      <c r="ISY60" s="58"/>
      <c r="ISZ60" s="58"/>
      <c r="ITA60" s="58"/>
      <c r="ITB60" s="58"/>
      <c r="ITC60" s="58"/>
      <c r="ITD60" s="58"/>
      <c r="ITE60" s="58"/>
      <c r="ITF60" s="58"/>
      <c r="ITG60" s="58"/>
      <c r="ITH60" s="58"/>
      <c r="ITI60" s="58"/>
      <c r="ITJ60" s="58"/>
      <c r="ITK60" s="58"/>
      <c r="ITL60" s="58"/>
      <c r="ITM60" s="58"/>
      <c r="ITN60" s="58"/>
      <c r="ITO60" s="58"/>
      <c r="ITP60" s="58"/>
      <c r="ITQ60" s="58"/>
      <c r="ITR60" s="58"/>
      <c r="ITS60" s="58"/>
      <c r="ITT60" s="58"/>
      <c r="ITU60" s="58"/>
      <c r="ITV60" s="58"/>
      <c r="ITW60" s="58"/>
      <c r="ITX60" s="58"/>
      <c r="ITY60" s="58"/>
      <c r="ITZ60" s="58"/>
      <c r="IUA60" s="58"/>
      <c r="IUB60" s="58"/>
      <c r="IUC60" s="58"/>
      <c r="IUD60" s="58"/>
      <c r="IUE60" s="58"/>
      <c r="IUG60" s="58"/>
      <c r="IUH60" s="58"/>
      <c r="IUJ60" s="58"/>
      <c r="IUP60" s="58"/>
      <c r="IUQ60" s="58"/>
      <c r="IVE60" s="58"/>
      <c r="IVF60" s="58"/>
      <c r="IVG60" s="58"/>
      <c r="IVH60" s="58"/>
      <c r="IVI60" s="58"/>
      <c r="IVJ60" s="58"/>
      <c r="IVK60" s="58"/>
      <c r="IVL60" s="58"/>
      <c r="IVM60" s="58"/>
      <c r="IVN60" s="58"/>
      <c r="IVO60" s="58"/>
      <c r="IVP60" s="58"/>
      <c r="IVQ60" s="58"/>
      <c r="IVR60" s="58"/>
      <c r="IVS60" s="58"/>
      <c r="IVT60" s="58"/>
      <c r="IVU60" s="58"/>
      <c r="IVV60" s="58"/>
      <c r="IVW60" s="58"/>
      <c r="IVX60" s="58"/>
      <c r="IVY60" s="58"/>
      <c r="IVZ60" s="58"/>
      <c r="IWA60" s="58"/>
      <c r="IWB60" s="58"/>
      <c r="IWC60" s="58"/>
      <c r="IWD60" s="58"/>
      <c r="IWE60" s="58"/>
      <c r="IWF60" s="58"/>
      <c r="IWG60" s="58"/>
      <c r="IWH60" s="58"/>
      <c r="IWI60" s="58"/>
      <c r="IWJ60" s="58"/>
      <c r="IWK60" s="58"/>
      <c r="IWL60" s="58"/>
      <c r="IWM60" s="58"/>
      <c r="IWN60" s="58"/>
      <c r="IWO60" s="58"/>
      <c r="IWP60" s="58"/>
      <c r="IWQ60" s="58"/>
      <c r="IWR60" s="58"/>
      <c r="IWS60" s="58"/>
      <c r="IWT60" s="58"/>
      <c r="IWU60" s="58"/>
      <c r="IWV60" s="58"/>
      <c r="IWW60" s="58"/>
      <c r="IWX60" s="58"/>
      <c r="IWY60" s="58"/>
      <c r="IWZ60" s="58"/>
      <c r="IXA60" s="58"/>
      <c r="IXB60" s="58"/>
      <c r="IXC60" s="58"/>
      <c r="IXD60" s="58"/>
      <c r="IXE60" s="58"/>
      <c r="IXF60" s="58"/>
      <c r="IXG60" s="58"/>
      <c r="IXH60" s="58"/>
      <c r="IXI60" s="58"/>
      <c r="IXJ60" s="58"/>
      <c r="IXK60" s="58"/>
      <c r="IXL60" s="58"/>
      <c r="IXM60" s="58"/>
      <c r="IXN60" s="58"/>
      <c r="IXO60" s="58"/>
      <c r="IXP60" s="58"/>
      <c r="IXQ60" s="58"/>
      <c r="IXR60" s="58"/>
      <c r="IXS60" s="58"/>
      <c r="IXT60" s="58"/>
      <c r="IXU60" s="58"/>
      <c r="IXV60" s="58"/>
      <c r="IXW60" s="58"/>
      <c r="IXX60" s="58"/>
      <c r="IXY60" s="58"/>
      <c r="IXZ60" s="58"/>
      <c r="IYA60" s="58"/>
      <c r="IYB60" s="58"/>
      <c r="IYC60" s="58"/>
      <c r="IYD60" s="58"/>
      <c r="IYE60" s="58"/>
      <c r="IYF60" s="58"/>
      <c r="IYG60" s="58"/>
      <c r="IYH60" s="58"/>
      <c r="IYI60" s="58"/>
      <c r="IYJ60" s="58"/>
      <c r="IYK60" s="58"/>
      <c r="IYL60" s="58"/>
      <c r="IYM60" s="58"/>
      <c r="IYN60" s="58"/>
      <c r="IYO60" s="58"/>
      <c r="IYP60" s="58"/>
      <c r="IYQ60" s="58"/>
      <c r="IYR60" s="58"/>
      <c r="IYS60" s="58"/>
      <c r="IYT60" s="58"/>
      <c r="IYU60" s="58"/>
      <c r="IYV60" s="58"/>
      <c r="IYW60" s="58"/>
      <c r="IYX60" s="58"/>
      <c r="IYY60" s="58"/>
      <c r="IYZ60" s="58"/>
      <c r="IZA60" s="58"/>
      <c r="IZB60" s="58"/>
      <c r="IZC60" s="58"/>
      <c r="IZD60" s="58"/>
      <c r="IZE60" s="58"/>
      <c r="IZF60" s="58"/>
      <c r="IZG60" s="58"/>
      <c r="IZH60" s="58"/>
      <c r="IZI60" s="58"/>
      <c r="IZJ60" s="58"/>
      <c r="IZK60" s="58"/>
      <c r="IZL60" s="58"/>
      <c r="IZM60" s="58"/>
      <c r="IZN60" s="58"/>
      <c r="IZO60" s="58"/>
      <c r="IZP60" s="58"/>
      <c r="IZQ60" s="58"/>
      <c r="IZR60" s="58"/>
      <c r="IZS60" s="58"/>
      <c r="IZT60" s="58"/>
      <c r="IZU60" s="58"/>
      <c r="IZV60" s="58"/>
      <c r="IZW60" s="58"/>
      <c r="IZX60" s="58"/>
      <c r="IZY60" s="58"/>
      <c r="IZZ60" s="58"/>
      <c r="JAA60" s="58"/>
      <c r="JAB60" s="58"/>
      <c r="JAC60" s="58"/>
      <c r="JAD60" s="58"/>
      <c r="JAE60" s="58"/>
      <c r="JAF60" s="58"/>
      <c r="JAG60" s="58"/>
      <c r="JAH60" s="58"/>
      <c r="JAI60" s="58"/>
      <c r="JAJ60" s="58"/>
      <c r="JAK60" s="58"/>
      <c r="JAL60" s="58"/>
      <c r="JAM60" s="58"/>
      <c r="JAN60" s="58"/>
      <c r="JAO60" s="58"/>
      <c r="JAP60" s="58"/>
      <c r="JAQ60" s="58"/>
      <c r="JAR60" s="58"/>
      <c r="JAS60" s="58"/>
      <c r="JAT60" s="58"/>
      <c r="JAU60" s="58"/>
      <c r="JAV60" s="58"/>
      <c r="JAW60" s="58"/>
      <c r="JAX60" s="58"/>
      <c r="JAY60" s="58"/>
      <c r="JAZ60" s="58"/>
      <c r="JBA60" s="58"/>
      <c r="JBB60" s="58"/>
      <c r="JBC60" s="58"/>
      <c r="JBD60" s="58"/>
      <c r="JBE60" s="58"/>
      <c r="JBF60" s="58"/>
      <c r="JBG60" s="58"/>
      <c r="JBH60" s="58"/>
      <c r="JBI60" s="58"/>
      <c r="JBJ60" s="58"/>
      <c r="JBK60" s="58"/>
      <c r="JBL60" s="58"/>
      <c r="JBM60" s="58"/>
      <c r="JBN60" s="58"/>
      <c r="JBO60" s="58"/>
      <c r="JBP60" s="58"/>
      <c r="JBQ60" s="58"/>
      <c r="JBR60" s="58"/>
      <c r="JBS60" s="58"/>
      <c r="JBT60" s="58"/>
      <c r="JBU60" s="58"/>
      <c r="JBV60" s="58"/>
      <c r="JBW60" s="58"/>
      <c r="JBX60" s="58"/>
      <c r="JBY60" s="58"/>
      <c r="JBZ60" s="58"/>
      <c r="JCA60" s="58"/>
      <c r="JCB60" s="58"/>
      <c r="JCC60" s="58"/>
      <c r="JCD60" s="58"/>
      <c r="JCE60" s="58"/>
      <c r="JCF60" s="58"/>
      <c r="JCG60" s="58"/>
      <c r="JCH60" s="58"/>
      <c r="JCI60" s="58"/>
      <c r="JCJ60" s="58"/>
      <c r="JCK60" s="58"/>
      <c r="JCL60" s="58"/>
      <c r="JCM60" s="58"/>
      <c r="JCN60" s="58"/>
      <c r="JCO60" s="58"/>
      <c r="JCP60" s="58"/>
      <c r="JCQ60" s="58"/>
      <c r="JCR60" s="58"/>
      <c r="JCS60" s="58"/>
      <c r="JCT60" s="58"/>
      <c r="JCU60" s="58"/>
      <c r="JCV60" s="58"/>
      <c r="JCW60" s="58"/>
      <c r="JCX60" s="58"/>
      <c r="JCY60" s="58"/>
      <c r="JCZ60" s="58"/>
      <c r="JDA60" s="58"/>
      <c r="JDB60" s="58"/>
      <c r="JDC60" s="58"/>
      <c r="JDD60" s="58"/>
      <c r="JDE60" s="58"/>
      <c r="JDF60" s="58"/>
      <c r="JDG60" s="58"/>
      <c r="JDH60" s="58"/>
      <c r="JDI60" s="58"/>
      <c r="JDJ60" s="58"/>
      <c r="JDK60" s="58"/>
      <c r="JDL60" s="58"/>
      <c r="JDM60" s="58"/>
      <c r="JDN60" s="58"/>
      <c r="JDO60" s="58"/>
      <c r="JDP60" s="58"/>
      <c r="JDQ60" s="58"/>
      <c r="JDR60" s="58"/>
      <c r="JDS60" s="58"/>
      <c r="JDT60" s="58"/>
      <c r="JDU60" s="58"/>
      <c r="JDV60" s="58"/>
      <c r="JDW60" s="58"/>
      <c r="JDX60" s="58"/>
      <c r="JDY60" s="58"/>
      <c r="JDZ60" s="58"/>
      <c r="JEA60" s="58"/>
      <c r="JEC60" s="58"/>
      <c r="JED60" s="58"/>
      <c r="JEF60" s="58"/>
      <c r="JEL60" s="58"/>
      <c r="JEM60" s="58"/>
      <c r="JFA60" s="58"/>
      <c r="JFB60" s="58"/>
      <c r="JFC60" s="58"/>
      <c r="JFD60" s="58"/>
      <c r="JFE60" s="58"/>
      <c r="JFF60" s="58"/>
      <c r="JFG60" s="58"/>
      <c r="JFH60" s="58"/>
      <c r="JFI60" s="58"/>
      <c r="JFJ60" s="58"/>
      <c r="JFK60" s="58"/>
      <c r="JFL60" s="58"/>
      <c r="JFM60" s="58"/>
      <c r="JFN60" s="58"/>
      <c r="JFO60" s="58"/>
      <c r="JFP60" s="58"/>
      <c r="JFQ60" s="58"/>
      <c r="JFR60" s="58"/>
      <c r="JFS60" s="58"/>
      <c r="JFT60" s="58"/>
      <c r="JFU60" s="58"/>
      <c r="JFV60" s="58"/>
      <c r="JFW60" s="58"/>
      <c r="JFX60" s="58"/>
      <c r="JFY60" s="58"/>
      <c r="JFZ60" s="58"/>
      <c r="JGA60" s="58"/>
      <c r="JGB60" s="58"/>
      <c r="JGC60" s="58"/>
      <c r="JGD60" s="58"/>
      <c r="JGE60" s="58"/>
      <c r="JGF60" s="58"/>
      <c r="JGG60" s="58"/>
      <c r="JGH60" s="58"/>
      <c r="JGI60" s="58"/>
      <c r="JGJ60" s="58"/>
      <c r="JGK60" s="58"/>
      <c r="JGL60" s="58"/>
      <c r="JGM60" s="58"/>
      <c r="JGN60" s="58"/>
      <c r="JGO60" s="58"/>
      <c r="JGP60" s="58"/>
      <c r="JGQ60" s="58"/>
      <c r="JGR60" s="58"/>
      <c r="JGS60" s="58"/>
      <c r="JGT60" s="58"/>
      <c r="JGU60" s="58"/>
      <c r="JGV60" s="58"/>
      <c r="JGW60" s="58"/>
      <c r="JGX60" s="58"/>
      <c r="JGY60" s="58"/>
      <c r="JGZ60" s="58"/>
      <c r="JHA60" s="58"/>
      <c r="JHB60" s="58"/>
      <c r="JHC60" s="58"/>
      <c r="JHD60" s="58"/>
      <c r="JHE60" s="58"/>
      <c r="JHF60" s="58"/>
      <c r="JHG60" s="58"/>
      <c r="JHH60" s="58"/>
      <c r="JHI60" s="58"/>
      <c r="JHJ60" s="58"/>
      <c r="JHK60" s="58"/>
      <c r="JHL60" s="58"/>
      <c r="JHM60" s="58"/>
      <c r="JHN60" s="58"/>
      <c r="JHO60" s="58"/>
      <c r="JHP60" s="58"/>
      <c r="JHQ60" s="58"/>
      <c r="JHR60" s="58"/>
      <c r="JHS60" s="58"/>
      <c r="JHT60" s="58"/>
      <c r="JHU60" s="58"/>
      <c r="JHV60" s="58"/>
      <c r="JHW60" s="58"/>
      <c r="JHX60" s="58"/>
      <c r="JHY60" s="58"/>
      <c r="JHZ60" s="58"/>
      <c r="JIA60" s="58"/>
      <c r="JIB60" s="58"/>
      <c r="JIC60" s="58"/>
      <c r="JID60" s="58"/>
      <c r="JIE60" s="58"/>
      <c r="JIF60" s="58"/>
      <c r="JIG60" s="58"/>
      <c r="JIH60" s="58"/>
      <c r="JII60" s="58"/>
      <c r="JIJ60" s="58"/>
      <c r="JIK60" s="58"/>
      <c r="JIL60" s="58"/>
      <c r="JIM60" s="58"/>
      <c r="JIN60" s="58"/>
      <c r="JIO60" s="58"/>
      <c r="JIP60" s="58"/>
      <c r="JIQ60" s="58"/>
      <c r="JIR60" s="58"/>
      <c r="JIS60" s="58"/>
      <c r="JIT60" s="58"/>
      <c r="JIU60" s="58"/>
      <c r="JIV60" s="58"/>
      <c r="JIW60" s="58"/>
      <c r="JIX60" s="58"/>
      <c r="JIY60" s="58"/>
      <c r="JIZ60" s="58"/>
      <c r="JJA60" s="58"/>
      <c r="JJB60" s="58"/>
      <c r="JJC60" s="58"/>
      <c r="JJD60" s="58"/>
      <c r="JJE60" s="58"/>
      <c r="JJF60" s="58"/>
      <c r="JJG60" s="58"/>
      <c r="JJH60" s="58"/>
      <c r="JJI60" s="58"/>
      <c r="JJJ60" s="58"/>
      <c r="JJK60" s="58"/>
      <c r="JJL60" s="58"/>
      <c r="JJM60" s="58"/>
      <c r="JJN60" s="58"/>
      <c r="JJO60" s="58"/>
      <c r="JJP60" s="58"/>
      <c r="JJQ60" s="58"/>
      <c r="JJR60" s="58"/>
      <c r="JJS60" s="58"/>
      <c r="JJT60" s="58"/>
      <c r="JJU60" s="58"/>
      <c r="JJV60" s="58"/>
      <c r="JJW60" s="58"/>
      <c r="JJX60" s="58"/>
      <c r="JJY60" s="58"/>
      <c r="JJZ60" s="58"/>
      <c r="JKA60" s="58"/>
      <c r="JKB60" s="58"/>
      <c r="JKC60" s="58"/>
      <c r="JKD60" s="58"/>
      <c r="JKE60" s="58"/>
      <c r="JKF60" s="58"/>
      <c r="JKG60" s="58"/>
      <c r="JKH60" s="58"/>
      <c r="JKI60" s="58"/>
      <c r="JKJ60" s="58"/>
      <c r="JKK60" s="58"/>
      <c r="JKL60" s="58"/>
      <c r="JKM60" s="58"/>
      <c r="JKN60" s="58"/>
      <c r="JKO60" s="58"/>
      <c r="JKP60" s="58"/>
      <c r="JKQ60" s="58"/>
      <c r="JKR60" s="58"/>
      <c r="JKS60" s="58"/>
      <c r="JKT60" s="58"/>
      <c r="JKU60" s="58"/>
      <c r="JKV60" s="58"/>
      <c r="JKW60" s="58"/>
      <c r="JKX60" s="58"/>
      <c r="JKY60" s="58"/>
      <c r="JKZ60" s="58"/>
      <c r="JLA60" s="58"/>
      <c r="JLB60" s="58"/>
      <c r="JLC60" s="58"/>
      <c r="JLD60" s="58"/>
      <c r="JLE60" s="58"/>
      <c r="JLF60" s="58"/>
      <c r="JLG60" s="58"/>
      <c r="JLH60" s="58"/>
      <c r="JLI60" s="58"/>
      <c r="JLJ60" s="58"/>
      <c r="JLK60" s="58"/>
      <c r="JLL60" s="58"/>
      <c r="JLM60" s="58"/>
      <c r="JLN60" s="58"/>
      <c r="JLO60" s="58"/>
      <c r="JLP60" s="58"/>
      <c r="JLQ60" s="58"/>
      <c r="JLR60" s="58"/>
      <c r="JLS60" s="58"/>
      <c r="JLT60" s="58"/>
      <c r="JLU60" s="58"/>
      <c r="JLV60" s="58"/>
      <c r="JLW60" s="58"/>
      <c r="JLX60" s="58"/>
      <c r="JLY60" s="58"/>
      <c r="JLZ60" s="58"/>
      <c r="JMA60" s="58"/>
      <c r="JMB60" s="58"/>
      <c r="JMC60" s="58"/>
      <c r="JMD60" s="58"/>
      <c r="JME60" s="58"/>
      <c r="JMF60" s="58"/>
      <c r="JMG60" s="58"/>
      <c r="JMH60" s="58"/>
      <c r="JMI60" s="58"/>
      <c r="JMJ60" s="58"/>
      <c r="JMK60" s="58"/>
      <c r="JML60" s="58"/>
      <c r="JMM60" s="58"/>
      <c r="JMN60" s="58"/>
      <c r="JMO60" s="58"/>
      <c r="JMP60" s="58"/>
      <c r="JMQ60" s="58"/>
      <c r="JMR60" s="58"/>
      <c r="JMS60" s="58"/>
      <c r="JMT60" s="58"/>
      <c r="JMU60" s="58"/>
      <c r="JMV60" s="58"/>
      <c r="JMW60" s="58"/>
      <c r="JMX60" s="58"/>
      <c r="JMY60" s="58"/>
      <c r="JMZ60" s="58"/>
      <c r="JNA60" s="58"/>
      <c r="JNB60" s="58"/>
      <c r="JNC60" s="58"/>
      <c r="JND60" s="58"/>
      <c r="JNE60" s="58"/>
      <c r="JNF60" s="58"/>
      <c r="JNG60" s="58"/>
      <c r="JNH60" s="58"/>
      <c r="JNI60" s="58"/>
      <c r="JNJ60" s="58"/>
      <c r="JNK60" s="58"/>
      <c r="JNL60" s="58"/>
      <c r="JNM60" s="58"/>
      <c r="JNN60" s="58"/>
      <c r="JNO60" s="58"/>
      <c r="JNP60" s="58"/>
      <c r="JNQ60" s="58"/>
      <c r="JNR60" s="58"/>
      <c r="JNS60" s="58"/>
      <c r="JNT60" s="58"/>
      <c r="JNU60" s="58"/>
      <c r="JNV60" s="58"/>
      <c r="JNW60" s="58"/>
      <c r="JNY60" s="58"/>
      <c r="JNZ60" s="58"/>
      <c r="JOB60" s="58"/>
      <c r="JOH60" s="58"/>
      <c r="JOI60" s="58"/>
      <c r="JOW60" s="58"/>
      <c r="JOX60" s="58"/>
      <c r="JOY60" s="58"/>
      <c r="JOZ60" s="58"/>
      <c r="JPA60" s="58"/>
      <c r="JPB60" s="58"/>
      <c r="JPC60" s="58"/>
      <c r="JPD60" s="58"/>
      <c r="JPE60" s="58"/>
      <c r="JPF60" s="58"/>
      <c r="JPG60" s="58"/>
      <c r="JPH60" s="58"/>
      <c r="JPI60" s="58"/>
      <c r="JPJ60" s="58"/>
      <c r="JPK60" s="58"/>
      <c r="JPL60" s="58"/>
      <c r="JPM60" s="58"/>
      <c r="JPN60" s="58"/>
      <c r="JPO60" s="58"/>
      <c r="JPP60" s="58"/>
      <c r="JPQ60" s="58"/>
      <c r="JPR60" s="58"/>
      <c r="JPS60" s="58"/>
      <c r="JPT60" s="58"/>
      <c r="JPU60" s="58"/>
      <c r="JPV60" s="58"/>
      <c r="JPW60" s="58"/>
      <c r="JPX60" s="58"/>
      <c r="JPY60" s="58"/>
      <c r="JPZ60" s="58"/>
      <c r="JQA60" s="58"/>
      <c r="JQB60" s="58"/>
      <c r="JQC60" s="58"/>
      <c r="JQD60" s="58"/>
      <c r="JQE60" s="58"/>
      <c r="JQF60" s="58"/>
      <c r="JQG60" s="58"/>
      <c r="JQH60" s="58"/>
      <c r="JQI60" s="58"/>
      <c r="JQJ60" s="58"/>
      <c r="JQK60" s="58"/>
      <c r="JQL60" s="58"/>
      <c r="JQM60" s="58"/>
      <c r="JQN60" s="58"/>
      <c r="JQO60" s="58"/>
      <c r="JQP60" s="58"/>
      <c r="JQQ60" s="58"/>
      <c r="JQR60" s="58"/>
      <c r="JQS60" s="58"/>
      <c r="JQT60" s="58"/>
      <c r="JQU60" s="58"/>
      <c r="JQV60" s="58"/>
      <c r="JQW60" s="58"/>
      <c r="JQX60" s="58"/>
      <c r="JQY60" s="58"/>
      <c r="JQZ60" s="58"/>
      <c r="JRA60" s="58"/>
      <c r="JRB60" s="58"/>
      <c r="JRC60" s="58"/>
      <c r="JRD60" s="58"/>
      <c r="JRE60" s="58"/>
      <c r="JRF60" s="58"/>
      <c r="JRG60" s="58"/>
      <c r="JRH60" s="58"/>
      <c r="JRI60" s="58"/>
      <c r="JRJ60" s="58"/>
      <c r="JRK60" s="58"/>
      <c r="JRL60" s="58"/>
      <c r="JRM60" s="58"/>
      <c r="JRN60" s="58"/>
      <c r="JRO60" s="58"/>
      <c r="JRP60" s="58"/>
      <c r="JRQ60" s="58"/>
      <c r="JRR60" s="58"/>
      <c r="JRS60" s="58"/>
      <c r="JRT60" s="58"/>
      <c r="JRU60" s="58"/>
      <c r="JRV60" s="58"/>
      <c r="JRW60" s="58"/>
      <c r="JRX60" s="58"/>
      <c r="JRY60" s="58"/>
      <c r="JRZ60" s="58"/>
      <c r="JSA60" s="58"/>
      <c r="JSB60" s="58"/>
      <c r="JSC60" s="58"/>
      <c r="JSD60" s="58"/>
      <c r="JSE60" s="58"/>
      <c r="JSF60" s="58"/>
      <c r="JSG60" s="58"/>
      <c r="JSH60" s="58"/>
      <c r="JSI60" s="58"/>
      <c r="JSJ60" s="58"/>
      <c r="JSK60" s="58"/>
      <c r="JSL60" s="58"/>
      <c r="JSM60" s="58"/>
      <c r="JSN60" s="58"/>
      <c r="JSO60" s="58"/>
      <c r="JSP60" s="58"/>
      <c r="JSQ60" s="58"/>
      <c r="JSR60" s="58"/>
      <c r="JSS60" s="58"/>
      <c r="JST60" s="58"/>
      <c r="JSU60" s="58"/>
      <c r="JSV60" s="58"/>
      <c r="JSW60" s="58"/>
      <c r="JSX60" s="58"/>
      <c r="JSY60" s="58"/>
      <c r="JSZ60" s="58"/>
      <c r="JTA60" s="58"/>
      <c r="JTB60" s="58"/>
      <c r="JTC60" s="58"/>
      <c r="JTD60" s="58"/>
      <c r="JTE60" s="58"/>
      <c r="JTF60" s="58"/>
      <c r="JTG60" s="58"/>
      <c r="JTH60" s="58"/>
      <c r="JTI60" s="58"/>
      <c r="JTJ60" s="58"/>
      <c r="JTK60" s="58"/>
      <c r="JTL60" s="58"/>
      <c r="JTM60" s="58"/>
      <c r="JTN60" s="58"/>
      <c r="JTO60" s="58"/>
      <c r="JTP60" s="58"/>
      <c r="JTQ60" s="58"/>
      <c r="JTR60" s="58"/>
      <c r="JTS60" s="58"/>
      <c r="JTT60" s="58"/>
      <c r="JTU60" s="58"/>
      <c r="JTV60" s="58"/>
      <c r="JTW60" s="58"/>
      <c r="JTX60" s="58"/>
      <c r="JTY60" s="58"/>
      <c r="JTZ60" s="58"/>
      <c r="JUA60" s="58"/>
      <c r="JUB60" s="58"/>
      <c r="JUC60" s="58"/>
      <c r="JUD60" s="58"/>
      <c r="JUE60" s="58"/>
      <c r="JUF60" s="58"/>
      <c r="JUG60" s="58"/>
      <c r="JUH60" s="58"/>
      <c r="JUI60" s="58"/>
      <c r="JUJ60" s="58"/>
      <c r="JUK60" s="58"/>
      <c r="JUL60" s="58"/>
      <c r="JUM60" s="58"/>
      <c r="JUN60" s="58"/>
      <c r="JUO60" s="58"/>
      <c r="JUP60" s="58"/>
      <c r="JUQ60" s="58"/>
      <c r="JUR60" s="58"/>
      <c r="JUS60" s="58"/>
      <c r="JUT60" s="58"/>
      <c r="JUU60" s="58"/>
      <c r="JUV60" s="58"/>
      <c r="JUW60" s="58"/>
      <c r="JUX60" s="58"/>
      <c r="JUY60" s="58"/>
      <c r="JUZ60" s="58"/>
      <c r="JVA60" s="58"/>
      <c r="JVB60" s="58"/>
      <c r="JVC60" s="58"/>
      <c r="JVD60" s="58"/>
      <c r="JVE60" s="58"/>
      <c r="JVF60" s="58"/>
      <c r="JVG60" s="58"/>
      <c r="JVH60" s="58"/>
      <c r="JVI60" s="58"/>
      <c r="JVJ60" s="58"/>
      <c r="JVK60" s="58"/>
      <c r="JVL60" s="58"/>
      <c r="JVM60" s="58"/>
      <c r="JVN60" s="58"/>
      <c r="JVO60" s="58"/>
      <c r="JVP60" s="58"/>
      <c r="JVQ60" s="58"/>
      <c r="JVR60" s="58"/>
      <c r="JVS60" s="58"/>
      <c r="JVT60" s="58"/>
      <c r="JVU60" s="58"/>
      <c r="JVV60" s="58"/>
      <c r="JVW60" s="58"/>
      <c r="JVX60" s="58"/>
      <c r="JVY60" s="58"/>
      <c r="JVZ60" s="58"/>
      <c r="JWA60" s="58"/>
      <c r="JWB60" s="58"/>
      <c r="JWC60" s="58"/>
      <c r="JWD60" s="58"/>
      <c r="JWE60" s="58"/>
      <c r="JWF60" s="58"/>
      <c r="JWG60" s="58"/>
      <c r="JWH60" s="58"/>
      <c r="JWI60" s="58"/>
      <c r="JWJ60" s="58"/>
      <c r="JWK60" s="58"/>
      <c r="JWL60" s="58"/>
      <c r="JWM60" s="58"/>
      <c r="JWN60" s="58"/>
      <c r="JWO60" s="58"/>
      <c r="JWP60" s="58"/>
      <c r="JWQ60" s="58"/>
      <c r="JWR60" s="58"/>
      <c r="JWS60" s="58"/>
      <c r="JWT60" s="58"/>
      <c r="JWU60" s="58"/>
      <c r="JWV60" s="58"/>
      <c r="JWW60" s="58"/>
      <c r="JWX60" s="58"/>
      <c r="JWY60" s="58"/>
      <c r="JWZ60" s="58"/>
      <c r="JXA60" s="58"/>
      <c r="JXB60" s="58"/>
      <c r="JXC60" s="58"/>
      <c r="JXD60" s="58"/>
      <c r="JXE60" s="58"/>
      <c r="JXF60" s="58"/>
      <c r="JXG60" s="58"/>
      <c r="JXH60" s="58"/>
      <c r="JXI60" s="58"/>
      <c r="JXJ60" s="58"/>
      <c r="JXK60" s="58"/>
      <c r="JXL60" s="58"/>
      <c r="JXM60" s="58"/>
      <c r="JXN60" s="58"/>
      <c r="JXO60" s="58"/>
      <c r="JXP60" s="58"/>
      <c r="JXQ60" s="58"/>
      <c r="JXR60" s="58"/>
      <c r="JXS60" s="58"/>
      <c r="JXU60" s="58"/>
      <c r="JXV60" s="58"/>
      <c r="JXX60" s="58"/>
      <c r="JYD60" s="58"/>
      <c r="JYE60" s="58"/>
      <c r="JYS60" s="58"/>
      <c r="JYT60" s="58"/>
      <c r="JYU60" s="58"/>
      <c r="JYV60" s="58"/>
      <c r="JYW60" s="58"/>
      <c r="JYX60" s="58"/>
      <c r="JYY60" s="58"/>
      <c r="JYZ60" s="58"/>
      <c r="JZA60" s="58"/>
      <c r="JZB60" s="58"/>
      <c r="JZC60" s="58"/>
      <c r="JZD60" s="58"/>
      <c r="JZE60" s="58"/>
      <c r="JZF60" s="58"/>
      <c r="JZG60" s="58"/>
      <c r="JZH60" s="58"/>
      <c r="JZI60" s="58"/>
      <c r="JZJ60" s="58"/>
      <c r="JZK60" s="58"/>
      <c r="JZL60" s="58"/>
      <c r="JZM60" s="58"/>
      <c r="JZN60" s="58"/>
      <c r="JZO60" s="58"/>
      <c r="JZP60" s="58"/>
      <c r="JZQ60" s="58"/>
      <c r="JZR60" s="58"/>
      <c r="JZS60" s="58"/>
      <c r="JZT60" s="58"/>
      <c r="JZU60" s="58"/>
      <c r="JZV60" s="58"/>
      <c r="JZW60" s="58"/>
      <c r="JZX60" s="58"/>
      <c r="JZY60" s="58"/>
      <c r="JZZ60" s="58"/>
      <c r="KAA60" s="58"/>
      <c r="KAB60" s="58"/>
      <c r="KAC60" s="58"/>
      <c r="KAD60" s="58"/>
      <c r="KAE60" s="58"/>
      <c r="KAF60" s="58"/>
      <c r="KAG60" s="58"/>
      <c r="KAH60" s="58"/>
      <c r="KAI60" s="58"/>
      <c r="KAJ60" s="58"/>
      <c r="KAK60" s="58"/>
      <c r="KAL60" s="58"/>
      <c r="KAM60" s="58"/>
      <c r="KAN60" s="58"/>
      <c r="KAO60" s="58"/>
      <c r="KAP60" s="58"/>
      <c r="KAQ60" s="58"/>
      <c r="KAR60" s="58"/>
      <c r="KAS60" s="58"/>
      <c r="KAT60" s="58"/>
      <c r="KAU60" s="58"/>
      <c r="KAV60" s="58"/>
      <c r="KAW60" s="58"/>
      <c r="KAX60" s="58"/>
      <c r="KAY60" s="58"/>
      <c r="KAZ60" s="58"/>
      <c r="KBA60" s="58"/>
      <c r="KBB60" s="58"/>
      <c r="KBC60" s="58"/>
      <c r="KBD60" s="58"/>
      <c r="KBE60" s="58"/>
      <c r="KBF60" s="58"/>
      <c r="KBG60" s="58"/>
      <c r="KBH60" s="58"/>
      <c r="KBI60" s="58"/>
      <c r="KBJ60" s="58"/>
      <c r="KBK60" s="58"/>
      <c r="KBL60" s="58"/>
      <c r="KBM60" s="58"/>
      <c r="KBN60" s="58"/>
      <c r="KBO60" s="58"/>
      <c r="KBP60" s="58"/>
      <c r="KBQ60" s="58"/>
      <c r="KBR60" s="58"/>
      <c r="KBS60" s="58"/>
      <c r="KBT60" s="58"/>
      <c r="KBU60" s="58"/>
      <c r="KBV60" s="58"/>
      <c r="KBW60" s="58"/>
      <c r="KBX60" s="58"/>
      <c r="KBY60" s="58"/>
      <c r="KBZ60" s="58"/>
      <c r="KCA60" s="58"/>
      <c r="KCB60" s="58"/>
      <c r="KCC60" s="58"/>
      <c r="KCD60" s="58"/>
      <c r="KCE60" s="58"/>
      <c r="KCF60" s="58"/>
      <c r="KCG60" s="58"/>
      <c r="KCH60" s="58"/>
      <c r="KCI60" s="58"/>
      <c r="KCJ60" s="58"/>
      <c r="KCK60" s="58"/>
      <c r="KCL60" s="58"/>
      <c r="KCM60" s="58"/>
      <c r="KCN60" s="58"/>
      <c r="KCO60" s="58"/>
      <c r="KCP60" s="58"/>
      <c r="KCQ60" s="58"/>
      <c r="KCR60" s="58"/>
      <c r="KCS60" s="58"/>
      <c r="KCT60" s="58"/>
      <c r="KCU60" s="58"/>
      <c r="KCV60" s="58"/>
      <c r="KCW60" s="58"/>
      <c r="KCX60" s="58"/>
      <c r="KCY60" s="58"/>
      <c r="KCZ60" s="58"/>
      <c r="KDA60" s="58"/>
      <c r="KDB60" s="58"/>
      <c r="KDC60" s="58"/>
      <c r="KDD60" s="58"/>
      <c r="KDE60" s="58"/>
      <c r="KDF60" s="58"/>
      <c r="KDG60" s="58"/>
      <c r="KDH60" s="58"/>
      <c r="KDI60" s="58"/>
      <c r="KDJ60" s="58"/>
      <c r="KDK60" s="58"/>
      <c r="KDL60" s="58"/>
      <c r="KDM60" s="58"/>
      <c r="KDN60" s="58"/>
      <c r="KDO60" s="58"/>
      <c r="KDP60" s="58"/>
      <c r="KDQ60" s="58"/>
      <c r="KDR60" s="58"/>
      <c r="KDS60" s="58"/>
      <c r="KDT60" s="58"/>
      <c r="KDU60" s="58"/>
      <c r="KDV60" s="58"/>
      <c r="KDW60" s="58"/>
      <c r="KDX60" s="58"/>
      <c r="KDY60" s="58"/>
      <c r="KDZ60" s="58"/>
      <c r="KEA60" s="58"/>
      <c r="KEB60" s="58"/>
      <c r="KEC60" s="58"/>
      <c r="KED60" s="58"/>
      <c r="KEE60" s="58"/>
      <c r="KEF60" s="58"/>
      <c r="KEG60" s="58"/>
      <c r="KEH60" s="58"/>
      <c r="KEI60" s="58"/>
      <c r="KEJ60" s="58"/>
      <c r="KEK60" s="58"/>
      <c r="KEL60" s="58"/>
      <c r="KEM60" s="58"/>
      <c r="KEN60" s="58"/>
      <c r="KEO60" s="58"/>
      <c r="KEP60" s="58"/>
      <c r="KEQ60" s="58"/>
      <c r="KER60" s="58"/>
      <c r="KES60" s="58"/>
      <c r="KET60" s="58"/>
      <c r="KEU60" s="58"/>
      <c r="KEV60" s="58"/>
      <c r="KEW60" s="58"/>
      <c r="KEX60" s="58"/>
      <c r="KEY60" s="58"/>
      <c r="KEZ60" s="58"/>
      <c r="KFA60" s="58"/>
      <c r="KFB60" s="58"/>
      <c r="KFC60" s="58"/>
      <c r="KFD60" s="58"/>
      <c r="KFE60" s="58"/>
      <c r="KFF60" s="58"/>
      <c r="KFG60" s="58"/>
      <c r="KFH60" s="58"/>
      <c r="KFI60" s="58"/>
      <c r="KFJ60" s="58"/>
      <c r="KFK60" s="58"/>
      <c r="KFL60" s="58"/>
      <c r="KFM60" s="58"/>
      <c r="KFN60" s="58"/>
      <c r="KFO60" s="58"/>
      <c r="KFP60" s="58"/>
      <c r="KFQ60" s="58"/>
      <c r="KFR60" s="58"/>
      <c r="KFS60" s="58"/>
      <c r="KFT60" s="58"/>
      <c r="KFU60" s="58"/>
      <c r="KFV60" s="58"/>
      <c r="KFW60" s="58"/>
      <c r="KFX60" s="58"/>
      <c r="KFY60" s="58"/>
      <c r="KFZ60" s="58"/>
      <c r="KGA60" s="58"/>
      <c r="KGB60" s="58"/>
      <c r="KGC60" s="58"/>
      <c r="KGD60" s="58"/>
      <c r="KGE60" s="58"/>
      <c r="KGF60" s="58"/>
      <c r="KGG60" s="58"/>
      <c r="KGH60" s="58"/>
      <c r="KGI60" s="58"/>
      <c r="KGJ60" s="58"/>
      <c r="KGK60" s="58"/>
      <c r="KGL60" s="58"/>
      <c r="KGM60" s="58"/>
      <c r="KGN60" s="58"/>
      <c r="KGO60" s="58"/>
      <c r="KGP60" s="58"/>
      <c r="KGQ60" s="58"/>
      <c r="KGR60" s="58"/>
      <c r="KGS60" s="58"/>
      <c r="KGT60" s="58"/>
      <c r="KGU60" s="58"/>
      <c r="KGV60" s="58"/>
      <c r="KGW60" s="58"/>
      <c r="KGX60" s="58"/>
      <c r="KGY60" s="58"/>
      <c r="KGZ60" s="58"/>
      <c r="KHA60" s="58"/>
      <c r="KHB60" s="58"/>
      <c r="KHC60" s="58"/>
      <c r="KHD60" s="58"/>
      <c r="KHE60" s="58"/>
      <c r="KHF60" s="58"/>
      <c r="KHG60" s="58"/>
      <c r="KHH60" s="58"/>
      <c r="KHI60" s="58"/>
      <c r="KHJ60" s="58"/>
      <c r="KHK60" s="58"/>
      <c r="KHL60" s="58"/>
      <c r="KHM60" s="58"/>
      <c r="KHN60" s="58"/>
      <c r="KHO60" s="58"/>
      <c r="KHQ60" s="58"/>
      <c r="KHR60" s="58"/>
      <c r="KHT60" s="58"/>
      <c r="KHZ60" s="58"/>
      <c r="KIA60" s="58"/>
      <c r="KIO60" s="58"/>
      <c r="KIP60" s="58"/>
      <c r="KIQ60" s="58"/>
      <c r="KIR60" s="58"/>
      <c r="KIS60" s="58"/>
      <c r="KIT60" s="58"/>
      <c r="KIU60" s="58"/>
      <c r="KIV60" s="58"/>
      <c r="KIW60" s="58"/>
      <c r="KIX60" s="58"/>
      <c r="KIY60" s="58"/>
      <c r="KIZ60" s="58"/>
      <c r="KJA60" s="58"/>
      <c r="KJB60" s="58"/>
      <c r="KJC60" s="58"/>
      <c r="KJD60" s="58"/>
      <c r="KJE60" s="58"/>
      <c r="KJF60" s="58"/>
      <c r="KJG60" s="58"/>
      <c r="KJH60" s="58"/>
      <c r="KJI60" s="58"/>
      <c r="KJJ60" s="58"/>
      <c r="KJK60" s="58"/>
      <c r="KJL60" s="58"/>
      <c r="KJM60" s="58"/>
      <c r="KJN60" s="58"/>
      <c r="KJO60" s="58"/>
      <c r="KJP60" s="58"/>
      <c r="KJQ60" s="58"/>
      <c r="KJR60" s="58"/>
      <c r="KJS60" s="58"/>
      <c r="KJT60" s="58"/>
      <c r="KJU60" s="58"/>
      <c r="KJV60" s="58"/>
      <c r="KJW60" s="58"/>
      <c r="KJX60" s="58"/>
      <c r="KJY60" s="58"/>
      <c r="KJZ60" s="58"/>
      <c r="KKA60" s="58"/>
      <c r="KKB60" s="58"/>
      <c r="KKC60" s="58"/>
      <c r="KKD60" s="58"/>
      <c r="KKE60" s="58"/>
      <c r="KKF60" s="58"/>
      <c r="KKG60" s="58"/>
      <c r="KKH60" s="58"/>
      <c r="KKI60" s="58"/>
      <c r="KKJ60" s="58"/>
      <c r="KKK60" s="58"/>
      <c r="KKL60" s="58"/>
      <c r="KKM60" s="58"/>
      <c r="KKN60" s="58"/>
      <c r="KKO60" s="58"/>
      <c r="KKP60" s="58"/>
      <c r="KKQ60" s="58"/>
      <c r="KKR60" s="58"/>
      <c r="KKS60" s="58"/>
      <c r="KKT60" s="58"/>
      <c r="KKU60" s="58"/>
      <c r="KKV60" s="58"/>
      <c r="KKW60" s="58"/>
      <c r="KKX60" s="58"/>
      <c r="KKY60" s="58"/>
      <c r="KKZ60" s="58"/>
      <c r="KLA60" s="58"/>
      <c r="KLB60" s="58"/>
      <c r="KLC60" s="58"/>
      <c r="KLD60" s="58"/>
      <c r="KLE60" s="58"/>
      <c r="KLF60" s="58"/>
      <c r="KLG60" s="58"/>
      <c r="KLH60" s="58"/>
      <c r="KLI60" s="58"/>
      <c r="KLJ60" s="58"/>
      <c r="KLK60" s="58"/>
      <c r="KLL60" s="58"/>
      <c r="KLM60" s="58"/>
      <c r="KLN60" s="58"/>
      <c r="KLO60" s="58"/>
      <c r="KLP60" s="58"/>
      <c r="KLQ60" s="58"/>
      <c r="KLR60" s="58"/>
      <c r="KLS60" s="58"/>
      <c r="KLT60" s="58"/>
      <c r="KLU60" s="58"/>
      <c r="KLV60" s="58"/>
      <c r="KLW60" s="58"/>
      <c r="KLX60" s="58"/>
      <c r="KLY60" s="58"/>
      <c r="KLZ60" s="58"/>
      <c r="KMA60" s="58"/>
      <c r="KMB60" s="58"/>
      <c r="KMC60" s="58"/>
      <c r="KMD60" s="58"/>
      <c r="KME60" s="58"/>
      <c r="KMF60" s="58"/>
      <c r="KMG60" s="58"/>
      <c r="KMH60" s="58"/>
      <c r="KMI60" s="58"/>
      <c r="KMJ60" s="58"/>
      <c r="KMK60" s="58"/>
      <c r="KML60" s="58"/>
      <c r="KMM60" s="58"/>
      <c r="KMN60" s="58"/>
      <c r="KMO60" s="58"/>
      <c r="KMP60" s="58"/>
      <c r="KMQ60" s="58"/>
      <c r="KMR60" s="58"/>
      <c r="KMS60" s="58"/>
      <c r="KMT60" s="58"/>
      <c r="KMU60" s="58"/>
      <c r="KMV60" s="58"/>
      <c r="KMW60" s="58"/>
      <c r="KMX60" s="58"/>
      <c r="KMY60" s="58"/>
      <c r="KMZ60" s="58"/>
      <c r="KNA60" s="58"/>
      <c r="KNB60" s="58"/>
      <c r="KNC60" s="58"/>
      <c r="KND60" s="58"/>
      <c r="KNE60" s="58"/>
      <c r="KNF60" s="58"/>
      <c r="KNG60" s="58"/>
      <c r="KNH60" s="58"/>
      <c r="KNI60" s="58"/>
      <c r="KNJ60" s="58"/>
      <c r="KNK60" s="58"/>
      <c r="KNL60" s="58"/>
      <c r="KNM60" s="58"/>
      <c r="KNN60" s="58"/>
      <c r="KNO60" s="58"/>
      <c r="KNP60" s="58"/>
      <c r="KNQ60" s="58"/>
      <c r="KNR60" s="58"/>
      <c r="KNS60" s="58"/>
      <c r="KNT60" s="58"/>
      <c r="KNU60" s="58"/>
      <c r="KNV60" s="58"/>
      <c r="KNW60" s="58"/>
      <c r="KNX60" s="58"/>
      <c r="KNY60" s="58"/>
      <c r="KNZ60" s="58"/>
      <c r="KOA60" s="58"/>
      <c r="KOB60" s="58"/>
      <c r="KOC60" s="58"/>
      <c r="KOD60" s="58"/>
      <c r="KOE60" s="58"/>
      <c r="KOF60" s="58"/>
      <c r="KOG60" s="58"/>
      <c r="KOH60" s="58"/>
      <c r="KOI60" s="58"/>
      <c r="KOJ60" s="58"/>
      <c r="KOK60" s="58"/>
      <c r="KOL60" s="58"/>
      <c r="KOM60" s="58"/>
      <c r="KON60" s="58"/>
      <c r="KOO60" s="58"/>
      <c r="KOP60" s="58"/>
      <c r="KOQ60" s="58"/>
      <c r="KOR60" s="58"/>
      <c r="KOS60" s="58"/>
      <c r="KOT60" s="58"/>
      <c r="KOU60" s="58"/>
      <c r="KOV60" s="58"/>
      <c r="KOW60" s="58"/>
      <c r="KOX60" s="58"/>
      <c r="KOY60" s="58"/>
      <c r="KOZ60" s="58"/>
      <c r="KPA60" s="58"/>
      <c r="KPB60" s="58"/>
      <c r="KPC60" s="58"/>
      <c r="KPD60" s="58"/>
      <c r="KPE60" s="58"/>
      <c r="KPF60" s="58"/>
      <c r="KPG60" s="58"/>
      <c r="KPH60" s="58"/>
      <c r="KPI60" s="58"/>
      <c r="KPJ60" s="58"/>
      <c r="KPK60" s="58"/>
      <c r="KPL60" s="58"/>
      <c r="KPM60" s="58"/>
      <c r="KPN60" s="58"/>
      <c r="KPO60" s="58"/>
      <c r="KPP60" s="58"/>
      <c r="KPQ60" s="58"/>
      <c r="KPR60" s="58"/>
      <c r="KPS60" s="58"/>
      <c r="KPT60" s="58"/>
      <c r="KPU60" s="58"/>
      <c r="KPV60" s="58"/>
      <c r="KPW60" s="58"/>
      <c r="KPX60" s="58"/>
      <c r="KPY60" s="58"/>
      <c r="KPZ60" s="58"/>
      <c r="KQA60" s="58"/>
      <c r="KQB60" s="58"/>
      <c r="KQC60" s="58"/>
      <c r="KQD60" s="58"/>
      <c r="KQE60" s="58"/>
      <c r="KQF60" s="58"/>
      <c r="KQG60" s="58"/>
      <c r="KQH60" s="58"/>
      <c r="KQI60" s="58"/>
      <c r="KQJ60" s="58"/>
      <c r="KQK60" s="58"/>
      <c r="KQL60" s="58"/>
      <c r="KQM60" s="58"/>
      <c r="KQN60" s="58"/>
      <c r="KQO60" s="58"/>
      <c r="KQP60" s="58"/>
      <c r="KQQ60" s="58"/>
      <c r="KQR60" s="58"/>
      <c r="KQS60" s="58"/>
      <c r="KQT60" s="58"/>
      <c r="KQU60" s="58"/>
      <c r="KQV60" s="58"/>
      <c r="KQW60" s="58"/>
      <c r="KQX60" s="58"/>
      <c r="KQY60" s="58"/>
      <c r="KQZ60" s="58"/>
      <c r="KRA60" s="58"/>
      <c r="KRB60" s="58"/>
      <c r="KRC60" s="58"/>
      <c r="KRD60" s="58"/>
      <c r="KRE60" s="58"/>
      <c r="KRF60" s="58"/>
      <c r="KRG60" s="58"/>
      <c r="KRH60" s="58"/>
      <c r="KRI60" s="58"/>
      <c r="KRJ60" s="58"/>
      <c r="KRK60" s="58"/>
      <c r="KRM60" s="58"/>
      <c r="KRN60" s="58"/>
      <c r="KRP60" s="58"/>
      <c r="KRV60" s="58"/>
      <c r="KRW60" s="58"/>
      <c r="KSK60" s="58"/>
      <c r="KSL60" s="58"/>
      <c r="KSM60" s="58"/>
      <c r="KSN60" s="58"/>
      <c r="KSO60" s="58"/>
      <c r="KSP60" s="58"/>
      <c r="KSQ60" s="58"/>
      <c r="KSR60" s="58"/>
      <c r="KSS60" s="58"/>
      <c r="KST60" s="58"/>
      <c r="KSU60" s="58"/>
      <c r="KSV60" s="58"/>
      <c r="KSW60" s="58"/>
      <c r="KSX60" s="58"/>
      <c r="KSY60" s="58"/>
      <c r="KSZ60" s="58"/>
      <c r="KTA60" s="58"/>
      <c r="KTB60" s="58"/>
      <c r="KTC60" s="58"/>
      <c r="KTD60" s="58"/>
      <c r="KTE60" s="58"/>
      <c r="KTF60" s="58"/>
      <c r="KTG60" s="58"/>
      <c r="KTH60" s="58"/>
      <c r="KTI60" s="58"/>
      <c r="KTJ60" s="58"/>
      <c r="KTK60" s="58"/>
      <c r="KTL60" s="58"/>
      <c r="KTM60" s="58"/>
      <c r="KTN60" s="58"/>
      <c r="KTO60" s="58"/>
      <c r="KTP60" s="58"/>
      <c r="KTQ60" s="58"/>
      <c r="KTR60" s="58"/>
      <c r="KTS60" s="58"/>
      <c r="KTT60" s="58"/>
      <c r="KTU60" s="58"/>
      <c r="KTV60" s="58"/>
      <c r="KTW60" s="58"/>
      <c r="KTX60" s="58"/>
      <c r="KTY60" s="58"/>
      <c r="KTZ60" s="58"/>
      <c r="KUA60" s="58"/>
      <c r="KUB60" s="58"/>
      <c r="KUC60" s="58"/>
      <c r="KUD60" s="58"/>
      <c r="KUE60" s="58"/>
      <c r="KUF60" s="58"/>
      <c r="KUG60" s="58"/>
      <c r="KUH60" s="58"/>
      <c r="KUI60" s="58"/>
      <c r="KUJ60" s="58"/>
      <c r="KUK60" s="58"/>
      <c r="KUL60" s="58"/>
      <c r="KUM60" s="58"/>
      <c r="KUN60" s="58"/>
      <c r="KUO60" s="58"/>
      <c r="KUP60" s="58"/>
      <c r="KUQ60" s="58"/>
      <c r="KUR60" s="58"/>
      <c r="KUS60" s="58"/>
      <c r="KUT60" s="58"/>
      <c r="KUU60" s="58"/>
      <c r="KUV60" s="58"/>
      <c r="KUW60" s="58"/>
      <c r="KUX60" s="58"/>
      <c r="KUY60" s="58"/>
      <c r="KUZ60" s="58"/>
      <c r="KVA60" s="58"/>
      <c r="KVB60" s="58"/>
      <c r="KVC60" s="58"/>
      <c r="KVD60" s="58"/>
      <c r="KVE60" s="58"/>
      <c r="KVF60" s="58"/>
      <c r="KVG60" s="58"/>
      <c r="KVH60" s="58"/>
      <c r="KVI60" s="58"/>
      <c r="KVJ60" s="58"/>
      <c r="KVK60" s="58"/>
      <c r="KVL60" s="58"/>
      <c r="KVM60" s="58"/>
      <c r="KVN60" s="58"/>
      <c r="KVO60" s="58"/>
      <c r="KVP60" s="58"/>
      <c r="KVQ60" s="58"/>
      <c r="KVR60" s="58"/>
      <c r="KVS60" s="58"/>
      <c r="KVT60" s="58"/>
      <c r="KVU60" s="58"/>
      <c r="KVV60" s="58"/>
      <c r="KVW60" s="58"/>
      <c r="KVX60" s="58"/>
      <c r="KVY60" s="58"/>
      <c r="KVZ60" s="58"/>
      <c r="KWA60" s="58"/>
      <c r="KWB60" s="58"/>
      <c r="KWC60" s="58"/>
      <c r="KWD60" s="58"/>
      <c r="KWE60" s="58"/>
      <c r="KWF60" s="58"/>
      <c r="KWG60" s="58"/>
      <c r="KWH60" s="58"/>
      <c r="KWI60" s="58"/>
      <c r="KWJ60" s="58"/>
      <c r="KWK60" s="58"/>
      <c r="KWL60" s="58"/>
      <c r="KWM60" s="58"/>
      <c r="KWN60" s="58"/>
      <c r="KWO60" s="58"/>
      <c r="KWP60" s="58"/>
      <c r="KWQ60" s="58"/>
      <c r="KWR60" s="58"/>
      <c r="KWS60" s="58"/>
      <c r="KWT60" s="58"/>
      <c r="KWU60" s="58"/>
      <c r="KWV60" s="58"/>
      <c r="KWW60" s="58"/>
      <c r="KWX60" s="58"/>
      <c r="KWY60" s="58"/>
      <c r="KWZ60" s="58"/>
      <c r="KXA60" s="58"/>
      <c r="KXB60" s="58"/>
      <c r="KXC60" s="58"/>
      <c r="KXD60" s="58"/>
      <c r="KXE60" s="58"/>
      <c r="KXF60" s="58"/>
      <c r="KXG60" s="58"/>
      <c r="KXH60" s="58"/>
      <c r="KXI60" s="58"/>
      <c r="KXJ60" s="58"/>
      <c r="KXK60" s="58"/>
      <c r="KXL60" s="58"/>
      <c r="KXM60" s="58"/>
      <c r="KXN60" s="58"/>
      <c r="KXO60" s="58"/>
      <c r="KXP60" s="58"/>
      <c r="KXQ60" s="58"/>
      <c r="KXR60" s="58"/>
      <c r="KXS60" s="58"/>
      <c r="KXT60" s="58"/>
      <c r="KXU60" s="58"/>
      <c r="KXV60" s="58"/>
      <c r="KXW60" s="58"/>
      <c r="KXX60" s="58"/>
      <c r="KXY60" s="58"/>
      <c r="KXZ60" s="58"/>
      <c r="KYA60" s="58"/>
      <c r="KYB60" s="58"/>
      <c r="KYC60" s="58"/>
      <c r="KYD60" s="58"/>
      <c r="KYE60" s="58"/>
      <c r="KYF60" s="58"/>
      <c r="KYG60" s="58"/>
      <c r="KYH60" s="58"/>
      <c r="KYI60" s="58"/>
      <c r="KYJ60" s="58"/>
      <c r="KYK60" s="58"/>
      <c r="KYL60" s="58"/>
      <c r="KYM60" s="58"/>
      <c r="KYN60" s="58"/>
      <c r="KYO60" s="58"/>
      <c r="KYP60" s="58"/>
      <c r="KYQ60" s="58"/>
      <c r="KYR60" s="58"/>
      <c r="KYS60" s="58"/>
      <c r="KYT60" s="58"/>
      <c r="KYU60" s="58"/>
      <c r="KYV60" s="58"/>
      <c r="KYW60" s="58"/>
      <c r="KYX60" s="58"/>
      <c r="KYY60" s="58"/>
      <c r="KYZ60" s="58"/>
      <c r="KZA60" s="58"/>
      <c r="KZB60" s="58"/>
      <c r="KZC60" s="58"/>
      <c r="KZD60" s="58"/>
      <c r="KZE60" s="58"/>
      <c r="KZF60" s="58"/>
      <c r="KZG60" s="58"/>
      <c r="KZH60" s="58"/>
      <c r="KZI60" s="58"/>
      <c r="KZJ60" s="58"/>
      <c r="KZK60" s="58"/>
      <c r="KZL60" s="58"/>
      <c r="KZM60" s="58"/>
      <c r="KZN60" s="58"/>
      <c r="KZO60" s="58"/>
      <c r="KZP60" s="58"/>
      <c r="KZQ60" s="58"/>
      <c r="KZR60" s="58"/>
      <c r="KZS60" s="58"/>
      <c r="KZT60" s="58"/>
      <c r="KZU60" s="58"/>
      <c r="KZV60" s="58"/>
      <c r="KZW60" s="58"/>
      <c r="KZX60" s="58"/>
      <c r="KZY60" s="58"/>
      <c r="KZZ60" s="58"/>
      <c r="LAA60" s="58"/>
      <c r="LAB60" s="58"/>
      <c r="LAC60" s="58"/>
      <c r="LAD60" s="58"/>
      <c r="LAE60" s="58"/>
      <c r="LAF60" s="58"/>
      <c r="LAG60" s="58"/>
      <c r="LAH60" s="58"/>
      <c r="LAI60" s="58"/>
      <c r="LAJ60" s="58"/>
      <c r="LAK60" s="58"/>
      <c r="LAL60" s="58"/>
      <c r="LAM60" s="58"/>
      <c r="LAN60" s="58"/>
      <c r="LAO60" s="58"/>
      <c r="LAP60" s="58"/>
      <c r="LAQ60" s="58"/>
      <c r="LAR60" s="58"/>
      <c r="LAS60" s="58"/>
      <c r="LAT60" s="58"/>
      <c r="LAU60" s="58"/>
      <c r="LAV60" s="58"/>
      <c r="LAW60" s="58"/>
      <c r="LAX60" s="58"/>
      <c r="LAY60" s="58"/>
      <c r="LAZ60" s="58"/>
      <c r="LBA60" s="58"/>
      <c r="LBB60" s="58"/>
      <c r="LBC60" s="58"/>
      <c r="LBD60" s="58"/>
      <c r="LBE60" s="58"/>
      <c r="LBF60" s="58"/>
      <c r="LBG60" s="58"/>
      <c r="LBI60" s="58"/>
      <c r="LBJ60" s="58"/>
      <c r="LBL60" s="58"/>
      <c r="LBR60" s="58"/>
      <c r="LBS60" s="58"/>
      <c r="LCG60" s="58"/>
      <c r="LCH60" s="58"/>
      <c r="LCI60" s="58"/>
      <c r="LCJ60" s="58"/>
      <c r="LCK60" s="58"/>
      <c r="LCL60" s="58"/>
      <c r="LCM60" s="58"/>
      <c r="LCN60" s="58"/>
      <c r="LCO60" s="58"/>
      <c r="LCP60" s="58"/>
      <c r="LCQ60" s="58"/>
      <c r="LCR60" s="58"/>
      <c r="LCS60" s="58"/>
      <c r="LCT60" s="58"/>
      <c r="LCU60" s="58"/>
      <c r="LCV60" s="58"/>
      <c r="LCW60" s="58"/>
      <c r="LCX60" s="58"/>
      <c r="LCY60" s="58"/>
      <c r="LCZ60" s="58"/>
      <c r="LDA60" s="58"/>
      <c r="LDB60" s="58"/>
      <c r="LDC60" s="58"/>
      <c r="LDD60" s="58"/>
      <c r="LDE60" s="58"/>
      <c r="LDF60" s="58"/>
      <c r="LDG60" s="58"/>
      <c r="LDH60" s="58"/>
      <c r="LDI60" s="58"/>
      <c r="LDJ60" s="58"/>
      <c r="LDK60" s="58"/>
      <c r="LDL60" s="58"/>
      <c r="LDM60" s="58"/>
      <c r="LDN60" s="58"/>
      <c r="LDO60" s="58"/>
      <c r="LDP60" s="58"/>
      <c r="LDQ60" s="58"/>
      <c r="LDR60" s="58"/>
      <c r="LDS60" s="58"/>
      <c r="LDT60" s="58"/>
      <c r="LDU60" s="58"/>
      <c r="LDV60" s="58"/>
      <c r="LDW60" s="58"/>
      <c r="LDX60" s="58"/>
      <c r="LDY60" s="58"/>
      <c r="LDZ60" s="58"/>
      <c r="LEA60" s="58"/>
      <c r="LEB60" s="58"/>
      <c r="LEC60" s="58"/>
      <c r="LED60" s="58"/>
      <c r="LEE60" s="58"/>
      <c r="LEF60" s="58"/>
      <c r="LEG60" s="58"/>
      <c r="LEH60" s="58"/>
      <c r="LEI60" s="58"/>
      <c r="LEJ60" s="58"/>
      <c r="LEK60" s="58"/>
      <c r="LEL60" s="58"/>
      <c r="LEM60" s="58"/>
      <c r="LEN60" s="58"/>
      <c r="LEO60" s="58"/>
      <c r="LEP60" s="58"/>
      <c r="LEQ60" s="58"/>
      <c r="LER60" s="58"/>
      <c r="LES60" s="58"/>
      <c r="LET60" s="58"/>
      <c r="LEU60" s="58"/>
      <c r="LEV60" s="58"/>
      <c r="LEW60" s="58"/>
      <c r="LEX60" s="58"/>
      <c r="LEY60" s="58"/>
      <c r="LEZ60" s="58"/>
      <c r="LFA60" s="58"/>
      <c r="LFB60" s="58"/>
      <c r="LFC60" s="58"/>
      <c r="LFD60" s="58"/>
      <c r="LFE60" s="58"/>
      <c r="LFF60" s="58"/>
      <c r="LFG60" s="58"/>
      <c r="LFH60" s="58"/>
      <c r="LFI60" s="58"/>
      <c r="LFJ60" s="58"/>
      <c r="LFK60" s="58"/>
      <c r="LFL60" s="58"/>
      <c r="LFM60" s="58"/>
      <c r="LFN60" s="58"/>
      <c r="LFO60" s="58"/>
      <c r="LFP60" s="58"/>
      <c r="LFQ60" s="58"/>
      <c r="LFR60" s="58"/>
      <c r="LFS60" s="58"/>
      <c r="LFT60" s="58"/>
      <c r="LFU60" s="58"/>
      <c r="LFV60" s="58"/>
      <c r="LFW60" s="58"/>
      <c r="LFX60" s="58"/>
      <c r="LFY60" s="58"/>
      <c r="LFZ60" s="58"/>
      <c r="LGA60" s="58"/>
      <c r="LGB60" s="58"/>
      <c r="LGC60" s="58"/>
      <c r="LGD60" s="58"/>
      <c r="LGE60" s="58"/>
      <c r="LGF60" s="58"/>
      <c r="LGG60" s="58"/>
      <c r="LGH60" s="58"/>
      <c r="LGI60" s="58"/>
      <c r="LGJ60" s="58"/>
      <c r="LGK60" s="58"/>
      <c r="LGL60" s="58"/>
      <c r="LGM60" s="58"/>
      <c r="LGN60" s="58"/>
      <c r="LGO60" s="58"/>
      <c r="LGP60" s="58"/>
      <c r="LGQ60" s="58"/>
      <c r="LGR60" s="58"/>
      <c r="LGS60" s="58"/>
      <c r="LGT60" s="58"/>
      <c r="LGU60" s="58"/>
      <c r="LGV60" s="58"/>
      <c r="LGW60" s="58"/>
      <c r="LGX60" s="58"/>
      <c r="LGY60" s="58"/>
      <c r="LGZ60" s="58"/>
      <c r="LHA60" s="58"/>
      <c r="LHB60" s="58"/>
      <c r="LHC60" s="58"/>
      <c r="LHD60" s="58"/>
      <c r="LHE60" s="58"/>
      <c r="LHF60" s="58"/>
      <c r="LHG60" s="58"/>
      <c r="LHH60" s="58"/>
      <c r="LHI60" s="58"/>
      <c r="LHJ60" s="58"/>
      <c r="LHK60" s="58"/>
      <c r="LHL60" s="58"/>
      <c r="LHM60" s="58"/>
      <c r="LHN60" s="58"/>
      <c r="LHO60" s="58"/>
      <c r="LHP60" s="58"/>
      <c r="LHQ60" s="58"/>
      <c r="LHR60" s="58"/>
      <c r="LHS60" s="58"/>
      <c r="LHT60" s="58"/>
      <c r="LHU60" s="58"/>
      <c r="LHV60" s="58"/>
      <c r="LHW60" s="58"/>
      <c r="LHX60" s="58"/>
      <c r="LHY60" s="58"/>
      <c r="LHZ60" s="58"/>
      <c r="LIA60" s="58"/>
      <c r="LIB60" s="58"/>
      <c r="LIC60" s="58"/>
      <c r="LID60" s="58"/>
      <c r="LIE60" s="58"/>
      <c r="LIF60" s="58"/>
      <c r="LIG60" s="58"/>
      <c r="LIH60" s="58"/>
      <c r="LII60" s="58"/>
      <c r="LIJ60" s="58"/>
      <c r="LIK60" s="58"/>
      <c r="LIL60" s="58"/>
      <c r="LIM60" s="58"/>
      <c r="LIN60" s="58"/>
      <c r="LIO60" s="58"/>
      <c r="LIP60" s="58"/>
      <c r="LIQ60" s="58"/>
      <c r="LIR60" s="58"/>
      <c r="LIS60" s="58"/>
      <c r="LIT60" s="58"/>
      <c r="LIU60" s="58"/>
      <c r="LIV60" s="58"/>
      <c r="LIW60" s="58"/>
      <c r="LIX60" s="58"/>
      <c r="LIY60" s="58"/>
      <c r="LIZ60" s="58"/>
      <c r="LJA60" s="58"/>
      <c r="LJB60" s="58"/>
      <c r="LJC60" s="58"/>
      <c r="LJD60" s="58"/>
      <c r="LJE60" s="58"/>
      <c r="LJF60" s="58"/>
      <c r="LJG60" s="58"/>
      <c r="LJH60" s="58"/>
      <c r="LJI60" s="58"/>
      <c r="LJJ60" s="58"/>
      <c r="LJK60" s="58"/>
      <c r="LJL60" s="58"/>
      <c r="LJM60" s="58"/>
      <c r="LJN60" s="58"/>
      <c r="LJO60" s="58"/>
      <c r="LJP60" s="58"/>
      <c r="LJQ60" s="58"/>
      <c r="LJR60" s="58"/>
      <c r="LJS60" s="58"/>
      <c r="LJT60" s="58"/>
      <c r="LJU60" s="58"/>
      <c r="LJV60" s="58"/>
      <c r="LJW60" s="58"/>
      <c r="LJX60" s="58"/>
      <c r="LJY60" s="58"/>
      <c r="LJZ60" s="58"/>
      <c r="LKA60" s="58"/>
      <c r="LKB60" s="58"/>
      <c r="LKC60" s="58"/>
      <c r="LKD60" s="58"/>
      <c r="LKE60" s="58"/>
      <c r="LKF60" s="58"/>
      <c r="LKG60" s="58"/>
      <c r="LKH60" s="58"/>
      <c r="LKI60" s="58"/>
      <c r="LKJ60" s="58"/>
      <c r="LKK60" s="58"/>
      <c r="LKL60" s="58"/>
      <c r="LKM60" s="58"/>
      <c r="LKN60" s="58"/>
      <c r="LKO60" s="58"/>
      <c r="LKP60" s="58"/>
      <c r="LKQ60" s="58"/>
      <c r="LKR60" s="58"/>
      <c r="LKS60" s="58"/>
      <c r="LKT60" s="58"/>
      <c r="LKU60" s="58"/>
      <c r="LKV60" s="58"/>
      <c r="LKW60" s="58"/>
      <c r="LKX60" s="58"/>
      <c r="LKY60" s="58"/>
      <c r="LKZ60" s="58"/>
      <c r="LLA60" s="58"/>
      <c r="LLB60" s="58"/>
      <c r="LLC60" s="58"/>
      <c r="LLE60" s="58"/>
      <c r="LLF60" s="58"/>
      <c r="LLH60" s="58"/>
      <c r="LLN60" s="58"/>
      <c r="LLO60" s="58"/>
      <c r="LMC60" s="58"/>
      <c r="LMD60" s="58"/>
      <c r="LME60" s="58"/>
      <c r="LMF60" s="58"/>
      <c r="LMG60" s="58"/>
      <c r="LMH60" s="58"/>
      <c r="LMI60" s="58"/>
      <c r="LMJ60" s="58"/>
      <c r="LMK60" s="58"/>
      <c r="LML60" s="58"/>
      <c r="LMM60" s="58"/>
      <c r="LMN60" s="58"/>
      <c r="LMO60" s="58"/>
      <c r="LMP60" s="58"/>
      <c r="LMQ60" s="58"/>
      <c r="LMR60" s="58"/>
      <c r="LMS60" s="58"/>
      <c r="LMT60" s="58"/>
      <c r="LMU60" s="58"/>
      <c r="LMV60" s="58"/>
      <c r="LMW60" s="58"/>
      <c r="LMX60" s="58"/>
      <c r="LMY60" s="58"/>
      <c r="LMZ60" s="58"/>
      <c r="LNA60" s="58"/>
      <c r="LNB60" s="58"/>
      <c r="LNC60" s="58"/>
      <c r="LND60" s="58"/>
      <c r="LNE60" s="58"/>
      <c r="LNF60" s="58"/>
      <c r="LNG60" s="58"/>
      <c r="LNH60" s="58"/>
      <c r="LNI60" s="58"/>
      <c r="LNJ60" s="58"/>
      <c r="LNK60" s="58"/>
      <c r="LNL60" s="58"/>
      <c r="LNM60" s="58"/>
      <c r="LNN60" s="58"/>
      <c r="LNO60" s="58"/>
      <c r="LNP60" s="58"/>
      <c r="LNQ60" s="58"/>
      <c r="LNR60" s="58"/>
      <c r="LNS60" s="58"/>
      <c r="LNT60" s="58"/>
      <c r="LNU60" s="58"/>
      <c r="LNV60" s="58"/>
      <c r="LNW60" s="58"/>
      <c r="LNX60" s="58"/>
      <c r="LNY60" s="58"/>
      <c r="LNZ60" s="58"/>
      <c r="LOA60" s="58"/>
      <c r="LOB60" s="58"/>
      <c r="LOC60" s="58"/>
      <c r="LOD60" s="58"/>
      <c r="LOE60" s="58"/>
      <c r="LOF60" s="58"/>
      <c r="LOG60" s="58"/>
      <c r="LOH60" s="58"/>
      <c r="LOI60" s="58"/>
      <c r="LOJ60" s="58"/>
      <c r="LOK60" s="58"/>
      <c r="LOL60" s="58"/>
      <c r="LOM60" s="58"/>
      <c r="LON60" s="58"/>
      <c r="LOO60" s="58"/>
      <c r="LOP60" s="58"/>
      <c r="LOQ60" s="58"/>
      <c r="LOR60" s="58"/>
      <c r="LOS60" s="58"/>
      <c r="LOT60" s="58"/>
      <c r="LOU60" s="58"/>
      <c r="LOV60" s="58"/>
      <c r="LOW60" s="58"/>
      <c r="LOX60" s="58"/>
      <c r="LOY60" s="58"/>
      <c r="LOZ60" s="58"/>
      <c r="LPA60" s="58"/>
      <c r="LPB60" s="58"/>
      <c r="LPC60" s="58"/>
      <c r="LPD60" s="58"/>
      <c r="LPE60" s="58"/>
      <c r="LPF60" s="58"/>
      <c r="LPG60" s="58"/>
      <c r="LPH60" s="58"/>
      <c r="LPI60" s="58"/>
      <c r="LPJ60" s="58"/>
      <c r="LPK60" s="58"/>
      <c r="LPL60" s="58"/>
      <c r="LPM60" s="58"/>
      <c r="LPN60" s="58"/>
      <c r="LPO60" s="58"/>
      <c r="LPP60" s="58"/>
      <c r="LPQ60" s="58"/>
      <c r="LPR60" s="58"/>
      <c r="LPS60" s="58"/>
      <c r="LPT60" s="58"/>
      <c r="LPU60" s="58"/>
      <c r="LPV60" s="58"/>
      <c r="LPW60" s="58"/>
      <c r="LPX60" s="58"/>
      <c r="LPY60" s="58"/>
      <c r="LPZ60" s="58"/>
      <c r="LQA60" s="58"/>
      <c r="LQB60" s="58"/>
      <c r="LQC60" s="58"/>
      <c r="LQD60" s="58"/>
      <c r="LQE60" s="58"/>
      <c r="LQF60" s="58"/>
      <c r="LQG60" s="58"/>
      <c r="LQH60" s="58"/>
      <c r="LQI60" s="58"/>
      <c r="LQJ60" s="58"/>
      <c r="LQK60" s="58"/>
      <c r="LQL60" s="58"/>
      <c r="LQM60" s="58"/>
      <c r="LQN60" s="58"/>
      <c r="LQO60" s="58"/>
      <c r="LQP60" s="58"/>
      <c r="LQQ60" s="58"/>
      <c r="LQR60" s="58"/>
      <c r="LQS60" s="58"/>
      <c r="LQT60" s="58"/>
      <c r="LQU60" s="58"/>
      <c r="LQV60" s="58"/>
      <c r="LQW60" s="58"/>
      <c r="LQX60" s="58"/>
      <c r="LQY60" s="58"/>
      <c r="LQZ60" s="58"/>
      <c r="LRA60" s="58"/>
      <c r="LRB60" s="58"/>
      <c r="LRC60" s="58"/>
      <c r="LRD60" s="58"/>
      <c r="LRE60" s="58"/>
      <c r="LRF60" s="58"/>
      <c r="LRG60" s="58"/>
      <c r="LRH60" s="58"/>
      <c r="LRI60" s="58"/>
      <c r="LRJ60" s="58"/>
      <c r="LRK60" s="58"/>
      <c r="LRL60" s="58"/>
      <c r="LRM60" s="58"/>
      <c r="LRN60" s="58"/>
      <c r="LRO60" s="58"/>
      <c r="LRP60" s="58"/>
      <c r="LRQ60" s="58"/>
      <c r="LRR60" s="58"/>
      <c r="LRS60" s="58"/>
      <c r="LRT60" s="58"/>
      <c r="LRU60" s="58"/>
      <c r="LRV60" s="58"/>
      <c r="LRW60" s="58"/>
      <c r="LRX60" s="58"/>
      <c r="LRY60" s="58"/>
      <c r="LRZ60" s="58"/>
      <c r="LSA60" s="58"/>
      <c r="LSB60" s="58"/>
      <c r="LSC60" s="58"/>
      <c r="LSD60" s="58"/>
      <c r="LSE60" s="58"/>
      <c r="LSF60" s="58"/>
      <c r="LSG60" s="58"/>
      <c r="LSH60" s="58"/>
      <c r="LSI60" s="58"/>
      <c r="LSJ60" s="58"/>
      <c r="LSK60" s="58"/>
      <c r="LSL60" s="58"/>
      <c r="LSM60" s="58"/>
      <c r="LSN60" s="58"/>
      <c r="LSO60" s="58"/>
      <c r="LSP60" s="58"/>
      <c r="LSQ60" s="58"/>
      <c r="LSR60" s="58"/>
      <c r="LSS60" s="58"/>
      <c r="LST60" s="58"/>
      <c r="LSU60" s="58"/>
      <c r="LSV60" s="58"/>
      <c r="LSW60" s="58"/>
      <c r="LSX60" s="58"/>
      <c r="LSY60" s="58"/>
      <c r="LSZ60" s="58"/>
      <c r="LTA60" s="58"/>
      <c r="LTB60" s="58"/>
      <c r="LTC60" s="58"/>
      <c r="LTD60" s="58"/>
      <c r="LTE60" s="58"/>
      <c r="LTF60" s="58"/>
      <c r="LTG60" s="58"/>
      <c r="LTH60" s="58"/>
      <c r="LTI60" s="58"/>
      <c r="LTJ60" s="58"/>
      <c r="LTK60" s="58"/>
      <c r="LTL60" s="58"/>
      <c r="LTM60" s="58"/>
      <c r="LTN60" s="58"/>
      <c r="LTO60" s="58"/>
      <c r="LTP60" s="58"/>
      <c r="LTQ60" s="58"/>
      <c r="LTR60" s="58"/>
      <c r="LTS60" s="58"/>
      <c r="LTT60" s="58"/>
      <c r="LTU60" s="58"/>
      <c r="LTV60" s="58"/>
      <c r="LTW60" s="58"/>
      <c r="LTX60" s="58"/>
      <c r="LTY60" s="58"/>
      <c r="LTZ60" s="58"/>
      <c r="LUA60" s="58"/>
      <c r="LUB60" s="58"/>
      <c r="LUC60" s="58"/>
      <c r="LUD60" s="58"/>
      <c r="LUE60" s="58"/>
      <c r="LUF60" s="58"/>
      <c r="LUG60" s="58"/>
      <c r="LUH60" s="58"/>
      <c r="LUI60" s="58"/>
      <c r="LUJ60" s="58"/>
      <c r="LUK60" s="58"/>
      <c r="LUL60" s="58"/>
      <c r="LUM60" s="58"/>
      <c r="LUN60" s="58"/>
      <c r="LUO60" s="58"/>
      <c r="LUP60" s="58"/>
      <c r="LUQ60" s="58"/>
      <c r="LUR60" s="58"/>
      <c r="LUS60" s="58"/>
      <c r="LUT60" s="58"/>
      <c r="LUU60" s="58"/>
      <c r="LUV60" s="58"/>
      <c r="LUW60" s="58"/>
      <c r="LUX60" s="58"/>
      <c r="LUY60" s="58"/>
      <c r="LVA60" s="58"/>
      <c r="LVB60" s="58"/>
      <c r="LVD60" s="58"/>
      <c r="LVJ60" s="58"/>
      <c r="LVK60" s="58"/>
      <c r="LVY60" s="58"/>
      <c r="LVZ60" s="58"/>
      <c r="LWA60" s="58"/>
      <c r="LWB60" s="58"/>
      <c r="LWC60" s="58"/>
      <c r="LWD60" s="58"/>
      <c r="LWE60" s="58"/>
      <c r="LWF60" s="58"/>
      <c r="LWG60" s="58"/>
      <c r="LWH60" s="58"/>
      <c r="LWI60" s="58"/>
      <c r="LWJ60" s="58"/>
      <c r="LWK60" s="58"/>
      <c r="LWL60" s="58"/>
      <c r="LWM60" s="58"/>
      <c r="LWN60" s="58"/>
      <c r="LWO60" s="58"/>
      <c r="LWP60" s="58"/>
      <c r="LWQ60" s="58"/>
      <c r="LWR60" s="58"/>
      <c r="LWS60" s="58"/>
      <c r="LWT60" s="58"/>
      <c r="LWU60" s="58"/>
      <c r="LWV60" s="58"/>
      <c r="LWW60" s="58"/>
      <c r="LWX60" s="58"/>
      <c r="LWY60" s="58"/>
      <c r="LWZ60" s="58"/>
      <c r="LXA60" s="58"/>
      <c r="LXB60" s="58"/>
      <c r="LXC60" s="58"/>
      <c r="LXD60" s="58"/>
      <c r="LXE60" s="58"/>
      <c r="LXF60" s="58"/>
      <c r="LXG60" s="58"/>
      <c r="LXH60" s="58"/>
      <c r="LXI60" s="58"/>
      <c r="LXJ60" s="58"/>
      <c r="LXK60" s="58"/>
      <c r="LXL60" s="58"/>
      <c r="LXM60" s="58"/>
      <c r="LXN60" s="58"/>
      <c r="LXO60" s="58"/>
      <c r="LXP60" s="58"/>
      <c r="LXQ60" s="58"/>
      <c r="LXR60" s="58"/>
      <c r="LXS60" s="58"/>
      <c r="LXT60" s="58"/>
      <c r="LXU60" s="58"/>
      <c r="LXV60" s="58"/>
      <c r="LXW60" s="58"/>
      <c r="LXX60" s="58"/>
      <c r="LXY60" s="58"/>
      <c r="LXZ60" s="58"/>
      <c r="LYA60" s="58"/>
      <c r="LYB60" s="58"/>
      <c r="LYC60" s="58"/>
      <c r="LYD60" s="58"/>
      <c r="LYE60" s="58"/>
      <c r="LYF60" s="58"/>
      <c r="LYG60" s="58"/>
      <c r="LYH60" s="58"/>
      <c r="LYI60" s="58"/>
      <c r="LYJ60" s="58"/>
      <c r="LYK60" s="58"/>
      <c r="LYL60" s="58"/>
      <c r="LYM60" s="58"/>
      <c r="LYN60" s="58"/>
      <c r="LYO60" s="58"/>
      <c r="LYP60" s="58"/>
      <c r="LYQ60" s="58"/>
      <c r="LYR60" s="58"/>
      <c r="LYS60" s="58"/>
      <c r="LYT60" s="58"/>
      <c r="LYU60" s="58"/>
      <c r="LYV60" s="58"/>
      <c r="LYW60" s="58"/>
      <c r="LYX60" s="58"/>
      <c r="LYY60" s="58"/>
      <c r="LYZ60" s="58"/>
      <c r="LZA60" s="58"/>
      <c r="LZB60" s="58"/>
      <c r="LZC60" s="58"/>
      <c r="LZD60" s="58"/>
      <c r="LZE60" s="58"/>
      <c r="LZF60" s="58"/>
      <c r="LZG60" s="58"/>
      <c r="LZH60" s="58"/>
      <c r="LZI60" s="58"/>
      <c r="LZJ60" s="58"/>
      <c r="LZK60" s="58"/>
      <c r="LZL60" s="58"/>
      <c r="LZM60" s="58"/>
      <c r="LZN60" s="58"/>
      <c r="LZO60" s="58"/>
      <c r="LZP60" s="58"/>
      <c r="LZQ60" s="58"/>
      <c r="LZR60" s="58"/>
      <c r="LZS60" s="58"/>
      <c r="LZT60" s="58"/>
      <c r="LZU60" s="58"/>
      <c r="LZV60" s="58"/>
      <c r="LZW60" s="58"/>
      <c r="LZX60" s="58"/>
      <c r="LZY60" s="58"/>
      <c r="LZZ60" s="58"/>
      <c r="MAA60" s="58"/>
      <c r="MAB60" s="58"/>
      <c r="MAC60" s="58"/>
      <c r="MAD60" s="58"/>
      <c r="MAE60" s="58"/>
      <c r="MAF60" s="58"/>
      <c r="MAG60" s="58"/>
      <c r="MAH60" s="58"/>
      <c r="MAI60" s="58"/>
      <c r="MAJ60" s="58"/>
      <c r="MAK60" s="58"/>
      <c r="MAL60" s="58"/>
      <c r="MAM60" s="58"/>
      <c r="MAN60" s="58"/>
      <c r="MAO60" s="58"/>
      <c r="MAP60" s="58"/>
      <c r="MAQ60" s="58"/>
      <c r="MAR60" s="58"/>
      <c r="MAS60" s="58"/>
      <c r="MAT60" s="58"/>
      <c r="MAU60" s="58"/>
      <c r="MAV60" s="58"/>
      <c r="MAW60" s="58"/>
      <c r="MAX60" s="58"/>
      <c r="MAY60" s="58"/>
      <c r="MAZ60" s="58"/>
      <c r="MBA60" s="58"/>
      <c r="MBB60" s="58"/>
      <c r="MBC60" s="58"/>
      <c r="MBD60" s="58"/>
      <c r="MBE60" s="58"/>
      <c r="MBF60" s="58"/>
      <c r="MBG60" s="58"/>
      <c r="MBH60" s="58"/>
      <c r="MBI60" s="58"/>
      <c r="MBJ60" s="58"/>
      <c r="MBK60" s="58"/>
      <c r="MBL60" s="58"/>
      <c r="MBM60" s="58"/>
      <c r="MBN60" s="58"/>
      <c r="MBO60" s="58"/>
      <c r="MBP60" s="58"/>
      <c r="MBQ60" s="58"/>
      <c r="MBR60" s="58"/>
      <c r="MBS60" s="58"/>
      <c r="MBT60" s="58"/>
      <c r="MBU60" s="58"/>
      <c r="MBV60" s="58"/>
      <c r="MBW60" s="58"/>
      <c r="MBX60" s="58"/>
      <c r="MBY60" s="58"/>
      <c r="MBZ60" s="58"/>
      <c r="MCA60" s="58"/>
      <c r="MCB60" s="58"/>
      <c r="MCC60" s="58"/>
      <c r="MCD60" s="58"/>
      <c r="MCE60" s="58"/>
      <c r="MCF60" s="58"/>
      <c r="MCG60" s="58"/>
      <c r="MCH60" s="58"/>
      <c r="MCI60" s="58"/>
      <c r="MCJ60" s="58"/>
      <c r="MCK60" s="58"/>
      <c r="MCL60" s="58"/>
      <c r="MCM60" s="58"/>
      <c r="MCN60" s="58"/>
      <c r="MCO60" s="58"/>
      <c r="MCP60" s="58"/>
      <c r="MCQ60" s="58"/>
      <c r="MCR60" s="58"/>
      <c r="MCS60" s="58"/>
      <c r="MCT60" s="58"/>
      <c r="MCU60" s="58"/>
      <c r="MCV60" s="58"/>
      <c r="MCW60" s="58"/>
      <c r="MCX60" s="58"/>
      <c r="MCY60" s="58"/>
      <c r="MCZ60" s="58"/>
      <c r="MDA60" s="58"/>
      <c r="MDB60" s="58"/>
      <c r="MDC60" s="58"/>
      <c r="MDD60" s="58"/>
      <c r="MDE60" s="58"/>
      <c r="MDF60" s="58"/>
      <c r="MDG60" s="58"/>
      <c r="MDH60" s="58"/>
      <c r="MDI60" s="58"/>
      <c r="MDJ60" s="58"/>
      <c r="MDK60" s="58"/>
      <c r="MDL60" s="58"/>
      <c r="MDM60" s="58"/>
      <c r="MDN60" s="58"/>
      <c r="MDO60" s="58"/>
      <c r="MDP60" s="58"/>
      <c r="MDQ60" s="58"/>
      <c r="MDR60" s="58"/>
      <c r="MDS60" s="58"/>
      <c r="MDT60" s="58"/>
      <c r="MDU60" s="58"/>
      <c r="MDV60" s="58"/>
      <c r="MDW60" s="58"/>
      <c r="MDX60" s="58"/>
      <c r="MDY60" s="58"/>
      <c r="MDZ60" s="58"/>
      <c r="MEA60" s="58"/>
      <c r="MEB60" s="58"/>
      <c r="MEC60" s="58"/>
      <c r="MED60" s="58"/>
      <c r="MEE60" s="58"/>
      <c r="MEF60" s="58"/>
      <c r="MEG60" s="58"/>
      <c r="MEH60" s="58"/>
      <c r="MEI60" s="58"/>
      <c r="MEJ60" s="58"/>
      <c r="MEK60" s="58"/>
      <c r="MEL60" s="58"/>
      <c r="MEM60" s="58"/>
      <c r="MEN60" s="58"/>
      <c r="MEO60" s="58"/>
      <c r="MEP60" s="58"/>
      <c r="MEQ60" s="58"/>
      <c r="MER60" s="58"/>
      <c r="MES60" s="58"/>
      <c r="MET60" s="58"/>
      <c r="MEU60" s="58"/>
      <c r="MEW60" s="58"/>
      <c r="MEX60" s="58"/>
      <c r="MEZ60" s="58"/>
      <c r="MFF60" s="58"/>
      <c r="MFG60" s="58"/>
      <c r="MFU60" s="58"/>
      <c r="MFV60" s="58"/>
      <c r="MFW60" s="58"/>
      <c r="MFX60" s="58"/>
      <c r="MFY60" s="58"/>
      <c r="MFZ60" s="58"/>
      <c r="MGA60" s="58"/>
      <c r="MGB60" s="58"/>
      <c r="MGC60" s="58"/>
      <c r="MGD60" s="58"/>
      <c r="MGE60" s="58"/>
      <c r="MGF60" s="58"/>
      <c r="MGG60" s="58"/>
      <c r="MGH60" s="58"/>
      <c r="MGI60" s="58"/>
      <c r="MGJ60" s="58"/>
      <c r="MGK60" s="58"/>
      <c r="MGL60" s="58"/>
      <c r="MGM60" s="58"/>
      <c r="MGN60" s="58"/>
      <c r="MGO60" s="58"/>
      <c r="MGP60" s="58"/>
      <c r="MGQ60" s="58"/>
      <c r="MGR60" s="58"/>
      <c r="MGS60" s="58"/>
      <c r="MGT60" s="58"/>
      <c r="MGU60" s="58"/>
      <c r="MGV60" s="58"/>
      <c r="MGW60" s="58"/>
      <c r="MGX60" s="58"/>
      <c r="MGY60" s="58"/>
      <c r="MGZ60" s="58"/>
      <c r="MHA60" s="58"/>
      <c r="MHB60" s="58"/>
      <c r="MHC60" s="58"/>
      <c r="MHD60" s="58"/>
      <c r="MHE60" s="58"/>
      <c r="MHF60" s="58"/>
      <c r="MHG60" s="58"/>
      <c r="MHH60" s="58"/>
      <c r="MHI60" s="58"/>
      <c r="MHJ60" s="58"/>
      <c r="MHK60" s="58"/>
      <c r="MHL60" s="58"/>
      <c r="MHM60" s="58"/>
      <c r="MHN60" s="58"/>
      <c r="MHO60" s="58"/>
      <c r="MHP60" s="58"/>
      <c r="MHQ60" s="58"/>
      <c r="MHR60" s="58"/>
      <c r="MHS60" s="58"/>
      <c r="MHT60" s="58"/>
      <c r="MHU60" s="58"/>
      <c r="MHV60" s="58"/>
      <c r="MHW60" s="58"/>
      <c r="MHX60" s="58"/>
      <c r="MHY60" s="58"/>
      <c r="MHZ60" s="58"/>
      <c r="MIA60" s="58"/>
      <c r="MIB60" s="58"/>
      <c r="MIC60" s="58"/>
      <c r="MID60" s="58"/>
      <c r="MIE60" s="58"/>
      <c r="MIF60" s="58"/>
      <c r="MIG60" s="58"/>
      <c r="MIH60" s="58"/>
      <c r="MII60" s="58"/>
      <c r="MIJ60" s="58"/>
      <c r="MIK60" s="58"/>
      <c r="MIL60" s="58"/>
      <c r="MIM60" s="58"/>
      <c r="MIN60" s="58"/>
      <c r="MIO60" s="58"/>
      <c r="MIP60" s="58"/>
      <c r="MIQ60" s="58"/>
      <c r="MIR60" s="58"/>
      <c r="MIS60" s="58"/>
      <c r="MIT60" s="58"/>
      <c r="MIU60" s="58"/>
      <c r="MIV60" s="58"/>
      <c r="MIW60" s="58"/>
      <c r="MIX60" s="58"/>
      <c r="MIY60" s="58"/>
      <c r="MIZ60" s="58"/>
      <c r="MJA60" s="58"/>
      <c r="MJB60" s="58"/>
      <c r="MJC60" s="58"/>
      <c r="MJD60" s="58"/>
      <c r="MJE60" s="58"/>
      <c r="MJF60" s="58"/>
      <c r="MJG60" s="58"/>
      <c r="MJH60" s="58"/>
      <c r="MJI60" s="58"/>
      <c r="MJJ60" s="58"/>
      <c r="MJK60" s="58"/>
      <c r="MJL60" s="58"/>
      <c r="MJM60" s="58"/>
      <c r="MJN60" s="58"/>
      <c r="MJO60" s="58"/>
      <c r="MJP60" s="58"/>
      <c r="MJQ60" s="58"/>
      <c r="MJR60" s="58"/>
      <c r="MJS60" s="58"/>
      <c r="MJT60" s="58"/>
      <c r="MJU60" s="58"/>
      <c r="MJV60" s="58"/>
      <c r="MJW60" s="58"/>
      <c r="MJX60" s="58"/>
      <c r="MJY60" s="58"/>
      <c r="MJZ60" s="58"/>
      <c r="MKA60" s="58"/>
      <c r="MKB60" s="58"/>
      <c r="MKC60" s="58"/>
      <c r="MKD60" s="58"/>
      <c r="MKE60" s="58"/>
      <c r="MKF60" s="58"/>
      <c r="MKG60" s="58"/>
      <c r="MKH60" s="58"/>
      <c r="MKI60" s="58"/>
      <c r="MKJ60" s="58"/>
      <c r="MKK60" s="58"/>
      <c r="MKL60" s="58"/>
      <c r="MKM60" s="58"/>
      <c r="MKN60" s="58"/>
      <c r="MKO60" s="58"/>
      <c r="MKP60" s="58"/>
      <c r="MKQ60" s="58"/>
      <c r="MKR60" s="58"/>
      <c r="MKS60" s="58"/>
      <c r="MKT60" s="58"/>
      <c r="MKU60" s="58"/>
      <c r="MKV60" s="58"/>
      <c r="MKW60" s="58"/>
      <c r="MKX60" s="58"/>
      <c r="MKY60" s="58"/>
      <c r="MKZ60" s="58"/>
      <c r="MLA60" s="58"/>
      <c r="MLB60" s="58"/>
      <c r="MLC60" s="58"/>
      <c r="MLD60" s="58"/>
      <c r="MLE60" s="58"/>
      <c r="MLF60" s="58"/>
      <c r="MLG60" s="58"/>
      <c r="MLH60" s="58"/>
      <c r="MLI60" s="58"/>
      <c r="MLJ60" s="58"/>
      <c r="MLK60" s="58"/>
      <c r="MLL60" s="58"/>
      <c r="MLM60" s="58"/>
      <c r="MLN60" s="58"/>
      <c r="MLO60" s="58"/>
      <c r="MLP60" s="58"/>
      <c r="MLQ60" s="58"/>
      <c r="MLR60" s="58"/>
      <c r="MLS60" s="58"/>
      <c r="MLT60" s="58"/>
      <c r="MLU60" s="58"/>
      <c r="MLV60" s="58"/>
      <c r="MLW60" s="58"/>
      <c r="MLX60" s="58"/>
      <c r="MLY60" s="58"/>
      <c r="MLZ60" s="58"/>
      <c r="MMA60" s="58"/>
      <c r="MMB60" s="58"/>
      <c r="MMC60" s="58"/>
      <c r="MMD60" s="58"/>
      <c r="MME60" s="58"/>
      <c r="MMF60" s="58"/>
      <c r="MMG60" s="58"/>
      <c r="MMH60" s="58"/>
      <c r="MMI60" s="58"/>
      <c r="MMJ60" s="58"/>
      <c r="MMK60" s="58"/>
      <c r="MML60" s="58"/>
      <c r="MMM60" s="58"/>
      <c r="MMN60" s="58"/>
      <c r="MMO60" s="58"/>
      <c r="MMP60" s="58"/>
      <c r="MMQ60" s="58"/>
      <c r="MMR60" s="58"/>
      <c r="MMS60" s="58"/>
      <c r="MMT60" s="58"/>
      <c r="MMU60" s="58"/>
      <c r="MMV60" s="58"/>
      <c r="MMW60" s="58"/>
      <c r="MMX60" s="58"/>
      <c r="MMY60" s="58"/>
      <c r="MMZ60" s="58"/>
      <c r="MNA60" s="58"/>
      <c r="MNB60" s="58"/>
      <c r="MNC60" s="58"/>
      <c r="MND60" s="58"/>
      <c r="MNE60" s="58"/>
      <c r="MNF60" s="58"/>
      <c r="MNG60" s="58"/>
      <c r="MNH60" s="58"/>
      <c r="MNI60" s="58"/>
      <c r="MNJ60" s="58"/>
      <c r="MNK60" s="58"/>
      <c r="MNL60" s="58"/>
      <c r="MNM60" s="58"/>
      <c r="MNN60" s="58"/>
      <c r="MNO60" s="58"/>
      <c r="MNP60" s="58"/>
      <c r="MNQ60" s="58"/>
      <c r="MNR60" s="58"/>
      <c r="MNS60" s="58"/>
      <c r="MNT60" s="58"/>
      <c r="MNU60" s="58"/>
      <c r="MNV60" s="58"/>
      <c r="MNW60" s="58"/>
      <c r="MNX60" s="58"/>
      <c r="MNY60" s="58"/>
      <c r="MNZ60" s="58"/>
      <c r="MOA60" s="58"/>
      <c r="MOB60" s="58"/>
      <c r="MOC60" s="58"/>
      <c r="MOD60" s="58"/>
      <c r="MOE60" s="58"/>
      <c r="MOF60" s="58"/>
      <c r="MOG60" s="58"/>
      <c r="MOH60" s="58"/>
      <c r="MOI60" s="58"/>
      <c r="MOJ60" s="58"/>
      <c r="MOK60" s="58"/>
      <c r="MOL60" s="58"/>
      <c r="MOM60" s="58"/>
      <c r="MON60" s="58"/>
      <c r="MOO60" s="58"/>
      <c r="MOP60" s="58"/>
      <c r="MOQ60" s="58"/>
      <c r="MOS60" s="58"/>
      <c r="MOT60" s="58"/>
      <c r="MOV60" s="58"/>
      <c r="MPB60" s="58"/>
      <c r="MPC60" s="58"/>
      <c r="MPQ60" s="58"/>
      <c r="MPR60" s="58"/>
      <c r="MPS60" s="58"/>
      <c r="MPT60" s="58"/>
      <c r="MPU60" s="58"/>
      <c r="MPV60" s="58"/>
      <c r="MPW60" s="58"/>
      <c r="MPX60" s="58"/>
      <c r="MPY60" s="58"/>
      <c r="MPZ60" s="58"/>
      <c r="MQA60" s="58"/>
      <c r="MQB60" s="58"/>
      <c r="MQC60" s="58"/>
      <c r="MQD60" s="58"/>
      <c r="MQE60" s="58"/>
      <c r="MQF60" s="58"/>
      <c r="MQG60" s="58"/>
      <c r="MQH60" s="58"/>
      <c r="MQI60" s="58"/>
      <c r="MQJ60" s="58"/>
      <c r="MQK60" s="58"/>
      <c r="MQL60" s="58"/>
      <c r="MQM60" s="58"/>
      <c r="MQN60" s="58"/>
      <c r="MQO60" s="58"/>
      <c r="MQP60" s="58"/>
      <c r="MQQ60" s="58"/>
      <c r="MQR60" s="58"/>
      <c r="MQS60" s="58"/>
      <c r="MQT60" s="58"/>
      <c r="MQU60" s="58"/>
      <c r="MQV60" s="58"/>
      <c r="MQW60" s="58"/>
      <c r="MQX60" s="58"/>
      <c r="MQY60" s="58"/>
      <c r="MQZ60" s="58"/>
      <c r="MRA60" s="58"/>
      <c r="MRB60" s="58"/>
      <c r="MRC60" s="58"/>
      <c r="MRD60" s="58"/>
      <c r="MRE60" s="58"/>
      <c r="MRF60" s="58"/>
      <c r="MRG60" s="58"/>
      <c r="MRH60" s="58"/>
      <c r="MRI60" s="58"/>
      <c r="MRJ60" s="58"/>
      <c r="MRK60" s="58"/>
      <c r="MRL60" s="58"/>
      <c r="MRM60" s="58"/>
      <c r="MRN60" s="58"/>
      <c r="MRO60" s="58"/>
      <c r="MRP60" s="58"/>
      <c r="MRQ60" s="58"/>
      <c r="MRR60" s="58"/>
      <c r="MRS60" s="58"/>
      <c r="MRT60" s="58"/>
      <c r="MRU60" s="58"/>
      <c r="MRV60" s="58"/>
      <c r="MRW60" s="58"/>
      <c r="MRX60" s="58"/>
      <c r="MRY60" s="58"/>
      <c r="MRZ60" s="58"/>
      <c r="MSA60" s="58"/>
      <c r="MSB60" s="58"/>
      <c r="MSC60" s="58"/>
      <c r="MSD60" s="58"/>
      <c r="MSE60" s="58"/>
      <c r="MSF60" s="58"/>
      <c r="MSG60" s="58"/>
      <c r="MSH60" s="58"/>
      <c r="MSI60" s="58"/>
      <c r="MSJ60" s="58"/>
      <c r="MSK60" s="58"/>
      <c r="MSL60" s="58"/>
      <c r="MSM60" s="58"/>
      <c r="MSN60" s="58"/>
      <c r="MSO60" s="58"/>
      <c r="MSP60" s="58"/>
      <c r="MSQ60" s="58"/>
      <c r="MSR60" s="58"/>
      <c r="MSS60" s="58"/>
      <c r="MST60" s="58"/>
      <c r="MSU60" s="58"/>
      <c r="MSV60" s="58"/>
      <c r="MSW60" s="58"/>
      <c r="MSX60" s="58"/>
      <c r="MSY60" s="58"/>
      <c r="MSZ60" s="58"/>
      <c r="MTA60" s="58"/>
      <c r="MTB60" s="58"/>
      <c r="MTC60" s="58"/>
      <c r="MTD60" s="58"/>
      <c r="MTE60" s="58"/>
      <c r="MTF60" s="58"/>
      <c r="MTG60" s="58"/>
      <c r="MTH60" s="58"/>
      <c r="MTI60" s="58"/>
      <c r="MTJ60" s="58"/>
      <c r="MTK60" s="58"/>
      <c r="MTL60" s="58"/>
      <c r="MTM60" s="58"/>
      <c r="MTN60" s="58"/>
      <c r="MTO60" s="58"/>
      <c r="MTP60" s="58"/>
      <c r="MTQ60" s="58"/>
      <c r="MTR60" s="58"/>
      <c r="MTS60" s="58"/>
      <c r="MTT60" s="58"/>
      <c r="MTU60" s="58"/>
      <c r="MTV60" s="58"/>
      <c r="MTW60" s="58"/>
      <c r="MTX60" s="58"/>
      <c r="MTY60" s="58"/>
      <c r="MTZ60" s="58"/>
      <c r="MUA60" s="58"/>
      <c r="MUB60" s="58"/>
      <c r="MUC60" s="58"/>
      <c r="MUD60" s="58"/>
      <c r="MUE60" s="58"/>
      <c r="MUF60" s="58"/>
      <c r="MUG60" s="58"/>
      <c r="MUH60" s="58"/>
      <c r="MUI60" s="58"/>
      <c r="MUJ60" s="58"/>
      <c r="MUK60" s="58"/>
      <c r="MUL60" s="58"/>
      <c r="MUM60" s="58"/>
      <c r="MUN60" s="58"/>
      <c r="MUO60" s="58"/>
      <c r="MUP60" s="58"/>
      <c r="MUQ60" s="58"/>
      <c r="MUR60" s="58"/>
      <c r="MUS60" s="58"/>
      <c r="MUT60" s="58"/>
      <c r="MUU60" s="58"/>
      <c r="MUV60" s="58"/>
      <c r="MUW60" s="58"/>
      <c r="MUX60" s="58"/>
      <c r="MUY60" s="58"/>
      <c r="MUZ60" s="58"/>
      <c r="MVA60" s="58"/>
      <c r="MVB60" s="58"/>
      <c r="MVC60" s="58"/>
      <c r="MVD60" s="58"/>
      <c r="MVE60" s="58"/>
      <c r="MVF60" s="58"/>
      <c r="MVG60" s="58"/>
      <c r="MVH60" s="58"/>
      <c r="MVI60" s="58"/>
      <c r="MVJ60" s="58"/>
      <c r="MVK60" s="58"/>
      <c r="MVL60" s="58"/>
      <c r="MVM60" s="58"/>
      <c r="MVN60" s="58"/>
      <c r="MVO60" s="58"/>
      <c r="MVP60" s="58"/>
      <c r="MVQ60" s="58"/>
      <c r="MVR60" s="58"/>
      <c r="MVS60" s="58"/>
      <c r="MVT60" s="58"/>
      <c r="MVU60" s="58"/>
      <c r="MVV60" s="58"/>
      <c r="MVW60" s="58"/>
      <c r="MVX60" s="58"/>
      <c r="MVY60" s="58"/>
      <c r="MVZ60" s="58"/>
      <c r="MWA60" s="58"/>
      <c r="MWB60" s="58"/>
      <c r="MWC60" s="58"/>
      <c r="MWD60" s="58"/>
      <c r="MWE60" s="58"/>
      <c r="MWF60" s="58"/>
      <c r="MWG60" s="58"/>
      <c r="MWH60" s="58"/>
      <c r="MWI60" s="58"/>
      <c r="MWJ60" s="58"/>
      <c r="MWK60" s="58"/>
      <c r="MWL60" s="58"/>
      <c r="MWM60" s="58"/>
      <c r="MWN60" s="58"/>
      <c r="MWO60" s="58"/>
      <c r="MWP60" s="58"/>
      <c r="MWQ60" s="58"/>
      <c r="MWR60" s="58"/>
      <c r="MWS60" s="58"/>
      <c r="MWT60" s="58"/>
      <c r="MWU60" s="58"/>
      <c r="MWV60" s="58"/>
      <c r="MWW60" s="58"/>
      <c r="MWX60" s="58"/>
      <c r="MWY60" s="58"/>
      <c r="MWZ60" s="58"/>
      <c r="MXA60" s="58"/>
      <c r="MXB60" s="58"/>
      <c r="MXC60" s="58"/>
      <c r="MXD60" s="58"/>
      <c r="MXE60" s="58"/>
      <c r="MXF60" s="58"/>
      <c r="MXG60" s="58"/>
      <c r="MXH60" s="58"/>
      <c r="MXI60" s="58"/>
      <c r="MXJ60" s="58"/>
      <c r="MXK60" s="58"/>
      <c r="MXL60" s="58"/>
      <c r="MXM60" s="58"/>
      <c r="MXN60" s="58"/>
      <c r="MXO60" s="58"/>
      <c r="MXP60" s="58"/>
      <c r="MXQ60" s="58"/>
      <c r="MXR60" s="58"/>
      <c r="MXS60" s="58"/>
      <c r="MXT60" s="58"/>
      <c r="MXU60" s="58"/>
      <c r="MXV60" s="58"/>
      <c r="MXW60" s="58"/>
      <c r="MXX60" s="58"/>
      <c r="MXY60" s="58"/>
      <c r="MXZ60" s="58"/>
      <c r="MYA60" s="58"/>
      <c r="MYB60" s="58"/>
      <c r="MYC60" s="58"/>
      <c r="MYD60" s="58"/>
      <c r="MYE60" s="58"/>
      <c r="MYF60" s="58"/>
      <c r="MYG60" s="58"/>
      <c r="MYH60" s="58"/>
      <c r="MYI60" s="58"/>
      <c r="MYJ60" s="58"/>
      <c r="MYK60" s="58"/>
      <c r="MYL60" s="58"/>
      <c r="MYM60" s="58"/>
      <c r="MYO60" s="58"/>
      <c r="MYP60" s="58"/>
      <c r="MYR60" s="58"/>
      <c r="MYX60" s="58"/>
      <c r="MYY60" s="58"/>
      <c r="MZM60" s="58"/>
      <c r="MZN60" s="58"/>
      <c r="MZO60" s="58"/>
      <c r="MZP60" s="58"/>
      <c r="MZQ60" s="58"/>
      <c r="MZR60" s="58"/>
      <c r="MZS60" s="58"/>
      <c r="MZT60" s="58"/>
      <c r="MZU60" s="58"/>
      <c r="MZV60" s="58"/>
      <c r="MZW60" s="58"/>
      <c r="MZX60" s="58"/>
      <c r="MZY60" s="58"/>
      <c r="MZZ60" s="58"/>
      <c r="NAA60" s="58"/>
      <c r="NAB60" s="58"/>
      <c r="NAC60" s="58"/>
      <c r="NAD60" s="58"/>
      <c r="NAE60" s="58"/>
      <c r="NAF60" s="58"/>
      <c r="NAG60" s="58"/>
      <c r="NAH60" s="58"/>
      <c r="NAI60" s="58"/>
      <c r="NAJ60" s="58"/>
      <c r="NAK60" s="58"/>
      <c r="NAL60" s="58"/>
      <c r="NAM60" s="58"/>
      <c r="NAN60" s="58"/>
      <c r="NAO60" s="58"/>
      <c r="NAP60" s="58"/>
      <c r="NAQ60" s="58"/>
      <c r="NAR60" s="58"/>
      <c r="NAS60" s="58"/>
      <c r="NAT60" s="58"/>
      <c r="NAU60" s="58"/>
      <c r="NAV60" s="58"/>
      <c r="NAW60" s="58"/>
      <c r="NAX60" s="58"/>
      <c r="NAY60" s="58"/>
      <c r="NAZ60" s="58"/>
      <c r="NBA60" s="58"/>
      <c r="NBB60" s="58"/>
      <c r="NBC60" s="58"/>
      <c r="NBD60" s="58"/>
      <c r="NBE60" s="58"/>
      <c r="NBF60" s="58"/>
      <c r="NBG60" s="58"/>
      <c r="NBH60" s="58"/>
      <c r="NBI60" s="58"/>
      <c r="NBJ60" s="58"/>
      <c r="NBK60" s="58"/>
      <c r="NBL60" s="58"/>
      <c r="NBM60" s="58"/>
      <c r="NBN60" s="58"/>
      <c r="NBO60" s="58"/>
      <c r="NBP60" s="58"/>
      <c r="NBQ60" s="58"/>
      <c r="NBR60" s="58"/>
      <c r="NBS60" s="58"/>
      <c r="NBT60" s="58"/>
      <c r="NBU60" s="58"/>
      <c r="NBV60" s="58"/>
      <c r="NBW60" s="58"/>
      <c r="NBX60" s="58"/>
      <c r="NBY60" s="58"/>
      <c r="NBZ60" s="58"/>
      <c r="NCA60" s="58"/>
      <c r="NCB60" s="58"/>
      <c r="NCC60" s="58"/>
      <c r="NCD60" s="58"/>
      <c r="NCE60" s="58"/>
      <c r="NCF60" s="58"/>
      <c r="NCG60" s="58"/>
      <c r="NCH60" s="58"/>
      <c r="NCI60" s="58"/>
      <c r="NCJ60" s="58"/>
      <c r="NCK60" s="58"/>
      <c r="NCL60" s="58"/>
      <c r="NCM60" s="58"/>
      <c r="NCN60" s="58"/>
      <c r="NCO60" s="58"/>
      <c r="NCP60" s="58"/>
      <c r="NCQ60" s="58"/>
      <c r="NCR60" s="58"/>
      <c r="NCS60" s="58"/>
      <c r="NCT60" s="58"/>
      <c r="NCU60" s="58"/>
      <c r="NCV60" s="58"/>
      <c r="NCW60" s="58"/>
      <c r="NCX60" s="58"/>
      <c r="NCY60" s="58"/>
      <c r="NCZ60" s="58"/>
      <c r="NDA60" s="58"/>
      <c r="NDB60" s="58"/>
      <c r="NDC60" s="58"/>
      <c r="NDD60" s="58"/>
      <c r="NDE60" s="58"/>
      <c r="NDF60" s="58"/>
      <c r="NDG60" s="58"/>
      <c r="NDH60" s="58"/>
      <c r="NDI60" s="58"/>
      <c r="NDJ60" s="58"/>
      <c r="NDK60" s="58"/>
      <c r="NDL60" s="58"/>
      <c r="NDM60" s="58"/>
      <c r="NDN60" s="58"/>
      <c r="NDO60" s="58"/>
      <c r="NDP60" s="58"/>
      <c r="NDQ60" s="58"/>
      <c r="NDR60" s="58"/>
      <c r="NDS60" s="58"/>
      <c r="NDT60" s="58"/>
      <c r="NDU60" s="58"/>
      <c r="NDV60" s="58"/>
      <c r="NDW60" s="58"/>
      <c r="NDX60" s="58"/>
      <c r="NDY60" s="58"/>
      <c r="NDZ60" s="58"/>
      <c r="NEA60" s="58"/>
      <c r="NEB60" s="58"/>
      <c r="NEC60" s="58"/>
      <c r="NED60" s="58"/>
      <c r="NEE60" s="58"/>
      <c r="NEF60" s="58"/>
      <c r="NEG60" s="58"/>
      <c r="NEH60" s="58"/>
      <c r="NEI60" s="58"/>
      <c r="NEJ60" s="58"/>
      <c r="NEK60" s="58"/>
      <c r="NEL60" s="58"/>
      <c r="NEM60" s="58"/>
      <c r="NEN60" s="58"/>
      <c r="NEO60" s="58"/>
      <c r="NEP60" s="58"/>
      <c r="NEQ60" s="58"/>
      <c r="NER60" s="58"/>
      <c r="NES60" s="58"/>
      <c r="NET60" s="58"/>
      <c r="NEU60" s="58"/>
      <c r="NEV60" s="58"/>
      <c r="NEW60" s="58"/>
      <c r="NEX60" s="58"/>
      <c r="NEY60" s="58"/>
      <c r="NEZ60" s="58"/>
      <c r="NFA60" s="58"/>
      <c r="NFB60" s="58"/>
      <c r="NFC60" s="58"/>
      <c r="NFD60" s="58"/>
      <c r="NFE60" s="58"/>
      <c r="NFF60" s="58"/>
      <c r="NFG60" s="58"/>
      <c r="NFH60" s="58"/>
      <c r="NFI60" s="58"/>
      <c r="NFJ60" s="58"/>
      <c r="NFK60" s="58"/>
      <c r="NFL60" s="58"/>
      <c r="NFM60" s="58"/>
      <c r="NFN60" s="58"/>
      <c r="NFO60" s="58"/>
      <c r="NFP60" s="58"/>
      <c r="NFQ60" s="58"/>
      <c r="NFR60" s="58"/>
      <c r="NFS60" s="58"/>
      <c r="NFT60" s="58"/>
      <c r="NFU60" s="58"/>
      <c r="NFV60" s="58"/>
      <c r="NFW60" s="58"/>
      <c r="NFX60" s="58"/>
      <c r="NFY60" s="58"/>
      <c r="NFZ60" s="58"/>
      <c r="NGA60" s="58"/>
      <c r="NGB60" s="58"/>
      <c r="NGC60" s="58"/>
      <c r="NGD60" s="58"/>
      <c r="NGE60" s="58"/>
      <c r="NGF60" s="58"/>
      <c r="NGG60" s="58"/>
      <c r="NGH60" s="58"/>
      <c r="NGI60" s="58"/>
      <c r="NGJ60" s="58"/>
      <c r="NGK60" s="58"/>
      <c r="NGL60" s="58"/>
      <c r="NGM60" s="58"/>
      <c r="NGN60" s="58"/>
      <c r="NGO60" s="58"/>
      <c r="NGP60" s="58"/>
      <c r="NGQ60" s="58"/>
      <c r="NGR60" s="58"/>
      <c r="NGS60" s="58"/>
      <c r="NGT60" s="58"/>
      <c r="NGU60" s="58"/>
      <c r="NGV60" s="58"/>
      <c r="NGW60" s="58"/>
      <c r="NGX60" s="58"/>
      <c r="NGY60" s="58"/>
      <c r="NGZ60" s="58"/>
      <c r="NHA60" s="58"/>
      <c r="NHB60" s="58"/>
      <c r="NHC60" s="58"/>
      <c r="NHD60" s="58"/>
      <c r="NHE60" s="58"/>
      <c r="NHF60" s="58"/>
      <c r="NHG60" s="58"/>
      <c r="NHH60" s="58"/>
      <c r="NHI60" s="58"/>
      <c r="NHJ60" s="58"/>
      <c r="NHK60" s="58"/>
      <c r="NHL60" s="58"/>
      <c r="NHM60" s="58"/>
      <c r="NHN60" s="58"/>
      <c r="NHO60" s="58"/>
      <c r="NHP60" s="58"/>
      <c r="NHQ60" s="58"/>
      <c r="NHR60" s="58"/>
      <c r="NHS60" s="58"/>
      <c r="NHT60" s="58"/>
      <c r="NHU60" s="58"/>
      <c r="NHV60" s="58"/>
      <c r="NHW60" s="58"/>
      <c r="NHX60" s="58"/>
      <c r="NHY60" s="58"/>
      <c r="NHZ60" s="58"/>
      <c r="NIA60" s="58"/>
      <c r="NIB60" s="58"/>
      <c r="NIC60" s="58"/>
      <c r="NID60" s="58"/>
      <c r="NIE60" s="58"/>
      <c r="NIF60" s="58"/>
      <c r="NIG60" s="58"/>
      <c r="NIH60" s="58"/>
      <c r="NII60" s="58"/>
      <c r="NIK60" s="58"/>
      <c r="NIL60" s="58"/>
      <c r="NIN60" s="58"/>
      <c r="NIT60" s="58"/>
      <c r="NIU60" s="58"/>
      <c r="NJI60" s="58"/>
      <c r="NJJ60" s="58"/>
      <c r="NJK60" s="58"/>
      <c r="NJL60" s="58"/>
      <c r="NJM60" s="58"/>
      <c r="NJN60" s="58"/>
      <c r="NJO60" s="58"/>
      <c r="NJP60" s="58"/>
      <c r="NJQ60" s="58"/>
      <c r="NJR60" s="58"/>
      <c r="NJS60" s="58"/>
      <c r="NJT60" s="58"/>
      <c r="NJU60" s="58"/>
      <c r="NJV60" s="58"/>
      <c r="NJW60" s="58"/>
      <c r="NJX60" s="58"/>
      <c r="NJY60" s="58"/>
      <c r="NJZ60" s="58"/>
      <c r="NKA60" s="58"/>
      <c r="NKB60" s="58"/>
      <c r="NKC60" s="58"/>
      <c r="NKD60" s="58"/>
      <c r="NKE60" s="58"/>
      <c r="NKF60" s="58"/>
      <c r="NKG60" s="58"/>
      <c r="NKH60" s="58"/>
      <c r="NKI60" s="58"/>
      <c r="NKJ60" s="58"/>
      <c r="NKK60" s="58"/>
      <c r="NKL60" s="58"/>
      <c r="NKM60" s="58"/>
      <c r="NKN60" s="58"/>
      <c r="NKO60" s="58"/>
      <c r="NKP60" s="58"/>
      <c r="NKQ60" s="58"/>
      <c r="NKR60" s="58"/>
      <c r="NKS60" s="58"/>
      <c r="NKT60" s="58"/>
      <c r="NKU60" s="58"/>
      <c r="NKV60" s="58"/>
      <c r="NKW60" s="58"/>
      <c r="NKX60" s="58"/>
      <c r="NKY60" s="58"/>
      <c r="NKZ60" s="58"/>
      <c r="NLA60" s="58"/>
      <c r="NLB60" s="58"/>
      <c r="NLC60" s="58"/>
      <c r="NLD60" s="58"/>
      <c r="NLE60" s="58"/>
      <c r="NLF60" s="58"/>
      <c r="NLG60" s="58"/>
      <c r="NLH60" s="58"/>
      <c r="NLI60" s="58"/>
      <c r="NLJ60" s="58"/>
      <c r="NLK60" s="58"/>
      <c r="NLL60" s="58"/>
      <c r="NLM60" s="58"/>
      <c r="NLN60" s="58"/>
      <c r="NLO60" s="58"/>
      <c r="NLP60" s="58"/>
      <c r="NLQ60" s="58"/>
      <c r="NLR60" s="58"/>
      <c r="NLS60" s="58"/>
      <c r="NLT60" s="58"/>
      <c r="NLU60" s="58"/>
      <c r="NLV60" s="58"/>
      <c r="NLW60" s="58"/>
      <c r="NLX60" s="58"/>
      <c r="NLY60" s="58"/>
      <c r="NLZ60" s="58"/>
      <c r="NMA60" s="58"/>
      <c r="NMB60" s="58"/>
      <c r="NMC60" s="58"/>
      <c r="NMD60" s="58"/>
      <c r="NME60" s="58"/>
      <c r="NMF60" s="58"/>
      <c r="NMG60" s="58"/>
      <c r="NMH60" s="58"/>
      <c r="NMI60" s="58"/>
      <c r="NMJ60" s="58"/>
      <c r="NMK60" s="58"/>
      <c r="NML60" s="58"/>
      <c r="NMM60" s="58"/>
      <c r="NMN60" s="58"/>
      <c r="NMO60" s="58"/>
      <c r="NMP60" s="58"/>
      <c r="NMQ60" s="58"/>
      <c r="NMR60" s="58"/>
      <c r="NMS60" s="58"/>
      <c r="NMT60" s="58"/>
      <c r="NMU60" s="58"/>
      <c r="NMV60" s="58"/>
      <c r="NMW60" s="58"/>
      <c r="NMX60" s="58"/>
      <c r="NMY60" s="58"/>
      <c r="NMZ60" s="58"/>
      <c r="NNA60" s="58"/>
      <c r="NNB60" s="58"/>
      <c r="NNC60" s="58"/>
      <c r="NND60" s="58"/>
      <c r="NNE60" s="58"/>
      <c r="NNF60" s="58"/>
      <c r="NNG60" s="58"/>
      <c r="NNH60" s="58"/>
      <c r="NNI60" s="58"/>
      <c r="NNJ60" s="58"/>
      <c r="NNK60" s="58"/>
      <c r="NNL60" s="58"/>
      <c r="NNM60" s="58"/>
      <c r="NNN60" s="58"/>
      <c r="NNO60" s="58"/>
      <c r="NNP60" s="58"/>
      <c r="NNQ60" s="58"/>
      <c r="NNR60" s="58"/>
      <c r="NNS60" s="58"/>
      <c r="NNT60" s="58"/>
      <c r="NNU60" s="58"/>
      <c r="NNV60" s="58"/>
      <c r="NNW60" s="58"/>
      <c r="NNX60" s="58"/>
      <c r="NNY60" s="58"/>
      <c r="NNZ60" s="58"/>
      <c r="NOA60" s="58"/>
      <c r="NOB60" s="58"/>
      <c r="NOC60" s="58"/>
      <c r="NOD60" s="58"/>
      <c r="NOE60" s="58"/>
      <c r="NOF60" s="58"/>
      <c r="NOG60" s="58"/>
      <c r="NOH60" s="58"/>
      <c r="NOI60" s="58"/>
      <c r="NOJ60" s="58"/>
      <c r="NOK60" s="58"/>
      <c r="NOL60" s="58"/>
      <c r="NOM60" s="58"/>
      <c r="NON60" s="58"/>
      <c r="NOO60" s="58"/>
      <c r="NOP60" s="58"/>
      <c r="NOQ60" s="58"/>
      <c r="NOR60" s="58"/>
      <c r="NOS60" s="58"/>
      <c r="NOT60" s="58"/>
      <c r="NOU60" s="58"/>
      <c r="NOV60" s="58"/>
      <c r="NOW60" s="58"/>
      <c r="NOX60" s="58"/>
      <c r="NOY60" s="58"/>
      <c r="NOZ60" s="58"/>
      <c r="NPA60" s="58"/>
      <c r="NPB60" s="58"/>
      <c r="NPC60" s="58"/>
      <c r="NPD60" s="58"/>
      <c r="NPE60" s="58"/>
      <c r="NPF60" s="58"/>
      <c r="NPG60" s="58"/>
      <c r="NPH60" s="58"/>
      <c r="NPI60" s="58"/>
      <c r="NPJ60" s="58"/>
      <c r="NPK60" s="58"/>
      <c r="NPL60" s="58"/>
      <c r="NPM60" s="58"/>
      <c r="NPN60" s="58"/>
      <c r="NPO60" s="58"/>
      <c r="NPP60" s="58"/>
      <c r="NPQ60" s="58"/>
      <c r="NPR60" s="58"/>
      <c r="NPS60" s="58"/>
      <c r="NPT60" s="58"/>
      <c r="NPU60" s="58"/>
      <c r="NPV60" s="58"/>
      <c r="NPW60" s="58"/>
      <c r="NPX60" s="58"/>
      <c r="NPY60" s="58"/>
      <c r="NPZ60" s="58"/>
      <c r="NQA60" s="58"/>
      <c r="NQB60" s="58"/>
      <c r="NQC60" s="58"/>
      <c r="NQD60" s="58"/>
      <c r="NQE60" s="58"/>
      <c r="NQF60" s="58"/>
      <c r="NQG60" s="58"/>
      <c r="NQH60" s="58"/>
      <c r="NQI60" s="58"/>
      <c r="NQJ60" s="58"/>
      <c r="NQK60" s="58"/>
      <c r="NQL60" s="58"/>
      <c r="NQM60" s="58"/>
      <c r="NQN60" s="58"/>
      <c r="NQO60" s="58"/>
      <c r="NQP60" s="58"/>
      <c r="NQQ60" s="58"/>
      <c r="NQR60" s="58"/>
      <c r="NQS60" s="58"/>
      <c r="NQT60" s="58"/>
      <c r="NQU60" s="58"/>
      <c r="NQV60" s="58"/>
      <c r="NQW60" s="58"/>
      <c r="NQX60" s="58"/>
      <c r="NQY60" s="58"/>
      <c r="NQZ60" s="58"/>
      <c r="NRA60" s="58"/>
      <c r="NRB60" s="58"/>
      <c r="NRC60" s="58"/>
      <c r="NRD60" s="58"/>
      <c r="NRE60" s="58"/>
      <c r="NRF60" s="58"/>
      <c r="NRG60" s="58"/>
      <c r="NRH60" s="58"/>
      <c r="NRI60" s="58"/>
      <c r="NRJ60" s="58"/>
      <c r="NRK60" s="58"/>
      <c r="NRL60" s="58"/>
      <c r="NRM60" s="58"/>
      <c r="NRN60" s="58"/>
      <c r="NRO60" s="58"/>
      <c r="NRP60" s="58"/>
      <c r="NRQ60" s="58"/>
      <c r="NRR60" s="58"/>
      <c r="NRS60" s="58"/>
      <c r="NRT60" s="58"/>
      <c r="NRU60" s="58"/>
      <c r="NRV60" s="58"/>
      <c r="NRW60" s="58"/>
      <c r="NRX60" s="58"/>
      <c r="NRY60" s="58"/>
      <c r="NRZ60" s="58"/>
      <c r="NSA60" s="58"/>
      <c r="NSB60" s="58"/>
      <c r="NSC60" s="58"/>
      <c r="NSD60" s="58"/>
      <c r="NSE60" s="58"/>
      <c r="NSG60" s="58"/>
      <c r="NSH60" s="58"/>
      <c r="NSJ60" s="58"/>
      <c r="NSP60" s="58"/>
      <c r="NSQ60" s="58"/>
      <c r="NTE60" s="58"/>
      <c r="NTF60" s="58"/>
      <c r="NTG60" s="58"/>
      <c r="NTH60" s="58"/>
      <c r="NTI60" s="58"/>
      <c r="NTJ60" s="58"/>
      <c r="NTK60" s="58"/>
      <c r="NTL60" s="58"/>
      <c r="NTM60" s="58"/>
      <c r="NTN60" s="58"/>
      <c r="NTO60" s="58"/>
      <c r="NTP60" s="58"/>
      <c r="NTQ60" s="58"/>
      <c r="NTR60" s="58"/>
      <c r="NTS60" s="58"/>
      <c r="NTT60" s="58"/>
      <c r="NTU60" s="58"/>
      <c r="NTV60" s="58"/>
      <c r="NTW60" s="58"/>
      <c r="NTX60" s="58"/>
      <c r="NTY60" s="58"/>
      <c r="NTZ60" s="58"/>
      <c r="NUA60" s="58"/>
      <c r="NUB60" s="58"/>
      <c r="NUC60" s="58"/>
      <c r="NUD60" s="58"/>
      <c r="NUE60" s="58"/>
      <c r="NUF60" s="58"/>
      <c r="NUG60" s="58"/>
      <c r="NUH60" s="58"/>
      <c r="NUI60" s="58"/>
      <c r="NUJ60" s="58"/>
      <c r="NUK60" s="58"/>
      <c r="NUL60" s="58"/>
      <c r="NUM60" s="58"/>
      <c r="NUN60" s="58"/>
      <c r="NUO60" s="58"/>
      <c r="NUP60" s="58"/>
      <c r="NUQ60" s="58"/>
      <c r="NUR60" s="58"/>
      <c r="NUS60" s="58"/>
      <c r="NUT60" s="58"/>
      <c r="NUU60" s="58"/>
      <c r="NUV60" s="58"/>
      <c r="NUW60" s="58"/>
      <c r="NUX60" s="58"/>
      <c r="NUY60" s="58"/>
      <c r="NUZ60" s="58"/>
      <c r="NVA60" s="58"/>
      <c r="NVB60" s="58"/>
      <c r="NVC60" s="58"/>
      <c r="NVD60" s="58"/>
      <c r="NVE60" s="58"/>
      <c r="NVF60" s="58"/>
      <c r="NVG60" s="58"/>
      <c r="NVH60" s="58"/>
      <c r="NVI60" s="58"/>
      <c r="NVJ60" s="58"/>
      <c r="NVK60" s="58"/>
      <c r="NVL60" s="58"/>
      <c r="NVM60" s="58"/>
      <c r="NVN60" s="58"/>
      <c r="NVO60" s="58"/>
      <c r="NVP60" s="58"/>
      <c r="NVQ60" s="58"/>
      <c r="NVR60" s="58"/>
      <c r="NVS60" s="58"/>
      <c r="NVT60" s="58"/>
      <c r="NVU60" s="58"/>
      <c r="NVV60" s="58"/>
      <c r="NVW60" s="58"/>
      <c r="NVX60" s="58"/>
      <c r="NVY60" s="58"/>
      <c r="NVZ60" s="58"/>
      <c r="NWA60" s="58"/>
      <c r="NWB60" s="58"/>
      <c r="NWC60" s="58"/>
      <c r="NWD60" s="58"/>
      <c r="NWE60" s="58"/>
      <c r="NWF60" s="58"/>
      <c r="NWG60" s="58"/>
      <c r="NWH60" s="58"/>
      <c r="NWI60" s="58"/>
      <c r="NWJ60" s="58"/>
      <c r="NWK60" s="58"/>
      <c r="NWL60" s="58"/>
      <c r="NWM60" s="58"/>
      <c r="NWN60" s="58"/>
      <c r="NWO60" s="58"/>
      <c r="NWP60" s="58"/>
      <c r="NWQ60" s="58"/>
      <c r="NWR60" s="58"/>
      <c r="NWS60" s="58"/>
      <c r="NWT60" s="58"/>
      <c r="NWU60" s="58"/>
      <c r="NWV60" s="58"/>
      <c r="NWW60" s="58"/>
      <c r="NWX60" s="58"/>
      <c r="NWY60" s="58"/>
      <c r="NWZ60" s="58"/>
      <c r="NXA60" s="58"/>
      <c r="NXB60" s="58"/>
      <c r="NXC60" s="58"/>
      <c r="NXD60" s="58"/>
      <c r="NXE60" s="58"/>
      <c r="NXF60" s="58"/>
      <c r="NXG60" s="58"/>
      <c r="NXH60" s="58"/>
      <c r="NXI60" s="58"/>
      <c r="NXJ60" s="58"/>
      <c r="NXK60" s="58"/>
      <c r="NXL60" s="58"/>
      <c r="NXM60" s="58"/>
      <c r="NXN60" s="58"/>
      <c r="NXO60" s="58"/>
      <c r="NXP60" s="58"/>
      <c r="NXQ60" s="58"/>
      <c r="NXR60" s="58"/>
      <c r="NXS60" s="58"/>
      <c r="NXT60" s="58"/>
      <c r="NXU60" s="58"/>
      <c r="NXV60" s="58"/>
      <c r="NXW60" s="58"/>
      <c r="NXX60" s="58"/>
      <c r="NXY60" s="58"/>
      <c r="NXZ60" s="58"/>
      <c r="NYA60" s="58"/>
      <c r="NYB60" s="58"/>
      <c r="NYC60" s="58"/>
      <c r="NYD60" s="58"/>
      <c r="NYE60" s="58"/>
      <c r="NYF60" s="58"/>
      <c r="NYG60" s="58"/>
      <c r="NYH60" s="58"/>
      <c r="NYI60" s="58"/>
      <c r="NYJ60" s="58"/>
      <c r="NYK60" s="58"/>
      <c r="NYL60" s="58"/>
      <c r="NYM60" s="58"/>
      <c r="NYN60" s="58"/>
      <c r="NYO60" s="58"/>
      <c r="NYP60" s="58"/>
      <c r="NYQ60" s="58"/>
      <c r="NYR60" s="58"/>
      <c r="NYS60" s="58"/>
      <c r="NYT60" s="58"/>
      <c r="NYU60" s="58"/>
      <c r="NYV60" s="58"/>
      <c r="NYW60" s="58"/>
      <c r="NYX60" s="58"/>
      <c r="NYY60" s="58"/>
      <c r="NYZ60" s="58"/>
      <c r="NZA60" s="58"/>
      <c r="NZB60" s="58"/>
      <c r="NZC60" s="58"/>
      <c r="NZD60" s="58"/>
      <c r="NZE60" s="58"/>
      <c r="NZF60" s="58"/>
      <c r="NZG60" s="58"/>
      <c r="NZH60" s="58"/>
      <c r="NZI60" s="58"/>
      <c r="NZJ60" s="58"/>
      <c r="NZK60" s="58"/>
      <c r="NZL60" s="58"/>
      <c r="NZM60" s="58"/>
      <c r="NZN60" s="58"/>
      <c r="NZO60" s="58"/>
      <c r="NZP60" s="58"/>
      <c r="NZQ60" s="58"/>
      <c r="NZR60" s="58"/>
      <c r="NZS60" s="58"/>
      <c r="NZT60" s="58"/>
      <c r="NZU60" s="58"/>
      <c r="NZV60" s="58"/>
      <c r="NZW60" s="58"/>
      <c r="NZX60" s="58"/>
      <c r="NZY60" s="58"/>
      <c r="NZZ60" s="58"/>
      <c r="OAA60" s="58"/>
      <c r="OAB60" s="58"/>
      <c r="OAC60" s="58"/>
      <c r="OAD60" s="58"/>
      <c r="OAE60" s="58"/>
      <c r="OAF60" s="58"/>
      <c r="OAG60" s="58"/>
      <c r="OAH60" s="58"/>
      <c r="OAI60" s="58"/>
      <c r="OAJ60" s="58"/>
      <c r="OAK60" s="58"/>
      <c r="OAL60" s="58"/>
      <c r="OAM60" s="58"/>
      <c r="OAN60" s="58"/>
      <c r="OAO60" s="58"/>
      <c r="OAP60" s="58"/>
      <c r="OAQ60" s="58"/>
      <c r="OAR60" s="58"/>
      <c r="OAS60" s="58"/>
      <c r="OAT60" s="58"/>
      <c r="OAU60" s="58"/>
      <c r="OAV60" s="58"/>
      <c r="OAW60" s="58"/>
      <c r="OAX60" s="58"/>
      <c r="OAY60" s="58"/>
      <c r="OAZ60" s="58"/>
      <c r="OBA60" s="58"/>
      <c r="OBB60" s="58"/>
      <c r="OBC60" s="58"/>
      <c r="OBD60" s="58"/>
      <c r="OBE60" s="58"/>
      <c r="OBF60" s="58"/>
      <c r="OBG60" s="58"/>
      <c r="OBH60" s="58"/>
      <c r="OBI60" s="58"/>
      <c r="OBJ60" s="58"/>
      <c r="OBK60" s="58"/>
      <c r="OBL60" s="58"/>
      <c r="OBM60" s="58"/>
      <c r="OBN60" s="58"/>
      <c r="OBO60" s="58"/>
      <c r="OBP60" s="58"/>
      <c r="OBQ60" s="58"/>
      <c r="OBR60" s="58"/>
      <c r="OBS60" s="58"/>
      <c r="OBT60" s="58"/>
      <c r="OBU60" s="58"/>
      <c r="OBV60" s="58"/>
      <c r="OBW60" s="58"/>
      <c r="OBX60" s="58"/>
      <c r="OBY60" s="58"/>
      <c r="OBZ60" s="58"/>
      <c r="OCA60" s="58"/>
      <c r="OCC60" s="58"/>
      <c r="OCD60" s="58"/>
      <c r="OCF60" s="58"/>
      <c r="OCL60" s="58"/>
      <c r="OCM60" s="58"/>
      <c r="ODA60" s="58"/>
      <c r="ODB60" s="58"/>
      <c r="ODC60" s="58"/>
      <c r="ODD60" s="58"/>
      <c r="ODE60" s="58"/>
      <c r="ODF60" s="58"/>
      <c r="ODG60" s="58"/>
      <c r="ODH60" s="58"/>
      <c r="ODI60" s="58"/>
      <c r="ODJ60" s="58"/>
      <c r="ODK60" s="58"/>
      <c r="ODL60" s="58"/>
      <c r="ODM60" s="58"/>
      <c r="ODN60" s="58"/>
      <c r="ODO60" s="58"/>
      <c r="ODP60" s="58"/>
      <c r="ODQ60" s="58"/>
      <c r="ODR60" s="58"/>
      <c r="ODS60" s="58"/>
      <c r="ODT60" s="58"/>
      <c r="ODU60" s="58"/>
      <c r="ODV60" s="58"/>
      <c r="ODW60" s="58"/>
      <c r="ODX60" s="58"/>
      <c r="ODY60" s="58"/>
      <c r="ODZ60" s="58"/>
      <c r="OEA60" s="58"/>
      <c r="OEB60" s="58"/>
      <c r="OEC60" s="58"/>
      <c r="OED60" s="58"/>
      <c r="OEE60" s="58"/>
      <c r="OEF60" s="58"/>
      <c r="OEG60" s="58"/>
      <c r="OEH60" s="58"/>
      <c r="OEI60" s="58"/>
      <c r="OEJ60" s="58"/>
      <c r="OEK60" s="58"/>
      <c r="OEL60" s="58"/>
      <c r="OEM60" s="58"/>
      <c r="OEN60" s="58"/>
      <c r="OEO60" s="58"/>
      <c r="OEP60" s="58"/>
      <c r="OEQ60" s="58"/>
      <c r="OER60" s="58"/>
      <c r="OES60" s="58"/>
      <c r="OET60" s="58"/>
      <c r="OEU60" s="58"/>
      <c r="OEV60" s="58"/>
      <c r="OEW60" s="58"/>
      <c r="OEX60" s="58"/>
      <c r="OEY60" s="58"/>
      <c r="OEZ60" s="58"/>
      <c r="OFA60" s="58"/>
      <c r="OFB60" s="58"/>
      <c r="OFC60" s="58"/>
      <c r="OFD60" s="58"/>
      <c r="OFE60" s="58"/>
      <c r="OFF60" s="58"/>
      <c r="OFG60" s="58"/>
      <c r="OFH60" s="58"/>
      <c r="OFI60" s="58"/>
      <c r="OFJ60" s="58"/>
      <c r="OFK60" s="58"/>
      <c r="OFL60" s="58"/>
      <c r="OFM60" s="58"/>
      <c r="OFN60" s="58"/>
      <c r="OFO60" s="58"/>
      <c r="OFP60" s="58"/>
      <c r="OFQ60" s="58"/>
      <c r="OFR60" s="58"/>
      <c r="OFS60" s="58"/>
      <c r="OFT60" s="58"/>
      <c r="OFU60" s="58"/>
      <c r="OFV60" s="58"/>
      <c r="OFW60" s="58"/>
      <c r="OFX60" s="58"/>
      <c r="OFY60" s="58"/>
      <c r="OFZ60" s="58"/>
      <c r="OGA60" s="58"/>
      <c r="OGB60" s="58"/>
      <c r="OGC60" s="58"/>
      <c r="OGD60" s="58"/>
      <c r="OGE60" s="58"/>
      <c r="OGF60" s="58"/>
      <c r="OGG60" s="58"/>
      <c r="OGH60" s="58"/>
      <c r="OGI60" s="58"/>
      <c r="OGJ60" s="58"/>
      <c r="OGK60" s="58"/>
      <c r="OGL60" s="58"/>
      <c r="OGM60" s="58"/>
      <c r="OGN60" s="58"/>
      <c r="OGO60" s="58"/>
      <c r="OGP60" s="58"/>
      <c r="OGQ60" s="58"/>
      <c r="OGR60" s="58"/>
      <c r="OGS60" s="58"/>
      <c r="OGT60" s="58"/>
      <c r="OGU60" s="58"/>
      <c r="OGV60" s="58"/>
      <c r="OGW60" s="58"/>
      <c r="OGX60" s="58"/>
      <c r="OGY60" s="58"/>
      <c r="OGZ60" s="58"/>
      <c r="OHA60" s="58"/>
      <c r="OHB60" s="58"/>
      <c r="OHC60" s="58"/>
      <c r="OHD60" s="58"/>
      <c r="OHE60" s="58"/>
      <c r="OHF60" s="58"/>
      <c r="OHG60" s="58"/>
      <c r="OHH60" s="58"/>
      <c r="OHI60" s="58"/>
      <c r="OHJ60" s="58"/>
      <c r="OHK60" s="58"/>
      <c r="OHL60" s="58"/>
      <c r="OHM60" s="58"/>
      <c r="OHN60" s="58"/>
      <c r="OHO60" s="58"/>
      <c r="OHP60" s="58"/>
      <c r="OHQ60" s="58"/>
      <c r="OHR60" s="58"/>
      <c r="OHS60" s="58"/>
      <c r="OHT60" s="58"/>
      <c r="OHU60" s="58"/>
      <c r="OHV60" s="58"/>
      <c r="OHW60" s="58"/>
      <c r="OHX60" s="58"/>
      <c r="OHY60" s="58"/>
      <c r="OHZ60" s="58"/>
      <c r="OIA60" s="58"/>
      <c r="OIB60" s="58"/>
      <c r="OIC60" s="58"/>
      <c r="OID60" s="58"/>
      <c r="OIE60" s="58"/>
      <c r="OIF60" s="58"/>
      <c r="OIG60" s="58"/>
      <c r="OIH60" s="58"/>
      <c r="OII60" s="58"/>
      <c r="OIJ60" s="58"/>
      <c r="OIK60" s="58"/>
      <c r="OIL60" s="58"/>
      <c r="OIM60" s="58"/>
      <c r="OIN60" s="58"/>
      <c r="OIO60" s="58"/>
      <c r="OIP60" s="58"/>
      <c r="OIQ60" s="58"/>
      <c r="OIR60" s="58"/>
      <c r="OIS60" s="58"/>
      <c r="OIT60" s="58"/>
      <c r="OIU60" s="58"/>
      <c r="OIV60" s="58"/>
      <c r="OIW60" s="58"/>
      <c r="OIX60" s="58"/>
      <c r="OIY60" s="58"/>
      <c r="OIZ60" s="58"/>
      <c r="OJA60" s="58"/>
      <c r="OJB60" s="58"/>
      <c r="OJC60" s="58"/>
      <c r="OJD60" s="58"/>
      <c r="OJE60" s="58"/>
      <c r="OJF60" s="58"/>
      <c r="OJG60" s="58"/>
      <c r="OJH60" s="58"/>
      <c r="OJI60" s="58"/>
      <c r="OJJ60" s="58"/>
      <c r="OJK60" s="58"/>
      <c r="OJL60" s="58"/>
      <c r="OJM60" s="58"/>
      <c r="OJN60" s="58"/>
      <c r="OJO60" s="58"/>
      <c r="OJP60" s="58"/>
      <c r="OJQ60" s="58"/>
      <c r="OJR60" s="58"/>
      <c r="OJS60" s="58"/>
      <c r="OJT60" s="58"/>
      <c r="OJU60" s="58"/>
      <c r="OJV60" s="58"/>
      <c r="OJW60" s="58"/>
      <c r="OJX60" s="58"/>
      <c r="OJY60" s="58"/>
      <c r="OJZ60" s="58"/>
      <c r="OKA60" s="58"/>
      <c r="OKB60" s="58"/>
      <c r="OKC60" s="58"/>
      <c r="OKD60" s="58"/>
      <c r="OKE60" s="58"/>
      <c r="OKF60" s="58"/>
      <c r="OKG60" s="58"/>
      <c r="OKH60" s="58"/>
      <c r="OKI60" s="58"/>
      <c r="OKJ60" s="58"/>
      <c r="OKK60" s="58"/>
      <c r="OKL60" s="58"/>
      <c r="OKM60" s="58"/>
      <c r="OKN60" s="58"/>
      <c r="OKO60" s="58"/>
      <c r="OKP60" s="58"/>
      <c r="OKQ60" s="58"/>
      <c r="OKR60" s="58"/>
      <c r="OKS60" s="58"/>
      <c r="OKT60" s="58"/>
      <c r="OKU60" s="58"/>
      <c r="OKV60" s="58"/>
      <c r="OKW60" s="58"/>
      <c r="OKX60" s="58"/>
      <c r="OKY60" s="58"/>
      <c r="OKZ60" s="58"/>
      <c r="OLA60" s="58"/>
      <c r="OLB60" s="58"/>
      <c r="OLC60" s="58"/>
      <c r="OLD60" s="58"/>
      <c r="OLE60" s="58"/>
      <c r="OLF60" s="58"/>
      <c r="OLG60" s="58"/>
      <c r="OLH60" s="58"/>
      <c r="OLI60" s="58"/>
      <c r="OLJ60" s="58"/>
      <c r="OLK60" s="58"/>
      <c r="OLL60" s="58"/>
      <c r="OLM60" s="58"/>
      <c r="OLN60" s="58"/>
      <c r="OLO60" s="58"/>
      <c r="OLP60" s="58"/>
      <c r="OLQ60" s="58"/>
      <c r="OLR60" s="58"/>
      <c r="OLS60" s="58"/>
      <c r="OLT60" s="58"/>
      <c r="OLU60" s="58"/>
      <c r="OLV60" s="58"/>
      <c r="OLW60" s="58"/>
      <c r="OLY60" s="58"/>
      <c r="OLZ60" s="58"/>
      <c r="OMB60" s="58"/>
      <c r="OMH60" s="58"/>
      <c r="OMI60" s="58"/>
      <c r="OMW60" s="58"/>
      <c r="OMX60" s="58"/>
      <c r="OMY60" s="58"/>
      <c r="OMZ60" s="58"/>
      <c r="ONA60" s="58"/>
      <c r="ONB60" s="58"/>
      <c r="ONC60" s="58"/>
      <c r="OND60" s="58"/>
      <c r="ONE60" s="58"/>
      <c r="ONF60" s="58"/>
      <c r="ONG60" s="58"/>
      <c r="ONH60" s="58"/>
      <c r="ONI60" s="58"/>
      <c r="ONJ60" s="58"/>
      <c r="ONK60" s="58"/>
      <c r="ONL60" s="58"/>
      <c r="ONM60" s="58"/>
      <c r="ONN60" s="58"/>
      <c r="ONO60" s="58"/>
      <c r="ONP60" s="58"/>
      <c r="ONQ60" s="58"/>
      <c r="ONR60" s="58"/>
      <c r="ONS60" s="58"/>
      <c r="ONT60" s="58"/>
      <c r="ONU60" s="58"/>
      <c r="ONV60" s="58"/>
      <c r="ONW60" s="58"/>
      <c r="ONX60" s="58"/>
      <c r="ONY60" s="58"/>
      <c r="ONZ60" s="58"/>
      <c r="OOA60" s="58"/>
      <c r="OOB60" s="58"/>
      <c r="OOC60" s="58"/>
      <c r="OOD60" s="58"/>
      <c r="OOE60" s="58"/>
      <c r="OOF60" s="58"/>
      <c r="OOG60" s="58"/>
      <c r="OOH60" s="58"/>
      <c r="OOI60" s="58"/>
      <c r="OOJ60" s="58"/>
      <c r="OOK60" s="58"/>
      <c r="OOL60" s="58"/>
      <c r="OOM60" s="58"/>
      <c r="OON60" s="58"/>
      <c r="OOO60" s="58"/>
      <c r="OOP60" s="58"/>
      <c r="OOQ60" s="58"/>
      <c r="OOR60" s="58"/>
      <c r="OOS60" s="58"/>
      <c r="OOT60" s="58"/>
      <c r="OOU60" s="58"/>
      <c r="OOV60" s="58"/>
      <c r="OOW60" s="58"/>
      <c r="OOX60" s="58"/>
      <c r="OOY60" s="58"/>
      <c r="OOZ60" s="58"/>
      <c r="OPA60" s="58"/>
      <c r="OPB60" s="58"/>
      <c r="OPC60" s="58"/>
      <c r="OPD60" s="58"/>
      <c r="OPE60" s="58"/>
      <c r="OPF60" s="58"/>
      <c r="OPG60" s="58"/>
      <c r="OPH60" s="58"/>
      <c r="OPI60" s="58"/>
      <c r="OPJ60" s="58"/>
      <c r="OPK60" s="58"/>
      <c r="OPL60" s="58"/>
      <c r="OPM60" s="58"/>
      <c r="OPN60" s="58"/>
      <c r="OPO60" s="58"/>
      <c r="OPP60" s="58"/>
      <c r="OPQ60" s="58"/>
      <c r="OPR60" s="58"/>
      <c r="OPS60" s="58"/>
      <c r="OPT60" s="58"/>
      <c r="OPU60" s="58"/>
      <c r="OPV60" s="58"/>
      <c r="OPW60" s="58"/>
      <c r="OPX60" s="58"/>
      <c r="OPY60" s="58"/>
      <c r="OPZ60" s="58"/>
      <c r="OQA60" s="58"/>
      <c r="OQB60" s="58"/>
      <c r="OQC60" s="58"/>
      <c r="OQD60" s="58"/>
      <c r="OQE60" s="58"/>
      <c r="OQF60" s="58"/>
      <c r="OQG60" s="58"/>
      <c r="OQH60" s="58"/>
      <c r="OQI60" s="58"/>
      <c r="OQJ60" s="58"/>
      <c r="OQK60" s="58"/>
      <c r="OQL60" s="58"/>
      <c r="OQM60" s="58"/>
      <c r="OQN60" s="58"/>
      <c r="OQO60" s="58"/>
      <c r="OQP60" s="58"/>
      <c r="OQQ60" s="58"/>
      <c r="OQR60" s="58"/>
      <c r="OQS60" s="58"/>
      <c r="OQT60" s="58"/>
      <c r="OQU60" s="58"/>
      <c r="OQV60" s="58"/>
      <c r="OQW60" s="58"/>
      <c r="OQX60" s="58"/>
      <c r="OQY60" s="58"/>
      <c r="OQZ60" s="58"/>
      <c r="ORA60" s="58"/>
      <c r="ORB60" s="58"/>
      <c r="ORC60" s="58"/>
      <c r="ORD60" s="58"/>
      <c r="ORE60" s="58"/>
      <c r="ORF60" s="58"/>
      <c r="ORG60" s="58"/>
      <c r="ORH60" s="58"/>
      <c r="ORI60" s="58"/>
      <c r="ORJ60" s="58"/>
      <c r="ORK60" s="58"/>
      <c r="ORL60" s="58"/>
      <c r="ORM60" s="58"/>
      <c r="ORN60" s="58"/>
      <c r="ORO60" s="58"/>
      <c r="ORP60" s="58"/>
      <c r="ORQ60" s="58"/>
      <c r="ORR60" s="58"/>
      <c r="ORS60" s="58"/>
      <c r="ORT60" s="58"/>
      <c r="ORU60" s="58"/>
      <c r="ORV60" s="58"/>
      <c r="ORW60" s="58"/>
      <c r="ORX60" s="58"/>
      <c r="ORY60" s="58"/>
      <c r="ORZ60" s="58"/>
      <c r="OSA60" s="58"/>
      <c r="OSB60" s="58"/>
      <c r="OSC60" s="58"/>
      <c r="OSD60" s="58"/>
      <c r="OSE60" s="58"/>
      <c r="OSF60" s="58"/>
      <c r="OSG60" s="58"/>
      <c r="OSH60" s="58"/>
      <c r="OSI60" s="58"/>
      <c r="OSJ60" s="58"/>
      <c r="OSK60" s="58"/>
      <c r="OSL60" s="58"/>
      <c r="OSM60" s="58"/>
      <c r="OSN60" s="58"/>
      <c r="OSO60" s="58"/>
      <c r="OSP60" s="58"/>
      <c r="OSQ60" s="58"/>
      <c r="OSR60" s="58"/>
      <c r="OSS60" s="58"/>
      <c r="OST60" s="58"/>
      <c r="OSU60" s="58"/>
      <c r="OSV60" s="58"/>
      <c r="OSW60" s="58"/>
      <c r="OSX60" s="58"/>
      <c r="OSY60" s="58"/>
      <c r="OSZ60" s="58"/>
      <c r="OTA60" s="58"/>
      <c r="OTB60" s="58"/>
      <c r="OTC60" s="58"/>
      <c r="OTD60" s="58"/>
      <c r="OTE60" s="58"/>
      <c r="OTF60" s="58"/>
      <c r="OTG60" s="58"/>
      <c r="OTH60" s="58"/>
      <c r="OTI60" s="58"/>
      <c r="OTJ60" s="58"/>
      <c r="OTK60" s="58"/>
      <c r="OTL60" s="58"/>
      <c r="OTM60" s="58"/>
      <c r="OTN60" s="58"/>
      <c r="OTO60" s="58"/>
      <c r="OTP60" s="58"/>
      <c r="OTQ60" s="58"/>
      <c r="OTR60" s="58"/>
      <c r="OTS60" s="58"/>
      <c r="OTT60" s="58"/>
      <c r="OTU60" s="58"/>
      <c r="OTV60" s="58"/>
      <c r="OTW60" s="58"/>
      <c r="OTX60" s="58"/>
      <c r="OTY60" s="58"/>
      <c r="OTZ60" s="58"/>
      <c r="OUA60" s="58"/>
      <c r="OUB60" s="58"/>
      <c r="OUC60" s="58"/>
      <c r="OUD60" s="58"/>
      <c r="OUE60" s="58"/>
      <c r="OUF60" s="58"/>
      <c r="OUG60" s="58"/>
      <c r="OUH60" s="58"/>
      <c r="OUI60" s="58"/>
      <c r="OUJ60" s="58"/>
      <c r="OUK60" s="58"/>
      <c r="OUL60" s="58"/>
      <c r="OUM60" s="58"/>
      <c r="OUN60" s="58"/>
      <c r="OUO60" s="58"/>
      <c r="OUP60" s="58"/>
      <c r="OUQ60" s="58"/>
      <c r="OUR60" s="58"/>
      <c r="OUS60" s="58"/>
      <c r="OUT60" s="58"/>
      <c r="OUU60" s="58"/>
      <c r="OUV60" s="58"/>
      <c r="OUW60" s="58"/>
      <c r="OUX60" s="58"/>
      <c r="OUY60" s="58"/>
      <c r="OUZ60" s="58"/>
      <c r="OVA60" s="58"/>
      <c r="OVB60" s="58"/>
      <c r="OVC60" s="58"/>
      <c r="OVD60" s="58"/>
      <c r="OVE60" s="58"/>
      <c r="OVF60" s="58"/>
      <c r="OVG60" s="58"/>
      <c r="OVH60" s="58"/>
      <c r="OVI60" s="58"/>
      <c r="OVJ60" s="58"/>
      <c r="OVK60" s="58"/>
      <c r="OVL60" s="58"/>
      <c r="OVM60" s="58"/>
      <c r="OVN60" s="58"/>
      <c r="OVO60" s="58"/>
      <c r="OVP60" s="58"/>
      <c r="OVQ60" s="58"/>
      <c r="OVR60" s="58"/>
      <c r="OVS60" s="58"/>
      <c r="OVU60" s="58"/>
      <c r="OVV60" s="58"/>
      <c r="OVX60" s="58"/>
      <c r="OWD60" s="58"/>
      <c r="OWE60" s="58"/>
      <c r="OWS60" s="58"/>
      <c r="OWT60" s="58"/>
      <c r="OWU60" s="58"/>
      <c r="OWV60" s="58"/>
      <c r="OWW60" s="58"/>
      <c r="OWX60" s="58"/>
      <c r="OWY60" s="58"/>
      <c r="OWZ60" s="58"/>
      <c r="OXA60" s="58"/>
      <c r="OXB60" s="58"/>
      <c r="OXC60" s="58"/>
      <c r="OXD60" s="58"/>
      <c r="OXE60" s="58"/>
      <c r="OXF60" s="58"/>
      <c r="OXG60" s="58"/>
      <c r="OXH60" s="58"/>
      <c r="OXI60" s="58"/>
      <c r="OXJ60" s="58"/>
      <c r="OXK60" s="58"/>
      <c r="OXL60" s="58"/>
      <c r="OXM60" s="58"/>
      <c r="OXN60" s="58"/>
      <c r="OXO60" s="58"/>
      <c r="OXP60" s="58"/>
      <c r="OXQ60" s="58"/>
      <c r="OXR60" s="58"/>
      <c r="OXS60" s="58"/>
      <c r="OXT60" s="58"/>
      <c r="OXU60" s="58"/>
      <c r="OXV60" s="58"/>
      <c r="OXW60" s="58"/>
      <c r="OXX60" s="58"/>
      <c r="OXY60" s="58"/>
      <c r="OXZ60" s="58"/>
      <c r="OYA60" s="58"/>
      <c r="OYB60" s="58"/>
      <c r="OYC60" s="58"/>
      <c r="OYD60" s="58"/>
      <c r="OYE60" s="58"/>
      <c r="OYF60" s="58"/>
      <c r="OYG60" s="58"/>
      <c r="OYH60" s="58"/>
      <c r="OYI60" s="58"/>
      <c r="OYJ60" s="58"/>
      <c r="OYK60" s="58"/>
      <c r="OYL60" s="58"/>
      <c r="OYM60" s="58"/>
      <c r="OYN60" s="58"/>
      <c r="OYO60" s="58"/>
      <c r="OYP60" s="58"/>
      <c r="OYQ60" s="58"/>
      <c r="OYR60" s="58"/>
      <c r="OYS60" s="58"/>
      <c r="OYT60" s="58"/>
      <c r="OYU60" s="58"/>
      <c r="OYV60" s="58"/>
      <c r="OYW60" s="58"/>
      <c r="OYX60" s="58"/>
      <c r="OYY60" s="58"/>
      <c r="OYZ60" s="58"/>
      <c r="OZA60" s="58"/>
      <c r="OZB60" s="58"/>
      <c r="OZC60" s="58"/>
      <c r="OZD60" s="58"/>
      <c r="OZE60" s="58"/>
      <c r="OZF60" s="58"/>
      <c r="OZG60" s="58"/>
      <c r="OZH60" s="58"/>
      <c r="OZI60" s="58"/>
      <c r="OZJ60" s="58"/>
      <c r="OZK60" s="58"/>
      <c r="OZL60" s="58"/>
      <c r="OZM60" s="58"/>
      <c r="OZN60" s="58"/>
      <c r="OZO60" s="58"/>
      <c r="OZP60" s="58"/>
      <c r="OZQ60" s="58"/>
      <c r="OZR60" s="58"/>
      <c r="OZS60" s="58"/>
      <c r="OZT60" s="58"/>
      <c r="OZU60" s="58"/>
      <c r="OZV60" s="58"/>
      <c r="OZW60" s="58"/>
      <c r="OZX60" s="58"/>
      <c r="OZY60" s="58"/>
      <c r="OZZ60" s="58"/>
      <c r="PAA60" s="58"/>
      <c r="PAB60" s="58"/>
      <c r="PAC60" s="58"/>
      <c r="PAD60" s="58"/>
      <c r="PAE60" s="58"/>
      <c r="PAF60" s="58"/>
      <c r="PAG60" s="58"/>
      <c r="PAH60" s="58"/>
      <c r="PAI60" s="58"/>
      <c r="PAJ60" s="58"/>
      <c r="PAK60" s="58"/>
      <c r="PAL60" s="58"/>
      <c r="PAM60" s="58"/>
      <c r="PAN60" s="58"/>
      <c r="PAO60" s="58"/>
      <c r="PAP60" s="58"/>
      <c r="PAQ60" s="58"/>
      <c r="PAR60" s="58"/>
      <c r="PAS60" s="58"/>
      <c r="PAT60" s="58"/>
      <c r="PAU60" s="58"/>
      <c r="PAV60" s="58"/>
      <c r="PAW60" s="58"/>
      <c r="PAX60" s="58"/>
      <c r="PAY60" s="58"/>
      <c r="PAZ60" s="58"/>
      <c r="PBA60" s="58"/>
      <c r="PBB60" s="58"/>
      <c r="PBC60" s="58"/>
      <c r="PBD60" s="58"/>
      <c r="PBE60" s="58"/>
      <c r="PBF60" s="58"/>
      <c r="PBG60" s="58"/>
      <c r="PBH60" s="58"/>
      <c r="PBI60" s="58"/>
      <c r="PBJ60" s="58"/>
      <c r="PBK60" s="58"/>
      <c r="PBL60" s="58"/>
      <c r="PBM60" s="58"/>
      <c r="PBN60" s="58"/>
      <c r="PBO60" s="58"/>
      <c r="PBP60" s="58"/>
      <c r="PBQ60" s="58"/>
      <c r="PBR60" s="58"/>
      <c r="PBS60" s="58"/>
      <c r="PBT60" s="58"/>
      <c r="PBU60" s="58"/>
      <c r="PBV60" s="58"/>
      <c r="PBW60" s="58"/>
      <c r="PBX60" s="58"/>
      <c r="PBY60" s="58"/>
      <c r="PBZ60" s="58"/>
      <c r="PCA60" s="58"/>
      <c r="PCB60" s="58"/>
      <c r="PCC60" s="58"/>
      <c r="PCD60" s="58"/>
      <c r="PCE60" s="58"/>
      <c r="PCF60" s="58"/>
      <c r="PCG60" s="58"/>
      <c r="PCH60" s="58"/>
      <c r="PCI60" s="58"/>
      <c r="PCJ60" s="58"/>
      <c r="PCK60" s="58"/>
      <c r="PCL60" s="58"/>
      <c r="PCM60" s="58"/>
      <c r="PCN60" s="58"/>
      <c r="PCO60" s="58"/>
      <c r="PCP60" s="58"/>
      <c r="PCQ60" s="58"/>
      <c r="PCR60" s="58"/>
      <c r="PCS60" s="58"/>
      <c r="PCT60" s="58"/>
      <c r="PCU60" s="58"/>
      <c r="PCV60" s="58"/>
      <c r="PCW60" s="58"/>
      <c r="PCX60" s="58"/>
      <c r="PCY60" s="58"/>
      <c r="PCZ60" s="58"/>
      <c r="PDA60" s="58"/>
      <c r="PDB60" s="58"/>
      <c r="PDC60" s="58"/>
      <c r="PDD60" s="58"/>
      <c r="PDE60" s="58"/>
      <c r="PDF60" s="58"/>
      <c r="PDG60" s="58"/>
      <c r="PDH60" s="58"/>
      <c r="PDI60" s="58"/>
      <c r="PDJ60" s="58"/>
      <c r="PDK60" s="58"/>
      <c r="PDL60" s="58"/>
      <c r="PDM60" s="58"/>
      <c r="PDN60" s="58"/>
      <c r="PDO60" s="58"/>
      <c r="PDP60" s="58"/>
      <c r="PDQ60" s="58"/>
      <c r="PDR60" s="58"/>
      <c r="PDS60" s="58"/>
      <c r="PDT60" s="58"/>
      <c r="PDU60" s="58"/>
      <c r="PDV60" s="58"/>
      <c r="PDW60" s="58"/>
      <c r="PDX60" s="58"/>
      <c r="PDY60" s="58"/>
      <c r="PDZ60" s="58"/>
      <c r="PEA60" s="58"/>
      <c r="PEB60" s="58"/>
      <c r="PEC60" s="58"/>
      <c r="PED60" s="58"/>
      <c r="PEE60" s="58"/>
      <c r="PEF60" s="58"/>
      <c r="PEG60" s="58"/>
      <c r="PEH60" s="58"/>
      <c r="PEI60" s="58"/>
      <c r="PEJ60" s="58"/>
      <c r="PEK60" s="58"/>
      <c r="PEL60" s="58"/>
      <c r="PEM60" s="58"/>
      <c r="PEN60" s="58"/>
      <c r="PEO60" s="58"/>
      <c r="PEP60" s="58"/>
      <c r="PEQ60" s="58"/>
      <c r="PER60" s="58"/>
      <c r="PES60" s="58"/>
      <c r="PET60" s="58"/>
      <c r="PEU60" s="58"/>
      <c r="PEV60" s="58"/>
      <c r="PEW60" s="58"/>
      <c r="PEX60" s="58"/>
      <c r="PEY60" s="58"/>
      <c r="PEZ60" s="58"/>
      <c r="PFA60" s="58"/>
      <c r="PFB60" s="58"/>
      <c r="PFC60" s="58"/>
      <c r="PFD60" s="58"/>
      <c r="PFE60" s="58"/>
      <c r="PFF60" s="58"/>
      <c r="PFG60" s="58"/>
      <c r="PFH60" s="58"/>
      <c r="PFI60" s="58"/>
      <c r="PFJ60" s="58"/>
      <c r="PFK60" s="58"/>
      <c r="PFL60" s="58"/>
      <c r="PFM60" s="58"/>
      <c r="PFN60" s="58"/>
      <c r="PFO60" s="58"/>
      <c r="PFQ60" s="58"/>
      <c r="PFR60" s="58"/>
      <c r="PFT60" s="58"/>
      <c r="PFZ60" s="58"/>
      <c r="PGA60" s="58"/>
      <c r="PGO60" s="58"/>
      <c r="PGP60" s="58"/>
      <c r="PGQ60" s="58"/>
      <c r="PGR60" s="58"/>
      <c r="PGS60" s="58"/>
      <c r="PGT60" s="58"/>
      <c r="PGU60" s="58"/>
      <c r="PGV60" s="58"/>
      <c r="PGW60" s="58"/>
      <c r="PGX60" s="58"/>
      <c r="PGY60" s="58"/>
      <c r="PGZ60" s="58"/>
      <c r="PHA60" s="58"/>
      <c r="PHB60" s="58"/>
      <c r="PHC60" s="58"/>
      <c r="PHD60" s="58"/>
      <c r="PHE60" s="58"/>
      <c r="PHF60" s="58"/>
      <c r="PHG60" s="58"/>
      <c r="PHH60" s="58"/>
      <c r="PHI60" s="58"/>
      <c r="PHJ60" s="58"/>
      <c r="PHK60" s="58"/>
      <c r="PHL60" s="58"/>
      <c r="PHM60" s="58"/>
      <c r="PHN60" s="58"/>
      <c r="PHO60" s="58"/>
      <c r="PHP60" s="58"/>
      <c r="PHQ60" s="58"/>
      <c r="PHR60" s="58"/>
      <c r="PHS60" s="58"/>
      <c r="PHT60" s="58"/>
      <c r="PHU60" s="58"/>
      <c r="PHV60" s="58"/>
      <c r="PHW60" s="58"/>
      <c r="PHX60" s="58"/>
      <c r="PHY60" s="58"/>
      <c r="PHZ60" s="58"/>
      <c r="PIA60" s="58"/>
      <c r="PIB60" s="58"/>
      <c r="PIC60" s="58"/>
      <c r="PID60" s="58"/>
      <c r="PIE60" s="58"/>
      <c r="PIF60" s="58"/>
      <c r="PIG60" s="58"/>
      <c r="PIH60" s="58"/>
      <c r="PII60" s="58"/>
      <c r="PIJ60" s="58"/>
      <c r="PIK60" s="58"/>
      <c r="PIL60" s="58"/>
      <c r="PIM60" s="58"/>
      <c r="PIN60" s="58"/>
      <c r="PIO60" s="58"/>
      <c r="PIP60" s="58"/>
      <c r="PIQ60" s="58"/>
      <c r="PIR60" s="58"/>
      <c r="PIS60" s="58"/>
      <c r="PIT60" s="58"/>
      <c r="PIU60" s="58"/>
      <c r="PIV60" s="58"/>
      <c r="PIW60" s="58"/>
      <c r="PIX60" s="58"/>
      <c r="PIY60" s="58"/>
      <c r="PIZ60" s="58"/>
      <c r="PJA60" s="58"/>
      <c r="PJB60" s="58"/>
      <c r="PJC60" s="58"/>
      <c r="PJD60" s="58"/>
      <c r="PJE60" s="58"/>
      <c r="PJF60" s="58"/>
      <c r="PJG60" s="58"/>
      <c r="PJH60" s="58"/>
      <c r="PJI60" s="58"/>
      <c r="PJJ60" s="58"/>
      <c r="PJK60" s="58"/>
      <c r="PJL60" s="58"/>
      <c r="PJM60" s="58"/>
      <c r="PJN60" s="58"/>
      <c r="PJO60" s="58"/>
      <c r="PJP60" s="58"/>
      <c r="PJQ60" s="58"/>
      <c r="PJR60" s="58"/>
      <c r="PJS60" s="58"/>
      <c r="PJT60" s="58"/>
      <c r="PJU60" s="58"/>
      <c r="PJV60" s="58"/>
      <c r="PJW60" s="58"/>
      <c r="PJX60" s="58"/>
      <c r="PJY60" s="58"/>
      <c r="PJZ60" s="58"/>
      <c r="PKA60" s="58"/>
      <c r="PKB60" s="58"/>
      <c r="PKC60" s="58"/>
      <c r="PKD60" s="58"/>
      <c r="PKE60" s="58"/>
      <c r="PKF60" s="58"/>
      <c r="PKG60" s="58"/>
      <c r="PKH60" s="58"/>
      <c r="PKI60" s="58"/>
      <c r="PKJ60" s="58"/>
      <c r="PKK60" s="58"/>
      <c r="PKL60" s="58"/>
      <c r="PKM60" s="58"/>
      <c r="PKN60" s="58"/>
      <c r="PKO60" s="58"/>
      <c r="PKP60" s="58"/>
      <c r="PKQ60" s="58"/>
      <c r="PKR60" s="58"/>
      <c r="PKS60" s="58"/>
      <c r="PKT60" s="58"/>
      <c r="PKU60" s="58"/>
      <c r="PKV60" s="58"/>
      <c r="PKW60" s="58"/>
      <c r="PKX60" s="58"/>
      <c r="PKY60" s="58"/>
      <c r="PKZ60" s="58"/>
      <c r="PLA60" s="58"/>
      <c r="PLB60" s="58"/>
      <c r="PLC60" s="58"/>
      <c r="PLD60" s="58"/>
      <c r="PLE60" s="58"/>
      <c r="PLF60" s="58"/>
      <c r="PLG60" s="58"/>
      <c r="PLH60" s="58"/>
      <c r="PLI60" s="58"/>
      <c r="PLJ60" s="58"/>
      <c r="PLK60" s="58"/>
      <c r="PLL60" s="58"/>
      <c r="PLM60" s="58"/>
      <c r="PLN60" s="58"/>
      <c r="PLO60" s="58"/>
      <c r="PLP60" s="58"/>
      <c r="PLQ60" s="58"/>
      <c r="PLR60" s="58"/>
      <c r="PLS60" s="58"/>
      <c r="PLT60" s="58"/>
      <c r="PLU60" s="58"/>
      <c r="PLV60" s="58"/>
      <c r="PLW60" s="58"/>
      <c r="PLX60" s="58"/>
      <c r="PLY60" s="58"/>
      <c r="PLZ60" s="58"/>
      <c r="PMA60" s="58"/>
      <c r="PMB60" s="58"/>
      <c r="PMC60" s="58"/>
      <c r="PMD60" s="58"/>
      <c r="PME60" s="58"/>
      <c r="PMF60" s="58"/>
      <c r="PMG60" s="58"/>
      <c r="PMH60" s="58"/>
      <c r="PMI60" s="58"/>
      <c r="PMJ60" s="58"/>
      <c r="PMK60" s="58"/>
      <c r="PML60" s="58"/>
      <c r="PMM60" s="58"/>
      <c r="PMN60" s="58"/>
      <c r="PMO60" s="58"/>
      <c r="PMP60" s="58"/>
      <c r="PMQ60" s="58"/>
      <c r="PMR60" s="58"/>
      <c r="PMS60" s="58"/>
      <c r="PMT60" s="58"/>
      <c r="PMU60" s="58"/>
      <c r="PMV60" s="58"/>
      <c r="PMW60" s="58"/>
      <c r="PMX60" s="58"/>
      <c r="PMY60" s="58"/>
      <c r="PMZ60" s="58"/>
      <c r="PNA60" s="58"/>
      <c r="PNB60" s="58"/>
      <c r="PNC60" s="58"/>
      <c r="PND60" s="58"/>
      <c r="PNE60" s="58"/>
      <c r="PNF60" s="58"/>
      <c r="PNG60" s="58"/>
      <c r="PNH60" s="58"/>
      <c r="PNI60" s="58"/>
      <c r="PNJ60" s="58"/>
      <c r="PNK60" s="58"/>
      <c r="PNL60" s="58"/>
      <c r="PNM60" s="58"/>
      <c r="PNN60" s="58"/>
      <c r="PNO60" s="58"/>
      <c r="PNP60" s="58"/>
      <c r="PNQ60" s="58"/>
      <c r="PNR60" s="58"/>
      <c r="PNS60" s="58"/>
      <c r="PNT60" s="58"/>
      <c r="PNU60" s="58"/>
      <c r="PNV60" s="58"/>
      <c r="PNW60" s="58"/>
      <c r="PNX60" s="58"/>
      <c r="PNY60" s="58"/>
      <c r="PNZ60" s="58"/>
      <c r="POA60" s="58"/>
      <c r="POB60" s="58"/>
      <c r="POC60" s="58"/>
      <c r="POD60" s="58"/>
      <c r="POE60" s="58"/>
      <c r="POF60" s="58"/>
      <c r="POG60" s="58"/>
      <c r="POH60" s="58"/>
      <c r="POI60" s="58"/>
      <c r="POJ60" s="58"/>
      <c r="POK60" s="58"/>
      <c r="POL60" s="58"/>
      <c r="POM60" s="58"/>
      <c r="PON60" s="58"/>
      <c r="POO60" s="58"/>
      <c r="POP60" s="58"/>
      <c r="POQ60" s="58"/>
      <c r="POR60" s="58"/>
      <c r="POS60" s="58"/>
      <c r="POT60" s="58"/>
      <c r="POU60" s="58"/>
      <c r="POV60" s="58"/>
      <c r="POW60" s="58"/>
      <c r="POX60" s="58"/>
      <c r="POY60" s="58"/>
      <c r="POZ60" s="58"/>
      <c r="PPA60" s="58"/>
      <c r="PPB60" s="58"/>
      <c r="PPC60" s="58"/>
      <c r="PPD60" s="58"/>
      <c r="PPE60" s="58"/>
      <c r="PPF60" s="58"/>
      <c r="PPG60" s="58"/>
      <c r="PPH60" s="58"/>
      <c r="PPI60" s="58"/>
      <c r="PPJ60" s="58"/>
      <c r="PPK60" s="58"/>
      <c r="PPM60" s="58"/>
      <c r="PPN60" s="58"/>
      <c r="PPP60" s="58"/>
      <c r="PPV60" s="58"/>
      <c r="PPW60" s="58"/>
      <c r="PQK60" s="58"/>
      <c r="PQL60" s="58"/>
      <c r="PQM60" s="58"/>
      <c r="PQN60" s="58"/>
      <c r="PQO60" s="58"/>
      <c r="PQP60" s="58"/>
      <c r="PQQ60" s="58"/>
      <c r="PQR60" s="58"/>
      <c r="PQS60" s="58"/>
      <c r="PQT60" s="58"/>
      <c r="PQU60" s="58"/>
      <c r="PQV60" s="58"/>
      <c r="PQW60" s="58"/>
      <c r="PQX60" s="58"/>
      <c r="PQY60" s="58"/>
      <c r="PQZ60" s="58"/>
      <c r="PRA60" s="58"/>
      <c r="PRB60" s="58"/>
      <c r="PRC60" s="58"/>
      <c r="PRD60" s="58"/>
      <c r="PRE60" s="58"/>
      <c r="PRF60" s="58"/>
      <c r="PRG60" s="58"/>
      <c r="PRH60" s="58"/>
      <c r="PRI60" s="58"/>
      <c r="PRJ60" s="58"/>
      <c r="PRK60" s="58"/>
      <c r="PRL60" s="58"/>
      <c r="PRM60" s="58"/>
      <c r="PRN60" s="58"/>
      <c r="PRO60" s="58"/>
      <c r="PRP60" s="58"/>
      <c r="PRQ60" s="58"/>
      <c r="PRR60" s="58"/>
      <c r="PRS60" s="58"/>
      <c r="PRT60" s="58"/>
      <c r="PRU60" s="58"/>
      <c r="PRV60" s="58"/>
      <c r="PRW60" s="58"/>
      <c r="PRX60" s="58"/>
      <c r="PRY60" s="58"/>
      <c r="PRZ60" s="58"/>
      <c r="PSA60" s="58"/>
      <c r="PSB60" s="58"/>
      <c r="PSC60" s="58"/>
      <c r="PSD60" s="58"/>
      <c r="PSE60" s="58"/>
      <c r="PSF60" s="58"/>
      <c r="PSG60" s="58"/>
      <c r="PSH60" s="58"/>
      <c r="PSI60" s="58"/>
      <c r="PSJ60" s="58"/>
      <c r="PSK60" s="58"/>
      <c r="PSL60" s="58"/>
      <c r="PSM60" s="58"/>
      <c r="PSN60" s="58"/>
      <c r="PSO60" s="58"/>
      <c r="PSP60" s="58"/>
      <c r="PSQ60" s="58"/>
      <c r="PSR60" s="58"/>
      <c r="PSS60" s="58"/>
      <c r="PST60" s="58"/>
      <c r="PSU60" s="58"/>
      <c r="PSV60" s="58"/>
      <c r="PSW60" s="58"/>
      <c r="PSX60" s="58"/>
      <c r="PSY60" s="58"/>
      <c r="PSZ60" s="58"/>
      <c r="PTA60" s="58"/>
      <c r="PTB60" s="58"/>
      <c r="PTC60" s="58"/>
      <c r="PTD60" s="58"/>
      <c r="PTE60" s="58"/>
      <c r="PTF60" s="58"/>
      <c r="PTG60" s="58"/>
      <c r="PTH60" s="58"/>
      <c r="PTI60" s="58"/>
      <c r="PTJ60" s="58"/>
      <c r="PTK60" s="58"/>
      <c r="PTL60" s="58"/>
      <c r="PTM60" s="58"/>
      <c r="PTN60" s="58"/>
      <c r="PTO60" s="58"/>
      <c r="PTP60" s="58"/>
      <c r="PTQ60" s="58"/>
      <c r="PTR60" s="58"/>
      <c r="PTS60" s="58"/>
      <c r="PTT60" s="58"/>
      <c r="PTU60" s="58"/>
      <c r="PTV60" s="58"/>
      <c r="PTW60" s="58"/>
      <c r="PTX60" s="58"/>
      <c r="PTY60" s="58"/>
      <c r="PTZ60" s="58"/>
      <c r="PUA60" s="58"/>
      <c r="PUB60" s="58"/>
      <c r="PUC60" s="58"/>
      <c r="PUD60" s="58"/>
      <c r="PUE60" s="58"/>
      <c r="PUF60" s="58"/>
      <c r="PUG60" s="58"/>
      <c r="PUH60" s="58"/>
      <c r="PUI60" s="58"/>
      <c r="PUJ60" s="58"/>
      <c r="PUK60" s="58"/>
      <c r="PUL60" s="58"/>
      <c r="PUM60" s="58"/>
      <c r="PUN60" s="58"/>
      <c r="PUO60" s="58"/>
      <c r="PUP60" s="58"/>
      <c r="PUQ60" s="58"/>
      <c r="PUR60" s="58"/>
      <c r="PUS60" s="58"/>
      <c r="PUT60" s="58"/>
      <c r="PUU60" s="58"/>
      <c r="PUV60" s="58"/>
      <c r="PUW60" s="58"/>
      <c r="PUX60" s="58"/>
      <c r="PUY60" s="58"/>
      <c r="PUZ60" s="58"/>
      <c r="PVA60" s="58"/>
      <c r="PVB60" s="58"/>
      <c r="PVC60" s="58"/>
      <c r="PVD60" s="58"/>
      <c r="PVE60" s="58"/>
      <c r="PVF60" s="58"/>
      <c r="PVG60" s="58"/>
      <c r="PVH60" s="58"/>
      <c r="PVI60" s="58"/>
      <c r="PVJ60" s="58"/>
      <c r="PVK60" s="58"/>
      <c r="PVL60" s="58"/>
      <c r="PVM60" s="58"/>
      <c r="PVN60" s="58"/>
      <c r="PVO60" s="58"/>
      <c r="PVP60" s="58"/>
      <c r="PVQ60" s="58"/>
      <c r="PVR60" s="58"/>
      <c r="PVS60" s="58"/>
      <c r="PVT60" s="58"/>
      <c r="PVU60" s="58"/>
      <c r="PVV60" s="58"/>
      <c r="PVW60" s="58"/>
      <c r="PVX60" s="58"/>
      <c r="PVY60" s="58"/>
      <c r="PVZ60" s="58"/>
      <c r="PWA60" s="58"/>
      <c r="PWB60" s="58"/>
      <c r="PWC60" s="58"/>
      <c r="PWD60" s="58"/>
      <c r="PWE60" s="58"/>
      <c r="PWF60" s="58"/>
      <c r="PWG60" s="58"/>
      <c r="PWH60" s="58"/>
      <c r="PWI60" s="58"/>
      <c r="PWJ60" s="58"/>
      <c r="PWK60" s="58"/>
      <c r="PWL60" s="58"/>
      <c r="PWM60" s="58"/>
      <c r="PWN60" s="58"/>
      <c r="PWO60" s="58"/>
      <c r="PWP60" s="58"/>
      <c r="PWQ60" s="58"/>
      <c r="PWR60" s="58"/>
      <c r="PWS60" s="58"/>
      <c r="PWT60" s="58"/>
      <c r="PWU60" s="58"/>
      <c r="PWV60" s="58"/>
      <c r="PWW60" s="58"/>
      <c r="PWX60" s="58"/>
      <c r="PWY60" s="58"/>
      <c r="PWZ60" s="58"/>
      <c r="PXA60" s="58"/>
      <c r="PXB60" s="58"/>
      <c r="PXC60" s="58"/>
      <c r="PXD60" s="58"/>
      <c r="PXE60" s="58"/>
      <c r="PXF60" s="58"/>
      <c r="PXG60" s="58"/>
      <c r="PXH60" s="58"/>
      <c r="PXI60" s="58"/>
      <c r="PXJ60" s="58"/>
      <c r="PXK60" s="58"/>
      <c r="PXL60" s="58"/>
      <c r="PXM60" s="58"/>
      <c r="PXN60" s="58"/>
      <c r="PXO60" s="58"/>
      <c r="PXP60" s="58"/>
      <c r="PXQ60" s="58"/>
      <c r="PXR60" s="58"/>
      <c r="PXS60" s="58"/>
      <c r="PXT60" s="58"/>
      <c r="PXU60" s="58"/>
      <c r="PXV60" s="58"/>
      <c r="PXW60" s="58"/>
      <c r="PXX60" s="58"/>
      <c r="PXY60" s="58"/>
      <c r="PXZ60" s="58"/>
      <c r="PYA60" s="58"/>
      <c r="PYB60" s="58"/>
      <c r="PYC60" s="58"/>
      <c r="PYD60" s="58"/>
      <c r="PYE60" s="58"/>
      <c r="PYF60" s="58"/>
      <c r="PYG60" s="58"/>
      <c r="PYH60" s="58"/>
      <c r="PYI60" s="58"/>
      <c r="PYJ60" s="58"/>
      <c r="PYK60" s="58"/>
      <c r="PYL60" s="58"/>
      <c r="PYM60" s="58"/>
      <c r="PYN60" s="58"/>
      <c r="PYO60" s="58"/>
      <c r="PYP60" s="58"/>
      <c r="PYQ60" s="58"/>
      <c r="PYR60" s="58"/>
      <c r="PYS60" s="58"/>
      <c r="PYT60" s="58"/>
      <c r="PYU60" s="58"/>
      <c r="PYV60" s="58"/>
      <c r="PYW60" s="58"/>
      <c r="PYX60" s="58"/>
      <c r="PYY60" s="58"/>
      <c r="PYZ60" s="58"/>
      <c r="PZA60" s="58"/>
      <c r="PZB60" s="58"/>
      <c r="PZC60" s="58"/>
      <c r="PZD60" s="58"/>
      <c r="PZE60" s="58"/>
      <c r="PZF60" s="58"/>
      <c r="PZG60" s="58"/>
      <c r="PZI60" s="58"/>
      <c r="PZJ60" s="58"/>
      <c r="PZL60" s="58"/>
      <c r="PZR60" s="58"/>
      <c r="PZS60" s="58"/>
      <c r="QAG60" s="58"/>
      <c r="QAH60" s="58"/>
      <c r="QAI60" s="58"/>
      <c r="QAJ60" s="58"/>
      <c r="QAK60" s="58"/>
      <c r="QAL60" s="58"/>
      <c r="QAM60" s="58"/>
      <c r="QAN60" s="58"/>
      <c r="QAO60" s="58"/>
      <c r="QAP60" s="58"/>
      <c r="QAQ60" s="58"/>
      <c r="QAR60" s="58"/>
      <c r="QAS60" s="58"/>
      <c r="QAT60" s="58"/>
      <c r="QAU60" s="58"/>
      <c r="QAV60" s="58"/>
      <c r="QAW60" s="58"/>
      <c r="QAX60" s="58"/>
      <c r="QAY60" s="58"/>
      <c r="QAZ60" s="58"/>
      <c r="QBA60" s="58"/>
      <c r="QBB60" s="58"/>
      <c r="QBC60" s="58"/>
      <c r="QBD60" s="58"/>
      <c r="QBE60" s="58"/>
      <c r="QBF60" s="58"/>
      <c r="QBG60" s="58"/>
      <c r="QBH60" s="58"/>
      <c r="QBI60" s="58"/>
      <c r="QBJ60" s="58"/>
      <c r="QBK60" s="58"/>
      <c r="QBL60" s="58"/>
      <c r="QBM60" s="58"/>
      <c r="QBN60" s="58"/>
      <c r="QBO60" s="58"/>
      <c r="QBP60" s="58"/>
      <c r="QBQ60" s="58"/>
      <c r="QBR60" s="58"/>
      <c r="QBS60" s="58"/>
      <c r="QBT60" s="58"/>
      <c r="QBU60" s="58"/>
      <c r="QBV60" s="58"/>
      <c r="QBW60" s="58"/>
      <c r="QBX60" s="58"/>
      <c r="QBY60" s="58"/>
      <c r="QBZ60" s="58"/>
      <c r="QCA60" s="58"/>
      <c r="QCB60" s="58"/>
      <c r="QCC60" s="58"/>
      <c r="QCD60" s="58"/>
      <c r="QCE60" s="58"/>
      <c r="QCF60" s="58"/>
      <c r="QCG60" s="58"/>
      <c r="QCH60" s="58"/>
      <c r="QCI60" s="58"/>
      <c r="QCJ60" s="58"/>
      <c r="QCK60" s="58"/>
      <c r="QCL60" s="58"/>
      <c r="QCM60" s="58"/>
      <c r="QCN60" s="58"/>
      <c r="QCO60" s="58"/>
      <c r="QCP60" s="58"/>
      <c r="QCQ60" s="58"/>
      <c r="QCR60" s="58"/>
      <c r="QCS60" s="58"/>
      <c r="QCT60" s="58"/>
      <c r="QCU60" s="58"/>
      <c r="QCV60" s="58"/>
      <c r="QCW60" s="58"/>
      <c r="QCX60" s="58"/>
      <c r="QCY60" s="58"/>
      <c r="QCZ60" s="58"/>
      <c r="QDA60" s="58"/>
      <c r="QDB60" s="58"/>
      <c r="QDC60" s="58"/>
      <c r="QDD60" s="58"/>
      <c r="QDE60" s="58"/>
      <c r="QDF60" s="58"/>
      <c r="QDG60" s="58"/>
      <c r="QDH60" s="58"/>
      <c r="QDI60" s="58"/>
      <c r="QDJ60" s="58"/>
      <c r="QDK60" s="58"/>
      <c r="QDL60" s="58"/>
      <c r="QDM60" s="58"/>
      <c r="QDN60" s="58"/>
      <c r="QDO60" s="58"/>
      <c r="QDP60" s="58"/>
      <c r="QDQ60" s="58"/>
      <c r="QDR60" s="58"/>
      <c r="QDS60" s="58"/>
      <c r="QDT60" s="58"/>
      <c r="QDU60" s="58"/>
      <c r="QDV60" s="58"/>
      <c r="QDW60" s="58"/>
      <c r="QDX60" s="58"/>
      <c r="QDY60" s="58"/>
      <c r="QDZ60" s="58"/>
      <c r="QEA60" s="58"/>
      <c r="QEB60" s="58"/>
      <c r="QEC60" s="58"/>
      <c r="QED60" s="58"/>
      <c r="QEE60" s="58"/>
      <c r="QEF60" s="58"/>
      <c r="QEG60" s="58"/>
      <c r="QEH60" s="58"/>
      <c r="QEI60" s="58"/>
      <c r="QEJ60" s="58"/>
      <c r="QEK60" s="58"/>
      <c r="QEL60" s="58"/>
      <c r="QEM60" s="58"/>
      <c r="QEN60" s="58"/>
      <c r="QEO60" s="58"/>
      <c r="QEP60" s="58"/>
      <c r="QEQ60" s="58"/>
      <c r="QER60" s="58"/>
      <c r="QES60" s="58"/>
      <c r="QET60" s="58"/>
      <c r="QEU60" s="58"/>
      <c r="QEV60" s="58"/>
      <c r="QEW60" s="58"/>
      <c r="QEX60" s="58"/>
      <c r="QEY60" s="58"/>
      <c r="QEZ60" s="58"/>
      <c r="QFA60" s="58"/>
      <c r="QFB60" s="58"/>
      <c r="QFC60" s="58"/>
      <c r="QFD60" s="58"/>
      <c r="QFE60" s="58"/>
      <c r="QFF60" s="58"/>
      <c r="QFG60" s="58"/>
      <c r="QFH60" s="58"/>
      <c r="QFI60" s="58"/>
      <c r="QFJ60" s="58"/>
      <c r="QFK60" s="58"/>
      <c r="QFL60" s="58"/>
      <c r="QFM60" s="58"/>
      <c r="QFN60" s="58"/>
      <c r="QFO60" s="58"/>
      <c r="QFP60" s="58"/>
      <c r="QFQ60" s="58"/>
      <c r="QFR60" s="58"/>
      <c r="QFS60" s="58"/>
      <c r="QFT60" s="58"/>
      <c r="QFU60" s="58"/>
      <c r="QFV60" s="58"/>
      <c r="QFW60" s="58"/>
      <c r="QFX60" s="58"/>
      <c r="QFY60" s="58"/>
      <c r="QFZ60" s="58"/>
      <c r="QGA60" s="58"/>
      <c r="QGB60" s="58"/>
      <c r="QGC60" s="58"/>
      <c r="QGD60" s="58"/>
      <c r="QGE60" s="58"/>
      <c r="QGF60" s="58"/>
      <c r="QGG60" s="58"/>
      <c r="QGH60" s="58"/>
      <c r="QGI60" s="58"/>
      <c r="QGJ60" s="58"/>
      <c r="QGK60" s="58"/>
      <c r="QGL60" s="58"/>
      <c r="QGM60" s="58"/>
      <c r="QGN60" s="58"/>
      <c r="QGO60" s="58"/>
      <c r="QGP60" s="58"/>
      <c r="QGQ60" s="58"/>
      <c r="QGR60" s="58"/>
      <c r="QGS60" s="58"/>
      <c r="QGT60" s="58"/>
      <c r="QGU60" s="58"/>
      <c r="QGV60" s="58"/>
      <c r="QGW60" s="58"/>
      <c r="QGX60" s="58"/>
      <c r="QGY60" s="58"/>
      <c r="QGZ60" s="58"/>
      <c r="QHA60" s="58"/>
      <c r="QHB60" s="58"/>
      <c r="QHC60" s="58"/>
      <c r="QHD60" s="58"/>
      <c r="QHE60" s="58"/>
      <c r="QHF60" s="58"/>
      <c r="QHG60" s="58"/>
      <c r="QHH60" s="58"/>
      <c r="QHI60" s="58"/>
      <c r="QHJ60" s="58"/>
      <c r="QHK60" s="58"/>
      <c r="QHL60" s="58"/>
      <c r="QHM60" s="58"/>
      <c r="QHN60" s="58"/>
      <c r="QHO60" s="58"/>
      <c r="QHP60" s="58"/>
      <c r="QHQ60" s="58"/>
      <c r="QHR60" s="58"/>
      <c r="QHS60" s="58"/>
      <c r="QHT60" s="58"/>
      <c r="QHU60" s="58"/>
      <c r="QHV60" s="58"/>
      <c r="QHW60" s="58"/>
      <c r="QHX60" s="58"/>
      <c r="QHY60" s="58"/>
      <c r="QHZ60" s="58"/>
      <c r="QIA60" s="58"/>
      <c r="QIB60" s="58"/>
      <c r="QIC60" s="58"/>
      <c r="QID60" s="58"/>
      <c r="QIE60" s="58"/>
      <c r="QIF60" s="58"/>
      <c r="QIG60" s="58"/>
      <c r="QIH60" s="58"/>
      <c r="QII60" s="58"/>
      <c r="QIJ60" s="58"/>
      <c r="QIK60" s="58"/>
      <c r="QIL60" s="58"/>
      <c r="QIM60" s="58"/>
      <c r="QIN60" s="58"/>
      <c r="QIO60" s="58"/>
      <c r="QIP60" s="58"/>
      <c r="QIQ60" s="58"/>
      <c r="QIR60" s="58"/>
      <c r="QIS60" s="58"/>
      <c r="QIT60" s="58"/>
      <c r="QIU60" s="58"/>
      <c r="QIV60" s="58"/>
      <c r="QIW60" s="58"/>
      <c r="QIX60" s="58"/>
      <c r="QIY60" s="58"/>
      <c r="QIZ60" s="58"/>
      <c r="QJA60" s="58"/>
      <c r="QJB60" s="58"/>
      <c r="QJC60" s="58"/>
      <c r="QJE60" s="58"/>
      <c r="QJF60" s="58"/>
      <c r="QJH60" s="58"/>
      <c r="QJN60" s="58"/>
      <c r="QJO60" s="58"/>
      <c r="QKC60" s="58"/>
      <c r="QKD60" s="58"/>
      <c r="QKE60" s="58"/>
      <c r="QKF60" s="58"/>
      <c r="QKG60" s="58"/>
      <c r="QKH60" s="58"/>
      <c r="QKI60" s="58"/>
      <c r="QKJ60" s="58"/>
      <c r="QKK60" s="58"/>
      <c r="QKL60" s="58"/>
      <c r="QKM60" s="58"/>
      <c r="QKN60" s="58"/>
      <c r="QKO60" s="58"/>
      <c r="QKP60" s="58"/>
      <c r="QKQ60" s="58"/>
      <c r="QKR60" s="58"/>
      <c r="QKS60" s="58"/>
      <c r="QKT60" s="58"/>
      <c r="QKU60" s="58"/>
      <c r="QKV60" s="58"/>
      <c r="QKW60" s="58"/>
      <c r="QKX60" s="58"/>
      <c r="QKY60" s="58"/>
      <c r="QKZ60" s="58"/>
      <c r="QLA60" s="58"/>
      <c r="QLB60" s="58"/>
      <c r="QLC60" s="58"/>
      <c r="QLD60" s="58"/>
      <c r="QLE60" s="58"/>
      <c r="QLF60" s="58"/>
      <c r="QLG60" s="58"/>
      <c r="QLH60" s="58"/>
      <c r="QLI60" s="58"/>
      <c r="QLJ60" s="58"/>
      <c r="QLK60" s="58"/>
      <c r="QLL60" s="58"/>
      <c r="QLM60" s="58"/>
      <c r="QLN60" s="58"/>
      <c r="QLO60" s="58"/>
      <c r="QLP60" s="58"/>
      <c r="QLQ60" s="58"/>
      <c r="QLR60" s="58"/>
      <c r="QLS60" s="58"/>
      <c r="QLT60" s="58"/>
      <c r="QLU60" s="58"/>
      <c r="QLV60" s="58"/>
      <c r="QLW60" s="58"/>
      <c r="QLX60" s="58"/>
      <c r="QLY60" s="58"/>
      <c r="QLZ60" s="58"/>
      <c r="QMA60" s="58"/>
      <c r="QMB60" s="58"/>
      <c r="QMC60" s="58"/>
      <c r="QMD60" s="58"/>
      <c r="QME60" s="58"/>
      <c r="QMF60" s="58"/>
      <c r="QMG60" s="58"/>
      <c r="QMH60" s="58"/>
      <c r="QMI60" s="58"/>
      <c r="QMJ60" s="58"/>
      <c r="QMK60" s="58"/>
      <c r="QML60" s="58"/>
      <c r="QMM60" s="58"/>
      <c r="QMN60" s="58"/>
      <c r="QMO60" s="58"/>
      <c r="QMP60" s="58"/>
      <c r="QMQ60" s="58"/>
      <c r="QMR60" s="58"/>
      <c r="QMS60" s="58"/>
      <c r="QMT60" s="58"/>
      <c r="QMU60" s="58"/>
      <c r="QMV60" s="58"/>
      <c r="QMW60" s="58"/>
      <c r="QMX60" s="58"/>
      <c r="QMY60" s="58"/>
      <c r="QMZ60" s="58"/>
      <c r="QNA60" s="58"/>
      <c r="QNB60" s="58"/>
      <c r="QNC60" s="58"/>
      <c r="QND60" s="58"/>
      <c r="QNE60" s="58"/>
      <c r="QNF60" s="58"/>
      <c r="QNG60" s="58"/>
      <c r="QNH60" s="58"/>
      <c r="QNI60" s="58"/>
      <c r="QNJ60" s="58"/>
      <c r="QNK60" s="58"/>
      <c r="QNL60" s="58"/>
      <c r="QNM60" s="58"/>
      <c r="QNN60" s="58"/>
      <c r="QNO60" s="58"/>
      <c r="QNP60" s="58"/>
      <c r="QNQ60" s="58"/>
      <c r="QNR60" s="58"/>
      <c r="QNS60" s="58"/>
      <c r="QNT60" s="58"/>
      <c r="QNU60" s="58"/>
      <c r="QNV60" s="58"/>
      <c r="QNW60" s="58"/>
      <c r="QNX60" s="58"/>
      <c r="QNY60" s="58"/>
      <c r="QNZ60" s="58"/>
      <c r="QOA60" s="58"/>
      <c r="QOB60" s="58"/>
      <c r="QOC60" s="58"/>
      <c r="QOD60" s="58"/>
      <c r="QOE60" s="58"/>
      <c r="QOF60" s="58"/>
      <c r="QOG60" s="58"/>
      <c r="QOH60" s="58"/>
      <c r="QOI60" s="58"/>
      <c r="QOJ60" s="58"/>
      <c r="QOK60" s="58"/>
      <c r="QOL60" s="58"/>
      <c r="QOM60" s="58"/>
      <c r="QON60" s="58"/>
      <c r="QOO60" s="58"/>
      <c r="QOP60" s="58"/>
      <c r="QOQ60" s="58"/>
      <c r="QOR60" s="58"/>
      <c r="QOS60" s="58"/>
      <c r="QOT60" s="58"/>
      <c r="QOU60" s="58"/>
      <c r="QOV60" s="58"/>
      <c r="QOW60" s="58"/>
      <c r="QOX60" s="58"/>
      <c r="QOY60" s="58"/>
      <c r="QOZ60" s="58"/>
      <c r="QPA60" s="58"/>
      <c r="QPB60" s="58"/>
      <c r="QPC60" s="58"/>
      <c r="QPD60" s="58"/>
      <c r="QPE60" s="58"/>
      <c r="QPF60" s="58"/>
      <c r="QPG60" s="58"/>
      <c r="QPH60" s="58"/>
      <c r="QPI60" s="58"/>
      <c r="QPJ60" s="58"/>
      <c r="QPK60" s="58"/>
      <c r="QPL60" s="58"/>
      <c r="QPM60" s="58"/>
      <c r="QPN60" s="58"/>
      <c r="QPO60" s="58"/>
      <c r="QPP60" s="58"/>
      <c r="QPQ60" s="58"/>
      <c r="QPR60" s="58"/>
      <c r="QPS60" s="58"/>
      <c r="QPT60" s="58"/>
      <c r="QPU60" s="58"/>
      <c r="QPV60" s="58"/>
      <c r="QPW60" s="58"/>
      <c r="QPX60" s="58"/>
      <c r="QPY60" s="58"/>
      <c r="QPZ60" s="58"/>
      <c r="QQA60" s="58"/>
      <c r="QQB60" s="58"/>
      <c r="QQC60" s="58"/>
      <c r="QQD60" s="58"/>
      <c r="QQE60" s="58"/>
      <c r="QQF60" s="58"/>
      <c r="QQG60" s="58"/>
      <c r="QQH60" s="58"/>
      <c r="QQI60" s="58"/>
      <c r="QQJ60" s="58"/>
      <c r="QQK60" s="58"/>
      <c r="QQL60" s="58"/>
      <c r="QQM60" s="58"/>
      <c r="QQN60" s="58"/>
      <c r="QQO60" s="58"/>
      <c r="QQP60" s="58"/>
      <c r="QQQ60" s="58"/>
      <c r="QQR60" s="58"/>
      <c r="QQS60" s="58"/>
      <c r="QQT60" s="58"/>
      <c r="QQU60" s="58"/>
      <c r="QQV60" s="58"/>
      <c r="QQW60" s="58"/>
      <c r="QQX60" s="58"/>
      <c r="QQY60" s="58"/>
      <c r="QQZ60" s="58"/>
      <c r="QRA60" s="58"/>
      <c r="QRB60" s="58"/>
      <c r="QRC60" s="58"/>
      <c r="QRD60" s="58"/>
      <c r="QRE60" s="58"/>
      <c r="QRF60" s="58"/>
      <c r="QRG60" s="58"/>
      <c r="QRH60" s="58"/>
      <c r="QRI60" s="58"/>
      <c r="QRJ60" s="58"/>
      <c r="QRK60" s="58"/>
      <c r="QRL60" s="58"/>
      <c r="QRM60" s="58"/>
      <c r="QRN60" s="58"/>
      <c r="QRO60" s="58"/>
      <c r="QRP60" s="58"/>
      <c r="QRQ60" s="58"/>
      <c r="QRR60" s="58"/>
      <c r="QRS60" s="58"/>
      <c r="QRT60" s="58"/>
      <c r="QRU60" s="58"/>
      <c r="QRV60" s="58"/>
      <c r="QRW60" s="58"/>
      <c r="QRX60" s="58"/>
      <c r="QRY60" s="58"/>
      <c r="QRZ60" s="58"/>
      <c r="QSA60" s="58"/>
      <c r="QSB60" s="58"/>
      <c r="QSC60" s="58"/>
      <c r="QSD60" s="58"/>
      <c r="QSE60" s="58"/>
      <c r="QSF60" s="58"/>
      <c r="QSG60" s="58"/>
      <c r="QSH60" s="58"/>
      <c r="QSI60" s="58"/>
      <c r="QSJ60" s="58"/>
      <c r="QSK60" s="58"/>
      <c r="QSL60" s="58"/>
      <c r="QSM60" s="58"/>
      <c r="QSN60" s="58"/>
      <c r="QSO60" s="58"/>
      <c r="QSP60" s="58"/>
      <c r="QSQ60" s="58"/>
      <c r="QSR60" s="58"/>
      <c r="QSS60" s="58"/>
      <c r="QST60" s="58"/>
      <c r="QSU60" s="58"/>
      <c r="QSV60" s="58"/>
      <c r="QSW60" s="58"/>
      <c r="QSX60" s="58"/>
      <c r="QSY60" s="58"/>
      <c r="QTA60" s="58"/>
      <c r="QTB60" s="58"/>
      <c r="QTD60" s="58"/>
      <c r="QTJ60" s="58"/>
      <c r="QTK60" s="58"/>
      <c r="QTY60" s="58"/>
      <c r="QTZ60" s="58"/>
      <c r="QUA60" s="58"/>
      <c r="QUB60" s="58"/>
      <c r="QUC60" s="58"/>
      <c r="QUD60" s="58"/>
      <c r="QUE60" s="58"/>
      <c r="QUF60" s="58"/>
      <c r="QUG60" s="58"/>
      <c r="QUH60" s="58"/>
      <c r="QUI60" s="58"/>
      <c r="QUJ60" s="58"/>
      <c r="QUK60" s="58"/>
      <c r="QUL60" s="58"/>
      <c r="QUM60" s="58"/>
      <c r="QUN60" s="58"/>
      <c r="QUO60" s="58"/>
      <c r="QUP60" s="58"/>
      <c r="QUQ60" s="58"/>
      <c r="QUR60" s="58"/>
      <c r="QUS60" s="58"/>
      <c r="QUT60" s="58"/>
      <c r="QUU60" s="58"/>
      <c r="QUV60" s="58"/>
      <c r="QUW60" s="58"/>
      <c r="QUX60" s="58"/>
      <c r="QUY60" s="58"/>
      <c r="QUZ60" s="58"/>
      <c r="QVA60" s="58"/>
      <c r="QVB60" s="58"/>
      <c r="QVC60" s="58"/>
      <c r="QVD60" s="58"/>
      <c r="QVE60" s="58"/>
      <c r="QVF60" s="58"/>
      <c r="QVG60" s="58"/>
      <c r="QVH60" s="58"/>
      <c r="QVI60" s="58"/>
      <c r="QVJ60" s="58"/>
      <c r="QVK60" s="58"/>
      <c r="QVL60" s="58"/>
      <c r="QVM60" s="58"/>
      <c r="QVN60" s="58"/>
      <c r="QVO60" s="58"/>
      <c r="QVP60" s="58"/>
      <c r="QVQ60" s="58"/>
      <c r="QVR60" s="58"/>
      <c r="QVS60" s="58"/>
      <c r="QVT60" s="58"/>
      <c r="QVU60" s="58"/>
      <c r="QVV60" s="58"/>
      <c r="QVW60" s="58"/>
      <c r="QVX60" s="58"/>
      <c r="QVY60" s="58"/>
      <c r="QVZ60" s="58"/>
      <c r="QWA60" s="58"/>
      <c r="QWB60" s="58"/>
      <c r="QWC60" s="58"/>
      <c r="QWD60" s="58"/>
      <c r="QWE60" s="58"/>
      <c r="QWF60" s="58"/>
      <c r="QWG60" s="58"/>
      <c r="QWH60" s="58"/>
      <c r="QWI60" s="58"/>
      <c r="QWJ60" s="58"/>
      <c r="QWK60" s="58"/>
      <c r="QWL60" s="58"/>
      <c r="QWM60" s="58"/>
      <c r="QWN60" s="58"/>
      <c r="QWO60" s="58"/>
      <c r="QWP60" s="58"/>
      <c r="QWQ60" s="58"/>
      <c r="QWR60" s="58"/>
      <c r="QWS60" s="58"/>
      <c r="QWT60" s="58"/>
      <c r="QWU60" s="58"/>
      <c r="QWV60" s="58"/>
      <c r="QWW60" s="58"/>
      <c r="QWX60" s="58"/>
      <c r="QWY60" s="58"/>
      <c r="QWZ60" s="58"/>
      <c r="QXA60" s="58"/>
      <c r="QXB60" s="58"/>
      <c r="QXC60" s="58"/>
      <c r="QXD60" s="58"/>
      <c r="QXE60" s="58"/>
      <c r="QXF60" s="58"/>
      <c r="QXG60" s="58"/>
      <c r="QXH60" s="58"/>
      <c r="QXI60" s="58"/>
      <c r="QXJ60" s="58"/>
      <c r="QXK60" s="58"/>
      <c r="QXL60" s="58"/>
      <c r="QXM60" s="58"/>
      <c r="QXN60" s="58"/>
      <c r="QXO60" s="58"/>
      <c r="QXP60" s="58"/>
      <c r="QXQ60" s="58"/>
      <c r="QXR60" s="58"/>
      <c r="QXS60" s="58"/>
      <c r="QXT60" s="58"/>
      <c r="QXU60" s="58"/>
      <c r="QXV60" s="58"/>
      <c r="QXW60" s="58"/>
      <c r="QXX60" s="58"/>
      <c r="QXY60" s="58"/>
      <c r="QXZ60" s="58"/>
      <c r="QYA60" s="58"/>
      <c r="QYB60" s="58"/>
      <c r="QYC60" s="58"/>
      <c r="QYD60" s="58"/>
      <c r="QYE60" s="58"/>
      <c r="QYF60" s="58"/>
      <c r="QYG60" s="58"/>
      <c r="QYH60" s="58"/>
      <c r="QYI60" s="58"/>
      <c r="QYJ60" s="58"/>
      <c r="QYK60" s="58"/>
      <c r="QYL60" s="58"/>
      <c r="QYM60" s="58"/>
      <c r="QYN60" s="58"/>
      <c r="QYO60" s="58"/>
      <c r="QYP60" s="58"/>
      <c r="QYQ60" s="58"/>
      <c r="QYR60" s="58"/>
      <c r="QYS60" s="58"/>
      <c r="QYT60" s="58"/>
      <c r="QYU60" s="58"/>
      <c r="QYV60" s="58"/>
      <c r="QYW60" s="58"/>
      <c r="QYX60" s="58"/>
      <c r="QYY60" s="58"/>
      <c r="QYZ60" s="58"/>
      <c r="QZA60" s="58"/>
      <c r="QZB60" s="58"/>
      <c r="QZC60" s="58"/>
      <c r="QZD60" s="58"/>
      <c r="QZE60" s="58"/>
      <c r="QZF60" s="58"/>
      <c r="QZG60" s="58"/>
      <c r="QZH60" s="58"/>
      <c r="QZI60" s="58"/>
      <c r="QZJ60" s="58"/>
      <c r="QZK60" s="58"/>
      <c r="QZL60" s="58"/>
      <c r="QZM60" s="58"/>
      <c r="QZN60" s="58"/>
      <c r="QZO60" s="58"/>
      <c r="QZP60" s="58"/>
      <c r="QZQ60" s="58"/>
      <c r="QZR60" s="58"/>
      <c r="QZS60" s="58"/>
      <c r="QZT60" s="58"/>
      <c r="QZU60" s="58"/>
      <c r="QZV60" s="58"/>
      <c r="QZW60" s="58"/>
      <c r="QZX60" s="58"/>
      <c r="QZY60" s="58"/>
      <c r="QZZ60" s="58"/>
      <c r="RAA60" s="58"/>
      <c r="RAB60" s="58"/>
      <c r="RAC60" s="58"/>
      <c r="RAD60" s="58"/>
      <c r="RAE60" s="58"/>
      <c r="RAF60" s="58"/>
      <c r="RAG60" s="58"/>
      <c r="RAH60" s="58"/>
      <c r="RAI60" s="58"/>
      <c r="RAJ60" s="58"/>
      <c r="RAK60" s="58"/>
      <c r="RAL60" s="58"/>
      <c r="RAM60" s="58"/>
      <c r="RAN60" s="58"/>
      <c r="RAO60" s="58"/>
      <c r="RAP60" s="58"/>
      <c r="RAQ60" s="58"/>
      <c r="RAR60" s="58"/>
      <c r="RAS60" s="58"/>
      <c r="RAT60" s="58"/>
      <c r="RAU60" s="58"/>
      <c r="RAV60" s="58"/>
      <c r="RAW60" s="58"/>
      <c r="RAX60" s="58"/>
      <c r="RAY60" s="58"/>
      <c r="RAZ60" s="58"/>
      <c r="RBA60" s="58"/>
      <c r="RBB60" s="58"/>
      <c r="RBC60" s="58"/>
      <c r="RBD60" s="58"/>
      <c r="RBE60" s="58"/>
      <c r="RBF60" s="58"/>
      <c r="RBG60" s="58"/>
      <c r="RBH60" s="58"/>
      <c r="RBI60" s="58"/>
      <c r="RBJ60" s="58"/>
      <c r="RBK60" s="58"/>
      <c r="RBL60" s="58"/>
      <c r="RBM60" s="58"/>
      <c r="RBN60" s="58"/>
      <c r="RBO60" s="58"/>
      <c r="RBP60" s="58"/>
      <c r="RBQ60" s="58"/>
      <c r="RBR60" s="58"/>
      <c r="RBS60" s="58"/>
      <c r="RBT60" s="58"/>
      <c r="RBU60" s="58"/>
      <c r="RBV60" s="58"/>
      <c r="RBW60" s="58"/>
      <c r="RBX60" s="58"/>
      <c r="RBY60" s="58"/>
      <c r="RBZ60" s="58"/>
      <c r="RCA60" s="58"/>
      <c r="RCB60" s="58"/>
      <c r="RCC60" s="58"/>
      <c r="RCD60" s="58"/>
      <c r="RCE60" s="58"/>
      <c r="RCF60" s="58"/>
      <c r="RCG60" s="58"/>
      <c r="RCH60" s="58"/>
      <c r="RCI60" s="58"/>
      <c r="RCJ60" s="58"/>
      <c r="RCK60" s="58"/>
      <c r="RCL60" s="58"/>
      <c r="RCM60" s="58"/>
      <c r="RCN60" s="58"/>
      <c r="RCO60" s="58"/>
      <c r="RCP60" s="58"/>
      <c r="RCQ60" s="58"/>
      <c r="RCR60" s="58"/>
      <c r="RCS60" s="58"/>
      <c r="RCT60" s="58"/>
      <c r="RCU60" s="58"/>
      <c r="RCW60" s="58"/>
      <c r="RCX60" s="58"/>
      <c r="RCZ60" s="58"/>
      <c r="RDF60" s="58"/>
      <c r="RDG60" s="58"/>
      <c r="RDU60" s="58"/>
      <c r="RDV60" s="58"/>
      <c r="RDW60" s="58"/>
      <c r="RDX60" s="58"/>
      <c r="RDY60" s="58"/>
      <c r="RDZ60" s="58"/>
      <c r="REA60" s="58"/>
      <c r="REB60" s="58"/>
      <c r="REC60" s="58"/>
      <c r="RED60" s="58"/>
      <c r="REE60" s="58"/>
      <c r="REF60" s="58"/>
      <c r="REG60" s="58"/>
      <c r="REH60" s="58"/>
      <c r="REI60" s="58"/>
      <c r="REJ60" s="58"/>
      <c r="REK60" s="58"/>
      <c r="REL60" s="58"/>
      <c r="REM60" s="58"/>
      <c r="REN60" s="58"/>
      <c r="REO60" s="58"/>
      <c r="REP60" s="58"/>
      <c r="REQ60" s="58"/>
      <c r="RER60" s="58"/>
      <c r="RES60" s="58"/>
      <c r="RET60" s="58"/>
      <c r="REU60" s="58"/>
      <c r="REV60" s="58"/>
      <c r="REW60" s="58"/>
      <c r="REX60" s="58"/>
      <c r="REY60" s="58"/>
      <c r="REZ60" s="58"/>
      <c r="RFA60" s="58"/>
      <c r="RFB60" s="58"/>
      <c r="RFC60" s="58"/>
      <c r="RFD60" s="58"/>
      <c r="RFE60" s="58"/>
      <c r="RFF60" s="58"/>
      <c r="RFG60" s="58"/>
      <c r="RFH60" s="58"/>
      <c r="RFI60" s="58"/>
      <c r="RFJ60" s="58"/>
      <c r="RFK60" s="58"/>
      <c r="RFL60" s="58"/>
      <c r="RFM60" s="58"/>
      <c r="RFN60" s="58"/>
      <c r="RFO60" s="58"/>
      <c r="RFP60" s="58"/>
      <c r="RFQ60" s="58"/>
      <c r="RFR60" s="58"/>
      <c r="RFS60" s="58"/>
      <c r="RFT60" s="58"/>
      <c r="RFU60" s="58"/>
      <c r="RFV60" s="58"/>
      <c r="RFW60" s="58"/>
      <c r="RFX60" s="58"/>
      <c r="RFY60" s="58"/>
      <c r="RFZ60" s="58"/>
      <c r="RGA60" s="58"/>
      <c r="RGB60" s="58"/>
      <c r="RGC60" s="58"/>
      <c r="RGD60" s="58"/>
      <c r="RGE60" s="58"/>
      <c r="RGF60" s="58"/>
      <c r="RGG60" s="58"/>
      <c r="RGH60" s="58"/>
      <c r="RGI60" s="58"/>
      <c r="RGJ60" s="58"/>
      <c r="RGK60" s="58"/>
      <c r="RGL60" s="58"/>
      <c r="RGM60" s="58"/>
      <c r="RGN60" s="58"/>
      <c r="RGO60" s="58"/>
      <c r="RGP60" s="58"/>
      <c r="RGQ60" s="58"/>
      <c r="RGR60" s="58"/>
      <c r="RGS60" s="58"/>
      <c r="RGT60" s="58"/>
      <c r="RGU60" s="58"/>
      <c r="RGV60" s="58"/>
      <c r="RGW60" s="58"/>
      <c r="RGX60" s="58"/>
      <c r="RGY60" s="58"/>
      <c r="RGZ60" s="58"/>
      <c r="RHA60" s="58"/>
      <c r="RHB60" s="58"/>
      <c r="RHC60" s="58"/>
      <c r="RHD60" s="58"/>
      <c r="RHE60" s="58"/>
      <c r="RHF60" s="58"/>
      <c r="RHG60" s="58"/>
      <c r="RHH60" s="58"/>
      <c r="RHI60" s="58"/>
      <c r="RHJ60" s="58"/>
      <c r="RHK60" s="58"/>
      <c r="RHL60" s="58"/>
      <c r="RHM60" s="58"/>
      <c r="RHN60" s="58"/>
      <c r="RHO60" s="58"/>
      <c r="RHP60" s="58"/>
      <c r="RHQ60" s="58"/>
      <c r="RHR60" s="58"/>
      <c r="RHS60" s="58"/>
      <c r="RHT60" s="58"/>
      <c r="RHU60" s="58"/>
      <c r="RHV60" s="58"/>
      <c r="RHW60" s="58"/>
      <c r="RHX60" s="58"/>
      <c r="RHY60" s="58"/>
      <c r="RHZ60" s="58"/>
      <c r="RIA60" s="58"/>
      <c r="RIB60" s="58"/>
      <c r="RIC60" s="58"/>
      <c r="RID60" s="58"/>
      <c r="RIE60" s="58"/>
      <c r="RIF60" s="58"/>
      <c r="RIG60" s="58"/>
      <c r="RIH60" s="58"/>
      <c r="RII60" s="58"/>
      <c r="RIJ60" s="58"/>
      <c r="RIK60" s="58"/>
      <c r="RIL60" s="58"/>
      <c r="RIM60" s="58"/>
      <c r="RIN60" s="58"/>
      <c r="RIO60" s="58"/>
      <c r="RIP60" s="58"/>
      <c r="RIQ60" s="58"/>
      <c r="RIR60" s="58"/>
      <c r="RIS60" s="58"/>
      <c r="RIT60" s="58"/>
      <c r="RIU60" s="58"/>
      <c r="RIV60" s="58"/>
      <c r="RIW60" s="58"/>
      <c r="RIX60" s="58"/>
      <c r="RIY60" s="58"/>
      <c r="RIZ60" s="58"/>
      <c r="RJA60" s="58"/>
      <c r="RJB60" s="58"/>
      <c r="RJC60" s="58"/>
      <c r="RJD60" s="58"/>
      <c r="RJE60" s="58"/>
      <c r="RJF60" s="58"/>
      <c r="RJG60" s="58"/>
      <c r="RJH60" s="58"/>
      <c r="RJI60" s="58"/>
      <c r="RJJ60" s="58"/>
      <c r="RJK60" s="58"/>
      <c r="RJL60" s="58"/>
      <c r="RJM60" s="58"/>
      <c r="RJN60" s="58"/>
      <c r="RJO60" s="58"/>
      <c r="RJP60" s="58"/>
      <c r="RJQ60" s="58"/>
      <c r="RJR60" s="58"/>
      <c r="RJS60" s="58"/>
      <c r="RJT60" s="58"/>
      <c r="RJU60" s="58"/>
      <c r="RJV60" s="58"/>
      <c r="RJW60" s="58"/>
      <c r="RJX60" s="58"/>
      <c r="RJY60" s="58"/>
      <c r="RJZ60" s="58"/>
      <c r="RKA60" s="58"/>
      <c r="RKB60" s="58"/>
      <c r="RKC60" s="58"/>
      <c r="RKD60" s="58"/>
      <c r="RKE60" s="58"/>
      <c r="RKF60" s="58"/>
      <c r="RKG60" s="58"/>
      <c r="RKH60" s="58"/>
      <c r="RKI60" s="58"/>
      <c r="RKJ60" s="58"/>
      <c r="RKK60" s="58"/>
      <c r="RKL60" s="58"/>
      <c r="RKM60" s="58"/>
      <c r="RKN60" s="58"/>
      <c r="RKO60" s="58"/>
      <c r="RKP60" s="58"/>
      <c r="RKQ60" s="58"/>
      <c r="RKR60" s="58"/>
      <c r="RKS60" s="58"/>
      <c r="RKT60" s="58"/>
      <c r="RKU60" s="58"/>
      <c r="RKV60" s="58"/>
      <c r="RKW60" s="58"/>
      <c r="RKX60" s="58"/>
      <c r="RKY60" s="58"/>
      <c r="RKZ60" s="58"/>
      <c r="RLA60" s="58"/>
      <c r="RLB60" s="58"/>
      <c r="RLC60" s="58"/>
      <c r="RLD60" s="58"/>
      <c r="RLE60" s="58"/>
      <c r="RLF60" s="58"/>
      <c r="RLG60" s="58"/>
      <c r="RLH60" s="58"/>
      <c r="RLI60" s="58"/>
      <c r="RLJ60" s="58"/>
      <c r="RLK60" s="58"/>
      <c r="RLL60" s="58"/>
      <c r="RLM60" s="58"/>
      <c r="RLN60" s="58"/>
      <c r="RLO60" s="58"/>
      <c r="RLP60" s="58"/>
      <c r="RLQ60" s="58"/>
      <c r="RLR60" s="58"/>
      <c r="RLS60" s="58"/>
      <c r="RLT60" s="58"/>
      <c r="RLU60" s="58"/>
      <c r="RLV60" s="58"/>
      <c r="RLW60" s="58"/>
      <c r="RLX60" s="58"/>
      <c r="RLY60" s="58"/>
      <c r="RLZ60" s="58"/>
      <c r="RMA60" s="58"/>
      <c r="RMB60" s="58"/>
      <c r="RMC60" s="58"/>
      <c r="RMD60" s="58"/>
      <c r="RME60" s="58"/>
      <c r="RMF60" s="58"/>
      <c r="RMG60" s="58"/>
      <c r="RMH60" s="58"/>
      <c r="RMI60" s="58"/>
      <c r="RMJ60" s="58"/>
      <c r="RMK60" s="58"/>
      <c r="RML60" s="58"/>
      <c r="RMM60" s="58"/>
      <c r="RMN60" s="58"/>
      <c r="RMO60" s="58"/>
      <c r="RMP60" s="58"/>
      <c r="RMQ60" s="58"/>
      <c r="RMS60" s="58"/>
      <c r="RMT60" s="58"/>
      <c r="RMV60" s="58"/>
      <c r="RNB60" s="58"/>
      <c r="RNC60" s="58"/>
      <c r="RNQ60" s="58"/>
      <c r="RNR60" s="58"/>
      <c r="RNS60" s="58"/>
      <c r="RNT60" s="58"/>
      <c r="RNU60" s="58"/>
      <c r="RNV60" s="58"/>
      <c r="RNW60" s="58"/>
      <c r="RNX60" s="58"/>
      <c r="RNY60" s="58"/>
      <c r="RNZ60" s="58"/>
      <c r="ROA60" s="58"/>
      <c r="ROB60" s="58"/>
      <c r="ROC60" s="58"/>
      <c r="ROD60" s="58"/>
      <c r="ROE60" s="58"/>
      <c r="ROF60" s="58"/>
      <c r="ROG60" s="58"/>
      <c r="ROH60" s="58"/>
      <c r="ROI60" s="58"/>
      <c r="ROJ60" s="58"/>
      <c r="ROK60" s="58"/>
      <c r="ROL60" s="58"/>
      <c r="ROM60" s="58"/>
      <c r="RON60" s="58"/>
      <c r="ROO60" s="58"/>
      <c r="ROP60" s="58"/>
      <c r="ROQ60" s="58"/>
      <c r="ROR60" s="58"/>
      <c r="ROS60" s="58"/>
      <c r="ROT60" s="58"/>
      <c r="ROU60" s="58"/>
      <c r="ROV60" s="58"/>
      <c r="ROW60" s="58"/>
      <c r="ROX60" s="58"/>
      <c r="ROY60" s="58"/>
      <c r="ROZ60" s="58"/>
      <c r="RPA60" s="58"/>
      <c r="RPB60" s="58"/>
      <c r="RPC60" s="58"/>
      <c r="RPD60" s="58"/>
      <c r="RPE60" s="58"/>
      <c r="RPF60" s="58"/>
      <c r="RPG60" s="58"/>
      <c r="RPH60" s="58"/>
      <c r="RPI60" s="58"/>
      <c r="RPJ60" s="58"/>
      <c r="RPK60" s="58"/>
      <c r="RPL60" s="58"/>
      <c r="RPM60" s="58"/>
      <c r="RPN60" s="58"/>
      <c r="RPO60" s="58"/>
      <c r="RPP60" s="58"/>
      <c r="RPQ60" s="58"/>
      <c r="RPR60" s="58"/>
      <c r="RPS60" s="58"/>
      <c r="RPT60" s="58"/>
      <c r="RPU60" s="58"/>
      <c r="RPV60" s="58"/>
      <c r="RPW60" s="58"/>
      <c r="RPX60" s="58"/>
      <c r="RPY60" s="58"/>
      <c r="RPZ60" s="58"/>
      <c r="RQA60" s="58"/>
      <c r="RQB60" s="58"/>
      <c r="RQC60" s="58"/>
      <c r="RQD60" s="58"/>
      <c r="RQE60" s="58"/>
      <c r="RQF60" s="58"/>
      <c r="RQG60" s="58"/>
      <c r="RQH60" s="58"/>
      <c r="RQI60" s="58"/>
      <c r="RQJ60" s="58"/>
      <c r="RQK60" s="58"/>
      <c r="RQL60" s="58"/>
      <c r="RQM60" s="58"/>
      <c r="RQN60" s="58"/>
      <c r="RQO60" s="58"/>
      <c r="RQP60" s="58"/>
      <c r="RQQ60" s="58"/>
      <c r="RQR60" s="58"/>
      <c r="RQS60" s="58"/>
      <c r="RQT60" s="58"/>
      <c r="RQU60" s="58"/>
      <c r="RQV60" s="58"/>
      <c r="RQW60" s="58"/>
      <c r="RQX60" s="58"/>
      <c r="RQY60" s="58"/>
      <c r="RQZ60" s="58"/>
      <c r="RRA60" s="58"/>
      <c r="RRB60" s="58"/>
      <c r="RRC60" s="58"/>
      <c r="RRD60" s="58"/>
      <c r="RRE60" s="58"/>
      <c r="RRF60" s="58"/>
      <c r="RRG60" s="58"/>
      <c r="RRH60" s="58"/>
      <c r="RRI60" s="58"/>
      <c r="RRJ60" s="58"/>
      <c r="RRK60" s="58"/>
      <c r="RRL60" s="58"/>
      <c r="RRM60" s="58"/>
      <c r="RRN60" s="58"/>
      <c r="RRO60" s="58"/>
      <c r="RRP60" s="58"/>
      <c r="RRQ60" s="58"/>
      <c r="RRR60" s="58"/>
      <c r="RRS60" s="58"/>
      <c r="RRT60" s="58"/>
      <c r="RRU60" s="58"/>
      <c r="RRV60" s="58"/>
      <c r="RRW60" s="58"/>
      <c r="RRX60" s="58"/>
      <c r="RRY60" s="58"/>
      <c r="RRZ60" s="58"/>
      <c r="RSA60" s="58"/>
      <c r="RSB60" s="58"/>
      <c r="RSC60" s="58"/>
      <c r="RSD60" s="58"/>
      <c r="RSE60" s="58"/>
      <c r="RSF60" s="58"/>
      <c r="RSG60" s="58"/>
      <c r="RSH60" s="58"/>
      <c r="RSI60" s="58"/>
      <c r="RSJ60" s="58"/>
      <c r="RSK60" s="58"/>
      <c r="RSL60" s="58"/>
      <c r="RSM60" s="58"/>
      <c r="RSN60" s="58"/>
      <c r="RSO60" s="58"/>
      <c r="RSP60" s="58"/>
      <c r="RSQ60" s="58"/>
      <c r="RSR60" s="58"/>
      <c r="RSS60" s="58"/>
      <c r="RST60" s="58"/>
      <c r="RSU60" s="58"/>
      <c r="RSV60" s="58"/>
      <c r="RSW60" s="58"/>
      <c r="RSX60" s="58"/>
      <c r="RSY60" s="58"/>
      <c r="RSZ60" s="58"/>
      <c r="RTA60" s="58"/>
      <c r="RTB60" s="58"/>
      <c r="RTC60" s="58"/>
      <c r="RTD60" s="58"/>
      <c r="RTE60" s="58"/>
      <c r="RTF60" s="58"/>
      <c r="RTG60" s="58"/>
      <c r="RTH60" s="58"/>
      <c r="RTI60" s="58"/>
      <c r="RTJ60" s="58"/>
      <c r="RTK60" s="58"/>
      <c r="RTL60" s="58"/>
      <c r="RTM60" s="58"/>
      <c r="RTN60" s="58"/>
      <c r="RTO60" s="58"/>
      <c r="RTP60" s="58"/>
      <c r="RTQ60" s="58"/>
      <c r="RTR60" s="58"/>
      <c r="RTS60" s="58"/>
      <c r="RTT60" s="58"/>
      <c r="RTU60" s="58"/>
      <c r="RTV60" s="58"/>
      <c r="RTW60" s="58"/>
      <c r="RTX60" s="58"/>
      <c r="RTY60" s="58"/>
      <c r="RTZ60" s="58"/>
      <c r="RUA60" s="58"/>
      <c r="RUB60" s="58"/>
      <c r="RUC60" s="58"/>
      <c r="RUD60" s="58"/>
      <c r="RUE60" s="58"/>
      <c r="RUF60" s="58"/>
      <c r="RUG60" s="58"/>
      <c r="RUH60" s="58"/>
      <c r="RUI60" s="58"/>
      <c r="RUJ60" s="58"/>
      <c r="RUK60" s="58"/>
      <c r="RUL60" s="58"/>
      <c r="RUM60" s="58"/>
      <c r="RUN60" s="58"/>
      <c r="RUO60" s="58"/>
      <c r="RUP60" s="58"/>
      <c r="RUQ60" s="58"/>
      <c r="RUR60" s="58"/>
      <c r="RUS60" s="58"/>
      <c r="RUT60" s="58"/>
      <c r="RUU60" s="58"/>
      <c r="RUV60" s="58"/>
      <c r="RUW60" s="58"/>
      <c r="RUX60" s="58"/>
      <c r="RUY60" s="58"/>
      <c r="RUZ60" s="58"/>
      <c r="RVA60" s="58"/>
      <c r="RVB60" s="58"/>
      <c r="RVC60" s="58"/>
      <c r="RVD60" s="58"/>
      <c r="RVE60" s="58"/>
      <c r="RVF60" s="58"/>
      <c r="RVG60" s="58"/>
      <c r="RVH60" s="58"/>
      <c r="RVI60" s="58"/>
      <c r="RVJ60" s="58"/>
      <c r="RVK60" s="58"/>
      <c r="RVL60" s="58"/>
      <c r="RVM60" s="58"/>
      <c r="RVN60" s="58"/>
      <c r="RVO60" s="58"/>
      <c r="RVP60" s="58"/>
      <c r="RVQ60" s="58"/>
      <c r="RVR60" s="58"/>
      <c r="RVS60" s="58"/>
      <c r="RVT60" s="58"/>
      <c r="RVU60" s="58"/>
      <c r="RVV60" s="58"/>
      <c r="RVW60" s="58"/>
      <c r="RVX60" s="58"/>
      <c r="RVY60" s="58"/>
      <c r="RVZ60" s="58"/>
      <c r="RWA60" s="58"/>
      <c r="RWB60" s="58"/>
      <c r="RWC60" s="58"/>
      <c r="RWD60" s="58"/>
      <c r="RWE60" s="58"/>
      <c r="RWF60" s="58"/>
      <c r="RWG60" s="58"/>
      <c r="RWH60" s="58"/>
      <c r="RWI60" s="58"/>
      <c r="RWJ60" s="58"/>
      <c r="RWK60" s="58"/>
      <c r="RWL60" s="58"/>
      <c r="RWM60" s="58"/>
      <c r="RWO60" s="58"/>
      <c r="RWP60" s="58"/>
      <c r="RWR60" s="58"/>
      <c r="RWX60" s="58"/>
      <c r="RWY60" s="58"/>
      <c r="RXM60" s="58"/>
      <c r="RXN60" s="58"/>
      <c r="RXO60" s="58"/>
      <c r="RXP60" s="58"/>
      <c r="RXQ60" s="58"/>
      <c r="RXR60" s="58"/>
      <c r="RXS60" s="58"/>
      <c r="RXT60" s="58"/>
      <c r="RXU60" s="58"/>
      <c r="RXV60" s="58"/>
      <c r="RXW60" s="58"/>
      <c r="RXX60" s="58"/>
      <c r="RXY60" s="58"/>
      <c r="RXZ60" s="58"/>
      <c r="RYA60" s="58"/>
      <c r="RYB60" s="58"/>
      <c r="RYC60" s="58"/>
      <c r="RYD60" s="58"/>
      <c r="RYE60" s="58"/>
      <c r="RYF60" s="58"/>
      <c r="RYG60" s="58"/>
      <c r="RYH60" s="58"/>
      <c r="RYI60" s="58"/>
      <c r="RYJ60" s="58"/>
      <c r="RYK60" s="58"/>
      <c r="RYL60" s="58"/>
      <c r="RYM60" s="58"/>
      <c r="RYN60" s="58"/>
      <c r="RYO60" s="58"/>
      <c r="RYP60" s="58"/>
      <c r="RYQ60" s="58"/>
      <c r="RYR60" s="58"/>
      <c r="RYS60" s="58"/>
      <c r="RYT60" s="58"/>
      <c r="RYU60" s="58"/>
      <c r="RYV60" s="58"/>
      <c r="RYW60" s="58"/>
      <c r="RYX60" s="58"/>
      <c r="RYY60" s="58"/>
      <c r="RYZ60" s="58"/>
      <c r="RZA60" s="58"/>
      <c r="RZB60" s="58"/>
      <c r="RZC60" s="58"/>
      <c r="RZD60" s="58"/>
      <c r="RZE60" s="58"/>
      <c r="RZF60" s="58"/>
      <c r="RZG60" s="58"/>
      <c r="RZH60" s="58"/>
      <c r="RZI60" s="58"/>
      <c r="RZJ60" s="58"/>
      <c r="RZK60" s="58"/>
      <c r="RZL60" s="58"/>
      <c r="RZM60" s="58"/>
      <c r="RZN60" s="58"/>
      <c r="RZO60" s="58"/>
      <c r="RZP60" s="58"/>
      <c r="RZQ60" s="58"/>
      <c r="RZR60" s="58"/>
      <c r="RZS60" s="58"/>
      <c r="RZT60" s="58"/>
      <c r="RZU60" s="58"/>
      <c r="RZV60" s="58"/>
      <c r="RZW60" s="58"/>
      <c r="RZX60" s="58"/>
      <c r="RZY60" s="58"/>
      <c r="RZZ60" s="58"/>
      <c r="SAA60" s="58"/>
      <c r="SAB60" s="58"/>
      <c r="SAC60" s="58"/>
      <c r="SAD60" s="58"/>
      <c r="SAE60" s="58"/>
      <c r="SAF60" s="58"/>
      <c r="SAG60" s="58"/>
      <c r="SAH60" s="58"/>
      <c r="SAI60" s="58"/>
      <c r="SAJ60" s="58"/>
      <c r="SAK60" s="58"/>
      <c r="SAL60" s="58"/>
      <c r="SAM60" s="58"/>
      <c r="SAN60" s="58"/>
      <c r="SAO60" s="58"/>
      <c r="SAP60" s="58"/>
      <c r="SAQ60" s="58"/>
      <c r="SAR60" s="58"/>
      <c r="SAS60" s="58"/>
      <c r="SAT60" s="58"/>
      <c r="SAU60" s="58"/>
      <c r="SAV60" s="58"/>
      <c r="SAW60" s="58"/>
      <c r="SAX60" s="58"/>
      <c r="SAY60" s="58"/>
      <c r="SAZ60" s="58"/>
      <c r="SBA60" s="58"/>
      <c r="SBB60" s="58"/>
      <c r="SBC60" s="58"/>
      <c r="SBD60" s="58"/>
      <c r="SBE60" s="58"/>
      <c r="SBF60" s="58"/>
      <c r="SBG60" s="58"/>
      <c r="SBH60" s="58"/>
      <c r="SBI60" s="58"/>
      <c r="SBJ60" s="58"/>
      <c r="SBK60" s="58"/>
      <c r="SBL60" s="58"/>
      <c r="SBM60" s="58"/>
      <c r="SBN60" s="58"/>
      <c r="SBO60" s="58"/>
      <c r="SBP60" s="58"/>
      <c r="SBQ60" s="58"/>
      <c r="SBR60" s="58"/>
      <c r="SBS60" s="58"/>
      <c r="SBT60" s="58"/>
      <c r="SBU60" s="58"/>
      <c r="SBV60" s="58"/>
      <c r="SBW60" s="58"/>
      <c r="SBX60" s="58"/>
      <c r="SBY60" s="58"/>
      <c r="SBZ60" s="58"/>
      <c r="SCA60" s="58"/>
      <c r="SCB60" s="58"/>
      <c r="SCC60" s="58"/>
      <c r="SCD60" s="58"/>
      <c r="SCE60" s="58"/>
      <c r="SCF60" s="58"/>
      <c r="SCG60" s="58"/>
      <c r="SCH60" s="58"/>
      <c r="SCI60" s="58"/>
      <c r="SCJ60" s="58"/>
      <c r="SCK60" s="58"/>
      <c r="SCL60" s="58"/>
      <c r="SCM60" s="58"/>
      <c r="SCN60" s="58"/>
      <c r="SCO60" s="58"/>
      <c r="SCP60" s="58"/>
      <c r="SCQ60" s="58"/>
      <c r="SCR60" s="58"/>
      <c r="SCS60" s="58"/>
      <c r="SCT60" s="58"/>
      <c r="SCU60" s="58"/>
      <c r="SCV60" s="58"/>
      <c r="SCW60" s="58"/>
      <c r="SCX60" s="58"/>
      <c r="SCY60" s="58"/>
      <c r="SCZ60" s="58"/>
      <c r="SDA60" s="58"/>
      <c r="SDB60" s="58"/>
      <c r="SDC60" s="58"/>
      <c r="SDD60" s="58"/>
      <c r="SDE60" s="58"/>
      <c r="SDF60" s="58"/>
      <c r="SDG60" s="58"/>
      <c r="SDH60" s="58"/>
      <c r="SDI60" s="58"/>
      <c r="SDJ60" s="58"/>
      <c r="SDK60" s="58"/>
      <c r="SDL60" s="58"/>
      <c r="SDM60" s="58"/>
      <c r="SDN60" s="58"/>
      <c r="SDO60" s="58"/>
      <c r="SDP60" s="58"/>
      <c r="SDQ60" s="58"/>
      <c r="SDR60" s="58"/>
      <c r="SDS60" s="58"/>
      <c r="SDT60" s="58"/>
      <c r="SDU60" s="58"/>
      <c r="SDV60" s="58"/>
      <c r="SDW60" s="58"/>
      <c r="SDX60" s="58"/>
      <c r="SDY60" s="58"/>
      <c r="SDZ60" s="58"/>
      <c r="SEA60" s="58"/>
      <c r="SEB60" s="58"/>
      <c r="SEC60" s="58"/>
      <c r="SED60" s="58"/>
      <c r="SEE60" s="58"/>
      <c r="SEF60" s="58"/>
      <c r="SEG60" s="58"/>
      <c r="SEH60" s="58"/>
      <c r="SEI60" s="58"/>
      <c r="SEJ60" s="58"/>
      <c r="SEK60" s="58"/>
      <c r="SEL60" s="58"/>
      <c r="SEM60" s="58"/>
      <c r="SEN60" s="58"/>
      <c r="SEO60" s="58"/>
      <c r="SEP60" s="58"/>
      <c r="SEQ60" s="58"/>
      <c r="SER60" s="58"/>
      <c r="SES60" s="58"/>
      <c r="SET60" s="58"/>
      <c r="SEU60" s="58"/>
      <c r="SEV60" s="58"/>
      <c r="SEW60" s="58"/>
      <c r="SEX60" s="58"/>
      <c r="SEY60" s="58"/>
      <c r="SEZ60" s="58"/>
      <c r="SFA60" s="58"/>
      <c r="SFB60" s="58"/>
      <c r="SFC60" s="58"/>
      <c r="SFD60" s="58"/>
      <c r="SFE60" s="58"/>
      <c r="SFF60" s="58"/>
      <c r="SFG60" s="58"/>
      <c r="SFH60" s="58"/>
      <c r="SFI60" s="58"/>
      <c r="SFJ60" s="58"/>
      <c r="SFK60" s="58"/>
      <c r="SFL60" s="58"/>
      <c r="SFM60" s="58"/>
      <c r="SFN60" s="58"/>
      <c r="SFO60" s="58"/>
      <c r="SFP60" s="58"/>
      <c r="SFQ60" s="58"/>
      <c r="SFR60" s="58"/>
      <c r="SFS60" s="58"/>
      <c r="SFT60" s="58"/>
      <c r="SFU60" s="58"/>
      <c r="SFV60" s="58"/>
      <c r="SFW60" s="58"/>
      <c r="SFX60" s="58"/>
      <c r="SFY60" s="58"/>
      <c r="SFZ60" s="58"/>
      <c r="SGA60" s="58"/>
      <c r="SGB60" s="58"/>
      <c r="SGC60" s="58"/>
      <c r="SGD60" s="58"/>
      <c r="SGE60" s="58"/>
      <c r="SGF60" s="58"/>
      <c r="SGG60" s="58"/>
      <c r="SGH60" s="58"/>
      <c r="SGI60" s="58"/>
      <c r="SGK60" s="58"/>
      <c r="SGL60" s="58"/>
      <c r="SGN60" s="58"/>
      <c r="SGT60" s="58"/>
      <c r="SGU60" s="58"/>
      <c r="SHI60" s="58"/>
      <c r="SHJ60" s="58"/>
      <c r="SHK60" s="58"/>
      <c r="SHL60" s="58"/>
      <c r="SHM60" s="58"/>
      <c r="SHN60" s="58"/>
      <c r="SHO60" s="58"/>
      <c r="SHP60" s="58"/>
      <c r="SHQ60" s="58"/>
      <c r="SHR60" s="58"/>
      <c r="SHS60" s="58"/>
      <c r="SHT60" s="58"/>
      <c r="SHU60" s="58"/>
      <c r="SHV60" s="58"/>
      <c r="SHW60" s="58"/>
      <c r="SHX60" s="58"/>
      <c r="SHY60" s="58"/>
      <c r="SHZ60" s="58"/>
      <c r="SIA60" s="58"/>
      <c r="SIB60" s="58"/>
      <c r="SIC60" s="58"/>
      <c r="SID60" s="58"/>
      <c r="SIE60" s="58"/>
      <c r="SIF60" s="58"/>
      <c r="SIG60" s="58"/>
      <c r="SIH60" s="58"/>
      <c r="SII60" s="58"/>
      <c r="SIJ60" s="58"/>
      <c r="SIK60" s="58"/>
      <c r="SIL60" s="58"/>
      <c r="SIM60" s="58"/>
      <c r="SIN60" s="58"/>
      <c r="SIO60" s="58"/>
      <c r="SIP60" s="58"/>
      <c r="SIQ60" s="58"/>
      <c r="SIR60" s="58"/>
      <c r="SIS60" s="58"/>
      <c r="SIT60" s="58"/>
      <c r="SIU60" s="58"/>
      <c r="SIV60" s="58"/>
      <c r="SIW60" s="58"/>
      <c r="SIX60" s="58"/>
      <c r="SIY60" s="58"/>
      <c r="SIZ60" s="58"/>
      <c r="SJA60" s="58"/>
      <c r="SJB60" s="58"/>
      <c r="SJC60" s="58"/>
      <c r="SJD60" s="58"/>
      <c r="SJE60" s="58"/>
      <c r="SJF60" s="58"/>
      <c r="SJG60" s="58"/>
      <c r="SJH60" s="58"/>
      <c r="SJI60" s="58"/>
      <c r="SJJ60" s="58"/>
      <c r="SJK60" s="58"/>
      <c r="SJL60" s="58"/>
      <c r="SJM60" s="58"/>
      <c r="SJN60" s="58"/>
      <c r="SJO60" s="58"/>
      <c r="SJP60" s="58"/>
      <c r="SJQ60" s="58"/>
      <c r="SJR60" s="58"/>
      <c r="SJS60" s="58"/>
      <c r="SJT60" s="58"/>
      <c r="SJU60" s="58"/>
      <c r="SJV60" s="58"/>
      <c r="SJW60" s="58"/>
      <c r="SJX60" s="58"/>
      <c r="SJY60" s="58"/>
      <c r="SJZ60" s="58"/>
      <c r="SKA60" s="58"/>
      <c r="SKB60" s="58"/>
      <c r="SKC60" s="58"/>
      <c r="SKD60" s="58"/>
      <c r="SKE60" s="58"/>
      <c r="SKF60" s="58"/>
      <c r="SKG60" s="58"/>
      <c r="SKH60" s="58"/>
      <c r="SKI60" s="58"/>
      <c r="SKJ60" s="58"/>
      <c r="SKK60" s="58"/>
      <c r="SKL60" s="58"/>
      <c r="SKM60" s="58"/>
      <c r="SKN60" s="58"/>
      <c r="SKO60" s="58"/>
      <c r="SKP60" s="58"/>
      <c r="SKQ60" s="58"/>
      <c r="SKR60" s="58"/>
      <c r="SKS60" s="58"/>
      <c r="SKT60" s="58"/>
      <c r="SKU60" s="58"/>
      <c r="SKV60" s="58"/>
      <c r="SKW60" s="58"/>
      <c r="SKX60" s="58"/>
      <c r="SKY60" s="58"/>
      <c r="SKZ60" s="58"/>
      <c r="SLA60" s="58"/>
      <c r="SLB60" s="58"/>
      <c r="SLC60" s="58"/>
      <c r="SLD60" s="58"/>
      <c r="SLE60" s="58"/>
      <c r="SLF60" s="58"/>
      <c r="SLG60" s="58"/>
      <c r="SLH60" s="58"/>
      <c r="SLI60" s="58"/>
      <c r="SLJ60" s="58"/>
      <c r="SLK60" s="58"/>
      <c r="SLL60" s="58"/>
      <c r="SLM60" s="58"/>
      <c r="SLN60" s="58"/>
      <c r="SLO60" s="58"/>
      <c r="SLP60" s="58"/>
      <c r="SLQ60" s="58"/>
      <c r="SLR60" s="58"/>
      <c r="SLS60" s="58"/>
      <c r="SLT60" s="58"/>
      <c r="SLU60" s="58"/>
      <c r="SLV60" s="58"/>
      <c r="SLW60" s="58"/>
      <c r="SLX60" s="58"/>
      <c r="SLY60" s="58"/>
      <c r="SLZ60" s="58"/>
      <c r="SMA60" s="58"/>
      <c r="SMB60" s="58"/>
      <c r="SMC60" s="58"/>
      <c r="SMD60" s="58"/>
      <c r="SME60" s="58"/>
      <c r="SMF60" s="58"/>
      <c r="SMG60" s="58"/>
      <c r="SMH60" s="58"/>
      <c r="SMI60" s="58"/>
      <c r="SMJ60" s="58"/>
      <c r="SMK60" s="58"/>
      <c r="SML60" s="58"/>
      <c r="SMM60" s="58"/>
      <c r="SMN60" s="58"/>
      <c r="SMO60" s="58"/>
      <c r="SMP60" s="58"/>
      <c r="SMQ60" s="58"/>
      <c r="SMR60" s="58"/>
      <c r="SMS60" s="58"/>
      <c r="SMT60" s="58"/>
      <c r="SMU60" s="58"/>
      <c r="SMV60" s="58"/>
      <c r="SMW60" s="58"/>
      <c r="SMX60" s="58"/>
      <c r="SMY60" s="58"/>
      <c r="SMZ60" s="58"/>
      <c r="SNA60" s="58"/>
      <c r="SNB60" s="58"/>
      <c r="SNC60" s="58"/>
      <c r="SND60" s="58"/>
      <c r="SNE60" s="58"/>
      <c r="SNF60" s="58"/>
      <c r="SNG60" s="58"/>
      <c r="SNH60" s="58"/>
      <c r="SNI60" s="58"/>
      <c r="SNJ60" s="58"/>
      <c r="SNK60" s="58"/>
      <c r="SNL60" s="58"/>
      <c r="SNM60" s="58"/>
      <c r="SNN60" s="58"/>
      <c r="SNO60" s="58"/>
      <c r="SNP60" s="58"/>
      <c r="SNQ60" s="58"/>
      <c r="SNR60" s="58"/>
      <c r="SNS60" s="58"/>
      <c r="SNT60" s="58"/>
      <c r="SNU60" s="58"/>
      <c r="SNV60" s="58"/>
      <c r="SNW60" s="58"/>
      <c r="SNX60" s="58"/>
      <c r="SNY60" s="58"/>
      <c r="SNZ60" s="58"/>
      <c r="SOA60" s="58"/>
      <c r="SOB60" s="58"/>
      <c r="SOC60" s="58"/>
      <c r="SOD60" s="58"/>
      <c r="SOE60" s="58"/>
      <c r="SOF60" s="58"/>
      <c r="SOG60" s="58"/>
      <c r="SOH60" s="58"/>
      <c r="SOI60" s="58"/>
      <c r="SOJ60" s="58"/>
      <c r="SOK60" s="58"/>
      <c r="SOL60" s="58"/>
      <c r="SOM60" s="58"/>
      <c r="SON60" s="58"/>
      <c r="SOO60" s="58"/>
      <c r="SOP60" s="58"/>
      <c r="SOQ60" s="58"/>
      <c r="SOR60" s="58"/>
      <c r="SOS60" s="58"/>
      <c r="SOT60" s="58"/>
      <c r="SOU60" s="58"/>
      <c r="SOV60" s="58"/>
      <c r="SOW60" s="58"/>
      <c r="SOX60" s="58"/>
      <c r="SOY60" s="58"/>
      <c r="SOZ60" s="58"/>
      <c r="SPA60" s="58"/>
      <c r="SPB60" s="58"/>
      <c r="SPC60" s="58"/>
      <c r="SPD60" s="58"/>
      <c r="SPE60" s="58"/>
      <c r="SPF60" s="58"/>
      <c r="SPG60" s="58"/>
      <c r="SPH60" s="58"/>
      <c r="SPI60" s="58"/>
      <c r="SPJ60" s="58"/>
      <c r="SPK60" s="58"/>
      <c r="SPL60" s="58"/>
      <c r="SPM60" s="58"/>
      <c r="SPN60" s="58"/>
      <c r="SPO60" s="58"/>
      <c r="SPP60" s="58"/>
      <c r="SPQ60" s="58"/>
      <c r="SPR60" s="58"/>
      <c r="SPS60" s="58"/>
      <c r="SPT60" s="58"/>
      <c r="SPU60" s="58"/>
      <c r="SPV60" s="58"/>
      <c r="SPW60" s="58"/>
      <c r="SPX60" s="58"/>
      <c r="SPY60" s="58"/>
      <c r="SPZ60" s="58"/>
      <c r="SQA60" s="58"/>
      <c r="SQB60" s="58"/>
      <c r="SQC60" s="58"/>
      <c r="SQD60" s="58"/>
      <c r="SQE60" s="58"/>
      <c r="SQG60" s="58"/>
      <c r="SQH60" s="58"/>
      <c r="SQJ60" s="58"/>
      <c r="SQP60" s="58"/>
      <c r="SQQ60" s="58"/>
      <c r="SRE60" s="58"/>
      <c r="SRF60" s="58"/>
      <c r="SRG60" s="58"/>
      <c r="SRH60" s="58"/>
      <c r="SRI60" s="58"/>
      <c r="SRJ60" s="58"/>
      <c r="SRK60" s="58"/>
      <c r="SRL60" s="58"/>
      <c r="SRM60" s="58"/>
      <c r="SRN60" s="58"/>
      <c r="SRO60" s="58"/>
      <c r="SRP60" s="58"/>
      <c r="SRQ60" s="58"/>
      <c r="SRR60" s="58"/>
      <c r="SRS60" s="58"/>
      <c r="SRT60" s="58"/>
      <c r="SRU60" s="58"/>
      <c r="SRV60" s="58"/>
      <c r="SRW60" s="58"/>
      <c r="SRX60" s="58"/>
      <c r="SRY60" s="58"/>
      <c r="SRZ60" s="58"/>
      <c r="SSA60" s="58"/>
      <c r="SSB60" s="58"/>
      <c r="SSC60" s="58"/>
      <c r="SSD60" s="58"/>
      <c r="SSE60" s="58"/>
      <c r="SSF60" s="58"/>
      <c r="SSG60" s="58"/>
      <c r="SSH60" s="58"/>
      <c r="SSI60" s="58"/>
      <c r="SSJ60" s="58"/>
      <c r="SSK60" s="58"/>
      <c r="SSL60" s="58"/>
      <c r="SSM60" s="58"/>
      <c r="SSN60" s="58"/>
      <c r="SSO60" s="58"/>
      <c r="SSP60" s="58"/>
      <c r="SSQ60" s="58"/>
      <c r="SSR60" s="58"/>
      <c r="SSS60" s="58"/>
      <c r="SST60" s="58"/>
      <c r="SSU60" s="58"/>
      <c r="SSV60" s="58"/>
      <c r="SSW60" s="58"/>
      <c r="SSX60" s="58"/>
      <c r="SSY60" s="58"/>
      <c r="SSZ60" s="58"/>
      <c r="STA60" s="58"/>
      <c r="STB60" s="58"/>
      <c r="STC60" s="58"/>
      <c r="STD60" s="58"/>
      <c r="STE60" s="58"/>
      <c r="STF60" s="58"/>
      <c r="STG60" s="58"/>
      <c r="STH60" s="58"/>
      <c r="STI60" s="58"/>
      <c r="STJ60" s="58"/>
      <c r="STK60" s="58"/>
      <c r="STL60" s="58"/>
      <c r="STM60" s="58"/>
      <c r="STN60" s="58"/>
      <c r="STO60" s="58"/>
      <c r="STP60" s="58"/>
      <c r="STQ60" s="58"/>
      <c r="STR60" s="58"/>
      <c r="STS60" s="58"/>
      <c r="STT60" s="58"/>
      <c r="STU60" s="58"/>
      <c r="STV60" s="58"/>
      <c r="STW60" s="58"/>
      <c r="STX60" s="58"/>
      <c r="STY60" s="58"/>
      <c r="STZ60" s="58"/>
      <c r="SUA60" s="58"/>
      <c r="SUB60" s="58"/>
      <c r="SUC60" s="58"/>
      <c r="SUD60" s="58"/>
      <c r="SUE60" s="58"/>
      <c r="SUF60" s="58"/>
      <c r="SUG60" s="58"/>
      <c r="SUH60" s="58"/>
      <c r="SUI60" s="58"/>
      <c r="SUJ60" s="58"/>
      <c r="SUK60" s="58"/>
      <c r="SUL60" s="58"/>
      <c r="SUM60" s="58"/>
      <c r="SUN60" s="58"/>
      <c r="SUO60" s="58"/>
      <c r="SUP60" s="58"/>
      <c r="SUQ60" s="58"/>
      <c r="SUR60" s="58"/>
      <c r="SUS60" s="58"/>
      <c r="SUT60" s="58"/>
      <c r="SUU60" s="58"/>
      <c r="SUV60" s="58"/>
      <c r="SUW60" s="58"/>
      <c r="SUX60" s="58"/>
      <c r="SUY60" s="58"/>
      <c r="SUZ60" s="58"/>
      <c r="SVA60" s="58"/>
      <c r="SVB60" s="58"/>
      <c r="SVC60" s="58"/>
      <c r="SVD60" s="58"/>
      <c r="SVE60" s="58"/>
      <c r="SVF60" s="58"/>
      <c r="SVG60" s="58"/>
      <c r="SVH60" s="58"/>
      <c r="SVI60" s="58"/>
      <c r="SVJ60" s="58"/>
      <c r="SVK60" s="58"/>
      <c r="SVL60" s="58"/>
      <c r="SVM60" s="58"/>
      <c r="SVN60" s="58"/>
      <c r="SVO60" s="58"/>
      <c r="SVP60" s="58"/>
      <c r="SVQ60" s="58"/>
      <c r="SVR60" s="58"/>
      <c r="SVS60" s="58"/>
      <c r="SVT60" s="58"/>
      <c r="SVU60" s="58"/>
      <c r="SVV60" s="58"/>
      <c r="SVW60" s="58"/>
      <c r="SVX60" s="58"/>
      <c r="SVY60" s="58"/>
      <c r="SVZ60" s="58"/>
      <c r="SWA60" s="58"/>
      <c r="SWB60" s="58"/>
      <c r="SWC60" s="58"/>
      <c r="SWD60" s="58"/>
      <c r="SWE60" s="58"/>
      <c r="SWF60" s="58"/>
      <c r="SWG60" s="58"/>
      <c r="SWH60" s="58"/>
      <c r="SWI60" s="58"/>
      <c r="SWJ60" s="58"/>
      <c r="SWK60" s="58"/>
      <c r="SWL60" s="58"/>
      <c r="SWM60" s="58"/>
      <c r="SWN60" s="58"/>
      <c r="SWO60" s="58"/>
      <c r="SWP60" s="58"/>
      <c r="SWQ60" s="58"/>
      <c r="SWR60" s="58"/>
      <c r="SWS60" s="58"/>
      <c r="SWT60" s="58"/>
      <c r="SWU60" s="58"/>
      <c r="SWV60" s="58"/>
      <c r="SWW60" s="58"/>
      <c r="SWX60" s="58"/>
      <c r="SWY60" s="58"/>
      <c r="SWZ60" s="58"/>
      <c r="SXA60" s="58"/>
      <c r="SXB60" s="58"/>
      <c r="SXC60" s="58"/>
      <c r="SXD60" s="58"/>
      <c r="SXE60" s="58"/>
      <c r="SXF60" s="58"/>
      <c r="SXG60" s="58"/>
      <c r="SXH60" s="58"/>
      <c r="SXI60" s="58"/>
      <c r="SXJ60" s="58"/>
      <c r="SXK60" s="58"/>
      <c r="SXL60" s="58"/>
      <c r="SXM60" s="58"/>
      <c r="SXN60" s="58"/>
      <c r="SXO60" s="58"/>
      <c r="SXP60" s="58"/>
      <c r="SXQ60" s="58"/>
      <c r="SXR60" s="58"/>
      <c r="SXS60" s="58"/>
      <c r="SXT60" s="58"/>
      <c r="SXU60" s="58"/>
      <c r="SXV60" s="58"/>
      <c r="SXW60" s="58"/>
      <c r="SXX60" s="58"/>
      <c r="SXY60" s="58"/>
      <c r="SXZ60" s="58"/>
      <c r="SYA60" s="58"/>
      <c r="SYB60" s="58"/>
      <c r="SYC60" s="58"/>
      <c r="SYD60" s="58"/>
      <c r="SYE60" s="58"/>
      <c r="SYF60" s="58"/>
      <c r="SYG60" s="58"/>
      <c r="SYH60" s="58"/>
      <c r="SYI60" s="58"/>
      <c r="SYJ60" s="58"/>
      <c r="SYK60" s="58"/>
      <c r="SYL60" s="58"/>
      <c r="SYM60" s="58"/>
      <c r="SYN60" s="58"/>
      <c r="SYO60" s="58"/>
      <c r="SYP60" s="58"/>
      <c r="SYQ60" s="58"/>
      <c r="SYR60" s="58"/>
      <c r="SYS60" s="58"/>
      <c r="SYT60" s="58"/>
      <c r="SYU60" s="58"/>
      <c r="SYV60" s="58"/>
      <c r="SYW60" s="58"/>
      <c r="SYX60" s="58"/>
      <c r="SYY60" s="58"/>
      <c r="SYZ60" s="58"/>
      <c r="SZA60" s="58"/>
      <c r="SZB60" s="58"/>
      <c r="SZC60" s="58"/>
      <c r="SZD60" s="58"/>
      <c r="SZE60" s="58"/>
      <c r="SZF60" s="58"/>
      <c r="SZG60" s="58"/>
      <c r="SZH60" s="58"/>
      <c r="SZI60" s="58"/>
      <c r="SZJ60" s="58"/>
      <c r="SZK60" s="58"/>
      <c r="SZL60" s="58"/>
      <c r="SZM60" s="58"/>
      <c r="SZN60" s="58"/>
      <c r="SZO60" s="58"/>
      <c r="SZP60" s="58"/>
      <c r="SZQ60" s="58"/>
      <c r="SZR60" s="58"/>
      <c r="SZS60" s="58"/>
      <c r="SZT60" s="58"/>
      <c r="SZU60" s="58"/>
      <c r="SZV60" s="58"/>
      <c r="SZW60" s="58"/>
      <c r="SZX60" s="58"/>
      <c r="SZY60" s="58"/>
      <c r="SZZ60" s="58"/>
      <c r="TAA60" s="58"/>
      <c r="TAC60" s="58"/>
      <c r="TAD60" s="58"/>
      <c r="TAF60" s="58"/>
      <c r="TAL60" s="58"/>
      <c r="TAM60" s="58"/>
      <c r="TBA60" s="58"/>
      <c r="TBB60" s="58"/>
      <c r="TBC60" s="58"/>
      <c r="TBD60" s="58"/>
      <c r="TBE60" s="58"/>
      <c r="TBF60" s="58"/>
      <c r="TBG60" s="58"/>
      <c r="TBH60" s="58"/>
      <c r="TBI60" s="58"/>
      <c r="TBJ60" s="58"/>
      <c r="TBK60" s="58"/>
      <c r="TBL60" s="58"/>
      <c r="TBM60" s="58"/>
      <c r="TBN60" s="58"/>
      <c r="TBO60" s="58"/>
      <c r="TBP60" s="58"/>
      <c r="TBQ60" s="58"/>
      <c r="TBR60" s="58"/>
      <c r="TBS60" s="58"/>
      <c r="TBT60" s="58"/>
      <c r="TBU60" s="58"/>
      <c r="TBV60" s="58"/>
      <c r="TBW60" s="58"/>
      <c r="TBX60" s="58"/>
      <c r="TBY60" s="58"/>
      <c r="TBZ60" s="58"/>
      <c r="TCA60" s="58"/>
      <c r="TCB60" s="58"/>
      <c r="TCC60" s="58"/>
      <c r="TCD60" s="58"/>
      <c r="TCE60" s="58"/>
      <c r="TCF60" s="58"/>
      <c r="TCG60" s="58"/>
      <c r="TCH60" s="58"/>
      <c r="TCI60" s="58"/>
      <c r="TCJ60" s="58"/>
      <c r="TCK60" s="58"/>
      <c r="TCL60" s="58"/>
      <c r="TCM60" s="58"/>
      <c r="TCN60" s="58"/>
      <c r="TCO60" s="58"/>
      <c r="TCP60" s="58"/>
      <c r="TCQ60" s="58"/>
      <c r="TCR60" s="58"/>
      <c r="TCS60" s="58"/>
      <c r="TCT60" s="58"/>
      <c r="TCU60" s="58"/>
      <c r="TCV60" s="58"/>
      <c r="TCW60" s="58"/>
      <c r="TCX60" s="58"/>
      <c r="TCY60" s="58"/>
      <c r="TCZ60" s="58"/>
      <c r="TDA60" s="58"/>
      <c r="TDB60" s="58"/>
      <c r="TDC60" s="58"/>
      <c r="TDD60" s="58"/>
      <c r="TDE60" s="58"/>
      <c r="TDF60" s="58"/>
      <c r="TDG60" s="58"/>
      <c r="TDH60" s="58"/>
      <c r="TDI60" s="58"/>
      <c r="TDJ60" s="58"/>
      <c r="TDK60" s="58"/>
      <c r="TDL60" s="58"/>
      <c r="TDM60" s="58"/>
      <c r="TDN60" s="58"/>
      <c r="TDO60" s="58"/>
      <c r="TDP60" s="58"/>
      <c r="TDQ60" s="58"/>
      <c r="TDR60" s="58"/>
      <c r="TDS60" s="58"/>
      <c r="TDT60" s="58"/>
      <c r="TDU60" s="58"/>
      <c r="TDV60" s="58"/>
      <c r="TDW60" s="58"/>
      <c r="TDX60" s="58"/>
      <c r="TDY60" s="58"/>
      <c r="TDZ60" s="58"/>
      <c r="TEA60" s="58"/>
      <c r="TEB60" s="58"/>
      <c r="TEC60" s="58"/>
      <c r="TED60" s="58"/>
      <c r="TEE60" s="58"/>
      <c r="TEF60" s="58"/>
      <c r="TEG60" s="58"/>
      <c r="TEH60" s="58"/>
      <c r="TEI60" s="58"/>
      <c r="TEJ60" s="58"/>
      <c r="TEK60" s="58"/>
      <c r="TEL60" s="58"/>
      <c r="TEM60" s="58"/>
      <c r="TEN60" s="58"/>
      <c r="TEO60" s="58"/>
      <c r="TEP60" s="58"/>
      <c r="TEQ60" s="58"/>
      <c r="TER60" s="58"/>
      <c r="TES60" s="58"/>
      <c r="TET60" s="58"/>
      <c r="TEU60" s="58"/>
      <c r="TEV60" s="58"/>
      <c r="TEW60" s="58"/>
      <c r="TEX60" s="58"/>
      <c r="TEY60" s="58"/>
      <c r="TEZ60" s="58"/>
      <c r="TFA60" s="58"/>
      <c r="TFB60" s="58"/>
      <c r="TFC60" s="58"/>
      <c r="TFD60" s="58"/>
      <c r="TFE60" s="58"/>
      <c r="TFF60" s="58"/>
      <c r="TFG60" s="58"/>
      <c r="TFH60" s="58"/>
      <c r="TFI60" s="58"/>
      <c r="TFJ60" s="58"/>
      <c r="TFK60" s="58"/>
      <c r="TFL60" s="58"/>
      <c r="TFM60" s="58"/>
      <c r="TFN60" s="58"/>
      <c r="TFO60" s="58"/>
      <c r="TFP60" s="58"/>
      <c r="TFQ60" s="58"/>
      <c r="TFR60" s="58"/>
      <c r="TFS60" s="58"/>
      <c r="TFT60" s="58"/>
      <c r="TFU60" s="58"/>
      <c r="TFV60" s="58"/>
      <c r="TFW60" s="58"/>
      <c r="TFX60" s="58"/>
      <c r="TFY60" s="58"/>
      <c r="TFZ60" s="58"/>
      <c r="TGA60" s="58"/>
      <c r="TGB60" s="58"/>
      <c r="TGC60" s="58"/>
      <c r="TGD60" s="58"/>
      <c r="TGE60" s="58"/>
      <c r="TGF60" s="58"/>
      <c r="TGG60" s="58"/>
      <c r="TGH60" s="58"/>
      <c r="TGI60" s="58"/>
      <c r="TGJ60" s="58"/>
      <c r="TGK60" s="58"/>
      <c r="TGL60" s="58"/>
      <c r="TGM60" s="58"/>
      <c r="TGN60" s="58"/>
      <c r="TGO60" s="58"/>
      <c r="TGP60" s="58"/>
      <c r="TGQ60" s="58"/>
      <c r="TGR60" s="58"/>
      <c r="TGS60" s="58"/>
      <c r="TGT60" s="58"/>
      <c r="TGU60" s="58"/>
      <c r="TGV60" s="58"/>
      <c r="TGW60" s="58"/>
      <c r="TGX60" s="58"/>
      <c r="TGY60" s="58"/>
      <c r="TGZ60" s="58"/>
      <c r="THA60" s="58"/>
      <c r="THB60" s="58"/>
      <c r="THC60" s="58"/>
      <c r="THD60" s="58"/>
      <c r="THE60" s="58"/>
      <c r="THF60" s="58"/>
      <c r="THG60" s="58"/>
      <c r="THH60" s="58"/>
      <c r="THI60" s="58"/>
      <c r="THJ60" s="58"/>
      <c r="THK60" s="58"/>
      <c r="THL60" s="58"/>
      <c r="THM60" s="58"/>
      <c r="THN60" s="58"/>
      <c r="THO60" s="58"/>
      <c r="THP60" s="58"/>
      <c r="THQ60" s="58"/>
      <c r="THR60" s="58"/>
      <c r="THS60" s="58"/>
      <c r="THT60" s="58"/>
      <c r="THU60" s="58"/>
      <c r="THV60" s="58"/>
      <c r="THW60" s="58"/>
      <c r="THX60" s="58"/>
      <c r="THY60" s="58"/>
      <c r="THZ60" s="58"/>
      <c r="TIA60" s="58"/>
      <c r="TIB60" s="58"/>
      <c r="TIC60" s="58"/>
      <c r="TID60" s="58"/>
      <c r="TIE60" s="58"/>
      <c r="TIF60" s="58"/>
      <c r="TIG60" s="58"/>
      <c r="TIH60" s="58"/>
      <c r="TII60" s="58"/>
      <c r="TIJ60" s="58"/>
      <c r="TIK60" s="58"/>
      <c r="TIL60" s="58"/>
      <c r="TIM60" s="58"/>
      <c r="TIN60" s="58"/>
      <c r="TIO60" s="58"/>
      <c r="TIP60" s="58"/>
      <c r="TIQ60" s="58"/>
      <c r="TIR60" s="58"/>
      <c r="TIS60" s="58"/>
      <c r="TIT60" s="58"/>
      <c r="TIU60" s="58"/>
      <c r="TIV60" s="58"/>
      <c r="TIW60" s="58"/>
      <c r="TIX60" s="58"/>
      <c r="TIY60" s="58"/>
      <c r="TIZ60" s="58"/>
      <c r="TJA60" s="58"/>
      <c r="TJB60" s="58"/>
      <c r="TJC60" s="58"/>
      <c r="TJD60" s="58"/>
      <c r="TJE60" s="58"/>
      <c r="TJF60" s="58"/>
      <c r="TJG60" s="58"/>
      <c r="TJH60" s="58"/>
      <c r="TJI60" s="58"/>
      <c r="TJJ60" s="58"/>
      <c r="TJK60" s="58"/>
      <c r="TJL60" s="58"/>
      <c r="TJM60" s="58"/>
      <c r="TJN60" s="58"/>
      <c r="TJO60" s="58"/>
      <c r="TJP60" s="58"/>
      <c r="TJQ60" s="58"/>
      <c r="TJR60" s="58"/>
      <c r="TJS60" s="58"/>
      <c r="TJT60" s="58"/>
      <c r="TJU60" s="58"/>
      <c r="TJV60" s="58"/>
      <c r="TJW60" s="58"/>
      <c r="TJY60" s="58"/>
      <c r="TJZ60" s="58"/>
      <c r="TKB60" s="58"/>
      <c r="TKH60" s="58"/>
      <c r="TKI60" s="58"/>
      <c r="TKW60" s="58"/>
      <c r="TKX60" s="58"/>
      <c r="TKY60" s="58"/>
      <c r="TKZ60" s="58"/>
      <c r="TLA60" s="58"/>
      <c r="TLB60" s="58"/>
      <c r="TLC60" s="58"/>
      <c r="TLD60" s="58"/>
      <c r="TLE60" s="58"/>
      <c r="TLF60" s="58"/>
      <c r="TLG60" s="58"/>
      <c r="TLH60" s="58"/>
      <c r="TLI60" s="58"/>
      <c r="TLJ60" s="58"/>
      <c r="TLK60" s="58"/>
      <c r="TLL60" s="58"/>
      <c r="TLM60" s="58"/>
      <c r="TLN60" s="58"/>
      <c r="TLO60" s="58"/>
      <c r="TLP60" s="58"/>
      <c r="TLQ60" s="58"/>
      <c r="TLR60" s="58"/>
      <c r="TLS60" s="58"/>
      <c r="TLT60" s="58"/>
      <c r="TLU60" s="58"/>
      <c r="TLV60" s="58"/>
      <c r="TLW60" s="58"/>
      <c r="TLX60" s="58"/>
      <c r="TLY60" s="58"/>
      <c r="TLZ60" s="58"/>
      <c r="TMA60" s="58"/>
      <c r="TMB60" s="58"/>
      <c r="TMC60" s="58"/>
      <c r="TMD60" s="58"/>
      <c r="TME60" s="58"/>
      <c r="TMF60" s="58"/>
      <c r="TMG60" s="58"/>
      <c r="TMH60" s="58"/>
      <c r="TMI60" s="58"/>
      <c r="TMJ60" s="58"/>
      <c r="TMK60" s="58"/>
      <c r="TML60" s="58"/>
      <c r="TMM60" s="58"/>
      <c r="TMN60" s="58"/>
      <c r="TMO60" s="58"/>
      <c r="TMP60" s="58"/>
      <c r="TMQ60" s="58"/>
      <c r="TMR60" s="58"/>
      <c r="TMS60" s="58"/>
      <c r="TMT60" s="58"/>
      <c r="TMU60" s="58"/>
      <c r="TMV60" s="58"/>
      <c r="TMW60" s="58"/>
      <c r="TMX60" s="58"/>
      <c r="TMY60" s="58"/>
      <c r="TMZ60" s="58"/>
      <c r="TNA60" s="58"/>
      <c r="TNB60" s="58"/>
      <c r="TNC60" s="58"/>
      <c r="TND60" s="58"/>
      <c r="TNE60" s="58"/>
      <c r="TNF60" s="58"/>
      <c r="TNG60" s="58"/>
      <c r="TNH60" s="58"/>
      <c r="TNI60" s="58"/>
      <c r="TNJ60" s="58"/>
      <c r="TNK60" s="58"/>
      <c r="TNL60" s="58"/>
      <c r="TNM60" s="58"/>
      <c r="TNN60" s="58"/>
      <c r="TNO60" s="58"/>
      <c r="TNP60" s="58"/>
      <c r="TNQ60" s="58"/>
      <c r="TNR60" s="58"/>
      <c r="TNS60" s="58"/>
      <c r="TNT60" s="58"/>
      <c r="TNU60" s="58"/>
      <c r="TNV60" s="58"/>
      <c r="TNW60" s="58"/>
      <c r="TNX60" s="58"/>
      <c r="TNY60" s="58"/>
      <c r="TNZ60" s="58"/>
      <c r="TOA60" s="58"/>
      <c r="TOB60" s="58"/>
      <c r="TOC60" s="58"/>
      <c r="TOD60" s="58"/>
      <c r="TOE60" s="58"/>
      <c r="TOF60" s="58"/>
      <c r="TOG60" s="58"/>
      <c r="TOH60" s="58"/>
      <c r="TOI60" s="58"/>
      <c r="TOJ60" s="58"/>
      <c r="TOK60" s="58"/>
      <c r="TOL60" s="58"/>
      <c r="TOM60" s="58"/>
      <c r="TON60" s="58"/>
      <c r="TOO60" s="58"/>
      <c r="TOP60" s="58"/>
      <c r="TOQ60" s="58"/>
      <c r="TOR60" s="58"/>
      <c r="TOS60" s="58"/>
      <c r="TOT60" s="58"/>
      <c r="TOU60" s="58"/>
      <c r="TOV60" s="58"/>
      <c r="TOW60" s="58"/>
      <c r="TOX60" s="58"/>
      <c r="TOY60" s="58"/>
      <c r="TOZ60" s="58"/>
      <c r="TPA60" s="58"/>
      <c r="TPB60" s="58"/>
      <c r="TPC60" s="58"/>
      <c r="TPD60" s="58"/>
      <c r="TPE60" s="58"/>
      <c r="TPF60" s="58"/>
      <c r="TPG60" s="58"/>
      <c r="TPH60" s="58"/>
      <c r="TPI60" s="58"/>
      <c r="TPJ60" s="58"/>
      <c r="TPK60" s="58"/>
      <c r="TPL60" s="58"/>
      <c r="TPM60" s="58"/>
      <c r="TPN60" s="58"/>
      <c r="TPO60" s="58"/>
      <c r="TPP60" s="58"/>
      <c r="TPQ60" s="58"/>
      <c r="TPR60" s="58"/>
      <c r="TPS60" s="58"/>
      <c r="TPT60" s="58"/>
      <c r="TPU60" s="58"/>
      <c r="TPV60" s="58"/>
      <c r="TPW60" s="58"/>
      <c r="TPX60" s="58"/>
      <c r="TPY60" s="58"/>
      <c r="TPZ60" s="58"/>
      <c r="TQA60" s="58"/>
      <c r="TQB60" s="58"/>
      <c r="TQC60" s="58"/>
      <c r="TQD60" s="58"/>
      <c r="TQE60" s="58"/>
      <c r="TQF60" s="58"/>
      <c r="TQG60" s="58"/>
      <c r="TQH60" s="58"/>
      <c r="TQI60" s="58"/>
      <c r="TQJ60" s="58"/>
      <c r="TQK60" s="58"/>
      <c r="TQL60" s="58"/>
      <c r="TQM60" s="58"/>
      <c r="TQN60" s="58"/>
      <c r="TQO60" s="58"/>
      <c r="TQP60" s="58"/>
      <c r="TQQ60" s="58"/>
      <c r="TQR60" s="58"/>
      <c r="TQS60" s="58"/>
      <c r="TQT60" s="58"/>
      <c r="TQU60" s="58"/>
      <c r="TQV60" s="58"/>
      <c r="TQW60" s="58"/>
      <c r="TQX60" s="58"/>
      <c r="TQY60" s="58"/>
      <c r="TQZ60" s="58"/>
      <c r="TRA60" s="58"/>
      <c r="TRB60" s="58"/>
      <c r="TRC60" s="58"/>
      <c r="TRD60" s="58"/>
      <c r="TRE60" s="58"/>
      <c r="TRF60" s="58"/>
      <c r="TRG60" s="58"/>
      <c r="TRH60" s="58"/>
      <c r="TRI60" s="58"/>
      <c r="TRJ60" s="58"/>
      <c r="TRK60" s="58"/>
      <c r="TRL60" s="58"/>
      <c r="TRM60" s="58"/>
      <c r="TRN60" s="58"/>
      <c r="TRO60" s="58"/>
      <c r="TRP60" s="58"/>
      <c r="TRQ60" s="58"/>
      <c r="TRR60" s="58"/>
      <c r="TRS60" s="58"/>
      <c r="TRT60" s="58"/>
      <c r="TRU60" s="58"/>
      <c r="TRV60" s="58"/>
      <c r="TRW60" s="58"/>
      <c r="TRX60" s="58"/>
      <c r="TRY60" s="58"/>
      <c r="TRZ60" s="58"/>
      <c r="TSA60" s="58"/>
      <c r="TSB60" s="58"/>
      <c r="TSC60" s="58"/>
      <c r="TSD60" s="58"/>
      <c r="TSE60" s="58"/>
      <c r="TSF60" s="58"/>
      <c r="TSG60" s="58"/>
      <c r="TSH60" s="58"/>
      <c r="TSI60" s="58"/>
      <c r="TSJ60" s="58"/>
      <c r="TSK60" s="58"/>
      <c r="TSL60" s="58"/>
      <c r="TSM60" s="58"/>
      <c r="TSN60" s="58"/>
      <c r="TSO60" s="58"/>
      <c r="TSP60" s="58"/>
      <c r="TSQ60" s="58"/>
      <c r="TSR60" s="58"/>
      <c r="TSS60" s="58"/>
      <c r="TST60" s="58"/>
      <c r="TSU60" s="58"/>
      <c r="TSV60" s="58"/>
      <c r="TSW60" s="58"/>
      <c r="TSX60" s="58"/>
      <c r="TSY60" s="58"/>
      <c r="TSZ60" s="58"/>
      <c r="TTA60" s="58"/>
      <c r="TTB60" s="58"/>
      <c r="TTC60" s="58"/>
      <c r="TTD60" s="58"/>
      <c r="TTE60" s="58"/>
      <c r="TTF60" s="58"/>
      <c r="TTG60" s="58"/>
      <c r="TTH60" s="58"/>
      <c r="TTI60" s="58"/>
      <c r="TTJ60" s="58"/>
      <c r="TTK60" s="58"/>
      <c r="TTL60" s="58"/>
      <c r="TTM60" s="58"/>
      <c r="TTN60" s="58"/>
      <c r="TTO60" s="58"/>
      <c r="TTP60" s="58"/>
      <c r="TTQ60" s="58"/>
      <c r="TTR60" s="58"/>
      <c r="TTS60" s="58"/>
      <c r="TTU60" s="58"/>
      <c r="TTV60" s="58"/>
      <c r="TTX60" s="58"/>
      <c r="TUD60" s="58"/>
      <c r="TUE60" s="58"/>
      <c r="TUS60" s="58"/>
      <c r="TUT60" s="58"/>
      <c r="TUU60" s="58"/>
      <c r="TUV60" s="58"/>
      <c r="TUW60" s="58"/>
      <c r="TUX60" s="58"/>
      <c r="TUY60" s="58"/>
      <c r="TUZ60" s="58"/>
      <c r="TVA60" s="58"/>
      <c r="TVB60" s="58"/>
      <c r="TVC60" s="58"/>
      <c r="TVD60" s="58"/>
      <c r="TVE60" s="58"/>
      <c r="TVF60" s="58"/>
      <c r="TVG60" s="58"/>
      <c r="TVH60" s="58"/>
      <c r="TVI60" s="58"/>
      <c r="TVJ60" s="58"/>
      <c r="TVK60" s="58"/>
      <c r="TVL60" s="58"/>
      <c r="TVM60" s="58"/>
      <c r="TVN60" s="58"/>
      <c r="TVO60" s="58"/>
      <c r="TVP60" s="58"/>
      <c r="TVQ60" s="58"/>
      <c r="TVR60" s="58"/>
      <c r="TVS60" s="58"/>
      <c r="TVT60" s="58"/>
      <c r="TVU60" s="58"/>
      <c r="TVV60" s="58"/>
      <c r="TVW60" s="58"/>
      <c r="TVX60" s="58"/>
      <c r="TVY60" s="58"/>
      <c r="TVZ60" s="58"/>
      <c r="TWA60" s="58"/>
      <c r="TWB60" s="58"/>
      <c r="TWC60" s="58"/>
      <c r="TWD60" s="58"/>
      <c r="TWE60" s="58"/>
      <c r="TWF60" s="58"/>
      <c r="TWG60" s="58"/>
      <c r="TWH60" s="58"/>
      <c r="TWI60" s="58"/>
      <c r="TWJ60" s="58"/>
      <c r="TWK60" s="58"/>
      <c r="TWL60" s="58"/>
      <c r="TWM60" s="58"/>
      <c r="TWN60" s="58"/>
      <c r="TWO60" s="58"/>
      <c r="TWP60" s="58"/>
      <c r="TWQ60" s="58"/>
      <c r="TWR60" s="58"/>
      <c r="TWS60" s="58"/>
      <c r="TWT60" s="58"/>
      <c r="TWU60" s="58"/>
      <c r="TWV60" s="58"/>
      <c r="TWW60" s="58"/>
      <c r="TWX60" s="58"/>
      <c r="TWY60" s="58"/>
      <c r="TWZ60" s="58"/>
      <c r="TXA60" s="58"/>
      <c r="TXB60" s="58"/>
      <c r="TXC60" s="58"/>
      <c r="TXD60" s="58"/>
      <c r="TXE60" s="58"/>
      <c r="TXF60" s="58"/>
      <c r="TXG60" s="58"/>
      <c r="TXH60" s="58"/>
      <c r="TXI60" s="58"/>
      <c r="TXJ60" s="58"/>
      <c r="TXK60" s="58"/>
      <c r="TXL60" s="58"/>
      <c r="TXM60" s="58"/>
      <c r="TXN60" s="58"/>
      <c r="TXO60" s="58"/>
      <c r="TXP60" s="58"/>
      <c r="TXQ60" s="58"/>
      <c r="TXR60" s="58"/>
      <c r="TXS60" s="58"/>
      <c r="TXT60" s="58"/>
      <c r="TXU60" s="58"/>
      <c r="TXV60" s="58"/>
      <c r="TXW60" s="58"/>
      <c r="TXX60" s="58"/>
      <c r="TXY60" s="58"/>
      <c r="TXZ60" s="58"/>
      <c r="TYA60" s="58"/>
      <c r="TYB60" s="58"/>
      <c r="TYC60" s="58"/>
      <c r="TYD60" s="58"/>
      <c r="TYE60" s="58"/>
      <c r="TYF60" s="58"/>
      <c r="TYG60" s="58"/>
      <c r="TYH60" s="58"/>
      <c r="TYI60" s="58"/>
      <c r="TYJ60" s="58"/>
      <c r="TYK60" s="58"/>
      <c r="TYL60" s="58"/>
      <c r="TYM60" s="58"/>
      <c r="TYN60" s="58"/>
      <c r="TYO60" s="58"/>
      <c r="TYP60" s="58"/>
      <c r="TYQ60" s="58"/>
      <c r="TYR60" s="58"/>
      <c r="TYS60" s="58"/>
      <c r="TYT60" s="58"/>
      <c r="TYU60" s="58"/>
      <c r="TYV60" s="58"/>
      <c r="TYW60" s="58"/>
      <c r="TYX60" s="58"/>
      <c r="TYY60" s="58"/>
      <c r="TYZ60" s="58"/>
      <c r="TZA60" s="58"/>
      <c r="TZB60" s="58"/>
      <c r="TZC60" s="58"/>
      <c r="TZD60" s="58"/>
      <c r="TZE60" s="58"/>
      <c r="TZF60" s="58"/>
      <c r="TZG60" s="58"/>
      <c r="TZH60" s="58"/>
      <c r="TZI60" s="58"/>
      <c r="TZJ60" s="58"/>
      <c r="TZK60" s="58"/>
      <c r="TZL60" s="58"/>
      <c r="TZM60" s="58"/>
      <c r="TZN60" s="58"/>
      <c r="TZO60" s="58"/>
      <c r="TZP60" s="58"/>
      <c r="TZQ60" s="58"/>
      <c r="TZR60" s="58"/>
      <c r="TZS60" s="58"/>
      <c r="TZT60" s="58"/>
      <c r="TZU60" s="58"/>
      <c r="TZV60" s="58"/>
      <c r="TZW60" s="58"/>
      <c r="TZX60" s="58"/>
      <c r="TZY60" s="58"/>
      <c r="TZZ60" s="58"/>
      <c r="UAA60" s="58"/>
      <c r="UAB60" s="58"/>
      <c r="UAC60" s="58"/>
      <c r="UAD60" s="58"/>
      <c r="UAE60" s="58"/>
      <c r="UAF60" s="58"/>
      <c r="UAG60" s="58"/>
      <c r="UAH60" s="58"/>
      <c r="UAI60" s="58"/>
      <c r="UAJ60" s="58"/>
      <c r="UAK60" s="58"/>
      <c r="UAL60" s="58"/>
      <c r="UAM60" s="58"/>
      <c r="UAN60" s="58"/>
      <c r="UAO60" s="58"/>
      <c r="UAP60" s="58"/>
      <c r="UAQ60" s="58"/>
      <c r="UAR60" s="58"/>
      <c r="UAS60" s="58"/>
      <c r="UAT60" s="58"/>
      <c r="UAU60" s="58"/>
      <c r="UAV60" s="58"/>
      <c r="UAW60" s="58"/>
      <c r="UAX60" s="58"/>
      <c r="UAY60" s="58"/>
      <c r="UAZ60" s="58"/>
      <c r="UBA60" s="58"/>
      <c r="UBB60" s="58"/>
      <c r="UBC60" s="58"/>
      <c r="UBD60" s="58"/>
      <c r="UBE60" s="58"/>
      <c r="UBF60" s="58"/>
      <c r="UBG60" s="58"/>
      <c r="UBH60" s="58"/>
      <c r="UBI60" s="58"/>
      <c r="UBJ60" s="58"/>
      <c r="UBK60" s="58"/>
      <c r="UBL60" s="58"/>
      <c r="UBM60" s="58"/>
      <c r="UBN60" s="58"/>
      <c r="UBO60" s="58"/>
      <c r="UBP60" s="58"/>
      <c r="UBQ60" s="58"/>
      <c r="UBR60" s="58"/>
      <c r="UBS60" s="58"/>
      <c r="UBT60" s="58"/>
      <c r="UBU60" s="58"/>
      <c r="UBV60" s="58"/>
      <c r="UBW60" s="58"/>
      <c r="UBX60" s="58"/>
      <c r="UBY60" s="58"/>
      <c r="UBZ60" s="58"/>
      <c r="UCA60" s="58"/>
      <c r="UCB60" s="58"/>
      <c r="UCC60" s="58"/>
      <c r="UCD60" s="58"/>
      <c r="UCE60" s="58"/>
      <c r="UCF60" s="58"/>
      <c r="UCG60" s="58"/>
      <c r="UCH60" s="58"/>
      <c r="UCI60" s="58"/>
      <c r="UCJ60" s="58"/>
      <c r="UCK60" s="58"/>
      <c r="UCL60" s="58"/>
      <c r="UCM60" s="58"/>
      <c r="UCN60" s="58"/>
      <c r="UCO60" s="58"/>
      <c r="UCP60" s="58"/>
      <c r="UCQ60" s="58"/>
      <c r="UCR60" s="58"/>
      <c r="UCS60" s="58"/>
      <c r="UCT60" s="58"/>
      <c r="UCU60" s="58"/>
      <c r="UCV60" s="58"/>
      <c r="UCW60" s="58"/>
      <c r="UCX60" s="58"/>
      <c r="UCY60" s="58"/>
      <c r="UCZ60" s="58"/>
      <c r="UDA60" s="58"/>
      <c r="UDB60" s="58"/>
      <c r="UDC60" s="58"/>
      <c r="UDD60" s="58"/>
      <c r="UDE60" s="58"/>
      <c r="UDF60" s="58"/>
      <c r="UDG60" s="58"/>
      <c r="UDH60" s="58"/>
      <c r="UDI60" s="58"/>
      <c r="UDJ60" s="58"/>
      <c r="UDK60" s="58"/>
      <c r="UDL60" s="58"/>
      <c r="UDM60" s="58"/>
      <c r="UDN60" s="58"/>
      <c r="UDO60" s="58"/>
      <c r="UDQ60" s="58"/>
      <c r="UDR60" s="58"/>
      <c r="UDT60" s="58"/>
      <c r="UDZ60" s="58"/>
      <c r="UEA60" s="58"/>
      <c r="UEO60" s="58"/>
      <c r="UEP60" s="58"/>
      <c r="UEQ60" s="58"/>
      <c r="UER60" s="58"/>
      <c r="UES60" s="58"/>
      <c r="UET60" s="58"/>
      <c r="UEU60" s="58"/>
      <c r="UEV60" s="58"/>
      <c r="UEW60" s="58"/>
      <c r="UEX60" s="58"/>
      <c r="UEY60" s="58"/>
      <c r="UEZ60" s="58"/>
      <c r="UFA60" s="58"/>
      <c r="UFB60" s="58"/>
      <c r="UFC60" s="58"/>
      <c r="UFD60" s="58"/>
      <c r="UFE60" s="58"/>
      <c r="UFF60" s="58"/>
      <c r="UFG60" s="58"/>
      <c r="UFH60" s="58"/>
      <c r="UFI60" s="58"/>
      <c r="UFJ60" s="58"/>
      <c r="UFK60" s="58"/>
      <c r="UFL60" s="58"/>
      <c r="UFM60" s="58"/>
      <c r="UFN60" s="58"/>
      <c r="UFO60" s="58"/>
      <c r="UFP60" s="58"/>
      <c r="UFQ60" s="58"/>
      <c r="UFR60" s="58"/>
      <c r="UFS60" s="58"/>
      <c r="UFT60" s="58"/>
      <c r="UFU60" s="58"/>
      <c r="UFV60" s="58"/>
      <c r="UFW60" s="58"/>
      <c r="UFX60" s="58"/>
      <c r="UFY60" s="58"/>
      <c r="UFZ60" s="58"/>
      <c r="UGA60" s="58"/>
      <c r="UGB60" s="58"/>
      <c r="UGC60" s="58"/>
      <c r="UGD60" s="58"/>
      <c r="UGE60" s="58"/>
      <c r="UGF60" s="58"/>
      <c r="UGG60" s="58"/>
      <c r="UGH60" s="58"/>
      <c r="UGI60" s="58"/>
      <c r="UGJ60" s="58"/>
      <c r="UGK60" s="58"/>
      <c r="UGL60" s="58"/>
      <c r="UGM60" s="58"/>
      <c r="UGN60" s="58"/>
      <c r="UGO60" s="58"/>
      <c r="UGP60" s="58"/>
      <c r="UGQ60" s="58"/>
      <c r="UGR60" s="58"/>
      <c r="UGS60" s="58"/>
      <c r="UGT60" s="58"/>
      <c r="UGU60" s="58"/>
      <c r="UGV60" s="58"/>
      <c r="UGW60" s="58"/>
      <c r="UGX60" s="58"/>
      <c r="UGY60" s="58"/>
      <c r="UGZ60" s="58"/>
      <c r="UHA60" s="58"/>
      <c r="UHB60" s="58"/>
      <c r="UHC60" s="58"/>
      <c r="UHD60" s="58"/>
      <c r="UHE60" s="58"/>
      <c r="UHF60" s="58"/>
      <c r="UHG60" s="58"/>
      <c r="UHH60" s="58"/>
      <c r="UHI60" s="58"/>
      <c r="UHJ60" s="58"/>
      <c r="UHK60" s="58"/>
      <c r="UHL60" s="58"/>
      <c r="UHM60" s="58"/>
      <c r="UHN60" s="58"/>
      <c r="UHO60" s="58"/>
      <c r="UHP60" s="58"/>
      <c r="UHQ60" s="58"/>
      <c r="UHR60" s="58"/>
      <c r="UHS60" s="58"/>
      <c r="UHT60" s="58"/>
      <c r="UHU60" s="58"/>
      <c r="UHV60" s="58"/>
      <c r="UHW60" s="58"/>
      <c r="UHX60" s="58"/>
      <c r="UHY60" s="58"/>
      <c r="UHZ60" s="58"/>
      <c r="UIA60" s="58"/>
      <c r="UIB60" s="58"/>
      <c r="UIC60" s="58"/>
      <c r="UID60" s="58"/>
      <c r="UIE60" s="58"/>
      <c r="UIF60" s="58"/>
      <c r="UIG60" s="58"/>
      <c r="UIH60" s="58"/>
      <c r="UII60" s="58"/>
      <c r="UIJ60" s="58"/>
      <c r="UIK60" s="58"/>
      <c r="UIL60" s="58"/>
      <c r="UIM60" s="58"/>
      <c r="UIN60" s="58"/>
      <c r="UIO60" s="58"/>
      <c r="UIP60" s="58"/>
      <c r="UIQ60" s="58"/>
      <c r="UIR60" s="58"/>
      <c r="UIS60" s="58"/>
      <c r="UIT60" s="58"/>
      <c r="UIU60" s="58"/>
      <c r="UIV60" s="58"/>
      <c r="UIW60" s="58"/>
      <c r="UIX60" s="58"/>
      <c r="UIY60" s="58"/>
      <c r="UIZ60" s="58"/>
      <c r="UJA60" s="58"/>
      <c r="UJB60" s="58"/>
      <c r="UJC60" s="58"/>
      <c r="UJD60" s="58"/>
      <c r="UJE60" s="58"/>
      <c r="UJF60" s="58"/>
      <c r="UJG60" s="58"/>
      <c r="UJH60" s="58"/>
      <c r="UJI60" s="58"/>
      <c r="UJJ60" s="58"/>
      <c r="UJK60" s="58"/>
      <c r="UJL60" s="58"/>
      <c r="UJM60" s="58"/>
      <c r="UJN60" s="58"/>
      <c r="UJO60" s="58"/>
      <c r="UJP60" s="58"/>
      <c r="UJQ60" s="58"/>
      <c r="UJR60" s="58"/>
      <c r="UJS60" s="58"/>
      <c r="UJT60" s="58"/>
      <c r="UJU60" s="58"/>
      <c r="UJV60" s="58"/>
      <c r="UJW60" s="58"/>
      <c r="UJX60" s="58"/>
      <c r="UJY60" s="58"/>
      <c r="UJZ60" s="58"/>
      <c r="UKA60" s="58"/>
      <c r="UKB60" s="58"/>
      <c r="UKC60" s="58"/>
      <c r="UKD60" s="58"/>
      <c r="UKE60" s="58"/>
      <c r="UKF60" s="58"/>
      <c r="UKG60" s="58"/>
      <c r="UKH60" s="58"/>
      <c r="UKI60" s="58"/>
      <c r="UKJ60" s="58"/>
      <c r="UKK60" s="58"/>
      <c r="UKL60" s="58"/>
      <c r="UKM60" s="58"/>
      <c r="UKN60" s="58"/>
      <c r="UKO60" s="58"/>
      <c r="UKP60" s="58"/>
      <c r="UKQ60" s="58"/>
      <c r="UKR60" s="58"/>
      <c r="UKS60" s="58"/>
      <c r="UKT60" s="58"/>
      <c r="UKU60" s="58"/>
      <c r="UKV60" s="58"/>
      <c r="UKW60" s="58"/>
      <c r="UKX60" s="58"/>
      <c r="UKY60" s="58"/>
      <c r="UKZ60" s="58"/>
      <c r="ULA60" s="58"/>
      <c r="ULB60" s="58"/>
      <c r="ULC60" s="58"/>
      <c r="ULD60" s="58"/>
      <c r="ULE60" s="58"/>
      <c r="ULF60" s="58"/>
      <c r="ULG60" s="58"/>
      <c r="ULH60" s="58"/>
      <c r="ULI60" s="58"/>
      <c r="ULJ60" s="58"/>
      <c r="ULK60" s="58"/>
      <c r="ULL60" s="58"/>
      <c r="ULM60" s="58"/>
      <c r="ULN60" s="58"/>
      <c r="ULO60" s="58"/>
      <c r="ULP60" s="58"/>
      <c r="ULQ60" s="58"/>
      <c r="ULR60" s="58"/>
      <c r="ULS60" s="58"/>
      <c r="ULT60" s="58"/>
      <c r="ULU60" s="58"/>
      <c r="ULV60" s="58"/>
      <c r="ULW60" s="58"/>
      <c r="ULX60" s="58"/>
      <c r="ULY60" s="58"/>
      <c r="ULZ60" s="58"/>
      <c r="UMA60" s="58"/>
      <c r="UMB60" s="58"/>
      <c r="UMC60" s="58"/>
      <c r="UMD60" s="58"/>
      <c r="UME60" s="58"/>
      <c r="UMF60" s="58"/>
      <c r="UMG60" s="58"/>
      <c r="UMH60" s="58"/>
      <c r="UMI60" s="58"/>
      <c r="UMJ60" s="58"/>
      <c r="UMK60" s="58"/>
      <c r="UML60" s="58"/>
      <c r="UMM60" s="58"/>
      <c r="UMN60" s="58"/>
      <c r="UMO60" s="58"/>
      <c r="UMP60" s="58"/>
      <c r="UMQ60" s="58"/>
      <c r="UMR60" s="58"/>
      <c r="UMS60" s="58"/>
      <c r="UMT60" s="58"/>
      <c r="UMU60" s="58"/>
      <c r="UMV60" s="58"/>
      <c r="UMW60" s="58"/>
      <c r="UMX60" s="58"/>
      <c r="UMY60" s="58"/>
      <c r="UMZ60" s="58"/>
      <c r="UNA60" s="58"/>
      <c r="UNB60" s="58"/>
      <c r="UNC60" s="58"/>
      <c r="UND60" s="58"/>
      <c r="UNE60" s="58"/>
      <c r="UNF60" s="58"/>
      <c r="UNG60" s="58"/>
      <c r="UNH60" s="58"/>
      <c r="UNI60" s="58"/>
      <c r="UNJ60" s="58"/>
      <c r="UNK60" s="58"/>
      <c r="UNM60" s="58"/>
      <c r="UNN60" s="58"/>
      <c r="UNP60" s="58"/>
      <c r="UNV60" s="58"/>
      <c r="UNW60" s="58"/>
      <c r="UOK60" s="58"/>
      <c r="UOL60" s="58"/>
      <c r="UOM60" s="58"/>
      <c r="UON60" s="58"/>
      <c r="UOO60" s="58"/>
      <c r="UOP60" s="58"/>
      <c r="UOQ60" s="58"/>
      <c r="UOR60" s="58"/>
      <c r="UOS60" s="58"/>
      <c r="UOT60" s="58"/>
      <c r="UOU60" s="58"/>
      <c r="UOV60" s="58"/>
      <c r="UOW60" s="58"/>
      <c r="UOX60" s="58"/>
      <c r="UOY60" s="58"/>
      <c r="UOZ60" s="58"/>
      <c r="UPA60" s="58"/>
      <c r="UPB60" s="58"/>
      <c r="UPC60" s="58"/>
      <c r="UPD60" s="58"/>
      <c r="UPE60" s="58"/>
      <c r="UPF60" s="58"/>
      <c r="UPG60" s="58"/>
      <c r="UPH60" s="58"/>
      <c r="UPI60" s="58"/>
      <c r="UPJ60" s="58"/>
      <c r="UPK60" s="58"/>
      <c r="UPL60" s="58"/>
      <c r="UPM60" s="58"/>
      <c r="UPN60" s="58"/>
      <c r="UPO60" s="58"/>
      <c r="UPP60" s="58"/>
      <c r="UPQ60" s="58"/>
      <c r="UPR60" s="58"/>
      <c r="UPS60" s="58"/>
      <c r="UPT60" s="58"/>
      <c r="UPU60" s="58"/>
      <c r="UPV60" s="58"/>
      <c r="UPW60" s="58"/>
      <c r="UPX60" s="58"/>
      <c r="UPY60" s="58"/>
      <c r="UPZ60" s="58"/>
      <c r="UQA60" s="58"/>
      <c r="UQB60" s="58"/>
      <c r="UQC60" s="58"/>
      <c r="UQD60" s="58"/>
      <c r="UQE60" s="58"/>
      <c r="UQF60" s="58"/>
      <c r="UQG60" s="58"/>
      <c r="UQH60" s="58"/>
      <c r="UQI60" s="58"/>
      <c r="UQJ60" s="58"/>
      <c r="UQK60" s="58"/>
      <c r="UQL60" s="58"/>
      <c r="UQM60" s="58"/>
      <c r="UQN60" s="58"/>
      <c r="UQO60" s="58"/>
      <c r="UQP60" s="58"/>
      <c r="UQQ60" s="58"/>
      <c r="UQR60" s="58"/>
      <c r="UQS60" s="58"/>
      <c r="UQT60" s="58"/>
      <c r="UQU60" s="58"/>
      <c r="UQV60" s="58"/>
      <c r="UQW60" s="58"/>
      <c r="UQX60" s="58"/>
      <c r="UQY60" s="58"/>
      <c r="UQZ60" s="58"/>
      <c r="URA60" s="58"/>
      <c r="URB60" s="58"/>
      <c r="URC60" s="58"/>
      <c r="URD60" s="58"/>
      <c r="URE60" s="58"/>
      <c r="URF60" s="58"/>
      <c r="URG60" s="58"/>
      <c r="URH60" s="58"/>
      <c r="URI60" s="58"/>
      <c r="URJ60" s="58"/>
      <c r="URK60" s="58"/>
      <c r="URL60" s="58"/>
      <c r="URM60" s="58"/>
      <c r="URN60" s="58"/>
      <c r="URO60" s="58"/>
      <c r="URP60" s="58"/>
      <c r="URQ60" s="58"/>
      <c r="URR60" s="58"/>
      <c r="URS60" s="58"/>
      <c r="URT60" s="58"/>
      <c r="URU60" s="58"/>
      <c r="URV60" s="58"/>
      <c r="URW60" s="58"/>
      <c r="URX60" s="58"/>
      <c r="URY60" s="58"/>
      <c r="URZ60" s="58"/>
      <c r="USA60" s="58"/>
      <c r="USB60" s="58"/>
      <c r="USC60" s="58"/>
      <c r="USD60" s="58"/>
      <c r="USE60" s="58"/>
      <c r="USF60" s="58"/>
      <c r="USG60" s="58"/>
      <c r="USH60" s="58"/>
      <c r="USI60" s="58"/>
      <c r="USJ60" s="58"/>
      <c r="USK60" s="58"/>
      <c r="USL60" s="58"/>
      <c r="USM60" s="58"/>
      <c r="USN60" s="58"/>
      <c r="USO60" s="58"/>
      <c r="USP60" s="58"/>
      <c r="USQ60" s="58"/>
      <c r="USR60" s="58"/>
      <c r="USS60" s="58"/>
      <c r="UST60" s="58"/>
      <c r="USU60" s="58"/>
      <c r="USV60" s="58"/>
      <c r="USW60" s="58"/>
      <c r="USX60" s="58"/>
      <c r="USY60" s="58"/>
      <c r="USZ60" s="58"/>
      <c r="UTA60" s="58"/>
      <c r="UTB60" s="58"/>
      <c r="UTC60" s="58"/>
      <c r="UTD60" s="58"/>
      <c r="UTE60" s="58"/>
      <c r="UTF60" s="58"/>
      <c r="UTG60" s="58"/>
      <c r="UTH60" s="58"/>
      <c r="UTI60" s="58"/>
      <c r="UTJ60" s="58"/>
      <c r="UTK60" s="58"/>
      <c r="UTL60" s="58"/>
      <c r="UTM60" s="58"/>
      <c r="UTN60" s="58"/>
      <c r="UTO60" s="58"/>
      <c r="UTP60" s="58"/>
      <c r="UTQ60" s="58"/>
      <c r="UTR60" s="58"/>
      <c r="UTS60" s="58"/>
      <c r="UTT60" s="58"/>
      <c r="UTU60" s="58"/>
      <c r="UTV60" s="58"/>
      <c r="UTW60" s="58"/>
      <c r="UTX60" s="58"/>
      <c r="UTY60" s="58"/>
      <c r="UTZ60" s="58"/>
      <c r="UUA60" s="58"/>
      <c r="UUB60" s="58"/>
      <c r="UUC60" s="58"/>
      <c r="UUD60" s="58"/>
      <c r="UUE60" s="58"/>
      <c r="UUF60" s="58"/>
      <c r="UUG60" s="58"/>
      <c r="UUH60" s="58"/>
      <c r="UUI60" s="58"/>
      <c r="UUJ60" s="58"/>
      <c r="UUK60" s="58"/>
      <c r="UUL60" s="58"/>
      <c r="UUM60" s="58"/>
      <c r="UUN60" s="58"/>
      <c r="UUO60" s="58"/>
      <c r="UUP60" s="58"/>
      <c r="UUQ60" s="58"/>
      <c r="UUR60" s="58"/>
      <c r="UUS60" s="58"/>
      <c r="UUT60" s="58"/>
      <c r="UUU60" s="58"/>
      <c r="UUV60" s="58"/>
      <c r="UUW60" s="58"/>
      <c r="UUX60" s="58"/>
      <c r="UUY60" s="58"/>
      <c r="UUZ60" s="58"/>
      <c r="UVA60" s="58"/>
      <c r="UVB60" s="58"/>
      <c r="UVC60" s="58"/>
      <c r="UVD60" s="58"/>
      <c r="UVE60" s="58"/>
      <c r="UVF60" s="58"/>
      <c r="UVG60" s="58"/>
      <c r="UVH60" s="58"/>
      <c r="UVI60" s="58"/>
      <c r="UVJ60" s="58"/>
      <c r="UVK60" s="58"/>
      <c r="UVL60" s="58"/>
      <c r="UVM60" s="58"/>
      <c r="UVN60" s="58"/>
      <c r="UVO60" s="58"/>
      <c r="UVP60" s="58"/>
      <c r="UVQ60" s="58"/>
      <c r="UVR60" s="58"/>
      <c r="UVS60" s="58"/>
      <c r="UVT60" s="58"/>
      <c r="UVU60" s="58"/>
      <c r="UVV60" s="58"/>
      <c r="UVW60" s="58"/>
      <c r="UVX60" s="58"/>
      <c r="UVY60" s="58"/>
      <c r="UVZ60" s="58"/>
      <c r="UWA60" s="58"/>
      <c r="UWB60" s="58"/>
      <c r="UWC60" s="58"/>
      <c r="UWD60" s="58"/>
      <c r="UWE60" s="58"/>
      <c r="UWF60" s="58"/>
      <c r="UWG60" s="58"/>
      <c r="UWH60" s="58"/>
      <c r="UWI60" s="58"/>
      <c r="UWJ60" s="58"/>
      <c r="UWK60" s="58"/>
      <c r="UWL60" s="58"/>
      <c r="UWM60" s="58"/>
      <c r="UWN60" s="58"/>
      <c r="UWO60" s="58"/>
      <c r="UWP60" s="58"/>
      <c r="UWQ60" s="58"/>
      <c r="UWR60" s="58"/>
      <c r="UWS60" s="58"/>
      <c r="UWT60" s="58"/>
      <c r="UWU60" s="58"/>
      <c r="UWV60" s="58"/>
      <c r="UWW60" s="58"/>
      <c r="UWX60" s="58"/>
      <c r="UWY60" s="58"/>
      <c r="UWZ60" s="58"/>
      <c r="UXA60" s="58"/>
      <c r="UXB60" s="58"/>
      <c r="UXC60" s="58"/>
      <c r="UXD60" s="58"/>
      <c r="UXE60" s="58"/>
      <c r="UXF60" s="58"/>
      <c r="UXG60" s="58"/>
      <c r="UXI60" s="58"/>
      <c r="UXJ60" s="58"/>
      <c r="UXL60" s="58"/>
      <c r="UXR60" s="58"/>
      <c r="UXS60" s="58"/>
      <c r="UYG60" s="58"/>
      <c r="UYH60" s="58"/>
      <c r="UYI60" s="58"/>
      <c r="UYJ60" s="58"/>
      <c r="UYK60" s="58"/>
      <c r="UYL60" s="58"/>
      <c r="UYM60" s="58"/>
      <c r="UYN60" s="58"/>
      <c r="UYO60" s="58"/>
      <c r="UYP60" s="58"/>
      <c r="UYQ60" s="58"/>
      <c r="UYR60" s="58"/>
      <c r="UYS60" s="58"/>
      <c r="UYT60" s="58"/>
      <c r="UYU60" s="58"/>
      <c r="UYV60" s="58"/>
      <c r="UYW60" s="58"/>
      <c r="UYX60" s="58"/>
      <c r="UYY60" s="58"/>
      <c r="UYZ60" s="58"/>
      <c r="UZA60" s="58"/>
      <c r="UZB60" s="58"/>
      <c r="UZC60" s="58"/>
      <c r="UZD60" s="58"/>
      <c r="UZE60" s="58"/>
      <c r="UZF60" s="58"/>
      <c r="UZG60" s="58"/>
      <c r="UZH60" s="58"/>
      <c r="UZI60" s="58"/>
      <c r="UZJ60" s="58"/>
      <c r="UZK60" s="58"/>
      <c r="UZL60" s="58"/>
      <c r="UZM60" s="58"/>
      <c r="UZN60" s="58"/>
      <c r="UZO60" s="58"/>
      <c r="UZP60" s="58"/>
      <c r="UZQ60" s="58"/>
      <c r="UZR60" s="58"/>
      <c r="UZS60" s="58"/>
      <c r="UZT60" s="58"/>
      <c r="UZU60" s="58"/>
      <c r="UZV60" s="58"/>
      <c r="UZW60" s="58"/>
      <c r="UZX60" s="58"/>
      <c r="UZY60" s="58"/>
      <c r="UZZ60" s="58"/>
      <c r="VAA60" s="58"/>
      <c r="VAB60" s="58"/>
      <c r="VAC60" s="58"/>
      <c r="VAD60" s="58"/>
      <c r="VAE60" s="58"/>
      <c r="VAF60" s="58"/>
      <c r="VAG60" s="58"/>
      <c r="VAH60" s="58"/>
      <c r="VAI60" s="58"/>
      <c r="VAJ60" s="58"/>
      <c r="VAK60" s="58"/>
      <c r="VAL60" s="58"/>
      <c r="VAM60" s="58"/>
      <c r="VAN60" s="58"/>
      <c r="VAO60" s="58"/>
      <c r="VAP60" s="58"/>
      <c r="VAQ60" s="58"/>
      <c r="VAR60" s="58"/>
      <c r="VAS60" s="58"/>
      <c r="VAT60" s="58"/>
      <c r="VAU60" s="58"/>
      <c r="VAV60" s="58"/>
      <c r="VAW60" s="58"/>
      <c r="VAX60" s="58"/>
      <c r="VAY60" s="58"/>
      <c r="VAZ60" s="58"/>
      <c r="VBA60" s="58"/>
      <c r="VBB60" s="58"/>
      <c r="VBC60" s="58"/>
      <c r="VBD60" s="58"/>
      <c r="VBE60" s="58"/>
      <c r="VBF60" s="58"/>
      <c r="VBG60" s="58"/>
      <c r="VBH60" s="58"/>
      <c r="VBI60" s="58"/>
      <c r="VBJ60" s="58"/>
      <c r="VBK60" s="58"/>
      <c r="VBL60" s="58"/>
      <c r="VBM60" s="58"/>
      <c r="VBN60" s="58"/>
      <c r="VBO60" s="58"/>
      <c r="VBP60" s="58"/>
      <c r="VBQ60" s="58"/>
      <c r="VBR60" s="58"/>
      <c r="VBS60" s="58"/>
      <c r="VBT60" s="58"/>
      <c r="VBU60" s="58"/>
      <c r="VBV60" s="58"/>
      <c r="VBW60" s="58"/>
      <c r="VBX60" s="58"/>
      <c r="VBY60" s="58"/>
      <c r="VBZ60" s="58"/>
      <c r="VCA60" s="58"/>
      <c r="VCB60" s="58"/>
      <c r="VCC60" s="58"/>
      <c r="VCD60" s="58"/>
      <c r="VCE60" s="58"/>
      <c r="VCF60" s="58"/>
      <c r="VCG60" s="58"/>
      <c r="VCH60" s="58"/>
      <c r="VCI60" s="58"/>
      <c r="VCJ60" s="58"/>
      <c r="VCK60" s="58"/>
      <c r="VCL60" s="58"/>
      <c r="VCM60" s="58"/>
      <c r="VCN60" s="58"/>
      <c r="VCO60" s="58"/>
      <c r="VCP60" s="58"/>
      <c r="VCQ60" s="58"/>
      <c r="VCR60" s="58"/>
      <c r="VCS60" s="58"/>
      <c r="VCT60" s="58"/>
      <c r="VCU60" s="58"/>
      <c r="VCV60" s="58"/>
      <c r="VCW60" s="58"/>
      <c r="VCX60" s="58"/>
      <c r="VCY60" s="58"/>
      <c r="VCZ60" s="58"/>
      <c r="VDA60" s="58"/>
      <c r="VDB60" s="58"/>
      <c r="VDC60" s="58"/>
      <c r="VDD60" s="58"/>
      <c r="VDE60" s="58"/>
      <c r="VDF60" s="58"/>
      <c r="VDG60" s="58"/>
      <c r="VDH60" s="58"/>
      <c r="VDI60" s="58"/>
      <c r="VDJ60" s="58"/>
      <c r="VDK60" s="58"/>
      <c r="VDL60" s="58"/>
      <c r="VDM60" s="58"/>
      <c r="VDN60" s="58"/>
      <c r="VDO60" s="58"/>
      <c r="VDP60" s="58"/>
      <c r="VDQ60" s="58"/>
      <c r="VDR60" s="58"/>
      <c r="VDS60" s="58"/>
      <c r="VDT60" s="58"/>
      <c r="VDU60" s="58"/>
      <c r="VDV60" s="58"/>
      <c r="VDW60" s="58"/>
      <c r="VDX60" s="58"/>
      <c r="VDY60" s="58"/>
      <c r="VDZ60" s="58"/>
      <c r="VEA60" s="58"/>
      <c r="VEB60" s="58"/>
      <c r="VEC60" s="58"/>
      <c r="VED60" s="58"/>
      <c r="VEE60" s="58"/>
      <c r="VEF60" s="58"/>
      <c r="VEG60" s="58"/>
      <c r="VEH60" s="58"/>
      <c r="VEI60" s="58"/>
      <c r="VEJ60" s="58"/>
      <c r="VEK60" s="58"/>
      <c r="VEL60" s="58"/>
      <c r="VEM60" s="58"/>
      <c r="VEN60" s="58"/>
      <c r="VEO60" s="58"/>
      <c r="VEP60" s="58"/>
      <c r="VEQ60" s="58"/>
      <c r="VER60" s="58"/>
      <c r="VES60" s="58"/>
      <c r="VET60" s="58"/>
      <c r="VEU60" s="58"/>
      <c r="VEV60" s="58"/>
      <c r="VEW60" s="58"/>
      <c r="VEX60" s="58"/>
      <c r="VEY60" s="58"/>
      <c r="VEZ60" s="58"/>
      <c r="VFA60" s="58"/>
      <c r="VFB60" s="58"/>
      <c r="VFC60" s="58"/>
      <c r="VFD60" s="58"/>
      <c r="VFE60" s="58"/>
      <c r="VFF60" s="58"/>
      <c r="VFG60" s="58"/>
      <c r="VFH60" s="58"/>
      <c r="VFI60" s="58"/>
      <c r="VFJ60" s="58"/>
      <c r="VFK60" s="58"/>
      <c r="VFL60" s="58"/>
      <c r="VFM60" s="58"/>
      <c r="VFN60" s="58"/>
      <c r="VFO60" s="58"/>
      <c r="VFP60" s="58"/>
      <c r="VFQ60" s="58"/>
      <c r="VFR60" s="58"/>
      <c r="VFS60" s="58"/>
      <c r="VFT60" s="58"/>
      <c r="VFU60" s="58"/>
      <c r="VFV60" s="58"/>
      <c r="VFW60" s="58"/>
      <c r="VFX60" s="58"/>
      <c r="VFY60" s="58"/>
      <c r="VFZ60" s="58"/>
      <c r="VGA60" s="58"/>
      <c r="VGB60" s="58"/>
      <c r="VGC60" s="58"/>
      <c r="VGD60" s="58"/>
      <c r="VGE60" s="58"/>
      <c r="VGF60" s="58"/>
      <c r="VGG60" s="58"/>
      <c r="VGH60" s="58"/>
      <c r="VGI60" s="58"/>
      <c r="VGJ60" s="58"/>
      <c r="VGK60" s="58"/>
      <c r="VGL60" s="58"/>
      <c r="VGM60" s="58"/>
      <c r="VGN60" s="58"/>
      <c r="VGO60" s="58"/>
      <c r="VGP60" s="58"/>
      <c r="VGQ60" s="58"/>
      <c r="VGR60" s="58"/>
      <c r="VGS60" s="58"/>
      <c r="VGT60" s="58"/>
      <c r="VGU60" s="58"/>
      <c r="VGV60" s="58"/>
      <c r="VGW60" s="58"/>
      <c r="VGX60" s="58"/>
      <c r="VGY60" s="58"/>
      <c r="VGZ60" s="58"/>
      <c r="VHA60" s="58"/>
      <c r="VHB60" s="58"/>
      <c r="VHC60" s="58"/>
      <c r="VHE60" s="58"/>
      <c r="VHF60" s="58"/>
      <c r="VHH60" s="58"/>
      <c r="VHN60" s="58"/>
      <c r="VHO60" s="58"/>
      <c r="VIC60" s="58"/>
      <c r="VID60" s="58"/>
      <c r="VIE60" s="58"/>
      <c r="VIF60" s="58"/>
      <c r="VIG60" s="58"/>
      <c r="VIH60" s="58"/>
      <c r="VII60" s="58"/>
      <c r="VIJ60" s="58"/>
      <c r="VIK60" s="58"/>
      <c r="VIL60" s="58"/>
      <c r="VIM60" s="58"/>
      <c r="VIN60" s="58"/>
      <c r="VIO60" s="58"/>
      <c r="VIP60" s="58"/>
      <c r="VIQ60" s="58"/>
      <c r="VIR60" s="58"/>
      <c r="VIS60" s="58"/>
      <c r="VIT60" s="58"/>
      <c r="VIU60" s="58"/>
      <c r="VIV60" s="58"/>
      <c r="VIW60" s="58"/>
      <c r="VIX60" s="58"/>
      <c r="VIY60" s="58"/>
      <c r="VIZ60" s="58"/>
      <c r="VJA60" s="58"/>
      <c r="VJB60" s="58"/>
      <c r="VJC60" s="58"/>
      <c r="VJD60" s="58"/>
      <c r="VJE60" s="58"/>
      <c r="VJF60" s="58"/>
      <c r="VJG60" s="58"/>
      <c r="VJH60" s="58"/>
      <c r="VJI60" s="58"/>
      <c r="VJJ60" s="58"/>
      <c r="VJK60" s="58"/>
      <c r="VJL60" s="58"/>
      <c r="VJM60" s="58"/>
      <c r="VJN60" s="58"/>
      <c r="VJO60" s="58"/>
      <c r="VJP60" s="58"/>
      <c r="VJQ60" s="58"/>
      <c r="VJR60" s="58"/>
      <c r="VJS60" s="58"/>
      <c r="VJT60" s="58"/>
      <c r="VJU60" s="58"/>
      <c r="VJV60" s="58"/>
      <c r="VJW60" s="58"/>
      <c r="VJX60" s="58"/>
      <c r="VJY60" s="58"/>
      <c r="VJZ60" s="58"/>
      <c r="VKA60" s="58"/>
      <c r="VKB60" s="58"/>
      <c r="VKC60" s="58"/>
      <c r="VKD60" s="58"/>
      <c r="VKE60" s="58"/>
      <c r="VKF60" s="58"/>
      <c r="VKG60" s="58"/>
      <c r="VKH60" s="58"/>
      <c r="VKI60" s="58"/>
      <c r="VKJ60" s="58"/>
      <c r="VKK60" s="58"/>
      <c r="VKL60" s="58"/>
      <c r="VKM60" s="58"/>
      <c r="VKN60" s="58"/>
      <c r="VKO60" s="58"/>
      <c r="VKP60" s="58"/>
      <c r="VKQ60" s="58"/>
      <c r="VKR60" s="58"/>
      <c r="VKS60" s="58"/>
      <c r="VKT60" s="58"/>
      <c r="VKU60" s="58"/>
      <c r="VKV60" s="58"/>
      <c r="VKW60" s="58"/>
      <c r="VKX60" s="58"/>
      <c r="VKY60" s="58"/>
      <c r="VKZ60" s="58"/>
      <c r="VLA60" s="58"/>
      <c r="VLB60" s="58"/>
      <c r="VLC60" s="58"/>
      <c r="VLD60" s="58"/>
      <c r="VLE60" s="58"/>
      <c r="VLF60" s="58"/>
      <c r="VLG60" s="58"/>
      <c r="VLH60" s="58"/>
      <c r="VLI60" s="58"/>
      <c r="VLJ60" s="58"/>
      <c r="VLK60" s="58"/>
      <c r="VLL60" s="58"/>
      <c r="VLM60" s="58"/>
      <c r="VLN60" s="58"/>
      <c r="VLO60" s="58"/>
      <c r="VLP60" s="58"/>
      <c r="VLQ60" s="58"/>
      <c r="VLR60" s="58"/>
      <c r="VLS60" s="58"/>
      <c r="VLT60" s="58"/>
      <c r="VLU60" s="58"/>
      <c r="VLV60" s="58"/>
      <c r="VLW60" s="58"/>
      <c r="VLX60" s="58"/>
      <c r="VLY60" s="58"/>
      <c r="VLZ60" s="58"/>
      <c r="VMA60" s="58"/>
      <c r="VMB60" s="58"/>
      <c r="VMC60" s="58"/>
      <c r="VMD60" s="58"/>
      <c r="VME60" s="58"/>
      <c r="VMF60" s="58"/>
      <c r="VMG60" s="58"/>
      <c r="VMH60" s="58"/>
      <c r="VMI60" s="58"/>
      <c r="VMJ60" s="58"/>
      <c r="VMK60" s="58"/>
      <c r="VML60" s="58"/>
      <c r="VMM60" s="58"/>
      <c r="VMN60" s="58"/>
      <c r="VMO60" s="58"/>
      <c r="VMP60" s="58"/>
      <c r="VMQ60" s="58"/>
      <c r="VMR60" s="58"/>
      <c r="VMS60" s="58"/>
      <c r="VMT60" s="58"/>
      <c r="VMU60" s="58"/>
      <c r="VMV60" s="58"/>
      <c r="VMW60" s="58"/>
      <c r="VMX60" s="58"/>
      <c r="VMY60" s="58"/>
      <c r="VMZ60" s="58"/>
      <c r="VNA60" s="58"/>
      <c r="VNB60" s="58"/>
      <c r="VNC60" s="58"/>
      <c r="VND60" s="58"/>
      <c r="VNE60" s="58"/>
      <c r="VNF60" s="58"/>
      <c r="VNG60" s="58"/>
      <c r="VNH60" s="58"/>
      <c r="VNI60" s="58"/>
      <c r="VNJ60" s="58"/>
      <c r="VNK60" s="58"/>
      <c r="VNL60" s="58"/>
      <c r="VNM60" s="58"/>
      <c r="VNN60" s="58"/>
      <c r="VNO60" s="58"/>
      <c r="VNP60" s="58"/>
      <c r="VNQ60" s="58"/>
      <c r="VNR60" s="58"/>
      <c r="VNS60" s="58"/>
      <c r="VNT60" s="58"/>
      <c r="VNU60" s="58"/>
      <c r="VNV60" s="58"/>
      <c r="VNW60" s="58"/>
      <c r="VNX60" s="58"/>
      <c r="VNY60" s="58"/>
      <c r="VNZ60" s="58"/>
      <c r="VOA60" s="58"/>
      <c r="VOB60" s="58"/>
      <c r="VOC60" s="58"/>
      <c r="VOD60" s="58"/>
      <c r="VOE60" s="58"/>
      <c r="VOF60" s="58"/>
      <c r="VOG60" s="58"/>
      <c r="VOH60" s="58"/>
      <c r="VOI60" s="58"/>
      <c r="VOJ60" s="58"/>
      <c r="VOK60" s="58"/>
      <c r="VOL60" s="58"/>
      <c r="VOM60" s="58"/>
      <c r="VON60" s="58"/>
      <c r="VOO60" s="58"/>
      <c r="VOP60" s="58"/>
      <c r="VOQ60" s="58"/>
      <c r="VOR60" s="58"/>
      <c r="VOS60" s="58"/>
      <c r="VOT60" s="58"/>
      <c r="VOU60" s="58"/>
      <c r="VOV60" s="58"/>
      <c r="VOW60" s="58"/>
      <c r="VOX60" s="58"/>
      <c r="VOY60" s="58"/>
      <c r="VOZ60" s="58"/>
      <c r="VPA60" s="58"/>
      <c r="VPB60" s="58"/>
      <c r="VPC60" s="58"/>
      <c r="VPD60" s="58"/>
      <c r="VPE60" s="58"/>
      <c r="VPF60" s="58"/>
      <c r="VPG60" s="58"/>
      <c r="VPH60" s="58"/>
      <c r="VPI60" s="58"/>
      <c r="VPJ60" s="58"/>
      <c r="VPK60" s="58"/>
      <c r="VPL60" s="58"/>
      <c r="VPM60" s="58"/>
      <c r="VPN60" s="58"/>
      <c r="VPO60" s="58"/>
      <c r="VPP60" s="58"/>
      <c r="VPQ60" s="58"/>
      <c r="VPR60" s="58"/>
      <c r="VPS60" s="58"/>
      <c r="VPT60" s="58"/>
      <c r="VPU60" s="58"/>
      <c r="VPV60" s="58"/>
      <c r="VPW60" s="58"/>
      <c r="VPX60" s="58"/>
      <c r="VPY60" s="58"/>
      <c r="VPZ60" s="58"/>
      <c r="VQA60" s="58"/>
      <c r="VQB60" s="58"/>
      <c r="VQC60" s="58"/>
      <c r="VQD60" s="58"/>
      <c r="VQE60" s="58"/>
      <c r="VQF60" s="58"/>
      <c r="VQG60" s="58"/>
      <c r="VQH60" s="58"/>
      <c r="VQI60" s="58"/>
      <c r="VQJ60" s="58"/>
      <c r="VQK60" s="58"/>
      <c r="VQL60" s="58"/>
      <c r="VQM60" s="58"/>
      <c r="VQN60" s="58"/>
      <c r="VQO60" s="58"/>
      <c r="VQP60" s="58"/>
      <c r="VQQ60" s="58"/>
      <c r="VQR60" s="58"/>
      <c r="VQS60" s="58"/>
      <c r="VQT60" s="58"/>
      <c r="VQU60" s="58"/>
      <c r="VQV60" s="58"/>
      <c r="VQW60" s="58"/>
      <c r="VQX60" s="58"/>
      <c r="VQY60" s="58"/>
      <c r="VRA60" s="58"/>
      <c r="VRB60" s="58"/>
      <c r="VRD60" s="58"/>
      <c r="VRJ60" s="58"/>
      <c r="VRK60" s="58"/>
      <c r="VRY60" s="58"/>
      <c r="VRZ60" s="58"/>
      <c r="VSA60" s="58"/>
      <c r="VSB60" s="58"/>
      <c r="VSC60" s="58"/>
      <c r="VSD60" s="58"/>
      <c r="VSE60" s="58"/>
      <c r="VSF60" s="58"/>
      <c r="VSG60" s="58"/>
      <c r="VSH60" s="58"/>
      <c r="VSI60" s="58"/>
      <c r="VSJ60" s="58"/>
      <c r="VSK60" s="58"/>
      <c r="VSL60" s="58"/>
      <c r="VSM60" s="58"/>
      <c r="VSN60" s="58"/>
      <c r="VSO60" s="58"/>
      <c r="VSP60" s="58"/>
      <c r="VSQ60" s="58"/>
      <c r="VSR60" s="58"/>
      <c r="VSS60" s="58"/>
      <c r="VST60" s="58"/>
      <c r="VSU60" s="58"/>
      <c r="VSV60" s="58"/>
      <c r="VSW60" s="58"/>
      <c r="VSX60" s="58"/>
      <c r="VSY60" s="58"/>
      <c r="VSZ60" s="58"/>
      <c r="VTA60" s="58"/>
      <c r="VTB60" s="58"/>
      <c r="VTC60" s="58"/>
      <c r="VTD60" s="58"/>
      <c r="VTE60" s="58"/>
      <c r="VTF60" s="58"/>
      <c r="VTG60" s="58"/>
      <c r="VTH60" s="58"/>
      <c r="VTI60" s="58"/>
      <c r="VTJ60" s="58"/>
      <c r="VTK60" s="58"/>
      <c r="VTL60" s="58"/>
      <c r="VTM60" s="58"/>
      <c r="VTN60" s="58"/>
      <c r="VTO60" s="58"/>
      <c r="VTP60" s="58"/>
      <c r="VTQ60" s="58"/>
      <c r="VTR60" s="58"/>
      <c r="VTS60" s="58"/>
      <c r="VTT60" s="58"/>
      <c r="VTU60" s="58"/>
      <c r="VTV60" s="58"/>
      <c r="VTW60" s="58"/>
      <c r="VTX60" s="58"/>
      <c r="VTY60" s="58"/>
      <c r="VTZ60" s="58"/>
      <c r="VUA60" s="58"/>
      <c r="VUB60" s="58"/>
      <c r="VUC60" s="58"/>
      <c r="VUD60" s="58"/>
      <c r="VUE60" s="58"/>
      <c r="VUF60" s="58"/>
      <c r="VUG60" s="58"/>
      <c r="VUH60" s="58"/>
      <c r="VUI60" s="58"/>
      <c r="VUJ60" s="58"/>
      <c r="VUK60" s="58"/>
      <c r="VUL60" s="58"/>
      <c r="VUM60" s="58"/>
      <c r="VUN60" s="58"/>
      <c r="VUO60" s="58"/>
      <c r="VUP60" s="58"/>
      <c r="VUQ60" s="58"/>
      <c r="VUR60" s="58"/>
      <c r="VUS60" s="58"/>
      <c r="VUT60" s="58"/>
      <c r="VUU60" s="58"/>
      <c r="VUV60" s="58"/>
      <c r="VUW60" s="58"/>
      <c r="VUX60" s="58"/>
      <c r="VUY60" s="58"/>
      <c r="VUZ60" s="58"/>
      <c r="VVA60" s="58"/>
      <c r="VVB60" s="58"/>
      <c r="VVC60" s="58"/>
      <c r="VVD60" s="58"/>
      <c r="VVE60" s="58"/>
      <c r="VVF60" s="58"/>
      <c r="VVG60" s="58"/>
      <c r="VVH60" s="58"/>
      <c r="VVI60" s="58"/>
      <c r="VVJ60" s="58"/>
      <c r="VVK60" s="58"/>
      <c r="VVL60" s="58"/>
      <c r="VVM60" s="58"/>
      <c r="VVN60" s="58"/>
      <c r="VVO60" s="58"/>
      <c r="VVP60" s="58"/>
      <c r="VVQ60" s="58"/>
      <c r="VVR60" s="58"/>
      <c r="VVS60" s="58"/>
      <c r="VVT60" s="58"/>
      <c r="VVU60" s="58"/>
      <c r="VVV60" s="58"/>
      <c r="VVW60" s="58"/>
      <c r="VVX60" s="58"/>
      <c r="VVY60" s="58"/>
      <c r="VVZ60" s="58"/>
      <c r="VWA60" s="58"/>
      <c r="VWB60" s="58"/>
      <c r="VWC60" s="58"/>
      <c r="VWD60" s="58"/>
      <c r="VWE60" s="58"/>
      <c r="VWF60" s="58"/>
      <c r="VWG60" s="58"/>
      <c r="VWH60" s="58"/>
      <c r="VWI60" s="58"/>
      <c r="VWJ60" s="58"/>
      <c r="VWK60" s="58"/>
      <c r="VWL60" s="58"/>
      <c r="VWM60" s="58"/>
      <c r="VWN60" s="58"/>
      <c r="VWO60" s="58"/>
      <c r="VWP60" s="58"/>
      <c r="VWQ60" s="58"/>
      <c r="VWR60" s="58"/>
      <c r="VWS60" s="58"/>
      <c r="VWT60" s="58"/>
      <c r="VWU60" s="58"/>
      <c r="VWV60" s="58"/>
      <c r="VWW60" s="58"/>
      <c r="VWX60" s="58"/>
      <c r="VWY60" s="58"/>
      <c r="VWZ60" s="58"/>
      <c r="VXA60" s="58"/>
      <c r="VXB60" s="58"/>
      <c r="VXC60" s="58"/>
      <c r="VXD60" s="58"/>
      <c r="VXE60" s="58"/>
      <c r="VXF60" s="58"/>
      <c r="VXG60" s="58"/>
      <c r="VXH60" s="58"/>
      <c r="VXI60" s="58"/>
      <c r="VXJ60" s="58"/>
      <c r="VXK60" s="58"/>
      <c r="VXL60" s="58"/>
      <c r="VXM60" s="58"/>
      <c r="VXN60" s="58"/>
      <c r="VXO60" s="58"/>
      <c r="VXP60" s="58"/>
      <c r="VXQ60" s="58"/>
      <c r="VXR60" s="58"/>
      <c r="VXS60" s="58"/>
      <c r="VXT60" s="58"/>
      <c r="VXU60" s="58"/>
      <c r="VXV60" s="58"/>
      <c r="VXW60" s="58"/>
      <c r="VXX60" s="58"/>
      <c r="VXY60" s="58"/>
      <c r="VXZ60" s="58"/>
      <c r="VYA60" s="58"/>
      <c r="VYB60" s="58"/>
      <c r="VYC60" s="58"/>
      <c r="VYD60" s="58"/>
      <c r="VYE60" s="58"/>
      <c r="VYF60" s="58"/>
      <c r="VYG60" s="58"/>
      <c r="VYH60" s="58"/>
      <c r="VYI60" s="58"/>
      <c r="VYJ60" s="58"/>
      <c r="VYK60" s="58"/>
      <c r="VYL60" s="58"/>
      <c r="VYM60" s="58"/>
      <c r="VYN60" s="58"/>
      <c r="VYO60" s="58"/>
      <c r="VYP60" s="58"/>
      <c r="VYQ60" s="58"/>
      <c r="VYR60" s="58"/>
      <c r="VYS60" s="58"/>
      <c r="VYT60" s="58"/>
      <c r="VYU60" s="58"/>
      <c r="VYV60" s="58"/>
      <c r="VYW60" s="58"/>
      <c r="VYX60" s="58"/>
      <c r="VYY60" s="58"/>
      <c r="VYZ60" s="58"/>
      <c r="VZA60" s="58"/>
      <c r="VZB60" s="58"/>
      <c r="VZC60" s="58"/>
      <c r="VZD60" s="58"/>
      <c r="VZE60" s="58"/>
      <c r="VZF60" s="58"/>
      <c r="VZG60" s="58"/>
      <c r="VZH60" s="58"/>
      <c r="VZI60" s="58"/>
      <c r="VZJ60" s="58"/>
      <c r="VZK60" s="58"/>
      <c r="VZL60" s="58"/>
      <c r="VZM60" s="58"/>
      <c r="VZN60" s="58"/>
      <c r="VZO60" s="58"/>
      <c r="VZP60" s="58"/>
      <c r="VZQ60" s="58"/>
      <c r="VZR60" s="58"/>
      <c r="VZS60" s="58"/>
      <c r="VZT60" s="58"/>
      <c r="VZU60" s="58"/>
      <c r="VZV60" s="58"/>
      <c r="VZW60" s="58"/>
      <c r="VZX60" s="58"/>
      <c r="VZY60" s="58"/>
      <c r="VZZ60" s="58"/>
      <c r="WAA60" s="58"/>
      <c r="WAB60" s="58"/>
      <c r="WAC60" s="58"/>
      <c r="WAD60" s="58"/>
      <c r="WAE60" s="58"/>
      <c r="WAF60" s="58"/>
      <c r="WAG60" s="58"/>
      <c r="WAH60" s="58"/>
      <c r="WAI60" s="58"/>
      <c r="WAJ60" s="58"/>
      <c r="WAK60" s="58"/>
      <c r="WAL60" s="58"/>
      <c r="WAM60" s="58"/>
      <c r="WAN60" s="58"/>
      <c r="WAO60" s="58"/>
      <c r="WAP60" s="58"/>
      <c r="WAQ60" s="58"/>
      <c r="WAR60" s="58"/>
      <c r="WAS60" s="58"/>
      <c r="WAT60" s="58"/>
      <c r="WAU60" s="58"/>
      <c r="WAW60" s="58"/>
      <c r="WAX60" s="58"/>
      <c r="WAZ60" s="58"/>
      <c r="WBF60" s="58"/>
      <c r="WBG60" s="58"/>
      <c r="WBU60" s="58"/>
      <c r="WBV60" s="58"/>
      <c r="WBW60" s="58"/>
      <c r="WBX60" s="58"/>
      <c r="WBY60" s="58"/>
      <c r="WBZ60" s="58"/>
      <c r="WCA60" s="58"/>
      <c r="WCB60" s="58"/>
      <c r="WCC60" s="58"/>
      <c r="WCD60" s="58"/>
      <c r="WCE60" s="58"/>
      <c r="WCF60" s="58"/>
      <c r="WCG60" s="58"/>
      <c r="WCH60" s="58"/>
      <c r="WCI60" s="58"/>
      <c r="WCJ60" s="58"/>
      <c r="WCK60" s="58"/>
      <c r="WCL60" s="58"/>
      <c r="WCM60" s="58"/>
      <c r="WCN60" s="58"/>
      <c r="WCO60" s="58"/>
      <c r="WCP60" s="58"/>
      <c r="WCQ60" s="58"/>
      <c r="WCR60" s="58"/>
      <c r="WCS60" s="58"/>
      <c r="WCT60" s="58"/>
      <c r="WCU60" s="58"/>
      <c r="WCV60" s="58"/>
      <c r="WCW60" s="58"/>
      <c r="WCX60" s="58"/>
      <c r="WCY60" s="58"/>
      <c r="WCZ60" s="58"/>
      <c r="WDA60" s="58"/>
      <c r="WDB60" s="58"/>
      <c r="WDC60" s="58"/>
      <c r="WDD60" s="58"/>
      <c r="WDE60" s="58"/>
      <c r="WDF60" s="58"/>
      <c r="WDG60" s="58"/>
      <c r="WDH60" s="58"/>
      <c r="WDI60" s="58"/>
      <c r="WDJ60" s="58"/>
      <c r="WDK60" s="58"/>
      <c r="WDL60" s="58"/>
      <c r="WDM60" s="58"/>
      <c r="WDN60" s="58"/>
      <c r="WDO60" s="58"/>
      <c r="WDP60" s="58"/>
      <c r="WDQ60" s="58"/>
      <c r="WDR60" s="58"/>
      <c r="WDS60" s="58"/>
      <c r="WDT60" s="58"/>
      <c r="WDU60" s="58"/>
      <c r="WDV60" s="58"/>
      <c r="WDW60" s="58"/>
      <c r="WDX60" s="58"/>
      <c r="WDY60" s="58"/>
      <c r="WDZ60" s="58"/>
      <c r="WEA60" s="58"/>
      <c r="WEB60" s="58"/>
      <c r="WEC60" s="58"/>
      <c r="WED60" s="58"/>
      <c r="WEE60" s="58"/>
      <c r="WEF60" s="58"/>
      <c r="WEG60" s="58"/>
      <c r="WEH60" s="58"/>
      <c r="WEI60" s="58"/>
      <c r="WEJ60" s="58"/>
      <c r="WEK60" s="58"/>
      <c r="WEL60" s="58"/>
      <c r="WEM60" s="58"/>
      <c r="WEN60" s="58"/>
      <c r="WEO60" s="58"/>
      <c r="WEP60" s="58"/>
      <c r="WEQ60" s="58"/>
      <c r="WER60" s="58"/>
      <c r="WES60" s="58"/>
      <c r="WET60" s="58"/>
      <c r="WEU60" s="58"/>
      <c r="WEV60" s="58"/>
      <c r="WEW60" s="58"/>
      <c r="WEX60" s="58"/>
      <c r="WEY60" s="58"/>
      <c r="WEZ60" s="58"/>
      <c r="WFA60" s="58"/>
      <c r="WFB60" s="58"/>
      <c r="WFC60" s="58"/>
      <c r="WFD60" s="58"/>
      <c r="WFE60" s="58"/>
      <c r="WFF60" s="58"/>
      <c r="WFG60" s="58"/>
      <c r="WFH60" s="58"/>
      <c r="WFI60" s="58"/>
      <c r="WFJ60" s="58"/>
      <c r="WFK60" s="58"/>
      <c r="WFL60" s="58"/>
      <c r="WFM60" s="58"/>
      <c r="WFN60" s="58"/>
      <c r="WFO60" s="58"/>
      <c r="WFP60" s="58"/>
      <c r="WFQ60" s="58"/>
      <c r="WFR60" s="58"/>
      <c r="WFS60" s="58"/>
      <c r="WFT60" s="58"/>
      <c r="WFU60" s="58"/>
      <c r="WFV60" s="58"/>
      <c r="WFW60" s="58"/>
      <c r="WFX60" s="58"/>
      <c r="WFY60" s="58"/>
      <c r="WFZ60" s="58"/>
      <c r="WGA60" s="58"/>
      <c r="WGB60" s="58"/>
      <c r="WGC60" s="58"/>
      <c r="WGD60" s="58"/>
      <c r="WGE60" s="58"/>
      <c r="WGF60" s="58"/>
      <c r="WGG60" s="58"/>
      <c r="WGH60" s="58"/>
      <c r="WGI60" s="58"/>
      <c r="WGJ60" s="58"/>
      <c r="WGK60" s="58"/>
      <c r="WGL60" s="58"/>
      <c r="WGM60" s="58"/>
      <c r="WGN60" s="58"/>
      <c r="WGO60" s="58"/>
      <c r="WGP60" s="58"/>
      <c r="WGQ60" s="58"/>
      <c r="WGR60" s="58"/>
      <c r="WGS60" s="58"/>
      <c r="WGT60" s="58"/>
      <c r="WGU60" s="58"/>
      <c r="WGV60" s="58"/>
      <c r="WGW60" s="58"/>
      <c r="WGX60" s="58"/>
      <c r="WGY60" s="58"/>
      <c r="WGZ60" s="58"/>
      <c r="WHA60" s="58"/>
      <c r="WHB60" s="58"/>
      <c r="WHC60" s="58"/>
      <c r="WHD60" s="58"/>
      <c r="WHE60" s="58"/>
      <c r="WHF60" s="58"/>
      <c r="WHG60" s="58"/>
      <c r="WHH60" s="58"/>
      <c r="WHI60" s="58"/>
      <c r="WHJ60" s="58"/>
      <c r="WHK60" s="58"/>
      <c r="WHL60" s="58"/>
      <c r="WHM60" s="58"/>
      <c r="WHN60" s="58"/>
      <c r="WHO60" s="58"/>
      <c r="WHP60" s="58"/>
      <c r="WHQ60" s="58"/>
      <c r="WHR60" s="58"/>
      <c r="WHS60" s="58"/>
      <c r="WHT60" s="58"/>
      <c r="WHU60" s="58"/>
      <c r="WHV60" s="58"/>
      <c r="WHW60" s="58"/>
      <c r="WHX60" s="58"/>
      <c r="WHY60" s="58"/>
      <c r="WHZ60" s="58"/>
      <c r="WIA60" s="58"/>
      <c r="WIB60" s="58"/>
      <c r="WIC60" s="58"/>
      <c r="WID60" s="58"/>
      <c r="WIE60" s="58"/>
      <c r="WIF60" s="58"/>
      <c r="WIG60" s="58"/>
      <c r="WIH60" s="58"/>
      <c r="WII60" s="58"/>
      <c r="WIJ60" s="58"/>
      <c r="WIK60" s="58"/>
      <c r="WIL60" s="58"/>
      <c r="WIM60" s="58"/>
      <c r="WIN60" s="58"/>
      <c r="WIO60" s="58"/>
      <c r="WIP60" s="58"/>
      <c r="WIQ60" s="58"/>
      <c r="WIR60" s="58"/>
      <c r="WIS60" s="58"/>
      <c r="WIT60" s="58"/>
      <c r="WIU60" s="58"/>
      <c r="WIV60" s="58"/>
      <c r="WIW60" s="58"/>
      <c r="WIX60" s="58"/>
      <c r="WIY60" s="58"/>
      <c r="WIZ60" s="58"/>
      <c r="WJA60" s="58"/>
      <c r="WJB60" s="58"/>
      <c r="WJC60" s="58"/>
      <c r="WJD60" s="58"/>
      <c r="WJE60" s="58"/>
      <c r="WJF60" s="58"/>
      <c r="WJG60" s="58"/>
      <c r="WJH60" s="58"/>
      <c r="WJI60" s="58"/>
      <c r="WJJ60" s="58"/>
      <c r="WJK60" s="58"/>
      <c r="WJL60" s="58"/>
      <c r="WJM60" s="58"/>
      <c r="WJN60" s="58"/>
      <c r="WJO60" s="58"/>
      <c r="WJP60" s="58"/>
      <c r="WJQ60" s="58"/>
      <c r="WJR60" s="58"/>
      <c r="WJS60" s="58"/>
      <c r="WJT60" s="58"/>
      <c r="WJU60" s="58"/>
      <c r="WJV60" s="58"/>
      <c r="WJW60" s="58"/>
      <c r="WJX60" s="58"/>
      <c r="WJY60" s="58"/>
      <c r="WJZ60" s="58"/>
      <c r="WKA60" s="58"/>
      <c r="WKB60" s="58"/>
      <c r="WKC60" s="58"/>
      <c r="WKD60" s="58"/>
      <c r="WKE60" s="58"/>
      <c r="WKF60" s="58"/>
      <c r="WKG60" s="58"/>
      <c r="WKH60" s="58"/>
      <c r="WKI60" s="58"/>
      <c r="WKJ60" s="58"/>
      <c r="WKK60" s="58"/>
      <c r="WKL60" s="58"/>
      <c r="WKM60" s="58"/>
      <c r="WKN60" s="58"/>
      <c r="WKO60" s="58"/>
      <c r="WKP60" s="58"/>
      <c r="WKQ60" s="58"/>
      <c r="WKS60" s="58"/>
      <c r="WKT60" s="58"/>
      <c r="WKV60" s="58"/>
      <c r="WLB60" s="58"/>
      <c r="WLC60" s="58"/>
      <c r="WLQ60" s="58"/>
      <c r="WLR60" s="58"/>
      <c r="WLS60" s="58"/>
      <c r="WLT60" s="58"/>
      <c r="WLU60" s="58"/>
      <c r="WLV60" s="58"/>
      <c r="WLW60" s="58"/>
      <c r="WLX60" s="58"/>
      <c r="WLY60" s="58"/>
      <c r="WLZ60" s="58"/>
      <c r="WMA60" s="58"/>
      <c r="WMB60" s="58"/>
      <c r="WMC60" s="58"/>
      <c r="WMD60" s="58"/>
      <c r="WME60" s="58"/>
      <c r="WMF60" s="58"/>
      <c r="WMG60" s="58"/>
      <c r="WMH60" s="58"/>
      <c r="WMI60" s="58"/>
      <c r="WMJ60" s="58"/>
      <c r="WMK60" s="58"/>
      <c r="WML60" s="58"/>
      <c r="WMM60" s="58"/>
      <c r="WMN60" s="58"/>
      <c r="WMO60" s="58"/>
      <c r="WMP60" s="58"/>
      <c r="WMQ60" s="58"/>
      <c r="WMR60" s="58"/>
      <c r="WMS60" s="58"/>
      <c r="WMT60" s="58"/>
      <c r="WMU60" s="58"/>
      <c r="WMV60" s="58"/>
      <c r="WMW60" s="58"/>
      <c r="WMX60" s="58"/>
      <c r="WMY60" s="58"/>
      <c r="WMZ60" s="58"/>
      <c r="WNA60" s="58"/>
      <c r="WNB60" s="58"/>
      <c r="WNC60" s="58"/>
      <c r="WND60" s="58"/>
      <c r="WNE60" s="58"/>
      <c r="WNF60" s="58"/>
      <c r="WNG60" s="58"/>
      <c r="WNH60" s="58"/>
      <c r="WNI60" s="58"/>
      <c r="WNJ60" s="58"/>
      <c r="WNK60" s="58"/>
      <c r="WNL60" s="58"/>
      <c r="WNM60" s="58"/>
      <c r="WNN60" s="58"/>
      <c r="WNO60" s="58"/>
      <c r="WNP60" s="58"/>
      <c r="WNQ60" s="58"/>
      <c r="WNR60" s="58"/>
      <c r="WNS60" s="58"/>
      <c r="WNT60" s="58"/>
      <c r="WNU60" s="58"/>
      <c r="WNV60" s="58"/>
      <c r="WNW60" s="58"/>
      <c r="WNX60" s="58"/>
      <c r="WNY60" s="58"/>
      <c r="WNZ60" s="58"/>
      <c r="WOA60" s="58"/>
      <c r="WOB60" s="58"/>
      <c r="WOC60" s="58"/>
      <c r="WOD60" s="58"/>
      <c r="WOE60" s="58"/>
      <c r="WOF60" s="58"/>
      <c r="WOG60" s="58"/>
      <c r="WOH60" s="58"/>
      <c r="WOI60" s="58"/>
      <c r="WOJ60" s="58"/>
      <c r="WOK60" s="58"/>
      <c r="WOL60" s="58"/>
      <c r="WOM60" s="58"/>
      <c r="WON60" s="58"/>
      <c r="WOO60" s="58"/>
      <c r="WOP60" s="58"/>
      <c r="WOQ60" s="58"/>
      <c r="WOR60" s="58"/>
      <c r="WOS60" s="58"/>
      <c r="WOT60" s="58"/>
      <c r="WOU60" s="58"/>
      <c r="WOV60" s="58"/>
      <c r="WOW60" s="58"/>
      <c r="WOX60" s="58"/>
      <c r="WOY60" s="58"/>
      <c r="WOZ60" s="58"/>
      <c r="WPA60" s="58"/>
      <c r="WPB60" s="58"/>
      <c r="WPC60" s="58"/>
      <c r="WPD60" s="58"/>
      <c r="WPE60" s="58"/>
      <c r="WPF60" s="58"/>
      <c r="WPG60" s="58"/>
      <c r="WPH60" s="58"/>
      <c r="WPI60" s="58"/>
      <c r="WPJ60" s="58"/>
      <c r="WPK60" s="58"/>
      <c r="WPL60" s="58"/>
      <c r="WPM60" s="58"/>
      <c r="WPN60" s="58"/>
      <c r="WPO60" s="58"/>
      <c r="WPP60" s="58"/>
      <c r="WPQ60" s="58"/>
      <c r="WPR60" s="58"/>
      <c r="WPS60" s="58"/>
      <c r="WPT60" s="58"/>
      <c r="WPU60" s="58"/>
      <c r="WPV60" s="58"/>
      <c r="WPW60" s="58"/>
      <c r="WPX60" s="58"/>
      <c r="WPY60" s="58"/>
      <c r="WPZ60" s="58"/>
      <c r="WQA60" s="58"/>
      <c r="WQB60" s="58"/>
      <c r="WQC60" s="58"/>
      <c r="WQD60" s="58"/>
      <c r="WQE60" s="58"/>
      <c r="WQF60" s="58"/>
      <c r="WQG60" s="58"/>
      <c r="WQH60" s="58"/>
      <c r="WQI60" s="58"/>
      <c r="WQJ60" s="58"/>
      <c r="WQK60" s="58"/>
      <c r="WQL60" s="58"/>
      <c r="WQM60" s="58"/>
      <c r="WQN60" s="58"/>
      <c r="WQO60" s="58"/>
      <c r="WQP60" s="58"/>
      <c r="WQQ60" s="58"/>
      <c r="WQR60" s="58"/>
      <c r="WQS60" s="58"/>
      <c r="WQT60" s="58"/>
      <c r="WQU60" s="58"/>
      <c r="WQV60" s="58"/>
      <c r="WQW60" s="58"/>
      <c r="WQX60" s="58"/>
      <c r="WQY60" s="58"/>
      <c r="WQZ60" s="58"/>
      <c r="WRA60" s="58"/>
      <c r="WRB60" s="58"/>
      <c r="WRC60" s="58"/>
      <c r="WRD60" s="58"/>
      <c r="WRE60" s="58"/>
      <c r="WRF60" s="58"/>
      <c r="WRG60" s="58"/>
      <c r="WRH60" s="58"/>
      <c r="WRI60" s="58"/>
      <c r="WRJ60" s="58"/>
      <c r="WRK60" s="58"/>
      <c r="WRL60" s="58"/>
      <c r="WRM60" s="58"/>
      <c r="WRN60" s="58"/>
      <c r="WRO60" s="58"/>
      <c r="WRP60" s="58"/>
      <c r="WRQ60" s="58"/>
      <c r="WRR60" s="58"/>
      <c r="WRS60" s="58"/>
      <c r="WRT60" s="58"/>
      <c r="WRU60" s="58"/>
      <c r="WRV60" s="58"/>
      <c r="WRW60" s="58"/>
      <c r="WRX60" s="58"/>
      <c r="WRY60" s="58"/>
      <c r="WRZ60" s="58"/>
      <c r="WSA60" s="58"/>
      <c r="WSB60" s="58"/>
      <c r="WSC60" s="58"/>
      <c r="WSD60" s="58"/>
      <c r="WSE60" s="58"/>
      <c r="WSF60" s="58"/>
      <c r="WSG60" s="58"/>
      <c r="WSH60" s="58"/>
      <c r="WSI60" s="58"/>
      <c r="WSJ60" s="58"/>
      <c r="WSK60" s="58"/>
      <c r="WSL60" s="58"/>
      <c r="WSM60" s="58"/>
      <c r="WSN60" s="58"/>
      <c r="WSO60" s="58"/>
      <c r="WSP60" s="58"/>
      <c r="WSQ60" s="58"/>
      <c r="WSR60" s="58"/>
      <c r="WSS60" s="58"/>
      <c r="WST60" s="58"/>
      <c r="WSU60" s="58"/>
      <c r="WSV60" s="58"/>
      <c r="WSW60" s="58"/>
      <c r="WSX60" s="58"/>
      <c r="WSY60" s="58"/>
      <c r="WSZ60" s="58"/>
      <c r="WTA60" s="58"/>
      <c r="WTB60" s="58"/>
      <c r="WTC60" s="58"/>
      <c r="WTD60" s="58"/>
      <c r="WTE60" s="58"/>
      <c r="WTF60" s="58"/>
      <c r="WTG60" s="58"/>
      <c r="WTH60" s="58"/>
      <c r="WTI60" s="58"/>
      <c r="WTJ60" s="58"/>
      <c r="WTK60" s="58"/>
      <c r="WTL60" s="58"/>
      <c r="WTM60" s="58"/>
      <c r="WTN60" s="58"/>
      <c r="WTO60" s="58"/>
      <c r="WTP60" s="58"/>
      <c r="WTQ60" s="58"/>
      <c r="WTR60" s="58"/>
      <c r="WTS60" s="58"/>
      <c r="WTT60" s="58"/>
      <c r="WTU60" s="58"/>
      <c r="WTV60" s="58"/>
      <c r="WTW60" s="58"/>
      <c r="WTX60" s="58"/>
      <c r="WTY60" s="58"/>
      <c r="WTZ60" s="58"/>
      <c r="WUA60" s="58"/>
      <c r="WUB60" s="58"/>
      <c r="WUC60" s="58"/>
      <c r="WUD60" s="58"/>
      <c r="WUE60" s="58"/>
      <c r="WUF60" s="58"/>
      <c r="WUG60" s="58"/>
      <c r="WUH60" s="58"/>
      <c r="WUI60" s="58"/>
      <c r="WUJ60" s="58"/>
      <c r="WUK60" s="58"/>
      <c r="WUL60" s="58"/>
      <c r="WUM60" s="58"/>
      <c r="WUO60" s="58"/>
      <c r="WUP60" s="58"/>
      <c r="WUR60" s="58"/>
      <c r="WUX60" s="58"/>
      <c r="WUY60" s="58"/>
      <c r="WVM60" s="58"/>
      <c r="WVN60" s="58"/>
      <c r="WVO60" s="58"/>
      <c r="WVP60" s="58"/>
      <c r="WVQ60" s="58"/>
      <c r="WVR60" s="58"/>
      <c r="WVS60" s="58"/>
      <c r="WVT60" s="58"/>
      <c r="WVU60" s="58"/>
      <c r="WVV60" s="58"/>
      <c r="WVW60" s="58"/>
      <c r="WVX60" s="58"/>
      <c r="WVY60" s="58"/>
      <c r="WVZ60" s="58"/>
      <c r="WWA60" s="58"/>
      <c r="WWB60" s="58"/>
      <c r="WWC60" s="58"/>
      <c r="WWD60" s="58"/>
      <c r="WWE60" s="58"/>
      <c r="WWF60" s="58"/>
      <c r="WWG60" s="58"/>
      <c r="WWH60" s="58"/>
      <c r="WWI60" s="58"/>
      <c r="WWJ60" s="58"/>
      <c r="WWK60" s="58"/>
      <c r="WWL60" s="58"/>
      <c r="WWM60" s="58"/>
      <c r="WWN60" s="58"/>
      <c r="WWO60" s="58"/>
      <c r="WWP60" s="58"/>
      <c r="WWQ60" s="58"/>
      <c r="WWR60" s="58"/>
      <c r="WWS60" s="58"/>
      <c r="WWT60" s="58"/>
      <c r="WWU60" s="58"/>
      <c r="WWV60" s="58"/>
      <c r="WWW60" s="58"/>
      <c r="WWX60" s="58"/>
      <c r="WWY60" s="58"/>
      <c r="WWZ60" s="58"/>
      <c r="WXA60" s="58"/>
      <c r="WXB60" s="58"/>
      <c r="WXC60" s="58"/>
      <c r="WXD60" s="58"/>
      <c r="WXE60" s="58"/>
      <c r="WXF60" s="58"/>
      <c r="WXG60" s="58"/>
      <c r="WXH60" s="58"/>
      <c r="WXI60" s="58"/>
      <c r="WXJ60" s="58"/>
      <c r="WXK60" s="58"/>
      <c r="WXL60" s="58"/>
      <c r="WXM60" s="58"/>
      <c r="WXN60" s="58"/>
      <c r="WXO60" s="58"/>
      <c r="WXP60" s="58"/>
      <c r="WXQ60" s="58"/>
      <c r="WXR60" s="58"/>
      <c r="WXS60" s="58"/>
      <c r="WXT60" s="58"/>
      <c r="WXU60" s="58"/>
      <c r="WXV60" s="58"/>
      <c r="WXW60" s="58"/>
      <c r="WXX60" s="58"/>
      <c r="WXY60" s="58"/>
      <c r="WXZ60" s="58"/>
      <c r="WYA60" s="58"/>
      <c r="WYB60" s="58"/>
      <c r="WYC60" s="58"/>
      <c r="WYD60" s="58"/>
      <c r="WYE60" s="58"/>
      <c r="WYF60" s="58"/>
      <c r="WYG60" s="58"/>
      <c r="WYH60" s="58"/>
      <c r="WYI60" s="58"/>
      <c r="WYJ60" s="58"/>
      <c r="WYK60" s="58"/>
      <c r="WYL60" s="58"/>
      <c r="WYM60" s="58"/>
      <c r="WYN60" s="58"/>
      <c r="WYO60" s="58"/>
      <c r="WYP60" s="58"/>
      <c r="WYQ60" s="58"/>
      <c r="WYR60" s="58"/>
      <c r="WYS60" s="58"/>
      <c r="WYT60" s="58"/>
      <c r="WYU60" s="58"/>
      <c r="WYV60" s="58"/>
      <c r="WYW60" s="58"/>
      <c r="WYX60" s="58"/>
      <c r="WYY60" s="58"/>
      <c r="WYZ60" s="58"/>
      <c r="WZA60" s="58"/>
      <c r="WZB60" s="58"/>
      <c r="WZC60" s="58"/>
      <c r="WZD60" s="58"/>
      <c r="WZE60" s="58"/>
      <c r="WZF60" s="58"/>
      <c r="WZG60" s="58"/>
      <c r="WZH60" s="58"/>
      <c r="WZI60" s="58"/>
      <c r="WZJ60" s="58"/>
      <c r="WZK60" s="58"/>
      <c r="WZL60" s="58"/>
      <c r="WZM60" s="58"/>
      <c r="WZN60" s="58"/>
      <c r="WZO60" s="58"/>
      <c r="WZP60" s="58"/>
      <c r="WZQ60" s="58"/>
      <c r="WZR60" s="58"/>
      <c r="WZS60" s="58"/>
      <c r="WZT60" s="58"/>
      <c r="WZU60" s="58"/>
      <c r="WZV60" s="58"/>
      <c r="WZW60" s="58"/>
      <c r="WZX60" s="58"/>
      <c r="WZY60" s="58"/>
      <c r="WZZ60" s="58"/>
      <c r="XAA60" s="58"/>
      <c r="XAB60" s="58"/>
      <c r="XAC60" s="58"/>
      <c r="XAD60" s="58"/>
      <c r="XAE60" s="58"/>
      <c r="XAF60" s="58"/>
      <c r="XAG60" s="58"/>
      <c r="XAH60" s="58"/>
      <c r="XAI60" s="58"/>
      <c r="XAJ60" s="58"/>
      <c r="XAK60" s="58"/>
      <c r="XAL60" s="58"/>
      <c r="XAM60" s="58"/>
      <c r="XAN60" s="58"/>
      <c r="XAO60" s="58"/>
      <c r="XAP60" s="58"/>
      <c r="XAQ60" s="58"/>
      <c r="XAR60" s="58"/>
      <c r="XAS60" s="58"/>
      <c r="XAT60" s="58"/>
      <c r="XAU60" s="58"/>
      <c r="XAV60" s="58"/>
      <c r="XAW60" s="58"/>
      <c r="XAX60" s="58"/>
      <c r="XAY60" s="58"/>
      <c r="XAZ60" s="58"/>
      <c r="XBA60" s="58"/>
      <c r="XBB60" s="58"/>
      <c r="XBC60" s="58"/>
      <c r="XBD60" s="58"/>
      <c r="XBE60" s="58"/>
      <c r="XBF60" s="58"/>
      <c r="XBG60" s="58"/>
      <c r="XBH60" s="58"/>
      <c r="XBI60" s="58"/>
      <c r="XBJ60" s="58"/>
      <c r="XBK60" s="58"/>
      <c r="XBL60" s="58"/>
      <c r="XBM60" s="58"/>
      <c r="XBN60" s="58"/>
      <c r="XBO60" s="58"/>
      <c r="XBP60" s="58"/>
      <c r="XBQ60" s="58"/>
      <c r="XBR60" s="58"/>
      <c r="XBS60" s="58"/>
      <c r="XBT60" s="58"/>
      <c r="XBU60" s="58"/>
      <c r="XBV60" s="58"/>
      <c r="XBW60" s="58"/>
      <c r="XBX60" s="58"/>
      <c r="XBY60" s="58"/>
      <c r="XBZ60" s="58"/>
      <c r="XCA60" s="58"/>
      <c r="XCB60" s="58"/>
      <c r="XCC60" s="58"/>
      <c r="XCD60" s="58"/>
      <c r="XCE60" s="58"/>
      <c r="XCF60" s="58"/>
      <c r="XCG60" s="58"/>
      <c r="XCH60" s="58"/>
      <c r="XCI60" s="58"/>
      <c r="XCJ60" s="58"/>
      <c r="XCK60" s="58"/>
      <c r="XCL60" s="58"/>
      <c r="XCM60" s="58"/>
      <c r="XCN60" s="58"/>
      <c r="XCO60" s="58"/>
      <c r="XCP60" s="58"/>
      <c r="XCQ60" s="58"/>
      <c r="XCR60" s="58"/>
      <c r="XCS60" s="58"/>
      <c r="XCT60" s="58"/>
      <c r="XCU60" s="58"/>
      <c r="XCV60" s="58"/>
      <c r="XCW60" s="58"/>
      <c r="XCX60" s="58"/>
      <c r="XCY60" s="58"/>
      <c r="XCZ60" s="58"/>
      <c r="XDA60" s="58"/>
      <c r="XDB60" s="58"/>
      <c r="XDC60" s="58"/>
      <c r="XDD60" s="58"/>
      <c r="XDE60" s="58"/>
      <c r="XDF60" s="58"/>
      <c r="XDG60" s="58"/>
      <c r="XDH60" s="58"/>
      <c r="XDI60" s="58"/>
      <c r="XDJ60" s="58"/>
      <c r="XDK60" s="58"/>
      <c r="XDL60" s="58"/>
      <c r="XDM60" s="58"/>
      <c r="XDN60" s="58"/>
      <c r="XDO60" s="58"/>
      <c r="XDP60" s="58"/>
      <c r="XDQ60" s="58"/>
      <c r="XDR60" s="58"/>
      <c r="XDS60" s="58"/>
      <c r="XDT60" s="58"/>
      <c r="XDU60" s="58"/>
      <c r="XDV60" s="58"/>
      <c r="XDW60" s="58"/>
      <c r="XDX60" s="58"/>
      <c r="XDY60" s="58"/>
      <c r="XDZ60" s="58"/>
      <c r="XEA60" s="58"/>
      <c r="XEB60" s="58"/>
      <c r="XEC60" s="58"/>
      <c r="XED60" s="58"/>
      <c r="XEE60" s="58"/>
      <c r="XEF60" s="58"/>
      <c r="XEG60" s="58"/>
      <c r="XEH60" s="58"/>
      <c r="XEI60" s="58"/>
      <c r="XEJ60" s="58"/>
      <c r="XEK60" s="58"/>
      <c r="XEL60" s="58"/>
      <c r="XEM60" s="58"/>
      <c r="XEN60" s="58"/>
      <c r="XEO60" s="58"/>
      <c r="XEP60" s="58"/>
      <c r="XEQ60" s="58"/>
      <c r="XER60" s="58"/>
      <c r="XES60" s="58"/>
      <c r="XET60" s="58"/>
      <c r="XEU60" s="58"/>
      <c r="XEV60" s="58"/>
      <c r="XEW60" s="58"/>
      <c r="XEX60" s="58"/>
      <c r="XEY60" s="58"/>
      <c r="XEZ60" s="58"/>
      <c r="XFA60" s="58"/>
      <c r="XFB60" s="58"/>
      <c r="XFC60" s="58"/>
      <c r="XFD60" s="58"/>
    </row>
    <row r="61" spans="2:1015 1029:2039 2053:3063 3077:4087 4101:5111 5125:6135 6149:7159 7173:8183 8197:9207 9221:10231 10245:11255 11269:12279 12293:13303 13317:14327 14341:15351 15365:16384" ht="15" hidden="1" customHeight="1" x14ac:dyDescent="0.2">
      <c r="B61" s="1">
        <v>2023</v>
      </c>
      <c r="C61" s="18" t="s">
        <v>105</v>
      </c>
      <c r="D61" s="18"/>
      <c r="E61" s="19">
        <v>23090429</v>
      </c>
      <c r="F61" s="20" t="s">
        <v>106</v>
      </c>
      <c r="G61" s="21">
        <v>8385043615</v>
      </c>
      <c r="H61" s="21"/>
      <c r="I61" s="21">
        <f t="shared" si="0"/>
        <v>15223311950</v>
      </c>
      <c r="J61" s="17" t="s">
        <v>17</v>
      </c>
    </row>
    <row r="62" spans="2:1015 1029:2039 2053:3063 3077:4087 4101:5111 5125:6135 6149:7159 7173:8183 8197:9207 9221:10231 10245:11255 11269:12279 12293:13303 13317:14327 14341:15351 15365:16384" ht="15" hidden="1" customHeight="1" x14ac:dyDescent="0.2">
      <c r="B62" s="1">
        <v>2023</v>
      </c>
      <c r="C62" s="18" t="s">
        <v>107</v>
      </c>
      <c r="D62" s="18"/>
      <c r="E62" s="19">
        <v>23100625</v>
      </c>
      <c r="F62" s="20" t="s">
        <v>108</v>
      </c>
      <c r="G62" s="21">
        <v>4800000000</v>
      </c>
      <c r="H62" s="21"/>
      <c r="I62" s="21">
        <f t="shared" si="0"/>
        <v>10423311950</v>
      </c>
      <c r="J62" s="17" t="s">
        <v>17</v>
      </c>
    </row>
    <row r="63" spans="2:1015 1029:2039 2053:3063 3077:4087 4101:5111 5125:6135 6149:7159 7173:8183 8197:9207 9221:10231 10245:11255 11269:12279 12293:13303 13317:14327 14341:15351 15365:16384" ht="15" hidden="1" customHeight="1" x14ac:dyDescent="0.2">
      <c r="B63" s="1">
        <v>2023</v>
      </c>
      <c r="C63" s="18" t="s">
        <v>109</v>
      </c>
      <c r="D63" s="18"/>
      <c r="E63" s="19">
        <v>23110581</v>
      </c>
      <c r="F63" s="20" t="s">
        <v>110</v>
      </c>
      <c r="G63" s="21">
        <v>3494904000</v>
      </c>
      <c r="H63" s="21"/>
      <c r="I63" s="21">
        <f t="shared" si="0"/>
        <v>6928407950</v>
      </c>
      <c r="J63" s="17" t="s">
        <v>17</v>
      </c>
    </row>
    <row r="64" spans="2:1015 1029:2039 2053:3063 3077:4087 4101:5111 5125:6135 6149:7159 7173:8183 8197:9207 9221:10231 10245:11255 11269:12279 12293:13303 13317:14327 14341:15351 15365:16384" ht="15" hidden="1" customHeight="1" x14ac:dyDescent="0.2">
      <c r="B64" s="1">
        <v>2023</v>
      </c>
      <c r="C64" s="18" t="s">
        <v>111</v>
      </c>
      <c r="D64" s="18"/>
      <c r="E64" s="19">
        <v>23110416</v>
      </c>
      <c r="F64" s="20" t="s">
        <v>112</v>
      </c>
      <c r="G64" s="21">
        <v>1175021300</v>
      </c>
      <c r="H64" s="21"/>
      <c r="I64" s="21">
        <f t="shared" si="0"/>
        <v>5753386650</v>
      </c>
      <c r="J64" s="17" t="s">
        <v>17</v>
      </c>
    </row>
    <row r="65" spans="2:10" ht="15" hidden="1" customHeight="1" x14ac:dyDescent="0.2">
      <c r="B65" s="1">
        <v>2023</v>
      </c>
      <c r="C65" s="18" t="s">
        <v>111</v>
      </c>
      <c r="D65" s="18"/>
      <c r="E65" s="19">
        <v>23110416</v>
      </c>
      <c r="F65" s="20" t="s">
        <v>113</v>
      </c>
      <c r="G65" s="21">
        <v>3413394700</v>
      </c>
      <c r="H65" s="21"/>
      <c r="I65" s="21">
        <f t="shared" si="0"/>
        <v>2339991950</v>
      </c>
      <c r="J65" s="17" t="s">
        <v>17</v>
      </c>
    </row>
    <row r="66" spans="2:10" ht="15" hidden="1" customHeight="1" x14ac:dyDescent="0.2">
      <c r="B66" s="1">
        <v>2023</v>
      </c>
      <c r="C66" s="18" t="s">
        <v>114</v>
      </c>
      <c r="D66" s="18"/>
      <c r="E66" s="19">
        <v>23120126</v>
      </c>
      <c r="F66" s="20" t="s">
        <v>115</v>
      </c>
      <c r="G66" s="21">
        <v>2339991950</v>
      </c>
      <c r="H66" s="21"/>
      <c r="I66" s="21">
        <f t="shared" si="0"/>
        <v>0</v>
      </c>
      <c r="J66" s="17" t="s">
        <v>17</v>
      </c>
    </row>
    <row r="67" spans="2:10" ht="15" customHeight="1" x14ac:dyDescent="0.2">
      <c r="B67" s="1">
        <v>2023</v>
      </c>
      <c r="C67" s="18" t="s">
        <v>116</v>
      </c>
      <c r="D67" s="18">
        <v>419</v>
      </c>
      <c r="E67" s="19">
        <v>23120457</v>
      </c>
      <c r="F67" s="20" t="s">
        <v>117</v>
      </c>
      <c r="G67" s="21"/>
      <c r="H67" s="21">
        <v>261409500</v>
      </c>
      <c r="I67" s="21">
        <f t="shared" si="0"/>
        <v>261409500</v>
      </c>
      <c r="J67" s="17" t="s">
        <v>17</v>
      </c>
    </row>
    <row r="68" spans="2:10" ht="15" hidden="1" customHeight="1" x14ac:dyDescent="0.2">
      <c r="B68" s="1">
        <v>2023</v>
      </c>
      <c r="C68" s="18" t="s">
        <v>118</v>
      </c>
      <c r="D68" s="18"/>
      <c r="E68" s="19">
        <v>23120456</v>
      </c>
      <c r="F68" s="20" t="s">
        <v>119</v>
      </c>
      <c r="G68" s="21">
        <v>261409500</v>
      </c>
      <c r="H68" s="21"/>
      <c r="I68" s="21">
        <f t="shared" si="0"/>
        <v>0</v>
      </c>
      <c r="J68" s="17" t="s">
        <v>17</v>
      </c>
    </row>
    <row r="69" spans="2:10" s="7" customFormat="1" ht="17.25" customHeight="1" x14ac:dyDescent="0.2">
      <c r="C69" s="24"/>
      <c r="D69" s="24"/>
      <c r="E69" s="25"/>
      <c r="F69" s="24" t="s">
        <v>120</v>
      </c>
      <c r="G69" s="26">
        <f>+SUM(G4:G68)</f>
        <v>144862563065</v>
      </c>
      <c r="H69" s="26">
        <f>+SUM(H4:H68)</f>
        <v>144862563065</v>
      </c>
      <c r="I69" s="26">
        <f>+I68</f>
        <v>0</v>
      </c>
      <c r="J69" s="17"/>
    </row>
    <row r="70" spans="2:10" s="7" customFormat="1" ht="18.75" hidden="1" customHeight="1" thickBot="1" x14ac:dyDescent="0.25">
      <c r="C70" s="11"/>
      <c r="D70" s="11"/>
      <c r="E70" s="12"/>
      <c r="F70" s="11" t="s">
        <v>121</v>
      </c>
      <c r="G70" s="13"/>
      <c r="H70" s="27">
        <f>+H2+H69-G69</f>
        <v>0</v>
      </c>
      <c r="I70" s="27"/>
      <c r="J70" s="8"/>
    </row>
  </sheetData>
  <autoFilter ref="C1:J70" xr:uid="{00000000-0009-0000-0000-000001000000}">
    <filterColumn colId="5">
      <filters>
        <filter val="10,184,806,500"/>
        <filter val="10,217,982,610"/>
        <filter val="10,521,619,900"/>
        <filter val="11,086,603,000"/>
        <filter val="11,417,721,700"/>
        <filter val="144,862,563,065"/>
        <filter val="2,378,894,650"/>
        <filter val="2,619,364,000"/>
        <filter val="2,669,576,360"/>
        <filter val="2,964,678,750"/>
        <filter val="261,409,500"/>
        <filter val="3,724,833,750"/>
        <filter val="432,694,020"/>
        <filter val="46,530,000"/>
        <filter val="5,753,386,650"/>
        <filter val="602,315,450"/>
        <filter val="7,484,749,800"/>
        <filter val="7,686,740,875"/>
        <filter val="7,988,039,400"/>
        <filter val="8,385,043,700"/>
        <filter val="9,298,488,650"/>
        <filter val="9,469,925,300"/>
        <filter val="9,831,910,000"/>
        <filter val="9,835,248,500"/>
      </filters>
    </filterColumn>
  </autoFilter>
  <phoneticPr fontId="18" type="noConversion"/>
  <printOptions horizontalCentered="1"/>
  <pageMargins left="0.25" right="0" top="1" bottom="1" header="0.5" footer="0.5"/>
  <pageSetup paperSize="9" scale="70" firstPageNumber="0" fitToWidth="0" fitToHeight="0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56"/>
  <sheetViews>
    <sheetView showGridLines="0" tabSelected="1" workbookViewId="0">
      <selection activeCell="M12" sqref="M12"/>
    </sheetView>
  </sheetViews>
  <sheetFormatPr defaultRowHeight="16.5" x14ac:dyDescent="0.3"/>
  <cols>
    <col min="1" max="1" width="8.375" bestFit="1" customWidth="1"/>
    <col min="2" max="2" width="9.875" bestFit="1" customWidth="1"/>
    <col min="3" max="3" width="14" bestFit="1" customWidth="1"/>
    <col min="4" max="4" width="79" customWidth="1"/>
    <col min="5" max="5" width="16.625" bestFit="1" customWidth="1"/>
    <col min="6" max="6" width="18.125" bestFit="1" customWidth="1"/>
    <col min="7" max="7" width="13.875" bestFit="1" customWidth="1"/>
    <col min="8" max="8" width="14" customWidth="1"/>
    <col min="9" max="9" width="15.125" customWidth="1"/>
    <col min="10" max="10" width="8.75" customWidth="1"/>
    <col min="11" max="11" width="15.25" style="73" customWidth="1"/>
  </cols>
  <sheetData>
    <row r="2" spans="1:13" x14ac:dyDescent="0.3">
      <c r="A2" t="s">
        <v>153</v>
      </c>
    </row>
    <row r="3" spans="1:13" x14ac:dyDescent="0.3">
      <c r="A3" t="s">
        <v>154</v>
      </c>
    </row>
    <row r="4" spans="1:13" x14ac:dyDescent="0.3">
      <c r="A4" t="s">
        <v>152</v>
      </c>
    </row>
    <row r="6" spans="1:13" s="77" customFormat="1" ht="24" x14ac:dyDescent="0.3">
      <c r="A6" s="79" t="s">
        <v>148</v>
      </c>
      <c r="B6" s="79" t="s">
        <v>149</v>
      </c>
      <c r="C6" s="79" t="s">
        <v>150</v>
      </c>
      <c r="D6" s="79" t="s">
        <v>151</v>
      </c>
      <c r="E6" s="80" t="s">
        <v>138</v>
      </c>
      <c r="F6" s="80" t="s">
        <v>146</v>
      </c>
      <c r="G6" s="79" t="s">
        <v>141</v>
      </c>
      <c r="H6" s="79" t="s">
        <v>143</v>
      </c>
      <c r="I6" s="79" t="s">
        <v>142</v>
      </c>
      <c r="J6" s="81" t="s">
        <v>144</v>
      </c>
      <c r="K6" s="81" t="s">
        <v>145</v>
      </c>
    </row>
    <row r="7" spans="1:13" s="108" customFormat="1" x14ac:dyDescent="0.3">
      <c r="A7" s="82">
        <v>2022</v>
      </c>
      <c r="B7" s="82" t="s">
        <v>42</v>
      </c>
      <c r="C7" s="82" t="s">
        <v>132</v>
      </c>
      <c r="D7" s="83" t="s">
        <v>43</v>
      </c>
      <c r="E7" s="84">
        <v>11086603000</v>
      </c>
      <c r="F7" s="84">
        <f>E7-F8-F9-F10</f>
        <v>0</v>
      </c>
      <c r="G7" s="85"/>
      <c r="H7" s="85"/>
      <c r="I7" s="85"/>
      <c r="J7" s="85"/>
      <c r="K7" s="86">
        <f>SUM(K8:K10)</f>
        <v>518439062</v>
      </c>
    </row>
    <row r="8" spans="1:13" s="72" customFormat="1" x14ac:dyDescent="0.3">
      <c r="A8" s="87">
        <v>2022</v>
      </c>
      <c r="B8" s="88" t="s">
        <v>58</v>
      </c>
      <c r="C8" s="88"/>
      <c r="D8" s="89" t="s">
        <v>59</v>
      </c>
      <c r="E8" s="90"/>
      <c r="F8" s="90">
        <v>2450000000</v>
      </c>
      <c r="G8" s="91">
        <v>44742</v>
      </c>
      <c r="H8" s="91">
        <f t="shared" ref="H8:H50" si="0">G8+60</f>
        <v>44802</v>
      </c>
      <c r="I8" s="91">
        <v>44882</v>
      </c>
      <c r="J8" s="92">
        <f>I8-H8</f>
        <v>80</v>
      </c>
      <c r="K8" s="93">
        <f>F8*J8*0.05%</f>
        <v>98000000</v>
      </c>
      <c r="M8" s="112">
        <f>0.05%*60</f>
        <v>0.03</v>
      </c>
    </row>
    <row r="9" spans="1:13" s="72" customFormat="1" x14ac:dyDescent="0.3">
      <c r="A9" s="87">
        <v>2022</v>
      </c>
      <c r="B9" s="88" t="s">
        <v>62</v>
      </c>
      <c r="C9" s="88"/>
      <c r="D9" s="89" t="s">
        <v>59</v>
      </c>
      <c r="E9" s="90"/>
      <c r="F9" s="90">
        <v>6125000000</v>
      </c>
      <c r="G9" s="91">
        <v>44742</v>
      </c>
      <c r="H9" s="91">
        <f t="shared" si="0"/>
        <v>44802</v>
      </c>
      <c r="I9" s="91">
        <v>44895</v>
      </c>
      <c r="J9" s="92">
        <f t="shared" ref="J9:J25" si="1">I9-H9</f>
        <v>93</v>
      </c>
      <c r="K9" s="93">
        <f>F9*J9*0.05%</f>
        <v>284812500</v>
      </c>
    </row>
    <row r="10" spans="1:13" s="72" customFormat="1" x14ac:dyDescent="0.3">
      <c r="A10" s="87">
        <v>2022</v>
      </c>
      <c r="B10" s="88" t="s">
        <v>63</v>
      </c>
      <c r="C10" s="88"/>
      <c r="D10" s="89" t="s">
        <v>59</v>
      </c>
      <c r="E10" s="90"/>
      <c r="F10" s="90">
        <v>2511603000</v>
      </c>
      <c r="G10" s="91">
        <v>44742</v>
      </c>
      <c r="H10" s="91">
        <f t="shared" si="0"/>
        <v>44802</v>
      </c>
      <c r="I10" s="91">
        <v>44910</v>
      </c>
      <c r="J10" s="92">
        <f t="shared" si="1"/>
        <v>108</v>
      </c>
      <c r="K10" s="93">
        <f>F10*J10*0.05%</f>
        <v>135626562</v>
      </c>
    </row>
    <row r="11" spans="1:13" x14ac:dyDescent="0.3">
      <c r="A11" s="94">
        <v>2022</v>
      </c>
      <c r="B11" s="95" t="s">
        <v>44</v>
      </c>
      <c r="C11" s="95" t="s">
        <v>133</v>
      </c>
      <c r="D11" s="96" t="s">
        <v>45</v>
      </c>
      <c r="E11" s="97">
        <v>10184806500</v>
      </c>
      <c r="F11" s="97"/>
      <c r="G11" s="98"/>
      <c r="H11" s="98"/>
      <c r="I11" s="85"/>
      <c r="J11" s="85"/>
      <c r="K11" s="86">
        <f>SUM(K12:K13)</f>
        <v>472920757.5</v>
      </c>
    </row>
    <row r="12" spans="1:13" x14ac:dyDescent="0.3">
      <c r="A12" s="87">
        <v>2022</v>
      </c>
      <c r="B12" s="88" t="s">
        <v>64</v>
      </c>
      <c r="C12" s="88"/>
      <c r="D12" s="89" t="s">
        <v>65</v>
      </c>
      <c r="E12" s="99"/>
      <c r="F12" s="99">
        <v>8724360000</v>
      </c>
      <c r="G12" s="91">
        <v>44773</v>
      </c>
      <c r="H12" s="91">
        <f t="shared" si="0"/>
        <v>44833</v>
      </c>
      <c r="I12" s="91">
        <v>44923</v>
      </c>
      <c r="J12" s="92">
        <f t="shared" si="1"/>
        <v>90</v>
      </c>
      <c r="K12" s="93">
        <f t="shared" ref="K12:K25" si="2">F12*J12*0.05%</f>
        <v>392596200</v>
      </c>
    </row>
    <row r="13" spans="1:13" x14ac:dyDescent="0.3">
      <c r="A13" s="87">
        <v>2023</v>
      </c>
      <c r="B13" s="88" t="s">
        <v>68</v>
      </c>
      <c r="C13" s="88"/>
      <c r="D13" s="89" t="s">
        <v>69</v>
      </c>
      <c r="E13" s="99"/>
      <c r="F13" s="99">
        <v>1460446500</v>
      </c>
      <c r="G13" s="91">
        <v>44773</v>
      </c>
      <c r="H13" s="91">
        <f t="shared" si="0"/>
        <v>44833</v>
      </c>
      <c r="I13" s="91">
        <v>44943</v>
      </c>
      <c r="J13" s="92">
        <f t="shared" si="1"/>
        <v>110</v>
      </c>
      <c r="K13" s="93">
        <f t="shared" si="2"/>
        <v>80324557.5</v>
      </c>
    </row>
    <row r="14" spans="1:13" x14ac:dyDescent="0.3">
      <c r="A14" s="94">
        <v>2022</v>
      </c>
      <c r="B14" s="95" t="s">
        <v>50</v>
      </c>
      <c r="C14" s="95" t="s">
        <v>134</v>
      </c>
      <c r="D14" s="96" t="s">
        <v>45</v>
      </c>
      <c r="E14" s="97">
        <v>10521619900</v>
      </c>
      <c r="F14" s="97"/>
      <c r="G14" s="85"/>
      <c r="H14" s="85"/>
      <c r="I14" s="85"/>
      <c r="J14" s="85"/>
      <c r="K14" s="86">
        <f>K15+K16</f>
        <v>465878450.85000002</v>
      </c>
    </row>
    <row r="15" spans="1:13" s="74" customFormat="1" x14ac:dyDescent="0.3">
      <c r="A15" s="87">
        <v>2023</v>
      </c>
      <c r="B15" s="88" t="s">
        <v>68</v>
      </c>
      <c r="C15" s="88"/>
      <c r="D15" s="89" t="s">
        <v>70</v>
      </c>
      <c r="E15" s="99"/>
      <c r="F15" s="99">
        <v>3339553500</v>
      </c>
      <c r="G15" s="91">
        <v>44804</v>
      </c>
      <c r="H15" s="91">
        <f t="shared" si="0"/>
        <v>44864</v>
      </c>
      <c r="I15" s="91">
        <v>44943</v>
      </c>
      <c r="J15" s="92">
        <f t="shared" si="1"/>
        <v>79</v>
      </c>
      <c r="K15" s="93">
        <f t="shared" si="2"/>
        <v>131912363.25</v>
      </c>
    </row>
    <row r="16" spans="1:13" s="74" customFormat="1" x14ac:dyDescent="0.3">
      <c r="A16" s="87">
        <v>2023</v>
      </c>
      <c r="B16" s="88" t="s">
        <v>73</v>
      </c>
      <c r="C16" s="88"/>
      <c r="D16" s="89" t="s">
        <v>74</v>
      </c>
      <c r="E16" s="99"/>
      <c r="F16" s="99">
        <v>7182066400</v>
      </c>
      <c r="G16" s="91">
        <v>44804</v>
      </c>
      <c r="H16" s="91">
        <f t="shared" si="0"/>
        <v>44864</v>
      </c>
      <c r="I16" s="91">
        <v>44957</v>
      </c>
      <c r="J16" s="92">
        <f t="shared" si="1"/>
        <v>93</v>
      </c>
      <c r="K16" s="93">
        <f t="shared" si="2"/>
        <v>333966087.60000002</v>
      </c>
    </row>
    <row r="17" spans="1:11" x14ac:dyDescent="0.3">
      <c r="A17" s="94">
        <v>2022</v>
      </c>
      <c r="B17" s="95" t="s">
        <v>52</v>
      </c>
      <c r="C17" s="95" t="s">
        <v>135</v>
      </c>
      <c r="D17" s="96" t="s">
        <v>53</v>
      </c>
      <c r="E17" s="97">
        <v>10217982610</v>
      </c>
      <c r="F17" s="97"/>
      <c r="G17" s="98"/>
      <c r="H17" s="98"/>
      <c r="I17" s="85"/>
      <c r="J17" s="85"/>
      <c r="K17" s="86">
        <f>SUM(K18:K21)</f>
        <v>387978407.85500002</v>
      </c>
    </row>
    <row r="18" spans="1:11" x14ac:dyDescent="0.3">
      <c r="A18" s="87">
        <v>2023</v>
      </c>
      <c r="B18" s="88" t="s">
        <v>73</v>
      </c>
      <c r="C18" s="88"/>
      <c r="D18" s="89" t="s">
        <v>75</v>
      </c>
      <c r="E18" s="99"/>
      <c r="F18" s="99">
        <v>2417933600</v>
      </c>
      <c r="G18" s="91">
        <v>44834</v>
      </c>
      <c r="H18" s="91">
        <f t="shared" si="0"/>
        <v>44894</v>
      </c>
      <c r="I18" s="91">
        <v>44957</v>
      </c>
      <c r="J18" s="92">
        <f t="shared" si="1"/>
        <v>63</v>
      </c>
      <c r="K18" s="93">
        <f t="shared" si="2"/>
        <v>76164908.400000006</v>
      </c>
    </row>
    <row r="19" spans="1:11" x14ac:dyDescent="0.3">
      <c r="A19" s="87">
        <v>2023</v>
      </c>
      <c r="B19" s="88" t="s">
        <v>76</v>
      </c>
      <c r="C19" s="88"/>
      <c r="D19" s="89" t="s">
        <v>77</v>
      </c>
      <c r="E19" s="99"/>
      <c r="F19" s="99">
        <v>1080788500</v>
      </c>
      <c r="G19" s="91">
        <v>44834</v>
      </c>
      <c r="H19" s="91">
        <f t="shared" si="0"/>
        <v>44894</v>
      </c>
      <c r="I19" s="91">
        <v>44963</v>
      </c>
      <c r="J19" s="92">
        <f t="shared" si="1"/>
        <v>69</v>
      </c>
      <c r="K19" s="93">
        <f t="shared" si="2"/>
        <v>37287203.25</v>
      </c>
    </row>
    <row r="20" spans="1:11" x14ac:dyDescent="0.3">
      <c r="A20" s="87">
        <v>2023</v>
      </c>
      <c r="B20" s="88" t="s">
        <v>78</v>
      </c>
      <c r="C20" s="88"/>
      <c r="D20" s="89" t="s">
        <v>75</v>
      </c>
      <c r="E20" s="99"/>
      <c r="F20" s="99">
        <v>2971434000</v>
      </c>
      <c r="G20" s="91">
        <v>44834</v>
      </c>
      <c r="H20" s="91">
        <f t="shared" si="0"/>
        <v>44894</v>
      </c>
      <c r="I20" s="91">
        <v>44964</v>
      </c>
      <c r="J20" s="92">
        <f t="shared" si="1"/>
        <v>70</v>
      </c>
      <c r="K20" s="93">
        <f t="shared" si="2"/>
        <v>104000190</v>
      </c>
    </row>
    <row r="21" spans="1:11" x14ac:dyDescent="0.3">
      <c r="A21" s="87">
        <v>2023</v>
      </c>
      <c r="B21" s="88" t="s">
        <v>79</v>
      </c>
      <c r="C21" s="88"/>
      <c r="D21" s="89" t="s">
        <v>75</v>
      </c>
      <c r="E21" s="99"/>
      <c r="F21" s="99">
        <v>3747826510</v>
      </c>
      <c r="G21" s="91">
        <v>44834</v>
      </c>
      <c r="H21" s="91">
        <f t="shared" si="0"/>
        <v>44894</v>
      </c>
      <c r="I21" s="91">
        <v>44985</v>
      </c>
      <c r="J21" s="92">
        <f t="shared" si="1"/>
        <v>91</v>
      </c>
      <c r="K21" s="93">
        <f t="shared" si="2"/>
        <v>170526106.20500001</v>
      </c>
    </row>
    <row r="22" spans="1:11" x14ac:dyDescent="0.3">
      <c r="A22" s="94">
        <v>2022</v>
      </c>
      <c r="B22" s="95" t="s">
        <v>55</v>
      </c>
      <c r="C22" s="95" t="s">
        <v>136</v>
      </c>
      <c r="D22" s="96" t="s">
        <v>57</v>
      </c>
      <c r="E22" s="97">
        <v>11417721700</v>
      </c>
      <c r="F22" s="97"/>
      <c r="G22" s="98"/>
      <c r="H22" s="98"/>
      <c r="I22" s="85"/>
      <c r="J22" s="85"/>
      <c r="K22" s="86">
        <f>SUM(K23:K25)</f>
        <v>428795970.56999999</v>
      </c>
    </row>
    <row r="23" spans="1:11" s="74" customFormat="1" x14ac:dyDescent="0.3">
      <c r="A23" s="87">
        <v>2023</v>
      </c>
      <c r="B23" s="88" t="s">
        <v>79</v>
      </c>
      <c r="C23" s="88"/>
      <c r="D23" s="89" t="s">
        <v>80</v>
      </c>
      <c r="E23" s="99"/>
      <c r="F23" s="99">
        <v>4477173490</v>
      </c>
      <c r="G23" s="91">
        <v>44865</v>
      </c>
      <c r="H23" s="91">
        <f t="shared" si="0"/>
        <v>44925</v>
      </c>
      <c r="I23" s="91">
        <v>44985</v>
      </c>
      <c r="J23" s="92">
        <f t="shared" si="1"/>
        <v>60</v>
      </c>
      <c r="K23" s="93">
        <f t="shared" si="2"/>
        <v>134315204.69999999</v>
      </c>
    </row>
    <row r="24" spans="1:11" s="74" customFormat="1" x14ac:dyDescent="0.3">
      <c r="A24" s="87">
        <v>2023</v>
      </c>
      <c r="B24" s="88" t="s">
        <v>81</v>
      </c>
      <c r="C24" s="88"/>
      <c r="D24" s="89" t="s">
        <v>82</v>
      </c>
      <c r="E24" s="99"/>
      <c r="F24" s="99">
        <v>3525000000</v>
      </c>
      <c r="G24" s="91">
        <v>44865</v>
      </c>
      <c r="H24" s="91">
        <f t="shared" si="0"/>
        <v>44925</v>
      </c>
      <c r="I24" s="91">
        <v>45001</v>
      </c>
      <c r="J24" s="92">
        <f t="shared" si="1"/>
        <v>76</v>
      </c>
      <c r="K24" s="93">
        <f t="shared" si="2"/>
        <v>133950000</v>
      </c>
    </row>
    <row r="25" spans="1:11" s="74" customFormat="1" x14ac:dyDescent="0.3">
      <c r="A25" s="87">
        <v>2023</v>
      </c>
      <c r="B25" s="88" t="s">
        <v>86</v>
      </c>
      <c r="C25" s="88"/>
      <c r="D25" s="89" t="s">
        <v>87</v>
      </c>
      <c r="E25" s="99"/>
      <c r="F25" s="99">
        <v>3415548210</v>
      </c>
      <c r="G25" s="91">
        <v>44865</v>
      </c>
      <c r="H25" s="91">
        <f t="shared" si="0"/>
        <v>44925</v>
      </c>
      <c r="I25" s="91">
        <v>45019</v>
      </c>
      <c r="J25" s="92">
        <f t="shared" si="1"/>
        <v>94</v>
      </c>
      <c r="K25" s="93">
        <f t="shared" si="2"/>
        <v>160530765.87</v>
      </c>
    </row>
    <row r="26" spans="1:11" x14ac:dyDescent="0.3">
      <c r="A26" s="94">
        <v>2022</v>
      </c>
      <c r="B26" s="95" t="s">
        <v>60</v>
      </c>
      <c r="C26" s="95">
        <v>194</v>
      </c>
      <c r="D26" s="96" t="s">
        <v>61</v>
      </c>
      <c r="E26" s="97">
        <v>9835248500</v>
      </c>
      <c r="F26" s="97"/>
      <c r="G26" s="98"/>
      <c r="H26" s="98"/>
      <c r="I26" s="85"/>
      <c r="J26" s="85"/>
      <c r="K26" s="86">
        <f>SUM(K27:K28)</f>
        <v>360937512.51999998</v>
      </c>
    </row>
    <row r="27" spans="1:11" x14ac:dyDescent="0.3">
      <c r="A27" s="87">
        <v>2023</v>
      </c>
      <c r="B27" s="88" t="s">
        <v>86</v>
      </c>
      <c r="C27" s="88"/>
      <c r="D27" s="89" t="s">
        <v>88</v>
      </c>
      <c r="E27" s="99"/>
      <c r="F27" s="99">
        <v>5984451790</v>
      </c>
      <c r="G27" s="91">
        <v>44895</v>
      </c>
      <c r="H27" s="91">
        <f t="shared" si="0"/>
        <v>44955</v>
      </c>
      <c r="I27" s="91">
        <v>45019</v>
      </c>
      <c r="J27" s="92">
        <f t="shared" ref="J27:J28" si="3">I27-H27</f>
        <v>64</v>
      </c>
      <c r="K27" s="93">
        <f>F27*J27*0.05%</f>
        <v>191502457.28</v>
      </c>
    </row>
    <row r="28" spans="1:11" x14ac:dyDescent="0.3">
      <c r="A28" s="87">
        <v>2023</v>
      </c>
      <c r="B28" s="88" t="s">
        <v>89</v>
      </c>
      <c r="C28" s="88"/>
      <c r="D28" s="89" t="s">
        <v>90</v>
      </c>
      <c r="E28" s="99"/>
      <c r="F28" s="99">
        <v>3850796710</v>
      </c>
      <c r="G28" s="91">
        <v>44895</v>
      </c>
      <c r="H28" s="91">
        <f t="shared" si="0"/>
        <v>44955</v>
      </c>
      <c r="I28" s="91">
        <v>45043</v>
      </c>
      <c r="J28" s="92">
        <f t="shared" si="3"/>
        <v>88</v>
      </c>
      <c r="K28" s="93">
        <f t="shared" ref="K28" si="4">F28*J28*0.05%</f>
        <v>169435055.24000001</v>
      </c>
    </row>
    <row r="29" spans="1:11" x14ac:dyDescent="0.3">
      <c r="A29" s="94">
        <v>2022</v>
      </c>
      <c r="B29" s="95" t="s">
        <v>66</v>
      </c>
      <c r="C29" s="95">
        <v>220</v>
      </c>
      <c r="D29" s="96" t="s">
        <v>67</v>
      </c>
      <c r="E29" s="97">
        <v>2669576360</v>
      </c>
      <c r="F29" s="97"/>
      <c r="G29" s="98"/>
      <c r="H29" s="98"/>
      <c r="I29" s="85"/>
      <c r="J29" s="85"/>
      <c r="K29" s="86">
        <f>K30</f>
        <v>76082926.260000005</v>
      </c>
    </row>
    <row r="30" spans="1:11" s="74" customFormat="1" x14ac:dyDescent="0.3">
      <c r="A30" s="87">
        <v>2023</v>
      </c>
      <c r="B30" s="88" t="s">
        <v>89</v>
      </c>
      <c r="C30" s="88"/>
      <c r="D30" s="89" t="s">
        <v>91</v>
      </c>
      <c r="E30" s="99"/>
      <c r="F30" s="99">
        <v>2669576360</v>
      </c>
      <c r="G30" s="91">
        <v>44926</v>
      </c>
      <c r="H30" s="91">
        <f t="shared" si="0"/>
        <v>44986</v>
      </c>
      <c r="I30" s="91">
        <v>45043</v>
      </c>
      <c r="J30" s="92">
        <f t="shared" ref="J30:J35" si="5">I30-H30</f>
        <v>57</v>
      </c>
      <c r="K30" s="93">
        <f>F30*J30*0.05%</f>
        <v>76082926.260000005</v>
      </c>
    </row>
    <row r="31" spans="1:11" x14ac:dyDescent="0.3">
      <c r="A31" s="94">
        <v>2023</v>
      </c>
      <c r="B31" s="95" t="s">
        <v>71</v>
      </c>
      <c r="C31" s="95">
        <v>21</v>
      </c>
      <c r="D31" s="96" t="s">
        <v>72</v>
      </c>
      <c r="E31" s="97">
        <v>432694020</v>
      </c>
      <c r="F31" s="97"/>
      <c r="G31" s="98"/>
      <c r="H31" s="98"/>
      <c r="I31" s="85"/>
      <c r="J31" s="85"/>
      <c r="K31" s="86">
        <f>K32</f>
        <v>5625022.2599999998</v>
      </c>
    </row>
    <row r="32" spans="1:11" x14ac:dyDescent="0.3">
      <c r="A32" s="87">
        <v>2023</v>
      </c>
      <c r="B32" s="88" t="s">
        <v>89</v>
      </c>
      <c r="C32" s="88"/>
      <c r="D32" s="89" t="s">
        <v>92</v>
      </c>
      <c r="E32" s="99"/>
      <c r="F32" s="99">
        <v>432694020</v>
      </c>
      <c r="G32" s="91">
        <v>44957</v>
      </c>
      <c r="H32" s="91">
        <f t="shared" si="0"/>
        <v>45017</v>
      </c>
      <c r="I32" s="91">
        <v>45043</v>
      </c>
      <c r="J32" s="92">
        <f t="shared" si="5"/>
        <v>26</v>
      </c>
      <c r="K32" s="93">
        <f>F32*J32*0.05%</f>
        <v>5625022.2599999998</v>
      </c>
    </row>
    <row r="33" spans="1:11" x14ac:dyDescent="0.3">
      <c r="A33" s="94">
        <v>2023</v>
      </c>
      <c r="B33" s="95" t="s">
        <v>79</v>
      </c>
      <c r="C33" s="95">
        <v>57</v>
      </c>
      <c r="D33" s="96" t="s">
        <v>72</v>
      </c>
      <c r="E33" s="97">
        <v>7484749800</v>
      </c>
      <c r="F33" s="97"/>
      <c r="G33" s="85"/>
      <c r="H33" s="98"/>
      <c r="I33" s="85"/>
      <c r="J33" s="85"/>
      <c r="K33" s="86">
        <f>SUM(K34:K35)</f>
        <v>297386616.30000001</v>
      </c>
    </row>
    <row r="34" spans="1:11" s="74" customFormat="1" x14ac:dyDescent="0.3">
      <c r="A34" s="87">
        <v>2023</v>
      </c>
      <c r="B34" s="88" t="s">
        <v>96</v>
      </c>
      <c r="C34" s="88"/>
      <c r="D34" s="89" t="s">
        <v>97</v>
      </c>
      <c r="E34" s="99"/>
      <c r="F34" s="99">
        <v>1175000000</v>
      </c>
      <c r="G34" s="91">
        <v>44985</v>
      </c>
      <c r="H34" s="91">
        <f t="shared" si="0"/>
        <v>45045</v>
      </c>
      <c r="I34" s="91">
        <v>45084</v>
      </c>
      <c r="J34" s="92">
        <f t="shared" si="5"/>
        <v>39</v>
      </c>
      <c r="K34" s="93">
        <f t="shared" ref="K34:K35" si="6">F34*J34*0.05%</f>
        <v>22912500</v>
      </c>
    </row>
    <row r="35" spans="1:11" s="74" customFormat="1" x14ac:dyDescent="0.3">
      <c r="A35" s="87">
        <v>2023</v>
      </c>
      <c r="B35" s="88" t="s">
        <v>100</v>
      </c>
      <c r="C35" s="88"/>
      <c r="D35" s="89" t="s">
        <v>102</v>
      </c>
      <c r="E35" s="99"/>
      <c r="F35" s="99">
        <v>6309749800</v>
      </c>
      <c r="G35" s="91">
        <v>44985</v>
      </c>
      <c r="H35" s="91">
        <f t="shared" si="0"/>
        <v>45045</v>
      </c>
      <c r="I35" s="91">
        <v>45132</v>
      </c>
      <c r="J35" s="92">
        <f t="shared" si="5"/>
        <v>87</v>
      </c>
      <c r="K35" s="93">
        <f t="shared" si="6"/>
        <v>274474116.30000001</v>
      </c>
    </row>
    <row r="36" spans="1:11" x14ac:dyDescent="0.3">
      <c r="A36" s="94">
        <v>2023</v>
      </c>
      <c r="B36" s="95" t="s">
        <v>83</v>
      </c>
      <c r="C36" s="95">
        <v>98</v>
      </c>
      <c r="D36" s="96" t="s">
        <v>84</v>
      </c>
      <c r="E36" s="97">
        <v>7988039400</v>
      </c>
      <c r="F36" s="97"/>
      <c r="G36" s="85"/>
      <c r="H36" s="98"/>
      <c r="I36" s="85"/>
      <c r="J36" s="85"/>
      <c r="K36" s="100"/>
    </row>
    <row r="37" spans="1:11" x14ac:dyDescent="0.3">
      <c r="A37" s="94">
        <v>2023</v>
      </c>
      <c r="B37" s="95" t="s">
        <v>85</v>
      </c>
      <c r="C37" s="95">
        <v>103</v>
      </c>
      <c r="D37" s="96" t="s">
        <v>72</v>
      </c>
      <c r="E37" s="97">
        <v>602315450</v>
      </c>
      <c r="F37" s="97"/>
      <c r="G37" s="85"/>
      <c r="H37" s="98"/>
      <c r="I37" s="85"/>
      <c r="J37" s="85"/>
      <c r="K37" s="86">
        <f>SUM(K38:K39)</f>
        <v>358717599.52750003</v>
      </c>
    </row>
    <row r="38" spans="1:11" s="75" customFormat="1" x14ac:dyDescent="0.3">
      <c r="A38" s="101">
        <v>2023</v>
      </c>
      <c r="B38" s="102" t="s">
        <v>100</v>
      </c>
      <c r="C38" s="102"/>
      <c r="D38" s="103" t="s">
        <v>101</v>
      </c>
      <c r="E38" s="90"/>
      <c r="F38" s="90">
        <v>2201832700</v>
      </c>
      <c r="G38" s="91">
        <v>45016</v>
      </c>
      <c r="H38" s="91">
        <f t="shared" si="0"/>
        <v>45076</v>
      </c>
      <c r="I38" s="104">
        <v>45132</v>
      </c>
      <c r="J38" s="92">
        <f t="shared" ref="J38:J39" si="7">I38-H38</f>
        <v>56</v>
      </c>
      <c r="K38" s="93">
        <f t="shared" ref="K38:K39" si="8">F38*J38*0.05%</f>
        <v>61651315.600000001</v>
      </c>
    </row>
    <row r="39" spans="1:11" s="75" customFormat="1" x14ac:dyDescent="0.3">
      <c r="A39" s="87">
        <v>2023</v>
      </c>
      <c r="B39" s="88" t="s">
        <v>103</v>
      </c>
      <c r="C39" s="102"/>
      <c r="D39" s="89" t="s">
        <v>147</v>
      </c>
      <c r="E39" s="90"/>
      <c r="F39" s="99">
        <v>6388522235</v>
      </c>
      <c r="G39" s="91">
        <v>45016</v>
      </c>
      <c r="H39" s="91">
        <f t="shared" si="0"/>
        <v>45076</v>
      </c>
      <c r="I39" s="104">
        <v>45169</v>
      </c>
      <c r="J39" s="92">
        <f t="shared" si="7"/>
        <v>93</v>
      </c>
      <c r="K39" s="93">
        <f t="shared" si="8"/>
        <v>297066283.92750001</v>
      </c>
    </row>
    <row r="40" spans="1:11" x14ac:dyDescent="0.3">
      <c r="A40" s="94">
        <v>2023</v>
      </c>
      <c r="B40" s="95" t="s">
        <v>93</v>
      </c>
      <c r="C40" s="95" t="s">
        <v>137</v>
      </c>
      <c r="D40" s="96" t="s">
        <v>72</v>
      </c>
      <c r="E40" s="97">
        <v>8385043700</v>
      </c>
      <c r="F40" s="97"/>
      <c r="G40" s="85"/>
      <c r="H40" s="98"/>
      <c r="I40" s="85"/>
      <c r="J40" s="85"/>
      <c r="K40" s="86">
        <f>K41</f>
        <v>385712006.29000002</v>
      </c>
    </row>
    <row r="41" spans="1:11" x14ac:dyDescent="0.3">
      <c r="A41" s="87">
        <v>2023</v>
      </c>
      <c r="B41" s="88" t="s">
        <v>105</v>
      </c>
      <c r="C41" s="88"/>
      <c r="D41" s="89" t="s">
        <v>106</v>
      </c>
      <c r="E41" s="99"/>
      <c r="F41" s="99">
        <v>8385043615</v>
      </c>
      <c r="G41" s="91">
        <v>45046</v>
      </c>
      <c r="H41" s="91">
        <f t="shared" si="0"/>
        <v>45106</v>
      </c>
      <c r="I41" s="91">
        <v>45198</v>
      </c>
      <c r="J41" s="92">
        <f t="shared" ref="J41" si="9">I41-H41</f>
        <v>92</v>
      </c>
      <c r="K41" s="93">
        <f t="shared" ref="K41" si="10">F41*J41*0.05%</f>
        <v>385712006.29000002</v>
      </c>
    </row>
    <row r="42" spans="1:11" x14ac:dyDescent="0.3">
      <c r="A42" s="94">
        <v>2023</v>
      </c>
      <c r="B42" s="95" t="s">
        <v>94</v>
      </c>
      <c r="C42" s="95">
        <v>185</v>
      </c>
      <c r="D42" s="96" t="s">
        <v>95</v>
      </c>
      <c r="E42" s="97">
        <v>9469925300</v>
      </c>
      <c r="F42" s="97"/>
      <c r="G42" s="85"/>
      <c r="H42" s="98">
        <f t="shared" si="0"/>
        <v>60</v>
      </c>
      <c r="I42" s="85"/>
      <c r="J42" s="85"/>
      <c r="K42" s="86">
        <f>SUM(K43:K45)</f>
        <v>506905501.94999999</v>
      </c>
    </row>
    <row r="43" spans="1:11" s="74" customFormat="1" x14ac:dyDescent="0.3">
      <c r="A43" s="87">
        <v>2023</v>
      </c>
      <c r="B43" s="88" t="s">
        <v>107</v>
      </c>
      <c r="C43" s="88"/>
      <c r="D43" s="89" t="s">
        <v>108</v>
      </c>
      <c r="E43" s="99"/>
      <c r="F43" s="99">
        <v>4800000000</v>
      </c>
      <c r="G43" s="91">
        <v>45077</v>
      </c>
      <c r="H43" s="91">
        <f t="shared" si="0"/>
        <v>45137</v>
      </c>
      <c r="I43" s="104">
        <v>45230</v>
      </c>
      <c r="J43" s="92">
        <f t="shared" ref="J43:J45" si="11">I43-H43</f>
        <v>93</v>
      </c>
      <c r="K43" s="93">
        <f t="shared" ref="K43:K45" si="12">F43*J43*0.05%</f>
        <v>223200000</v>
      </c>
    </row>
    <row r="44" spans="1:11" s="74" customFormat="1" x14ac:dyDescent="0.3">
      <c r="A44" s="87">
        <v>2023</v>
      </c>
      <c r="B44" s="88" t="s">
        <v>109</v>
      </c>
      <c r="C44" s="88"/>
      <c r="D44" s="89" t="s">
        <v>110</v>
      </c>
      <c r="E44" s="99"/>
      <c r="F44" s="99">
        <v>3494904000</v>
      </c>
      <c r="G44" s="91">
        <v>45077</v>
      </c>
      <c r="H44" s="91">
        <f t="shared" si="0"/>
        <v>45137</v>
      </c>
      <c r="I44" s="104">
        <v>45258</v>
      </c>
      <c r="J44" s="92">
        <f t="shared" si="11"/>
        <v>121</v>
      </c>
      <c r="K44" s="93">
        <f t="shared" si="12"/>
        <v>211441692</v>
      </c>
    </row>
    <row r="45" spans="1:11" s="74" customFormat="1" x14ac:dyDescent="0.3">
      <c r="A45" s="87">
        <v>2023</v>
      </c>
      <c r="B45" s="88" t="s">
        <v>111</v>
      </c>
      <c r="C45" s="88"/>
      <c r="D45" s="89" t="s">
        <v>112</v>
      </c>
      <c r="E45" s="99"/>
      <c r="F45" s="99">
        <v>1175021300</v>
      </c>
      <c r="G45" s="91">
        <v>45077</v>
      </c>
      <c r="H45" s="91">
        <f t="shared" si="0"/>
        <v>45137</v>
      </c>
      <c r="I45" s="104">
        <v>45260</v>
      </c>
      <c r="J45" s="92">
        <f t="shared" si="11"/>
        <v>123</v>
      </c>
      <c r="K45" s="93">
        <f t="shared" si="12"/>
        <v>72263809.950000003</v>
      </c>
    </row>
    <row r="46" spans="1:11" x14ac:dyDescent="0.3">
      <c r="A46" s="94">
        <v>2023</v>
      </c>
      <c r="B46" s="95" t="s">
        <v>98</v>
      </c>
      <c r="C46" s="95">
        <v>207</v>
      </c>
      <c r="D46" s="96" t="s">
        <v>99</v>
      </c>
      <c r="E46" s="97">
        <v>5753386650</v>
      </c>
      <c r="F46" s="97"/>
      <c r="G46" s="85"/>
      <c r="H46" s="98"/>
      <c r="I46" s="85"/>
      <c r="J46" s="85"/>
      <c r="K46" s="86">
        <f>SUM(K47:K48)</f>
        <v>275722451.05000001</v>
      </c>
    </row>
    <row r="47" spans="1:11" x14ac:dyDescent="0.3">
      <c r="A47" s="87">
        <v>2023</v>
      </c>
      <c r="B47" s="88" t="s">
        <v>111</v>
      </c>
      <c r="C47" s="88"/>
      <c r="D47" s="89" t="s">
        <v>113</v>
      </c>
      <c r="E47" s="99"/>
      <c r="F47" s="99">
        <v>3413394700</v>
      </c>
      <c r="G47" s="91">
        <v>45107</v>
      </c>
      <c r="H47" s="91">
        <f t="shared" si="0"/>
        <v>45167</v>
      </c>
      <c r="I47" s="91">
        <v>45260</v>
      </c>
      <c r="J47" s="92">
        <f t="shared" ref="J47:J48" si="13">I47-H47</f>
        <v>93</v>
      </c>
      <c r="K47" s="93">
        <f t="shared" ref="K47:K48" si="14">F47*J47*0.05%</f>
        <v>158722853.55000001</v>
      </c>
    </row>
    <row r="48" spans="1:11" x14ac:dyDescent="0.3">
      <c r="A48" s="87">
        <v>2023</v>
      </c>
      <c r="B48" s="88" t="s">
        <v>114</v>
      </c>
      <c r="C48" s="88"/>
      <c r="D48" s="89" t="s">
        <v>115</v>
      </c>
      <c r="E48" s="99"/>
      <c r="F48" s="99">
        <v>2339991950</v>
      </c>
      <c r="G48" s="91">
        <v>45107</v>
      </c>
      <c r="H48" s="91">
        <f t="shared" si="0"/>
        <v>45167</v>
      </c>
      <c r="I48" s="91">
        <v>45267</v>
      </c>
      <c r="J48" s="92">
        <f t="shared" si="13"/>
        <v>100</v>
      </c>
      <c r="K48" s="93">
        <f t="shared" si="14"/>
        <v>116999597.5</v>
      </c>
    </row>
    <row r="49" spans="1:11" x14ac:dyDescent="0.3">
      <c r="A49" s="94">
        <v>2023</v>
      </c>
      <c r="B49" s="95" t="s">
        <v>116</v>
      </c>
      <c r="C49" s="95">
        <v>419</v>
      </c>
      <c r="D49" s="96" t="s">
        <v>117</v>
      </c>
      <c r="E49" s="97">
        <v>261409500</v>
      </c>
      <c r="F49" s="97"/>
      <c r="G49" s="85"/>
      <c r="H49" s="98"/>
      <c r="I49" s="85"/>
      <c r="J49" s="85"/>
      <c r="K49" s="100"/>
    </row>
    <row r="50" spans="1:11" x14ac:dyDescent="0.3">
      <c r="A50" s="87">
        <v>2023</v>
      </c>
      <c r="B50" s="88" t="s">
        <v>118</v>
      </c>
      <c r="C50" s="88"/>
      <c r="D50" s="89" t="s">
        <v>119</v>
      </c>
      <c r="E50" s="99"/>
      <c r="F50" s="99">
        <v>261409500</v>
      </c>
      <c r="G50" s="91">
        <v>45291</v>
      </c>
      <c r="H50" s="91">
        <f t="shared" si="0"/>
        <v>45351</v>
      </c>
      <c r="I50" s="91">
        <v>45289</v>
      </c>
      <c r="J50" s="92"/>
      <c r="K50" s="92"/>
    </row>
    <row r="51" spans="1:11" s="78" customFormat="1" x14ac:dyDescent="0.3">
      <c r="A51" s="105"/>
      <c r="B51" s="105"/>
      <c r="C51" s="105"/>
      <c r="D51" s="105"/>
      <c r="E51" s="106">
        <f>SUM(E7:E50)</f>
        <v>106311122390</v>
      </c>
      <c r="F51" s="107">
        <f>SUM(F7:F50)</f>
        <v>106311122390</v>
      </c>
      <c r="G51" s="105"/>
      <c r="H51" s="105"/>
      <c r="I51" s="105"/>
      <c r="J51" s="105"/>
      <c r="K51" s="107">
        <f>K7+K11+K14+K17+K22+K26+K29+K31+K33+K37+K40+K42+K46</f>
        <v>4541102284.9325008</v>
      </c>
    </row>
    <row r="52" spans="1:11" x14ac:dyDescent="0.3">
      <c r="K52" s="73">
        <f>K51/26000</f>
        <v>174657.78018971157</v>
      </c>
    </row>
    <row r="53" spans="1:11" x14ac:dyDescent="0.3">
      <c r="F53" s="76"/>
    </row>
    <row r="54" spans="1:11" x14ac:dyDescent="0.3">
      <c r="F54" s="76"/>
    </row>
    <row r="55" spans="1:11" x14ac:dyDescent="0.3">
      <c r="F55" s="76"/>
    </row>
    <row r="56" spans="1:11" x14ac:dyDescent="0.3">
      <c r="F56" s="76"/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648D13BB-AC98-40D5-A847-F8DD03DB7C2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SCT331-Pramac</vt:lpstr>
      <vt:lpstr>SCT331-Pramac (2)</vt:lpstr>
      <vt:lpstr>Payment</vt:lpstr>
      <vt:lpstr>'SCT331-Pramac'!Print_Area</vt:lpstr>
      <vt:lpstr>'SCT331-Pramac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임재홍</cp:lastModifiedBy>
  <dcterms:created xsi:type="dcterms:W3CDTF">2026-02-09T03:43:47Z</dcterms:created>
  <dcterms:modified xsi:type="dcterms:W3CDTF">2026-03-19T08:13:54Z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{648D13BB-AC98-40D5-A847-F8DD03DB7C28}</vt:lpwstr>
  </property>
</Properties>
</file>