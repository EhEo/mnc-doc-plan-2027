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1. 문서\4. 재무관리\법인투자\"/>
    </mc:Choice>
  </mc:AlternateContent>
  <xr:revisionPtr revIDLastSave="0" documentId="13_ncr:1_{21DEF707-097B-421C-9B65-0C5FA3099B76}" xr6:coauthVersionLast="47" xr6:coauthVersionMax="47" xr10:uidLastSave="{00000000-0000-0000-0000-000000000000}"/>
  <bookViews>
    <workbookView xWindow="-108" yWindow="-108" windowWidth="41496" windowHeight="16776" xr2:uid="{BCFF94C5-CAED-461E-B7D9-798354BB3D08}"/>
  </bookViews>
  <sheets>
    <sheet name="유력종목분석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2" i="1" l="1"/>
  <c r="D32" i="1"/>
  <c r="C28" i="1"/>
  <c r="C34" i="1" s="1"/>
  <c r="D27" i="1"/>
  <c r="C27" i="1"/>
  <c r="E14" i="1"/>
  <c r="D14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O8" i="1"/>
  <c r="O14" i="1" s="1"/>
  <c r="N8" i="1"/>
  <c r="N14" i="1" s="1"/>
  <c r="M8" i="1"/>
  <c r="M14" i="1" s="1"/>
  <c r="L8" i="1"/>
  <c r="L14" i="1" s="1"/>
  <c r="K8" i="1"/>
  <c r="K14" i="1" s="1"/>
  <c r="J8" i="1"/>
  <c r="J14" i="1" s="1"/>
  <c r="I8" i="1"/>
  <c r="I14" i="1" s="1"/>
  <c r="H8" i="1"/>
  <c r="H14" i="1" s="1"/>
  <c r="G8" i="1"/>
  <c r="G14" i="1" s="1"/>
  <c r="F8" i="1"/>
  <c r="F14" i="1" s="1"/>
  <c r="E8" i="1"/>
  <c r="D8" i="1"/>
  <c r="C8" i="1"/>
  <c r="C14" i="1" s="1"/>
  <c r="O7" i="1"/>
  <c r="N7" i="1"/>
  <c r="M7" i="1"/>
  <c r="L7" i="1"/>
  <c r="K7" i="1"/>
  <c r="J7" i="1"/>
  <c r="I7" i="1"/>
  <c r="H7" i="1"/>
  <c r="G7" i="1"/>
  <c r="F7" i="1"/>
  <c r="E7" i="1"/>
  <c r="D7" i="1"/>
  <c r="C7" i="1"/>
  <c r="D28" i="1" l="1"/>
  <c r="D34" i="1" s="1"/>
</calcChain>
</file>

<file path=xl/sharedStrings.xml><?xml version="1.0" encoding="utf-8"?>
<sst xmlns="http://schemas.openxmlformats.org/spreadsheetml/2006/main" count="75" uniqueCount="66">
  <si>
    <t>한국 조선 및 방산업체 현황</t>
    <phoneticPr fontId="3" type="noConversion"/>
  </si>
  <si>
    <t>방산 (육상/항공)</t>
    <phoneticPr fontId="3" type="noConversion"/>
  </si>
  <si>
    <t>조선&amp;방산(해상)</t>
    <phoneticPr fontId="3" type="noConversion"/>
  </si>
  <si>
    <t>원자력</t>
    <phoneticPr fontId="3" type="noConversion"/>
  </si>
  <si>
    <t>전자/전기/MLCC</t>
    <phoneticPr fontId="3" type="noConversion"/>
  </si>
  <si>
    <t>2차전지</t>
    <phoneticPr fontId="3" type="noConversion"/>
  </si>
  <si>
    <t>반도체</t>
    <phoneticPr fontId="3" type="noConversion"/>
  </si>
  <si>
    <t>번호</t>
    <phoneticPr fontId="3" type="noConversion"/>
  </si>
  <si>
    <t>내용</t>
    <phoneticPr fontId="3" type="noConversion"/>
  </si>
  <si>
    <t>SK하이닉스</t>
    <phoneticPr fontId="3" type="noConversion"/>
  </si>
  <si>
    <t>삼성전자</t>
    <phoneticPr fontId="3" type="noConversion"/>
  </si>
  <si>
    <t>한화 에어로스페이스</t>
    <phoneticPr fontId="3" type="noConversion"/>
  </si>
  <si>
    <t>현대로템</t>
    <phoneticPr fontId="3" type="noConversion"/>
  </si>
  <si>
    <t>한국항공우주</t>
    <phoneticPr fontId="3" type="noConversion"/>
  </si>
  <si>
    <t>LIG넥스원</t>
    <phoneticPr fontId="3" type="noConversion"/>
  </si>
  <si>
    <t>삼성중공업</t>
    <phoneticPr fontId="3" type="noConversion"/>
  </si>
  <si>
    <t>HD현대중공업</t>
    <phoneticPr fontId="3" type="noConversion"/>
  </si>
  <si>
    <t>한화오션</t>
    <phoneticPr fontId="3" type="noConversion"/>
  </si>
  <si>
    <t>두산에너빌리티</t>
    <phoneticPr fontId="3" type="noConversion"/>
  </si>
  <si>
    <t>삼성전기</t>
    <phoneticPr fontId="3" type="noConversion"/>
  </si>
  <si>
    <t>삼성SDI</t>
    <phoneticPr fontId="3" type="noConversion"/>
  </si>
  <si>
    <t>한미반도체</t>
    <phoneticPr fontId="3" type="noConversion"/>
  </si>
  <si>
    <t>매출액</t>
    <phoneticPr fontId="3" type="noConversion"/>
  </si>
  <si>
    <t>영업이익</t>
    <phoneticPr fontId="3" type="noConversion"/>
  </si>
  <si>
    <t>순이익</t>
    <phoneticPr fontId="3" type="noConversion"/>
  </si>
  <si>
    <t>영업이익율</t>
    <phoneticPr fontId="3" type="noConversion"/>
  </si>
  <si>
    <t>시가총액</t>
    <phoneticPr fontId="3" type="noConversion"/>
  </si>
  <si>
    <t>상장주식수</t>
    <phoneticPr fontId="3" type="noConversion"/>
  </si>
  <si>
    <t>주가</t>
    <phoneticPr fontId="3" type="noConversion"/>
  </si>
  <si>
    <t>EPS</t>
    <phoneticPr fontId="3" type="noConversion"/>
  </si>
  <si>
    <t>PER(25/12)</t>
    <phoneticPr fontId="3" type="noConversion"/>
  </si>
  <si>
    <t>PBR</t>
    <phoneticPr fontId="3" type="noConversion"/>
  </si>
  <si>
    <t>1억주 기준 평가</t>
    <phoneticPr fontId="3" type="noConversion"/>
  </si>
  <si>
    <t>주요제품</t>
    <phoneticPr fontId="3" type="noConversion"/>
  </si>
  <si>
    <t>반도체/모바일/LED/가전</t>
    <phoneticPr fontId="3" type="noConversion"/>
  </si>
  <si>
    <t>항공엔진/K9</t>
    <phoneticPr fontId="3" type="noConversion"/>
  </si>
  <si>
    <t>철도차량/방산</t>
    <phoneticPr fontId="3" type="noConversion"/>
  </si>
  <si>
    <t>FA50/KF21</t>
    <phoneticPr fontId="3" type="noConversion"/>
  </si>
  <si>
    <t>미사일/방어무기</t>
    <phoneticPr fontId="3" type="noConversion"/>
  </si>
  <si>
    <t>조선/FLNG</t>
    <phoneticPr fontId="3" type="noConversion"/>
  </si>
  <si>
    <t>조선/방산/MRO</t>
    <phoneticPr fontId="3" type="noConversion"/>
  </si>
  <si>
    <t>원자력/엔진</t>
    <phoneticPr fontId="3" type="noConversion"/>
  </si>
  <si>
    <t>전자/전기장비/MLCC</t>
    <phoneticPr fontId="3" type="noConversion"/>
  </si>
  <si>
    <t>HBM용TC본더/검사장비</t>
    <phoneticPr fontId="3" type="noConversion"/>
  </si>
  <si>
    <t>HBM지속 성장</t>
    <phoneticPr fontId="3" type="noConversion"/>
  </si>
  <si>
    <t>K9 및 래드백 등 각종무기</t>
    <phoneticPr fontId="3" type="noConversion"/>
  </si>
  <si>
    <t>K2전차 및 고속철도 계약</t>
    <phoneticPr fontId="3" type="noConversion"/>
  </si>
  <si>
    <t>KF21추가계약 및 양산</t>
    <phoneticPr fontId="3" type="noConversion"/>
  </si>
  <si>
    <t>방어미사일 재고부족</t>
    <phoneticPr fontId="3" type="noConversion"/>
  </si>
  <si>
    <t>FLANG/MRO</t>
    <phoneticPr fontId="3" type="noConversion"/>
  </si>
  <si>
    <t>MRO/미국 방산/KDDX</t>
    <phoneticPr fontId="3" type="noConversion"/>
  </si>
  <si>
    <t>미국 발전소 공급계약</t>
    <phoneticPr fontId="3" type="noConversion"/>
  </si>
  <si>
    <t>일본 무라타와 MLCC 독과점</t>
    <phoneticPr fontId="3" type="noConversion"/>
  </si>
  <si>
    <t>전고체 배터리 양산</t>
    <phoneticPr fontId="3" type="noConversion"/>
  </si>
  <si>
    <t>VISION PLACEMENT</t>
    <phoneticPr fontId="3" type="noConversion"/>
  </si>
  <si>
    <t>영업이익, PER벨류 좋음</t>
    <phoneticPr fontId="3" type="noConversion"/>
  </si>
  <si>
    <t>영업이익, PER벨류 적절</t>
    <phoneticPr fontId="3" type="noConversion"/>
  </si>
  <si>
    <t>영업이익, PBR낮음</t>
    <phoneticPr fontId="3" type="noConversion"/>
  </si>
  <si>
    <t>1추천</t>
    <phoneticPr fontId="3" type="noConversion"/>
  </si>
  <si>
    <t>2추천</t>
    <phoneticPr fontId="3" type="noConversion"/>
  </si>
  <si>
    <t>3추천</t>
    <phoneticPr fontId="3" type="noConversion"/>
  </si>
  <si>
    <t>2026년(예상)</t>
    <phoneticPr fontId="3" type="noConversion"/>
  </si>
  <si>
    <t>AI반도체(HBM)</t>
    <phoneticPr fontId="3" type="noConversion"/>
  </si>
  <si>
    <t>예상</t>
    <phoneticPr fontId="3" type="noConversion"/>
  </si>
  <si>
    <t>예상 PER</t>
    <phoneticPr fontId="3" type="noConversion"/>
  </si>
  <si>
    <t>여전히 낮음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</si>
</sst>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_-* #,##0.00_-;\-* #,##0.00_-;_-* &quot;-&quot;_-;_-@_-"/>
  </numFmts>
  <fonts count="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4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thick">
        <color rgb="FFFF0000"/>
      </left>
      <right style="thick">
        <color rgb="FFFF0000"/>
      </right>
      <top style="medium">
        <color auto="1"/>
      </top>
      <bottom style="hair">
        <color auto="1"/>
      </bottom>
      <diagonal/>
    </border>
    <border>
      <left/>
      <right style="thin">
        <color auto="1"/>
      </right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thick">
        <color rgb="FFFF0000"/>
      </left>
      <right style="thick">
        <color rgb="FFFF0000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medium">
        <color auto="1"/>
      </left>
      <right/>
      <top style="hair">
        <color auto="1"/>
      </top>
      <bottom/>
      <diagonal/>
    </border>
    <border>
      <left style="thick">
        <color rgb="FFFF0000"/>
      </left>
      <right style="thick">
        <color rgb="FFFF0000"/>
      </right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 style="thick">
        <color rgb="FFFF0000"/>
      </left>
      <right style="thick">
        <color rgb="FFFF0000"/>
      </right>
      <top style="hair">
        <color auto="1"/>
      </top>
      <bottom style="thick">
        <color rgb="FFFF0000"/>
      </bottom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/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99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>
      <alignment vertical="center"/>
    </xf>
    <xf numFmtId="41" fontId="0" fillId="0" borderId="9" xfId="1" applyFont="1" applyFill="1" applyBorder="1">
      <alignment vertical="center"/>
    </xf>
    <xf numFmtId="41" fontId="4" fillId="0" borderId="10" xfId="1" applyFont="1" applyFill="1" applyBorder="1">
      <alignment vertical="center"/>
    </xf>
    <xf numFmtId="41" fontId="4" fillId="0" borderId="11" xfId="1" applyFont="1" applyFill="1" applyBorder="1">
      <alignment vertical="center"/>
    </xf>
    <xf numFmtId="41" fontId="0" fillId="0" borderId="8" xfId="1" applyFont="1" applyFill="1" applyBorder="1">
      <alignment vertical="center"/>
    </xf>
    <xf numFmtId="41" fontId="4" fillId="0" borderId="9" xfId="1" applyFont="1" applyFill="1" applyBorder="1">
      <alignment vertical="center"/>
    </xf>
    <xf numFmtId="41" fontId="4" fillId="0" borderId="12" xfId="1" applyFont="1" applyFill="1" applyBorder="1">
      <alignment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>
      <alignment vertical="center"/>
    </xf>
    <xf numFmtId="41" fontId="0" fillId="0" borderId="15" xfId="1" applyFont="1" applyFill="1" applyBorder="1">
      <alignment vertical="center"/>
    </xf>
    <xf numFmtId="41" fontId="4" fillId="0" borderId="16" xfId="1" applyFont="1" applyFill="1" applyBorder="1">
      <alignment vertical="center"/>
    </xf>
    <xf numFmtId="41" fontId="4" fillId="0" borderId="17" xfId="1" applyFont="1" applyFill="1" applyBorder="1">
      <alignment vertical="center"/>
    </xf>
    <xf numFmtId="41" fontId="0" fillId="0" borderId="14" xfId="1" applyFont="1" applyFill="1" applyBorder="1">
      <alignment vertical="center"/>
    </xf>
    <xf numFmtId="41" fontId="4" fillId="0" borderId="15" xfId="1" applyFont="1" applyFill="1" applyBorder="1">
      <alignment vertical="center"/>
    </xf>
    <xf numFmtId="41" fontId="4" fillId="0" borderId="18" xfId="1" applyFont="1" applyFill="1" applyBorder="1">
      <alignment vertical="center"/>
    </xf>
    <xf numFmtId="0" fontId="5" fillId="6" borderId="13" xfId="0" applyFont="1" applyFill="1" applyBorder="1" applyAlignment="1">
      <alignment horizontal="center" vertical="center"/>
    </xf>
    <xf numFmtId="0" fontId="5" fillId="6" borderId="14" xfId="0" applyFont="1" applyFill="1" applyBorder="1">
      <alignment vertical="center"/>
    </xf>
    <xf numFmtId="10" fontId="5" fillId="6" borderId="15" xfId="2" applyNumberFormat="1" applyFont="1" applyFill="1" applyBorder="1">
      <alignment vertical="center"/>
    </xf>
    <xf numFmtId="10" fontId="5" fillId="6" borderId="16" xfId="2" applyNumberFormat="1" applyFont="1" applyFill="1" applyBorder="1">
      <alignment vertical="center"/>
    </xf>
    <xf numFmtId="10" fontId="5" fillId="6" borderId="17" xfId="2" applyNumberFormat="1" applyFont="1" applyFill="1" applyBorder="1">
      <alignment vertical="center"/>
    </xf>
    <xf numFmtId="10" fontId="5" fillId="6" borderId="14" xfId="2" applyNumberFormat="1" applyFont="1" applyFill="1" applyBorder="1">
      <alignment vertical="center"/>
    </xf>
    <xf numFmtId="10" fontId="5" fillId="6" borderId="18" xfId="2" applyNumberFormat="1" applyFont="1" applyFill="1" applyBorder="1">
      <alignment vertical="center"/>
    </xf>
    <xf numFmtId="41" fontId="4" fillId="0" borderId="14" xfId="1" applyFont="1" applyFill="1" applyBorder="1">
      <alignment vertical="center"/>
    </xf>
    <xf numFmtId="41" fontId="0" fillId="7" borderId="15" xfId="1" applyFont="1" applyFill="1" applyBorder="1">
      <alignment vertical="center"/>
    </xf>
    <xf numFmtId="41" fontId="0" fillId="7" borderId="14" xfId="1" applyFont="1" applyFill="1" applyBorder="1">
      <alignment vertical="center"/>
    </xf>
    <xf numFmtId="176" fontId="5" fillId="6" borderId="15" xfId="1" applyNumberFormat="1" applyFont="1" applyFill="1" applyBorder="1">
      <alignment vertical="center"/>
    </xf>
    <xf numFmtId="176" fontId="5" fillId="6" borderId="16" xfId="1" applyNumberFormat="1" applyFont="1" applyFill="1" applyBorder="1">
      <alignment vertical="center"/>
    </xf>
    <xf numFmtId="176" fontId="5" fillId="6" borderId="17" xfId="1" applyNumberFormat="1" applyFont="1" applyFill="1" applyBorder="1">
      <alignment vertical="center"/>
    </xf>
    <xf numFmtId="176" fontId="5" fillId="6" borderId="14" xfId="1" applyNumberFormat="1" applyFont="1" applyFill="1" applyBorder="1">
      <alignment vertical="center"/>
    </xf>
    <xf numFmtId="176" fontId="5" fillId="6" borderId="18" xfId="1" applyNumberFormat="1" applyFont="1" applyFill="1" applyBorder="1">
      <alignment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>
      <alignment vertical="center"/>
    </xf>
    <xf numFmtId="176" fontId="0" fillId="7" borderId="21" xfId="1" applyNumberFormat="1" applyFont="1" applyFill="1" applyBorder="1">
      <alignment vertical="center"/>
    </xf>
    <xf numFmtId="176" fontId="4" fillId="0" borderId="22" xfId="1" applyNumberFormat="1" applyFont="1" applyFill="1" applyBorder="1">
      <alignment vertical="center"/>
    </xf>
    <xf numFmtId="176" fontId="4" fillId="0" borderId="23" xfId="1" applyNumberFormat="1" applyFont="1" applyFill="1" applyBorder="1">
      <alignment vertical="center"/>
    </xf>
    <xf numFmtId="176" fontId="0" fillId="7" borderId="20" xfId="1" applyNumberFormat="1" applyFont="1" applyFill="1" applyBorder="1">
      <alignment vertical="center"/>
    </xf>
    <xf numFmtId="176" fontId="4" fillId="0" borderId="21" xfId="1" applyNumberFormat="1" applyFont="1" applyFill="1" applyBorder="1">
      <alignment vertical="center"/>
    </xf>
    <xf numFmtId="176" fontId="4" fillId="0" borderId="24" xfId="1" applyNumberFormat="1" applyFont="1" applyFill="1" applyBorder="1">
      <alignment vertical="center"/>
    </xf>
    <xf numFmtId="0" fontId="2" fillId="8" borderId="7" xfId="0" applyFont="1" applyFill="1" applyBorder="1" applyAlignment="1">
      <alignment horizontal="center" vertical="center"/>
    </xf>
    <xf numFmtId="0" fontId="2" fillId="8" borderId="8" xfId="0" applyFont="1" applyFill="1" applyBorder="1">
      <alignment vertical="center"/>
    </xf>
    <xf numFmtId="41" fontId="4" fillId="8" borderId="9" xfId="0" applyNumberFormat="1" applyFont="1" applyFill="1" applyBorder="1">
      <alignment vertical="center"/>
    </xf>
    <xf numFmtId="41" fontId="4" fillId="8" borderId="10" xfId="0" applyNumberFormat="1" applyFont="1" applyFill="1" applyBorder="1">
      <alignment vertical="center"/>
    </xf>
    <xf numFmtId="41" fontId="4" fillId="8" borderId="11" xfId="0" applyNumberFormat="1" applyFont="1" applyFill="1" applyBorder="1">
      <alignment vertical="center"/>
    </xf>
    <xf numFmtId="41" fontId="4" fillId="8" borderId="8" xfId="0" applyNumberFormat="1" applyFont="1" applyFill="1" applyBorder="1">
      <alignment vertical="center"/>
    </xf>
    <xf numFmtId="41" fontId="4" fillId="8" borderId="12" xfId="0" applyNumberFormat="1" applyFont="1" applyFill="1" applyBorder="1">
      <alignment vertical="center"/>
    </xf>
    <xf numFmtId="0" fontId="2" fillId="8" borderId="25" xfId="0" applyFont="1" applyFill="1" applyBorder="1" applyAlignment="1">
      <alignment horizontal="center" vertical="center"/>
    </xf>
    <xf numFmtId="0" fontId="2" fillId="8" borderId="26" xfId="0" applyFont="1" applyFill="1" applyBorder="1">
      <alignment vertical="center"/>
    </xf>
    <xf numFmtId="0" fontId="0" fillId="8" borderId="27" xfId="0" applyFill="1" applyBorder="1" applyAlignment="1">
      <alignment horizontal="center" vertical="center"/>
    </xf>
    <xf numFmtId="0" fontId="4" fillId="8" borderId="28" xfId="0" applyFont="1" applyFill="1" applyBorder="1" applyAlignment="1">
      <alignment horizontal="center" vertical="center"/>
    </xf>
    <xf numFmtId="0" fontId="0" fillId="8" borderId="29" xfId="0" applyFill="1" applyBorder="1" applyAlignment="1">
      <alignment horizontal="center" vertical="center"/>
    </xf>
    <xf numFmtId="0" fontId="0" fillId="8" borderId="26" xfId="0" applyFill="1" applyBorder="1" applyAlignment="1">
      <alignment horizontal="center" vertical="center"/>
    </xf>
    <xf numFmtId="0" fontId="4" fillId="8" borderId="27" xfId="0" applyFont="1" applyFill="1" applyBorder="1" applyAlignment="1">
      <alignment horizontal="center" vertical="center"/>
    </xf>
    <xf numFmtId="0" fontId="4" fillId="8" borderId="30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6" borderId="31" xfId="0" applyFill="1" applyBorder="1" applyAlignment="1">
      <alignment horizontal="center" vertical="center"/>
    </xf>
    <xf numFmtId="0" fontId="0" fillId="6" borderId="32" xfId="0" applyFill="1" applyBorder="1">
      <alignment vertical="center"/>
    </xf>
    <xf numFmtId="0" fontId="0" fillId="6" borderId="33" xfId="0" applyFill="1" applyBorder="1">
      <alignment vertical="center"/>
    </xf>
    <xf numFmtId="0" fontId="0" fillId="0" borderId="33" xfId="0" applyBorder="1">
      <alignment vertical="center"/>
    </xf>
    <xf numFmtId="0" fontId="0" fillId="0" borderId="34" xfId="0" applyBorder="1">
      <alignment vertical="center"/>
    </xf>
    <xf numFmtId="0" fontId="0" fillId="7" borderId="35" xfId="0" applyFill="1" applyBorder="1">
      <alignment vertical="center"/>
    </xf>
    <xf numFmtId="0" fontId="0" fillId="0" borderId="36" xfId="0" applyBorder="1">
      <alignment vertical="center"/>
    </xf>
    <xf numFmtId="0" fontId="0" fillId="9" borderId="36" xfId="0" applyFill="1" applyBorder="1">
      <alignment vertical="center"/>
    </xf>
    <xf numFmtId="0" fontId="0" fillId="0" borderId="37" xfId="0" applyBorder="1">
      <alignment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>
      <alignment vertical="center"/>
    </xf>
    <xf numFmtId="0" fontId="0" fillId="0" borderId="40" xfId="0" applyBorder="1">
      <alignment vertical="center"/>
    </xf>
    <xf numFmtId="0" fontId="0" fillId="8" borderId="40" xfId="0" applyFill="1" applyBorder="1">
      <alignment vertical="center"/>
    </xf>
    <xf numFmtId="0" fontId="0" fillId="8" borderId="41" xfId="0" applyFill="1" applyBorder="1">
      <alignment vertical="center"/>
    </xf>
    <xf numFmtId="0" fontId="0" fillId="8" borderId="0" xfId="0" applyFill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41" fontId="4" fillId="0" borderId="43" xfId="1" applyFont="1" applyFill="1" applyBorder="1">
      <alignment vertical="center"/>
    </xf>
    <xf numFmtId="41" fontId="4" fillId="0" borderId="44" xfId="1" applyFont="1" applyFill="1" applyBorder="1">
      <alignment vertical="center"/>
    </xf>
    <xf numFmtId="10" fontId="5" fillId="6" borderId="44" xfId="2" applyNumberFormat="1" applyFont="1" applyFill="1" applyBorder="1">
      <alignment vertical="center"/>
    </xf>
    <xf numFmtId="41" fontId="4" fillId="0" borderId="45" xfId="1" applyFont="1" applyFill="1" applyBorder="1">
      <alignment vertical="center"/>
    </xf>
    <xf numFmtId="176" fontId="5" fillId="6" borderId="45" xfId="1" applyNumberFormat="1" applyFont="1" applyFill="1" applyBorder="1">
      <alignment vertical="center"/>
    </xf>
    <xf numFmtId="176" fontId="4" fillId="0" borderId="46" xfId="1" applyNumberFormat="1" applyFont="1" applyFill="1" applyBorder="1">
      <alignment vertical="center"/>
    </xf>
    <xf numFmtId="41" fontId="4" fillId="8" borderId="43" xfId="0" applyNumberFormat="1" applyFont="1" applyFill="1" applyBorder="1">
      <alignment vertical="center"/>
    </xf>
    <xf numFmtId="0" fontId="4" fillId="8" borderId="47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1" fontId="4" fillId="0" borderId="46" xfId="1" applyFont="1" applyFill="1" applyBorder="1">
      <alignment vertical="center"/>
    </xf>
    <xf numFmtId="0" fontId="0" fillId="0" borderId="42" xfId="0" applyBorder="1">
      <alignment vertical="center"/>
    </xf>
    <xf numFmtId="41" fontId="4" fillId="0" borderId="42" xfId="1" applyFont="1" applyFill="1" applyBorder="1">
      <alignment vertical="center"/>
    </xf>
    <xf numFmtId="176" fontId="4" fillId="0" borderId="45" xfId="1" applyNumberFormat="1" applyFont="1" applyFill="1" applyBorder="1">
      <alignment vertical="center"/>
    </xf>
    <xf numFmtId="176" fontId="5" fillId="6" borderId="42" xfId="1" applyNumberFormat="1" applyFont="1" applyFill="1" applyBorder="1">
      <alignment vertical="center"/>
    </xf>
    <xf numFmtId="0" fontId="2" fillId="0" borderId="31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</cellXfs>
  <cellStyles count="3">
    <cellStyle name="백분율" xfId="2" builtinId="5"/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BF0F9-B10E-4C73-A3EA-DCB69CCEC5E8}">
  <dimension ref="A1:O35"/>
  <sheetViews>
    <sheetView tabSelected="1" zoomScale="85" zoomScaleNormal="85" workbookViewId="0">
      <pane xSplit="2" ySplit="3" topLeftCell="C4" activePane="bottomRight" state="frozen"/>
      <selection activeCell="C2" sqref="C2:L2"/>
      <selection pane="topRight" activeCell="C2" sqref="C2:L2"/>
      <selection pane="bottomLeft" activeCell="C2" sqref="C2:L2"/>
      <selection pane="bottomRight" activeCell="E26" sqref="E26"/>
    </sheetView>
  </sheetViews>
  <sheetFormatPr defaultRowHeight="17.399999999999999" x14ac:dyDescent="0.4"/>
  <cols>
    <col min="1" max="1" width="7.19921875" customWidth="1"/>
    <col min="2" max="2" width="16.5" customWidth="1"/>
    <col min="3" max="4" width="23" customWidth="1"/>
    <col min="5" max="15" width="29.19921875" customWidth="1"/>
    <col min="16" max="22" width="12.69921875" customWidth="1"/>
  </cols>
  <sheetData>
    <row r="1" spans="1:15" x14ac:dyDescent="0.4">
      <c r="A1" s="1" t="s">
        <v>0</v>
      </c>
    </row>
    <row r="2" spans="1:15" ht="18" thickBot="1" x14ac:dyDescent="0.45">
      <c r="C2" s="81" t="s">
        <v>62</v>
      </c>
      <c r="D2" s="81"/>
      <c r="E2" s="2" t="s">
        <v>1</v>
      </c>
      <c r="F2" s="2"/>
      <c r="G2" s="2"/>
      <c r="H2" s="2"/>
      <c r="I2" s="3" t="s">
        <v>2</v>
      </c>
      <c r="J2" s="3"/>
      <c r="K2" s="3"/>
      <c r="L2" s="4" t="s">
        <v>3</v>
      </c>
      <c r="M2" s="5" t="s">
        <v>4</v>
      </c>
      <c r="N2" s="4" t="s">
        <v>5</v>
      </c>
      <c r="O2" s="5" t="s">
        <v>6</v>
      </c>
    </row>
    <row r="3" spans="1:15" ht="18.600000000000001" thickTop="1" thickBot="1" x14ac:dyDescent="0.45">
      <c r="A3" s="6" t="s">
        <v>7</v>
      </c>
      <c r="B3" s="7" t="s">
        <v>8</v>
      </c>
      <c r="C3" s="82" t="s">
        <v>9</v>
      </c>
      <c r="D3" s="82" t="s">
        <v>10</v>
      </c>
      <c r="E3" s="8" t="s">
        <v>11</v>
      </c>
      <c r="F3" s="9" t="s">
        <v>12</v>
      </c>
      <c r="G3" s="10" t="s">
        <v>13</v>
      </c>
      <c r="H3" s="7" t="s">
        <v>14</v>
      </c>
      <c r="I3" s="8" t="s">
        <v>15</v>
      </c>
      <c r="J3" s="9" t="s">
        <v>16</v>
      </c>
      <c r="K3" s="11" t="s">
        <v>17</v>
      </c>
      <c r="L3" s="11" t="s">
        <v>18</v>
      </c>
      <c r="M3" s="11" t="s">
        <v>19</v>
      </c>
      <c r="N3" s="11" t="s">
        <v>20</v>
      </c>
      <c r="O3" s="11" t="s">
        <v>21</v>
      </c>
    </row>
    <row r="4" spans="1:15" x14ac:dyDescent="0.4">
      <c r="A4" s="12">
        <v>1</v>
      </c>
      <c r="B4" s="13" t="s">
        <v>22</v>
      </c>
      <c r="C4" s="83">
        <v>95151800000000</v>
      </c>
      <c r="D4" s="83">
        <v>333605900000000</v>
      </c>
      <c r="E4" s="14">
        <v>26905300000000</v>
      </c>
      <c r="F4" s="15">
        <v>5954900000000</v>
      </c>
      <c r="G4" s="16">
        <v>3658600000000</v>
      </c>
      <c r="H4" s="17">
        <v>4116000000000</v>
      </c>
      <c r="I4" s="18">
        <v>10732600000000</v>
      </c>
      <c r="J4" s="15">
        <v>18181200000000</v>
      </c>
      <c r="K4" s="19">
        <v>12893900000000</v>
      </c>
      <c r="L4" s="19">
        <v>16973500000000</v>
      </c>
      <c r="M4" s="19">
        <v>11252800000000</v>
      </c>
      <c r="N4" s="19">
        <v>12907600000000</v>
      </c>
      <c r="O4" s="19">
        <v>647000000000</v>
      </c>
    </row>
    <row r="5" spans="1:15" x14ac:dyDescent="0.4">
      <c r="A5" s="20">
        <v>2</v>
      </c>
      <c r="B5" s="21" t="s">
        <v>23</v>
      </c>
      <c r="C5" s="84">
        <v>44408200000000</v>
      </c>
      <c r="D5" s="84">
        <v>43601000000000</v>
      </c>
      <c r="E5" s="22">
        <v>3460100000000</v>
      </c>
      <c r="F5" s="23">
        <v>1055800000000</v>
      </c>
      <c r="G5" s="24">
        <v>304400000000</v>
      </c>
      <c r="H5" s="25">
        <v>349900000000</v>
      </c>
      <c r="I5" s="26">
        <v>873900000000</v>
      </c>
      <c r="J5" s="23">
        <v>2288300000000</v>
      </c>
      <c r="K5" s="27">
        <v>1285100000000</v>
      </c>
      <c r="L5" s="27">
        <v>893800000000</v>
      </c>
      <c r="M5" s="27">
        <v>902200000000</v>
      </c>
      <c r="N5" s="27">
        <v>-1709100000000</v>
      </c>
      <c r="O5" s="27">
        <v>297300000000</v>
      </c>
    </row>
    <row r="6" spans="1:15" x14ac:dyDescent="0.4">
      <c r="A6" s="20">
        <v>3</v>
      </c>
      <c r="B6" s="21" t="s">
        <v>24</v>
      </c>
      <c r="C6" s="84">
        <v>40666400000000</v>
      </c>
      <c r="D6" s="84">
        <v>45206800000000</v>
      </c>
      <c r="E6" s="22">
        <v>2080400000000</v>
      </c>
      <c r="F6" s="23">
        <v>803900000000</v>
      </c>
      <c r="G6" s="24">
        <v>209600000000</v>
      </c>
      <c r="H6" s="25">
        <v>297800000000</v>
      </c>
      <c r="I6" s="26">
        <v>656400000000</v>
      </c>
      <c r="J6" s="23">
        <v>1542400000000</v>
      </c>
      <c r="K6" s="27">
        <v>905100000000</v>
      </c>
      <c r="L6" s="27">
        <v>394000000000</v>
      </c>
      <c r="M6" s="27">
        <v>707600000000</v>
      </c>
      <c r="N6" s="27">
        <v>-623800000000</v>
      </c>
      <c r="O6" s="27">
        <v>283600000000</v>
      </c>
    </row>
    <row r="7" spans="1:15" x14ac:dyDescent="0.4">
      <c r="A7" s="28">
        <v>4</v>
      </c>
      <c r="B7" s="29" t="s">
        <v>25</v>
      </c>
      <c r="C7" s="85">
        <f>C5/C4</f>
        <v>0.46670898501131874</v>
      </c>
      <c r="D7" s="85">
        <f t="shared" ref="D7" si="0">D5/D4</f>
        <v>0.13069612977468323</v>
      </c>
      <c r="E7" s="30">
        <f>E5/E4</f>
        <v>0.12860291466737037</v>
      </c>
      <c r="F7" s="31">
        <f t="shared" ref="F7:H7" si="1">F5/F4</f>
        <v>0.17729936690792455</v>
      </c>
      <c r="G7" s="32">
        <f t="shared" si="1"/>
        <v>8.3201224512108457E-2</v>
      </c>
      <c r="H7" s="33">
        <f t="shared" si="1"/>
        <v>8.5009718172983473E-2</v>
      </c>
      <c r="I7" s="30">
        <f>I5/I4</f>
        <v>8.1424817844697461E-2</v>
      </c>
      <c r="J7" s="31">
        <f t="shared" ref="J7" si="2">J5/J4</f>
        <v>0.12586077926649505</v>
      </c>
      <c r="K7" s="34">
        <f>K5/K4</f>
        <v>9.9667284529893985E-2</v>
      </c>
      <c r="L7" s="34">
        <f>L5/L4</f>
        <v>5.265855598432851E-2</v>
      </c>
      <c r="M7" s="34">
        <f t="shared" ref="M7:O7" si="3">M5/M4</f>
        <v>8.0175600739371536E-2</v>
      </c>
      <c r="N7" s="34">
        <f t="shared" si="3"/>
        <v>-0.13241036288698133</v>
      </c>
      <c r="O7" s="34">
        <f t="shared" si="3"/>
        <v>0.45950540958268932</v>
      </c>
    </row>
    <row r="8" spans="1:15" x14ac:dyDescent="0.4">
      <c r="A8" s="20">
        <v>5</v>
      </c>
      <c r="B8" s="21" t="s">
        <v>26</v>
      </c>
      <c r="C8" s="84">
        <f>C9*C10</f>
        <v>715553174460000</v>
      </c>
      <c r="D8" s="86">
        <f t="shared" ref="D8:H8" si="4">D9*D10</f>
        <v>1183335620607800</v>
      </c>
      <c r="E8" s="22">
        <f t="shared" si="4"/>
        <v>63887053839000</v>
      </c>
      <c r="F8" s="23">
        <f t="shared" si="4"/>
        <v>24175017899500</v>
      </c>
      <c r="G8" s="24">
        <f t="shared" si="4"/>
        <v>17906177155900</v>
      </c>
      <c r="H8" s="25">
        <f t="shared" si="4"/>
        <v>11418000000000</v>
      </c>
      <c r="I8" s="26">
        <f>I9*I10</f>
        <v>25564000000000</v>
      </c>
      <c r="J8" s="23">
        <f>J9*J10</f>
        <v>62556890100000</v>
      </c>
      <c r="K8" s="27">
        <f>K9*K10</f>
        <v>43939680699600</v>
      </c>
      <c r="L8" s="27">
        <f>L9*L10</f>
        <v>64952900204400</v>
      </c>
      <c r="M8" s="27">
        <f t="shared" ref="M8:O8" si="5">M9*M10</f>
        <v>33350735264000</v>
      </c>
      <c r="N8" s="27">
        <f t="shared" si="5"/>
        <v>34007093660000</v>
      </c>
      <c r="O8" s="27">
        <f t="shared" si="5"/>
        <v>19967905900000</v>
      </c>
    </row>
    <row r="9" spans="1:15" x14ac:dyDescent="0.4">
      <c r="A9" s="20">
        <v>6</v>
      </c>
      <c r="B9" s="21" t="s">
        <v>27</v>
      </c>
      <c r="C9" s="84">
        <v>712702365</v>
      </c>
      <c r="D9" s="84">
        <v>5919637922</v>
      </c>
      <c r="E9" s="22">
        <v>51563401</v>
      </c>
      <c r="F9" s="23">
        <v>109142293</v>
      </c>
      <c r="G9" s="24">
        <v>97475107</v>
      </c>
      <c r="H9" s="25">
        <v>22000000</v>
      </c>
      <c r="I9" s="26">
        <v>880000000</v>
      </c>
      <c r="J9" s="23">
        <v>104961225</v>
      </c>
      <c r="K9" s="27">
        <v>306413394</v>
      </c>
      <c r="L9" s="27">
        <v>640561146</v>
      </c>
      <c r="M9" s="27">
        <v>74693696</v>
      </c>
      <c r="N9" s="27">
        <v>80585530</v>
      </c>
      <c r="O9" s="27">
        <v>95312200</v>
      </c>
    </row>
    <row r="10" spans="1:15" x14ac:dyDescent="0.4">
      <c r="A10" s="20">
        <v>7</v>
      </c>
      <c r="B10" s="21" t="s">
        <v>28</v>
      </c>
      <c r="C10" s="84">
        <v>1004000</v>
      </c>
      <c r="D10" s="84">
        <v>199900</v>
      </c>
      <c r="E10" s="26">
        <v>1239000</v>
      </c>
      <c r="F10" s="23">
        <v>221500</v>
      </c>
      <c r="G10" s="24">
        <v>183700</v>
      </c>
      <c r="H10" s="35">
        <v>519000</v>
      </c>
      <c r="I10" s="26">
        <v>29050</v>
      </c>
      <c r="J10" s="23">
        <v>596000</v>
      </c>
      <c r="K10" s="27">
        <v>143400</v>
      </c>
      <c r="L10" s="27">
        <v>101400</v>
      </c>
      <c r="M10" s="27">
        <v>446500</v>
      </c>
      <c r="N10" s="27">
        <v>422000</v>
      </c>
      <c r="O10" s="27">
        <v>209500</v>
      </c>
    </row>
    <row r="11" spans="1:15" x14ac:dyDescent="0.4">
      <c r="A11" s="20">
        <v>8</v>
      </c>
      <c r="B11" s="21" t="s">
        <v>29</v>
      </c>
      <c r="C11" s="86">
        <v>55583</v>
      </c>
      <c r="D11" s="86">
        <v>6564</v>
      </c>
      <c r="E11" s="36">
        <v>29330</v>
      </c>
      <c r="F11" s="23">
        <v>7395</v>
      </c>
      <c r="G11" s="24">
        <v>2148</v>
      </c>
      <c r="H11" s="37">
        <v>14131</v>
      </c>
      <c r="I11" s="26">
        <v>764</v>
      </c>
      <c r="J11" s="23">
        <v>17031</v>
      </c>
      <c r="K11" s="27">
        <v>2954</v>
      </c>
      <c r="L11" s="27">
        <v>297</v>
      </c>
      <c r="M11" s="27">
        <v>8809</v>
      </c>
      <c r="N11" s="27">
        <v>-7940</v>
      </c>
      <c r="O11" s="27">
        <v>2959</v>
      </c>
    </row>
    <row r="12" spans="1:15" x14ac:dyDescent="0.4">
      <c r="A12" s="28">
        <v>9</v>
      </c>
      <c r="B12" s="29" t="s">
        <v>30</v>
      </c>
      <c r="C12" s="87">
        <f t="shared" ref="C12:O12" si="6">C10/C11</f>
        <v>18.06307684004102</v>
      </c>
      <c r="D12" s="87">
        <f t="shared" si="6"/>
        <v>30.453991468616696</v>
      </c>
      <c r="E12" s="38">
        <f t="shared" si="6"/>
        <v>42.243436754176614</v>
      </c>
      <c r="F12" s="39">
        <f t="shared" si="6"/>
        <v>29.9526707234618</v>
      </c>
      <c r="G12" s="40">
        <f t="shared" si="6"/>
        <v>85.521415270018622</v>
      </c>
      <c r="H12" s="41">
        <f t="shared" si="6"/>
        <v>36.727761658764422</v>
      </c>
      <c r="I12" s="38">
        <f>I10/I11</f>
        <v>38.023560209424083</v>
      </c>
      <c r="J12" s="39">
        <f>J10/J11</f>
        <v>34.995009101051025</v>
      </c>
      <c r="K12" s="42">
        <f t="shared" ref="K12" si="7">K10/K11</f>
        <v>48.544346648612049</v>
      </c>
      <c r="L12" s="42">
        <f t="shared" si="6"/>
        <v>341.4141414141414</v>
      </c>
      <c r="M12" s="42">
        <f t="shared" si="6"/>
        <v>50.686797593370414</v>
      </c>
      <c r="N12" s="42">
        <f t="shared" si="6"/>
        <v>-53.148614609571787</v>
      </c>
      <c r="O12" s="42">
        <f t="shared" si="6"/>
        <v>70.800946265630287</v>
      </c>
    </row>
    <row r="13" spans="1:15" ht="18" thickBot="1" x14ac:dyDescent="0.45">
      <c r="A13" s="43">
        <v>10</v>
      </c>
      <c r="B13" s="44" t="s">
        <v>31</v>
      </c>
      <c r="C13" s="88">
        <v>4.68</v>
      </c>
      <c r="D13" s="88">
        <v>1.87</v>
      </c>
      <c r="E13" s="45">
        <v>6.57</v>
      </c>
      <c r="F13" s="46">
        <v>7.6</v>
      </c>
      <c r="G13" s="47">
        <v>8.76</v>
      </c>
      <c r="H13" s="48">
        <v>8.48</v>
      </c>
      <c r="I13" s="49">
        <v>5.89</v>
      </c>
      <c r="J13" s="46">
        <v>6.86</v>
      </c>
      <c r="K13" s="50">
        <v>7.31</v>
      </c>
      <c r="L13" s="50">
        <v>7.33</v>
      </c>
      <c r="M13" s="50">
        <v>2.34</v>
      </c>
      <c r="N13" s="50">
        <v>1.46</v>
      </c>
      <c r="O13" s="50">
        <v>26.55</v>
      </c>
    </row>
    <row r="14" spans="1:15" x14ac:dyDescent="0.4">
      <c r="A14" s="51">
        <v>11</v>
      </c>
      <c r="B14" s="52" t="s">
        <v>32</v>
      </c>
      <c r="C14" s="89">
        <f t="shared" ref="C14:H14" si="8">C8/100000000</f>
        <v>7155531.7445999999</v>
      </c>
      <c r="D14" s="89">
        <f t="shared" si="8"/>
        <v>11833356.206078</v>
      </c>
      <c r="E14" s="53">
        <f t="shared" si="8"/>
        <v>638870.53839</v>
      </c>
      <c r="F14" s="54">
        <f t="shared" si="8"/>
        <v>241750.17899499999</v>
      </c>
      <c r="G14" s="55">
        <f t="shared" si="8"/>
        <v>179061.77155899999</v>
      </c>
      <c r="H14" s="56">
        <f t="shared" si="8"/>
        <v>114180</v>
      </c>
      <c r="I14" s="53">
        <f>I8/100000000</f>
        <v>255640</v>
      </c>
      <c r="J14" s="54">
        <f t="shared" ref="J14:O14" si="9">J8/100000000</f>
        <v>625568.90099999995</v>
      </c>
      <c r="K14" s="57">
        <f t="shared" si="9"/>
        <v>439396.806996</v>
      </c>
      <c r="L14" s="57">
        <f t="shared" si="9"/>
        <v>649529.00204399996</v>
      </c>
      <c r="M14" s="57">
        <f t="shared" si="9"/>
        <v>333507.35264</v>
      </c>
      <c r="N14" s="57">
        <f t="shared" si="9"/>
        <v>340070.93660000002</v>
      </c>
      <c r="O14" s="57">
        <f t="shared" si="9"/>
        <v>199679.05900000001</v>
      </c>
    </row>
    <row r="15" spans="1:15" ht="18" thickBot="1" x14ac:dyDescent="0.45">
      <c r="A15" s="58">
        <v>12</v>
      </c>
      <c r="B15" s="59" t="s">
        <v>33</v>
      </c>
      <c r="C15" s="90" t="s">
        <v>6</v>
      </c>
      <c r="D15" s="90" t="s">
        <v>34</v>
      </c>
      <c r="E15" s="60" t="s">
        <v>35</v>
      </c>
      <c r="F15" s="61" t="s">
        <v>36</v>
      </c>
      <c r="G15" s="62" t="s">
        <v>37</v>
      </c>
      <c r="H15" s="63" t="s">
        <v>38</v>
      </c>
      <c r="I15" s="64" t="s">
        <v>39</v>
      </c>
      <c r="J15" s="61" t="s">
        <v>40</v>
      </c>
      <c r="K15" s="65" t="s">
        <v>40</v>
      </c>
      <c r="L15" s="65" t="s">
        <v>41</v>
      </c>
      <c r="M15" s="65" t="s">
        <v>42</v>
      </c>
      <c r="N15" s="65" t="s">
        <v>5</v>
      </c>
      <c r="O15" s="65" t="s">
        <v>43</v>
      </c>
    </row>
    <row r="16" spans="1:15" x14ac:dyDescent="0.4">
      <c r="C16" s="66" t="s">
        <v>44</v>
      </c>
      <c r="D16" s="66" t="s">
        <v>44</v>
      </c>
      <c r="E16" s="66" t="s">
        <v>45</v>
      </c>
      <c r="F16" s="66" t="s">
        <v>46</v>
      </c>
      <c r="G16" s="66" t="s">
        <v>47</v>
      </c>
      <c r="H16" s="66" t="s">
        <v>48</v>
      </c>
      <c r="I16" s="66" t="s">
        <v>49</v>
      </c>
      <c r="J16" s="66" t="s">
        <v>50</v>
      </c>
      <c r="K16" s="66" t="s">
        <v>50</v>
      </c>
      <c r="L16" s="66" t="s">
        <v>51</v>
      </c>
      <c r="M16" s="66" t="s">
        <v>52</v>
      </c>
      <c r="N16" s="66" t="s">
        <v>53</v>
      </c>
      <c r="O16" s="66" t="s">
        <v>54</v>
      </c>
    </row>
    <row r="17" spans="2:15" x14ac:dyDescent="0.4">
      <c r="E17" s="66"/>
      <c r="F17" s="66" t="s">
        <v>55</v>
      </c>
      <c r="G17" s="66"/>
      <c r="H17" s="66"/>
      <c r="I17" s="66"/>
      <c r="J17" s="66" t="s">
        <v>56</v>
      </c>
      <c r="K17" s="66"/>
      <c r="L17" s="66"/>
      <c r="M17" s="66" t="s">
        <v>57</v>
      </c>
      <c r="N17" s="66"/>
      <c r="O17" s="66"/>
    </row>
    <row r="18" spans="2:15" ht="18" thickBot="1" x14ac:dyDescent="0.45">
      <c r="E18" s="66"/>
      <c r="F18" s="66"/>
      <c r="G18" s="66"/>
      <c r="H18" s="66"/>
      <c r="I18" s="66"/>
      <c r="J18" s="66"/>
      <c r="K18" s="66"/>
      <c r="L18" s="66"/>
      <c r="M18" s="66"/>
      <c r="N18" s="66"/>
      <c r="O18" s="66"/>
    </row>
    <row r="19" spans="2:15" x14ac:dyDescent="0.4">
      <c r="B19" s="97" t="s">
        <v>58</v>
      </c>
      <c r="C19" s="67"/>
      <c r="D19" s="67"/>
      <c r="E19" s="68"/>
      <c r="F19" s="69"/>
      <c r="G19" s="70"/>
      <c r="H19" s="70"/>
      <c r="I19" s="70"/>
      <c r="J19" s="69"/>
      <c r="K19" s="70"/>
      <c r="L19" s="70"/>
      <c r="M19" s="69"/>
      <c r="N19" s="70"/>
      <c r="O19" s="71"/>
    </row>
    <row r="20" spans="2:15" x14ac:dyDescent="0.4">
      <c r="B20" s="91" t="s">
        <v>59</v>
      </c>
      <c r="C20" s="66"/>
      <c r="D20" s="66"/>
      <c r="E20" s="72"/>
      <c r="F20" s="73"/>
      <c r="G20" s="73"/>
      <c r="H20" s="73"/>
      <c r="I20" s="73"/>
      <c r="J20" s="73"/>
      <c r="K20" s="74"/>
      <c r="L20" s="73"/>
      <c r="M20" s="73"/>
      <c r="N20" s="74"/>
      <c r="O20" s="75"/>
    </row>
    <row r="21" spans="2:15" ht="18" thickBot="1" x14ac:dyDescent="0.45">
      <c r="B21" s="98" t="s">
        <v>60</v>
      </c>
      <c r="C21" s="76"/>
      <c r="D21" s="76"/>
      <c r="E21" s="77"/>
      <c r="F21" s="78"/>
      <c r="G21" s="79"/>
      <c r="H21" s="79"/>
      <c r="I21" s="79"/>
      <c r="J21" s="78"/>
      <c r="K21" s="78"/>
      <c r="L21" s="79"/>
      <c r="M21" s="78"/>
      <c r="N21" s="78"/>
      <c r="O21" s="80"/>
    </row>
    <row r="22" spans="2:15" ht="18" thickBot="1" x14ac:dyDescent="0.45"/>
    <row r="23" spans="2:15" ht="18" thickBot="1" x14ac:dyDescent="0.45">
      <c r="B23" s="91" t="s">
        <v>61</v>
      </c>
      <c r="C23" s="82" t="s">
        <v>9</v>
      </c>
      <c r="D23" s="82" t="s">
        <v>10</v>
      </c>
    </row>
    <row r="24" spans="2:15" x14ac:dyDescent="0.4">
      <c r="C24" s="83">
        <v>211672900000000</v>
      </c>
      <c r="D24" s="83">
        <v>474564800000000</v>
      </c>
    </row>
    <row r="25" spans="2:15" x14ac:dyDescent="0.4">
      <c r="C25" s="84">
        <v>143423800000000</v>
      </c>
      <c r="D25" s="84">
        <v>157118100000000</v>
      </c>
    </row>
    <row r="26" spans="2:15" x14ac:dyDescent="0.4">
      <c r="C26" s="84">
        <v>123266200000000</v>
      </c>
      <c r="D26" s="84">
        <v>147304900000000</v>
      </c>
    </row>
    <row r="27" spans="2:15" x14ac:dyDescent="0.4">
      <c r="C27" s="85">
        <f>C25/C24</f>
        <v>0.6775728021867703</v>
      </c>
      <c r="D27" s="85">
        <f t="shared" ref="D27" si="10">D25/D24</f>
        <v>0.33107828477796919</v>
      </c>
    </row>
    <row r="28" spans="2:15" x14ac:dyDescent="0.4">
      <c r="C28" s="84">
        <f>C29*C30</f>
        <v>1282864257000000</v>
      </c>
      <c r="D28" s="86">
        <f t="shared" ref="D28" si="11">D29*D30</f>
        <v>1775891376600000</v>
      </c>
    </row>
    <row r="29" spans="2:15" ht="18" thickBot="1" x14ac:dyDescent="0.45">
      <c r="C29" s="92">
        <v>712702365</v>
      </c>
      <c r="D29" s="92">
        <v>5919637922</v>
      </c>
    </row>
    <row r="30" spans="2:15" ht="18" thickBot="1" x14ac:dyDescent="0.45">
      <c r="B30" s="93" t="s">
        <v>63</v>
      </c>
      <c r="C30" s="94">
        <v>1800000</v>
      </c>
      <c r="D30" s="94">
        <v>300000</v>
      </c>
    </row>
    <row r="31" spans="2:15" ht="18" thickBot="1" x14ac:dyDescent="0.45">
      <c r="C31" s="86">
        <v>175915</v>
      </c>
      <c r="D31" s="86">
        <v>21374</v>
      </c>
    </row>
    <row r="32" spans="2:15" ht="18" thickBot="1" x14ac:dyDescent="0.45">
      <c r="B32" s="93" t="s">
        <v>64</v>
      </c>
      <c r="C32" s="96">
        <f t="shared" ref="C32:D32" si="12">C30/C31</f>
        <v>10.232214421737771</v>
      </c>
      <c r="D32" s="96">
        <f t="shared" si="12"/>
        <v>14.035744362309348</v>
      </c>
      <c r="E32" t="s">
        <v>65</v>
      </c>
    </row>
    <row r="33" spans="3:4" ht="18" thickBot="1" x14ac:dyDescent="0.45">
      <c r="C33" s="95">
        <v>2.5</v>
      </c>
      <c r="D33" s="95">
        <v>1.9</v>
      </c>
    </row>
    <row r="34" spans="3:4" x14ac:dyDescent="0.4">
      <c r="C34" s="89">
        <f t="shared" ref="C34:D34" si="13">C28/100000000</f>
        <v>12828642.57</v>
      </c>
      <c r="D34" s="89">
        <f t="shared" si="13"/>
        <v>17758913.765999999</v>
      </c>
    </row>
    <row r="35" spans="3:4" ht="18" thickBot="1" x14ac:dyDescent="0.45">
      <c r="C35" s="90" t="s">
        <v>6</v>
      </c>
      <c r="D35" s="90" t="s">
        <v>34</v>
      </c>
    </row>
  </sheetData>
  <mergeCells count="3">
    <mergeCell ref="E2:H2"/>
    <mergeCell ref="I2:K2"/>
    <mergeCell ref="C2:D2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유력종목분석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청현 노</dc:creator>
  <cp:lastModifiedBy>청현 노</cp:lastModifiedBy>
  <dcterms:created xsi:type="dcterms:W3CDTF">2026-02-24T08:57:44Z</dcterms:created>
  <dcterms:modified xsi:type="dcterms:W3CDTF">2026-02-24T09:01:39Z</dcterms:modified>
</cp:coreProperties>
</file>