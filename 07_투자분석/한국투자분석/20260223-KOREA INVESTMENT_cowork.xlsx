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E0FF600-9C7E-49C4-8011-8E17D70CEE35}" xr6:coauthVersionLast="47" xr6:coauthVersionMax="47" xr10:uidLastSave="{00000000-0000-0000-0000-000000000000}"/>
  <bookViews>
    <workbookView xWindow="28680" yWindow="315" windowWidth="29040" windowHeight="15240" activeTab="1" xr2:uid="{BCFF94C5-CAED-461E-B7D9-798354BB3D08}"/>
  </bookViews>
  <sheets>
    <sheet name="유력종목분석" sheetId="1" r:id="rId1"/>
    <sheet name="분석보고서" sheetId="2" r:id="rId2"/>
  </sheets>
  <definedNames>
    <definedName name="_xlnm.Print_Area" localSheetId="1">분석보고서!$A$1:$H$80</definedName>
    <definedName name="_xlnm.Print_Titles" localSheetId="1">분석보고서!$1:$3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C28" i="1"/>
  <c r="C34" i="1" s="1"/>
  <c r="D27" i="1"/>
  <c r="C27" i="1"/>
  <c r="E14" i="1"/>
  <c r="D14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O8" i="1"/>
  <c r="O14" i="1" s="1"/>
  <c r="N8" i="1"/>
  <c r="N14" i="1" s="1"/>
  <c r="M8" i="1"/>
  <c r="M14" i="1" s="1"/>
  <c r="L8" i="1"/>
  <c r="L14" i="1" s="1"/>
  <c r="K8" i="1"/>
  <c r="K14" i="1" s="1"/>
  <c r="J8" i="1"/>
  <c r="J14" i="1" s="1"/>
  <c r="I8" i="1"/>
  <c r="I14" i="1" s="1"/>
  <c r="H8" i="1"/>
  <c r="H14" i="1" s="1"/>
  <c r="G8" i="1"/>
  <c r="G14" i="1" s="1"/>
  <c r="F8" i="1"/>
  <c r="F14" i="1" s="1"/>
  <c r="E8" i="1"/>
  <c r="D8" i="1"/>
  <c r="C8" i="1"/>
  <c r="C14" i="1" s="1"/>
  <c r="O7" i="1"/>
  <c r="N7" i="1"/>
  <c r="M7" i="1"/>
  <c r="L7" i="1"/>
  <c r="K7" i="1"/>
  <c r="J7" i="1"/>
  <c r="I7" i="1"/>
  <c r="H7" i="1"/>
  <c r="G7" i="1"/>
  <c r="F7" i="1"/>
  <c r="E7" i="1"/>
  <c r="D7" i="1"/>
  <c r="C7" i="1"/>
  <c r="D28" i="1" l="1"/>
  <c r="D34" i="1" s="1"/>
</calcChain>
</file>

<file path=xl/sharedStrings.xml><?xml version="1.0" encoding="utf-8"?>
<sst xmlns="http://schemas.openxmlformats.org/spreadsheetml/2006/main" count="358" uniqueCount="273">
  <si>
    <t>한국 조선 및 방산업체 현황</t>
    <phoneticPr fontId="3" type="noConversion"/>
  </si>
  <si>
    <t>방산 (육상/항공)</t>
    <phoneticPr fontId="3" type="noConversion"/>
  </si>
  <si>
    <t>조선&amp;방산(해상)</t>
    <phoneticPr fontId="3" type="noConversion"/>
  </si>
  <si>
    <t>원자력</t>
    <phoneticPr fontId="3" type="noConversion"/>
  </si>
  <si>
    <t>전자/전기/MLCC</t>
    <phoneticPr fontId="3" type="noConversion"/>
  </si>
  <si>
    <t>2차전지</t>
    <phoneticPr fontId="3" type="noConversion"/>
  </si>
  <si>
    <t>반도체</t>
    <phoneticPr fontId="3" type="noConversion"/>
  </si>
  <si>
    <t>번호</t>
    <phoneticPr fontId="3" type="noConversion"/>
  </si>
  <si>
    <t>내용</t>
    <phoneticPr fontId="3" type="noConversion"/>
  </si>
  <si>
    <t>SK하이닉스</t>
    <phoneticPr fontId="3" type="noConversion"/>
  </si>
  <si>
    <t>삼성전자</t>
    <phoneticPr fontId="3" type="noConversion"/>
  </si>
  <si>
    <t>한화 에어로스페이스</t>
    <phoneticPr fontId="3" type="noConversion"/>
  </si>
  <si>
    <t>현대로템</t>
    <phoneticPr fontId="3" type="noConversion"/>
  </si>
  <si>
    <t>한국항공우주</t>
    <phoneticPr fontId="3" type="noConversion"/>
  </si>
  <si>
    <t>LIG넥스원</t>
    <phoneticPr fontId="3" type="noConversion"/>
  </si>
  <si>
    <t>삼성중공업</t>
    <phoneticPr fontId="3" type="noConversion"/>
  </si>
  <si>
    <t>HD현대중공업</t>
    <phoneticPr fontId="3" type="noConversion"/>
  </si>
  <si>
    <t>한화오션</t>
    <phoneticPr fontId="3" type="noConversion"/>
  </si>
  <si>
    <t>두산에너빌리티</t>
    <phoneticPr fontId="3" type="noConversion"/>
  </si>
  <si>
    <t>삼성전기</t>
    <phoneticPr fontId="3" type="noConversion"/>
  </si>
  <si>
    <t>삼성SDI</t>
    <phoneticPr fontId="3" type="noConversion"/>
  </si>
  <si>
    <t>한미반도체</t>
    <phoneticPr fontId="3" type="noConversion"/>
  </si>
  <si>
    <t>매출액</t>
    <phoneticPr fontId="3" type="noConversion"/>
  </si>
  <si>
    <t>영업이익</t>
    <phoneticPr fontId="3" type="noConversion"/>
  </si>
  <si>
    <t>순이익</t>
    <phoneticPr fontId="3" type="noConversion"/>
  </si>
  <si>
    <t>영업이익율</t>
    <phoneticPr fontId="3" type="noConversion"/>
  </si>
  <si>
    <t>시가총액</t>
    <phoneticPr fontId="3" type="noConversion"/>
  </si>
  <si>
    <t>상장주식수</t>
    <phoneticPr fontId="3" type="noConversion"/>
  </si>
  <si>
    <t>주가</t>
    <phoneticPr fontId="3" type="noConversion"/>
  </si>
  <si>
    <t>EPS</t>
    <phoneticPr fontId="3" type="noConversion"/>
  </si>
  <si>
    <t>PER(25/12)</t>
    <phoneticPr fontId="3" type="noConversion"/>
  </si>
  <si>
    <t>PBR</t>
    <phoneticPr fontId="3" type="noConversion"/>
  </si>
  <si>
    <t>1억주 기준 평가</t>
    <phoneticPr fontId="3" type="noConversion"/>
  </si>
  <si>
    <t>주요제품</t>
    <phoneticPr fontId="3" type="noConversion"/>
  </si>
  <si>
    <t>반도체/모바일/LED/가전</t>
    <phoneticPr fontId="3" type="noConversion"/>
  </si>
  <si>
    <t>항공엔진/K9</t>
    <phoneticPr fontId="3" type="noConversion"/>
  </si>
  <si>
    <t>철도차량/방산</t>
    <phoneticPr fontId="3" type="noConversion"/>
  </si>
  <si>
    <t>FA50/KF21</t>
    <phoneticPr fontId="3" type="noConversion"/>
  </si>
  <si>
    <t>미사일/방어무기</t>
    <phoneticPr fontId="3" type="noConversion"/>
  </si>
  <si>
    <t>조선/FLNG</t>
    <phoneticPr fontId="3" type="noConversion"/>
  </si>
  <si>
    <t>조선/방산/MRO</t>
    <phoneticPr fontId="3" type="noConversion"/>
  </si>
  <si>
    <t>원자력/엔진</t>
    <phoneticPr fontId="3" type="noConversion"/>
  </si>
  <si>
    <t>전자/전기장비/MLCC</t>
    <phoneticPr fontId="3" type="noConversion"/>
  </si>
  <si>
    <t>HBM용TC본더/검사장비</t>
    <phoneticPr fontId="3" type="noConversion"/>
  </si>
  <si>
    <t>HBM지속 성장</t>
    <phoneticPr fontId="3" type="noConversion"/>
  </si>
  <si>
    <t>K9 및 래드백 등 각종무기</t>
    <phoneticPr fontId="3" type="noConversion"/>
  </si>
  <si>
    <t>K2전차 및 고속철도 계약</t>
    <phoneticPr fontId="3" type="noConversion"/>
  </si>
  <si>
    <t>KF21추가계약 및 양산</t>
    <phoneticPr fontId="3" type="noConversion"/>
  </si>
  <si>
    <t>방어미사일 재고부족</t>
    <phoneticPr fontId="3" type="noConversion"/>
  </si>
  <si>
    <t>FLANG/MRO</t>
    <phoneticPr fontId="3" type="noConversion"/>
  </si>
  <si>
    <t>MRO/미국 방산/KDDX</t>
    <phoneticPr fontId="3" type="noConversion"/>
  </si>
  <si>
    <t>미국 발전소 공급계약</t>
    <phoneticPr fontId="3" type="noConversion"/>
  </si>
  <si>
    <t>일본 무라타와 MLCC 독과점</t>
    <phoneticPr fontId="3" type="noConversion"/>
  </si>
  <si>
    <t>전고체 배터리 양산</t>
    <phoneticPr fontId="3" type="noConversion"/>
  </si>
  <si>
    <t>VISION PLACEMENT</t>
    <phoneticPr fontId="3" type="noConversion"/>
  </si>
  <si>
    <t>영업이익, PER벨류 좋음</t>
    <phoneticPr fontId="3" type="noConversion"/>
  </si>
  <si>
    <t>영업이익, PER벨류 적절</t>
    <phoneticPr fontId="3" type="noConversion"/>
  </si>
  <si>
    <t>영업이익, PBR낮음</t>
    <phoneticPr fontId="3" type="noConversion"/>
  </si>
  <si>
    <t>1추천</t>
    <phoneticPr fontId="3" type="noConversion"/>
  </si>
  <si>
    <t>2추천</t>
    <phoneticPr fontId="3" type="noConversion"/>
  </si>
  <si>
    <t>3추천</t>
    <phoneticPr fontId="3" type="noConversion"/>
  </si>
  <si>
    <t>2026년(예상)</t>
    <phoneticPr fontId="3" type="noConversion"/>
  </si>
  <si>
    <t>AI반도체(HBM)</t>
    <phoneticPr fontId="3" type="noConversion"/>
  </si>
  <si>
    <t>예상</t>
    <phoneticPr fontId="3" type="noConversion"/>
  </si>
  <si>
    <t>예상 PER</t>
    <phoneticPr fontId="3" type="noConversion"/>
  </si>
  <si>
    <t>여전히 낮음</t>
    <phoneticPr fontId="3" type="noConversion"/>
  </si>
  <si>
    <t>한국 조선·방산·반도체 유력종목 분석 검증 보고서</t>
  </si>
  <si>
    <t>작성일: 2026.02.24  |  기준: 2025년 확정 실적 및 2026년 2월 시장 데이터</t>
  </si>
  <si>
    <t>섹션 1. 현재 실적 데이터 검증 결과 요약</t>
  </si>
  <si>
    <t>아래 표는 시트 '유력종목분석'의 2025년 실적 데이터를 공식 발표 자료와 대조하여 검증한 결과입니다.</t>
  </si>
  <si>
    <t>기업명</t>
  </si>
  <si>
    <t>항목</t>
  </si>
  <si>
    <t>시트 데이터</t>
  </si>
  <si>
    <t>공식 실적</t>
  </si>
  <si>
    <t>차이(%)</t>
  </si>
  <si>
    <t>판정</t>
  </si>
  <si>
    <t>출처</t>
  </si>
  <si>
    <t>비고</t>
  </si>
  <si>
    <t>SK하이닉스</t>
  </si>
  <si>
    <t>매출액</t>
  </si>
  <si>
    <t>95.15조</t>
  </si>
  <si>
    <t>97.15조</t>
  </si>
  <si>
    <t>⚠️ 소폭 과소</t>
  </si>
  <si>
    <t>SK하이닉스 뉴스룸</t>
  </si>
  <si>
    <t>확정실적으로 수정완료</t>
  </si>
  <si>
    <t>영업이익</t>
  </si>
  <si>
    <t>44.41조</t>
  </si>
  <si>
    <t>47.21조</t>
  </si>
  <si>
    <t>⚠️ 과소</t>
  </si>
  <si>
    <t>순이익</t>
  </si>
  <si>
    <t>40.67조</t>
  </si>
  <si>
    <t>42.95조</t>
  </si>
  <si>
    <t>상장주식수</t>
  </si>
  <si>
    <t>✅ 정확</t>
  </si>
  <si>
    <t>네이버페이 증권</t>
  </si>
  <si>
    <t>삼성전자</t>
  </si>
  <si>
    <t>333.61조</t>
  </si>
  <si>
    <t>Samsung Newsroom</t>
  </si>
  <si>
    <t>완벽 일치</t>
  </si>
  <si>
    <t>43.60조</t>
  </si>
  <si>
    <t>45.21조</t>
  </si>
  <si>
    <t>34.45조(2024)</t>
  </si>
  <si>
    <t>-</t>
  </si>
  <si>
    <t>⚠️ 확인필요</t>
  </si>
  <si>
    <t>삼성전자 공시</t>
  </si>
  <si>
    <t>2025 확정치 확인 중</t>
  </si>
  <si>
    <t>한화에어로스페이스</t>
  </si>
  <si>
    <t>26.91조</t>
  </si>
  <si>
    <t>26.61조(2024)</t>
  </si>
  <si>
    <t>✅ 합리적</t>
  </si>
  <si>
    <t>한화에어로 공시</t>
  </si>
  <si>
    <t>2025 연결 포함</t>
  </si>
  <si>
    <t>3.46조</t>
  </si>
  <si>
    <t>3.03조(2024)</t>
  </si>
  <si>
    <t>수출 확대 반영</t>
  </si>
  <si>
    <t>주가</t>
  </si>
  <si>
    <t>1,242,000(2/19)</t>
  </si>
  <si>
    <t>FnGuide</t>
  </si>
  <si>
    <t>실시간 변동</t>
  </si>
  <si>
    <t>삼성SDI</t>
  </si>
  <si>
    <t>-1.71조</t>
  </si>
  <si>
    <t>적자 확인</t>
  </si>
  <si>
    <t>✅ 사실확인</t>
  </si>
  <si>
    <t>삼성SDI 공시</t>
  </si>
  <si>
    <t>2차전지 업황 악화</t>
  </si>
  <si>
    <t>두산에너빌리티</t>
  </si>
  <si>
    <t>PER</t>
  </si>
  <si>
    <t>341.4배</t>
  </si>
  <si>
    <t>극고평가</t>
  </si>
  <si>
    <t>⚠️ 주의</t>
  </si>
  <si>
    <t>원자력 테마 프리미엄</t>
  </si>
  <si>
    <t>한미반도체</t>
  </si>
  <si>
    <t>PBR</t>
  </si>
  <si>
    <t>26.55배</t>
  </si>
  <si>
    <t>HBM 장비 테마</t>
  </si>
  <si>
    <t>섹션 2. 2026년 예상 데이터 검증 — 시트 예상치 vs 현실적 컨센서스</t>
  </si>
  <si>
    <t>⚠️ 아래 예상치는 시트의 2026년 전망이 증권사 컨센서스 대비 과도하게 공격적임을 보여줍니다. 투자 의사결정 시 주의가 필요합니다.</t>
  </si>
  <si>
    <t>시트 예상(2026)</t>
  </si>
  <si>
    <t>현실적 컨센서스</t>
  </si>
  <si>
    <t>괴리율</t>
  </si>
  <si>
    <t>위험등급</t>
  </si>
  <si>
    <t>주요 근거</t>
  </si>
  <si>
    <t>권고사항</t>
  </si>
  <si>
    <t>211.67조</t>
  </si>
  <si>
    <t>120~130조</t>
  </si>
  <si>
    <t>+63~76%</t>
  </si>
  <si>
    <t>🔴 매우높음</t>
  </si>
  <si>
    <t>2025 실적 97조 기반</t>
  </si>
  <si>
    <t>하향 조정 필요</t>
  </si>
  <si>
    <t>143.42조</t>
  </si>
  <si>
    <t>55~65조</t>
  </si>
  <si>
    <t>+121~161%</t>
  </si>
  <si>
    <t>영업이익률 67.8% 비현실적</t>
  </si>
  <si>
    <t>50% 수준으로 조정</t>
  </si>
  <si>
    <t>영업이익률</t>
  </si>
  <si>
    <t>45~50%</t>
  </si>
  <si>
    <t>+18~23%p</t>
  </si>
  <si>
    <t>반도체 업계 최고 수준 초과</t>
  </si>
  <si>
    <t>과거 최대 58% 참고</t>
  </si>
  <si>
    <t>목표 PER</t>
  </si>
  <si>
    <t>10.2배</t>
  </si>
  <si>
    <t>12~15배</t>
  </si>
  <si>
    <t>🟡 보수적</t>
  </si>
  <si>
    <t>AI 메모리 성장 프리미엄</t>
  </si>
  <si>
    <t>적정 수준</t>
  </si>
  <si>
    <t>474.56조</t>
  </si>
  <si>
    <t>360~380조</t>
  </si>
  <si>
    <t>+25~32%</t>
  </si>
  <si>
    <t>2025 실적 333.6조 기반</t>
  </si>
  <si>
    <t>157.12조</t>
  </si>
  <si>
    <t>55~70조</t>
  </si>
  <si>
    <t>+124~186%</t>
  </si>
  <si>
    <t>역대 최고 53.7조(2018) 대비</t>
  </si>
  <si>
    <t>대폭 하향 필요</t>
  </si>
  <si>
    <t>15~18%</t>
  </si>
  <si>
    <t>+15~18%p</t>
  </si>
  <si>
    <t>삼성전자 역사상 전례 없음</t>
  </si>
  <si>
    <t>비현실적 가정</t>
  </si>
  <si>
    <t>14.0배</t>
  </si>
  <si>
    <t>15~20배</t>
  </si>
  <si>
    <t>반도체 사이클 상단</t>
  </si>
  <si>
    <t>적정 범위</t>
  </si>
  <si>
    <t>섹션 3. 수식 및 계산 로직 검증</t>
  </si>
  <si>
    <t>수식 항목</t>
  </si>
  <si>
    <t>공식</t>
  </si>
  <si>
    <t>적용 범위</t>
  </si>
  <si>
    <t>검증 결과</t>
  </si>
  <si>
    <t>C7:O7 (13개 기업)</t>
  </si>
  <si>
    <t>모든 기업 정확히 일치</t>
  </si>
  <si>
    <t>시가총액</t>
  </si>
  <si>
    <t>C8:O8 (13개 기업)</t>
  </si>
  <si>
    <t>C12:O12 (13개 기업)</t>
  </si>
  <si>
    <t>1억주 기준 평가</t>
  </si>
  <si>
    <t>PASS</t>
  </si>
  <si>
    <t>영업이익/매출액</t>
  </si>
  <si>
    <t>상장주식수 x 주가</t>
  </si>
  <si>
    <t>주가 / EPS</t>
  </si>
  <si>
    <t>시가총액 / 1억</t>
  </si>
  <si>
    <t>C14:O14 (13개 기업)</t>
  </si>
  <si>
    <t>2026 영업이익률</t>
  </si>
  <si>
    <t>영업이익 / 매출</t>
  </si>
  <si>
    <t>C27:D27 (2개 기업)</t>
  </si>
  <si>
    <t>수식 정확, 입력값 과대</t>
  </si>
  <si>
    <t>입력값 주의</t>
  </si>
  <si>
    <t>섹션 4. 종합 결론</t>
  </si>
  <si>
    <t>평가 항목</t>
  </si>
  <si>
    <t>상세 내용</t>
  </si>
  <si>
    <t>현재 실적 (2025)</t>
  </si>
  <si>
    <t>삼성전자 매출/영업이익 완벽 일치. SK하이닉스 2~6% 과소 기재 -&gt; 확정 실적으로 수정 완료. 방산/조선 기업 데이터는 합리적 수준.</t>
  </si>
  <si>
    <t>수식/계산 로직</t>
  </si>
  <si>
    <t>영업이익률, 시가총액, PER, 1억주 기준 평가 등 모든 수식이 정확하게 작성됨. 계산 오류 없음.</t>
  </si>
  <si>
    <t>2026 예상치</t>
  </si>
  <si>
    <t>SK하이닉스 매출 211조(실제 97조의 2.2배), 삼성전자 영업이익 157조(역대 최고 53.7조의 2.9배) 등 비현실적으로 공격적. 즉시 하향 조정 권고.</t>
  </si>
  <si>
    <t>주가 데이터</t>
  </si>
  <si>
    <t>시트 작성 시점 기준 주가 반영. 2/24 기준 SK하이닉스 952,000원(시트 1,004,000원), 한화에어로 1,242,000원(시트 1,239,000원) 등 소폭 변동.</t>
  </si>
  <si>
    <t>특이 종목</t>
  </si>
  <si>
    <t>삼성SDI 영업적자(-1.71조) 2차전지 업황 반영 확인. 두산에너빌리티 PER 341배 원자력 테마 고평가. 한미반도체 PBR 26.55배 HBM 장비 프리미엄.</t>
  </si>
  <si>
    <t>섹션 5. 데이터 수정 내역</t>
  </si>
  <si>
    <t>아래는 공식 확정 실적 기반으로 '유력종목분석' 시트에서 수정한 항목입니다.</t>
  </si>
  <si>
    <t>대상 기업</t>
  </si>
  <si>
    <t>셀 위치</t>
  </si>
  <si>
    <t>수정 전</t>
  </si>
  <si>
    <t>수정 후</t>
  </si>
  <si>
    <t>C4</t>
  </si>
  <si>
    <t>SK하이닉스 뉴스룸 2025 실적</t>
  </si>
  <si>
    <t>C5</t>
  </si>
  <si>
    <t>C6</t>
  </si>
  <si>
    <t>EPS</t>
  </si>
  <si>
    <t>C11</t>
  </si>
  <si>
    <t>2025 확정 순이익 기반 계산</t>
  </si>
  <si>
    <t>* 위 수정에 따라 영업이익률(C7), PER(C12), 시가총액(C8) 등 수식 셀은 자동으로 재계산됨</t>
  </si>
  <si>
    <t>섹션 6. 섹터별 투자 포인트 요약</t>
  </si>
  <si>
    <t>섹터</t>
  </si>
  <si>
    <t>대표 기업</t>
  </si>
  <si>
    <t>2025 영업이익률</t>
  </si>
  <si>
    <t>PER 범위</t>
  </si>
  <si>
    <t>투자 매력도</t>
  </si>
  <si>
    <t>핵심 포인트</t>
  </si>
  <si>
    <t>AI반도체(HBM)</t>
  </si>
  <si>
    <t>SK하이닉스, 삼성전자</t>
  </si>
  <si>
    <t>48.6% / 13.1%</t>
  </si>
  <si>
    <t>16.6~30.5배</t>
  </si>
  <si>
    <t>★★★★★</t>
  </si>
  <si>
    <t>HBM 수요 폭증, AI 인프라 확대</t>
  </si>
  <si>
    <t>방산(육상/항공)</t>
  </si>
  <si>
    <t>한화에어로, 현대로템</t>
  </si>
  <si>
    <t>12.9~17.7%</t>
  </si>
  <si>
    <t>29.9~42.2배</t>
  </si>
  <si>
    <t>★★★★☆</t>
  </si>
  <si>
    <t>K-방산 수출 급증, 글로벌 재무장</t>
  </si>
  <si>
    <t>조선/방산(해상)</t>
  </si>
  <si>
    <t>HD현대중공업, 한화오션</t>
  </si>
  <si>
    <t>8.1~12.6%</t>
  </si>
  <si>
    <t>34.9~48.5배</t>
  </si>
  <si>
    <t>LNG/FLNG/MRO, 미국 방산 진출</t>
  </si>
  <si>
    <t>원자력</t>
  </si>
  <si>
    <t>★★★☆☆</t>
  </si>
  <si>
    <t>SMR/대형원전 테마, 극고평가 주의</t>
  </si>
  <si>
    <t>전자/MLCC</t>
  </si>
  <si>
    <t>삼성전기</t>
  </si>
  <si>
    <t>50.7배</t>
  </si>
  <si>
    <t>MLCC 독과점, AI 디바이스 수혜</t>
  </si>
  <si>
    <t>2차전지</t>
  </si>
  <si>
    <t>-13.2%(적자)</t>
  </si>
  <si>
    <t>N/A(적자)</t>
  </si>
  <si>
    <t>★★☆☆☆</t>
  </si>
  <si>
    <t>전고체 배터리 기대, 단기 실적 부진</t>
  </si>
  <si>
    <t>반도체 장비</t>
  </si>
  <si>
    <t>70.8배</t>
  </si>
  <si>
    <t>HBM TC본더 독점, 고평가 부담</t>
  </si>
  <si>
    <t>DISCLAIMER</t>
  </si>
  <si>
    <t>본 보고서는 공개된 기업 실적 자료를 기반으로 AI가 자동 분석한 결과이며, 투자 권유가 아닙니다. 투자 의사결정은 반드시 개인의 판단과 전문가 상담을 거쳐야 합니다.</t>
  </si>
  <si>
    <t>Sources: SK하이닉스 뉴스룸, Samsung Newsroom, 한화에어로스페이스 IR, FnGuide, 네이버페이 증권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</si>
</sst>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rgb="FFFFFFFF"/>
      <name val="맑은 고딕"/>
      <family val="2"/>
      <charset val="129"/>
      <scheme val="minor"/>
    </font>
    <font>
      <sz val="10"/>
      <color rgb="FF003366"/>
      <name val="맑은 고딕"/>
      <family val="3"/>
      <charset val="129"/>
      <scheme val="minor"/>
    </font>
    <font>
      <b/>
      <sz val="13"/>
      <color rgb="FF003366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666666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3"/>
      <color rgb="FFFFFFFF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sz val="9"/>
      <color rgb="FF006600"/>
      <name val="맑은 고딕"/>
      <family val="3"/>
      <charset val="129"/>
      <scheme val="minor"/>
    </font>
    <font>
      <b/>
      <sz val="9"/>
      <color rgb="FFCC6600"/>
      <name val="맑은 고딕"/>
      <family val="3"/>
      <charset val="129"/>
      <scheme val="minor"/>
    </font>
    <font>
      <sz val="9"/>
      <color rgb="FF006633"/>
      <name val="맑은 고딕"/>
      <family val="3"/>
      <charset val="129"/>
      <scheme val="minor"/>
    </font>
    <font>
      <i/>
      <sz val="8"/>
      <color rgb="FF006633"/>
      <name val="맑은 고딕"/>
      <family val="3"/>
      <charset val="129"/>
      <scheme val="minor"/>
    </font>
    <font>
      <b/>
      <sz val="8"/>
      <color rgb="FF999999"/>
      <name val="맑은 고딕"/>
      <family val="3"/>
      <charset val="129"/>
      <scheme val="minor"/>
    </font>
    <font>
      <sz val="8"/>
      <color rgb="FF999999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E8FFE8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0"/>
        <bgColor indexed="64"/>
      </patternFill>
    </fill>
    <fill>
      <patternFill patternType="solid">
        <fgColor rgb="FF006633"/>
        <bgColor indexed="64"/>
      </patternFill>
    </fill>
    <fill>
      <patternFill patternType="solid">
        <fgColor rgb="FFE8F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F0"/>
        <bgColor indexed="64"/>
      </patternFill>
    </fill>
  </fills>
  <borders count="10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rgb="FF003366"/>
      </bottom>
      <diagonal/>
    </border>
    <border>
      <left/>
      <right/>
      <top style="medium">
        <color rgb="FF003366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3366"/>
      </bottom>
      <diagonal/>
    </border>
    <border>
      <left style="thin">
        <color rgb="FFD0D0D0"/>
      </left>
      <right/>
      <top style="thin">
        <color rgb="FFD0D0D0"/>
      </top>
      <bottom style="medium">
        <color rgb="FF003366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medium">
        <color rgb="FFC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C00000"/>
      </bottom>
      <diagonal/>
    </border>
    <border>
      <left/>
      <right/>
      <top/>
      <bottom style="medium">
        <color rgb="FF006633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6633"/>
      </bottom>
      <diagonal/>
    </border>
    <border>
      <left style="thin">
        <color rgb="FF003366"/>
      </left>
      <right/>
      <top style="medium">
        <color rgb="FF003366"/>
      </top>
      <bottom/>
      <diagonal/>
    </border>
    <border>
      <left style="thin">
        <color rgb="FF003366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3366"/>
      </left>
      <right style="thin">
        <color rgb="FFD0D0D0"/>
      </right>
      <top style="thin">
        <color rgb="FFD0D0D0"/>
      </top>
      <bottom style="medium">
        <color rgb="FF003366"/>
      </bottom>
      <diagonal/>
    </border>
    <border>
      <left/>
      <right style="thin">
        <color rgb="FF003366"/>
      </right>
      <top style="medium">
        <color rgb="FF003366"/>
      </top>
      <bottom/>
      <diagonal/>
    </border>
    <border>
      <left style="thin">
        <color rgb="FFD0D0D0"/>
      </left>
      <right style="thin">
        <color rgb="FF003366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003366"/>
      </right>
      <top style="thin">
        <color rgb="FFD0D0D0"/>
      </top>
      <bottom style="medium">
        <color rgb="FF003366"/>
      </bottom>
      <diagonal/>
    </border>
    <border>
      <left/>
      <right/>
      <top style="medium">
        <color rgb="FFC00000"/>
      </top>
      <bottom/>
      <diagonal/>
    </border>
    <border>
      <left style="thin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 style="thin">
        <color rgb="FFD0D0D0"/>
      </right>
      <top/>
      <bottom style="thin">
        <color rgb="FFD0D0D0"/>
      </bottom>
      <diagonal/>
    </border>
    <border>
      <left style="thin">
        <color rgb="FFC0000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00000"/>
      </left>
      <right style="thin">
        <color rgb="FFD0D0D0"/>
      </right>
      <top style="thin">
        <color rgb="FFD0D0D0"/>
      </top>
      <bottom style="medium">
        <color rgb="FFC00000"/>
      </bottom>
      <diagonal/>
    </border>
    <border>
      <left/>
      <right style="thin">
        <color rgb="FFC00000"/>
      </right>
      <top style="medium">
        <color rgb="FFC00000"/>
      </top>
      <bottom/>
      <diagonal/>
    </border>
    <border>
      <left style="thin">
        <color rgb="FFD0D0D0"/>
      </left>
      <right style="thin">
        <color rgb="FFC00000"/>
      </right>
      <top/>
      <bottom style="thin">
        <color rgb="FFD0D0D0"/>
      </bottom>
      <diagonal/>
    </border>
    <border>
      <left style="thin">
        <color rgb="FFD0D0D0"/>
      </left>
      <right style="thin">
        <color rgb="FFC0000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C00000"/>
      </right>
      <top style="thin">
        <color rgb="FFD0D0D0"/>
      </top>
      <bottom style="medium">
        <color rgb="FFC00000"/>
      </bottom>
      <diagonal/>
    </border>
    <border>
      <left style="thin">
        <color rgb="FF003366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003366"/>
      </right>
      <top/>
      <bottom style="thin">
        <color rgb="FFD0D0D0"/>
      </bottom>
      <diagonal/>
    </border>
    <border>
      <left/>
      <right/>
      <top style="medium">
        <color rgb="FF006633"/>
      </top>
      <bottom/>
      <diagonal/>
    </border>
    <border>
      <left style="thin">
        <color rgb="FF006633"/>
      </left>
      <right/>
      <top style="medium">
        <color rgb="FF006633"/>
      </top>
      <bottom/>
      <diagonal/>
    </border>
    <border>
      <left style="thin">
        <color rgb="FF006633"/>
      </left>
      <right style="thin">
        <color rgb="FFD0D0D0"/>
      </right>
      <top/>
      <bottom style="thin">
        <color rgb="FFD0D0D0"/>
      </bottom>
      <diagonal/>
    </border>
    <border>
      <left style="thin">
        <color rgb="FF006633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6633"/>
      </left>
      <right style="thin">
        <color rgb="FFD0D0D0"/>
      </right>
      <top style="thin">
        <color rgb="FFD0D0D0"/>
      </top>
      <bottom style="medium">
        <color rgb="FF006633"/>
      </bottom>
      <diagonal/>
    </border>
    <border>
      <left/>
      <right style="thin">
        <color rgb="FF006633"/>
      </right>
      <top style="medium">
        <color rgb="FF006633"/>
      </top>
      <bottom/>
      <diagonal/>
    </border>
    <border>
      <left style="thin">
        <color rgb="FFD0D0D0"/>
      </left>
      <right style="thin">
        <color rgb="FF006633"/>
      </right>
      <top/>
      <bottom style="thin">
        <color rgb="FFD0D0D0"/>
      </bottom>
      <diagonal/>
    </border>
    <border>
      <left style="thin">
        <color rgb="FFD0D0D0"/>
      </left>
      <right style="thin">
        <color rgb="FF006633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006633"/>
      </right>
      <top style="thin">
        <color rgb="FFD0D0D0"/>
      </top>
      <bottom style="medium">
        <color rgb="FF006633"/>
      </bottom>
      <diagonal/>
    </border>
    <border>
      <left style="thin">
        <color rgb="FF003366"/>
      </left>
      <right style="thin">
        <color rgb="FF003366"/>
      </right>
      <top/>
      <bottom style="thin">
        <color rgb="FFD0D0D0"/>
      </bottom>
      <diagonal/>
    </border>
    <border>
      <left style="thin">
        <color rgb="FF003366"/>
      </left>
      <right style="thin">
        <color rgb="FF003366"/>
      </right>
      <top style="thin">
        <color rgb="FFD0D0D0"/>
      </top>
      <bottom style="thin">
        <color rgb="FFD0D0D0"/>
      </bottom>
      <diagonal/>
    </border>
    <border>
      <left style="thin">
        <color rgb="FF003366"/>
      </left>
      <right style="thin">
        <color rgb="FF003366"/>
      </right>
      <top style="thin">
        <color rgb="FFD0D0D0"/>
      </top>
      <bottom style="medium">
        <color rgb="FF003366"/>
      </bottom>
      <diagonal/>
    </border>
    <border>
      <left style="thin">
        <color rgb="FF003366"/>
      </left>
      <right style="thin">
        <color rgb="FFD0D0D0"/>
      </right>
      <top style="thin">
        <color rgb="FF999999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999999"/>
      </top>
      <bottom style="thin">
        <color rgb="FFD0D0D0"/>
      </bottom>
      <diagonal/>
    </border>
    <border>
      <left style="thin">
        <color rgb="FFD0D0D0"/>
      </left>
      <right style="thin">
        <color rgb="FF003366"/>
      </right>
      <top style="thin">
        <color rgb="FF999999"/>
      </top>
      <bottom style="thin">
        <color rgb="FFD0D0D0"/>
      </bottom>
      <diagonal/>
    </border>
    <border>
      <left style="thin">
        <color rgb="FF003366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003366"/>
      </right>
      <top style="thin">
        <color rgb="FFD0D0D0"/>
      </top>
      <bottom/>
      <diagonal/>
    </border>
    <border>
      <left style="thin">
        <color rgb="FF003366"/>
      </left>
      <right style="thin">
        <color rgb="FFD0D0D0"/>
      </right>
      <top style="thin">
        <color rgb="FF999999"/>
      </top>
      <bottom/>
      <diagonal/>
    </border>
    <border>
      <left style="thin">
        <color rgb="FFD0D0D0"/>
      </left>
      <right style="thin">
        <color rgb="FFD0D0D0"/>
      </right>
      <top style="thin">
        <color rgb="FF999999"/>
      </top>
      <bottom/>
      <diagonal/>
    </border>
    <border>
      <left style="thin">
        <color rgb="FFD0D0D0"/>
      </left>
      <right style="thin">
        <color rgb="FF003366"/>
      </right>
      <top style="thin">
        <color rgb="FF999999"/>
      </top>
      <bottom/>
      <diagonal/>
    </border>
    <border>
      <left style="thin">
        <color rgb="FF003366"/>
      </left>
      <right style="thin">
        <color rgb="FFD0D0D0"/>
      </right>
      <top style="thin">
        <color rgb="FF999999"/>
      </top>
      <bottom style="medium">
        <color rgb="FF003366"/>
      </bottom>
      <diagonal/>
    </border>
    <border>
      <left style="thin">
        <color rgb="FFD0D0D0"/>
      </left>
      <right style="thin">
        <color rgb="FFD0D0D0"/>
      </right>
      <top style="thin">
        <color rgb="FF999999"/>
      </top>
      <bottom style="medium">
        <color rgb="FF003366"/>
      </bottom>
      <diagonal/>
    </border>
    <border>
      <left style="thin">
        <color rgb="FFD0D0D0"/>
      </left>
      <right style="thin">
        <color rgb="FF003366"/>
      </right>
      <top style="thin">
        <color rgb="FF999999"/>
      </top>
      <bottom style="medium">
        <color rgb="FF003366"/>
      </bottom>
      <diagonal/>
    </border>
    <border>
      <left style="thin">
        <color rgb="FFC00000"/>
      </left>
      <right style="thin">
        <color rgb="FFD0D0D0"/>
      </right>
      <top style="thin">
        <color rgb="FF999999"/>
      </top>
      <bottom style="thin">
        <color rgb="FFD0D0D0"/>
      </bottom>
      <diagonal/>
    </border>
    <border>
      <left style="thin">
        <color rgb="FFD0D0D0"/>
      </left>
      <right style="thin">
        <color rgb="FFC00000"/>
      </right>
      <top style="thin">
        <color rgb="FF999999"/>
      </top>
      <bottom style="thin">
        <color rgb="FFD0D0D0"/>
      </bottom>
      <diagonal/>
    </border>
    <border>
      <left style="thin">
        <color rgb="FFC0000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C00000"/>
      </right>
      <top style="thin">
        <color rgb="FFD0D0D0"/>
      </top>
      <bottom/>
      <diagonal/>
    </border>
    <border>
      <left style="thin">
        <color rgb="FF003366"/>
      </left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41" fontId="0" fillId="0" borderId="9" xfId="1" applyFont="1" applyFill="1" applyBorder="1">
      <alignment vertical="center"/>
    </xf>
    <xf numFmtId="41" fontId="4" fillId="0" borderId="10" xfId="1" applyFont="1" applyFill="1" applyBorder="1">
      <alignment vertical="center"/>
    </xf>
    <xf numFmtId="41" fontId="4" fillId="0" borderId="11" xfId="1" applyFont="1" applyFill="1" applyBorder="1">
      <alignment vertical="center"/>
    </xf>
    <xf numFmtId="41" fontId="0" fillId="0" borderId="8" xfId="1" applyFont="1" applyFill="1" applyBorder="1">
      <alignment vertical="center"/>
    </xf>
    <xf numFmtId="41" fontId="4" fillId="0" borderId="9" xfId="1" applyFont="1" applyFill="1" applyBorder="1">
      <alignment vertical="center"/>
    </xf>
    <xf numFmtId="41" fontId="4" fillId="0" borderId="12" xfId="1" applyFont="1" applyFill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41" fontId="0" fillId="0" borderId="15" xfId="1" applyFont="1" applyFill="1" applyBorder="1">
      <alignment vertical="center"/>
    </xf>
    <xf numFmtId="41" fontId="4" fillId="0" borderId="16" xfId="1" applyFont="1" applyFill="1" applyBorder="1">
      <alignment vertical="center"/>
    </xf>
    <xf numFmtId="41" fontId="4" fillId="0" borderId="17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41" fontId="4" fillId="0" borderId="15" xfId="1" applyFont="1" applyFill="1" applyBorder="1">
      <alignment vertical="center"/>
    </xf>
    <xf numFmtId="41" fontId="4" fillId="0" borderId="18" xfId="1" applyFont="1" applyFill="1" applyBorder="1">
      <alignment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>
      <alignment vertical="center"/>
    </xf>
    <xf numFmtId="10" fontId="5" fillId="6" borderId="15" xfId="2" applyNumberFormat="1" applyFont="1" applyFill="1" applyBorder="1">
      <alignment vertical="center"/>
    </xf>
    <xf numFmtId="10" fontId="5" fillId="6" borderId="16" xfId="2" applyNumberFormat="1" applyFont="1" applyFill="1" applyBorder="1">
      <alignment vertical="center"/>
    </xf>
    <xf numFmtId="10" fontId="5" fillId="6" borderId="17" xfId="2" applyNumberFormat="1" applyFont="1" applyFill="1" applyBorder="1">
      <alignment vertical="center"/>
    </xf>
    <xf numFmtId="10" fontId="5" fillId="6" borderId="14" xfId="2" applyNumberFormat="1" applyFont="1" applyFill="1" applyBorder="1">
      <alignment vertical="center"/>
    </xf>
    <xf numFmtId="10" fontId="5" fillId="6" borderId="18" xfId="2" applyNumberFormat="1" applyFont="1" applyFill="1" applyBorder="1">
      <alignment vertical="center"/>
    </xf>
    <xf numFmtId="41" fontId="4" fillId="0" borderId="14" xfId="1" applyFont="1" applyFill="1" applyBorder="1">
      <alignment vertical="center"/>
    </xf>
    <xf numFmtId="41" fontId="0" fillId="7" borderId="15" xfId="1" applyFont="1" applyFill="1" applyBorder="1">
      <alignment vertical="center"/>
    </xf>
    <xf numFmtId="41" fontId="0" fillId="7" borderId="14" xfId="1" applyFont="1" applyFill="1" applyBorder="1">
      <alignment vertical="center"/>
    </xf>
    <xf numFmtId="176" fontId="5" fillId="6" borderId="15" xfId="1" applyNumberFormat="1" applyFont="1" applyFill="1" applyBorder="1">
      <alignment vertical="center"/>
    </xf>
    <xf numFmtId="176" fontId="5" fillId="6" borderId="16" xfId="1" applyNumberFormat="1" applyFont="1" applyFill="1" applyBorder="1">
      <alignment vertical="center"/>
    </xf>
    <xf numFmtId="176" fontId="5" fillId="6" borderId="17" xfId="1" applyNumberFormat="1" applyFont="1" applyFill="1" applyBorder="1">
      <alignment vertical="center"/>
    </xf>
    <xf numFmtId="176" fontId="5" fillId="6" borderId="14" xfId="1" applyNumberFormat="1" applyFont="1" applyFill="1" applyBorder="1">
      <alignment vertical="center"/>
    </xf>
    <xf numFmtId="176" fontId="5" fillId="6" borderId="18" xfId="1" applyNumberFormat="1" applyFont="1" applyFill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176" fontId="0" fillId="7" borderId="21" xfId="1" applyNumberFormat="1" applyFont="1" applyFill="1" applyBorder="1">
      <alignment vertical="center"/>
    </xf>
    <xf numFmtId="176" fontId="4" fillId="0" borderId="22" xfId="1" applyNumberFormat="1" applyFont="1" applyFill="1" applyBorder="1">
      <alignment vertical="center"/>
    </xf>
    <xf numFmtId="176" fontId="4" fillId="0" borderId="23" xfId="1" applyNumberFormat="1" applyFont="1" applyFill="1" applyBorder="1">
      <alignment vertical="center"/>
    </xf>
    <xf numFmtId="176" fontId="0" fillId="7" borderId="20" xfId="1" applyNumberFormat="1" applyFont="1" applyFill="1" applyBorder="1">
      <alignment vertical="center"/>
    </xf>
    <xf numFmtId="176" fontId="4" fillId="0" borderId="21" xfId="1" applyNumberFormat="1" applyFont="1" applyFill="1" applyBorder="1">
      <alignment vertical="center"/>
    </xf>
    <xf numFmtId="176" fontId="4" fillId="0" borderId="24" xfId="1" applyNumberFormat="1" applyFont="1" applyFill="1" applyBorder="1">
      <alignment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>
      <alignment vertical="center"/>
    </xf>
    <xf numFmtId="41" fontId="4" fillId="8" borderId="9" xfId="0" applyNumberFormat="1" applyFont="1" applyFill="1" applyBorder="1">
      <alignment vertical="center"/>
    </xf>
    <xf numFmtId="41" fontId="4" fillId="8" borderId="10" xfId="0" applyNumberFormat="1" applyFont="1" applyFill="1" applyBorder="1">
      <alignment vertical="center"/>
    </xf>
    <xf numFmtId="41" fontId="4" fillId="8" borderId="11" xfId="0" applyNumberFormat="1" applyFont="1" applyFill="1" applyBorder="1">
      <alignment vertical="center"/>
    </xf>
    <xf numFmtId="41" fontId="4" fillId="8" borderId="8" xfId="0" applyNumberFormat="1" applyFont="1" applyFill="1" applyBorder="1">
      <alignment vertical="center"/>
    </xf>
    <xf numFmtId="41" fontId="4" fillId="8" borderId="12" xfId="0" applyNumberFormat="1" applyFont="1" applyFill="1" applyBorder="1">
      <alignment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26" xfId="0" applyFont="1" applyFill="1" applyBorder="1">
      <alignment vertical="center"/>
    </xf>
    <xf numFmtId="0" fontId="0" fillId="8" borderId="27" xfId="0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7" borderId="35" xfId="0" applyFill="1" applyBorder="1">
      <alignment vertical="center"/>
    </xf>
    <xf numFmtId="0" fontId="0" fillId="0" borderId="36" xfId="0" applyBorder="1">
      <alignment vertical="center"/>
    </xf>
    <xf numFmtId="0" fontId="0" fillId="9" borderId="36" xfId="0" applyFill="1" applyBorder="1">
      <alignment vertical="center"/>
    </xf>
    <xf numFmtId="0" fontId="0" fillId="0" borderId="37" xfId="0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8" borderId="40" xfId="0" applyFill="1" applyBorder="1">
      <alignment vertical="center"/>
    </xf>
    <xf numFmtId="0" fontId="0" fillId="8" borderId="41" xfId="0" applyFill="1" applyBorder="1">
      <alignment vertical="center"/>
    </xf>
    <xf numFmtId="0" fontId="2" fillId="0" borderId="42" xfId="0" applyFont="1" applyBorder="1" applyAlignment="1">
      <alignment horizontal="center" vertical="center"/>
    </xf>
    <xf numFmtId="41" fontId="4" fillId="0" borderId="43" xfId="1" applyFont="1" applyFill="1" applyBorder="1">
      <alignment vertical="center"/>
    </xf>
    <xf numFmtId="41" fontId="4" fillId="0" borderId="44" xfId="1" applyFont="1" applyFill="1" applyBorder="1">
      <alignment vertical="center"/>
    </xf>
    <xf numFmtId="10" fontId="5" fillId="6" borderId="44" xfId="2" applyNumberFormat="1" applyFont="1" applyFill="1" applyBorder="1">
      <alignment vertical="center"/>
    </xf>
    <xf numFmtId="41" fontId="4" fillId="0" borderId="45" xfId="1" applyFont="1" applyFill="1" applyBorder="1">
      <alignment vertical="center"/>
    </xf>
    <xf numFmtId="176" fontId="5" fillId="6" borderId="45" xfId="1" applyNumberFormat="1" applyFont="1" applyFill="1" applyBorder="1">
      <alignment vertical="center"/>
    </xf>
    <xf numFmtId="176" fontId="4" fillId="0" borderId="46" xfId="1" applyNumberFormat="1" applyFont="1" applyFill="1" applyBorder="1">
      <alignment vertical="center"/>
    </xf>
    <xf numFmtId="41" fontId="4" fillId="8" borderId="43" xfId="0" applyNumberFormat="1" applyFont="1" applyFill="1" applyBorder="1">
      <alignment vertical="center"/>
    </xf>
    <xf numFmtId="0" fontId="4" fillId="8" borderId="4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4" fillId="0" borderId="46" xfId="1" applyFont="1" applyFill="1" applyBorder="1">
      <alignment vertical="center"/>
    </xf>
    <xf numFmtId="0" fontId="0" fillId="0" borderId="42" xfId="0" applyBorder="1">
      <alignment vertical="center"/>
    </xf>
    <xf numFmtId="41" fontId="4" fillId="0" borderId="42" xfId="1" applyFont="1" applyFill="1" applyBorder="1">
      <alignment vertical="center"/>
    </xf>
    <xf numFmtId="176" fontId="4" fillId="0" borderId="45" xfId="1" applyNumberFormat="1" applyFont="1" applyFill="1" applyBorder="1">
      <alignment vertical="center"/>
    </xf>
    <xf numFmtId="176" fontId="5" fillId="6" borderId="42" xfId="1" applyNumberFormat="1" applyFont="1" applyFill="1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10" fontId="10" fillId="14" borderId="50" xfId="0" applyNumberFormat="1" applyFont="1" applyFill="1" applyBorder="1" applyAlignment="1">
      <alignment horizontal="center" vertical="center"/>
    </xf>
    <xf numFmtId="0" fontId="10" fillId="14" borderId="50" xfId="0" applyFont="1" applyFill="1" applyBorder="1" applyAlignment="1">
      <alignment horizontal="center" vertical="center"/>
    </xf>
    <xf numFmtId="0" fontId="10" fillId="16" borderId="55" xfId="0" applyFont="1" applyFill="1" applyBorder="1" applyAlignment="1">
      <alignment horizontal="center" vertical="center"/>
    </xf>
    <xf numFmtId="0" fontId="10" fillId="16" borderId="50" xfId="0" applyFont="1" applyFill="1" applyBorder="1" applyAlignment="1">
      <alignment horizontal="center" vertical="center"/>
    </xf>
    <xf numFmtId="0" fontId="17" fillId="14" borderId="56" xfId="0" applyFont="1" applyFill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14" borderId="51" xfId="0" applyFont="1" applyFill="1" applyBorder="1" applyAlignment="1">
      <alignment horizontal="center" vertical="center"/>
    </xf>
    <xf numFmtId="0" fontId="10" fillId="22" borderId="55" xfId="0" applyFont="1" applyFill="1" applyBorder="1" applyAlignment="1">
      <alignment horizontal="center" vertical="center"/>
    </xf>
    <xf numFmtId="0" fontId="10" fillId="22" borderId="50" xfId="0" applyFont="1" applyFill="1" applyBorder="1" applyAlignment="1">
      <alignment horizontal="center" vertical="center"/>
    </xf>
    <xf numFmtId="0" fontId="10" fillId="22" borderId="5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14" borderId="50" xfId="0" applyFont="1" applyFill="1" applyBorder="1">
      <alignment vertical="center"/>
    </xf>
    <xf numFmtId="0" fontId="10" fillId="0" borderId="50" xfId="0" applyFont="1" applyBorder="1">
      <alignment vertical="center"/>
    </xf>
    <xf numFmtId="3" fontId="10" fillId="0" borderId="50" xfId="0" applyNumberFormat="1" applyFont="1" applyBorder="1">
      <alignment vertical="center"/>
    </xf>
    <xf numFmtId="0" fontId="10" fillId="16" borderId="55" xfId="0" applyFont="1" applyFill="1" applyBorder="1">
      <alignment vertical="center"/>
    </xf>
    <xf numFmtId="0" fontId="10" fillId="16" borderId="50" xfId="0" applyFont="1" applyFill="1" applyBorder="1">
      <alignment vertical="center"/>
    </xf>
    <xf numFmtId="0" fontId="10" fillId="14" borderId="55" xfId="0" applyFont="1" applyFill="1" applyBorder="1">
      <alignment vertical="center"/>
    </xf>
    <xf numFmtId="0" fontId="10" fillId="18" borderId="55" xfId="0" applyFont="1" applyFill="1" applyBorder="1">
      <alignment vertical="center"/>
    </xf>
    <xf numFmtId="3" fontId="10" fillId="18" borderId="55" xfId="0" applyNumberFormat="1" applyFont="1" applyFill="1" applyBorder="1">
      <alignment vertical="center"/>
    </xf>
    <xf numFmtId="0" fontId="10" fillId="18" borderId="50" xfId="0" applyFont="1" applyFill="1" applyBorder="1">
      <alignment vertical="center"/>
    </xf>
    <xf numFmtId="3" fontId="10" fillId="18" borderId="50" xfId="0" applyNumberFormat="1" applyFont="1" applyFill="1" applyBorder="1">
      <alignment vertical="center"/>
    </xf>
    <xf numFmtId="0" fontId="10" fillId="0" borderId="60" xfId="0" applyFont="1" applyBorder="1">
      <alignment vertical="center"/>
    </xf>
    <xf numFmtId="3" fontId="10" fillId="0" borderId="60" xfId="0" applyNumberFormat="1" applyFont="1" applyBorder="1">
      <alignment vertical="center"/>
    </xf>
    <xf numFmtId="0" fontId="10" fillId="22" borderId="55" xfId="0" applyFont="1" applyFill="1" applyBorder="1">
      <alignment vertical="center"/>
    </xf>
    <xf numFmtId="0" fontId="10" fillId="22" borderId="50" xfId="0" applyFont="1" applyFill="1" applyBorder="1">
      <alignment vertical="center"/>
    </xf>
    <xf numFmtId="10" fontId="10" fillId="22" borderId="50" xfId="0" applyNumberFormat="1" applyFont="1" applyFill="1" applyBorder="1">
      <alignment vertical="center"/>
    </xf>
    <xf numFmtId="0" fontId="10" fillId="22" borderId="53" xfId="0" applyFont="1" applyFill="1" applyBorder="1">
      <alignment vertical="center"/>
    </xf>
    <xf numFmtId="10" fontId="10" fillId="22" borderId="53" xfId="0" applyNumberFormat="1" applyFont="1" applyFill="1" applyBorder="1">
      <alignment vertical="center"/>
    </xf>
    <xf numFmtId="0" fontId="6" fillId="24" borderId="0" xfId="0" applyFont="1" applyFill="1">
      <alignment vertical="center"/>
    </xf>
    <xf numFmtId="0" fontId="0" fillId="24" borderId="0" xfId="0" applyFill="1">
      <alignment vertical="center"/>
    </xf>
    <xf numFmtId="0" fontId="12" fillId="10" borderId="49" xfId="0" applyFont="1" applyFill="1" applyBorder="1" applyAlignment="1">
      <alignment horizontal="center" vertical="center"/>
    </xf>
    <xf numFmtId="0" fontId="12" fillId="10" borderId="61" xfId="0" applyFont="1" applyFill="1" applyBorder="1" applyAlignment="1">
      <alignment horizontal="center" vertical="center"/>
    </xf>
    <xf numFmtId="0" fontId="10" fillId="14" borderId="62" xfId="0" applyFont="1" applyFill="1" applyBorder="1">
      <alignment vertical="center"/>
    </xf>
    <xf numFmtId="0" fontId="10" fillId="0" borderId="62" xfId="0" applyFont="1" applyBorder="1">
      <alignment vertical="center"/>
    </xf>
    <xf numFmtId="0" fontId="12" fillId="10" borderId="64" xfId="0" applyFont="1" applyFill="1" applyBorder="1" applyAlignment="1">
      <alignment horizontal="center" vertical="center"/>
    </xf>
    <xf numFmtId="0" fontId="10" fillId="14" borderId="65" xfId="0" applyFont="1" applyFill="1" applyBorder="1">
      <alignment vertical="center"/>
    </xf>
    <xf numFmtId="0" fontId="12" fillId="15" borderId="67" xfId="0" applyFont="1" applyFill="1" applyBorder="1" applyAlignment="1">
      <alignment horizontal="center" vertical="center"/>
    </xf>
    <xf numFmtId="0" fontId="12" fillId="15" borderId="68" xfId="0" applyFont="1" applyFill="1" applyBorder="1" applyAlignment="1">
      <alignment horizontal="center" vertical="center"/>
    </xf>
    <xf numFmtId="0" fontId="10" fillId="16" borderId="70" xfId="0" applyFont="1" applyFill="1" applyBorder="1">
      <alignment vertical="center"/>
    </xf>
    <xf numFmtId="0" fontId="12" fillId="15" borderId="72" xfId="0" applyFont="1" applyFill="1" applyBorder="1" applyAlignment="1">
      <alignment horizontal="center" vertical="center"/>
    </xf>
    <xf numFmtId="0" fontId="10" fillId="16" borderId="73" xfId="0" applyFont="1" applyFill="1" applyBorder="1">
      <alignment vertical="center"/>
    </xf>
    <xf numFmtId="0" fontId="10" fillId="16" borderId="74" xfId="0" applyFont="1" applyFill="1" applyBorder="1">
      <alignment vertical="center"/>
    </xf>
    <xf numFmtId="0" fontId="10" fillId="17" borderId="53" xfId="0" applyFont="1" applyFill="1" applyBorder="1">
      <alignment vertical="center"/>
    </xf>
    <xf numFmtId="0" fontId="18" fillId="17" borderId="54" xfId="0" applyFont="1" applyFill="1" applyBorder="1" applyAlignment="1">
      <alignment horizontal="center" vertical="center"/>
    </xf>
    <xf numFmtId="0" fontId="10" fillId="14" borderId="76" xfId="0" applyFont="1" applyFill="1" applyBorder="1">
      <alignment vertical="center"/>
    </xf>
    <xf numFmtId="0" fontId="10" fillId="17" borderId="63" xfId="0" applyFont="1" applyFill="1" applyBorder="1">
      <alignment vertical="center"/>
    </xf>
    <xf numFmtId="0" fontId="12" fillId="21" borderId="78" xfId="0" applyFont="1" applyFill="1" applyBorder="1" applyAlignment="1">
      <alignment horizontal="center" vertical="center"/>
    </xf>
    <xf numFmtId="0" fontId="12" fillId="21" borderId="79" xfId="0" applyFont="1" applyFill="1" applyBorder="1" applyAlignment="1">
      <alignment horizontal="center" vertical="center"/>
    </xf>
    <xf numFmtId="0" fontId="10" fillId="18" borderId="80" xfId="0" applyFont="1" applyFill="1" applyBorder="1">
      <alignment vertical="center"/>
    </xf>
    <xf numFmtId="0" fontId="10" fillId="0" borderId="81" xfId="0" applyFont="1" applyBorder="1">
      <alignment vertical="center"/>
    </xf>
    <xf numFmtId="0" fontId="10" fillId="18" borderId="81" xfId="0" applyFont="1" applyFill="1" applyBorder="1">
      <alignment vertical="center"/>
    </xf>
    <xf numFmtId="0" fontId="10" fillId="0" borderId="82" xfId="0" applyFont="1" applyBorder="1">
      <alignment vertical="center"/>
    </xf>
    <xf numFmtId="0" fontId="12" fillId="21" borderId="83" xfId="0" applyFont="1" applyFill="1" applyBorder="1" applyAlignment="1">
      <alignment horizontal="center" vertical="center"/>
    </xf>
    <xf numFmtId="0" fontId="10" fillId="18" borderId="84" xfId="0" applyFont="1" applyFill="1" applyBorder="1">
      <alignment vertical="center"/>
    </xf>
    <xf numFmtId="0" fontId="10" fillId="0" borderId="85" xfId="0" applyFont="1" applyBorder="1">
      <alignment vertical="center"/>
    </xf>
    <xf numFmtId="0" fontId="10" fillId="18" borderId="85" xfId="0" applyFont="1" applyFill="1" applyBorder="1">
      <alignment vertical="center"/>
    </xf>
    <xf numFmtId="0" fontId="10" fillId="0" borderId="86" xfId="0" applyFont="1" applyBorder="1">
      <alignment vertical="center"/>
    </xf>
    <xf numFmtId="0" fontId="13" fillId="22" borderId="76" xfId="0" applyFont="1" applyFill="1" applyBorder="1">
      <alignment vertical="center"/>
    </xf>
    <xf numFmtId="0" fontId="13" fillId="22" borderId="62" xfId="0" applyFont="1" applyFill="1" applyBorder="1">
      <alignment vertical="center"/>
    </xf>
    <xf numFmtId="0" fontId="13" fillId="22" borderId="63" xfId="0" applyFont="1" applyFill="1" applyBorder="1">
      <alignment vertical="center"/>
    </xf>
    <xf numFmtId="0" fontId="10" fillId="22" borderId="77" xfId="0" applyFont="1" applyFill="1" applyBorder="1">
      <alignment vertical="center"/>
    </xf>
    <xf numFmtId="0" fontId="10" fillId="22" borderId="65" xfId="0" applyFont="1" applyFill="1" applyBorder="1">
      <alignment vertical="center"/>
    </xf>
    <xf numFmtId="0" fontId="10" fillId="22" borderId="66" xfId="0" applyFont="1" applyFill="1" applyBorder="1">
      <alignment vertical="center"/>
    </xf>
    <xf numFmtId="0" fontId="13" fillId="18" borderId="87" xfId="0" applyFont="1" applyFill="1" applyBorder="1">
      <alignment vertical="center"/>
    </xf>
    <xf numFmtId="0" fontId="16" fillId="19" borderId="88" xfId="0" applyFont="1" applyFill="1" applyBorder="1">
      <alignment vertical="center"/>
    </xf>
    <xf numFmtId="0" fontId="13" fillId="20" borderId="88" xfId="0" applyFont="1" applyFill="1" applyBorder="1">
      <alignment vertical="center"/>
    </xf>
    <xf numFmtId="0" fontId="10" fillId="18" borderId="87" xfId="0" applyFont="1" applyFill="1" applyBorder="1" applyAlignment="1">
      <alignment vertical="center" wrapText="1"/>
    </xf>
    <xf numFmtId="0" fontId="15" fillId="19" borderId="88" xfId="0" applyFont="1" applyFill="1" applyBorder="1" applyAlignment="1">
      <alignment vertical="center" wrapText="1"/>
    </xf>
    <xf numFmtId="0" fontId="10" fillId="20" borderId="88" xfId="0" applyFont="1" applyFill="1" applyBorder="1" applyAlignment="1">
      <alignment vertical="center" wrapText="1"/>
    </xf>
    <xf numFmtId="10" fontId="10" fillId="14" borderId="55" xfId="0" applyNumberFormat="1" applyFont="1" applyFill="1" applyBorder="1" applyAlignment="1">
      <alignment horizontal="center" vertical="center"/>
    </xf>
    <xf numFmtId="0" fontId="10" fillId="14" borderId="55" xfId="0" applyFont="1" applyFill="1" applyBorder="1" applyAlignment="1">
      <alignment horizontal="center" vertical="center"/>
    </xf>
    <xf numFmtId="0" fontId="10" fillId="14" borderId="77" xfId="0" applyFont="1" applyFill="1" applyBorder="1">
      <alignment vertical="center"/>
    </xf>
    <xf numFmtId="0" fontId="13" fillId="14" borderId="90" xfId="0" applyFont="1" applyFill="1" applyBorder="1">
      <alignment vertical="center"/>
    </xf>
    <xf numFmtId="0" fontId="10" fillId="14" borderId="91" xfId="0" applyFont="1" applyFill="1" applyBorder="1">
      <alignment vertical="center"/>
    </xf>
    <xf numFmtId="10" fontId="10" fillId="14" borderId="91" xfId="0" applyNumberFormat="1" applyFont="1" applyFill="1" applyBorder="1" applyAlignment="1">
      <alignment horizontal="center" vertical="center"/>
    </xf>
    <xf numFmtId="0" fontId="10" fillId="14" borderId="91" xfId="0" applyFont="1" applyFill="1" applyBorder="1" applyAlignment="1">
      <alignment horizontal="center" vertical="center"/>
    </xf>
    <xf numFmtId="0" fontId="10" fillId="14" borderId="92" xfId="0" applyFont="1" applyFill="1" applyBorder="1">
      <alignment vertical="center"/>
    </xf>
    <xf numFmtId="0" fontId="10" fillId="14" borderId="93" xfId="0" applyFont="1" applyFill="1" applyBorder="1">
      <alignment vertical="center"/>
    </xf>
    <xf numFmtId="0" fontId="10" fillId="14" borderId="52" xfId="0" applyFont="1" applyFill="1" applyBorder="1">
      <alignment vertical="center"/>
    </xf>
    <xf numFmtId="10" fontId="10" fillId="14" borderId="52" xfId="0" applyNumberFormat="1" applyFont="1" applyFill="1" applyBorder="1" applyAlignment="1">
      <alignment horizontal="center" vertical="center"/>
    </xf>
    <xf numFmtId="0" fontId="10" fillId="14" borderId="52" xfId="0" applyFont="1" applyFill="1" applyBorder="1" applyAlignment="1">
      <alignment horizontal="center" vertical="center"/>
    </xf>
    <xf numFmtId="0" fontId="10" fillId="14" borderId="94" xfId="0" applyFont="1" applyFill="1" applyBorder="1">
      <alignment vertical="center"/>
    </xf>
    <xf numFmtId="0" fontId="13" fillId="14" borderId="95" xfId="0" applyFont="1" applyFill="1" applyBorder="1">
      <alignment vertical="center"/>
    </xf>
    <xf numFmtId="0" fontId="10" fillId="14" borderId="96" xfId="0" applyFont="1" applyFill="1" applyBorder="1">
      <alignment vertical="center"/>
    </xf>
    <xf numFmtId="0" fontId="10" fillId="14" borderId="96" xfId="0" applyFont="1" applyFill="1" applyBorder="1" applyAlignment="1">
      <alignment horizontal="center" vertical="center"/>
    </xf>
    <xf numFmtId="0" fontId="10" fillId="14" borderId="97" xfId="0" applyFont="1" applyFill="1" applyBorder="1">
      <alignment vertical="center"/>
    </xf>
    <xf numFmtId="0" fontId="10" fillId="16" borderId="69" xfId="0" applyFont="1" applyFill="1" applyBorder="1">
      <alignment vertical="center"/>
    </xf>
    <xf numFmtId="0" fontId="13" fillId="16" borderId="101" xfId="0" applyFont="1" applyFill="1" applyBorder="1">
      <alignment vertical="center"/>
    </xf>
    <xf numFmtId="0" fontId="10" fillId="16" borderId="91" xfId="0" applyFont="1" applyFill="1" applyBorder="1">
      <alignment vertical="center"/>
    </xf>
    <xf numFmtId="0" fontId="10" fillId="16" borderId="91" xfId="0" applyFont="1" applyFill="1" applyBorder="1" applyAlignment="1">
      <alignment horizontal="center" vertical="center"/>
    </xf>
    <xf numFmtId="0" fontId="10" fillId="16" borderId="102" xfId="0" applyFont="1" applyFill="1" applyBorder="1">
      <alignment vertical="center"/>
    </xf>
    <xf numFmtId="0" fontId="13" fillId="24" borderId="90" xfId="0" applyFont="1" applyFill="1" applyBorder="1">
      <alignment vertical="center"/>
    </xf>
    <xf numFmtId="0" fontId="10" fillId="24" borderId="91" xfId="0" applyFont="1" applyFill="1" applyBorder="1">
      <alignment vertical="center"/>
    </xf>
    <xf numFmtId="10" fontId="10" fillId="24" borderId="91" xfId="0" applyNumberFormat="1" applyFont="1" applyFill="1" applyBorder="1" applyAlignment="1">
      <alignment horizontal="center" vertical="center"/>
    </xf>
    <xf numFmtId="0" fontId="10" fillId="24" borderId="91" xfId="0" applyFont="1" applyFill="1" applyBorder="1" applyAlignment="1">
      <alignment horizontal="center" vertical="center"/>
    </xf>
    <xf numFmtId="0" fontId="10" fillId="24" borderId="92" xfId="0" applyFont="1" applyFill="1" applyBorder="1">
      <alignment vertical="center"/>
    </xf>
    <xf numFmtId="0" fontId="10" fillId="24" borderId="76" xfId="0" applyFont="1" applyFill="1" applyBorder="1">
      <alignment vertical="center"/>
    </xf>
    <xf numFmtId="0" fontId="10" fillId="24" borderId="55" xfId="0" applyFont="1" applyFill="1" applyBorder="1">
      <alignment vertical="center"/>
    </xf>
    <xf numFmtId="10" fontId="10" fillId="24" borderId="55" xfId="0" applyNumberFormat="1" applyFont="1" applyFill="1" applyBorder="1" applyAlignment="1">
      <alignment horizontal="center" vertical="center"/>
    </xf>
    <xf numFmtId="0" fontId="10" fillId="24" borderId="55" xfId="0" applyFont="1" applyFill="1" applyBorder="1" applyAlignment="1">
      <alignment horizontal="center" vertical="center"/>
    </xf>
    <xf numFmtId="0" fontId="10" fillId="24" borderId="77" xfId="0" applyFont="1" applyFill="1" applyBorder="1">
      <alignment vertical="center"/>
    </xf>
    <xf numFmtId="0" fontId="10" fillId="24" borderId="62" xfId="0" applyFont="1" applyFill="1" applyBorder="1">
      <alignment vertical="center"/>
    </xf>
    <xf numFmtId="0" fontId="10" fillId="24" borderId="50" xfId="0" applyFont="1" applyFill="1" applyBorder="1">
      <alignment vertical="center"/>
    </xf>
    <xf numFmtId="0" fontId="10" fillId="24" borderId="50" xfId="0" applyFont="1" applyFill="1" applyBorder="1" applyAlignment="1">
      <alignment horizontal="center" vertical="center"/>
    </xf>
    <xf numFmtId="0" fontId="10" fillId="24" borderId="65" xfId="0" applyFont="1" applyFill="1" applyBorder="1">
      <alignment vertical="center"/>
    </xf>
    <xf numFmtId="0" fontId="10" fillId="24" borderId="93" xfId="0" applyFont="1" applyFill="1" applyBorder="1">
      <alignment vertical="center"/>
    </xf>
    <xf numFmtId="0" fontId="10" fillId="24" borderId="52" xfId="0" applyFont="1" applyFill="1" applyBorder="1">
      <alignment vertical="center"/>
    </xf>
    <xf numFmtId="10" fontId="10" fillId="24" borderId="52" xfId="0" applyNumberFormat="1" applyFont="1" applyFill="1" applyBorder="1" applyAlignment="1">
      <alignment horizontal="center" vertical="center"/>
    </xf>
    <xf numFmtId="0" fontId="10" fillId="24" borderId="52" xfId="0" applyFont="1" applyFill="1" applyBorder="1" applyAlignment="1">
      <alignment horizontal="center" vertical="center"/>
    </xf>
    <xf numFmtId="0" fontId="10" fillId="24" borderId="94" xfId="0" applyFont="1" applyFill="1" applyBorder="1">
      <alignment vertical="center"/>
    </xf>
    <xf numFmtId="0" fontId="13" fillId="24" borderId="95" xfId="0" applyFont="1" applyFill="1" applyBorder="1">
      <alignment vertical="center"/>
    </xf>
    <xf numFmtId="0" fontId="10" fillId="24" borderId="96" xfId="0" applyFont="1" applyFill="1" applyBorder="1">
      <alignment vertical="center"/>
    </xf>
    <xf numFmtId="0" fontId="10" fillId="24" borderId="96" xfId="0" applyFont="1" applyFill="1" applyBorder="1" applyAlignment="1">
      <alignment horizontal="center" vertical="center"/>
    </xf>
    <xf numFmtId="0" fontId="10" fillId="24" borderId="97" xfId="0" applyFont="1" applyFill="1" applyBorder="1">
      <alignment vertical="center"/>
    </xf>
    <xf numFmtId="0" fontId="13" fillId="24" borderId="98" xfId="0" applyFont="1" applyFill="1" applyBorder="1">
      <alignment vertical="center"/>
    </xf>
    <xf numFmtId="0" fontId="10" fillId="24" borderId="99" xfId="0" applyFont="1" applyFill="1" applyBorder="1">
      <alignment vertical="center"/>
    </xf>
    <xf numFmtId="0" fontId="10" fillId="24" borderId="99" xfId="0" applyFont="1" applyFill="1" applyBorder="1" applyAlignment="1">
      <alignment horizontal="center" vertical="center"/>
    </xf>
    <xf numFmtId="0" fontId="10" fillId="24" borderId="100" xfId="0" applyFont="1" applyFill="1" applyBorder="1">
      <alignment vertical="center"/>
    </xf>
    <xf numFmtId="0" fontId="10" fillId="25" borderId="103" xfId="0" applyFont="1" applyFill="1" applyBorder="1">
      <alignment vertical="center"/>
    </xf>
    <xf numFmtId="0" fontId="10" fillId="25" borderId="52" xfId="0" applyFont="1" applyFill="1" applyBorder="1">
      <alignment vertical="center"/>
    </xf>
    <xf numFmtId="0" fontId="10" fillId="25" borderId="52" xfId="0" applyFont="1" applyFill="1" applyBorder="1" applyAlignment="1">
      <alignment horizontal="center" vertical="center"/>
    </xf>
    <xf numFmtId="0" fontId="10" fillId="25" borderId="104" xfId="0" applyFont="1" applyFill="1" applyBorder="1">
      <alignment vertical="center"/>
    </xf>
    <xf numFmtId="0" fontId="10" fillId="25" borderId="71" xfId="0" applyFont="1" applyFill="1" applyBorder="1">
      <alignment vertical="center"/>
    </xf>
    <xf numFmtId="0" fontId="10" fillId="25" borderId="58" xfId="0" applyFont="1" applyFill="1" applyBorder="1">
      <alignment vertical="center"/>
    </xf>
    <xf numFmtId="0" fontId="10" fillId="25" borderId="58" xfId="0" applyFont="1" applyFill="1" applyBorder="1" applyAlignment="1">
      <alignment horizontal="center" vertical="center"/>
    </xf>
    <xf numFmtId="0" fontId="10" fillId="25" borderId="75" xfId="0" applyFont="1" applyFill="1" applyBorder="1">
      <alignment vertical="center"/>
    </xf>
    <xf numFmtId="0" fontId="13" fillId="24" borderId="62" xfId="0" applyFont="1" applyFill="1" applyBorder="1">
      <alignment vertical="center"/>
    </xf>
    <xf numFmtId="10" fontId="10" fillId="24" borderId="50" xfId="0" applyNumberFormat="1" applyFont="1" applyFill="1" applyBorder="1">
      <alignment vertical="center"/>
    </xf>
    <xf numFmtId="0" fontId="13" fillId="24" borderId="88" xfId="0" applyFont="1" applyFill="1" applyBorder="1">
      <alignment vertical="center"/>
    </xf>
    <xf numFmtId="0" fontId="10" fillId="24" borderId="88" xfId="0" applyFont="1" applyFill="1" applyBorder="1" applyAlignment="1">
      <alignment vertical="center" wrapText="1"/>
    </xf>
    <xf numFmtId="0" fontId="13" fillId="24" borderId="89" xfId="0" applyFont="1" applyFill="1" applyBorder="1">
      <alignment vertical="center"/>
    </xf>
    <xf numFmtId="0" fontId="10" fillId="24" borderId="89" xfId="0" applyFont="1" applyFill="1" applyBorder="1" applyAlignment="1">
      <alignment vertical="center" wrapText="1"/>
    </xf>
    <xf numFmtId="0" fontId="6" fillId="0" borderId="105" xfId="0" applyFont="1" applyBorder="1">
      <alignment vertical="center"/>
    </xf>
    <xf numFmtId="3" fontId="10" fillId="14" borderId="52" xfId="0" applyNumberFormat="1" applyFont="1" applyFill="1" applyBorder="1" applyAlignment="1">
      <alignment horizontal="center" vertical="center"/>
    </xf>
    <xf numFmtId="3" fontId="10" fillId="24" borderId="52" xfId="0" applyNumberFormat="1" applyFont="1" applyFill="1" applyBorder="1" applyAlignment="1">
      <alignment horizontal="center" vertical="center"/>
    </xf>
    <xf numFmtId="10" fontId="10" fillId="16" borderId="50" xfId="0" applyNumberFormat="1" applyFont="1" applyFill="1" applyBorder="1" applyAlignment="1">
      <alignment horizontal="center" vertical="center"/>
    </xf>
    <xf numFmtId="0" fontId="10" fillId="18" borderId="55" xfId="0" applyFont="1" applyFill="1" applyBorder="1" applyAlignment="1">
      <alignment horizontal="center" vertical="center"/>
    </xf>
    <xf numFmtId="0" fontId="10" fillId="18" borderId="50" xfId="0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9" fillId="13" borderId="48" xfId="0" applyFont="1" applyFill="1" applyBorder="1" applyAlignment="1">
      <alignment vertical="center" indent="1"/>
    </xf>
    <xf numFmtId="0" fontId="6" fillId="13" borderId="48" xfId="0" applyFont="1" applyFill="1" applyBorder="1">
      <alignment vertical="center"/>
    </xf>
    <xf numFmtId="0" fontId="0" fillId="12" borderId="0" xfId="0" applyFill="1">
      <alignment vertical="center"/>
    </xf>
    <xf numFmtId="0" fontId="21" fillId="23" borderId="0" xfId="0" applyFont="1" applyFill="1" applyAlignment="1">
      <alignment horizontal="center" vertical="center"/>
    </xf>
    <xf numFmtId="0" fontId="21" fillId="23" borderId="0" xfId="0" applyFont="1" applyFill="1">
      <alignment vertical="center"/>
    </xf>
    <xf numFmtId="0" fontId="22" fillId="23" borderId="0" xfId="0" applyFont="1" applyFill="1" applyAlignment="1">
      <alignment horizontal="center" vertical="center" wrapText="1"/>
    </xf>
    <xf numFmtId="0" fontId="22" fillId="23" borderId="0" xfId="0" applyFont="1" applyFill="1" applyAlignment="1">
      <alignment vertical="center" wrapText="1"/>
    </xf>
    <xf numFmtId="0" fontId="16" fillId="16" borderId="0" xfId="0" applyFont="1" applyFill="1">
      <alignment vertical="center"/>
    </xf>
    <xf numFmtId="0" fontId="6" fillId="16" borderId="0" xfId="0" applyFont="1" applyFill="1">
      <alignment vertical="center"/>
    </xf>
    <xf numFmtId="0" fontId="9" fillId="13" borderId="48" xfId="0" applyFont="1" applyFill="1" applyBorder="1">
      <alignment vertical="center"/>
    </xf>
    <xf numFmtId="0" fontId="14" fillId="21" borderId="59" xfId="0" applyFont="1" applyFill="1" applyBorder="1" applyAlignment="1">
      <alignment vertical="center" indent="1"/>
    </xf>
    <xf numFmtId="0" fontId="6" fillId="21" borderId="59" xfId="0" applyFont="1" applyFill="1" applyBorder="1">
      <alignment vertical="center"/>
    </xf>
    <xf numFmtId="0" fontId="19" fillId="0" borderId="0" xfId="0" applyFont="1">
      <alignment vertical="center"/>
    </xf>
    <xf numFmtId="0" fontId="6" fillId="0" borderId="0" xfId="0" applyFont="1">
      <alignment vertical="center"/>
    </xf>
    <xf numFmtId="0" fontId="20" fillId="0" borderId="0" xfId="0" applyFont="1">
      <alignment vertical="center"/>
    </xf>
    <xf numFmtId="0" fontId="7" fillId="10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0" fontId="8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0" fontId="11" fillId="0" borderId="0" xfId="0" applyFont="1">
      <alignment vertical="center"/>
    </xf>
    <xf numFmtId="0" fontId="14" fillId="15" borderId="57" xfId="0" applyFont="1" applyFill="1" applyBorder="1" applyAlignment="1">
      <alignment vertical="center" indent="1"/>
    </xf>
    <xf numFmtId="0" fontId="6" fillId="15" borderId="57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4402CC3-CBDA-4EB4-AE15-29037F0694E5}">
  <we:reference id="wa200009404" version="1.0.0.5" store="ko-KR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2E9A541-9C3A-41C0-A1EF-6BDE67A76607}">
  <we:reference id="WA200006575" version="1.0.0.8" store="Omex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F0F9-B10E-4C73-A3EA-DCB69CCEC5E8}">
  <dimension ref="A1:O35"/>
  <sheetViews>
    <sheetView zoomScale="85" zoomScaleNormal="85" workbookViewId="0">
      <pane xSplit="2" ySplit="3" topLeftCell="C4" activePane="bottomRight" state="frozen"/>
      <selection activeCell="C2" sqref="C2:L2"/>
      <selection pane="topRight" activeCell="C2" sqref="C2:L2"/>
      <selection pane="bottomLeft" activeCell="C2" sqref="C2:L2"/>
      <selection pane="bottomRight" activeCell="C4" sqref="C4:J17"/>
    </sheetView>
  </sheetViews>
  <sheetFormatPr defaultRowHeight="16.5" x14ac:dyDescent="0.3"/>
  <cols>
    <col min="1" max="1" width="7.25" customWidth="1"/>
    <col min="2" max="2" width="16.5" customWidth="1"/>
    <col min="3" max="4" width="23" customWidth="1"/>
    <col min="5" max="15" width="29.25" customWidth="1"/>
    <col min="16" max="22" width="12.75" customWidth="1"/>
  </cols>
  <sheetData>
    <row r="1" spans="1:15" x14ac:dyDescent="0.3">
      <c r="A1" s="1" t="s">
        <v>0</v>
      </c>
    </row>
    <row r="2" spans="1:15" ht="17.25" thickBot="1" x14ac:dyDescent="0.35">
      <c r="C2" s="260" t="s">
        <v>62</v>
      </c>
      <c r="D2" s="260"/>
      <c r="E2" s="258" t="s">
        <v>1</v>
      </c>
      <c r="F2" s="258"/>
      <c r="G2" s="258"/>
      <c r="H2" s="258"/>
      <c r="I2" s="259" t="s">
        <v>2</v>
      </c>
      <c r="J2" s="259"/>
      <c r="K2" s="259"/>
      <c r="L2" s="2" t="s">
        <v>3</v>
      </c>
      <c r="M2" s="3" t="s">
        <v>4</v>
      </c>
      <c r="N2" s="2" t="s">
        <v>5</v>
      </c>
      <c r="O2" s="3" t="s">
        <v>6</v>
      </c>
    </row>
    <row r="3" spans="1:15" ht="18" thickTop="1" thickBot="1" x14ac:dyDescent="0.35">
      <c r="A3" s="4" t="s">
        <v>7</v>
      </c>
      <c r="B3" s="5" t="s">
        <v>8</v>
      </c>
      <c r="C3" s="79" t="s">
        <v>9</v>
      </c>
      <c r="D3" s="79" t="s">
        <v>10</v>
      </c>
      <c r="E3" s="6" t="s">
        <v>11</v>
      </c>
      <c r="F3" s="7" t="s">
        <v>12</v>
      </c>
      <c r="G3" s="8" t="s">
        <v>13</v>
      </c>
      <c r="H3" s="5" t="s">
        <v>14</v>
      </c>
      <c r="I3" s="6" t="s">
        <v>15</v>
      </c>
      <c r="J3" s="7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spans="1:15" x14ac:dyDescent="0.3">
      <c r="A4" s="10">
        <v>1</v>
      </c>
      <c r="B4" s="11" t="s">
        <v>22</v>
      </c>
      <c r="C4" s="80">
        <v>97146700000000</v>
      </c>
      <c r="D4" s="80">
        <v>333605900000000</v>
      </c>
      <c r="E4" s="12">
        <v>26905300000000</v>
      </c>
      <c r="F4" s="13">
        <v>5954900000000</v>
      </c>
      <c r="G4" s="14">
        <v>3658600000000</v>
      </c>
      <c r="H4" s="15">
        <v>4116000000000</v>
      </c>
      <c r="I4" s="16">
        <v>10732600000000</v>
      </c>
      <c r="J4" s="13">
        <v>18181200000000</v>
      </c>
      <c r="K4" s="17">
        <v>12893900000000</v>
      </c>
      <c r="L4" s="17">
        <v>16973500000000</v>
      </c>
      <c r="M4" s="17">
        <v>11252800000000</v>
      </c>
      <c r="N4" s="17">
        <v>12907600000000</v>
      </c>
      <c r="O4" s="17">
        <v>647000000000</v>
      </c>
    </row>
    <row r="5" spans="1:15" x14ac:dyDescent="0.3">
      <c r="A5" s="18">
        <v>2</v>
      </c>
      <c r="B5" s="19" t="s">
        <v>23</v>
      </c>
      <c r="C5" s="81">
        <v>47206300000000</v>
      </c>
      <c r="D5" s="81">
        <v>43601000000000</v>
      </c>
      <c r="E5" s="20">
        <v>3460100000000</v>
      </c>
      <c r="F5" s="21">
        <v>1055800000000</v>
      </c>
      <c r="G5" s="22">
        <v>304400000000</v>
      </c>
      <c r="H5" s="23">
        <v>349900000000</v>
      </c>
      <c r="I5" s="24">
        <v>873900000000</v>
      </c>
      <c r="J5" s="21">
        <v>2288300000000</v>
      </c>
      <c r="K5" s="25">
        <v>1285100000000</v>
      </c>
      <c r="L5" s="25">
        <v>893800000000</v>
      </c>
      <c r="M5" s="25">
        <v>902200000000</v>
      </c>
      <c r="N5" s="25">
        <v>-1709100000000</v>
      </c>
      <c r="O5" s="25">
        <v>297300000000</v>
      </c>
    </row>
    <row r="6" spans="1:15" x14ac:dyDescent="0.3">
      <c r="A6" s="18">
        <v>3</v>
      </c>
      <c r="B6" s="19" t="s">
        <v>24</v>
      </c>
      <c r="C6" s="81">
        <v>42947900000000</v>
      </c>
      <c r="D6" s="81">
        <v>45206800000000</v>
      </c>
      <c r="E6" s="20">
        <v>2080400000000</v>
      </c>
      <c r="F6" s="21">
        <v>803900000000</v>
      </c>
      <c r="G6" s="22">
        <v>209600000000</v>
      </c>
      <c r="H6" s="23">
        <v>297800000000</v>
      </c>
      <c r="I6" s="24">
        <v>656400000000</v>
      </c>
      <c r="J6" s="21">
        <v>1542400000000</v>
      </c>
      <c r="K6" s="25">
        <v>905100000000</v>
      </c>
      <c r="L6" s="25">
        <v>394000000000</v>
      </c>
      <c r="M6" s="25">
        <v>707600000000</v>
      </c>
      <c r="N6" s="25">
        <v>-623800000000</v>
      </c>
      <c r="O6" s="25">
        <v>283600000000</v>
      </c>
    </row>
    <row r="7" spans="1:15" x14ac:dyDescent="0.3">
      <c r="A7" s="26">
        <v>4</v>
      </c>
      <c r="B7" s="27" t="s">
        <v>25</v>
      </c>
      <c r="C7" s="82">
        <f>C5/C4</f>
        <v>0.48592798314301977</v>
      </c>
      <c r="D7" s="82">
        <f t="shared" ref="D7" si="0">D5/D4</f>
        <v>0.13069612977468323</v>
      </c>
      <c r="E7" s="28">
        <f>E5/E4</f>
        <v>0.12860291466737037</v>
      </c>
      <c r="F7" s="29">
        <f t="shared" ref="F7:H7" si="1">F5/F4</f>
        <v>0.17729936690792455</v>
      </c>
      <c r="G7" s="30">
        <f t="shared" si="1"/>
        <v>8.3201224512108457E-2</v>
      </c>
      <c r="H7" s="31">
        <f t="shared" si="1"/>
        <v>8.5009718172983473E-2</v>
      </c>
      <c r="I7" s="28">
        <f>I5/I4</f>
        <v>8.1424817844697461E-2</v>
      </c>
      <c r="J7" s="29">
        <f t="shared" ref="J7" si="2">J5/J4</f>
        <v>0.12586077926649505</v>
      </c>
      <c r="K7" s="32">
        <f>K5/K4</f>
        <v>9.9667284529893985E-2</v>
      </c>
      <c r="L7" s="32">
        <f>L5/L4</f>
        <v>5.265855598432851E-2</v>
      </c>
      <c r="M7" s="32">
        <f t="shared" ref="M7:O7" si="3">M5/M4</f>
        <v>8.0175600739371536E-2</v>
      </c>
      <c r="N7" s="32">
        <f t="shared" si="3"/>
        <v>-0.13241036288698133</v>
      </c>
      <c r="O7" s="32">
        <f t="shared" si="3"/>
        <v>0.45950540958268932</v>
      </c>
    </row>
    <row r="8" spans="1:15" x14ac:dyDescent="0.3">
      <c r="A8" s="18">
        <v>5</v>
      </c>
      <c r="B8" s="19" t="s">
        <v>26</v>
      </c>
      <c r="C8" s="81">
        <f>C9*C10</f>
        <v>715553174460000</v>
      </c>
      <c r="D8" s="83">
        <f t="shared" ref="D8:H8" si="4">D9*D10</f>
        <v>1183335620607800</v>
      </c>
      <c r="E8" s="20">
        <f t="shared" si="4"/>
        <v>63887053839000</v>
      </c>
      <c r="F8" s="21">
        <f t="shared" si="4"/>
        <v>24175017899500</v>
      </c>
      <c r="G8" s="22">
        <f t="shared" si="4"/>
        <v>17906177155900</v>
      </c>
      <c r="H8" s="23">
        <f t="shared" si="4"/>
        <v>11418000000000</v>
      </c>
      <c r="I8" s="24">
        <f>I9*I10</f>
        <v>25564000000000</v>
      </c>
      <c r="J8" s="21">
        <f>J9*J10</f>
        <v>62556890100000</v>
      </c>
      <c r="K8" s="25">
        <f>K9*K10</f>
        <v>43939680699600</v>
      </c>
      <c r="L8" s="25">
        <f>L9*L10</f>
        <v>64952900204400</v>
      </c>
      <c r="M8" s="25">
        <f t="shared" ref="M8:O8" si="5">M9*M10</f>
        <v>33350735264000</v>
      </c>
      <c r="N8" s="25">
        <f t="shared" si="5"/>
        <v>34007093660000</v>
      </c>
      <c r="O8" s="25">
        <f t="shared" si="5"/>
        <v>19967905900000</v>
      </c>
    </row>
    <row r="9" spans="1:15" x14ac:dyDescent="0.3">
      <c r="A9" s="18">
        <v>6</v>
      </c>
      <c r="B9" s="19" t="s">
        <v>27</v>
      </c>
      <c r="C9" s="81">
        <v>712702365</v>
      </c>
      <c r="D9" s="81">
        <v>5919637922</v>
      </c>
      <c r="E9" s="20">
        <v>51563401</v>
      </c>
      <c r="F9" s="21">
        <v>109142293</v>
      </c>
      <c r="G9" s="22">
        <v>97475107</v>
      </c>
      <c r="H9" s="23">
        <v>22000000</v>
      </c>
      <c r="I9" s="24">
        <v>880000000</v>
      </c>
      <c r="J9" s="21">
        <v>104961225</v>
      </c>
      <c r="K9" s="25">
        <v>306413394</v>
      </c>
      <c r="L9" s="25">
        <v>640561146</v>
      </c>
      <c r="M9" s="25">
        <v>74693696</v>
      </c>
      <c r="N9" s="25">
        <v>80585530</v>
      </c>
      <c r="O9" s="25">
        <v>95312200</v>
      </c>
    </row>
    <row r="10" spans="1:15" x14ac:dyDescent="0.3">
      <c r="A10" s="18">
        <v>7</v>
      </c>
      <c r="B10" s="19" t="s">
        <v>28</v>
      </c>
      <c r="C10" s="81">
        <v>1004000</v>
      </c>
      <c r="D10" s="81">
        <v>199900</v>
      </c>
      <c r="E10" s="24">
        <v>1239000</v>
      </c>
      <c r="F10" s="21">
        <v>221500</v>
      </c>
      <c r="G10" s="22">
        <v>183700</v>
      </c>
      <c r="H10" s="33">
        <v>519000</v>
      </c>
      <c r="I10" s="24">
        <v>29050</v>
      </c>
      <c r="J10" s="21">
        <v>596000</v>
      </c>
      <c r="K10" s="25">
        <v>143400</v>
      </c>
      <c r="L10" s="25">
        <v>101400</v>
      </c>
      <c r="M10" s="25">
        <v>446500</v>
      </c>
      <c r="N10" s="25">
        <v>422000</v>
      </c>
      <c r="O10" s="25">
        <v>209500</v>
      </c>
    </row>
    <row r="11" spans="1:15" x14ac:dyDescent="0.3">
      <c r="A11" s="18">
        <v>8</v>
      </c>
      <c r="B11" s="19" t="s">
        <v>29</v>
      </c>
      <c r="C11" s="83">
        <v>60269</v>
      </c>
      <c r="D11" s="83">
        <v>6564</v>
      </c>
      <c r="E11" s="34">
        <v>29330</v>
      </c>
      <c r="F11" s="21">
        <v>7395</v>
      </c>
      <c r="G11" s="22">
        <v>2148</v>
      </c>
      <c r="H11" s="35">
        <v>14131</v>
      </c>
      <c r="I11" s="24">
        <v>764</v>
      </c>
      <c r="J11" s="21">
        <v>17031</v>
      </c>
      <c r="K11" s="25">
        <v>2954</v>
      </c>
      <c r="L11" s="25">
        <v>297</v>
      </c>
      <c r="M11" s="25">
        <v>8809</v>
      </c>
      <c r="N11" s="25">
        <v>-7940</v>
      </c>
      <c r="O11" s="25">
        <v>2959</v>
      </c>
    </row>
    <row r="12" spans="1:15" x14ac:dyDescent="0.3">
      <c r="A12" s="26">
        <v>9</v>
      </c>
      <c r="B12" s="27" t="s">
        <v>30</v>
      </c>
      <c r="C12" s="84">
        <f t="shared" ref="C12:O12" si="6">C10/C11</f>
        <v>16.658647065655643</v>
      </c>
      <c r="D12" s="84">
        <f t="shared" si="6"/>
        <v>30.453991468616696</v>
      </c>
      <c r="E12" s="36">
        <f t="shared" si="6"/>
        <v>42.243436754176614</v>
      </c>
      <c r="F12" s="37">
        <f t="shared" si="6"/>
        <v>29.9526707234618</v>
      </c>
      <c r="G12" s="38">
        <f t="shared" si="6"/>
        <v>85.521415270018622</v>
      </c>
      <c r="H12" s="39">
        <f t="shared" si="6"/>
        <v>36.727761658764422</v>
      </c>
      <c r="I12" s="36">
        <f>I10/I11</f>
        <v>38.023560209424083</v>
      </c>
      <c r="J12" s="37">
        <f>J10/J11</f>
        <v>34.995009101051025</v>
      </c>
      <c r="K12" s="40">
        <f t="shared" ref="K12" si="7">K10/K11</f>
        <v>48.544346648612049</v>
      </c>
      <c r="L12" s="40">
        <f t="shared" si="6"/>
        <v>341.4141414141414</v>
      </c>
      <c r="M12" s="40">
        <f t="shared" si="6"/>
        <v>50.686797593370414</v>
      </c>
      <c r="N12" s="40">
        <f t="shared" si="6"/>
        <v>-53.148614609571787</v>
      </c>
      <c r="O12" s="40">
        <f t="shared" si="6"/>
        <v>70.800946265630287</v>
      </c>
    </row>
    <row r="13" spans="1:15" ht="17.25" thickBot="1" x14ac:dyDescent="0.35">
      <c r="A13" s="41">
        <v>10</v>
      </c>
      <c r="B13" s="42" t="s">
        <v>31</v>
      </c>
      <c r="C13" s="85">
        <v>4.68</v>
      </c>
      <c r="D13" s="85">
        <v>1.87</v>
      </c>
      <c r="E13" s="43">
        <v>6.57</v>
      </c>
      <c r="F13" s="44">
        <v>7.6</v>
      </c>
      <c r="G13" s="45">
        <v>8.76</v>
      </c>
      <c r="H13" s="46">
        <v>8.48</v>
      </c>
      <c r="I13" s="47">
        <v>5.89</v>
      </c>
      <c r="J13" s="44">
        <v>6.86</v>
      </c>
      <c r="K13" s="48">
        <v>7.31</v>
      </c>
      <c r="L13" s="48">
        <v>7.33</v>
      </c>
      <c r="M13" s="48">
        <v>2.34</v>
      </c>
      <c r="N13" s="48">
        <v>1.46</v>
      </c>
      <c r="O13" s="48">
        <v>26.55</v>
      </c>
    </row>
    <row r="14" spans="1:15" x14ac:dyDescent="0.3">
      <c r="A14" s="49">
        <v>11</v>
      </c>
      <c r="B14" s="50" t="s">
        <v>32</v>
      </c>
      <c r="C14" s="86">
        <f t="shared" ref="C14:H14" si="8">C8/100000000</f>
        <v>7155531.7445999999</v>
      </c>
      <c r="D14" s="86">
        <f t="shared" si="8"/>
        <v>11833356.206078</v>
      </c>
      <c r="E14" s="51">
        <f t="shared" si="8"/>
        <v>638870.53839</v>
      </c>
      <c r="F14" s="52">
        <f t="shared" si="8"/>
        <v>241750.17899499999</v>
      </c>
      <c r="G14" s="53">
        <f t="shared" si="8"/>
        <v>179061.77155899999</v>
      </c>
      <c r="H14" s="54">
        <f t="shared" si="8"/>
        <v>114180</v>
      </c>
      <c r="I14" s="51">
        <f>I8/100000000</f>
        <v>255640</v>
      </c>
      <c r="J14" s="52">
        <f t="shared" ref="J14:O14" si="9">J8/100000000</f>
        <v>625568.90099999995</v>
      </c>
      <c r="K14" s="55">
        <f t="shared" si="9"/>
        <v>439396.806996</v>
      </c>
      <c r="L14" s="55">
        <f t="shared" si="9"/>
        <v>649529.00204399996</v>
      </c>
      <c r="M14" s="55">
        <f t="shared" si="9"/>
        <v>333507.35264</v>
      </c>
      <c r="N14" s="55">
        <f t="shared" si="9"/>
        <v>340070.93660000002</v>
      </c>
      <c r="O14" s="55">
        <f t="shared" si="9"/>
        <v>199679.05900000001</v>
      </c>
    </row>
    <row r="15" spans="1:15" ht="17.25" thickBot="1" x14ac:dyDescent="0.35">
      <c r="A15" s="56">
        <v>12</v>
      </c>
      <c r="B15" s="57" t="s">
        <v>33</v>
      </c>
      <c r="C15" s="87" t="s">
        <v>6</v>
      </c>
      <c r="D15" s="87" t="s">
        <v>34</v>
      </c>
      <c r="E15" s="58" t="s">
        <v>35</v>
      </c>
      <c r="F15" s="59" t="s">
        <v>36</v>
      </c>
      <c r="G15" s="60" t="s">
        <v>37</v>
      </c>
      <c r="H15" s="61" t="s">
        <v>38</v>
      </c>
      <c r="I15" s="62" t="s">
        <v>39</v>
      </c>
      <c r="J15" s="59" t="s">
        <v>40</v>
      </c>
      <c r="K15" s="63" t="s">
        <v>40</v>
      </c>
      <c r="L15" s="63" t="s">
        <v>41</v>
      </c>
      <c r="M15" s="63" t="s">
        <v>42</v>
      </c>
      <c r="N15" s="63" t="s">
        <v>5</v>
      </c>
      <c r="O15" s="63" t="s">
        <v>43</v>
      </c>
    </row>
    <row r="16" spans="1:15" x14ac:dyDescent="0.3">
      <c r="C16" s="64" t="s">
        <v>44</v>
      </c>
      <c r="D16" s="64" t="s">
        <v>44</v>
      </c>
      <c r="E16" s="64" t="s">
        <v>45</v>
      </c>
      <c r="F16" s="64" t="s">
        <v>46</v>
      </c>
      <c r="G16" s="64" t="s">
        <v>47</v>
      </c>
      <c r="H16" s="64" t="s">
        <v>48</v>
      </c>
      <c r="I16" s="64" t="s">
        <v>49</v>
      </c>
      <c r="J16" s="64" t="s">
        <v>50</v>
      </c>
      <c r="K16" s="64" t="s">
        <v>50</v>
      </c>
      <c r="L16" s="64" t="s">
        <v>51</v>
      </c>
      <c r="M16" s="64" t="s">
        <v>52</v>
      </c>
      <c r="N16" s="64" t="s">
        <v>53</v>
      </c>
      <c r="O16" s="64" t="s">
        <v>54</v>
      </c>
    </row>
    <row r="17" spans="2:15" x14ac:dyDescent="0.3">
      <c r="E17" s="64"/>
      <c r="F17" s="64" t="s">
        <v>55</v>
      </c>
      <c r="G17" s="64"/>
      <c r="H17" s="64"/>
      <c r="I17" s="64"/>
      <c r="J17" s="64" t="s">
        <v>56</v>
      </c>
      <c r="K17" s="64"/>
      <c r="L17" s="64"/>
      <c r="M17" s="64" t="s">
        <v>57</v>
      </c>
      <c r="N17" s="64"/>
      <c r="O17" s="64"/>
    </row>
    <row r="18" spans="2:15" ht="17.25" thickBot="1" x14ac:dyDescent="0.35"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</row>
    <row r="19" spans="2:15" x14ac:dyDescent="0.3">
      <c r="B19" s="94" t="s">
        <v>58</v>
      </c>
      <c r="C19" s="65"/>
      <c r="D19" s="65"/>
      <c r="E19" s="66"/>
      <c r="F19" s="67"/>
      <c r="G19" s="68"/>
      <c r="H19" s="68"/>
      <c r="I19" s="68"/>
      <c r="J19" s="67"/>
      <c r="K19" s="68"/>
      <c r="L19" s="68"/>
      <c r="M19" s="67"/>
      <c r="N19" s="68"/>
      <c r="O19" s="69"/>
    </row>
    <row r="20" spans="2:15" x14ac:dyDescent="0.3">
      <c r="B20" s="88" t="s">
        <v>59</v>
      </c>
      <c r="C20" s="64"/>
      <c r="D20" s="64"/>
      <c r="E20" s="70"/>
      <c r="F20" s="71"/>
      <c r="G20" s="71"/>
      <c r="H20" s="71"/>
      <c r="I20" s="71"/>
      <c r="J20" s="71"/>
      <c r="K20" s="72"/>
      <c r="L20" s="71"/>
      <c r="M20" s="71"/>
      <c r="N20" s="72"/>
      <c r="O20" s="73"/>
    </row>
    <row r="21" spans="2:15" ht="17.25" thickBot="1" x14ac:dyDescent="0.35">
      <c r="B21" s="95" t="s">
        <v>60</v>
      </c>
      <c r="C21" s="74"/>
      <c r="D21" s="74"/>
      <c r="E21" s="75"/>
      <c r="F21" s="76"/>
      <c r="G21" s="77"/>
      <c r="H21" s="77"/>
      <c r="I21" s="77"/>
      <c r="J21" s="76"/>
      <c r="K21" s="76"/>
      <c r="L21" s="77"/>
      <c r="M21" s="76"/>
      <c r="N21" s="76"/>
      <c r="O21" s="78"/>
    </row>
    <row r="22" spans="2:15" ht="17.25" thickBot="1" x14ac:dyDescent="0.35"/>
    <row r="23" spans="2:15" ht="17.25" thickBot="1" x14ac:dyDescent="0.35">
      <c r="B23" s="88" t="s">
        <v>61</v>
      </c>
      <c r="C23" s="79" t="s">
        <v>9</v>
      </c>
      <c r="D23" s="79" t="s">
        <v>10</v>
      </c>
    </row>
    <row r="24" spans="2:15" x14ac:dyDescent="0.3">
      <c r="C24" s="80">
        <v>211672900000000</v>
      </c>
      <c r="D24" s="80">
        <v>474564800000000</v>
      </c>
    </row>
    <row r="25" spans="2:15" x14ac:dyDescent="0.3">
      <c r="C25" s="81">
        <v>143423800000000</v>
      </c>
      <c r="D25" s="81">
        <v>157118100000000</v>
      </c>
    </row>
    <row r="26" spans="2:15" x14ac:dyDescent="0.3">
      <c r="C26" s="81">
        <v>123266200000000</v>
      </c>
      <c r="D26" s="81">
        <v>147304900000000</v>
      </c>
    </row>
    <row r="27" spans="2:15" x14ac:dyDescent="0.3">
      <c r="C27" s="82">
        <f>C25/C24</f>
        <v>0.6775728021867703</v>
      </c>
      <c r="D27" s="82">
        <f t="shared" ref="D27" si="10">D25/D24</f>
        <v>0.33107828477796919</v>
      </c>
    </row>
    <row r="28" spans="2:15" x14ac:dyDescent="0.3">
      <c r="C28" s="81">
        <f>C29*C30</f>
        <v>1282864257000000</v>
      </c>
      <c r="D28" s="83">
        <f t="shared" ref="D28" si="11">D29*D30</f>
        <v>1775891376600000</v>
      </c>
    </row>
    <row r="29" spans="2:15" ht="17.25" thickBot="1" x14ac:dyDescent="0.35">
      <c r="C29" s="89">
        <v>712702365</v>
      </c>
      <c r="D29" s="89">
        <v>5919637922</v>
      </c>
    </row>
    <row r="30" spans="2:15" ht="17.25" thickBot="1" x14ac:dyDescent="0.35">
      <c r="B30" s="90" t="s">
        <v>63</v>
      </c>
      <c r="C30" s="91">
        <v>1800000</v>
      </c>
      <c r="D30" s="91">
        <v>300000</v>
      </c>
    </row>
    <row r="31" spans="2:15" ht="17.25" thickBot="1" x14ac:dyDescent="0.35">
      <c r="C31" s="83">
        <v>175915</v>
      </c>
      <c r="D31" s="83">
        <v>21374</v>
      </c>
    </row>
    <row r="32" spans="2:15" ht="17.25" thickBot="1" x14ac:dyDescent="0.35">
      <c r="B32" s="90" t="s">
        <v>64</v>
      </c>
      <c r="C32" s="93">
        <f t="shared" ref="C32:D32" si="12">C30/C31</f>
        <v>10.232214421737771</v>
      </c>
      <c r="D32" s="93">
        <f t="shared" si="12"/>
        <v>14.035744362309348</v>
      </c>
      <c r="E32" t="s">
        <v>65</v>
      </c>
    </row>
    <row r="33" spans="3:4" ht="17.25" thickBot="1" x14ac:dyDescent="0.35">
      <c r="C33" s="92">
        <v>2.5</v>
      </c>
      <c r="D33" s="92">
        <v>1.9</v>
      </c>
    </row>
    <row r="34" spans="3:4" x14ac:dyDescent="0.3">
      <c r="C34" s="86">
        <f t="shared" ref="C34:D34" si="13">C28/100000000</f>
        <v>12828642.57</v>
      </c>
      <c r="D34" s="86">
        <f t="shared" si="13"/>
        <v>17758913.765999999</v>
      </c>
    </row>
    <row r="35" spans="3:4" ht="17.25" thickBot="1" x14ac:dyDescent="0.35">
      <c r="C35" s="87" t="s">
        <v>6</v>
      </c>
      <c r="D35" s="87" t="s">
        <v>34</v>
      </c>
    </row>
  </sheetData>
  <mergeCells count="3">
    <mergeCell ref="E2:H2"/>
    <mergeCell ref="I2:K2"/>
    <mergeCell ref="C2:D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334B-F281-457A-861A-B2CC6F408A22}">
  <sheetPr>
    <tabColor rgb="FF003366"/>
  </sheetPr>
  <dimension ref="A1:H80"/>
  <sheetViews>
    <sheetView tabSelected="1" workbookViewId="0">
      <selection activeCell="D28" sqref="D28:D35"/>
    </sheetView>
  </sheetViews>
  <sheetFormatPr defaultRowHeight="16.5" x14ac:dyDescent="0.3"/>
  <cols>
    <col min="1" max="1" width="23.375" customWidth="1"/>
    <col min="2" max="2" width="21.625" customWidth="1"/>
    <col min="3" max="4" width="20" customWidth="1"/>
    <col min="5" max="5" width="16.25" customWidth="1"/>
    <col min="6" max="6" width="24.75" customWidth="1"/>
    <col min="7" max="8" width="21.625" customWidth="1"/>
  </cols>
  <sheetData>
    <row r="1" spans="1:8" ht="42" customHeight="1" x14ac:dyDescent="0.3">
      <c r="A1" s="251" t="s">
        <v>66</v>
      </c>
      <c r="B1" s="252"/>
      <c r="C1" s="252"/>
      <c r="D1" s="252"/>
      <c r="E1" s="252"/>
      <c r="F1" s="252"/>
      <c r="G1" s="252"/>
      <c r="H1" s="252"/>
    </row>
    <row r="2" spans="1:8" ht="21.95" customHeight="1" x14ac:dyDescent="0.3">
      <c r="A2" s="253" t="s">
        <v>67</v>
      </c>
      <c r="B2" s="254"/>
      <c r="C2" s="254"/>
      <c r="D2" s="254"/>
      <c r="E2" s="254"/>
      <c r="F2" s="254"/>
      <c r="G2" s="254"/>
      <c r="H2" s="254"/>
    </row>
    <row r="3" spans="1:8" ht="3.95" customHeight="1" x14ac:dyDescent="0.3">
      <c r="A3" s="238"/>
      <c r="B3" s="238"/>
      <c r="C3" s="238"/>
      <c r="D3" s="238"/>
      <c r="E3" s="238"/>
      <c r="F3" s="238"/>
      <c r="G3" s="238"/>
      <c r="H3" s="238"/>
    </row>
    <row r="4" spans="1:8" s="126" customFormat="1" ht="12" customHeight="1" x14ac:dyDescent="0.3">
      <c r="A4" s="125"/>
      <c r="B4" s="125"/>
      <c r="C4" s="125"/>
      <c r="D4" s="125"/>
      <c r="E4" s="125"/>
      <c r="F4" s="125"/>
      <c r="G4" s="125"/>
      <c r="H4" s="125"/>
    </row>
    <row r="5" spans="1:8" ht="27.95" customHeight="1" thickBot="1" x14ac:dyDescent="0.35">
      <c r="A5" s="236" t="s">
        <v>68</v>
      </c>
      <c r="B5" s="237"/>
      <c r="C5" s="237"/>
      <c r="D5" s="237"/>
      <c r="E5" s="237"/>
      <c r="F5" s="237"/>
      <c r="G5" s="237"/>
      <c r="H5" s="237"/>
    </row>
    <row r="6" spans="1:8" ht="18" customHeight="1" x14ac:dyDescent="0.3">
      <c r="A6" s="255" t="s">
        <v>69</v>
      </c>
      <c r="B6" s="249"/>
      <c r="C6" s="249"/>
      <c r="D6" s="249"/>
      <c r="E6" s="249"/>
      <c r="F6" s="249"/>
      <c r="G6" s="249"/>
      <c r="H6" s="249"/>
    </row>
    <row r="7" spans="1:8" s="126" customFormat="1" ht="8.1" customHeight="1" thickBot="1" x14ac:dyDescent="0.35">
      <c r="A7" s="125"/>
      <c r="B7" s="125"/>
      <c r="C7" s="125"/>
      <c r="D7" s="125"/>
      <c r="E7" s="125"/>
      <c r="F7" s="125"/>
      <c r="G7" s="125"/>
      <c r="H7" s="125"/>
    </row>
    <row r="8" spans="1:8" ht="24" customHeight="1" x14ac:dyDescent="0.3">
      <c r="A8" s="128" t="s">
        <v>70</v>
      </c>
      <c r="B8" s="127" t="s">
        <v>71</v>
      </c>
      <c r="C8" s="127" t="s">
        <v>72</v>
      </c>
      <c r="D8" s="127" t="s">
        <v>73</v>
      </c>
      <c r="E8" s="127" t="s">
        <v>74</v>
      </c>
      <c r="F8" s="127" t="s">
        <v>75</v>
      </c>
      <c r="G8" s="127" t="s">
        <v>76</v>
      </c>
      <c r="H8" s="131" t="s">
        <v>77</v>
      </c>
    </row>
    <row r="9" spans="1:8" ht="21" customHeight="1" x14ac:dyDescent="0.3">
      <c r="A9" s="169" t="s">
        <v>78</v>
      </c>
      <c r="B9" s="170" t="s">
        <v>79</v>
      </c>
      <c r="C9" s="172" t="s">
        <v>80</v>
      </c>
      <c r="D9" s="172" t="s">
        <v>81</v>
      </c>
      <c r="E9" s="171">
        <v>-2.1000000000000001E-2</v>
      </c>
      <c r="F9" s="172" t="s">
        <v>82</v>
      </c>
      <c r="G9" s="170" t="s">
        <v>83</v>
      </c>
      <c r="H9" s="173" t="s">
        <v>84</v>
      </c>
    </row>
    <row r="10" spans="1:8" ht="21" customHeight="1" x14ac:dyDescent="0.3">
      <c r="A10" s="141"/>
      <c r="B10" s="113" t="s">
        <v>85</v>
      </c>
      <c r="C10" s="167" t="s">
        <v>86</v>
      </c>
      <c r="D10" s="167" t="s">
        <v>87</v>
      </c>
      <c r="E10" s="166">
        <v>-5.8999999999999997E-2</v>
      </c>
      <c r="F10" s="167" t="s">
        <v>88</v>
      </c>
      <c r="G10" s="113" t="s">
        <v>83</v>
      </c>
      <c r="H10" s="168" t="s">
        <v>84</v>
      </c>
    </row>
    <row r="11" spans="1:8" ht="21" customHeight="1" x14ac:dyDescent="0.3">
      <c r="A11" s="129"/>
      <c r="B11" s="108" t="s">
        <v>89</v>
      </c>
      <c r="C11" s="98" t="s">
        <v>90</v>
      </c>
      <c r="D11" s="98" t="s">
        <v>91</v>
      </c>
      <c r="E11" s="97">
        <v>-5.2999999999999999E-2</v>
      </c>
      <c r="F11" s="98" t="s">
        <v>88</v>
      </c>
      <c r="G11" s="108" t="s">
        <v>83</v>
      </c>
      <c r="H11" s="132" t="s">
        <v>84</v>
      </c>
    </row>
    <row r="12" spans="1:8" ht="21" customHeight="1" x14ac:dyDescent="0.3">
      <c r="A12" s="174"/>
      <c r="B12" s="175" t="s">
        <v>92</v>
      </c>
      <c r="C12" s="230">
        <v>712702365</v>
      </c>
      <c r="D12" s="230">
        <v>712702365</v>
      </c>
      <c r="E12" s="176">
        <v>0</v>
      </c>
      <c r="F12" s="177" t="s">
        <v>93</v>
      </c>
      <c r="G12" s="175" t="s">
        <v>94</v>
      </c>
      <c r="H12" s="178"/>
    </row>
    <row r="13" spans="1:8" ht="21" customHeight="1" x14ac:dyDescent="0.3">
      <c r="A13" s="188" t="s">
        <v>95</v>
      </c>
      <c r="B13" s="189" t="s">
        <v>79</v>
      </c>
      <c r="C13" s="191" t="s">
        <v>96</v>
      </c>
      <c r="D13" s="191" t="s">
        <v>96</v>
      </c>
      <c r="E13" s="190">
        <v>0</v>
      </c>
      <c r="F13" s="191" t="s">
        <v>93</v>
      </c>
      <c r="G13" s="189" t="s">
        <v>97</v>
      </c>
      <c r="H13" s="192" t="s">
        <v>98</v>
      </c>
    </row>
    <row r="14" spans="1:8" ht="21" customHeight="1" x14ac:dyDescent="0.3">
      <c r="A14" s="193"/>
      <c r="B14" s="194" t="s">
        <v>85</v>
      </c>
      <c r="C14" s="196" t="s">
        <v>99</v>
      </c>
      <c r="D14" s="196" t="s">
        <v>99</v>
      </c>
      <c r="E14" s="195">
        <v>0</v>
      </c>
      <c r="F14" s="196" t="s">
        <v>93</v>
      </c>
      <c r="G14" s="194" t="s">
        <v>97</v>
      </c>
      <c r="H14" s="197" t="s">
        <v>98</v>
      </c>
    </row>
    <row r="15" spans="1:8" ht="21" customHeight="1" x14ac:dyDescent="0.3">
      <c r="A15" s="198"/>
      <c r="B15" s="199" t="s">
        <v>89</v>
      </c>
      <c r="C15" s="200" t="s">
        <v>100</v>
      </c>
      <c r="D15" s="200" t="s">
        <v>101</v>
      </c>
      <c r="E15" s="200" t="s">
        <v>102</v>
      </c>
      <c r="F15" s="200" t="s">
        <v>103</v>
      </c>
      <c r="G15" s="199" t="s">
        <v>104</v>
      </c>
      <c r="H15" s="201" t="s">
        <v>105</v>
      </c>
    </row>
    <row r="16" spans="1:8" ht="21" customHeight="1" x14ac:dyDescent="0.3">
      <c r="A16" s="202"/>
      <c r="B16" s="203" t="s">
        <v>92</v>
      </c>
      <c r="C16" s="231">
        <v>5919637922</v>
      </c>
      <c r="D16" s="231">
        <v>5919637922</v>
      </c>
      <c r="E16" s="204">
        <v>0</v>
      </c>
      <c r="F16" s="205" t="s">
        <v>93</v>
      </c>
      <c r="G16" s="203" t="s">
        <v>104</v>
      </c>
      <c r="H16" s="206"/>
    </row>
    <row r="17" spans="1:8" ht="21" customHeight="1" x14ac:dyDescent="0.3">
      <c r="A17" s="169" t="s">
        <v>106</v>
      </c>
      <c r="B17" s="170" t="s">
        <v>79</v>
      </c>
      <c r="C17" s="172" t="s">
        <v>107</v>
      </c>
      <c r="D17" s="172" t="s">
        <v>108</v>
      </c>
      <c r="E17" s="171">
        <v>1.0999999999999999E-2</v>
      </c>
      <c r="F17" s="172" t="s">
        <v>109</v>
      </c>
      <c r="G17" s="170" t="s">
        <v>110</v>
      </c>
      <c r="H17" s="173" t="s">
        <v>111</v>
      </c>
    </row>
    <row r="18" spans="1:8" ht="21" customHeight="1" x14ac:dyDescent="0.3">
      <c r="A18" s="141"/>
      <c r="B18" s="113" t="s">
        <v>85</v>
      </c>
      <c r="C18" s="167" t="s">
        <v>112</v>
      </c>
      <c r="D18" s="167" t="s">
        <v>113</v>
      </c>
      <c r="E18" s="166">
        <v>0.14199999999999999</v>
      </c>
      <c r="F18" s="167" t="s">
        <v>109</v>
      </c>
      <c r="G18" s="113" t="s">
        <v>110</v>
      </c>
      <c r="H18" s="168" t="s">
        <v>114</v>
      </c>
    </row>
    <row r="19" spans="1:8" ht="21" customHeight="1" x14ac:dyDescent="0.3">
      <c r="A19" s="174"/>
      <c r="B19" s="175" t="s">
        <v>115</v>
      </c>
      <c r="C19" s="230">
        <v>1239000</v>
      </c>
      <c r="D19" s="177" t="s">
        <v>116</v>
      </c>
      <c r="E19" s="176">
        <v>-2E-3</v>
      </c>
      <c r="F19" s="177" t="s">
        <v>93</v>
      </c>
      <c r="G19" s="175" t="s">
        <v>117</v>
      </c>
      <c r="H19" s="178" t="s">
        <v>118</v>
      </c>
    </row>
    <row r="20" spans="1:8" ht="21" customHeight="1" x14ac:dyDescent="0.3">
      <c r="A20" s="207" t="s">
        <v>119</v>
      </c>
      <c r="B20" s="208" t="s">
        <v>85</v>
      </c>
      <c r="C20" s="209" t="s">
        <v>120</v>
      </c>
      <c r="D20" s="209" t="s">
        <v>121</v>
      </c>
      <c r="E20" s="209" t="s">
        <v>102</v>
      </c>
      <c r="F20" s="209" t="s">
        <v>122</v>
      </c>
      <c r="G20" s="208" t="s">
        <v>123</v>
      </c>
      <c r="H20" s="210" t="s">
        <v>124</v>
      </c>
    </row>
    <row r="21" spans="1:8" ht="21" customHeight="1" x14ac:dyDescent="0.3">
      <c r="A21" s="179" t="s">
        <v>125</v>
      </c>
      <c r="B21" s="180" t="s">
        <v>126</v>
      </c>
      <c r="C21" s="181" t="s">
        <v>127</v>
      </c>
      <c r="D21" s="181" t="s">
        <v>128</v>
      </c>
      <c r="E21" s="181" t="s">
        <v>102</v>
      </c>
      <c r="F21" s="181" t="s">
        <v>129</v>
      </c>
      <c r="G21" s="180" t="s">
        <v>117</v>
      </c>
      <c r="H21" s="182" t="s">
        <v>130</v>
      </c>
    </row>
    <row r="22" spans="1:8" ht="21" customHeight="1" thickBot="1" x14ac:dyDescent="0.35">
      <c r="A22" s="211" t="s">
        <v>131</v>
      </c>
      <c r="B22" s="212" t="s">
        <v>132</v>
      </c>
      <c r="C22" s="213" t="s">
        <v>133</v>
      </c>
      <c r="D22" s="213" t="s">
        <v>128</v>
      </c>
      <c r="E22" s="213" t="s">
        <v>102</v>
      </c>
      <c r="F22" s="213" t="s">
        <v>129</v>
      </c>
      <c r="G22" s="212" t="s">
        <v>117</v>
      </c>
      <c r="H22" s="214" t="s">
        <v>134</v>
      </c>
    </row>
    <row r="23" spans="1:8" s="126" customFormat="1" ht="12" customHeight="1" x14ac:dyDescent="0.3">
      <c r="A23" s="125"/>
      <c r="B23" s="125"/>
      <c r="C23" s="125"/>
      <c r="D23" s="125"/>
      <c r="E23" s="125"/>
      <c r="F23" s="125"/>
      <c r="G23" s="125"/>
      <c r="H23" s="125"/>
    </row>
    <row r="24" spans="1:8" ht="27.95" customHeight="1" thickBot="1" x14ac:dyDescent="0.35">
      <c r="A24" s="256" t="s">
        <v>135</v>
      </c>
      <c r="B24" s="257"/>
      <c r="C24" s="257"/>
      <c r="D24" s="257"/>
      <c r="E24" s="257"/>
      <c r="F24" s="257"/>
      <c r="G24" s="257"/>
      <c r="H24" s="257"/>
    </row>
    <row r="25" spans="1:8" ht="20.100000000000001" customHeight="1" x14ac:dyDescent="0.3">
      <c r="A25" s="243" t="s">
        <v>136</v>
      </c>
      <c r="B25" s="244"/>
      <c r="C25" s="244"/>
      <c r="D25" s="244"/>
      <c r="E25" s="244"/>
      <c r="F25" s="244"/>
      <c r="G25" s="244"/>
      <c r="H25" s="244"/>
    </row>
    <row r="26" spans="1:8" s="126" customFormat="1" ht="8.1" customHeight="1" thickBot="1" x14ac:dyDescent="0.35">
      <c r="A26" s="125"/>
      <c r="B26" s="125"/>
      <c r="C26" s="125"/>
      <c r="D26" s="125"/>
      <c r="E26" s="125"/>
      <c r="F26" s="125"/>
      <c r="G26" s="125"/>
      <c r="H26" s="125"/>
    </row>
    <row r="27" spans="1:8" ht="24" customHeight="1" x14ac:dyDescent="0.3">
      <c r="A27" s="134" t="s">
        <v>70</v>
      </c>
      <c r="B27" s="133" t="s">
        <v>71</v>
      </c>
      <c r="C27" s="133" t="s">
        <v>137</v>
      </c>
      <c r="D27" s="133" t="s">
        <v>138</v>
      </c>
      <c r="E27" s="133" t="s">
        <v>139</v>
      </c>
      <c r="F27" s="133" t="s">
        <v>140</v>
      </c>
      <c r="G27" s="133" t="s">
        <v>141</v>
      </c>
      <c r="H27" s="136" t="s">
        <v>142</v>
      </c>
    </row>
    <row r="28" spans="1:8" ht="21" customHeight="1" x14ac:dyDescent="0.3">
      <c r="A28" s="184" t="s">
        <v>78</v>
      </c>
      <c r="B28" s="185" t="s">
        <v>79</v>
      </c>
      <c r="C28" s="186" t="s">
        <v>143</v>
      </c>
      <c r="D28" s="186" t="s">
        <v>144</v>
      </c>
      <c r="E28" s="186" t="s">
        <v>145</v>
      </c>
      <c r="F28" s="186" t="s">
        <v>146</v>
      </c>
      <c r="G28" s="185" t="s">
        <v>147</v>
      </c>
      <c r="H28" s="187" t="s">
        <v>148</v>
      </c>
    </row>
    <row r="29" spans="1:8" ht="21" customHeight="1" x14ac:dyDescent="0.3">
      <c r="A29" s="183"/>
      <c r="B29" s="111" t="s">
        <v>85</v>
      </c>
      <c r="C29" s="99" t="s">
        <v>149</v>
      </c>
      <c r="D29" s="99" t="s">
        <v>150</v>
      </c>
      <c r="E29" s="99" t="s">
        <v>151</v>
      </c>
      <c r="F29" s="99" t="s">
        <v>146</v>
      </c>
      <c r="G29" s="111" t="s">
        <v>152</v>
      </c>
      <c r="H29" s="137" t="s">
        <v>153</v>
      </c>
    </row>
    <row r="30" spans="1:8" ht="21" customHeight="1" x14ac:dyDescent="0.3">
      <c r="A30" s="135"/>
      <c r="B30" s="112" t="s">
        <v>154</v>
      </c>
      <c r="C30" s="232">
        <v>0.67800000000000005</v>
      </c>
      <c r="D30" s="100" t="s">
        <v>155</v>
      </c>
      <c r="E30" s="100" t="s">
        <v>156</v>
      </c>
      <c r="F30" s="100" t="s">
        <v>146</v>
      </c>
      <c r="G30" s="112" t="s">
        <v>157</v>
      </c>
      <c r="H30" s="138" t="s">
        <v>158</v>
      </c>
    </row>
    <row r="31" spans="1:8" ht="21" customHeight="1" x14ac:dyDescent="0.3">
      <c r="A31" s="215"/>
      <c r="B31" s="216" t="s">
        <v>159</v>
      </c>
      <c r="C31" s="217" t="s">
        <v>160</v>
      </c>
      <c r="D31" s="217" t="s">
        <v>161</v>
      </c>
      <c r="E31" s="217" t="s">
        <v>102</v>
      </c>
      <c r="F31" s="217" t="s">
        <v>162</v>
      </c>
      <c r="G31" s="216" t="s">
        <v>163</v>
      </c>
      <c r="H31" s="218" t="s">
        <v>164</v>
      </c>
    </row>
    <row r="32" spans="1:8" ht="21" customHeight="1" x14ac:dyDescent="0.3">
      <c r="A32" s="184" t="s">
        <v>95</v>
      </c>
      <c r="B32" s="185" t="s">
        <v>79</v>
      </c>
      <c r="C32" s="186" t="s">
        <v>165</v>
      </c>
      <c r="D32" s="186" t="s">
        <v>166</v>
      </c>
      <c r="E32" s="186" t="s">
        <v>167</v>
      </c>
      <c r="F32" s="186" t="s">
        <v>146</v>
      </c>
      <c r="G32" s="185" t="s">
        <v>168</v>
      </c>
      <c r="H32" s="187" t="s">
        <v>148</v>
      </c>
    </row>
    <row r="33" spans="1:8" ht="21" customHeight="1" x14ac:dyDescent="0.3">
      <c r="A33" s="183"/>
      <c r="B33" s="111" t="s">
        <v>85</v>
      </c>
      <c r="C33" s="99" t="s">
        <v>169</v>
      </c>
      <c r="D33" s="99" t="s">
        <v>170</v>
      </c>
      <c r="E33" s="99" t="s">
        <v>171</v>
      </c>
      <c r="F33" s="99" t="s">
        <v>146</v>
      </c>
      <c r="G33" s="111" t="s">
        <v>172</v>
      </c>
      <c r="H33" s="137" t="s">
        <v>173</v>
      </c>
    </row>
    <row r="34" spans="1:8" ht="21" customHeight="1" x14ac:dyDescent="0.3">
      <c r="A34" s="135"/>
      <c r="B34" s="112" t="s">
        <v>154</v>
      </c>
      <c r="C34" s="232">
        <v>0.33100000000000002</v>
      </c>
      <c r="D34" s="100" t="s">
        <v>174</v>
      </c>
      <c r="E34" s="100" t="s">
        <v>175</v>
      </c>
      <c r="F34" s="100" t="s">
        <v>146</v>
      </c>
      <c r="G34" s="112" t="s">
        <v>176</v>
      </c>
      <c r="H34" s="138" t="s">
        <v>177</v>
      </c>
    </row>
    <row r="35" spans="1:8" ht="21" customHeight="1" thickBot="1" x14ac:dyDescent="0.35">
      <c r="A35" s="219"/>
      <c r="B35" s="220" t="s">
        <v>159</v>
      </c>
      <c r="C35" s="221" t="s">
        <v>178</v>
      </c>
      <c r="D35" s="221" t="s">
        <v>179</v>
      </c>
      <c r="E35" s="221" t="s">
        <v>102</v>
      </c>
      <c r="F35" s="221" t="s">
        <v>162</v>
      </c>
      <c r="G35" s="220" t="s">
        <v>180</v>
      </c>
      <c r="H35" s="222" t="s">
        <v>181</v>
      </c>
    </row>
    <row r="36" spans="1:8" s="126" customFormat="1" ht="12" customHeight="1" x14ac:dyDescent="0.3">
      <c r="A36" s="125"/>
      <c r="B36" s="125"/>
      <c r="C36" s="125"/>
      <c r="D36" s="125"/>
      <c r="E36" s="125"/>
      <c r="F36" s="125"/>
      <c r="G36" s="125"/>
      <c r="H36" s="125"/>
    </row>
    <row r="37" spans="1:8" ht="27.95" customHeight="1" thickBot="1" x14ac:dyDescent="0.35">
      <c r="A37" s="236" t="s">
        <v>182</v>
      </c>
      <c r="B37" s="245"/>
      <c r="C37" s="245"/>
      <c r="D37" s="245"/>
      <c r="E37" s="245"/>
      <c r="F37" s="245"/>
      <c r="G37" s="245"/>
      <c r="H37" s="245"/>
    </row>
    <row r="38" spans="1:8" s="126" customFormat="1" ht="8.1" customHeight="1" thickBot="1" x14ac:dyDescent="0.35">
      <c r="A38" s="125"/>
      <c r="B38" s="125"/>
      <c r="C38" s="125"/>
      <c r="D38" s="125"/>
      <c r="E38" s="125"/>
      <c r="F38" s="125"/>
      <c r="G38" s="125"/>
      <c r="H38" s="125"/>
    </row>
    <row r="39" spans="1:8" ht="24" customHeight="1" x14ac:dyDescent="0.3">
      <c r="A39" s="128" t="s">
        <v>183</v>
      </c>
      <c r="B39" s="127" t="s">
        <v>184</v>
      </c>
      <c r="C39" s="127" t="s">
        <v>185</v>
      </c>
      <c r="D39" s="127" t="s">
        <v>186</v>
      </c>
      <c r="E39" s="127" t="s">
        <v>75</v>
      </c>
      <c r="F39" s="229"/>
      <c r="G39" s="107"/>
      <c r="H39" s="107"/>
    </row>
    <row r="40" spans="1:8" ht="21" customHeight="1" x14ac:dyDescent="0.3">
      <c r="A40" s="141" t="s">
        <v>154</v>
      </c>
      <c r="B40" s="113" t="s">
        <v>194</v>
      </c>
      <c r="C40" s="113" t="s">
        <v>187</v>
      </c>
      <c r="D40" s="113" t="s">
        <v>188</v>
      </c>
      <c r="E40" s="101" t="s">
        <v>193</v>
      </c>
      <c r="F40" s="229"/>
      <c r="G40" s="107"/>
      <c r="H40" s="107"/>
    </row>
    <row r="41" spans="1:8" ht="21" customHeight="1" x14ac:dyDescent="0.3">
      <c r="A41" s="130" t="s">
        <v>189</v>
      </c>
      <c r="B41" s="109" t="s">
        <v>195</v>
      </c>
      <c r="C41" s="109" t="s">
        <v>190</v>
      </c>
      <c r="D41" s="109" t="s">
        <v>188</v>
      </c>
      <c r="E41" s="102" t="s">
        <v>193</v>
      </c>
      <c r="F41" s="229"/>
      <c r="G41" s="107"/>
      <c r="H41" s="107"/>
    </row>
    <row r="42" spans="1:8" ht="21" customHeight="1" x14ac:dyDescent="0.3">
      <c r="A42" s="129" t="s">
        <v>126</v>
      </c>
      <c r="B42" s="108" t="s">
        <v>196</v>
      </c>
      <c r="C42" s="108" t="s">
        <v>191</v>
      </c>
      <c r="D42" s="108" t="s">
        <v>188</v>
      </c>
      <c r="E42" s="103" t="s">
        <v>193</v>
      </c>
      <c r="F42" s="229"/>
      <c r="G42" s="107"/>
      <c r="H42" s="107"/>
    </row>
    <row r="43" spans="1:8" ht="21" customHeight="1" x14ac:dyDescent="0.3">
      <c r="A43" s="130" t="s">
        <v>192</v>
      </c>
      <c r="B43" s="109" t="s">
        <v>197</v>
      </c>
      <c r="C43" s="109" t="s">
        <v>198</v>
      </c>
      <c r="D43" s="109" t="s">
        <v>188</v>
      </c>
      <c r="E43" s="102" t="s">
        <v>193</v>
      </c>
      <c r="F43" s="229"/>
      <c r="G43" s="107"/>
      <c r="H43" s="107"/>
    </row>
    <row r="44" spans="1:8" ht="21" customHeight="1" thickBot="1" x14ac:dyDescent="0.35">
      <c r="A44" s="142" t="s">
        <v>199</v>
      </c>
      <c r="B44" s="139" t="s">
        <v>200</v>
      </c>
      <c r="C44" s="139" t="s">
        <v>201</v>
      </c>
      <c r="D44" s="139" t="s">
        <v>202</v>
      </c>
      <c r="E44" s="140" t="s">
        <v>203</v>
      </c>
      <c r="F44" s="229"/>
      <c r="G44" s="107"/>
      <c r="H44" s="107"/>
    </row>
    <row r="45" spans="1:8" s="126" customFormat="1" ht="12" customHeight="1" x14ac:dyDescent="0.3">
      <c r="A45" s="125"/>
      <c r="B45" s="125"/>
      <c r="C45" s="125"/>
      <c r="D45" s="125"/>
      <c r="E45" s="125"/>
      <c r="F45" s="125"/>
      <c r="G45" s="125"/>
      <c r="H45" s="125"/>
    </row>
    <row r="46" spans="1:8" ht="27.95" customHeight="1" thickBot="1" x14ac:dyDescent="0.35">
      <c r="A46" s="236" t="s">
        <v>204</v>
      </c>
      <c r="B46" s="237"/>
      <c r="C46" s="237"/>
      <c r="D46" s="237"/>
      <c r="E46" s="237"/>
      <c r="F46" s="237"/>
      <c r="G46" s="237"/>
      <c r="H46" s="237"/>
    </row>
    <row r="47" spans="1:8" s="126" customFormat="1" ht="8.1" customHeight="1" thickBot="1" x14ac:dyDescent="0.35">
      <c r="A47" s="125"/>
      <c r="B47" s="125"/>
      <c r="C47" s="125"/>
      <c r="D47" s="125"/>
      <c r="E47" s="125"/>
      <c r="F47" s="125"/>
      <c r="G47" s="125"/>
      <c r="H47" s="125"/>
    </row>
    <row r="48" spans="1:8" ht="24" customHeight="1" x14ac:dyDescent="0.3">
      <c r="A48" s="128" t="s">
        <v>205</v>
      </c>
      <c r="B48" s="131" t="s">
        <v>206</v>
      </c>
      <c r="C48" s="107"/>
      <c r="D48" s="107"/>
      <c r="E48" s="107"/>
      <c r="F48" s="107"/>
      <c r="G48" s="107"/>
      <c r="H48" s="107"/>
    </row>
    <row r="49" spans="1:8" ht="36" customHeight="1" x14ac:dyDescent="0.3">
      <c r="A49" s="160" t="s">
        <v>207</v>
      </c>
      <c r="B49" s="163" t="s">
        <v>208</v>
      </c>
      <c r="C49" s="107"/>
      <c r="D49" s="107"/>
      <c r="E49" s="107"/>
      <c r="F49" s="107"/>
      <c r="G49" s="107"/>
      <c r="H49" s="107"/>
    </row>
    <row r="50" spans="1:8" ht="36" customHeight="1" x14ac:dyDescent="0.3">
      <c r="A50" s="225" t="s">
        <v>209</v>
      </c>
      <c r="B50" s="226" t="s">
        <v>210</v>
      </c>
      <c r="C50" s="107"/>
      <c r="D50" s="107"/>
      <c r="E50" s="107"/>
      <c r="F50" s="107"/>
      <c r="G50" s="107"/>
      <c r="H50" s="107"/>
    </row>
    <row r="51" spans="1:8" ht="36" customHeight="1" x14ac:dyDescent="0.3">
      <c r="A51" s="161" t="s">
        <v>211</v>
      </c>
      <c r="B51" s="164" t="s">
        <v>212</v>
      </c>
      <c r="C51" s="107"/>
      <c r="D51" s="107"/>
      <c r="E51" s="107"/>
      <c r="F51" s="107"/>
      <c r="G51" s="107"/>
      <c r="H51" s="107"/>
    </row>
    <row r="52" spans="1:8" ht="36" customHeight="1" x14ac:dyDescent="0.3">
      <c r="A52" s="162" t="s">
        <v>213</v>
      </c>
      <c r="B52" s="165" t="s">
        <v>214</v>
      </c>
      <c r="C52" s="107"/>
      <c r="D52" s="107"/>
      <c r="E52" s="107"/>
      <c r="F52" s="107"/>
      <c r="G52" s="107"/>
      <c r="H52" s="107"/>
    </row>
    <row r="53" spans="1:8" ht="36" customHeight="1" thickBot="1" x14ac:dyDescent="0.35">
      <c r="A53" s="227" t="s">
        <v>215</v>
      </c>
      <c r="B53" s="228" t="s">
        <v>216</v>
      </c>
      <c r="C53" s="107"/>
      <c r="D53" s="107"/>
      <c r="E53" s="107"/>
      <c r="F53" s="107"/>
      <c r="G53" s="107"/>
      <c r="H53" s="107"/>
    </row>
    <row r="54" spans="1:8" s="126" customFormat="1" ht="12" customHeight="1" x14ac:dyDescent="0.3">
      <c r="A54" s="125"/>
      <c r="B54" s="125"/>
      <c r="C54" s="125"/>
      <c r="D54" s="125"/>
      <c r="E54" s="125"/>
      <c r="F54" s="125"/>
      <c r="G54" s="125"/>
      <c r="H54" s="125"/>
    </row>
    <row r="55" spans="1:8" ht="27.95" customHeight="1" thickBot="1" x14ac:dyDescent="0.35">
      <c r="A55" s="246" t="s">
        <v>217</v>
      </c>
      <c r="B55" s="247"/>
      <c r="C55" s="247"/>
      <c r="D55" s="247"/>
      <c r="E55" s="247"/>
      <c r="F55" s="247"/>
      <c r="G55" s="247"/>
      <c r="H55" s="247"/>
    </row>
    <row r="56" spans="1:8" ht="18" customHeight="1" x14ac:dyDescent="0.3">
      <c r="A56" s="248" t="s">
        <v>218</v>
      </c>
      <c r="B56" s="249"/>
      <c r="C56" s="249"/>
      <c r="D56" s="249"/>
      <c r="E56" s="249"/>
      <c r="F56" s="249"/>
      <c r="G56" s="249"/>
      <c r="H56" s="249"/>
    </row>
    <row r="57" spans="1:8" s="126" customFormat="1" ht="8.1" customHeight="1" thickBot="1" x14ac:dyDescent="0.35">
      <c r="A57" s="125"/>
      <c r="B57" s="125"/>
      <c r="C57" s="125"/>
      <c r="D57" s="125"/>
      <c r="E57" s="125"/>
      <c r="F57" s="125"/>
      <c r="G57" s="125"/>
      <c r="H57" s="125"/>
    </row>
    <row r="58" spans="1:8" ht="24" customHeight="1" x14ac:dyDescent="0.3">
      <c r="A58" s="144" t="s">
        <v>219</v>
      </c>
      <c r="B58" s="143" t="s">
        <v>71</v>
      </c>
      <c r="C58" s="143" t="s">
        <v>220</v>
      </c>
      <c r="D58" s="143" t="s">
        <v>221</v>
      </c>
      <c r="E58" s="143" t="s">
        <v>222</v>
      </c>
      <c r="F58" s="149" t="s">
        <v>76</v>
      </c>
      <c r="G58" s="107"/>
      <c r="H58" s="107"/>
    </row>
    <row r="59" spans="1:8" ht="21" customHeight="1" x14ac:dyDescent="0.3">
      <c r="A59" s="145" t="s">
        <v>78</v>
      </c>
      <c r="B59" s="114" t="s">
        <v>79</v>
      </c>
      <c r="C59" s="233" t="s">
        <v>223</v>
      </c>
      <c r="D59" s="115">
        <v>95151800000000</v>
      </c>
      <c r="E59" s="115">
        <v>97146700000000</v>
      </c>
      <c r="F59" s="150" t="s">
        <v>224</v>
      </c>
      <c r="G59" s="107"/>
      <c r="H59" s="107"/>
    </row>
    <row r="60" spans="1:8" ht="21" customHeight="1" x14ac:dyDescent="0.3">
      <c r="A60" s="146" t="s">
        <v>78</v>
      </c>
      <c r="B60" s="109" t="s">
        <v>85</v>
      </c>
      <c r="C60" s="96" t="s">
        <v>225</v>
      </c>
      <c r="D60" s="110">
        <v>44408200000000</v>
      </c>
      <c r="E60" s="110">
        <v>47206300000000</v>
      </c>
      <c r="F60" s="151" t="s">
        <v>224</v>
      </c>
      <c r="G60" s="107"/>
      <c r="H60" s="107"/>
    </row>
    <row r="61" spans="1:8" ht="21" customHeight="1" x14ac:dyDescent="0.3">
      <c r="A61" s="147" t="s">
        <v>78</v>
      </c>
      <c r="B61" s="116" t="s">
        <v>89</v>
      </c>
      <c r="C61" s="234" t="s">
        <v>226</v>
      </c>
      <c r="D61" s="117">
        <v>40666400000000</v>
      </c>
      <c r="E61" s="117">
        <v>42947900000000</v>
      </c>
      <c r="F61" s="152" t="s">
        <v>224</v>
      </c>
      <c r="G61" s="107"/>
      <c r="H61" s="107"/>
    </row>
    <row r="62" spans="1:8" ht="21" customHeight="1" thickBot="1" x14ac:dyDescent="0.35">
      <c r="A62" s="148" t="s">
        <v>78</v>
      </c>
      <c r="B62" s="118" t="s">
        <v>227</v>
      </c>
      <c r="C62" s="235" t="s">
        <v>228</v>
      </c>
      <c r="D62" s="119">
        <v>55583</v>
      </c>
      <c r="E62" s="119">
        <v>60269</v>
      </c>
      <c r="F62" s="153" t="s">
        <v>229</v>
      </c>
      <c r="G62" s="107"/>
      <c r="H62" s="107"/>
    </row>
    <row r="63" spans="1:8" s="126" customFormat="1" ht="3.95" customHeight="1" x14ac:dyDescent="0.3">
      <c r="A63" s="125"/>
      <c r="B63" s="125"/>
      <c r="C63" s="125"/>
      <c r="D63" s="125"/>
      <c r="E63" s="125"/>
      <c r="F63" s="125"/>
      <c r="G63" s="125"/>
      <c r="H63" s="125"/>
    </row>
    <row r="64" spans="1:8" ht="15.95" customHeight="1" x14ac:dyDescent="0.3">
      <c r="A64" s="250" t="s">
        <v>230</v>
      </c>
      <c r="B64" s="249"/>
      <c r="C64" s="249"/>
      <c r="D64" s="249"/>
      <c r="E64" s="249"/>
      <c r="F64" s="249"/>
      <c r="G64" s="249"/>
      <c r="H64" s="249"/>
    </row>
    <row r="65" spans="1:8" s="126" customFormat="1" ht="12" customHeight="1" x14ac:dyDescent="0.3">
      <c r="A65" s="125"/>
      <c r="B65" s="125"/>
      <c r="C65" s="125"/>
      <c r="D65" s="125"/>
      <c r="E65" s="125"/>
      <c r="F65" s="125"/>
      <c r="G65" s="125"/>
      <c r="H65" s="125"/>
    </row>
    <row r="66" spans="1:8" ht="27.95" customHeight="1" thickBot="1" x14ac:dyDescent="0.35">
      <c r="A66" s="236" t="s">
        <v>231</v>
      </c>
      <c r="B66" s="237"/>
      <c r="C66" s="237"/>
      <c r="D66" s="237"/>
      <c r="E66" s="237"/>
      <c r="F66" s="237"/>
      <c r="G66" s="237"/>
      <c r="H66" s="237"/>
    </row>
    <row r="67" spans="1:8" s="126" customFormat="1" ht="8.1" customHeight="1" thickBot="1" x14ac:dyDescent="0.35">
      <c r="A67" s="125"/>
      <c r="B67" s="125"/>
      <c r="C67" s="125"/>
      <c r="D67" s="125"/>
      <c r="E67" s="125"/>
      <c r="F67" s="125"/>
      <c r="G67" s="125"/>
      <c r="H67" s="125"/>
    </row>
    <row r="68" spans="1:8" ht="24" customHeight="1" x14ac:dyDescent="0.3">
      <c r="A68" s="128" t="s">
        <v>232</v>
      </c>
      <c r="B68" s="127" t="s">
        <v>233</v>
      </c>
      <c r="C68" s="127" t="s">
        <v>234</v>
      </c>
      <c r="D68" s="127" t="s">
        <v>235</v>
      </c>
      <c r="E68" s="127" t="s">
        <v>236</v>
      </c>
      <c r="F68" s="131" t="s">
        <v>237</v>
      </c>
      <c r="G68" s="107"/>
      <c r="H68" s="107"/>
    </row>
    <row r="69" spans="1:8" ht="21.95" customHeight="1" x14ac:dyDescent="0.3">
      <c r="A69" s="154" t="s">
        <v>238</v>
      </c>
      <c r="B69" s="120" t="s">
        <v>239</v>
      </c>
      <c r="C69" s="120" t="s">
        <v>240</v>
      </c>
      <c r="D69" s="120" t="s">
        <v>241</v>
      </c>
      <c r="E69" s="104" t="s">
        <v>242</v>
      </c>
      <c r="F69" s="157" t="s">
        <v>243</v>
      </c>
      <c r="G69" s="107"/>
      <c r="H69" s="107"/>
    </row>
    <row r="70" spans="1:8" ht="21.95" customHeight="1" x14ac:dyDescent="0.3">
      <c r="A70" s="223" t="s">
        <v>244</v>
      </c>
      <c r="B70" s="199" t="s">
        <v>245</v>
      </c>
      <c r="C70" s="199" t="s">
        <v>246</v>
      </c>
      <c r="D70" s="199" t="s">
        <v>247</v>
      </c>
      <c r="E70" s="200" t="s">
        <v>248</v>
      </c>
      <c r="F70" s="201" t="s">
        <v>249</v>
      </c>
      <c r="G70" s="107"/>
      <c r="H70" s="107"/>
    </row>
    <row r="71" spans="1:8" ht="21.95" customHeight="1" x14ac:dyDescent="0.3">
      <c r="A71" s="155" t="s">
        <v>250</v>
      </c>
      <c r="B71" s="121" t="s">
        <v>251</v>
      </c>
      <c r="C71" s="121" t="s">
        <v>252</v>
      </c>
      <c r="D71" s="121" t="s">
        <v>253</v>
      </c>
      <c r="E71" s="105" t="s">
        <v>248</v>
      </c>
      <c r="F71" s="158" t="s">
        <v>254</v>
      </c>
      <c r="G71" s="107"/>
      <c r="H71" s="107"/>
    </row>
    <row r="72" spans="1:8" ht="21.95" customHeight="1" x14ac:dyDescent="0.3">
      <c r="A72" s="223" t="s">
        <v>255</v>
      </c>
      <c r="B72" s="199" t="s">
        <v>125</v>
      </c>
      <c r="C72" s="224">
        <v>5.2999999999999999E-2</v>
      </c>
      <c r="D72" s="199" t="s">
        <v>127</v>
      </c>
      <c r="E72" s="200" t="s">
        <v>256</v>
      </c>
      <c r="F72" s="201" t="s">
        <v>257</v>
      </c>
      <c r="G72" s="107"/>
      <c r="H72" s="107"/>
    </row>
    <row r="73" spans="1:8" ht="21.95" customHeight="1" x14ac:dyDescent="0.3">
      <c r="A73" s="155" t="s">
        <v>258</v>
      </c>
      <c r="B73" s="121" t="s">
        <v>259</v>
      </c>
      <c r="C73" s="122">
        <v>0.08</v>
      </c>
      <c r="D73" s="121" t="s">
        <v>260</v>
      </c>
      <c r="E73" s="105" t="s">
        <v>256</v>
      </c>
      <c r="F73" s="158" t="s">
        <v>261</v>
      </c>
      <c r="G73" s="107"/>
      <c r="H73" s="107"/>
    </row>
    <row r="74" spans="1:8" ht="21.95" customHeight="1" x14ac:dyDescent="0.3">
      <c r="A74" s="223" t="s">
        <v>262</v>
      </c>
      <c r="B74" s="199" t="s">
        <v>119</v>
      </c>
      <c r="C74" s="199" t="s">
        <v>263</v>
      </c>
      <c r="D74" s="199" t="s">
        <v>264</v>
      </c>
      <c r="E74" s="200" t="s">
        <v>265</v>
      </c>
      <c r="F74" s="201" t="s">
        <v>266</v>
      </c>
      <c r="G74" s="107"/>
      <c r="H74" s="107"/>
    </row>
    <row r="75" spans="1:8" ht="21.95" customHeight="1" thickBot="1" x14ac:dyDescent="0.35">
      <c r="A75" s="156" t="s">
        <v>267</v>
      </c>
      <c r="B75" s="123" t="s">
        <v>131</v>
      </c>
      <c r="C75" s="124">
        <v>0.45900000000000002</v>
      </c>
      <c r="D75" s="123" t="s">
        <v>268</v>
      </c>
      <c r="E75" s="106" t="s">
        <v>248</v>
      </c>
      <c r="F75" s="159" t="s">
        <v>269</v>
      </c>
      <c r="G75" s="107"/>
      <c r="H75" s="107"/>
    </row>
    <row r="76" spans="1:8" s="126" customFormat="1" ht="12" customHeight="1" x14ac:dyDescent="0.3">
      <c r="A76" s="125"/>
      <c r="B76" s="125"/>
      <c r="C76" s="125"/>
      <c r="D76" s="125"/>
      <c r="E76" s="125"/>
      <c r="F76" s="125"/>
      <c r="G76" s="125"/>
      <c r="H76" s="125"/>
    </row>
    <row r="77" spans="1:8" ht="3.95" customHeight="1" x14ac:dyDescent="0.3">
      <c r="A77" s="238"/>
      <c r="B77" s="238"/>
      <c r="C77" s="238"/>
      <c r="D77" s="238"/>
      <c r="E77" s="238"/>
      <c r="F77" s="238"/>
      <c r="G77" s="238"/>
      <c r="H77" s="238"/>
    </row>
    <row r="78" spans="1:8" ht="15.95" customHeight="1" x14ac:dyDescent="0.3">
      <c r="A78" s="239" t="s">
        <v>270</v>
      </c>
      <c r="B78" s="240"/>
      <c r="C78" s="240"/>
      <c r="D78" s="240"/>
      <c r="E78" s="240"/>
      <c r="F78" s="240"/>
      <c r="G78" s="240"/>
      <c r="H78" s="240"/>
    </row>
    <row r="79" spans="1:8" ht="27.95" customHeight="1" x14ac:dyDescent="0.3">
      <c r="A79" s="241" t="s">
        <v>271</v>
      </c>
      <c r="B79" s="242"/>
      <c r="C79" s="242"/>
      <c r="D79" s="242"/>
      <c r="E79" s="242"/>
      <c r="F79" s="242"/>
      <c r="G79" s="242"/>
      <c r="H79" s="242"/>
    </row>
    <row r="80" spans="1:8" ht="15.95" customHeight="1" x14ac:dyDescent="0.3">
      <c r="A80" s="241" t="s">
        <v>272</v>
      </c>
      <c r="B80" s="242"/>
      <c r="C80" s="242"/>
      <c r="D80" s="242"/>
      <c r="E80" s="242"/>
      <c r="F80" s="242"/>
      <c r="G80" s="242"/>
      <c r="H80" s="242"/>
    </row>
  </sheetData>
  <mergeCells count="17">
    <mergeCell ref="A64:H64"/>
    <mergeCell ref="A1:H1"/>
    <mergeCell ref="A2:H2"/>
    <mergeCell ref="A3:H3"/>
    <mergeCell ref="A5:H5"/>
    <mergeCell ref="A6:H6"/>
    <mergeCell ref="A24:H24"/>
    <mergeCell ref="A25:H25"/>
    <mergeCell ref="A37:H37"/>
    <mergeCell ref="A46:H46"/>
    <mergeCell ref="A55:H55"/>
    <mergeCell ref="A56:H56"/>
    <mergeCell ref="A66:H66"/>
    <mergeCell ref="A77:H77"/>
    <mergeCell ref="A78:H78"/>
    <mergeCell ref="A79:H79"/>
    <mergeCell ref="A80:H80"/>
  </mergeCells>
  <phoneticPr fontId="3" type="noConversion"/>
  <pageMargins left="0.34722222222222221" right="0.34722222222222221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유력종목분석</vt:lpstr>
      <vt:lpstr>분석보고서</vt:lpstr>
      <vt:lpstr>분석보고서!Print_Area</vt:lpstr>
      <vt:lpstr>분석보고서!Print_Titles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청현 노</dc:creator>
  <cp:lastModifiedBy>임재홍</cp:lastModifiedBy>
  <dcterms:created xsi:type="dcterms:W3CDTF">2026-02-24T08:57:44Z</dcterms:created>
  <dcterms:modified xsi:type="dcterms:W3CDTF">2026-02-25T01:35:22Z</dcterms:modified>
</cp:coreProperties>
</file>