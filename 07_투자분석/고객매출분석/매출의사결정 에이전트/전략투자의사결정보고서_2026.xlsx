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대시보드" sheetId="1" state="visible" r:id="rId3"/>
    <sheet name="⚙ 가정 입력" sheetId="2" state="visible" r:id="rId4"/>
    <sheet name="💰 단가 구조 분석" sheetId="3" state="visible" r:id="rId5"/>
    <sheet name="📈 자동화 ROI" sheetId="4" state="visible" r:id="rId6"/>
    <sheet name="🎯 재진입 시나리오" sheetId="5" state="visible" r:id="rId7"/>
    <sheet name="🔍 비가격 요인" sheetId="6" state="visible" r:id="rId8"/>
    <sheet name="🗺 실행 로드맵" sheetId="7" state="visible" r:id="rId9"/>
    <sheet name="🔧 금형 내재화 분석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<sst xmlns="http://schemas.openxmlformats.org/spreadsheetml/2006/main" count="522" uniqueCount="444">
  <si>
    <t xml:space="preserve">전략 투자 의사결정 보고서</t>
  </si>
  <si>
    <r>
      <rPr>
        <sz val="11"/>
        <color rgb="FFFFFFFF"/>
        <rFont val="DejaVu Sans"/>
        <family val="2"/>
      </rPr>
      <t xml:space="preserve">금형 자동화 투자 타당성 및 삼성 공급망 대응 전략 </t>
    </r>
    <r>
      <rPr>
        <sz val="11"/>
        <color rgb="FFFFFFFF"/>
        <rFont val="DejaVu Sans"/>
        <family val="2"/>
        <charset val="1"/>
      </rPr>
      <t xml:space="preserve">| 2026</t>
    </r>
    <r>
      <rPr>
        <sz val="11"/>
        <color rgb="FFFFFFFF"/>
        <rFont val="DejaVu Sans"/>
        <family val="2"/>
      </rPr>
      <t xml:space="preserve">년 </t>
    </r>
    <r>
      <rPr>
        <sz val="11"/>
        <color rgb="FFFFFFFF"/>
        <rFont val="DejaVu Sans"/>
        <family val="2"/>
        <charset val="1"/>
      </rPr>
      <t xml:space="preserve">4</t>
    </r>
    <r>
      <rPr>
        <sz val="11"/>
        <color rgb="FFFFFFFF"/>
        <rFont val="DejaVu Sans"/>
        <family val="2"/>
      </rPr>
      <t xml:space="preserve">월</t>
    </r>
  </si>
  <si>
    <t xml:space="preserve">전체 연매출</t>
  </si>
  <si>
    <t xml:space="preserve">삼성 브라켓</t>
  </si>
  <si>
    <t xml:space="preserve">자동화 투자금</t>
  </si>
  <si>
    <t xml:space="preserve">투자 회수 기간</t>
  </si>
  <si>
    <t xml:space="preserve">$45,000K</t>
  </si>
  <si>
    <t xml:space="preserve">$10,000K (22%)</t>
  </si>
  <si>
    <t xml:space="preserve">$2,000K</t>
  </si>
  <si>
    <r>
      <rPr>
        <b val="true"/>
        <sz val="12"/>
        <color rgb="FF00B050"/>
        <rFont val="Arial"/>
        <family val="0"/>
        <charset val="1"/>
      </rPr>
      <t xml:space="preserve">6.2</t>
    </r>
    <r>
      <rPr>
        <b val="true"/>
        <sz val="12"/>
        <color rgb="FF00B050"/>
        <rFont val="DejaVu Sans"/>
        <family val="2"/>
      </rPr>
      <t xml:space="preserve">개월</t>
    </r>
  </si>
  <si>
    <r>
      <rPr>
        <b val="true"/>
        <sz val="11"/>
        <color rgb="FF7B5800"/>
        <rFont val="DejaVu Sans"/>
        <family val="2"/>
      </rPr>
      <t xml:space="preserve">투자 의견</t>
    </r>
    <r>
      <rPr>
        <b val="true"/>
        <sz val="11"/>
        <color rgb="FF7B5800"/>
        <rFont val="DejaVu Sans"/>
        <family val="2"/>
        <charset val="1"/>
      </rPr>
      <t xml:space="preserve">: </t>
    </r>
    <r>
      <rPr>
        <b val="true"/>
        <sz val="11"/>
        <color rgb="FF7B5800"/>
        <rFont val="DejaVu Sans"/>
        <family val="2"/>
      </rPr>
      <t xml:space="preserve">진행 </t>
    </r>
    <r>
      <rPr>
        <b val="true"/>
        <sz val="11"/>
        <color rgb="FF7B5800"/>
        <rFont val="DejaVu Sans"/>
        <family val="2"/>
        <charset val="1"/>
      </rPr>
      <t xml:space="preserve">(Go) — </t>
    </r>
    <r>
      <rPr>
        <b val="true"/>
        <sz val="11"/>
        <color rgb="FF7B5800"/>
        <rFont val="DejaVu Sans"/>
        <family val="2"/>
      </rPr>
      <t xml:space="preserve">즉시 착수</t>
    </r>
    <r>
      <rPr>
        <b val="true"/>
        <sz val="11"/>
        <color rgb="FF7B5800"/>
        <rFont val="DejaVu Sans"/>
        <family val="2"/>
        <charset val="1"/>
      </rPr>
      <t xml:space="preserve">, </t>
    </r>
    <r>
      <rPr>
        <b val="true"/>
        <sz val="11"/>
        <color rgb="FF7B5800"/>
        <rFont val="DejaVu Sans"/>
        <family val="2"/>
      </rPr>
      <t xml:space="preserve">삼성 재진입보다 전사 마진 극대화 전략 우선</t>
    </r>
  </si>
  <si>
    <t xml:space="preserve">  세그먼트별 현황 요약</t>
  </si>
  <si>
    <t xml:space="preserve">세그먼트</t>
  </si>
  <si>
    <r>
      <rPr>
        <b val="true"/>
        <sz val="10"/>
        <color rgb="FFFFFFFF"/>
        <rFont val="DejaVu Sans"/>
        <family val="2"/>
      </rPr>
      <t xml:space="preserve">매출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</si>
  <si>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t xml:space="preserve">영업이익률</t>
  </si>
  <si>
    <r>
      <rPr>
        <b val="true"/>
        <sz val="10"/>
        <color rgb="FFFFFFFF"/>
        <rFont val="DejaVu Sans"/>
        <family val="2"/>
      </rPr>
      <t xml:space="preserve">영업이익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</si>
  <si>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t xml:space="preserve">자동화 후 이익률</t>
  </si>
  <si>
    <r>
      <rPr>
        <b val="true"/>
        <sz val="10"/>
        <color rgb="FFFFFFFF"/>
        <rFont val="DejaVu Sans"/>
        <family val="2"/>
      </rPr>
      <t xml:space="preserve">자동화 후 이익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</si>
  <si>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DejaVu Sans"/>
        <family val="2"/>
      </rPr>
      <t xml:space="preserve">이익 개선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</si>
  <si>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t xml:space="preserve">삼성 캐스팅 브라켓</t>
  </si>
  <si>
    <r>
      <rPr>
        <sz val="10"/>
        <color rgb="FF000000"/>
        <rFont val="DejaVu Sans"/>
        <family val="2"/>
      </rPr>
      <t xml:space="preserve">자동차 </t>
    </r>
    <r>
      <rPr>
        <sz val="10"/>
        <color rgb="FF000000"/>
        <rFont val="DejaVu Sans"/>
        <family val="2"/>
        <charset val="1"/>
      </rPr>
      <t xml:space="preserve">(3</t>
    </r>
    <r>
      <rPr>
        <sz val="10"/>
        <color rgb="FF000000"/>
        <rFont val="DejaVu Sans"/>
        <family val="2"/>
      </rPr>
      <t xml:space="preserve">개사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</si>
  <si>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IT · </t>
    </r>
    <r>
      <rPr>
        <sz val="10"/>
        <color rgb="FF000000"/>
        <rFont val="DejaVu Sans"/>
        <family val="2"/>
      </rPr>
      <t xml:space="preserve">방산 </t>
    </r>
    <r>
      <rPr>
        <sz val="10"/>
        <color rgb="FF000000"/>
        <rFont val="Arial"/>
        <family val="0"/>
        <charset val="1"/>
      </rPr>
      <t xml:space="preserve">(2</t>
    </r>
    <r>
      <rPr>
        <sz val="10"/>
        <color rgb="FF000000"/>
        <rFont val="DejaVu Sans"/>
        <family val="2"/>
      </rPr>
      <t xml:space="preserve">개사</t>
    </r>
    <r>
      <rPr>
        <sz val="10"/>
        <color rgb="FF000000"/>
        <rFont val="Arial"/>
        <family val="0"/>
        <charset val="1"/>
      </rPr>
      <t xml:space="preserve">)</t>
    </r>
  </si>
  <si>
    <t xml:space="preserve">합계</t>
  </si>
  <si>
    <r>
      <rPr>
        <b val="true"/>
        <sz val="11"/>
        <color rgb="FFFFFFFF"/>
        <rFont val="DejaVu Sans"/>
        <family val="2"/>
      </rPr>
      <t xml:space="preserve">  자동화 투자 </t>
    </r>
    <r>
      <rPr>
        <b val="true"/>
        <sz val="11"/>
        <color rgb="FFFFFFFF"/>
        <rFont val="DejaVu Sans"/>
        <family val="2"/>
        <charset val="1"/>
      </rPr>
      <t xml:space="preserve">ROI </t>
    </r>
    <r>
      <rPr>
        <b val="true"/>
        <sz val="11"/>
        <color rgb="FFFFFFFF"/>
        <rFont val="DejaVu Sans"/>
        <family val="2"/>
      </rPr>
      <t xml:space="preserve">요약</t>
    </r>
  </si>
  <si>
    <r>
      <rPr>
        <sz val="10"/>
        <color rgb="FF000000"/>
        <rFont val="DejaVu Sans"/>
        <family val="2"/>
      </rPr>
      <t xml:space="preserve">투자금 </t>
    </r>
    <r>
      <rPr>
        <sz val="10"/>
        <color rgb="FF000000"/>
        <rFont val="DejaVu Sans"/>
        <family val="2"/>
        <charset val="1"/>
      </rPr>
      <t xml:space="preserve">($K)</t>
    </r>
  </si>
  <si>
    <r>
      <rPr>
        <sz val="10"/>
        <color rgb="FF000000"/>
        <rFont val="DejaVu Sans"/>
        <family val="2"/>
      </rPr>
      <t xml:space="preserve">연간 이익 개선 </t>
    </r>
    <r>
      <rPr>
        <sz val="10"/>
        <color rgb="FF000000"/>
        <rFont val="DejaVu Sans"/>
        <family val="2"/>
        <charset val="1"/>
      </rPr>
      <t xml:space="preserve">($K)</t>
    </r>
  </si>
  <si>
    <r>
      <rPr>
        <sz val="10"/>
        <color rgb="FF000000"/>
        <rFont val="DejaVu Sans"/>
        <family val="2"/>
      </rPr>
      <t xml:space="preserve">투자 회수 기간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개월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</si>
  <si>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년 누적 이익 개선 </t>
    </r>
    <r>
      <rPr>
        <sz val="10"/>
        <color rgb="FF000000"/>
        <rFont val="Arial"/>
        <family val="0"/>
        <charset val="1"/>
      </rPr>
      <t xml:space="preserve">($K)</t>
    </r>
  </si>
  <si>
    <r>
      <rPr>
        <sz val="10"/>
        <color rgb="FF000000"/>
        <rFont val="DejaVu Sans"/>
        <family val="2"/>
      </rPr>
      <t xml:space="preserve">투자대비 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년 수익</t>
    </r>
  </si>
  <si>
    <r>
      <rPr>
        <b val="true"/>
        <sz val="11"/>
        <color rgb="FFFFFFFF"/>
        <rFont val="DejaVu Sans"/>
        <family val="2"/>
      </rPr>
      <t xml:space="preserve">  재진입 시나리오 비교 요약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자동화 완료 후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</si>
  <si>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시나리오</t>
  </si>
  <si>
    <r>
      <rPr>
        <b val="true"/>
        <sz val="10"/>
        <color rgb="FFFFFFFF"/>
        <rFont val="DejaVu Sans"/>
        <family val="2"/>
      </rPr>
      <t xml:space="preserve">삼성 제안가</t>
    </r>
    <r>
      <rPr>
        <b val="true"/>
        <sz val="10"/>
        <color rgb="FFFFFFFF"/>
        <rFont val="DejaVu Sans"/>
        <family val="2"/>
        <charset val="1"/>
      </rPr>
      <t xml:space="preserve">
(all-in)</t>
    </r>
  </si>
  <si>
    <t xml:space="preserve">삼성 이익률</t>
  </si>
  <si>
    <r>
      <rPr>
        <b val="true"/>
        <sz val="10"/>
        <color rgb="FFFFFFFF"/>
        <rFont val="DejaVu Sans"/>
        <family val="2"/>
      </rPr>
      <t xml:space="preserve">삼성 이익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</si>
  <si>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DejaVu Sans"/>
        <family val="2"/>
      </rPr>
      <t xml:space="preserve">전사 이익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</si>
  <si>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안 대비</t>
    </r>
  </si>
  <si>
    <t xml:space="preserve">권고</t>
  </si>
  <si>
    <r>
      <rPr>
        <b val="true"/>
        <sz val="10"/>
        <color rgb="FF000000"/>
        <rFont val="Arial"/>
        <family val="0"/>
        <charset val="1"/>
      </rPr>
      <t xml:space="preserve">A</t>
    </r>
    <r>
      <rPr>
        <b val="true"/>
        <sz val="10"/>
        <color rgb="FF000000"/>
        <rFont val="DejaVu Sans"/>
        <family val="2"/>
      </rPr>
      <t xml:space="preserve">안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DejaVu Sans"/>
        <family val="2"/>
      </rPr>
      <t xml:space="preserve">현상유지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재진입 없음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</si>
  <si>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현행 유지</t>
  </si>
  <si>
    <t xml:space="preserve">기준</t>
  </si>
  <si>
    <t xml:space="preserve">✅ 권고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</si>
  <si>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저가 재진입 </t>
    </r>
    <r>
      <rPr>
        <sz val="10"/>
        <color rgb="FF000000"/>
        <rFont val="Arial"/>
        <family val="0"/>
        <charset val="1"/>
      </rPr>
      <t xml:space="preserve">($0.576/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</si>
  <si>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t xml:space="preserve">$0.576</t>
  </si>
  <si>
    <r>
      <rPr>
        <sz val="10"/>
        <color rgb="FF000000"/>
        <rFont val="Arial"/>
        <family val="0"/>
        <charset val="1"/>
      </rPr>
      <t xml:space="preserve">▼ $1,471K </t>
    </r>
    <r>
      <rPr>
        <sz val="10"/>
        <color rgb="FF000000"/>
        <rFont val="DejaVu Sans"/>
        <family val="2"/>
      </rPr>
      <t xml:space="preserve">손해</t>
    </r>
  </si>
  <si>
    <t xml:space="preserve">❌ 비권고</t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</si>
  <si>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적정가 재진입 </t>
    </r>
    <r>
      <rPr>
        <sz val="10"/>
        <color rgb="FF000000"/>
        <rFont val="Arial"/>
        <family val="0"/>
        <charset val="1"/>
      </rPr>
      <t xml:space="preserve">($0.608/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</si>
  <si>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t xml:space="preserve">$0.608</t>
  </si>
  <si>
    <r>
      <rPr>
        <sz val="10"/>
        <color rgb="FF000000"/>
        <rFont val="Arial"/>
        <family val="0"/>
        <charset val="1"/>
      </rPr>
      <t xml:space="preserve">▼ $458K </t>
    </r>
    <r>
      <rPr>
        <sz val="10"/>
        <color rgb="FF000000"/>
        <rFont val="DejaVu Sans"/>
        <family val="2"/>
      </rPr>
      <t xml:space="preserve">손해</t>
    </r>
  </si>
  <si>
    <t xml:space="preserve">⚠ 참고</t>
  </si>
  <si>
    <r>
      <rPr>
        <b val="true"/>
        <sz val="10"/>
        <color rgb="FF7B5800"/>
        <rFont val="DejaVu Sans"/>
        <family val="2"/>
      </rPr>
      <t xml:space="preserve">★ 핵심 발견</t>
    </r>
    <r>
      <rPr>
        <b val="true"/>
        <sz val="10"/>
        <color rgb="FF7B5800"/>
        <rFont val="DejaVu Sans"/>
        <family val="2"/>
        <charset val="1"/>
      </rPr>
      <t xml:space="preserve">: </t>
    </r>
    <r>
      <rPr>
        <b val="true"/>
        <sz val="10"/>
        <color rgb="FF7B5800"/>
        <rFont val="DejaVu Sans"/>
        <family val="2"/>
      </rPr>
      <t xml:space="preserve">자동화 후 어떤 가격으로 재진입해도 </t>
    </r>
    <r>
      <rPr>
        <b val="true"/>
        <sz val="10"/>
        <color rgb="FF7B5800"/>
        <rFont val="DejaVu Sans"/>
        <family val="2"/>
        <charset val="1"/>
      </rPr>
      <t xml:space="preserve">A</t>
    </r>
    <r>
      <rPr>
        <b val="true"/>
        <sz val="10"/>
        <color rgb="FF7B5800"/>
        <rFont val="DejaVu Sans"/>
        <family val="2"/>
      </rPr>
      <t xml:space="preserve">안</t>
    </r>
    <r>
      <rPr>
        <b val="true"/>
        <sz val="10"/>
        <color rgb="FF7B5800"/>
        <rFont val="DejaVu Sans"/>
        <family val="2"/>
        <charset val="1"/>
      </rPr>
      <t xml:space="preserve">(</t>
    </r>
    <r>
      <rPr>
        <b val="true"/>
        <sz val="10"/>
        <color rgb="FF7B5800"/>
        <rFont val="DejaVu Sans"/>
        <family val="2"/>
      </rPr>
      <t xml:space="preserve">재진입 없이 자동화만 적용</t>
    </r>
    <r>
      <rPr>
        <b val="true"/>
        <sz val="10"/>
        <color rgb="FF7B5800"/>
        <rFont val="DejaVu Sans"/>
        <family val="2"/>
        <charset val="1"/>
      </rPr>
      <t xml:space="preserve">)</t>
    </r>
    <r>
      <rPr>
        <b val="true"/>
        <sz val="10"/>
        <color rgb="FF7B5800"/>
        <rFont val="DejaVu Sans"/>
        <family val="2"/>
      </rPr>
      <t xml:space="preserve">보다 전사 이익이 낮다</t>
    </r>
    <r>
      <rPr>
        <b val="true"/>
        <sz val="10"/>
        <color rgb="FF7B5800"/>
        <rFont val="DejaVu Sans"/>
        <family val="2"/>
        <charset val="1"/>
      </rPr>
      <t xml:space="preserve">. </t>
    </r>
    <r>
      <rPr>
        <b val="true"/>
        <sz val="10"/>
        <color rgb="FF7B5800"/>
        <rFont val="DejaVu Sans"/>
        <family val="2"/>
      </rPr>
      <t xml:space="preserve">재진입 유리 조건</t>
    </r>
    <r>
      <rPr>
        <b val="true"/>
        <sz val="10"/>
        <color rgb="FF7B5800"/>
        <rFont val="DejaVu Sans"/>
        <family val="2"/>
        <charset val="1"/>
      </rPr>
      <t xml:space="preserve">: </t>
    </r>
    <r>
      <rPr>
        <b val="true"/>
        <sz val="10"/>
        <color rgb="FF7B5800"/>
        <rFont val="DejaVu Sans"/>
        <family val="2"/>
      </rPr>
      <t xml:space="preserve">최소 이익률 </t>
    </r>
    <r>
      <rPr>
        <b val="true"/>
        <sz val="10"/>
        <color rgb="FF7B5800"/>
        <rFont val="DejaVu Sans"/>
        <family val="2"/>
        <charset val="1"/>
      </rPr>
      <t xml:space="preserve">18.4% </t>
    </r>
    <r>
      <rPr>
        <b val="true"/>
        <sz val="10"/>
        <color rgb="FF7B5800"/>
        <rFont val="DejaVu Sans"/>
        <family val="2"/>
      </rPr>
      <t xml:space="preserve">이상 </t>
    </r>
    <r>
      <rPr>
        <b val="true"/>
        <sz val="10"/>
        <color rgb="FF7B5800"/>
        <rFont val="DejaVu Sans"/>
        <family val="2"/>
        <charset val="1"/>
      </rPr>
      <t xml:space="preserve">($0.6703/</t>
    </r>
    <r>
      <rPr>
        <b val="true"/>
        <sz val="10"/>
        <color rgb="FF7B5800"/>
        <rFont val="DejaVu Sans"/>
        <family val="2"/>
      </rPr>
      <t xml:space="preserve">개 </t>
    </r>
    <r>
      <rPr>
        <b val="true"/>
        <sz val="10"/>
        <color rgb="FF7B5800"/>
        <rFont val="DejaVu Sans"/>
        <family val="2"/>
        <charset val="1"/>
      </rPr>
      <t xml:space="preserve">all-in) → </t>
    </r>
    <r>
      <rPr>
        <b val="true"/>
        <sz val="10"/>
        <color rgb="FF7B5800"/>
        <rFont val="DejaVu Sans"/>
        <family val="2"/>
      </rPr>
      <t xml:space="preserve">중국 업체 가격보다 비싸 수주 불가능</t>
    </r>
    <r>
      <rPr>
        <b val="true"/>
        <sz val="10"/>
        <color rgb="FF7B5800"/>
        <rFont val="DejaVu Sans"/>
        <family val="2"/>
        <charset val="1"/>
      </rPr>
      <t xml:space="preserve">.</t>
    </r>
  </si>
  <si>
    <r>
      <rPr>
        <b val="true"/>
        <sz val="12"/>
        <color rgb="FFFFFFFF"/>
        <rFont val="DejaVu Sans"/>
        <family val="2"/>
      </rPr>
      <t xml:space="preserve">  ⚙ 핵심 가정 입력  </t>
    </r>
    <r>
      <rPr>
        <b val="true"/>
        <sz val="12"/>
        <color rgb="FFFFFFFF"/>
        <rFont val="DejaVu Sans"/>
        <family val="2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파란색 셀 </t>
    </r>
    <r>
      <rPr>
        <b val="true"/>
        <sz val="12"/>
        <color rgb="FFFFFFFF"/>
        <rFont val="DejaVu Sans"/>
        <family val="2"/>
        <charset val="1"/>
      </rPr>
      <t xml:space="preserve">= </t>
    </r>
    <r>
      <rPr>
        <b val="true"/>
        <sz val="12"/>
        <color rgb="FFFFFFFF"/>
        <rFont val="DejaVu Sans"/>
        <family val="2"/>
      </rPr>
      <t xml:space="preserve">수정 가능한 입력값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</si>
  <si>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i val="true"/>
        <sz val="9"/>
        <color rgb="FF595959"/>
        <rFont val="DejaVu Sans"/>
        <family val="2"/>
      </rPr>
      <t xml:space="preserve">색상 범례</t>
    </r>
    <r>
      <rPr>
        <i val="true"/>
        <sz val="9"/>
        <color rgb="FF595959"/>
        <rFont val="DejaVu Sans"/>
        <family val="2"/>
        <charset val="1"/>
      </rPr>
      <t xml:space="preserve">:  🔵 </t>
    </r>
    <r>
      <rPr>
        <i val="true"/>
        <sz val="9"/>
        <color rgb="FF595959"/>
        <rFont val="DejaVu Sans"/>
        <family val="2"/>
      </rPr>
      <t xml:space="preserve">파란색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입력값 </t>
    </r>
    <r>
      <rPr>
        <i val="true"/>
        <sz val="9"/>
        <color rgb="FF595959"/>
        <rFont val="DejaVu Sans"/>
        <family val="2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수정 가능</t>
    </r>
    <r>
      <rPr>
        <i val="true"/>
        <sz val="9"/>
        <color rgb="FF595959"/>
        <rFont val="DejaVu Sans"/>
        <family val="2"/>
        <charset val="1"/>
      </rPr>
      <t xml:space="preserve">)   ⚫ </t>
    </r>
    <r>
      <rPr>
        <i val="true"/>
        <sz val="9"/>
        <color rgb="FF595959"/>
        <rFont val="DejaVu Sans"/>
        <family val="2"/>
      </rPr>
      <t xml:space="preserve">검정색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수식 </t>
    </r>
    <r>
      <rPr>
        <i val="true"/>
        <sz val="9"/>
        <color rgb="FF595959"/>
        <rFont val="DejaVu Sans"/>
        <family val="2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자동 계산</t>
    </r>
    <r>
      <rPr>
        <i val="true"/>
        <sz val="9"/>
        <color rgb="FF595959"/>
        <rFont val="DejaVu Sans"/>
        <family val="2"/>
        <charset val="1"/>
      </rPr>
      <t xml:space="preserve">)   🟢 </t>
    </r>
    <r>
      <rPr>
        <i val="true"/>
        <sz val="9"/>
        <color rgb="FF595959"/>
        <rFont val="DejaVu Sans"/>
        <family val="2"/>
      </rPr>
      <t xml:space="preserve">녹색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타 시트 연동</t>
    </r>
  </si>
  <si>
    <t xml:space="preserve">  매출 및 이익률 가정</t>
  </si>
  <si>
    <t xml:space="preserve">가정 항목</t>
  </si>
  <si>
    <t xml:space="preserve">변수명</t>
  </si>
  <si>
    <t xml:space="preserve">입력값</t>
  </si>
  <si>
    <t xml:space="preserve">비고</t>
  </si>
  <si>
    <r>
      <rPr>
        <sz val="10"/>
        <color rgb="FF000000"/>
        <rFont val="DejaVu Sans"/>
        <family val="2"/>
      </rPr>
      <t xml:space="preserve">삼성 브라켓 연매출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</si>
  <si>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sam_rev</t>
  </si>
  <si>
    <r>
      <rPr>
        <sz val="10"/>
        <color rgb="FF000000"/>
        <rFont val="DejaVu Sans"/>
        <family val="2"/>
      </rPr>
      <t xml:space="preserve">자동차 연매출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</si>
  <si>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auto_rev</t>
  </si>
  <si>
    <r>
      <rPr>
        <sz val="10"/>
        <color rgb="FF000000"/>
        <rFont val="Arial"/>
        <family val="0"/>
        <charset val="1"/>
      </rPr>
      <t xml:space="preserve">IT·</t>
    </r>
    <r>
      <rPr>
        <sz val="10"/>
        <color rgb="FF000000"/>
        <rFont val="DejaVu Sans"/>
        <family val="2"/>
      </rPr>
      <t xml:space="preserve">방산 연매출 </t>
    </r>
    <r>
      <rPr>
        <sz val="10"/>
        <color rgb="FF000000"/>
        <rFont val="Arial"/>
        <family val="0"/>
        <charset val="1"/>
      </rPr>
      <t xml:space="preserve">($K)</t>
    </r>
  </si>
  <si>
    <t xml:space="preserve">etc_rev</t>
  </si>
  <si>
    <t xml:space="preserve">삼성 영업이익률</t>
  </si>
  <si>
    <t xml:space="preserve">sam_m</t>
  </si>
  <si>
    <r>
      <rPr>
        <sz val="10"/>
        <color rgb="FF595959"/>
        <rFont val="DejaVu Sans"/>
        <family val="2"/>
      </rPr>
      <t xml:space="preserve">입찰가 </t>
    </r>
    <r>
      <rPr>
        <sz val="10"/>
        <color rgb="FF595959"/>
        <rFont val="DejaVu Sans"/>
        <family val="2"/>
        <charset val="1"/>
      </rPr>
      <t xml:space="preserve">$0.630 </t>
    </r>
    <r>
      <rPr>
        <sz val="10"/>
        <color rgb="FF595959"/>
        <rFont val="DejaVu Sans"/>
        <family val="2"/>
      </rPr>
      <t xml:space="preserve">기준 확인</t>
    </r>
  </si>
  <si>
    <t xml:space="preserve">자동차 영업이익률</t>
  </si>
  <si>
    <t xml:space="preserve">auto_m</t>
  </si>
  <si>
    <t xml:space="preserve">확인된 이익률</t>
  </si>
  <si>
    <r>
      <rPr>
        <sz val="10"/>
        <color rgb="FF000000"/>
        <rFont val="Arial"/>
        <family val="0"/>
        <charset val="1"/>
      </rPr>
      <t xml:space="preserve">IT·</t>
    </r>
    <r>
      <rPr>
        <sz val="10"/>
        <color rgb="FF000000"/>
        <rFont val="DejaVu Sans"/>
        <family val="2"/>
      </rPr>
      <t xml:space="preserve">방산 영업이익률</t>
    </r>
  </si>
  <si>
    <t xml:space="preserve">etc_m</t>
  </si>
  <si>
    <t xml:space="preserve">  삼성 브라켓 단가 구조</t>
  </si>
  <si>
    <r>
      <rPr>
        <sz val="10"/>
        <color rgb="FF000000"/>
        <rFont val="DejaVu Sans"/>
        <family val="2"/>
      </rPr>
      <t xml:space="preserve">삼성 입찰 단가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</si>
  <si>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sam_price</t>
  </si>
  <si>
    <r>
      <rPr>
        <sz val="10"/>
        <color rgb="FF000000"/>
        <rFont val="DejaVu Sans"/>
        <family val="2"/>
      </rPr>
      <t xml:space="preserve">금형 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개 비용 </t>
    </r>
    <r>
      <rPr>
        <sz val="10"/>
        <color rgb="FF000000"/>
        <rFont val="DejaVu Sans"/>
        <family val="2"/>
        <charset val="1"/>
      </rPr>
      <t xml:space="preserve">($)</t>
    </r>
  </si>
  <si>
    <t xml:space="preserve">mold_cost</t>
  </si>
  <si>
    <r>
      <rPr>
        <sz val="10"/>
        <color rgb="FF000000"/>
        <rFont val="DejaVu Sans"/>
        <family val="2"/>
      </rPr>
      <t xml:space="preserve">금형 수명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타</t>
    </r>
    <r>
      <rPr>
        <sz val="10"/>
        <color rgb="FF000000"/>
        <rFont val="DejaVu Sans"/>
        <family val="2"/>
        <charset val="1"/>
      </rPr>
      <t xml:space="preserve">)</t>
    </r>
  </si>
  <si>
    <t xml:space="preserve">mold_shot</t>
  </si>
  <si>
    <r>
      <rPr>
        <sz val="10"/>
        <color rgb="FF000000"/>
        <rFont val="DejaVu Sans"/>
        <family val="2"/>
      </rPr>
      <t xml:space="preserve">금형 단위 상각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</si>
  <si>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mold_unit</t>
  </si>
  <si>
    <t xml:space="preserve">$13,000 ÷ 200,000</t>
  </si>
  <si>
    <r>
      <rPr>
        <sz val="10"/>
        <color rgb="FF000000"/>
        <rFont val="DejaVu Sans"/>
        <family val="2"/>
      </rPr>
      <t xml:space="preserve">제조 원가 </t>
    </r>
    <r>
      <rPr>
        <sz val="10"/>
        <color rgb="FF000000"/>
        <rFont val="DejaVu Sans"/>
        <family val="2"/>
        <charset val="1"/>
      </rPr>
      <t xml:space="preserve">per unit 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</si>
  <si>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mfg_cost</t>
  </si>
  <si>
    <r>
      <rPr>
        <i val="true"/>
        <sz val="10"/>
        <color rgb="FF595959"/>
        <rFont val="DejaVu Sans"/>
        <family val="2"/>
      </rPr>
      <t xml:space="preserve">단가 </t>
    </r>
    <r>
      <rPr>
        <i val="true"/>
        <sz val="10"/>
        <color rgb="FF595959"/>
        <rFont val="DejaVu Sans"/>
        <family val="2"/>
        <charset val="1"/>
      </rPr>
      <t xml:space="preserve">× (1 - </t>
    </r>
    <r>
      <rPr>
        <i val="true"/>
        <sz val="10"/>
        <color rgb="FF595959"/>
        <rFont val="DejaVu Sans"/>
        <family val="2"/>
      </rPr>
      <t xml:space="preserve">이익률</t>
    </r>
    <r>
      <rPr>
        <i val="true"/>
        <sz val="10"/>
        <color rgb="FF595959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</si>
  <si>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삼성 벤더 실질 부담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</si>
  <si>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total_cost</t>
  </si>
  <si>
    <r>
      <rPr>
        <i val="true"/>
        <sz val="10"/>
        <color rgb="FF595959"/>
        <rFont val="DejaVu Sans"/>
        <family val="2"/>
      </rPr>
      <t xml:space="preserve">단가 </t>
    </r>
    <r>
      <rPr>
        <i val="true"/>
        <sz val="10"/>
        <color rgb="FF595959"/>
        <rFont val="DejaVu Sans"/>
        <family val="2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금형상각</t>
    </r>
  </si>
  <si>
    <t xml:space="preserve">  자동화 투자 가정</t>
  </si>
  <si>
    <r>
      <rPr>
        <sz val="10"/>
        <color rgb="FF000000"/>
        <rFont val="DejaVu Sans"/>
        <family val="2"/>
      </rPr>
      <t xml:space="preserve">총 자동화 투자금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</si>
  <si>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invest</t>
  </si>
  <si>
    <r>
      <rPr>
        <sz val="10"/>
        <color rgb="FF000000"/>
        <rFont val="Arial"/>
        <family val="0"/>
        <charset val="1"/>
      </rPr>
      <t xml:space="preserve">Phase 1 </t>
    </r>
    <r>
      <rPr>
        <sz val="10"/>
        <color rgb="FF000000"/>
        <rFont val="DejaVu Sans"/>
        <family val="2"/>
      </rPr>
      <t xml:space="preserve">원가 절감률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금형</t>
    </r>
    <r>
      <rPr>
        <sz val="10"/>
        <color rgb="FF000000"/>
        <rFont val="Arial"/>
        <family val="0"/>
        <charset val="1"/>
      </rPr>
      <t xml:space="preserve">)</t>
    </r>
  </si>
  <si>
    <t xml:space="preserve">p1_cut</t>
  </si>
  <si>
    <r>
      <rPr>
        <sz val="10"/>
        <color rgb="FF000000"/>
        <rFont val="Arial"/>
        <family val="0"/>
        <charset val="1"/>
      </rPr>
      <t xml:space="preserve">Phase 2 </t>
    </r>
    <r>
      <rPr>
        <sz val="10"/>
        <color rgb="FF000000"/>
        <rFont val="DejaVu Sans"/>
        <family val="2"/>
      </rPr>
      <t xml:space="preserve">원가 절감률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금형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제조</t>
    </r>
    <r>
      <rPr>
        <sz val="10"/>
        <color rgb="FF000000"/>
        <rFont val="Arial"/>
        <family val="0"/>
        <charset val="1"/>
      </rPr>
      <t xml:space="preserve">)</t>
    </r>
  </si>
  <si>
    <t xml:space="preserve">p2_cut</t>
  </si>
  <si>
    <r>
      <rPr>
        <sz val="10"/>
        <color rgb="FF000000"/>
        <rFont val="Arial"/>
        <family val="0"/>
        <charset val="1"/>
      </rPr>
      <t xml:space="preserve">Phase 1 </t>
    </r>
    <r>
      <rPr>
        <sz val="10"/>
        <color rgb="FF000000"/>
        <rFont val="DejaVu Sans"/>
        <family val="2"/>
      </rPr>
      <t xml:space="preserve">완료 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</si>
  <si>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t xml:space="preserve">p1_month</t>
  </si>
  <si>
    <r>
      <rPr>
        <sz val="10"/>
        <color rgb="FF000000"/>
        <rFont val="Arial"/>
        <family val="0"/>
        <charset val="1"/>
      </rPr>
      <t xml:space="preserve">Phase 2 </t>
    </r>
    <r>
      <rPr>
        <sz val="10"/>
        <color rgb="FF000000"/>
        <rFont val="DejaVu Sans"/>
        <family val="2"/>
      </rPr>
      <t xml:space="preserve">완료 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</si>
  <si>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t xml:space="preserve">p2_month</t>
  </si>
  <si>
    <t xml:space="preserve">  중국 업체 추정 단가</t>
  </si>
  <si>
    <r>
      <rPr>
        <sz val="10"/>
        <color rgb="FF000000"/>
        <rFont val="DejaVu Sans"/>
        <family val="2"/>
      </rPr>
      <t xml:space="preserve">낙관 시나리오 추정 단가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</si>
  <si>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cn_opt</t>
  </si>
  <si>
    <r>
      <rPr>
        <sz val="10"/>
        <color rgb="FF595959"/>
        <rFont val="DejaVu Sans"/>
        <family val="2"/>
      </rPr>
      <t xml:space="preserve">역산 추정 </t>
    </r>
    <r>
      <rPr>
        <sz val="10"/>
        <color rgb="FF595959"/>
        <rFont val="DejaVu Sans"/>
        <family val="2"/>
        <charset val="1"/>
      </rPr>
      <t xml:space="preserve">(</t>
    </r>
    <r>
      <rPr>
        <sz val="10"/>
        <color rgb="FF595959"/>
        <rFont val="DejaVu Sans"/>
        <family val="2"/>
      </rPr>
      <t xml:space="preserve">낙관</t>
    </r>
    <r>
      <rPr>
        <sz val="10"/>
        <color rgb="FF595959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</si>
  <si>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기본 시나리오 추정 단가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</si>
  <si>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cn_base</t>
  </si>
  <si>
    <r>
      <rPr>
        <sz val="10"/>
        <color rgb="FF595959"/>
        <rFont val="DejaVu Sans"/>
        <family val="2"/>
      </rPr>
      <t xml:space="preserve">역산 추정 </t>
    </r>
    <r>
      <rPr>
        <sz val="10"/>
        <color rgb="FF595959"/>
        <rFont val="DejaVu Sans"/>
        <family val="2"/>
        <charset val="1"/>
      </rPr>
      <t xml:space="preserve">(</t>
    </r>
    <r>
      <rPr>
        <sz val="10"/>
        <color rgb="FF595959"/>
        <rFont val="DejaVu Sans"/>
        <family val="2"/>
      </rPr>
      <t xml:space="preserve">기본</t>
    </r>
    <r>
      <rPr>
        <sz val="10"/>
        <color rgb="FF595959"/>
        <rFont val="DejaVu Sans"/>
        <family val="2"/>
        <charset val="1"/>
      </rPr>
      <t xml:space="preserve">, </t>
    </r>
    <r>
      <rPr>
        <sz val="10"/>
        <color rgb="FF595959"/>
        <rFont val="DejaVu Sans"/>
        <family val="2"/>
      </rPr>
      <t xml:space="preserve">가장 유력</t>
    </r>
    <r>
      <rPr>
        <sz val="10"/>
        <color rgb="FF595959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</si>
  <si>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비관 시나리오 추정 단가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</si>
  <si>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t xml:space="preserve">cn_bear</t>
  </si>
  <si>
    <r>
      <rPr>
        <sz val="10"/>
        <color rgb="FF595959"/>
        <rFont val="DejaVu Sans"/>
        <family val="2"/>
      </rPr>
      <t xml:space="preserve">역산 추정 </t>
    </r>
    <r>
      <rPr>
        <sz val="10"/>
        <color rgb="FF595959"/>
        <rFont val="DejaVu Sans"/>
        <family val="2"/>
        <charset val="1"/>
      </rPr>
      <t xml:space="preserve">(</t>
    </r>
    <r>
      <rPr>
        <sz val="10"/>
        <color rgb="FF595959"/>
        <rFont val="DejaVu Sans"/>
        <family val="2"/>
      </rPr>
      <t xml:space="preserve">비관</t>
    </r>
    <r>
      <rPr>
        <sz val="10"/>
        <color rgb="FF595959"/>
        <rFont val="DejaVu Sans"/>
        <family val="2"/>
        <charset val="1"/>
      </rPr>
      <t xml:space="preserve">)</t>
    </r>
  </si>
  <si>
    <t xml:space="preserve">  삼성 모델 구조</t>
  </si>
  <si>
    <r>
      <rPr>
        <sz val="10"/>
        <color rgb="FF000000"/>
        <rFont val="DejaVu Sans"/>
        <family val="2"/>
      </rPr>
      <t xml:space="preserve">연간 운영 모델 수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시리즈</t>
    </r>
    <r>
      <rPr>
        <sz val="10"/>
        <color rgb="FF000000"/>
        <rFont val="DejaVu Sans"/>
        <family val="2"/>
        <charset val="1"/>
      </rPr>
      <t xml:space="preserve">×</t>
    </r>
    <r>
      <rPr>
        <sz val="10"/>
        <color rgb="FF000000"/>
        <rFont val="DejaVu Sans"/>
        <family val="2"/>
      </rPr>
      <t xml:space="preserve">사이클</t>
    </r>
    <r>
      <rPr>
        <sz val="10"/>
        <color rgb="FF000000"/>
        <rFont val="DejaVu Sans"/>
        <family val="2"/>
        <charset val="1"/>
      </rPr>
      <t xml:space="preserve">)</t>
    </r>
  </si>
  <si>
    <t xml:space="preserve">n_model</t>
  </si>
  <si>
    <t xml:space="preserve">손실 모델 수</t>
  </si>
  <si>
    <t xml:space="preserve">lost_m</t>
  </si>
  <si>
    <r>
      <rPr>
        <sz val="10"/>
        <color rgb="FF000000"/>
        <rFont val="DejaVu Sans"/>
        <family val="2"/>
      </rPr>
      <t xml:space="preserve">모델당 평균 매출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</si>
  <si>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rev_per_m</t>
  </si>
  <si>
    <r>
      <rPr>
        <i val="true"/>
        <sz val="10"/>
        <color rgb="FF595959"/>
        <rFont val="DejaVu Sans"/>
        <family val="2"/>
      </rPr>
      <t xml:space="preserve">삼성 매출 </t>
    </r>
    <r>
      <rPr>
        <i val="true"/>
        <sz val="10"/>
        <color rgb="FF595959"/>
        <rFont val="DejaVu Sans"/>
        <family val="2"/>
        <charset val="1"/>
      </rPr>
      <t xml:space="preserve">÷ 6</t>
    </r>
    <r>
      <rPr>
        <i val="true"/>
        <sz val="10"/>
        <color rgb="FF595959"/>
        <rFont val="DejaVu Sans"/>
        <family val="2"/>
      </rPr>
      <t xml:space="preserve">개 모델</t>
    </r>
  </si>
  <si>
    <r>
      <rPr>
        <sz val="10"/>
        <color rgb="FF000000"/>
        <rFont val="DejaVu Sans"/>
        <family val="2"/>
      </rPr>
      <t xml:space="preserve">연간 손실 매출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</si>
  <si>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loss_rev</t>
  </si>
  <si>
    <r>
      <rPr>
        <i val="true"/>
        <sz val="10"/>
        <color rgb="FF595959"/>
        <rFont val="DejaVu Sans"/>
        <family val="2"/>
      </rPr>
      <t xml:space="preserve">모델당 매출 </t>
    </r>
    <r>
      <rPr>
        <i val="true"/>
        <sz val="10"/>
        <color rgb="FF595959"/>
        <rFont val="DejaVu Sans"/>
        <family val="2"/>
        <charset val="1"/>
      </rPr>
      <t xml:space="preserve">× </t>
    </r>
    <r>
      <rPr>
        <i val="true"/>
        <sz val="10"/>
        <color rgb="FF595959"/>
        <rFont val="DejaVu Sans"/>
        <family val="2"/>
      </rPr>
      <t xml:space="preserve">손실 모델 수</t>
    </r>
  </si>
  <si>
    <r>
      <rPr>
        <sz val="10"/>
        <color rgb="FF000000"/>
        <rFont val="DejaVu Sans"/>
        <family val="2"/>
      </rPr>
      <t xml:space="preserve">연간 손실 이익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</si>
  <si>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loss_prof</t>
  </si>
  <si>
    <r>
      <rPr>
        <i val="true"/>
        <sz val="10"/>
        <color rgb="FF595959"/>
        <rFont val="DejaVu Sans"/>
        <family val="2"/>
      </rPr>
      <t xml:space="preserve">손실 매출 </t>
    </r>
    <r>
      <rPr>
        <i val="true"/>
        <sz val="10"/>
        <color rgb="FF595959"/>
        <rFont val="DejaVu Sans"/>
        <family val="2"/>
        <charset val="1"/>
      </rPr>
      <t xml:space="preserve">× </t>
    </r>
    <r>
      <rPr>
        <i val="true"/>
        <sz val="10"/>
        <color rgb="FF595959"/>
        <rFont val="DejaVu Sans"/>
        <family val="2"/>
      </rPr>
      <t xml:space="preserve">삼성 이익률</t>
    </r>
  </si>
  <si>
    <t xml:space="preserve">  💰 단가 구조 및 경쟁력 분석</t>
  </si>
  <si>
    <r>
      <rPr>
        <b val="true"/>
        <sz val="11"/>
        <color rgb="FFFFFFFF"/>
        <rFont val="Arial"/>
        <family val="0"/>
        <charset val="1"/>
      </rPr>
      <t xml:space="preserve">  1. </t>
    </r>
    <r>
      <rPr>
        <b val="true"/>
        <sz val="11"/>
        <color rgb="FFFFFFFF"/>
        <rFont val="DejaVu Sans"/>
        <family val="2"/>
      </rPr>
      <t xml:space="preserve">현재 단가 구조 </t>
    </r>
    <r>
      <rPr>
        <b val="true"/>
        <sz val="11"/>
        <color rgb="FFFFFFFF"/>
        <rFont val="Arial"/>
        <family val="0"/>
        <charset val="1"/>
      </rPr>
      <t xml:space="preserve">($/</t>
    </r>
    <r>
      <rPr>
        <b val="true"/>
        <sz val="11"/>
        <color rgb="FFFFFFFF"/>
        <rFont val="DejaVu Sans"/>
        <family val="2"/>
      </rPr>
      <t xml:space="preserve">개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</si>
  <si>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항목</t>
  </si>
  <si>
    <r>
      <rPr>
        <b val="true"/>
        <sz val="10"/>
        <color rgb="FFFFFFFF"/>
        <rFont val="DejaVu Sans"/>
        <family val="2"/>
      </rPr>
      <t xml:space="preserve">금액 </t>
    </r>
    <r>
      <rPr>
        <b val="true"/>
        <sz val="10"/>
        <color rgb="FFFFFFFF"/>
        <rFont val="DejaVu Sans"/>
        <family val="2"/>
        <charset val="1"/>
      </rPr>
      <t xml:space="preserve">($/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</si>
  <si>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비율 </t>
    </r>
    <r>
      <rPr>
        <b val="true"/>
        <sz val="10"/>
        <color rgb="FFFFFFFF"/>
        <rFont val="DejaVu Sans"/>
        <family val="2"/>
        <charset val="1"/>
      </rPr>
      <t xml:space="preserve">(%)</t>
    </r>
  </si>
  <si>
    <t xml:space="preserve">입찰 단가</t>
  </si>
  <si>
    <t xml:space="preserve">─</t>
  </si>
  <si>
    <t xml:space="preserve">국내 최저가 입찰</t>
  </si>
  <si>
    <r>
      <rPr>
        <sz val="10"/>
        <color rgb="FF000000"/>
        <rFont val="DejaVu Sans"/>
        <family val="2"/>
      </rPr>
      <t xml:space="preserve">  영업이익 </t>
    </r>
    <r>
      <rPr>
        <sz val="10"/>
        <color rgb="FF000000"/>
        <rFont val="DejaVu Sans"/>
        <family val="2"/>
        <charset val="1"/>
      </rPr>
      <t xml:space="preserve">(15%)</t>
    </r>
  </si>
  <si>
    <r>
      <rPr>
        <sz val="10"/>
        <color rgb="FF000000"/>
        <rFont val="DejaVu Sans"/>
        <family val="2"/>
      </rPr>
      <t xml:space="preserve">입찰가 </t>
    </r>
    <r>
      <rPr>
        <sz val="10"/>
        <color rgb="FF000000"/>
        <rFont val="DejaVu Sans"/>
        <family val="2"/>
        <charset val="1"/>
      </rPr>
      <t xml:space="preserve">× 15%</t>
    </r>
  </si>
  <si>
    <t xml:space="preserve">  제조 원가</t>
  </si>
  <si>
    <r>
      <rPr>
        <sz val="10"/>
        <color rgb="FF000000"/>
        <rFont val="DejaVu Sans"/>
        <family val="2"/>
      </rPr>
      <t xml:space="preserve">입찰가 </t>
    </r>
    <r>
      <rPr>
        <sz val="10"/>
        <color rgb="FF000000"/>
        <rFont val="DejaVu Sans"/>
        <family val="2"/>
        <charset val="1"/>
      </rPr>
      <t xml:space="preserve">× 85%</t>
    </r>
  </si>
  <si>
    <r>
      <rPr>
        <sz val="10"/>
        <color rgb="FF000000"/>
        <rFont val="DejaVu Sans"/>
        <family val="2"/>
      </rPr>
      <t xml:space="preserve">금형비 단위 상각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별도</t>
    </r>
    <r>
      <rPr>
        <sz val="10"/>
        <color rgb="FF000000"/>
        <rFont val="DejaVu Sans"/>
        <family val="2"/>
        <charset val="1"/>
      </rPr>
      <t xml:space="preserve">)</t>
    </r>
  </si>
  <si>
    <t xml:space="preserve">삼성 벤더 실질 부담 합계</t>
  </si>
  <si>
    <r>
      <rPr>
        <sz val="10"/>
        <color rgb="FF000000"/>
        <rFont val="DejaVu Sans"/>
        <family val="2"/>
      </rPr>
      <t xml:space="preserve">중국 추정 단가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기본</t>
    </r>
    <r>
      <rPr>
        <sz val="10"/>
        <color rgb="FF000000"/>
        <rFont val="DejaVu Sans"/>
        <family val="2"/>
        <charset val="1"/>
      </rPr>
      <t xml:space="preserve">, all-in)</t>
    </r>
  </si>
  <si>
    <t xml:space="preserve">역산 추정</t>
  </si>
  <si>
    <r>
      <rPr>
        <b val="true"/>
        <sz val="10"/>
        <color rgb="FF000000"/>
        <rFont val="DejaVu Sans"/>
        <family val="2"/>
      </rPr>
      <t xml:space="preserve">실질 가격 격차 </t>
    </r>
    <r>
      <rPr>
        <b val="true"/>
        <sz val="10"/>
        <color rgb="FF000000"/>
        <rFont val="DejaVu Sans"/>
        <family val="2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당사</t>
    </r>
    <r>
      <rPr>
        <b val="true"/>
        <sz val="10"/>
        <color rgb="FF000000"/>
        <rFont val="DejaVu Sans"/>
        <family val="2"/>
        <charset val="1"/>
      </rPr>
      <t xml:space="preserve">-</t>
    </r>
    <r>
      <rPr>
        <b val="true"/>
        <sz val="10"/>
        <color rgb="FF000000"/>
        <rFont val="DejaVu Sans"/>
        <family val="2"/>
      </rPr>
      <t xml:space="preserve">중국</t>
    </r>
    <r>
      <rPr>
        <b val="true"/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</si>
  <si>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당사 실질 부담 </t>
    </r>
    <r>
      <rPr>
        <sz val="10"/>
        <color rgb="FF000000"/>
        <rFont val="DejaVu Sans"/>
        <family val="2"/>
        <charset val="1"/>
      </rPr>
      <t xml:space="preserve">vs </t>
    </r>
    <r>
      <rPr>
        <sz val="10"/>
        <color rgb="FF000000"/>
        <rFont val="DejaVu Sans"/>
        <family val="2"/>
      </rPr>
      <t xml:space="preserve">중국</t>
    </r>
  </si>
  <si>
    <r>
      <rPr>
        <b val="true"/>
        <sz val="11"/>
        <color rgb="FFFFFFFF"/>
        <rFont val="Arial"/>
        <family val="0"/>
        <charset val="1"/>
      </rPr>
      <t xml:space="preserve">  2. </t>
    </r>
    <r>
      <rPr>
        <b val="true"/>
        <sz val="11"/>
        <color rgb="FFFFFFFF"/>
        <rFont val="DejaVu Sans"/>
        <family val="2"/>
      </rPr>
      <t xml:space="preserve">자동화 단계별 제안 가능 단가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금형비 통합 </t>
    </r>
    <r>
      <rPr>
        <b val="true"/>
        <sz val="11"/>
        <color rgb="FFFFFFFF"/>
        <rFont val="Arial"/>
        <family val="0"/>
        <charset val="1"/>
      </rPr>
      <t xml:space="preserve">all-in </t>
    </r>
    <r>
      <rPr>
        <b val="true"/>
        <sz val="11"/>
        <color rgb="FFFFFFFF"/>
        <rFont val="DejaVu Sans"/>
        <family val="2"/>
      </rPr>
      <t xml:space="preserve">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</si>
  <si>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자동화 단계</t>
  </si>
  <si>
    <t xml:space="preserve">원가 절감률</t>
  </si>
  <si>
    <r>
      <rPr>
        <b val="true"/>
        <sz val="10"/>
        <color rgb="FFFFFFFF"/>
        <rFont val="DejaVu Sans"/>
        <family val="2"/>
      </rPr>
      <t xml:space="preserve">자동화 후 원가</t>
    </r>
    <r>
      <rPr>
        <b val="true"/>
        <sz val="10"/>
        <color rgb="FFFFFFFF"/>
        <rFont val="DejaVu Sans"/>
        <family val="2"/>
        <charset val="1"/>
      </rPr>
      <t xml:space="preserve">
(</t>
    </r>
    <r>
      <rPr>
        <b val="true"/>
        <sz val="10"/>
        <color rgb="FFFFFFFF"/>
        <rFont val="DejaVu Sans"/>
        <family val="2"/>
      </rPr>
      <t xml:space="preserve">금형포함</t>
    </r>
    <r>
      <rPr>
        <b val="true"/>
        <sz val="10"/>
        <color rgb="FFFFFFFF"/>
        <rFont val="DejaVu Sans"/>
        <family val="2"/>
        <charset val="1"/>
      </rPr>
      <t xml:space="preserve">, $/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</si>
  <si>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5% </t>
    </r>
    <r>
      <rPr>
        <b val="true"/>
        <sz val="10"/>
        <color rgb="FFFFFFFF"/>
        <rFont val="DejaVu Sans"/>
        <family val="2"/>
      </rPr>
      <t xml:space="preserve">마진 제안가</t>
    </r>
  </si>
  <si>
    <r>
      <rPr>
        <b val="true"/>
        <sz val="10"/>
        <color rgb="FFFFFFFF"/>
        <rFont val="Arial"/>
        <family val="0"/>
        <charset val="1"/>
      </rPr>
      <t xml:space="preserve">7% </t>
    </r>
    <r>
      <rPr>
        <b val="true"/>
        <sz val="10"/>
        <color rgb="FFFFFFFF"/>
        <rFont val="DejaVu Sans"/>
        <family val="2"/>
      </rPr>
      <t xml:space="preserve">마진 제안가</t>
    </r>
  </si>
  <si>
    <r>
      <rPr>
        <b val="true"/>
        <sz val="10"/>
        <color rgb="FFFFFFFF"/>
        <rFont val="DejaVu Sans"/>
        <family val="2"/>
      </rPr>
      <t xml:space="preserve">중국 기본</t>
    </r>
    <r>
      <rPr>
        <b val="true"/>
        <sz val="10"/>
        <color rgb="FFFFFFFF"/>
        <rFont val="DejaVu Sans"/>
        <family val="2"/>
        <charset val="1"/>
      </rPr>
      <t xml:space="preserve">($0.54)
</t>
    </r>
    <r>
      <rPr>
        <b val="true"/>
        <sz val="10"/>
        <color rgb="FFFFFFFF"/>
        <rFont val="DejaVu Sans"/>
        <family val="2"/>
      </rPr>
      <t xml:space="preserve">대비 차이</t>
    </r>
  </si>
  <si>
    <r>
      <rPr>
        <sz val="10"/>
        <color rgb="FF000000"/>
        <rFont val="DejaVu Sans"/>
        <family val="2"/>
      </rPr>
      <t xml:space="preserve">현재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자동화 전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</si>
  <si>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Phase 1 (</t>
    </r>
    <r>
      <rPr>
        <sz val="10"/>
        <color rgb="FF000000"/>
        <rFont val="DejaVu Sans"/>
        <family val="2"/>
      </rPr>
      <t xml:space="preserve">금형 </t>
    </r>
    <r>
      <rPr>
        <sz val="10"/>
        <color rgb="FF000000"/>
        <rFont val="Arial"/>
        <family val="0"/>
        <charset val="1"/>
      </rPr>
      <t xml:space="preserve">5%)</t>
    </r>
  </si>
  <si>
    <t xml:space="preserve">Phase 2-A (8%)</t>
  </si>
  <si>
    <t xml:space="preserve">Phase 2-B (10%)</t>
  </si>
  <si>
    <r>
      <rPr>
        <b val="true"/>
        <sz val="10"/>
        <color rgb="FF7B5800"/>
        <rFont val="Arial"/>
        <family val="0"/>
        <charset val="1"/>
      </rPr>
      <t xml:space="preserve">※ Phase 2-B(10%) + </t>
    </r>
    <r>
      <rPr>
        <b val="true"/>
        <sz val="10"/>
        <color rgb="FF7B5800"/>
        <rFont val="DejaVu Sans"/>
        <family val="2"/>
      </rPr>
      <t xml:space="preserve">금형비 통합 시 </t>
    </r>
    <r>
      <rPr>
        <b val="true"/>
        <sz val="10"/>
        <color rgb="FF7B5800"/>
        <rFont val="Arial"/>
        <family val="0"/>
        <charset val="1"/>
      </rPr>
      <t xml:space="preserve">5% </t>
    </r>
    <r>
      <rPr>
        <b val="true"/>
        <sz val="10"/>
        <color rgb="FF7B5800"/>
        <rFont val="DejaVu Sans"/>
        <family val="2"/>
      </rPr>
      <t xml:space="preserve">마진 제안가 </t>
    </r>
    <r>
      <rPr>
        <b val="true"/>
        <sz val="10"/>
        <color rgb="FF7B5800"/>
        <rFont val="Arial"/>
        <family val="0"/>
        <charset val="1"/>
      </rPr>
      <t xml:space="preserve">$0.547 → </t>
    </r>
    <r>
      <rPr>
        <b val="true"/>
        <sz val="10"/>
        <color rgb="FF7B5800"/>
        <rFont val="DejaVu Sans"/>
        <family val="2"/>
      </rPr>
      <t xml:space="preserve">중국 기본</t>
    </r>
    <r>
      <rPr>
        <b val="true"/>
        <sz val="10"/>
        <color rgb="FF7B5800"/>
        <rFont val="Arial"/>
        <family val="0"/>
        <charset val="1"/>
      </rPr>
      <t xml:space="preserve">($0.54) </t>
    </r>
    <r>
      <rPr>
        <b val="true"/>
        <sz val="10"/>
        <color rgb="FF7B5800"/>
        <rFont val="DejaVu Sans"/>
        <family val="2"/>
      </rPr>
      <t xml:space="preserve">대비 거의 동등 수준</t>
    </r>
    <r>
      <rPr>
        <b val="true"/>
        <sz val="10"/>
        <color rgb="FF7B5800"/>
        <rFont val="Arial"/>
        <family val="0"/>
        <charset val="1"/>
      </rPr>
      <t xml:space="preserve">. </t>
    </r>
    <r>
      <rPr>
        <b val="true"/>
        <sz val="10"/>
        <color rgb="FF7B5800"/>
        <rFont val="DejaVu Sans"/>
        <family val="2"/>
      </rPr>
      <t xml:space="preserve">단</t>
    </r>
    <r>
      <rPr>
        <b val="true"/>
        <sz val="10"/>
        <color rgb="FF7B5800"/>
        <rFont val="Arial"/>
        <family val="0"/>
        <charset val="1"/>
      </rPr>
      <t xml:space="preserve">, </t>
    </r>
    <r>
      <rPr>
        <b val="true"/>
        <sz val="10"/>
        <color rgb="FF7B5800"/>
        <rFont val="DejaVu Sans"/>
        <family val="2"/>
      </rPr>
      <t xml:space="preserve">재진입 시 이익률 </t>
    </r>
    <r>
      <rPr>
        <b val="true"/>
        <sz val="10"/>
        <color rgb="FF7B5800"/>
        <rFont val="Arial"/>
        <family val="0"/>
        <charset val="1"/>
      </rPr>
      <t xml:space="preserve">5%</t>
    </r>
    <r>
      <rPr>
        <b val="true"/>
        <sz val="10"/>
        <color rgb="FF7B5800"/>
        <rFont val="DejaVu Sans"/>
        <family val="2"/>
      </rPr>
      <t xml:space="preserve">는 현재 </t>
    </r>
    <r>
      <rPr>
        <b val="true"/>
        <sz val="10"/>
        <color rgb="FF7B5800"/>
        <rFont val="Arial"/>
        <family val="0"/>
        <charset val="1"/>
      </rPr>
      <t xml:space="preserve">15% </t>
    </r>
    <r>
      <rPr>
        <b val="true"/>
        <sz val="10"/>
        <color rgb="FF7B5800"/>
        <rFont val="DejaVu Sans"/>
        <family val="2"/>
      </rPr>
      <t xml:space="preserve">대비 </t>
    </r>
    <r>
      <rPr>
        <b val="true"/>
        <sz val="10"/>
        <color rgb="FF7B5800"/>
        <rFont val="Arial"/>
        <family val="0"/>
        <charset val="1"/>
      </rPr>
      <t xml:space="preserve">3</t>
    </r>
    <r>
      <rPr>
        <b val="true"/>
        <sz val="10"/>
        <color rgb="FF7B5800"/>
        <rFont val="DejaVu Sans"/>
        <family val="2"/>
      </rPr>
      <t xml:space="preserve">분의 </t>
    </r>
    <r>
      <rPr>
        <b val="true"/>
        <sz val="10"/>
        <color rgb="FF7B5800"/>
        <rFont val="Arial"/>
        <family val="0"/>
        <charset val="1"/>
      </rPr>
      <t xml:space="preserve">1 </t>
    </r>
    <r>
      <rPr>
        <b val="true"/>
        <sz val="10"/>
        <color rgb="FF7B5800"/>
        <rFont val="DejaVu Sans"/>
        <family val="2"/>
      </rPr>
      <t xml:space="preserve">이하로 전사 이익 감소</t>
    </r>
    <r>
      <rPr>
        <b val="true"/>
        <sz val="10"/>
        <color rgb="FF7B5800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</si>
  <si>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  3. </t>
    </r>
    <r>
      <rPr>
        <b val="true"/>
        <sz val="11"/>
        <color rgb="FFFFFFFF"/>
        <rFont val="DejaVu Sans"/>
        <family val="2"/>
      </rPr>
      <t xml:space="preserve">내부 최저 검토가 </t>
    </r>
    <r>
      <rPr>
        <b val="true"/>
        <sz val="11"/>
        <color rgb="FFFFFFFF"/>
        <rFont val="Arial"/>
        <family val="0"/>
        <charset val="1"/>
      </rPr>
      <t xml:space="preserve">$0.60 </t>
    </r>
    <r>
      <rPr>
        <b val="true"/>
        <sz val="11"/>
        <color rgb="FFFFFFFF"/>
        <rFont val="DejaVu Sans"/>
        <family val="2"/>
      </rPr>
      <t xml:space="preserve">활용 시나리오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미제출 → 참고용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</si>
  <si>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현재 </t>
    </r>
    <r>
      <rPr>
        <b val="true"/>
        <sz val="10"/>
        <color rgb="FFFFFFFF"/>
        <rFont val="DejaVu Sans"/>
        <family val="2"/>
        <charset val="1"/>
      </rPr>
      <t xml:space="preserve">($0.63 </t>
    </r>
    <r>
      <rPr>
        <b val="true"/>
        <sz val="10"/>
        <color rgb="FFFFFFFF"/>
        <rFont val="DejaVu Sans"/>
        <family val="2"/>
      </rPr>
      <t xml:space="preserve">기준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</si>
  <si>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$0.60 </t>
    </r>
    <r>
      <rPr>
        <b val="true"/>
        <sz val="10"/>
        <color rgb="FFFFFFFF"/>
        <rFont val="DejaVu Sans"/>
        <family val="2"/>
      </rPr>
      <t xml:space="preserve">제안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</si>
  <si>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$0.60 </t>
    </r>
    <r>
      <rPr>
        <b val="true"/>
        <sz val="10"/>
        <color rgb="FFFFFFFF"/>
        <rFont val="DejaVu Sans"/>
        <family val="2"/>
      </rPr>
      <t xml:space="preserve">제안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자동화 </t>
    </r>
    <r>
      <rPr>
        <b val="true"/>
        <sz val="10"/>
        <color rgb="FFFFFFFF"/>
        <rFont val="Arial"/>
        <family val="0"/>
        <charset val="1"/>
      </rPr>
      <t xml:space="preserve">10%)</t>
    </r>
  </si>
  <si>
    <r>
      <rPr>
        <sz val="10"/>
        <color rgb="FF000000"/>
        <rFont val="DejaVu Sans"/>
        <family val="2"/>
      </rPr>
      <t xml:space="preserve">제조 원가 </t>
    </r>
    <r>
      <rPr>
        <sz val="10"/>
        <color rgb="FF000000"/>
        <rFont val="DejaVu Sans"/>
        <family val="2"/>
        <charset val="1"/>
      </rPr>
      <t xml:space="preserve">per unit</t>
    </r>
  </si>
  <si>
    <t xml:space="preserve">$0.5355</t>
  </si>
  <si>
    <t xml:space="preserve">$0.4820</t>
  </si>
  <si>
    <r>
      <rPr>
        <sz val="10"/>
        <color rgb="FF000000"/>
        <rFont val="DejaVu Sans"/>
        <family val="2"/>
      </rPr>
      <t xml:space="preserve">자동화 후 </t>
    </r>
    <r>
      <rPr>
        <sz val="10"/>
        <color rgb="FF000000"/>
        <rFont val="DejaVu Sans"/>
        <family val="2"/>
        <charset val="1"/>
      </rPr>
      <t xml:space="preserve">10% </t>
    </r>
    <r>
      <rPr>
        <sz val="10"/>
        <color rgb="FF000000"/>
        <rFont val="DejaVu Sans"/>
        <family val="2"/>
      </rPr>
      <t xml:space="preserve">절감</t>
    </r>
  </si>
  <si>
    <r>
      <rPr>
        <sz val="10"/>
        <color rgb="FF000000"/>
        <rFont val="DejaVu Sans"/>
        <family val="2"/>
      </rPr>
      <t xml:space="preserve">금형비 </t>
    </r>
    <r>
      <rPr>
        <sz val="10"/>
        <color rgb="FF000000"/>
        <rFont val="DejaVu Sans"/>
        <family val="2"/>
        <charset val="1"/>
      </rPr>
      <t xml:space="preserve">per unit</t>
    </r>
  </si>
  <si>
    <t xml:space="preserve">$0.065</t>
  </si>
  <si>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만타 상각</t>
    </r>
  </si>
  <si>
    <r>
      <rPr>
        <sz val="10"/>
        <color rgb="FF000000"/>
        <rFont val="DejaVu Sans"/>
        <family val="2"/>
      </rPr>
      <t xml:space="preserve">단가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금형 별도</t>
    </r>
    <r>
      <rPr>
        <sz val="10"/>
        <color rgb="FF000000"/>
        <rFont val="DejaVu Sans"/>
        <family val="2"/>
        <charset val="1"/>
      </rPr>
      <t xml:space="preserve">)</t>
    </r>
  </si>
  <si>
    <t xml:space="preserve">$0.630</t>
  </si>
  <si>
    <t xml:space="preserve">$0.600</t>
  </si>
  <si>
    <t xml:space="preserve">제안가</t>
  </si>
  <si>
    <r>
      <rPr>
        <sz val="10"/>
        <color rgb="FF000000"/>
        <rFont val="DejaVu Sans"/>
        <family val="2"/>
      </rPr>
      <t xml:space="preserve">이익률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금형 별도</t>
    </r>
    <r>
      <rPr>
        <sz val="10"/>
        <color rgb="FF000000"/>
        <rFont val="DejaVu Sans"/>
        <family val="2"/>
        <charset val="1"/>
      </rPr>
      <t xml:space="preserve">)</t>
    </r>
  </si>
  <si>
    <t xml:space="preserve">15.0%</t>
  </si>
  <si>
    <t xml:space="preserve">10.8%</t>
  </si>
  <si>
    <t xml:space="preserve">19.7%</t>
  </si>
  <si>
    <t xml:space="preserve">자동화 효과 큼</t>
  </si>
  <si>
    <r>
      <rPr>
        <sz val="10"/>
        <color rgb="FF000000"/>
        <rFont val="DejaVu Sans"/>
        <family val="2"/>
      </rPr>
      <t xml:space="preserve">단가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금형 통합</t>
    </r>
    <r>
      <rPr>
        <sz val="10"/>
        <color rgb="FF000000"/>
        <rFont val="DejaVu Sans"/>
        <family val="2"/>
        <charset val="1"/>
      </rPr>
      <t xml:space="preserve">, all-in)</t>
    </r>
  </si>
  <si>
    <t xml:space="preserve">$0.695</t>
  </si>
  <si>
    <t xml:space="preserve">$0.665</t>
  </si>
  <si>
    <r>
      <rPr>
        <sz val="10"/>
        <color rgb="FF000000"/>
        <rFont val="Arial"/>
        <family val="0"/>
        <charset val="1"/>
      </rPr>
      <t xml:space="preserve">$0.547 </t>
    </r>
    <r>
      <rPr>
        <sz val="10"/>
        <color rgb="FF000000"/>
        <rFont val="DejaVu Sans"/>
        <family val="2"/>
      </rPr>
      <t xml:space="preserve">원가 → </t>
    </r>
    <r>
      <rPr>
        <sz val="10"/>
        <color rgb="FF000000"/>
        <rFont val="Arial"/>
        <family val="0"/>
        <charset val="1"/>
      </rPr>
      <t xml:space="preserve">$0.576/</t>
    </r>
    <r>
      <rPr>
        <sz val="10"/>
        <color rgb="FF000000"/>
        <rFont val="DejaVu Sans"/>
        <family val="2"/>
      </rPr>
      <t xml:space="preserve">개 제안</t>
    </r>
  </si>
  <si>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DejaVu Sans"/>
        <family val="2"/>
      </rPr>
      <t xml:space="preserve">마진 유지</t>
    </r>
  </si>
  <si>
    <r>
      <rPr>
        <sz val="10"/>
        <color rgb="FF000000"/>
        <rFont val="DejaVu Sans"/>
        <family val="2"/>
      </rPr>
      <t xml:space="preserve">이익률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금형 통합</t>
    </r>
    <r>
      <rPr>
        <sz val="10"/>
        <color rgb="FF000000"/>
        <rFont val="DejaVu Sans"/>
        <family val="2"/>
        <charset val="1"/>
      </rPr>
      <t xml:space="preserve">)</t>
    </r>
  </si>
  <si>
    <t xml:space="preserve">8.8% (at $0.60 all-in)</t>
  </si>
  <si>
    <r>
      <rPr>
        <sz val="10"/>
        <color rgb="FF000000"/>
        <rFont val="DejaVu Sans"/>
        <family val="2"/>
      </rPr>
      <t xml:space="preserve">중국 기본 단가</t>
    </r>
    <r>
      <rPr>
        <sz val="10"/>
        <color rgb="FF000000"/>
        <rFont val="DejaVu Sans"/>
        <family val="2"/>
        <charset val="1"/>
      </rPr>
      <t xml:space="preserve">($0.58) </t>
    </r>
    <r>
      <rPr>
        <sz val="10"/>
        <color rgb="FF000000"/>
        <rFont val="DejaVu Sans"/>
        <family val="2"/>
      </rPr>
      <t xml:space="preserve">대비</t>
    </r>
  </si>
  <si>
    <r>
      <rPr>
        <sz val="10"/>
        <color rgb="FF000000"/>
        <rFont val="Arial"/>
        <family val="0"/>
        <charset val="1"/>
      </rPr>
      <t xml:space="preserve">▼ 17.3% </t>
    </r>
    <r>
      <rPr>
        <sz val="10"/>
        <color rgb="FF000000"/>
        <rFont val="DejaVu Sans"/>
        <family val="2"/>
      </rPr>
      <t xml:space="preserve">열위</t>
    </r>
  </si>
  <si>
    <r>
      <rPr>
        <sz val="10"/>
        <color rgb="FF000000"/>
        <rFont val="Arial"/>
        <family val="0"/>
        <charset val="1"/>
      </rPr>
      <t xml:space="preserve">▼ 14.5% </t>
    </r>
    <r>
      <rPr>
        <sz val="10"/>
        <color rgb="FF000000"/>
        <rFont val="DejaVu Sans"/>
        <family val="2"/>
      </rPr>
      <t xml:space="preserve">열위</t>
    </r>
  </si>
  <si>
    <r>
      <rPr>
        <sz val="10"/>
        <color rgb="FF000000"/>
        <rFont val="Arial"/>
        <family val="0"/>
        <charset val="1"/>
      </rPr>
      <t xml:space="preserve">▲ 0.7% </t>
    </r>
    <r>
      <rPr>
        <sz val="10"/>
        <color rgb="FF000000"/>
        <rFont val="DejaVu Sans"/>
        <family val="2"/>
      </rPr>
      <t xml:space="preserve">우위 </t>
    </r>
    <r>
      <rPr>
        <sz val="10"/>
        <color rgb="FF000000"/>
        <rFont val="Arial"/>
        <family val="0"/>
        <charset val="1"/>
      </rPr>
      <t xml:space="preserve">($0.576 </t>
    </r>
    <r>
      <rPr>
        <sz val="10"/>
        <color rgb="FF000000"/>
        <rFont val="DejaVu Sans"/>
        <family val="2"/>
      </rPr>
      <t xml:space="preserve">시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</si>
  <si>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375623"/>
        <rFont val="DejaVu Sans"/>
        <family val="2"/>
      </rPr>
      <t xml:space="preserve">★ 기본 시나리오 가격 역전</t>
    </r>
    <r>
      <rPr>
        <b val="true"/>
        <sz val="10"/>
        <color rgb="FF375623"/>
        <rFont val="DejaVu Sans"/>
        <family val="2"/>
        <charset val="1"/>
      </rPr>
      <t xml:space="preserve">!</t>
    </r>
  </si>
  <si>
    <r>
      <rPr>
        <b val="true"/>
        <sz val="10"/>
        <color rgb="FF375623"/>
        <rFont val="DejaVu Sans"/>
        <family val="2"/>
      </rPr>
      <t xml:space="preserve">★ 핵심 발견</t>
    </r>
    <r>
      <rPr>
        <b val="true"/>
        <sz val="10"/>
        <color rgb="FF375623"/>
        <rFont val="DejaVu Sans"/>
        <family val="2"/>
        <charset val="1"/>
      </rPr>
      <t xml:space="preserve">: </t>
    </r>
    <r>
      <rPr>
        <b val="true"/>
        <sz val="10"/>
        <color rgb="FF375623"/>
        <rFont val="DejaVu Sans"/>
        <family val="2"/>
      </rPr>
      <t xml:space="preserve">자동화 </t>
    </r>
    <r>
      <rPr>
        <b val="true"/>
        <sz val="10"/>
        <color rgb="FF375623"/>
        <rFont val="DejaVu Sans"/>
        <family val="2"/>
        <charset val="1"/>
      </rPr>
      <t xml:space="preserve">Phase 2(10%) </t>
    </r>
    <r>
      <rPr>
        <b val="true"/>
        <sz val="10"/>
        <color rgb="FF375623"/>
        <rFont val="DejaVu Sans"/>
        <family val="2"/>
      </rPr>
      <t xml:space="preserve">완성 후 </t>
    </r>
    <r>
      <rPr>
        <b val="true"/>
        <sz val="10"/>
        <color rgb="FF375623"/>
        <rFont val="DejaVu Sans"/>
        <family val="2"/>
        <charset val="1"/>
      </rPr>
      <t xml:space="preserve">$0.576 all-in </t>
    </r>
    <r>
      <rPr>
        <b val="true"/>
        <sz val="10"/>
        <color rgb="FF375623"/>
        <rFont val="DejaVu Sans"/>
        <family val="2"/>
      </rPr>
      <t xml:space="preserve">제안 시 중국 기본 추정가</t>
    </r>
    <r>
      <rPr>
        <b val="true"/>
        <sz val="10"/>
        <color rgb="FF375623"/>
        <rFont val="DejaVu Sans"/>
        <family val="2"/>
        <charset val="1"/>
      </rPr>
      <t xml:space="preserve">($0.58)</t>
    </r>
    <r>
      <rPr>
        <b val="true"/>
        <sz val="10"/>
        <color rgb="FF375623"/>
        <rFont val="DejaVu Sans"/>
        <family val="2"/>
      </rPr>
      <t xml:space="preserve">보다 낮아져 가격 경쟁력 기술적 역전 달성</t>
    </r>
    <r>
      <rPr>
        <b val="true"/>
        <sz val="10"/>
        <color rgb="FF375623"/>
        <rFont val="DejaVu Sans"/>
        <family val="2"/>
        <charset val="1"/>
      </rPr>
      <t xml:space="preserve">. </t>
    </r>
    <r>
      <rPr>
        <b val="true"/>
        <sz val="10"/>
        <color rgb="FF375623"/>
        <rFont val="DejaVu Sans"/>
        <family val="2"/>
      </rPr>
      <t xml:space="preserve">단</t>
    </r>
    <r>
      <rPr>
        <b val="true"/>
        <sz val="10"/>
        <color rgb="FF375623"/>
        <rFont val="DejaVu Sans"/>
        <family val="2"/>
        <charset val="1"/>
      </rPr>
      <t xml:space="preserve">, 5% </t>
    </r>
    <r>
      <rPr>
        <b val="true"/>
        <sz val="10"/>
        <color rgb="FF375623"/>
        <rFont val="DejaVu Sans"/>
        <family val="2"/>
      </rPr>
      <t xml:space="preserve">마진으로 재진입 시 </t>
    </r>
    <r>
      <rPr>
        <b val="true"/>
        <sz val="10"/>
        <color rgb="FF375623"/>
        <rFont val="DejaVu Sans"/>
        <family val="2"/>
        <charset val="1"/>
      </rPr>
      <t xml:space="preserve">A</t>
    </r>
    <r>
      <rPr>
        <b val="true"/>
        <sz val="10"/>
        <color rgb="FF375623"/>
        <rFont val="DejaVu Sans"/>
        <family val="2"/>
      </rPr>
      <t xml:space="preserve">안</t>
    </r>
    <r>
      <rPr>
        <b val="true"/>
        <sz val="10"/>
        <color rgb="FF375623"/>
        <rFont val="DejaVu Sans"/>
        <family val="2"/>
        <charset val="1"/>
      </rPr>
      <t xml:space="preserve">(</t>
    </r>
    <r>
      <rPr>
        <b val="true"/>
        <sz val="10"/>
        <color rgb="FF375623"/>
        <rFont val="DejaVu Sans"/>
        <family val="2"/>
      </rPr>
      <t xml:space="preserve">현상유지</t>
    </r>
    <r>
      <rPr>
        <b val="true"/>
        <sz val="10"/>
        <color rgb="FF375623"/>
        <rFont val="DejaVu Sans"/>
        <family val="2"/>
        <charset val="1"/>
      </rPr>
      <t xml:space="preserve">) </t>
    </r>
    <r>
      <rPr>
        <b val="true"/>
        <sz val="10"/>
        <color rgb="FF375623"/>
        <rFont val="DejaVu Sans"/>
        <family val="2"/>
      </rPr>
      <t xml:space="preserve">대비 전사 이익 여전히 열위</t>
    </r>
    <r>
      <rPr>
        <b val="true"/>
        <sz val="10"/>
        <color rgb="FF375623"/>
        <rFont val="DejaVu Sans"/>
        <family val="2"/>
        <charset val="1"/>
      </rPr>
      <t xml:space="preserve">.</t>
    </r>
  </si>
  <si>
    <r>
      <rPr>
        <b val="true"/>
        <sz val="12"/>
        <color rgb="FFFFFFFF"/>
        <rFont val="DejaVu Sans"/>
        <family val="2"/>
      </rPr>
      <t xml:space="preserve">  📈 금형 자동화 투자 </t>
    </r>
    <r>
      <rPr>
        <b val="true"/>
        <sz val="12"/>
        <color rgb="FFFFFFFF"/>
        <rFont val="DejaVu Sans"/>
        <family val="2"/>
        <charset val="1"/>
      </rPr>
      <t xml:space="preserve">ROI </t>
    </r>
    <r>
      <rPr>
        <b val="true"/>
        <sz val="12"/>
        <color rgb="FFFFFFFF"/>
        <rFont val="DejaVu Sans"/>
        <family val="2"/>
      </rPr>
      <t xml:space="preserve">분석 </t>
    </r>
    <r>
      <rPr>
        <b val="true"/>
        <sz val="12"/>
        <color rgb="FFFFFFFF"/>
        <rFont val="DejaVu Sans"/>
        <family val="2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세그먼트별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</si>
  <si>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1. </t>
    </r>
    <r>
      <rPr>
        <b val="true"/>
        <sz val="11"/>
        <color rgb="FFFFFFFF"/>
        <rFont val="DejaVu Sans"/>
        <family val="2"/>
      </rPr>
      <t xml:space="preserve">세그먼트별 원가 절감 효과 </t>
    </r>
    <r>
      <rPr>
        <b val="true"/>
        <sz val="11"/>
        <color rgb="FFFFFFFF"/>
        <rFont val="Arial"/>
        <family val="0"/>
        <charset val="1"/>
      </rPr>
      <t xml:space="preserve">(10% </t>
    </r>
    <r>
      <rPr>
        <b val="true"/>
        <sz val="11"/>
        <color rgb="FFFFFFFF"/>
        <rFont val="DejaVu Sans"/>
        <family val="2"/>
      </rPr>
      <t xml:space="preserve">원가 절감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</si>
  <si>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현재 매출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</si>
  <si>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DejaVu Sans"/>
        <family val="2"/>
      </rPr>
      <t xml:space="preserve">현재</t>
    </r>
    <r>
      <rPr>
        <b val="true"/>
        <sz val="10"/>
        <color rgb="FFFFFFFF"/>
        <rFont val="DejaVu Sans"/>
        <family val="2"/>
        <charset val="1"/>
      </rPr>
      <t xml:space="preserve">
</t>
    </r>
    <r>
      <rPr>
        <b val="true"/>
        <sz val="10"/>
        <color rgb="FFFFFFFF"/>
        <rFont val="DejaVu Sans"/>
        <family val="2"/>
      </rPr>
      <t xml:space="preserve">이익률</t>
    </r>
  </si>
  <si>
    <r>
      <rPr>
        <b val="true"/>
        <sz val="10"/>
        <color rgb="FFFFFFFF"/>
        <rFont val="DejaVu Sans"/>
        <family val="2"/>
      </rPr>
      <t xml:space="preserve">현재</t>
    </r>
    <r>
      <rPr>
        <b val="true"/>
        <sz val="10"/>
        <color rgb="FFFFFFFF"/>
        <rFont val="DejaVu Sans"/>
        <family val="2"/>
        <charset val="1"/>
      </rPr>
      <t xml:space="preserve">
</t>
    </r>
    <r>
      <rPr>
        <b val="true"/>
        <sz val="10"/>
        <color rgb="FFFFFFFF"/>
        <rFont val="DejaVu Sans"/>
        <family val="2"/>
      </rPr>
      <t xml:space="preserve">이익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</si>
  <si>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DejaVu Sans"/>
        <family val="2"/>
      </rPr>
      <t xml:space="preserve">현재 원가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</si>
  <si>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DejaVu Sans"/>
        <family val="2"/>
      </rPr>
      <t xml:space="preserve">자동화 후</t>
    </r>
    <r>
      <rPr>
        <b val="true"/>
        <sz val="10"/>
        <color rgb="FFFFFFFF"/>
        <rFont val="DejaVu Sans"/>
        <family val="2"/>
        <charset val="1"/>
      </rPr>
      <t xml:space="preserve">
</t>
    </r>
    <r>
      <rPr>
        <b val="true"/>
        <sz val="10"/>
        <color rgb="FFFFFFFF"/>
        <rFont val="DejaVu Sans"/>
        <family val="2"/>
      </rPr>
      <t xml:space="preserve">원가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</si>
  <si>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DejaVu Sans"/>
        <family val="2"/>
      </rPr>
      <t xml:space="preserve">자동화 후</t>
    </r>
    <r>
      <rPr>
        <b val="true"/>
        <sz val="10"/>
        <color rgb="FFFFFFFF"/>
        <rFont val="DejaVu Sans"/>
        <family val="2"/>
        <charset val="1"/>
      </rPr>
      <t xml:space="preserve">
</t>
    </r>
    <r>
      <rPr>
        <b val="true"/>
        <sz val="10"/>
        <color rgb="FFFFFFFF"/>
        <rFont val="DejaVu Sans"/>
        <family val="2"/>
      </rPr>
      <t xml:space="preserve">이익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</si>
  <si>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b val="true"/>
        <sz val="10"/>
        <color rgb="FFFFFFFF"/>
        <rFont val="DejaVu Sans"/>
        <family val="2"/>
      </rPr>
      <t xml:space="preserve">이익 개선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</si>
  <si>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sz val="10"/>
        <color rgb="FF000000"/>
        <rFont val="DejaVu Sans"/>
        <family val="2"/>
      </rPr>
      <t xml:space="preserve">삼성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기존 </t>
    </r>
    <r>
      <rPr>
        <sz val="10"/>
        <color rgb="FF000000"/>
        <rFont val="DejaVu Sans"/>
        <family val="2"/>
        <charset val="1"/>
      </rPr>
      <t xml:space="preserve">5</t>
    </r>
    <r>
      <rPr>
        <sz val="10"/>
        <color rgb="FF000000"/>
        <rFont val="DejaVu Sans"/>
        <family val="2"/>
      </rPr>
      <t xml:space="preserve">개 모델</t>
    </r>
    <r>
      <rPr>
        <sz val="10"/>
        <color rgb="FF000000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</si>
  <si>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2. </t>
    </r>
    <r>
      <rPr>
        <b val="true"/>
        <sz val="11"/>
        <color rgb="FFFFFFFF"/>
        <rFont val="DejaVu Sans"/>
        <family val="2"/>
      </rPr>
      <t xml:space="preserve">투자 회수 분석</t>
    </r>
  </si>
  <si>
    <r>
      <rPr>
        <sz val="10"/>
        <color rgb="FF000000"/>
        <rFont val="DejaVu Sans"/>
        <family val="2"/>
      </rPr>
      <t xml:space="preserve">자동화 투자금 </t>
    </r>
    <r>
      <rPr>
        <sz val="10"/>
        <color rgb="FF000000"/>
        <rFont val="DejaVu Sans"/>
        <family val="2"/>
        <charset val="1"/>
      </rPr>
      <t xml:space="preserve">($K)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</si>
  <si>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년 투자 대비 수익률</t>
    </r>
  </si>
  <si>
    <r>
      <rPr>
        <b val="true"/>
        <sz val="11"/>
        <color rgb="FFFFFFFF"/>
        <rFont val="Arial"/>
        <family val="0"/>
        <charset val="1"/>
      </rPr>
      <t xml:space="preserve">  3. </t>
    </r>
    <r>
      <rPr>
        <b val="true"/>
        <sz val="11"/>
        <color rgb="FFFFFFFF"/>
        <rFont val="DejaVu Sans"/>
        <family val="2"/>
      </rPr>
      <t xml:space="preserve">자동화 이익 개선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DejaVu Sans"/>
        <family val="2"/>
      </rPr>
      <t xml:space="preserve">삼성 손실 이익 비교</t>
    </r>
  </si>
  <si>
    <r>
      <rPr>
        <b val="true"/>
        <sz val="10"/>
        <color rgb="FFFFFFFF"/>
        <rFont val="DejaVu Sans"/>
        <family val="2"/>
      </rPr>
      <t xml:space="preserve">금액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</si>
  <si>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r>
      <rPr>
        <sz val="10"/>
        <color rgb="FF000000"/>
        <rFont val="DejaVu Sans"/>
        <family val="2"/>
      </rPr>
      <t xml:space="preserve">삼성 신규 모델 손실 이익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연간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</si>
  <si>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모델 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개 </t>
    </r>
    <r>
      <rPr>
        <sz val="10"/>
        <color rgb="FF000000"/>
        <rFont val="DejaVu Sans"/>
        <family val="2"/>
        <charset val="1"/>
      </rPr>
      <t xml:space="preserve">× 15% </t>
    </r>
    <r>
      <rPr>
        <sz val="10"/>
        <color rgb="FF000000"/>
        <rFont val="DejaVu Sans"/>
        <family val="2"/>
      </rPr>
      <t xml:space="preserve">이익률</t>
    </r>
  </si>
  <si>
    <t xml:space="preserve">자동화 연간 이익 개선</t>
  </si>
  <si>
    <t xml:space="preserve">전사 세그먼트 합산</t>
  </si>
  <si>
    <r>
      <rPr>
        <b val="true"/>
        <sz val="10"/>
        <color rgb="FF000000"/>
        <rFont val="DejaVu Sans"/>
        <family val="2"/>
      </rPr>
      <t xml:space="preserve">배수 </t>
    </r>
    <r>
      <rPr>
        <b val="true"/>
        <sz val="10"/>
        <color rgb="FF000000"/>
        <rFont val="DejaVu Sans"/>
        <family val="2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자동화 개선 </t>
    </r>
    <r>
      <rPr>
        <b val="true"/>
        <sz val="10"/>
        <color rgb="FF000000"/>
        <rFont val="DejaVu Sans"/>
        <family val="2"/>
        <charset val="1"/>
      </rPr>
      <t xml:space="preserve">÷ </t>
    </r>
    <r>
      <rPr>
        <b val="true"/>
        <sz val="10"/>
        <color rgb="FF000000"/>
        <rFont val="DejaVu Sans"/>
        <family val="2"/>
      </rPr>
      <t xml:space="preserve">삼성 손실</t>
    </r>
    <r>
      <rPr>
        <b val="true"/>
        <sz val="10"/>
        <color rgb="FF000000"/>
        <rFont val="DejaVu Sans"/>
        <family val="2"/>
        <charset val="1"/>
      </rPr>
      <t xml:space="preserve">)</t>
    </r>
  </si>
  <si>
    <t xml:space="preserve">몇 배나 상쇄하는가</t>
  </si>
  <si>
    <r>
      <rPr>
        <b val="true"/>
        <sz val="10"/>
        <color rgb="FF7B5800"/>
        <rFont val="DejaVu Sans"/>
        <family val="2"/>
      </rPr>
      <t xml:space="preserve">★ 자동화 연간 이익 개선이 삼성 손실 이익의 약 </t>
    </r>
    <r>
      <rPr>
        <b val="true"/>
        <sz val="10"/>
        <color rgb="FF7B5800"/>
        <rFont val="DejaVu Sans"/>
        <family val="2"/>
        <charset val="1"/>
      </rPr>
      <t xml:space="preserve">15~16</t>
    </r>
    <r>
      <rPr>
        <b val="true"/>
        <sz val="10"/>
        <color rgb="FF7B5800"/>
        <rFont val="DejaVu Sans"/>
        <family val="2"/>
      </rPr>
      <t xml:space="preserve">배에 달한다</t>
    </r>
    <r>
      <rPr>
        <b val="true"/>
        <sz val="10"/>
        <color rgb="FF7B5800"/>
        <rFont val="DejaVu Sans"/>
        <family val="2"/>
        <charset val="1"/>
      </rPr>
      <t xml:space="preserve">. </t>
    </r>
    <r>
      <rPr>
        <b val="true"/>
        <sz val="10"/>
        <color rgb="FF7B5800"/>
        <rFont val="DejaVu Sans"/>
        <family val="2"/>
      </rPr>
      <t xml:space="preserve">삼성 수주를 전혀 회복하지 못해도 자동화 투자는 명확히 정당화된다</t>
    </r>
    <r>
      <rPr>
        <b val="true"/>
        <sz val="10"/>
        <color rgb="FF7B5800"/>
        <rFont val="DejaVu Sans"/>
        <family val="2"/>
        <charset val="1"/>
      </rPr>
      <t xml:space="preserve">.</t>
    </r>
  </si>
  <si>
    <r>
      <rPr>
        <b val="true"/>
        <sz val="12"/>
        <color rgb="FFFFFFFF"/>
        <rFont val="DejaVu Sans"/>
        <family val="2"/>
      </rPr>
      <t xml:space="preserve">  🎯 삼성 재진입 시나리오 분석 </t>
    </r>
    <r>
      <rPr>
        <b val="true"/>
        <sz val="12"/>
        <color rgb="FFFFFFFF"/>
        <rFont val="DejaVu Sans"/>
        <family val="2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자동화 완료 후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</si>
  <si>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1. </t>
    </r>
    <r>
      <rPr>
        <b val="true"/>
        <sz val="11"/>
        <color rgb="FFFFFFFF"/>
        <rFont val="DejaVu Sans"/>
        <family val="2"/>
      </rPr>
      <t xml:space="preserve">시나리오별 전사 이익 비교</t>
    </r>
  </si>
  <si>
    <r>
      <rPr>
        <b val="true"/>
        <sz val="10"/>
        <color rgb="FFFFFFFF"/>
        <rFont val="DejaVu Sans"/>
        <family val="2"/>
      </rPr>
      <t xml:space="preserve">삼성 제안가</t>
    </r>
    <r>
      <rPr>
        <b val="true"/>
        <sz val="10"/>
        <color rgb="FFFFFFFF"/>
        <rFont val="DejaVu Sans"/>
        <family val="2"/>
        <charset val="1"/>
      </rPr>
      <t xml:space="preserve">
(all-in,$/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</si>
  <si>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삼성 매출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</si>
  <si>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DejaVu Sans"/>
        <family val="2"/>
      </rPr>
      <t xml:space="preserve">삼성 이익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</si>
  <si>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DejaVu Sans"/>
        <family val="2"/>
      </rPr>
      <t xml:space="preserve">비삼성 이익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</si>
  <si>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DejaVu Sans"/>
        <family val="2"/>
      </rPr>
      <t xml:space="preserve">전사 이익</t>
    </r>
    <r>
      <rPr>
        <b val="true"/>
        <sz val="10"/>
        <color rgb="FFFFFFFF"/>
        <rFont val="DejaVu Sans"/>
        <family val="2"/>
        <charset val="1"/>
      </rPr>
      <t xml:space="preserve">
($K)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</si>
  <si>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안 대비</t>
    </r>
    <r>
      <rPr>
        <b val="true"/>
        <sz val="10"/>
        <color rgb="FFFFFFFF"/>
        <rFont val="Arial"/>
        <family val="0"/>
        <charset val="1"/>
      </rPr>
      <t xml:space="preserve">
($K)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</si>
  <si>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저가 재진입 </t>
    </r>
    <r>
      <rPr>
        <sz val="10"/>
        <color rgb="FF000000"/>
        <rFont val="Arial"/>
        <family val="0"/>
        <charset val="1"/>
      </rPr>
      <t xml:space="preserve">($0.553)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</si>
  <si>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중간가 재진입 </t>
    </r>
    <r>
      <rPr>
        <sz val="10"/>
        <color rgb="FF000000"/>
        <rFont val="Arial"/>
        <family val="0"/>
        <charset val="1"/>
      </rPr>
      <t xml:space="preserve">($0.583)</t>
    </r>
  </si>
  <si>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현재가 재진입 </t>
    </r>
    <r>
      <rPr>
        <sz val="10"/>
        <color rgb="FF000000"/>
        <rFont val="Arial"/>
        <family val="0"/>
        <charset val="1"/>
      </rPr>
      <t xml:space="preserve">($0.618)</t>
    </r>
  </si>
  <si>
    <r>
      <rPr>
        <b val="true"/>
        <sz val="11"/>
        <color rgb="FFFFFFFF"/>
        <rFont val="Arial"/>
        <family val="0"/>
        <charset val="1"/>
      </rPr>
      <t xml:space="preserve">  2. </t>
    </r>
    <r>
      <rPr>
        <b val="true"/>
        <sz val="11"/>
        <color rgb="FFFFFFFF"/>
        <rFont val="DejaVu Sans"/>
        <family val="2"/>
      </rPr>
      <t xml:space="preserve">재진입이 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DejaVu Sans"/>
        <family val="2"/>
      </rPr>
      <t xml:space="preserve">안보다 유리해지는 최소 마진 계산</t>
    </r>
  </si>
  <si>
    <t xml:space="preserve">값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</si>
  <si>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안 전사 이익 </t>
    </r>
    <r>
      <rPr>
        <sz val="10"/>
        <color rgb="FF000000"/>
        <rFont val="Arial"/>
        <family val="0"/>
        <charset val="1"/>
      </rPr>
      <t xml:space="preserve">($K)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</si>
  <si>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안 현상유지 기준값</t>
    </r>
  </si>
  <si>
    <r>
      <rPr>
        <sz val="10"/>
        <color rgb="FF000000"/>
        <rFont val="DejaVu Sans"/>
        <family val="2"/>
      </rPr>
      <t xml:space="preserve">재진입 필요 삼성 이익 </t>
    </r>
    <r>
      <rPr>
        <sz val="10"/>
        <color rgb="FF000000"/>
        <rFont val="DejaVu Sans"/>
        <family val="2"/>
        <charset val="1"/>
      </rPr>
      <t xml:space="preserve">($K)</t>
    </r>
  </si>
  <si>
    <r>
      <rPr>
        <i val="true"/>
        <sz val="10"/>
        <color rgb="FF595959"/>
        <rFont val="Arial"/>
        <family val="0"/>
        <charset val="1"/>
      </rPr>
      <t xml:space="preserve">a</t>
    </r>
    <r>
      <rPr>
        <i val="true"/>
        <sz val="10"/>
        <color rgb="FF595959"/>
        <rFont val="DejaVu Sans"/>
        <family val="2"/>
      </rPr>
      <t xml:space="preserve">안 이익 </t>
    </r>
    <r>
      <rPr>
        <i val="true"/>
        <sz val="10"/>
        <color rgb="FF595959"/>
        <rFont val="Arial"/>
        <family val="0"/>
        <charset val="1"/>
      </rPr>
      <t xml:space="preserve">- </t>
    </r>
    <r>
      <rPr>
        <i val="true"/>
        <sz val="10"/>
        <color rgb="FF595959"/>
        <rFont val="DejaVu Sans"/>
        <family val="2"/>
      </rPr>
      <t xml:space="preserve">비삼성 이익</t>
    </r>
  </si>
  <si>
    <t xml:space="preserve">최소 삼성 마진</t>
  </si>
  <si>
    <r>
      <rPr>
        <sz val="10"/>
        <color rgb="FF000000"/>
        <rFont val="Arial"/>
        <family val="0"/>
        <charset val="1"/>
      </rPr>
      <t xml:space="preserve">≈ 18.4% </t>
    </r>
    <r>
      <rPr>
        <sz val="10"/>
        <color rgb="FF000000"/>
        <rFont val="DejaVu Sans"/>
        <family val="2"/>
      </rPr>
      <t xml:space="preserve">필요</t>
    </r>
  </si>
  <si>
    <r>
      <rPr>
        <sz val="10"/>
        <color rgb="FF000000"/>
        <rFont val="DejaVu Sans"/>
        <family val="2"/>
      </rPr>
      <t xml:space="preserve">최소 재진입 단가 </t>
    </r>
    <r>
      <rPr>
        <sz val="10"/>
        <color rgb="FF000000"/>
        <rFont val="DejaVu Sans"/>
        <family val="2"/>
        <charset val="1"/>
      </rPr>
      <t xml:space="preserve">($/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, all-in)</t>
    </r>
  </si>
  <si>
    <r>
      <rPr>
        <i val="true"/>
        <sz val="10"/>
        <color rgb="FF595959"/>
        <rFont val="DejaVu Sans"/>
        <family val="2"/>
      </rPr>
      <t xml:space="preserve">원가</t>
    </r>
    <r>
      <rPr>
        <i val="true"/>
        <sz val="10"/>
        <color rgb="FF595959"/>
        <rFont val="DejaVu Sans"/>
        <family val="2"/>
        <charset val="1"/>
      </rPr>
      <t xml:space="preserve">÷(1-</t>
    </r>
    <r>
      <rPr>
        <i val="true"/>
        <sz val="10"/>
        <color rgb="FF595959"/>
        <rFont val="DejaVu Sans"/>
        <family val="2"/>
      </rPr>
      <t xml:space="preserve">최소마진</t>
    </r>
    <r>
      <rPr>
        <i val="true"/>
        <sz val="10"/>
        <color rgb="FF595959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</si>
  <si>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중국 추정 단가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기본</t>
    </r>
    <r>
      <rPr>
        <sz val="10"/>
        <color rgb="FF000000"/>
        <rFont val="DejaVu Sans"/>
        <family val="2"/>
        <charset val="1"/>
      </rPr>
      <t xml:space="preserve">, $/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DejaVu Sans"/>
        <family val="2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</si>
  <si>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재진입 단가 </t>
    </r>
    <r>
      <rPr>
        <b val="true"/>
        <sz val="10"/>
        <color rgb="FF000000"/>
        <rFont val="DejaVu Sans"/>
        <family val="2"/>
        <charset val="1"/>
      </rPr>
      <t xml:space="preserve">&gt; </t>
    </r>
    <r>
      <rPr>
        <b val="true"/>
        <sz val="10"/>
        <color rgb="FF000000"/>
        <rFont val="DejaVu Sans"/>
        <family val="2"/>
      </rPr>
      <t xml:space="preserve">중국 단가</t>
    </r>
  </si>
  <si>
    <t xml:space="preserve">결론</t>
  </si>
  <si>
    <r>
      <rPr>
        <b val="true"/>
        <sz val="10"/>
        <color rgb="FF7B5800"/>
        <rFont val="DejaVu Sans"/>
        <family val="2"/>
      </rPr>
      <t xml:space="preserve">결론</t>
    </r>
    <r>
      <rPr>
        <b val="true"/>
        <sz val="10"/>
        <color rgb="FF7B5800"/>
        <rFont val="DejaVu Sans"/>
        <family val="2"/>
        <charset val="1"/>
      </rPr>
      <t xml:space="preserve">: </t>
    </r>
    <r>
      <rPr>
        <b val="true"/>
        <sz val="10"/>
        <color rgb="FF7B5800"/>
        <rFont val="DejaVu Sans"/>
        <family val="2"/>
      </rPr>
      <t xml:space="preserve">재진입 시 </t>
    </r>
    <r>
      <rPr>
        <b val="true"/>
        <sz val="10"/>
        <color rgb="FF7B5800"/>
        <rFont val="DejaVu Sans"/>
        <family val="2"/>
        <charset val="1"/>
      </rPr>
      <t xml:space="preserve">A</t>
    </r>
    <r>
      <rPr>
        <b val="true"/>
        <sz val="10"/>
        <color rgb="FF7B5800"/>
        <rFont val="DejaVu Sans"/>
        <family val="2"/>
      </rPr>
      <t xml:space="preserve">안보다 유리하려면 이익률 </t>
    </r>
    <r>
      <rPr>
        <b val="true"/>
        <sz val="10"/>
        <color rgb="FF7B5800"/>
        <rFont val="DejaVu Sans"/>
        <family val="2"/>
        <charset val="1"/>
      </rPr>
      <t xml:space="preserve">20.3% </t>
    </r>
    <r>
      <rPr>
        <b val="true"/>
        <sz val="10"/>
        <color rgb="FF7B5800"/>
        <rFont val="DejaVu Sans"/>
        <family val="2"/>
      </rPr>
      <t xml:space="preserve">이상이 필요하나</t>
    </r>
    <r>
      <rPr>
        <b val="true"/>
        <sz val="10"/>
        <color rgb="FF7B5800"/>
        <rFont val="DejaVu Sans"/>
        <family val="2"/>
        <charset val="1"/>
      </rPr>
      <t xml:space="preserve">, </t>
    </r>
    <r>
      <rPr>
        <b val="true"/>
        <sz val="10"/>
        <color rgb="FF7B5800"/>
        <rFont val="DejaVu Sans"/>
        <family val="2"/>
      </rPr>
      <t xml:space="preserve">이는 최소 </t>
    </r>
    <r>
      <rPr>
        <b val="true"/>
        <sz val="10"/>
        <color rgb="FF7B5800"/>
        <rFont val="DejaVu Sans"/>
        <family val="2"/>
        <charset val="1"/>
      </rPr>
      <t xml:space="preserve">$0.6703/</t>
    </r>
    <r>
      <rPr>
        <b val="true"/>
        <sz val="10"/>
        <color rgb="FF7B5800"/>
        <rFont val="DejaVu Sans"/>
        <family val="2"/>
      </rPr>
      <t xml:space="preserve">개</t>
    </r>
    <r>
      <rPr>
        <b val="true"/>
        <sz val="10"/>
        <color rgb="FF7B5800"/>
        <rFont val="DejaVu Sans"/>
        <family val="2"/>
        <charset val="1"/>
      </rPr>
      <t xml:space="preserve">(all-in)</t>
    </r>
    <r>
      <rPr>
        <b val="true"/>
        <sz val="10"/>
        <color rgb="FF7B5800"/>
        <rFont val="DejaVu Sans"/>
        <family val="2"/>
      </rPr>
      <t xml:space="preserve">로 중국 기본</t>
    </r>
    <r>
      <rPr>
        <b val="true"/>
        <sz val="10"/>
        <color rgb="FF7B5800"/>
        <rFont val="DejaVu Sans"/>
        <family val="2"/>
        <charset val="1"/>
      </rPr>
      <t xml:space="preserve">($0.58)</t>
    </r>
    <r>
      <rPr>
        <b val="true"/>
        <sz val="10"/>
        <color rgb="FF7B5800"/>
        <rFont val="DejaVu Sans"/>
        <family val="2"/>
      </rPr>
      <t xml:space="preserve">보다 비싸 수주 자체가 불가능하다</t>
    </r>
    <r>
      <rPr>
        <b val="true"/>
        <sz val="10"/>
        <color rgb="FF7B5800"/>
        <rFont val="DejaVu Sans"/>
        <family val="2"/>
        <charset val="1"/>
      </rPr>
      <t xml:space="preserve">. → </t>
    </r>
    <r>
      <rPr>
        <b val="true"/>
        <sz val="10"/>
        <color rgb="FF7B5800"/>
        <rFont val="DejaVu Sans"/>
        <family val="2"/>
      </rPr>
      <t xml:space="preserve">가격 경쟁 재진입 전략은 전사 이익을 파괴한다</t>
    </r>
    <r>
      <rPr>
        <b val="true"/>
        <sz val="10"/>
        <color rgb="FF7B5800"/>
        <rFont val="DejaVu Sans"/>
        <family val="2"/>
        <charset val="1"/>
      </rPr>
      <t xml:space="preserve">.</t>
    </r>
  </si>
  <si>
    <r>
      <rPr>
        <b val="true"/>
        <sz val="12"/>
        <color rgb="FFFFFFFF"/>
        <rFont val="DejaVu Sans"/>
        <family val="2"/>
      </rPr>
      <t xml:space="preserve">  🔍 비가격 요인 분석 — 왜 국내 최저가로도 전체 탈락했는가</t>
    </r>
    <r>
      <rPr>
        <b val="true"/>
        <sz val="12"/>
        <color rgb="FFFFFFFF"/>
        <rFont val="DejaVu Sans"/>
        <family val="2"/>
        <charset val="1"/>
      </rPr>
      <t xml:space="preserve">?</t>
    </r>
  </si>
  <si>
    <r>
      <rPr>
        <b val="true"/>
        <sz val="11"/>
        <color rgb="FFFFFFFF"/>
        <rFont val="DejaVu Sans"/>
        <family val="2"/>
      </rPr>
      <t xml:space="preserve">  이상 신호</t>
    </r>
    <r>
      <rPr>
        <b val="true"/>
        <sz val="11"/>
        <color rgb="FFFFFFFF"/>
        <rFont val="DejaVu Sans"/>
        <family val="2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국내 최저가 입찰</t>
    </r>
    <r>
      <rPr>
        <b val="true"/>
        <sz val="11"/>
        <color rgb="FFFFFFFF"/>
        <rFont val="DejaVu Sans"/>
        <family val="2"/>
        <charset val="1"/>
      </rPr>
      <t xml:space="preserve">($0.630) → 3</t>
    </r>
    <r>
      <rPr>
        <b val="true"/>
        <sz val="11"/>
        <color rgb="FFFFFFFF"/>
        <rFont val="DejaVu Sans"/>
        <family val="2"/>
      </rPr>
      <t xml:space="preserve">개 사출 벤더 동시 탈락</t>
    </r>
  </si>
  <si>
    <r>
      <rPr>
        <b val="true"/>
        <sz val="10"/>
        <color rgb="FF7B5800"/>
        <rFont val="DejaVu Sans"/>
        <family val="2"/>
      </rPr>
      <t xml:space="preserve">정상적인 가격 경쟁이었다면 최소 </t>
    </r>
    <r>
      <rPr>
        <b val="true"/>
        <sz val="10"/>
        <color rgb="FF7B5800"/>
        <rFont val="DejaVu Sans"/>
        <family val="2"/>
        <charset val="1"/>
      </rPr>
      <t xml:space="preserve">1~2</t>
    </r>
    <r>
      <rPr>
        <b val="true"/>
        <sz val="10"/>
        <color rgb="FF7B5800"/>
        <rFont val="DejaVu Sans"/>
        <family val="2"/>
      </rPr>
      <t xml:space="preserve">개 벤더는 당사를 유지했어야 한다</t>
    </r>
    <r>
      <rPr>
        <b val="true"/>
        <sz val="10"/>
        <color rgb="FF7B5800"/>
        <rFont val="DejaVu Sans"/>
        <family val="2"/>
        <charset val="1"/>
      </rPr>
      <t xml:space="preserve">. 3</t>
    </r>
    <r>
      <rPr>
        <b val="true"/>
        <sz val="10"/>
        <color rgb="FF7B5800"/>
        <rFont val="DejaVu Sans"/>
        <family val="2"/>
      </rPr>
      <t xml:space="preserve">개 벤더 동시 탈락은 개별 의사결정이 아닌 외부 지시 또는 구조적 요인의 신호다</t>
    </r>
    <r>
      <rPr>
        <b val="true"/>
        <sz val="10"/>
        <color rgb="FF7B5800"/>
        <rFont val="DejaVu Sans"/>
        <family val="2"/>
        <charset val="1"/>
      </rPr>
      <t xml:space="preserve">.</t>
    </r>
  </si>
  <si>
    <t xml:space="preserve">  가설별 신뢰도 및 대응 전략</t>
  </si>
  <si>
    <t xml:space="preserve">가설</t>
  </si>
  <si>
    <t xml:space="preserve">설명</t>
  </si>
  <si>
    <t xml:space="preserve">신뢰도</t>
  </si>
  <si>
    <t xml:space="preserve">매출 회복 가능성</t>
  </si>
  <si>
    <t xml:space="preserve">즉시 확인 방법</t>
  </si>
  <si>
    <r>
      <rPr>
        <b val="true"/>
        <sz val="10"/>
        <color rgb="FF000000"/>
        <rFont val="Arial"/>
        <family val="0"/>
        <charset val="1"/>
      </rPr>
      <t xml:space="preserve">H1. </t>
    </r>
    <r>
      <rPr>
        <b val="true"/>
        <sz val="10"/>
        <color rgb="FF000000"/>
        <rFont val="DejaVu Sans"/>
        <family val="2"/>
      </rPr>
      <t xml:space="preserve">삼성 탑다운 지시</t>
    </r>
  </si>
  <si>
    <r>
      <rPr>
        <sz val="10"/>
        <color rgb="FF000000"/>
        <rFont val="DejaVu Sans"/>
        <family val="2"/>
      </rPr>
      <t xml:space="preserve">삼성 구매팀이 신규 모델 캐스팅 벤더를 중국 업체로 직접 지정</t>
    </r>
    <r>
      <rPr>
        <sz val="10"/>
        <color rgb="FF000000"/>
        <rFont val="DejaVu Sans"/>
        <family val="2"/>
        <charset val="1"/>
      </rPr>
      <t xml:space="preserve">.
→ 사출 벤더 3</t>
    </r>
    <r>
      <rPr>
        <sz val="10"/>
        <color rgb="FF000000"/>
        <rFont val="DejaVu Sans"/>
        <family val="2"/>
      </rPr>
      <t xml:space="preserve">개사는 지시를 따른 것</t>
    </r>
  </si>
  <si>
    <t xml:space="preserve">★★★★★</t>
  </si>
  <si>
    <t xml:space="preserve">삼성 정책 변화 시만 가능</t>
  </si>
  <si>
    <r>
      <rPr>
        <sz val="10"/>
        <color rgb="FF000000"/>
        <rFont val="DejaVu Sans"/>
        <family val="2"/>
      </rPr>
      <t xml:space="preserve">사출 벤더 담당자 면담
→ 자체 결정 </t>
    </r>
    <r>
      <rPr>
        <sz val="10"/>
        <color rgb="FF000000"/>
        <rFont val="DejaVu Sans"/>
        <family val="2"/>
        <charset val="1"/>
      </rPr>
      <t xml:space="preserve">vs </t>
    </r>
    <r>
      <rPr>
        <sz val="10"/>
        <color rgb="FF000000"/>
        <rFont val="DejaVu Sans"/>
        <family val="2"/>
      </rPr>
      <t xml:space="preserve">삼성 지시 확인</t>
    </r>
  </si>
  <si>
    <r>
      <rPr>
        <b val="true"/>
        <sz val="10"/>
        <color rgb="FF000000"/>
        <rFont val="Arial"/>
        <family val="0"/>
        <charset val="1"/>
      </rPr>
      <t xml:space="preserve">H2. SJ </t>
    </r>
    <r>
      <rPr>
        <b val="true"/>
        <sz val="10"/>
        <color rgb="FF000000"/>
        <rFont val="DejaVu Sans"/>
        <family val="2"/>
      </rPr>
      <t xml:space="preserve">주도 도입</t>
    </r>
  </si>
  <si>
    <r>
      <rPr>
        <sz val="10"/>
        <color rgb="FF000000"/>
        <rFont val="Arial"/>
        <family val="0"/>
        <charset val="1"/>
      </rPr>
      <t xml:space="preserve">SJ(</t>
    </r>
    <r>
      <rPr>
        <sz val="10"/>
        <color rgb="FF000000"/>
        <rFont val="DejaVu Sans"/>
        <family val="2"/>
      </rPr>
      <t xml:space="preserve">삼성 공동개발사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가 중국 업체를 삼성에 소개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인증 주도</t>
    </r>
    <r>
      <rPr>
        <sz val="10"/>
        <color rgb="FF000000"/>
        <rFont val="Arial"/>
        <family val="0"/>
        <charset val="1"/>
      </rPr>
      <t xml:space="preserve">.
→ 삼성 승인 후 전 벤더에 적용</t>
    </r>
  </si>
  <si>
    <t xml:space="preserve">★★★★</t>
  </si>
  <si>
    <r>
      <rPr>
        <sz val="10"/>
        <color rgb="FF000000"/>
        <rFont val="Arial"/>
        <family val="0"/>
        <charset val="1"/>
      </rPr>
      <t xml:space="preserve">SJ </t>
    </r>
    <r>
      <rPr>
        <sz val="10"/>
        <color rgb="FF000000"/>
        <rFont val="DejaVu Sans"/>
        <family val="2"/>
      </rPr>
      <t xml:space="preserve">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개 벤더 집중 공략 시</t>
    </r>
  </si>
  <si>
    <r>
      <rPr>
        <sz val="10"/>
        <color rgb="FF000000"/>
        <rFont val="Arial"/>
        <family val="0"/>
        <charset val="1"/>
      </rPr>
      <t xml:space="preserve">SJ </t>
    </r>
    <r>
      <rPr>
        <sz val="10"/>
        <color rgb="FF000000"/>
        <rFont val="DejaVu Sans"/>
        <family val="2"/>
      </rPr>
      <t xml:space="preserve">이번 모델 수주 여부 파악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업계 네트워크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</si>
  <si>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H3. </t>
    </r>
    <r>
      <rPr>
        <b val="true"/>
        <sz val="10"/>
        <color rgb="FF000000"/>
        <rFont val="DejaVu Sans"/>
        <family val="2"/>
      </rPr>
      <t xml:space="preserve">삼성 중국 공급망 전략</t>
    </r>
  </si>
  <si>
    <r>
      <rPr>
        <sz val="10"/>
        <color rgb="FF000000"/>
        <rFont val="DejaVu Sans"/>
        <family val="2"/>
      </rPr>
      <t xml:space="preserve">삼성 글로벌 비용절감 → 중국 부품사 비중 확대 정책</t>
    </r>
    <r>
      <rPr>
        <sz val="10"/>
        <color rgb="FF000000"/>
        <rFont val="DejaVu Sans"/>
        <family val="2"/>
        <charset val="1"/>
      </rPr>
      <t xml:space="preserve">.
→ 신규 모델부터 중국 의무 적용 단계적 추진</t>
    </r>
  </si>
  <si>
    <t xml:space="preserve">★★★</t>
  </si>
  <si>
    <t xml:space="preserve">삼성 정책 이원화 요구 시</t>
  </si>
  <si>
    <t xml:space="preserve">삼성 구매팀 정책 방향 비공식 파악</t>
  </si>
  <si>
    <r>
      <rPr>
        <b val="true"/>
        <sz val="10"/>
        <color rgb="FF000000"/>
        <rFont val="Arial"/>
        <family val="0"/>
        <charset val="1"/>
      </rPr>
      <t xml:space="preserve">H4. </t>
    </r>
    <r>
      <rPr>
        <b val="true"/>
        <sz val="10"/>
        <color rgb="FF000000"/>
        <rFont val="DejaVu Sans"/>
        <family val="2"/>
      </rPr>
      <t xml:space="preserve">중국 업체 패키지 딜</t>
    </r>
  </si>
  <si>
    <r>
      <rPr>
        <sz val="10"/>
        <color rgb="FF000000"/>
        <rFont val="DejaVu Sans"/>
        <family val="2"/>
      </rPr>
      <t xml:space="preserve">단가 外 조건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선투자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전용라인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기술이전 제안</t>
    </r>
    <r>
      <rPr>
        <sz val="10"/>
        <color rgb="FF000000"/>
        <rFont val="DejaVu Sans"/>
        <family val="2"/>
        <charset val="1"/>
      </rPr>
      <t xml:space="preserve">)</t>
    </r>
    <r>
      <rPr>
        <sz val="10"/>
        <color rgb="FF000000"/>
        <rFont val="DejaVu Sans"/>
        <family val="2"/>
      </rPr>
      <t xml:space="preserve">으로 삼성 설득</t>
    </r>
    <r>
      <rPr>
        <sz val="10"/>
        <color rgb="FF000000"/>
        <rFont val="DejaVu Sans"/>
        <family val="2"/>
        <charset val="1"/>
      </rPr>
      <t xml:space="preserve">.
→ 단순 가격 경쟁이 아닌 조건 패키지</t>
    </r>
  </si>
  <si>
    <t xml:space="preserve">당사도 패키지 제안 시 가능</t>
  </si>
  <si>
    <t xml:space="preserve">중국 업체 삼성 품질 승인 시점 확인</t>
  </si>
  <si>
    <r>
      <rPr>
        <b val="true"/>
        <sz val="10"/>
        <color rgb="FF000000"/>
        <rFont val="Arial"/>
        <family val="0"/>
        <charset val="1"/>
      </rPr>
      <t xml:space="preserve">H5. </t>
    </r>
    <r>
      <rPr>
        <b val="true"/>
        <sz val="10"/>
        <color rgb="FF000000"/>
        <rFont val="DejaVu Sans"/>
        <family val="2"/>
      </rPr>
      <t xml:space="preserve">순수 가격 차이</t>
    </r>
  </si>
  <si>
    <r>
      <rPr>
        <sz val="10"/>
        <color rgb="FF000000"/>
        <rFont val="DejaVu Sans"/>
        <family val="2"/>
      </rPr>
      <t xml:space="preserve">중국 업체가 모든 한국 벤더를 압도적으로 뛰어넘는 단가</t>
    </r>
    <r>
      <rPr>
        <sz val="10"/>
        <color rgb="FF000000"/>
        <rFont val="DejaVu Sans"/>
        <family val="2"/>
        <charset val="1"/>
      </rPr>
      <t xml:space="preserve">.
→ 국내 최저가도 중국에 크게 못 미침</t>
    </r>
  </si>
  <si>
    <t xml:space="preserve">★★</t>
  </si>
  <si>
    <t xml:space="preserve">자동화 완성 후 일부 가능</t>
  </si>
  <si>
    <t xml:space="preserve">중국 실제 제시 단가 파악</t>
  </si>
  <si>
    <r>
      <rPr>
        <b val="true"/>
        <sz val="11"/>
        <color rgb="FFFFFFFF"/>
        <rFont val="DejaVu Sans"/>
        <family val="2"/>
      </rPr>
      <t xml:space="preserve">  즉시 확인 액션 </t>
    </r>
    <r>
      <rPr>
        <b val="true"/>
        <sz val="11"/>
        <color rgb="FFFFFFFF"/>
        <rFont val="DejaVu Sans"/>
        <family val="2"/>
        <charset val="1"/>
      </rPr>
      <t xml:space="preserve">(2~4</t>
    </r>
    <r>
      <rPr>
        <b val="true"/>
        <sz val="11"/>
        <color rgb="FFFFFFFF"/>
        <rFont val="DejaVu Sans"/>
        <family val="2"/>
      </rPr>
      <t xml:space="preserve">주 내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</si>
  <si>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우선순위</t>
  </si>
  <si>
    <t xml:space="preserve">확인 사항</t>
  </si>
  <si>
    <t xml:space="preserve">확인 방법</t>
  </si>
  <si>
    <t xml:space="preserve">결과 해석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</si>
  <si>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DejaVu Sans"/>
        <family val="2"/>
      </rPr>
      <t xml:space="preserve">순위 🔴</t>
    </r>
  </si>
  <si>
    <r>
      <rPr>
        <sz val="10"/>
        <color rgb="FF000000"/>
        <rFont val="Arial"/>
        <family val="0"/>
        <charset val="1"/>
      </rPr>
      <t xml:space="preserve">SJ</t>
    </r>
    <r>
      <rPr>
        <sz val="10"/>
        <color rgb="FF000000"/>
        <rFont val="DejaVu Sans"/>
        <family val="2"/>
      </rPr>
      <t xml:space="preserve">가 이번 신규 모델 수주를 했는가</t>
    </r>
    <r>
      <rPr>
        <sz val="10"/>
        <color rgb="FF000000"/>
        <rFont val="Arial"/>
        <family val="0"/>
        <charset val="1"/>
      </rPr>
      <t xml:space="preserve">?</t>
    </r>
  </si>
  <si>
    <r>
      <rPr>
        <sz val="10"/>
        <color rgb="FF000000"/>
        <rFont val="DejaVu Sans"/>
        <family val="2"/>
      </rPr>
      <t xml:space="preserve">업계 네트워크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동종업계 인맥</t>
    </r>
  </si>
  <si>
    <r>
      <rPr>
        <sz val="10"/>
        <color rgb="FF000000"/>
        <rFont val="Arial"/>
        <family val="0"/>
        <charset val="1"/>
      </rPr>
      <t xml:space="preserve">SJ </t>
    </r>
    <r>
      <rPr>
        <sz val="10"/>
        <color rgb="FF000000"/>
        <rFont val="DejaVu Sans"/>
        <family val="2"/>
      </rPr>
      <t xml:space="preserve">탈락 → </t>
    </r>
    <r>
      <rPr>
        <sz val="10"/>
        <color rgb="FF000000"/>
        <rFont val="Arial"/>
        <family val="0"/>
        <charset val="1"/>
      </rPr>
      <t xml:space="preserve">H1(</t>
    </r>
    <r>
      <rPr>
        <sz val="10"/>
        <color rgb="FF000000"/>
        <rFont val="DejaVu Sans"/>
        <family val="2"/>
      </rPr>
      <t xml:space="preserve">삼성 탑다운</t>
    </r>
    <r>
      <rPr>
        <sz val="10"/>
        <color rgb="FF000000"/>
        <rFont val="Arial"/>
        <family val="0"/>
        <charset val="1"/>
      </rPr>
      <t xml:space="preserve">)
SJ </t>
    </r>
    <r>
      <rPr>
        <sz val="10"/>
        <color rgb="FF000000"/>
        <rFont val="DejaVu Sans"/>
        <family val="2"/>
      </rPr>
      <t xml:space="preserve">유지 → </t>
    </r>
    <r>
      <rPr>
        <sz val="10"/>
        <color rgb="FF000000"/>
        <rFont val="Arial"/>
        <family val="0"/>
        <charset val="1"/>
      </rPr>
      <t xml:space="preserve">H2(SJ </t>
    </r>
    <r>
      <rPr>
        <sz val="10"/>
        <color rgb="FF000000"/>
        <rFont val="DejaVu Sans"/>
        <family val="2"/>
      </rPr>
      <t xml:space="preserve">주도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</si>
  <si>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사출 벤더 교체 결정이 자체적이었나</t>
    </r>
    <r>
      <rPr>
        <sz val="10"/>
        <color rgb="FF000000"/>
        <rFont val="DejaVu Sans"/>
        <family val="2"/>
        <charset val="1"/>
      </rPr>
      <t xml:space="preserve">?
</t>
    </r>
    <r>
      <rPr>
        <sz val="10"/>
        <color rgb="FF000000"/>
        <rFont val="DejaVu Sans"/>
        <family val="2"/>
      </rPr>
      <t xml:space="preserve">아니면 삼성 지시였나</t>
    </r>
    <r>
      <rPr>
        <sz val="10"/>
        <color rgb="FF000000"/>
        <rFont val="DejaVu Sans"/>
        <family val="2"/>
        <charset val="1"/>
      </rPr>
      <t xml:space="preserve">?</t>
    </r>
  </si>
  <si>
    <r>
      <rPr>
        <sz val="10"/>
        <color rgb="FF000000"/>
        <rFont val="DejaVu Sans"/>
        <family val="2"/>
      </rPr>
      <t xml:space="preserve">기존 거래 사출 벤더 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개사 담당자 직접 면담</t>
    </r>
  </si>
  <si>
    <r>
      <rPr>
        <sz val="10"/>
        <color rgb="FF000000"/>
        <rFont val="DejaVu Sans"/>
        <family val="2"/>
      </rPr>
      <t xml:space="preserve">자체 결정 → </t>
    </r>
    <r>
      <rPr>
        <sz val="10"/>
        <color rgb="FF000000"/>
        <rFont val="DejaVu Sans"/>
        <family val="2"/>
        <charset val="1"/>
      </rPr>
      <t xml:space="preserve">H4/H5
</t>
    </r>
    <r>
      <rPr>
        <sz val="10"/>
        <color rgb="FF000000"/>
        <rFont val="DejaVu Sans"/>
        <family val="2"/>
      </rPr>
      <t xml:space="preserve">삼성 지시 → </t>
    </r>
    <r>
      <rPr>
        <sz val="10"/>
        <color rgb="FF000000"/>
        <rFont val="DejaVu Sans"/>
        <family val="2"/>
        <charset val="1"/>
      </rPr>
      <t xml:space="preserve">H1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</si>
  <si>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DejaVu Sans"/>
        <family val="2"/>
      </rPr>
      <t xml:space="preserve">순위 🟡</t>
    </r>
  </si>
  <si>
    <r>
      <rPr>
        <sz val="10"/>
        <color rgb="FF000000"/>
        <rFont val="DejaVu Sans"/>
        <family val="2"/>
      </rPr>
      <t xml:space="preserve">중국 업체의 삼성 품질 승인 취득 시점은</t>
    </r>
    <r>
      <rPr>
        <sz val="10"/>
        <color rgb="FF000000"/>
        <rFont val="DejaVu Sans"/>
        <family val="2"/>
        <charset val="1"/>
      </rPr>
      <t xml:space="preserve">?</t>
    </r>
  </si>
  <si>
    <r>
      <rPr>
        <sz val="10"/>
        <color rgb="FF000000"/>
        <rFont val="DejaVu Sans"/>
        <family val="2"/>
      </rPr>
      <t xml:space="preserve">삼성 품질팀 채널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무역 데이터</t>
    </r>
  </si>
  <si>
    <r>
      <rPr>
        <sz val="10"/>
        <color rgb="FF000000"/>
        <rFont val="DejaVu Sans"/>
        <family val="2"/>
      </rPr>
      <t xml:space="preserve">장기 준비 → </t>
    </r>
    <r>
      <rPr>
        <sz val="10"/>
        <color rgb="FF000000"/>
        <rFont val="DejaVu Sans"/>
        <family val="2"/>
        <charset val="1"/>
      </rPr>
      <t xml:space="preserve">H2/H3
</t>
    </r>
    <r>
      <rPr>
        <sz val="10"/>
        <color rgb="FF000000"/>
        <rFont val="DejaVu Sans"/>
        <family val="2"/>
      </rPr>
      <t xml:space="preserve">급진입 → </t>
    </r>
    <r>
      <rPr>
        <sz val="10"/>
        <color rgb="FF000000"/>
        <rFont val="DejaVu Sans"/>
        <family val="2"/>
        <charset val="1"/>
      </rPr>
      <t xml:space="preserve">H4</t>
    </r>
  </si>
  <si>
    <r>
      <rPr>
        <sz val="10"/>
        <color rgb="FF000000"/>
        <rFont val="DejaVu Sans"/>
        <family val="2"/>
      </rPr>
      <t xml:space="preserve">중국 업체와 </t>
    </r>
    <r>
      <rPr>
        <sz val="10"/>
        <color rgb="FF000000"/>
        <rFont val="DejaVu Sans"/>
        <family val="2"/>
        <charset val="1"/>
      </rPr>
      <t xml:space="preserve">SJ/</t>
    </r>
    <r>
      <rPr>
        <sz val="10"/>
        <color rgb="FF000000"/>
        <rFont val="DejaVu Sans"/>
        <family val="2"/>
      </rPr>
      <t xml:space="preserve">삼성의 사전 관계가 있나</t>
    </r>
    <r>
      <rPr>
        <sz val="10"/>
        <color rgb="FF000000"/>
        <rFont val="DejaVu Sans"/>
        <family val="2"/>
        <charset val="1"/>
      </rPr>
      <t xml:space="preserve">?</t>
    </r>
  </si>
  <si>
    <r>
      <rPr>
        <sz val="10"/>
        <color rgb="FF000000"/>
        <rFont val="DejaVu Sans"/>
        <family val="2"/>
      </rPr>
      <t xml:space="preserve">업계 네트워크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배경 조사</t>
    </r>
  </si>
  <si>
    <r>
      <rPr>
        <sz val="10"/>
        <color rgb="FF000000"/>
        <rFont val="DejaVu Sans"/>
        <family val="2"/>
      </rPr>
      <t xml:space="preserve">관계 있음 → </t>
    </r>
    <r>
      <rPr>
        <sz val="10"/>
        <color rgb="FF000000"/>
        <rFont val="DejaVu Sans"/>
        <family val="2"/>
        <charset val="1"/>
      </rPr>
      <t xml:space="preserve">H2 </t>
    </r>
    <r>
      <rPr>
        <sz val="10"/>
        <color rgb="FF000000"/>
        <rFont val="DejaVu Sans"/>
        <family val="2"/>
      </rPr>
      <t xml:space="preserve">확정</t>
    </r>
  </si>
  <si>
    <r>
      <rPr>
        <b val="true"/>
        <sz val="10"/>
        <color rgb="FF7B5800"/>
        <rFont val="DejaVu Sans"/>
        <family val="2"/>
      </rPr>
      <t xml:space="preserve">★ 투자 방향은 </t>
    </r>
    <r>
      <rPr>
        <b val="true"/>
        <sz val="10"/>
        <color rgb="FF7B5800"/>
        <rFont val="DejaVu Sans"/>
        <family val="2"/>
        <charset val="1"/>
      </rPr>
      <t xml:space="preserve">H1/H2 </t>
    </r>
    <r>
      <rPr>
        <b val="true"/>
        <sz val="10"/>
        <color rgb="FF7B5800"/>
        <rFont val="DejaVu Sans"/>
        <family val="2"/>
      </rPr>
      <t xml:space="preserve">여부에 따라 달라진다</t>
    </r>
    <r>
      <rPr>
        <b val="true"/>
        <sz val="10"/>
        <color rgb="FF7B5800"/>
        <rFont val="DejaVu Sans"/>
        <family val="2"/>
        <charset val="1"/>
      </rPr>
      <t xml:space="preserve">: [H1/H3 </t>
    </r>
    <r>
      <rPr>
        <b val="true"/>
        <sz val="10"/>
        <color rgb="FF7B5800"/>
        <rFont val="DejaVu Sans"/>
        <family val="2"/>
      </rPr>
      <t xml:space="preserve">확인 시</t>
    </r>
    <r>
      <rPr>
        <b val="true"/>
        <sz val="10"/>
        <color rgb="FF7B5800"/>
        <rFont val="DejaVu Sans"/>
        <family val="2"/>
        <charset val="1"/>
      </rPr>
      <t xml:space="preserve">] </t>
    </r>
    <r>
      <rPr>
        <b val="true"/>
        <sz val="10"/>
        <color rgb="FF7B5800"/>
        <rFont val="DejaVu Sans"/>
        <family val="2"/>
      </rPr>
      <t xml:space="preserve">비삼성 마진 강화에 집중 </t>
    </r>
    <r>
      <rPr>
        <b val="true"/>
        <sz val="10"/>
        <color rgb="FF7B5800"/>
        <rFont val="DejaVu Sans"/>
        <family val="2"/>
        <charset val="1"/>
      </rPr>
      <t xml:space="preserve">| [H2 </t>
    </r>
    <r>
      <rPr>
        <b val="true"/>
        <sz val="10"/>
        <color rgb="FF7B5800"/>
        <rFont val="DejaVu Sans"/>
        <family val="2"/>
      </rPr>
      <t xml:space="preserve">확인 시</t>
    </r>
    <r>
      <rPr>
        <b val="true"/>
        <sz val="10"/>
        <color rgb="FF7B5800"/>
        <rFont val="DejaVu Sans"/>
        <family val="2"/>
        <charset val="1"/>
      </rPr>
      <t xml:space="preserve">] SJ </t>
    </r>
    <r>
      <rPr>
        <b val="true"/>
        <sz val="10"/>
        <color rgb="FF7B5800"/>
        <rFont val="DejaVu Sans"/>
        <family val="2"/>
      </rPr>
      <t xml:space="preserve">外 </t>
    </r>
    <r>
      <rPr>
        <b val="true"/>
        <sz val="10"/>
        <color rgb="FF7B5800"/>
        <rFont val="DejaVu Sans"/>
        <family val="2"/>
        <charset val="1"/>
      </rPr>
      <t xml:space="preserve">2</t>
    </r>
    <r>
      <rPr>
        <b val="true"/>
        <sz val="10"/>
        <color rgb="FF7B5800"/>
        <rFont val="DejaVu Sans"/>
        <family val="2"/>
      </rPr>
      <t xml:space="preserve">개 벤더와 관계 강화 </t>
    </r>
    <r>
      <rPr>
        <b val="true"/>
        <sz val="10"/>
        <color rgb="FF7B5800"/>
        <rFont val="DejaVu Sans"/>
        <family val="2"/>
        <charset val="1"/>
      </rPr>
      <t xml:space="preserve">+ </t>
    </r>
    <r>
      <rPr>
        <b val="true"/>
        <sz val="10"/>
        <color rgb="FF7B5800"/>
        <rFont val="DejaVu Sans"/>
        <family val="2"/>
      </rPr>
      <t xml:space="preserve">자동화 </t>
    </r>
    <r>
      <rPr>
        <b val="true"/>
        <sz val="10"/>
        <color rgb="FF7B5800"/>
        <rFont val="DejaVu Sans"/>
        <family val="2"/>
        <charset val="1"/>
      </rPr>
      <t xml:space="preserve">| [H4/H5 </t>
    </r>
    <r>
      <rPr>
        <b val="true"/>
        <sz val="10"/>
        <color rgb="FF7B5800"/>
        <rFont val="DejaVu Sans"/>
        <family val="2"/>
      </rPr>
      <t xml:space="preserve">확인 시</t>
    </r>
    <r>
      <rPr>
        <b val="true"/>
        <sz val="10"/>
        <color rgb="FF7B5800"/>
        <rFont val="DejaVu Sans"/>
        <family val="2"/>
        <charset val="1"/>
      </rPr>
      <t xml:space="preserve">] </t>
    </r>
    <r>
      <rPr>
        <b val="true"/>
        <sz val="10"/>
        <color rgb="FF7B5800"/>
        <rFont val="DejaVu Sans"/>
        <family val="2"/>
      </rPr>
      <t xml:space="preserve">원래 계획대로 가격 경쟁력 강화</t>
    </r>
  </si>
  <si>
    <t xml:space="preserve">  🗺 전략 실행 로드맵</t>
  </si>
  <si>
    <t xml:space="preserve">  단계별 실행 계획 및 기대 성과</t>
  </si>
  <si>
    <t xml:space="preserve">시점</t>
  </si>
  <si>
    <t xml:space="preserve">단계</t>
  </si>
  <si>
    <t xml:space="preserve">실행 내용</t>
  </si>
  <si>
    <t xml:space="preserve">기대 성과</t>
  </si>
  <si>
    <t xml:space="preserve">재무 영향</t>
  </si>
  <si>
    <r>
      <rPr>
        <b val="true"/>
        <sz val="10"/>
        <color rgb="FF000000"/>
        <rFont val="DejaVu Sans"/>
        <family val="2"/>
      </rPr>
      <t xml:space="preserve">즉시
</t>
    </r>
    <r>
      <rPr>
        <b val="true"/>
        <sz val="10"/>
        <color rgb="FF000000"/>
        <rFont val="DejaVu Sans"/>
        <family val="2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이번 달</t>
    </r>
    <r>
      <rPr>
        <b val="true"/>
        <sz val="10"/>
        <color rgb="FF000000"/>
        <rFont val="DejaVu Sans"/>
        <family val="2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</si>
  <si>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STEP 0
</t>
    </r>
    <r>
      <rPr>
        <b val="true"/>
        <sz val="10"/>
        <color rgb="FF000000"/>
        <rFont val="DejaVu Sans"/>
        <family val="2"/>
      </rPr>
      <t xml:space="preserve">원인 규명 </t>
    </r>
    <r>
      <rPr>
        <b val="true"/>
        <sz val="10"/>
        <color rgb="FF000000"/>
        <rFont val="Arial"/>
        <family val="0"/>
        <charset val="1"/>
      </rPr>
      <t xml:space="preserve">&amp;
</t>
    </r>
    <r>
      <rPr>
        <b val="true"/>
        <sz val="10"/>
        <color rgb="FF000000"/>
        <rFont val="DejaVu Sans"/>
        <family val="2"/>
      </rPr>
      <t xml:space="preserve">정책 전환</t>
    </r>
  </si>
  <si>
    <r>
      <rPr>
        <sz val="10"/>
        <color rgb="FF000000"/>
        <rFont val="DejaVu Sans"/>
        <family val="2"/>
      </rPr>
      <t xml:space="preserve">① 사출 벤더 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개사 담당자 면담
   (삼성 탑다운 </t>
    </r>
    <r>
      <rPr>
        <sz val="10"/>
        <color rgb="FF000000"/>
        <rFont val="DejaVu Sans"/>
        <family val="2"/>
        <charset val="1"/>
      </rPr>
      <t xml:space="preserve">vs </t>
    </r>
    <r>
      <rPr>
        <sz val="10"/>
        <color rgb="FF000000"/>
        <rFont val="DejaVu Sans"/>
        <family val="2"/>
      </rPr>
      <t xml:space="preserve">자체 결정 확인</t>
    </r>
    <r>
      <rPr>
        <sz val="10"/>
        <color rgb="FF000000"/>
        <rFont val="DejaVu Sans"/>
        <family val="2"/>
        <charset val="1"/>
      </rPr>
      <t xml:space="preserve">)
② SJ </t>
    </r>
    <r>
      <rPr>
        <sz val="10"/>
        <color rgb="FF000000"/>
        <rFont val="DejaVu Sans"/>
        <family val="2"/>
      </rPr>
      <t xml:space="preserve">수주 여부 파악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업계 채널</t>
    </r>
    <r>
      <rPr>
        <sz val="10"/>
        <color rgb="FF000000"/>
        <rFont val="DejaVu Sans"/>
        <family val="2"/>
        <charset val="1"/>
      </rPr>
      <t xml:space="preserve">)
③ 금형비 정책 재설계
   (</t>
    </r>
    <r>
      <rPr>
        <sz val="10"/>
        <color rgb="FF000000"/>
        <rFont val="DejaVu Sans"/>
        <family val="2"/>
      </rPr>
      <t xml:space="preserve">별도 청구 → 단가 통합 구조</t>
    </r>
    <r>
      <rPr>
        <sz val="10"/>
        <color rgb="FF000000"/>
        <rFont val="DejaVu Sans"/>
        <family val="2"/>
        <charset val="1"/>
      </rPr>
      <t xml:space="preserve">)</t>
    </r>
  </si>
  <si>
    <t xml:space="preserve">비가격 원인 확정
삼성 채널 전략 결정
즉각적 경쟁력 개선</t>
  </si>
  <si>
    <t xml:space="preserve">비용 없음
즉각 효과</t>
  </si>
  <si>
    <r>
      <rPr>
        <b val="true"/>
        <sz val="10"/>
        <color rgb="FF000000"/>
        <rFont val="Arial"/>
        <family val="0"/>
        <charset val="1"/>
      </rPr>
      <t xml:space="preserve">1~6</t>
    </r>
    <r>
      <rPr>
        <b val="true"/>
        <sz val="10"/>
        <color rgb="FF000000"/>
        <rFont val="DejaVu Sans"/>
        <family val="2"/>
      </rPr>
      <t xml:space="preserve">개월</t>
    </r>
  </si>
  <si>
    <r>
      <rPr>
        <b val="true"/>
        <sz val="10"/>
        <color rgb="FF000000"/>
        <rFont val="Arial"/>
        <family val="0"/>
        <charset val="1"/>
      </rPr>
      <t xml:space="preserve">STEP 1
Phase 1
</t>
    </r>
    <r>
      <rPr>
        <b val="true"/>
        <sz val="10"/>
        <color rgb="FF000000"/>
        <rFont val="DejaVu Sans"/>
        <family val="2"/>
      </rPr>
      <t xml:space="preserve">자동화 착수</t>
    </r>
  </si>
  <si>
    <r>
      <rPr>
        <sz val="10"/>
        <color rgb="FF000000"/>
        <rFont val="DejaVu Sans"/>
        <family val="2"/>
      </rPr>
      <t xml:space="preserve">① 장납기 설비 선발주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자동화 설비</t>
    </r>
    <r>
      <rPr>
        <sz val="10"/>
        <color rgb="FF000000"/>
        <rFont val="DejaVu Sans"/>
        <family val="2"/>
        <charset val="1"/>
      </rPr>
      <t xml:space="preserve">)
② 금형 작업장 시공 착공
③ 차기 신규 모델 수주전 참여
   (</t>
    </r>
    <r>
      <rPr>
        <sz val="10"/>
        <color rgb="FF000000"/>
        <rFont val="DejaVu Sans"/>
        <family val="2"/>
      </rPr>
      <t xml:space="preserve">새 단가 구조로</t>
    </r>
    <r>
      <rPr>
        <sz val="10"/>
        <color rgb="FF000000"/>
        <rFont val="DejaVu Sans"/>
        <family val="2"/>
        <charset val="1"/>
      </rPr>
      <t xml:space="preserve">)
④ 분할 발주 월 $30~50K </t>
    </r>
    <r>
      <rPr>
        <sz val="10"/>
        <color rgb="FF000000"/>
        <rFont val="DejaVu Sans"/>
        <family val="2"/>
      </rPr>
      <t xml:space="preserve">집행</t>
    </r>
  </si>
  <si>
    <r>
      <rPr>
        <sz val="10"/>
        <color rgb="FF000000"/>
        <rFont val="DejaVu Sans"/>
        <family val="2"/>
      </rPr>
      <t xml:space="preserve">원가 </t>
    </r>
    <r>
      <rPr>
        <sz val="10"/>
        <color rgb="FF000000"/>
        <rFont val="DejaVu Sans"/>
        <family val="2"/>
        <charset val="1"/>
      </rPr>
      <t xml:space="preserve">5% </t>
    </r>
    <r>
      <rPr>
        <sz val="10"/>
        <color rgb="FF000000"/>
        <rFont val="DejaVu Sans"/>
        <family val="2"/>
      </rPr>
      <t xml:space="preserve">절감
삼성 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차 재도전
현금 부담 최소화</t>
    </r>
  </si>
  <si>
    <r>
      <rPr>
        <sz val="10"/>
        <color rgb="FF000000"/>
        <rFont val="DejaVu Sans"/>
        <family val="2"/>
      </rPr>
      <t xml:space="preserve">투자 집행 시작
</t>
    </r>
    <r>
      <rPr>
        <sz val="10"/>
        <color rgb="FF000000"/>
        <rFont val="DejaVu Sans"/>
        <family val="2"/>
        <charset val="1"/>
      </rPr>
      <t xml:space="preserve">$~600K </t>
    </r>
    <r>
      <rPr>
        <sz val="10"/>
        <color rgb="FF000000"/>
        <rFont val="DejaVu Sans"/>
        <family val="2"/>
      </rPr>
      <t xml:space="preserve">효과 기대</t>
    </r>
  </si>
  <si>
    <r>
      <rPr>
        <b val="true"/>
        <sz val="10"/>
        <color rgb="FF000000"/>
        <rFont val="Arial"/>
        <family val="0"/>
        <charset val="1"/>
      </rPr>
      <t xml:space="preserve">7~11</t>
    </r>
    <r>
      <rPr>
        <b val="true"/>
        <sz val="10"/>
        <color rgb="FF000000"/>
        <rFont val="DejaVu Sans"/>
        <family val="2"/>
      </rPr>
      <t xml:space="preserve">개월</t>
    </r>
  </si>
  <si>
    <r>
      <rPr>
        <b val="true"/>
        <sz val="10"/>
        <color rgb="FF000000"/>
        <rFont val="Arial"/>
        <family val="0"/>
        <charset val="1"/>
      </rPr>
      <t xml:space="preserve">STEP 2
Phase 1 </t>
    </r>
    <r>
      <rPr>
        <b val="true"/>
        <sz val="10"/>
        <color rgb="FF000000"/>
        <rFont val="DejaVu Sans"/>
        <family val="2"/>
      </rPr>
      <t xml:space="preserve">완성</t>
    </r>
  </si>
  <si>
    <t xml:space="preserve">① 금형 자동화 가동 시작
② 비삼성 제품 원가 개선 반영
③ 자동차 고객 마진 개선 실적 확인
④ 비삼성 신규 영업 활동 강화</t>
  </si>
  <si>
    <t xml:space="preserve">전사 마진 개선 시작
이익 구조 변화 확인
비삼성 관계 강화</t>
  </si>
  <si>
    <r>
      <rPr>
        <sz val="10"/>
        <color rgb="FF000000"/>
        <rFont val="DejaVu Sans"/>
        <family val="2"/>
      </rPr>
      <t xml:space="preserve">연간 이익 </t>
    </r>
    <r>
      <rPr>
        <sz val="10"/>
        <color rgb="FF000000"/>
        <rFont val="DejaVu Sans"/>
        <family val="2"/>
        <charset val="1"/>
      </rPr>
      <t xml:space="preserve">+$1~2M
</t>
    </r>
    <r>
      <rPr>
        <sz val="10"/>
        <color rgb="FF000000"/>
        <rFont val="DejaVu Sans"/>
        <family val="2"/>
      </rPr>
      <t xml:space="preserve">투자 회수 진행</t>
    </r>
  </si>
  <si>
    <r>
      <rPr>
        <b val="true"/>
        <sz val="10"/>
        <color rgb="FF000000"/>
        <rFont val="Arial"/>
        <family val="0"/>
        <charset val="1"/>
      </rPr>
      <t xml:space="preserve">12~15</t>
    </r>
    <r>
      <rPr>
        <b val="true"/>
        <sz val="10"/>
        <color rgb="FF000000"/>
        <rFont val="DejaVu Sans"/>
        <family val="2"/>
      </rPr>
      <t xml:space="preserve">개월</t>
    </r>
  </si>
  <si>
    <r>
      <rPr>
        <b val="true"/>
        <sz val="10"/>
        <color rgb="FF000000"/>
        <rFont val="Arial"/>
        <family val="0"/>
        <charset val="1"/>
      </rPr>
      <t xml:space="preserve">STEP 3
Phase 2 </t>
    </r>
    <r>
      <rPr>
        <b val="true"/>
        <sz val="10"/>
        <color rgb="FF000000"/>
        <rFont val="DejaVu Sans"/>
        <family val="2"/>
      </rPr>
      <t xml:space="preserve">완성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최종 목표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</si>
  <si>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① 제조 자동화 연계 완성 → </t>
    </r>
    <r>
      <rPr>
        <sz val="10"/>
        <color rgb="FF000000"/>
        <rFont val="DejaVu Sans"/>
        <family val="2"/>
        <charset val="1"/>
      </rPr>
      <t xml:space="preserve">10% </t>
    </r>
    <r>
      <rPr>
        <sz val="10"/>
        <color rgb="FF000000"/>
        <rFont val="DejaVu Sans"/>
        <family val="2"/>
      </rPr>
      <t xml:space="preserve">절감
② 삼성 전 시리즈 경쟁력 완전 확보
③ 중국 업체 품질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납기 이슈 시
   즉각 재진입 제안 준비
④ 자동차 고객 확대 영업</t>
    </r>
  </si>
  <si>
    <r>
      <rPr>
        <sz val="10"/>
        <color rgb="FF000000"/>
        <rFont val="DejaVu Sans"/>
        <family val="2"/>
      </rPr>
      <t xml:space="preserve">전사 이익률 </t>
    </r>
    <r>
      <rPr>
        <sz val="10"/>
        <color rgb="FF000000"/>
        <rFont val="DejaVu Sans"/>
        <family val="2"/>
        <charset val="1"/>
      </rPr>
      <t xml:space="preserve">20%+
</t>
    </r>
    <r>
      <rPr>
        <sz val="10"/>
        <color rgb="FF000000"/>
        <rFont val="DejaVu Sans"/>
        <family val="2"/>
      </rPr>
      <t xml:space="preserve">투자 회수 완료
삼성 기회 포착 준비</t>
    </r>
  </si>
  <si>
    <r>
      <rPr>
        <sz val="10"/>
        <color rgb="FF000000"/>
        <rFont val="DejaVu Sans"/>
        <family val="2"/>
      </rPr>
      <t xml:space="preserve">연간 이익 </t>
    </r>
    <r>
      <rPr>
        <sz val="10"/>
        <color rgb="FF000000"/>
        <rFont val="DejaVu Sans"/>
        <family val="2"/>
        <charset val="1"/>
      </rPr>
      <t xml:space="preserve">+$3.8M
</t>
    </r>
    <r>
      <rPr>
        <sz val="10"/>
        <color rgb="FF000000"/>
        <rFont val="DejaVu Sans"/>
        <family val="2"/>
      </rPr>
      <t xml:space="preserve">투자 회수 완료</t>
    </r>
  </si>
  <si>
    <t xml:space="preserve">상시</t>
  </si>
  <si>
    <r>
      <rPr>
        <b val="true"/>
        <sz val="10"/>
        <color rgb="FF000000"/>
        <rFont val="Arial"/>
        <family val="0"/>
        <charset val="1"/>
      </rPr>
      <t xml:space="preserve">STEP 4
</t>
    </r>
    <r>
      <rPr>
        <b val="true"/>
        <sz val="10"/>
        <color rgb="FF000000"/>
        <rFont val="DejaVu Sans"/>
        <family val="2"/>
      </rPr>
      <t xml:space="preserve">삼성 재진입
기회 모니터링</t>
    </r>
  </si>
  <si>
    <r>
      <rPr>
        <sz val="10"/>
        <color rgb="FF000000"/>
        <rFont val="DejaVu Sans"/>
        <family val="2"/>
      </rPr>
      <t xml:space="preserve">① 중국 업체 품질 클레임 발생 감지
② 삼성 공급망 이원화 정책 변화 추적
③ 미중 관세 변화 모니터링
④ 재진입 시 현재 마진</t>
    </r>
    <r>
      <rPr>
        <sz val="10"/>
        <color rgb="FF000000"/>
        <rFont val="DejaVu Sans"/>
        <family val="2"/>
        <charset val="1"/>
      </rPr>
      <t xml:space="preserve">(15%+) </t>
    </r>
    <r>
      <rPr>
        <sz val="10"/>
        <color rgb="FF000000"/>
        <rFont val="DejaVu Sans"/>
        <family val="2"/>
      </rPr>
      <t xml:space="preserve">유지 조건</t>
    </r>
  </si>
  <si>
    <t xml:space="preserve">중국 업체 실패 시
즉각 대체 공급 실현
삼성 관계 재구축</t>
  </si>
  <si>
    <r>
      <rPr>
        <sz val="10"/>
        <color rgb="FF000000"/>
        <rFont val="DejaVu Sans"/>
        <family val="2"/>
      </rPr>
      <t xml:space="preserve">삼성 이익 </t>
    </r>
    <r>
      <rPr>
        <sz val="10"/>
        <color rgb="FF000000"/>
        <rFont val="DejaVu Sans"/>
        <family val="2"/>
        <charset val="1"/>
      </rPr>
      <t xml:space="preserve">15%+
</t>
    </r>
    <r>
      <rPr>
        <sz val="10"/>
        <color rgb="FF000000"/>
        <rFont val="DejaVu Sans"/>
        <family val="2"/>
      </rPr>
      <t xml:space="preserve">추가 </t>
    </r>
    <r>
      <rPr>
        <sz val="10"/>
        <color rgb="FF000000"/>
        <rFont val="DejaVu Sans"/>
        <family val="2"/>
        <charset val="1"/>
      </rPr>
      <t xml:space="preserve">$1.5M </t>
    </r>
    <r>
      <rPr>
        <sz val="10"/>
        <color rgb="FF000000"/>
        <rFont val="DejaVu Sans"/>
        <family val="2"/>
      </rPr>
      <t xml:space="preserve">기대</t>
    </r>
  </si>
  <si>
    <t xml:space="preserve">  삼성 재진입 의사결정 기준</t>
  </si>
  <si>
    <t xml:space="preserve">재진입 트리거</t>
  </si>
  <si>
    <t xml:space="preserve">전략</t>
  </si>
  <si>
    <t xml:space="preserve">목표 마진</t>
  </si>
  <si>
    <r>
      <rPr>
        <sz val="10"/>
        <color rgb="FF000000"/>
        <rFont val="DejaVu Sans"/>
        <family val="2"/>
      </rPr>
      <t xml:space="preserve">중국 업체 품질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납기 이슈 발생</t>
    </r>
  </si>
  <si>
    <r>
      <rPr>
        <sz val="10"/>
        <color rgb="FF000000"/>
        <rFont val="DejaVu Sans"/>
        <family val="2"/>
      </rPr>
      <t xml:space="preserve">삼성 벤더에 즉각 대체 제안
기술</t>
    </r>
    <r>
      <rPr>
        <sz val="10"/>
        <color rgb="FF000000"/>
        <rFont val="DejaVu Sans"/>
        <family val="2"/>
        <charset val="1"/>
      </rPr>
      <t xml:space="preserve">·</t>
    </r>
    <r>
      <rPr>
        <sz val="10"/>
        <color rgb="FF000000"/>
        <rFont val="DejaVu Sans"/>
        <family val="2"/>
      </rPr>
      <t xml:space="preserve">납기 우위 강조</t>
    </r>
  </si>
  <si>
    <r>
      <rPr>
        <sz val="10"/>
        <color rgb="FF000000"/>
        <rFont val="Arial"/>
        <family val="0"/>
        <charset val="1"/>
      </rPr>
      <t xml:space="preserve">15%+ (</t>
    </r>
    <r>
      <rPr>
        <sz val="10"/>
        <color rgb="FF000000"/>
        <rFont val="DejaVu Sans"/>
        <family val="2"/>
      </rPr>
      <t xml:space="preserve">현재 수준</t>
    </r>
    <r>
      <rPr>
        <sz val="10"/>
        <color rgb="FF000000"/>
        <rFont val="Arial"/>
        <family val="0"/>
        <charset val="1"/>
      </rPr>
      <t xml:space="preserve">)</t>
    </r>
  </si>
  <si>
    <t xml:space="preserve">✅ 적극 추진</t>
  </si>
  <si>
    <t xml:space="preserve">삼성 이원화 정책 발표</t>
  </si>
  <si>
    <r>
      <rPr>
        <sz val="10"/>
        <color rgb="FF000000"/>
        <rFont val="DejaVu Sans"/>
        <family val="2"/>
      </rPr>
      <t xml:space="preserve">삼성 공동개발 참여 제안
납기</t>
    </r>
    <r>
      <rPr>
        <sz val="10"/>
        <color rgb="FF000000"/>
        <rFont val="DejaVu Sans"/>
        <family val="2"/>
        <charset val="1"/>
      </rPr>
      <t xml:space="preserve">·</t>
    </r>
    <r>
      <rPr>
        <sz val="10"/>
        <color rgb="FF000000"/>
        <rFont val="DejaVu Sans"/>
        <family val="2"/>
      </rPr>
      <t xml:space="preserve">품질 차별화 패키지</t>
    </r>
  </si>
  <si>
    <t xml:space="preserve">12~15%</t>
  </si>
  <si>
    <t xml:space="preserve">✅ 추진</t>
  </si>
  <si>
    <r>
      <rPr>
        <sz val="10"/>
        <color rgb="FF000000"/>
        <rFont val="DejaVu Sans"/>
        <family val="2"/>
      </rPr>
      <t xml:space="preserve">미중 관세 강화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중국 원가↑</t>
    </r>
    <r>
      <rPr>
        <sz val="10"/>
        <color rgb="FF000000"/>
        <rFont val="DejaVu Sans"/>
        <family val="2"/>
        <charset val="1"/>
      </rPr>
      <t xml:space="preserve">)</t>
    </r>
  </si>
  <si>
    <t xml:space="preserve">중국 업체 원가 상승 시 가격 역전
적극 공략</t>
  </si>
  <si>
    <r>
      <rPr>
        <sz val="10"/>
        <color rgb="FF000000"/>
        <rFont val="Arial"/>
        <family val="0"/>
        <charset val="1"/>
      </rPr>
      <t xml:space="preserve">10%+ (</t>
    </r>
    <r>
      <rPr>
        <sz val="10"/>
        <color rgb="FF000000"/>
        <rFont val="DejaVu Sans"/>
        <family val="2"/>
      </rPr>
      <t xml:space="preserve">한시적 수용</t>
    </r>
    <r>
      <rPr>
        <sz val="10"/>
        <color rgb="FF000000"/>
        <rFont val="Arial"/>
        <family val="0"/>
        <charset val="1"/>
      </rPr>
      <t xml:space="preserve">)</t>
    </r>
  </si>
  <si>
    <t xml:space="preserve">⚠ 조건부 추진</t>
  </si>
  <si>
    <t xml:space="preserve">순수 가격 경쟁만 가능</t>
  </si>
  <si>
    <t xml:space="preserve">재진입 불필요
마진 파괴 → 전사 이익 감소</t>
  </si>
  <si>
    <r>
      <rPr>
        <sz val="10"/>
        <color rgb="FF000000"/>
        <rFont val="Arial"/>
        <family val="0"/>
        <charset val="1"/>
      </rPr>
      <t xml:space="preserve">5%↓ </t>
    </r>
    <r>
      <rPr>
        <sz val="10"/>
        <color rgb="FF000000"/>
        <rFont val="DejaVu Sans"/>
        <family val="2"/>
      </rPr>
      <t xml:space="preserve">불가</t>
    </r>
  </si>
  <si>
    <t xml:space="preserve">❌ 재진입 불필요</t>
  </si>
  <si>
    <r>
      <rPr>
        <b val="true"/>
        <sz val="10"/>
        <color rgb="FF7B5800"/>
        <rFont val="DejaVu Sans"/>
        <family val="2"/>
      </rPr>
      <t xml:space="preserve">★ 최종 결론</t>
    </r>
    <r>
      <rPr>
        <b val="true"/>
        <sz val="10"/>
        <color rgb="FF7B5800"/>
        <rFont val="DejaVu Sans"/>
        <family val="2"/>
        <charset val="1"/>
      </rPr>
      <t xml:space="preserve">: </t>
    </r>
    <r>
      <rPr>
        <b val="true"/>
        <sz val="10"/>
        <color rgb="FF7B5800"/>
        <rFont val="DejaVu Sans"/>
        <family val="2"/>
      </rPr>
      <t xml:space="preserve">자동화 투자 즉시 진행</t>
    </r>
    <r>
      <rPr>
        <b val="true"/>
        <sz val="10"/>
        <color rgb="FF7B5800"/>
        <rFont val="DejaVu Sans"/>
        <family val="2"/>
        <charset val="1"/>
      </rPr>
      <t xml:space="preserve">. </t>
    </r>
    <r>
      <rPr>
        <b val="true"/>
        <sz val="10"/>
        <color rgb="FF7B5800"/>
        <rFont val="DejaVu Sans"/>
        <family val="2"/>
      </rPr>
      <t xml:space="preserve">삼성 모델은 </t>
    </r>
    <r>
      <rPr>
        <b val="true"/>
        <sz val="10"/>
        <color rgb="FF7B5800"/>
        <rFont val="DejaVu Sans"/>
        <family val="2"/>
        <charset val="1"/>
      </rPr>
      <t xml:space="preserve">"</t>
    </r>
    <r>
      <rPr>
        <b val="true"/>
        <sz val="10"/>
        <color rgb="FF7B5800"/>
        <rFont val="DejaVu Sans"/>
        <family val="2"/>
      </rPr>
      <t xml:space="preserve">빼앗아 오는 것</t>
    </r>
    <r>
      <rPr>
        <b val="true"/>
        <sz val="10"/>
        <color rgb="FF7B5800"/>
        <rFont val="DejaVu Sans"/>
        <family val="2"/>
        <charset val="1"/>
      </rPr>
      <t xml:space="preserve">"</t>
    </r>
    <r>
      <rPr>
        <b val="true"/>
        <sz val="10"/>
        <color rgb="FF7B5800"/>
        <rFont val="DejaVu Sans"/>
        <family val="2"/>
      </rPr>
      <t xml:space="preserve">이 아니라 </t>
    </r>
    <r>
      <rPr>
        <b val="true"/>
        <sz val="10"/>
        <color rgb="FF7B5800"/>
        <rFont val="DejaVu Sans"/>
        <family val="2"/>
        <charset val="1"/>
      </rPr>
      <t xml:space="preserve">"</t>
    </r>
    <r>
      <rPr>
        <b val="true"/>
        <sz val="10"/>
        <color rgb="FF7B5800"/>
        <rFont val="DejaVu Sans"/>
        <family val="2"/>
      </rPr>
      <t xml:space="preserve">중국 업체가 실패할 때 준비된 상태로 회수하는 것</t>
    </r>
    <r>
      <rPr>
        <b val="true"/>
        <sz val="10"/>
        <color rgb="FF7B5800"/>
        <rFont val="DejaVu Sans"/>
        <family val="2"/>
        <charset val="1"/>
      </rPr>
      <t xml:space="preserve">"</t>
    </r>
    <r>
      <rPr>
        <b val="true"/>
        <sz val="10"/>
        <color rgb="FF7B5800"/>
        <rFont val="DejaVu Sans"/>
        <family val="2"/>
      </rPr>
      <t xml:space="preserve">이 올바른 전략이다</t>
    </r>
    <r>
      <rPr>
        <b val="true"/>
        <sz val="10"/>
        <color rgb="FF7B5800"/>
        <rFont val="DejaVu Sans"/>
        <family val="2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</si>
  <si>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  🔧 금형 자동화 내재화 분석 — 비용</t>
    </r>
    <r>
      <rPr>
        <b val="true"/>
        <sz val="14"/>
        <color rgb="FFFFFFFF"/>
        <rFont val="DejaVu Sans"/>
        <family val="2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경쟁력</t>
    </r>
    <r>
      <rPr>
        <b val="true"/>
        <sz val="14"/>
        <color rgb="FFFFFFFF"/>
        <rFont val="DejaVu Sans"/>
        <family val="2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신규 수익 효과</t>
    </r>
  </si>
  <si>
    <r>
      <rPr>
        <sz val="10"/>
        <color rgb="FFFFFFFF"/>
        <rFont val="DejaVu Sans"/>
        <family val="2"/>
      </rPr>
      <t xml:space="preserve">금형 자동화 투자 시 금형을 내부 제작함으로써 원가 절감</t>
    </r>
    <r>
      <rPr>
        <sz val="10"/>
        <color rgb="FFFFFFFF"/>
        <rFont val="DejaVu Sans"/>
        <family val="2"/>
        <charset val="1"/>
      </rPr>
      <t xml:space="preserve">·</t>
    </r>
    <r>
      <rPr>
        <sz val="10"/>
        <color rgb="FFFFFFFF"/>
        <rFont val="DejaVu Sans"/>
        <family val="2"/>
      </rPr>
      <t xml:space="preserve">경쟁력 강화</t>
    </r>
    <r>
      <rPr>
        <sz val="10"/>
        <color rgb="FFFFFFFF"/>
        <rFont val="DejaVu Sans"/>
        <family val="2"/>
        <charset val="1"/>
      </rPr>
      <t xml:space="preserve">·</t>
    </r>
    <r>
      <rPr>
        <sz val="10"/>
        <color rgb="FFFFFFFF"/>
        <rFont val="DejaVu Sans"/>
        <family val="2"/>
      </rPr>
      <t xml:space="preserve">신규 수익 창출의 </t>
    </r>
    <r>
      <rPr>
        <sz val="10"/>
        <color rgb="FFFFFFFF"/>
        <rFont val="DejaVu Sans"/>
        <family val="2"/>
        <charset val="1"/>
      </rPr>
      <t xml:space="preserve">3</t>
    </r>
    <r>
      <rPr>
        <sz val="10"/>
        <color rgb="FFFFFFFF"/>
        <rFont val="DejaVu Sans"/>
        <family val="2"/>
      </rPr>
      <t xml:space="preserve">중 효과 발생</t>
    </r>
  </si>
  <si>
    <r>
      <rPr>
        <b val="true"/>
        <sz val="11"/>
        <color rgb="FFFFFFFF"/>
        <rFont val="Arial"/>
        <family val="0"/>
        <charset val="1"/>
      </rPr>
      <t xml:space="preserve">  1. </t>
    </r>
    <r>
      <rPr>
        <b val="true"/>
        <sz val="11"/>
        <color rgb="FFFFFFFF"/>
        <rFont val="DejaVu Sans"/>
        <family val="2"/>
      </rPr>
      <t xml:space="preserve">금형 제작 단가 비교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외부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DejaVu Sans"/>
        <family val="2"/>
      </rPr>
      <t xml:space="preserve">내부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</si>
  <si>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외부 제작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현재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</si>
  <si>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내부 제작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자동화 후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</si>
  <si>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절감 금액</t>
  </si>
  <si>
    <t xml:space="preserve">절감률</t>
  </si>
  <si>
    <r>
      <rPr>
        <b val="true"/>
        <sz val="10"/>
        <color rgb="FF000000"/>
        <rFont val="DejaVu Sans"/>
        <family val="2"/>
      </rPr>
      <t xml:space="preserve">금형 </t>
    </r>
    <r>
      <rPr>
        <b val="true"/>
        <sz val="10"/>
        <color rgb="FF000000"/>
        <rFont val="DejaVu Sans"/>
        <family val="2"/>
        <charset val="1"/>
      </rPr>
      <t xml:space="preserve">1</t>
    </r>
    <r>
      <rPr>
        <b val="true"/>
        <sz val="10"/>
        <color rgb="FF000000"/>
        <rFont val="DejaVu Sans"/>
        <family val="2"/>
      </rPr>
      <t xml:space="preserve">개 제작 비용</t>
    </r>
  </si>
  <si>
    <r>
      <rPr>
        <i val="true"/>
        <sz val="10"/>
        <color rgb="FF000000"/>
        <rFont val="Arial"/>
        <family val="0"/>
        <charset val="1"/>
      </rPr>
      <t xml:space="preserve">8,000~9,000 </t>
    </r>
    <r>
      <rPr>
        <i val="true"/>
        <sz val="10"/>
        <color rgb="FF000000"/>
        <rFont val="DejaVu Sans"/>
        <family val="2"/>
      </rPr>
      <t xml:space="preserve">중간값</t>
    </r>
  </si>
  <si>
    <r>
      <rPr>
        <sz val="10"/>
        <color rgb="FF000000"/>
        <rFont val="DejaVu Sans"/>
        <family val="2"/>
      </rPr>
      <t xml:space="preserve">금형 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개 최소 비용</t>
    </r>
  </si>
  <si>
    <t xml:space="preserve">내부 최저</t>
  </si>
  <si>
    <r>
      <rPr>
        <sz val="10"/>
        <color rgb="FF000000"/>
        <rFont val="DejaVu Sans"/>
        <family val="2"/>
      </rPr>
      <t xml:space="preserve">금형 </t>
    </r>
    <r>
      <rPr>
        <sz val="10"/>
        <color rgb="FF000000"/>
        <rFont val="DejaVu Sans"/>
        <family val="2"/>
        <charset val="1"/>
      </rPr>
      <t xml:space="preserve">1</t>
    </r>
    <r>
      <rPr>
        <sz val="10"/>
        <color rgb="FF000000"/>
        <rFont val="DejaVu Sans"/>
        <family val="2"/>
      </rPr>
      <t xml:space="preserve">개 최대 비용</t>
    </r>
  </si>
  <si>
    <t xml:space="preserve">내부 최고</t>
  </si>
  <si>
    <r>
      <rPr>
        <b val="true"/>
        <sz val="11"/>
        <color rgb="FFFFFFFF"/>
        <rFont val="Arial"/>
        <family val="0"/>
        <charset val="1"/>
      </rPr>
      <t xml:space="preserve">  2. </t>
    </r>
    <r>
      <rPr>
        <b val="true"/>
        <sz val="11"/>
        <color rgb="FFFFFFFF"/>
        <rFont val="DejaVu Sans"/>
        <family val="2"/>
      </rPr>
      <t xml:space="preserve">연간 금형 운영 효과 분석</t>
    </r>
  </si>
  <si>
    <t xml:space="preserve">현재</t>
  </si>
  <si>
    <t xml:space="preserve">자동화 후</t>
  </si>
  <si>
    <t xml:space="preserve">변화량</t>
  </si>
  <si>
    <r>
      <rPr>
        <b val="true"/>
        <sz val="10"/>
        <color rgb="FFFFFFFF"/>
        <rFont val="DejaVu Sans"/>
        <family val="2"/>
      </rPr>
      <t xml:space="preserve">금액 효과 </t>
    </r>
    <r>
      <rPr>
        <b val="true"/>
        <sz val="10"/>
        <color rgb="FFFFFFFF"/>
        <rFont val="DejaVu Sans"/>
        <family val="2"/>
        <charset val="1"/>
      </rPr>
      <t xml:space="preserve">($K)</t>
    </r>
  </si>
  <si>
    <t xml:space="preserve">연간 금형 제작 수량</t>
  </si>
  <si>
    <r>
      <rPr>
        <i val="true"/>
        <sz val="10"/>
        <color rgb="FF000000"/>
        <rFont val="Arial"/>
        <family val="0"/>
        <charset val="1"/>
      </rPr>
      <t xml:space="preserve">50~70</t>
    </r>
    <r>
      <rPr>
        <i val="true"/>
        <sz val="10"/>
        <color rgb="FF000000"/>
        <rFont val="DejaVu Sans"/>
        <family val="2"/>
      </rPr>
      <t xml:space="preserve">개 → 최대 </t>
    </r>
    <r>
      <rPr>
        <i val="true"/>
        <sz val="10"/>
        <color rgb="FF000000"/>
        <rFont val="Arial"/>
        <family val="0"/>
        <charset val="1"/>
      </rPr>
      <t xml:space="preserve">120</t>
    </r>
    <r>
      <rPr>
        <i val="true"/>
        <sz val="10"/>
        <color rgb="FF000000"/>
        <rFont val="DejaVu Sans"/>
        <family val="2"/>
      </rPr>
      <t xml:space="preserve">개 </t>
    </r>
    <r>
      <rPr>
        <i val="true"/>
        <sz val="10"/>
        <color rgb="FF000000"/>
        <rFont val="Arial"/>
        <family val="0"/>
        <charset val="1"/>
      </rPr>
      <t xml:space="preserve">(2</t>
    </r>
    <r>
      <rPr>
        <i val="true"/>
        <sz val="10"/>
        <color rgb="FF000000"/>
        <rFont val="DejaVu Sans"/>
        <family val="2"/>
      </rPr>
      <t xml:space="preserve">배</t>
    </r>
    <r>
      <rPr>
        <i val="true"/>
        <sz val="10"/>
        <color rgb="FF000000"/>
        <rFont val="Arial"/>
        <family val="0"/>
        <charset val="1"/>
      </rPr>
      <t xml:space="preserve">)</t>
    </r>
  </si>
  <si>
    <t xml:space="preserve">  자사 필요 물량</t>
  </si>
  <si>
    <t xml:space="preserve">현재와 동일 가정</t>
  </si>
  <si>
    <r>
      <rPr>
        <b val="true"/>
        <sz val="10"/>
        <color rgb="FF000000"/>
        <rFont val="DejaVu Sans"/>
        <family val="2"/>
      </rPr>
      <t xml:space="preserve">  초과 생산 </t>
    </r>
    <r>
      <rPr>
        <b val="true"/>
        <sz val="10"/>
        <color rgb="FF000000"/>
        <rFont val="DejaVu Sans"/>
        <family val="2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외부 판매 가능</t>
    </r>
    <r>
      <rPr>
        <b val="true"/>
        <sz val="10"/>
        <color rgb="FF000000"/>
        <rFont val="DejaVu Sans"/>
        <family val="2"/>
        <charset val="1"/>
      </rPr>
      <t xml:space="preserve">)</t>
    </r>
  </si>
  <si>
    <t xml:space="preserve">새 수익원</t>
  </si>
  <si>
    <t xml:space="preserve">이익 구분</t>
  </si>
  <si>
    <t xml:space="preserve">계산식</t>
  </si>
  <si>
    <r>
      <rPr>
        <b val="true"/>
        <sz val="10"/>
        <color rgb="FFFFFFFF"/>
        <rFont val="DejaVu Sans"/>
        <family val="2"/>
      </rPr>
      <t xml:space="preserve">금액 </t>
    </r>
    <r>
      <rPr>
        <b val="true"/>
        <sz val="10"/>
        <color rgb="FFFFFFFF"/>
        <rFont val="DejaVu Sans"/>
        <family val="2"/>
        <charset val="1"/>
      </rPr>
      <t xml:space="preserve">($K/</t>
    </r>
    <r>
      <rPr>
        <b val="true"/>
        <sz val="10"/>
        <color rgb="FFFFFFFF"/>
        <rFont val="DejaVu Sans"/>
        <family val="2"/>
      </rPr>
      <t xml:space="preserve">년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</si>
  <si>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Benefit 1: </t>
    </r>
    <r>
      <rPr>
        <b val="true"/>
        <sz val="10"/>
        <color rgb="FF000000"/>
        <rFont val="DejaVu Sans"/>
        <family val="2"/>
      </rPr>
      <t xml:space="preserve">자사 금형 원가 절감</t>
    </r>
  </si>
  <si>
    <r>
      <rPr>
        <i val="true"/>
        <sz val="10"/>
        <color rgb="FF595959"/>
        <rFont val="Arial"/>
        <family val="0"/>
        <charset val="1"/>
      </rPr>
      <t xml:space="preserve">60</t>
    </r>
    <r>
      <rPr>
        <i val="true"/>
        <sz val="10"/>
        <color rgb="FF595959"/>
        <rFont val="DejaVu Sans"/>
        <family val="2"/>
      </rPr>
      <t xml:space="preserve">개 </t>
    </r>
    <r>
      <rPr>
        <i val="true"/>
        <sz val="10"/>
        <color rgb="FF595959"/>
        <rFont val="Arial"/>
        <family val="0"/>
        <charset val="1"/>
      </rPr>
      <t xml:space="preserve">× ($13,500 - $8,500)</t>
    </r>
  </si>
  <si>
    <t xml:space="preserve">제조 자동화와 별도 이익</t>
  </si>
  <si>
    <r>
      <rPr>
        <i val="true"/>
        <sz val="10"/>
        <color rgb="FF595959"/>
        <rFont val="Arial"/>
        <family val="0"/>
        <charset val="1"/>
      </rPr>
      <t xml:space="preserve">Benefit 2: </t>
    </r>
    <r>
      <rPr>
        <i val="true"/>
        <sz val="10"/>
        <color rgb="FF595959"/>
        <rFont val="DejaVu Sans"/>
        <family val="2"/>
      </rPr>
      <t xml:space="preserve">초과 금형 외부 판매 이익 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현재 계획 없음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DejaVu Sans"/>
        <family val="2"/>
      </rPr>
      <t xml:space="preserve">향후 기회 시 가능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</si>
  <si>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60</t>
    </r>
    <r>
      <rPr>
        <i val="true"/>
        <sz val="10"/>
        <color rgb="FF595959"/>
        <rFont val="DejaVu Sans"/>
        <family val="2"/>
      </rPr>
      <t xml:space="preserve">개 </t>
    </r>
    <r>
      <rPr>
        <i val="true"/>
        <sz val="10"/>
        <color rgb="FF595959"/>
        <rFont val="Arial"/>
        <family val="0"/>
        <charset val="1"/>
      </rPr>
      <t xml:space="preserve">× ($13,500 - $8,500) = $5,000 </t>
    </r>
    <r>
      <rPr>
        <i val="true"/>
        <sz val="10"/>
        <color rgb="FF595959"/>
        <rFont val="DejaVu Sans"/>
        <family val="2"/>
      </rPr>
      <t xml:space="preserve">마진</t>
    </r>
  </si>
  <si>
    <r>
      <rPr>
        <i val="true"/>
        <sz val="10"/>
        <color rgb="FF595959"/>
        <rFont val="DejaVu Sans"/>
        <family val="2"/>
      </rPr>
      <t xml:space="preserve">※ 현재 내부 집중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DejaVu Sans"/>
        <family val="2"/>
      </rPr>
      <t xml:space="preserve">삼성 개발사 등록 등 기회 발생 시 검토 예정</t>
    </r>
  </si>
  <si>
    <t xml:space="preserve">합계 금형 관련 추가 이익</t>
  </si>
  <si>
    <t xml:space="preserve">Benefit 1 + Benefit 2</t>
  </si>
  <si>
    <r>
      <rPr>
        <i val="true"/>
        <sz val="10"/>
        <color rgb="FF000000"/>
        <rFont val="DejaVu Sans"/>
        <family val="2"/>
      </rPr>
      <t xml:space="preserve">기존 </t>
    </r>
    <r>
      <rPr>
        <i val="true"/>
        <sz val="10"/>
        <color rgb="FF000000"/>
        <rFont val="DejaVu Sans"/>
        <family val="2"/>
        <charset val="1"/>
      </rPr>
      <t xml:space="preserve">ROI</t>
    </r>
    <r>
      <rPr>
        <i val="true"/>
        <sz val="10"/>
        <color rgb="FF000000"/>
        <rFont val="DejaVu Sans"/>
        <family val="2"/>
      </rPr>
      <t xml:space="preserve">에 추가</t>
    </r>
  </si>
  <si>
    <r>
      <rPr>
        <b val="true"/>
        <sz val="11"/>
        <color rgb="FFFFFFFF"/>
        <rFont val="Arial"/>
        <family val="0"/>
        <charset val="1"/>
      </rPr>
      <t xml:space="preserve">  3. </t>
    </r>
    <r>
      <rPr>
        <b val="true"/>
        <sz val="11"/>
        <color rgb="FFFFFFFF"/>
        <rFont val="DejaVu Sans"/>
        <family val="2"/>
      </rPr>
      <t xml:space="preserve">단위 경쟁력 재계산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자동화 </t>
    </r>
    <r>
      <rPr>
        <b val="true"/>
        <sz val="11"/>
        <color rgb="FFFFFFFF"/>
        <rFont val="Arial"/>
        <family val="0"/>
        <charset val="1"/>
      </rPr>
      <t xml:space="preserve">10% + </t>
    </r>
    <r>
      <rPr>
        <b val="true"/>
        <sz val="11"/>
        <color rgb="FFFFFFFF"/>
        <rFont val="DejaVu Sans"/>
        <family val="2"/>
      </rPr>
      <t xml:space="preserve">금형 내재화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</si>
  <si>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원가 구성</t>
  </si>
  <si>
    <t xml:space="preserve">이전 분석</t>
  </si>
  <si>
    <t xml:space="preserve">금형 내재화 후</t>
  </si>
  <si>
    <t xml:space="preserve">절감 효과</t>
  </si>
  <si>
    <r>
      <rPr>
        <sz val="10"/>
        <color rgb="FF000000"/>
        <rFont val="DejaVu Sans"/>
        <family val="2"/>
      </rPr>
      <t xml:space="preserve">제조 원가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자동화 </t>
    </r>
    <r>
      <rPr>
        <sz val="10"/>
        <color rgb="FF000000"/>
        <rFont val="DejaVu Sans"/>
        <family val="2"/>
        <charset val="1"/>
      </rPr>
      <t xml:space="preserve">10% </t>
    </r>
    <r>
      <rPr>
        <sz val="10"/>
        <color rgb="FF000000"/>
        <rFont val="DejaVu Sans"/>
        <family val="2"/>
      </rPr>
      <t xml:space="preserve">후</t>
    </r>
    <r>
      <rPr>
        <sz val="10"/>
        <color rgb="FF000000"/>
        <rFont val="DejaVu Sans"/>
        <family val="2"/>
        <charset val="1"/>
      </rPr>
      <t xml:space="preserve">)</t>
    </r>
  </si>
  <si>
    <t xml:space="preserve">-</t>
  </si>
  <si>
    <t xml:space="preserve">자동화 절감분 동일</t>
  </si>
  <si>
    <r>
      <rPr>
        <sz val="10"/>
        <color rgb="FF000000"/>
        <rFont val="DejaVu Sans"/>
        <family val="2"/>
      </rPr>
      <t xml:space="preserve">금형비 </t>
    </r>
    <r>
      <rPr>
        <sz val="10"/>
        <color rgb="FF000000"/>
        <rFont val="DejaVu Sans"/>
        <family val="2"/>
        <charset val="1"/>
      </rPr>
      <t xml:space="preserve">per unit (20</t>
    </r>
    <r>
      <rPr>
        <sz val="10"/>
        <color rgb="FF000000"/>
        <rFont val="DejaVu Sans"/>
        <family val="2"/>
      </rPr>
      <t xml:space="preserve">만타 기준</t>
    </r>
    <r>
      <rPr>
        <sz val="10"/>
        <color rgb="FF000000"/>
        <rFont val="DejaVu Sans"/>
        <family val="2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</si>
  <si>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$0.025 </t>
    </r>
    <r>
      <rPr>
        <i val="true"/>
        <sz val="10"/>
        <color rgb="FF595959"/>
        <rFont val="DejaVu Sans"/>
        <family val="2"/>
      </rPr>
      <t xml:space="preserve">절감</t>
    </r>
  </si>
  <si>
    <r>
      <rPr>
        <i val="true"/>
        <sz val="10"/>
        <color rgb="FF000000"/>
        <rFont val="DejaVu Sans"/>
        <family val="2"/>
      </rPr>
      <t xml:space="preserve">내부</t>
    </r>
    <r>
      <rPr>
        <i val="true"/>
        <sz val="10"/>
        <color rgb="FF000000"/>
        <rFont val="DejaVu Sans"/>
        <family val="2"/>
        <charset val="1"/>
      </rPr>
      <t xml:space="preserve">: $8,500÷200,000</t>
    </r>
  </si>
  <si>
    <r>
      <rPr>
        <b val="true"/>
        <sz val="10"/>
        <color rgb="FF000000"/>
        <rFont val="DejaVu Sans"/>
        <family val="2"/>
      </rPr>
      <t xml:space="preserve">합계 </t>
    </r>
    <r>
      <rPr>
        <b val="true"/>
        <sz val="10"/>
        <color rgb="FF000000"/>
        <rFont val="DejaVu Sans"/>
        <family val="2"/>
        <charset val="1"/>
      </rPr>
      <t xml:space="preserve">all-in </t>
    </r>
    <r>
      <rPr>
        <b val="true"/>
        <sz val="10"/>
        <color rgb="FF000000"/>
        <rFont val="DejaVu Sans"/>
        <family val="2"/>
      </rPr>
      <t xml:space="preserve">원가</t>
    </r>
  </si>
  <si>
    <r>
      <rPr>
        <i val="true"/>
        <sz val="10"/>
        <color rgb="FF595959"/>
        <rFont val="DejaVu Sans"/>
        <family val="2"/>
      </rPr>
      <t xml:space="preserve">제조원가 </t>
    </r>
    <r>
      <rPr>
        <i val="true"/>
        <sz val="10"/>
        <color rgb="FF595959"/>
        <rFont val="DejaVu Sans"/>
        <family val="2"/>
        <charset val="1"/>
      </rPr>
      <t xml:space="preserve">+ </t>
    </r>
    <r>
      <rPr>
        <i val="true"/>
        <sz val="10"/>
        <color rgb="FF595959"/>
        <rFont val="DejaVu Sans"/>
        <family val="2"/>
      </rPr>
      <t xml:space="preserve">금형비</t>
    </r>
  </si>
  <si>
    <t xml:space="preserve">마진 시나리오</t>
  </si>
  <si>
    <r>
      <rPr>
        <b val="true"/>
        <sz val="10"/>
        <color rgb="FFFFFFFF"/>
        <rFont val="DejaVu Sans"/>
        <family val="2"/>
      </rPr>
      <t xml:space="preserve">제안가 </t>
    </r>
    <r>
      <rPr>
        <b val="true"/>
        <sz val="10"/>
        <color rgb="FFFFFFFF"/>
        <rFont val="DejaVu Sans"/>
        <family val="2"/>
        <charset val="1"/>
      </rPr>
      <t xml:space="preserve">(all-in)</t>
    </r>
  </si>
  <si>
    <r>
      <rPr>
        <b val="true"/>
        <sz val="10"/>
        <color rgb="FFFFFFFF"/>
        <rFont val="DejaVu Sans"/>
        <family val="2"/>
      </rPr>
      <t xml:space="preserve">중국 낙관</t>
    </r>
    <r>
      <rPr>
        <b val="true"/>
        <sz val="10"/>
        <color rgb="FFFFFFFF"/>
        <rFont val="DejaVu Sans"/>
        <family val="2"/>
        <charset val="1"/>
      </rPr>
      <t xml:space="preserve">($0.62)</t>
    </r>
  </si>
  <si>
    <r>
      <rPr>
        <b val="true"/>
        <sz val="10"/>
        <color rgb="FFFFFFFF"/>
        <rFont val="DejaVu Sans"/>
        <family val="2"/>
      </rPr>
      <t xml:space="preserve">중국 기본</t>
    </r>
    <r>
      <rPr>
        <b val="true"/>
        <sz val="10"/>
        <color rgb="FFFFFFFF"/>
        <rFont val="DejaVu Sans"/>
        <family val="2"/>
        <charset val="1"/>
      </rPr>
      <t xml:space="preserve">($0.58)</t>
    </r>
  </si>
  <si>
    <r>
      <rPr>
        <b val="true"/>
        <sz val="10"/>
        <color rgb="FFFFFFFF"/>
        <rFont val="DejaVu Sans"/>
        <family val="2"/>
      </rPr>
      <t xml:space="preserve">중국 비관</t>
    </r>
    <r>
      <rPr>
        <b val="true"/>
        <sz val="10"/>
        <color rgb="FFFFFFFF"/>
        <rFont val="DejaVu Sans"/>
        <family val="2"/>
        <charset val="1"/>
      </rPr>
      <t xml:space="preserve">($0.54)</t>
    </r>
  </si>
  <si>
    <t xml:space="preserve">판정</t>
  </si>
  <si>
    <r>
      <rPr>
        <b val="true"/>
        <sz val="10"/>
        <color rgb="FF000000"/>
        <rFont val="Arial"/>
        <family val="0"/>
        <charset val="1"/>
      </rPr>
      <t xml:space="preserve">5% </t>
    </r>
    <r>
      <rPr>
        <b val="true"/>
        <sz val="10"/>
        <color rgb="FF000000"/>
        <rFont val="DejaVu Sans"/>
        <family val="2"/>
      </rPr>
      <t xml:space="preserve">마진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이전</t>
    </r>
    <r>
      <rPr>
        <b val="true"/>
        <sz val="10"/>
        <color rgb="FF000000"/>
        <rFont val="Arial"/>
        <family val="0"/>
        <charset val="1"/>
      </rPr>
      <t xml:space="preserve">: $0.576)</t>
    </r>
  </si>
  <si>
    <t xml:space="preserve">승</t>
  </si>
  <si>
    <t xml:space="preserve">패</t>
  </si>
  <si>
    <r>
      <rPr>
        <i val="true"/>
        <sz val="10"/>
        <color rgb="FF000000"/>
        <rFont val="Arial"/>
        <family val="0"/>
        <charset val="1"/>
      </rPr>
      <t xml:space="preserve">✅ 5%, 7%, 10% </t>
    </r>
    <r>
      <rPr>
        <i val="true"/>
        <sz val="10"/>
        <color rgb="FF000000"/>
        <rFont val="DejaVu Sans"/>
        <family val="2"/>
      </rPr>
      <t xml:space="preserve">모두 기본 </t>
    </r>
    <r>
      <rPr>
        <i val="true"/>
        <sz val="10"/>
        <color rgb="FF000000"/>
        <rFont val="Arial"/>
        <family val="0"/>
        <charset val="1"/>
      </rPr>
      <t xml:space="preserve">WIN</t>
    </r>
  </si>
  <si>
    <r>
      <rPr>
        <b val="true"/>
        <sz val="10"/>
        <color rgb="FF000000"/>
        <rFont val="Arial"/>
        <family val="0"/>
        <charset val="1"/>
      </rPr>
      <t xml:space="preserve">7% </t>
    </r>
    <r>
      <rPr>
        <b val="true"/>
        <sz val="10"/>
        <color rgb="FF000000"/>
        <rFont val="DejaVu Sans"/>
        <family val="2"/>
      </rPr>
      <t xml:space="preserve">마진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신규 경쟁 가능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</si>
  <si>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i val="true"/>
        <sz val="10"/>
        <color rgb="FF000000"/>
        <rFont val="Arial"/>
        <family val="0"/>
        <charset val="1"/>
      </rPr>
      <t xml:space="preserve">✅ 7% </t>
    </r>
    <r>
      <rPr>
        <i val="true"/>
        <sz val="10"/>
        <color rgb="FF000000"/>
        <rFont val="DejaVu Sans"/>
        <family val="2"/>
      </rPr>
      <t xml:space="preserve">마진도 기본 </t>
    </r>
    <r>
      <rPr>
        <i val="true"/>
        <sz val="10"/>
        <color rgb="FF000000"/>
        <rFont val="Arial"/>
        <family val="0"/>
        <charset val="1"/>
      </rPr>
      <t xml:space="preserve">WIN</t>
    </r>
  </si>
  <si>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DejaVu Sans"/>
        <family val="2"/>
      </rPr>
      <t xml:space="preserve">마진</t>
    </r>
  </si>
  <si>
    <t xml:space="preserve">동등</t>
  </si>
  <si>
    <r>
      <rPr>
        <i val="true"/>
        <sz val="10"/>
        <color rgb="FF000000"/>
        <rFont val="DejaVu Sans"/>
        <family val="2"/>
      </rPr>
      <t xml:space="preserve">⚠ 기본과 동등 </t>
    </r>
    <r>
      <rPr>
        <i val="true"/>
        <sz val="10"/>
        <color rgb="FF000000"/>
        <rFont val="DejaVu Sans"/>
        <family val="2"/>
        <charset val="1"/>
      </rPr>
      <t xml:space="preserve">(±0.003)</t>
    </r>
  </si>
  <si>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DejaVu Sans"/>
        <family val="2"/>
      </rPr>
      <t xml:space="preserve">마진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현재 수준</t>
    </r>
    <r>
      <rPr>
        <sz val="10"/>
        <color rgb="FF000000"/>
        <rFont val="Arial"/>
        <family val="0"/>
        <charset val="1"/>
      </rPr>
      <t xml:space="preserve">)</t>
    </r>
  </si>
  <si>
    <t xml:space="preserve">❌ 모든 시나리오 열위</t>
  </si>
  <si>
    <r>
      <rPr>
        <b val="true"/>
        <sz val="11"/>
        <color rgb="FFFFFFFF"/>
        <rFont val="Arial"/>
        <family val="0"/>
        <charset val="1"/>
      </rPr>
      <t xml:space="preserve">  4. </t>
    </r>
    <r>
      <rPr>
        <b val="true"/>
        <sz val="11"/>
        <color rgb="FFFFFFFF"/>
        <rFont val="DejaVu Sans"/>
        <family val="2"/>
      </rPr>
      <t xml:space="preserve">투자 </t>
    </r>
    <r>
      <rPr>
        <b val="true"/>
        <sz val="11"/>
        <color rgb="FFFFFFFF"/>
        <rFont val="Arial"/>
        <family val="0"/>
        <charset val="1"/>
      </rPr>
      <t xml:space="preserve">ROI </t>
    </r>
    <r>
      <rPr>
        <b val="true"/>
        <sz val="11"/>
        <color rgb="FFFFFFFF"/>
        <rFont val="DejaVu Sans"/>
        <family val="2"/>
      </rPr>
      <t xml:space="preserve">업데이트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금형 내재화 포함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</si>
  <si>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금형 내재화 포함</t>
  </si>
  <si>
    <t xml:space="preserve">개선</t>
  </si>
  <si>
    <r>
      <rPr>
        <sz val="10"/>
        <color rgb="FF000000"/>
        <rFont val="DejaVu Sans"/>
        <family val="2"/>
      </rPr>
      <t xml:space="preserve">연간 제조 자동화 이익 개선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</si>
  <si>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세그먼트 합산</t>
  </si>
  <si>
    <r>
      <rPr>
        <sz val="10"/>
        <color rgb="FF000000"/>
        <rFont val="DejaVu Sans"/>
        <family val="2"/>
      </rPr>
      <t xml:space="preserve">연간 금형 자사 절감 </t>
    </r>
    <r>
      <rPr>
        <sz val="10"/>
        <color rgb="FF000000"/>
        <rFont val="DejaVu Sans"/>
        <family val="2"/>
        <charset val="1"/>
      </rPr>
      <t xml:space="preserve">($K)</t>
    </r>
  </si>
  <si>
    <t xml:space="preserve">+$300K</t>
  </si>
  <si>
    <t xml:space="preserve">Benefit 1</t>
  </si>
  <si>
    <r>
      <rPr>
        <sz val="10"/>
        <color rgb="FF000000"/>
        <rFont val="DejaVu Sans"/>
        <family val="2"/>
      </rPr>
      <t xml:space="preserve">연간 금형 외부판매 이익 </t>
    </r>
    <r>
      <rPr>
        <sz val="10"/>
        <color rgb="FF000000"/>
        <rFont val="DejaVu Sans"/>
        <family val="2"/>
        <charset val="1"/>
      </rPr>
      <t xml:space="preserve">($K)</t>
    </r>
  </si>
  <si>
    <r>
      <rPr>
        <i val="true"/>
        <sz val="10"/>
        <color rgb="FF000000"/>
        <rFont val="Arial"/>
        <family val="0"/>
        <charset val="1"/>
      </rPr>
      <t xml:space="preserve">Benefit 2 (</t>
    </r>
    <r>
      <rPr>
        <i val="true"/>
        <sz val="10"/>
        <color rgb="FF000000"/>
        <rFont val="DejaVu Sans"/>
        <family val="2"/>
      </rPr>
      <t xml:space="preserve">신규 수익</t>
    </r>
    <r>
      <rPr>
        <i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</si>
  <si>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총 연간 이익 개선 </t>
    </r>
    <r>
      <rPr>
        <b val="true"/>
        <sz val="10"/>
        <color rgb="FF000000"/>
        <rFont val="DejaVu Sans"/>
        <family val="2"/>
        <charset val="1"/>
      </rPr>
      <t xml:space="preserve">($K)</t>
    </r>
  </si>
  <si>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DejaVu Sans"/>
        <family val="2"/>
      </rPr>
      <t xml:space="preserve">개월</t>
    </r>
  </si>
  <si>
    <r>
      <rPr>
        <b val="true"/>
        <sz val="10"/>
        <color rgb="FF00B050"/>
        <rFont val="Arial"/>
        <family val="0"/>
        <charset val="1"/>
      </rPr>
      <t xml:space="preserve">5.4</t>
    </r>
    <r>
      <rPr>
        <b val="true"/>
        <sz val="10"/>
        <color rgb="FF00B050"/>
        <rFont val="DejaVu Sans"/>
        <family val="2"/>
      </rPr>
      <t xml:space="preserve">개월</t>
    </r>
  </si>
  <si>
    <r>
      <rPr>
        <b val="true"/>
        <sz val="10"/>
        <color rgb="FF00B050"/>
        <rFont val="Arial"/>
        <family val="0"/>
        <charset val="1"/>
      </rPr>
      <t xml:space="preserve">0.8</t>
    </r>
    <r>
      <rPr>
        <b val="true"/>
        <sz val="10"/>
        <color rgb="FF00B050"/>
        <rFont val="DejaVu Sans"/>
        <family val="2"/>
      </rPr>
      <t xml:space="preserve">개월 단축</t>
    </r>
  </si>
  <si>
    <t xml:space="preserve">$2M ÷ $4.444M × 12</t>
  </si>
  <si>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DejaVu Sans"/>
        <family val="2"/>
      </rPr>
      <t xml:space="preserve">년 누적 이익 </t>
    </r>
    <r>
      <rPr>
        <b val="true"/>
        <sz val="10"/>
        <color rgb="FF000000"/>
        <rFont val="Arial"/>
        <family val="0"/>
        <charset val="1"/>
      </rPr>
      <t xml:space="preserve">($K)</t>
    </r>
  </si>
  <si>
    <r>
      <rPr>
        <b val="true"/>
        <sz val="10"/>
        <color rgb="FF00B050"/>
        <rFont val="Arial"/>
        <family val="0"/>
        <charset val="1"/>
      </rPr>
      <t xml:space="preserve">+$900K (</t>
    </r>
    <r>
      <rPr>
        <b val="true"/>
        <sz val="10"/>
        <color rgb="FF00B050"/>
        <rFont val="DejaVu Sans"/>
        <family val="2"/>
      </rPr>
      <t xml:space="preserve">금형 내재화 </t>
    </r>
    <r>
      <rPr>
        <b val="true"/>
        <sz val="10"/>
        <color rgb="FF00B050"/>
        <rFont val="Arial"/>
        <family val="0"/>
        <charset val="1"/>
      </rPr>
      <t xml:space="preserve">$300K + </t>
    </r>
    <r>
      <rPr>
        <b val="true"/>
        <sz val="10"/>
        <color rgb="FF00B050"/>
        <rFont val="DejaVu Sans"/>
        <family val="2"/>
      </rPr>
      <t xml:space="preserve">향후 검토 </t>
    </r>
    <r>
      <rPr>
        <b val="true"/>
        <sz val="10"/>
        <color rgb="FF00B050"/>
        <rFont val="Arial"/>
        <family val="0"/>
        <charset val="1"/>
      </rPr>
      <t xml:space="preserve">$300K </t>
    </r>
    <r>
      <rPr>
        <b val="true"/>
        <sz val="10"/>
        <color rgb="FF00B050"/>
        <rFont val="DejaVu Sans"/>
        <family val="2"/>
      </rPr>
      <t xml:space="preserve">제외</t>
    </r>
    <r>
      <rPr>
        <b val="true"/>
        <sz val="10"/>
        <color rgb="FF00B05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</si>
  <si>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  5. </t>
    </r>
    <r>
      <rPr>
        <b val="true"/>
        <sz val="11"/>
        <color rgb="FFFFFFFF"/>
        <rFont val="DejaVu Sans"/>
        <family val="2"/>
      </rPr>
      <t xml:space="preserve">금형 내재화 전략적 부가 가치</t>
    </r>
  </si>
  <si>
    <t xml:space="preserve">영역</t>
  </si>
  <si>
    <t xml:space="preserve">내용</t>
  </si>
  <si>
    <t xml:space="preserve">기대 효과</t>
  </si>
  <si>
    <t xml:space="preserve">① 비용→수익 전환</t>
  </si>
  <si>
    <r>
      <rPr>
        <sz val="10"/>
        <color rgb="FF000000"/>
        <rFont val="DejaVu Sans"/>
        <family val="2"/>
      </rPr>
      <t xml:space="preserve">초과 생산 </t>
    </r>
    <r>
      <rPr>
        <sz val="10"/>
        <color rgb="FF000000"/>
        <rFont val="DejaVu Sans"/>
        <family val="2"/>
        <charset val="1"/>
      </rPr>
      <t xml:space="preserve">60</t>
    </r>
    <r>
      <rPr>
        <sz val="10"/>
        <color rgb="FF000000"/>
        <rFont val="DejaVu Sans"/>
        <family val="2"/>
      </rPr>
      <t xml:space="preserve">개를 외부 </t>
    </r>
    <r>
      <rPr>
        <sz val="10"/>
        <color rgb="FF000000"/>
        <rFont val="DejaVu Sans"/>
        <family val="2"/>
        <charset val="1"/>
      </rPr>
      <t xml:space="preserve">$13,500</t>
    </r>
    <r>
      <rPr>
        <sz val="10"/>
        <color rgb="FF000000"/>
        <rFont val="DejaVu Sans"/>
        <family val="2"/>
      </rPr>
      <t xml:space="preserve">에 판매 → 금형 사업이 독립 수익원으로 전환</t>
    </r>
  </si>
  <si>
    <r>
      <rPr>
        <b val="true"/>
        <sz val="10"/>
        <color rgb="FF375623"/>
        <rFont val="DejaVu Sans"/>
        <family val="2"/>
      </rPr>
      <t xml:space="preserve">연 </t>
    </r>
    <r>
      <rPr>
        <b val="true"/>
        <sz val="10"/>
        <color rgb="FF375623"/>
        <rFont val="DejaVu Sans"/>
        <family val="2"/>
        <charset val="1"/>
      </rPr>
      <t xml:space="preserve">$300K </t>
    </r>
    <r>
      <rPr>
        <b val="true"/>
        <sz val="10"/>
        <color rgb="FF375623"/>
        <rFont val="DejaVu Sans"/>
        <family val="2"/>
      </rPr>
      <t xml:space="preserve">신규 이익</t>
    </r>
  </si>
  <si>
    <t xml:space="preserve">② 납기 단축</t>
  </si>
  <si>
    <r>
      <rPr>
        <sz val="10"/>
        <color rgb="FF000000"/>
        <rFont val="DejaVu Sans"/>
        <family val="2"/>
      </rPr>
      <t xml:space="preserve">외부 벤더 의존 제거 → 신규 모델 금형 리드타임 단축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삼성 </t>
    </r>
    <r>
      <rPr>
        <sz val="10"/>
        <color rgb="FF000000"/>
        <rFont val="DejaVu Sans"/>
        <family val="2"/>
        <charset val="1"/>
      </rPr>
      <t xml:space="preserve">6</t>
    </r>
    <r>
      <rPr>
        <sz val="10"/>
        <color rgb="FF000000"/>
        <rFont val="DejaVu Sans"/>
        <family val="2"/>
      </rPr>
      <t xml:space="preserve">개월 사이클 대응력 강화</t>
    </r>
  </si>
  <si>
    <t xml:space="preserve">수주 기회 선점</t>
  </si>
  <si>
    <t xml:space="preserve">③ 품질 균일성 향상</t>
  </si>
  <si>
    <r>
      <rPr>
        <sz val="10"/>
        <color rgb="FF000000"/>
        <rFont val="DejaVu Sans"/>
        <family val="2"/>
      </rPr>
      <t xml:space="preserve">자동화로 금형 정밀도</t>
    </r>
    <r>
      <rPr>
        <sz val="10"/>
        <color rgb="FF000000"/>
        <rFont val="DejaVu Sans"/>
        <family val="2"/>
        <charset val="1"/>
      </rPr>
      <t xml:space="preserve">·</t>
    </r>
    <r>
      <rPr>
        <sz val="10"/>
        <color rgb="FF000000"/>
        <rFont val="DejaVu Sans"/>
        <family val="2"/>
      </rPr>
      <t xml:space="preserve">균일성 향상 → 브라켓 불량률 감소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삼성 품질 기준 초과 달성</t>
    </r>
  </si>
  <si>
    <t xml:space="preserve">클레임 비용 절감</t>
  </si>
  <si>
    <t xml:space="preserve">④ 기술 자산 구축</t>
  </si>
  <si>
    <r>
      <rPr>
        <sz val="10"/>
        <color rgb="FF000000"/>
        <rFont val="DejaVu Sans"/>
        <family val="2"/>
      </rPr>
      <t xml:space="preserve">금형 관리 시스템 도입 → 타수 추적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수명 예측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표준 스펙 확립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삼성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자동차 적용</t>
    </r>
  </si>
  <si>
    <t xml:space="preserve">기술 경쟁력 차별화</t>
  </si>
  <si>
    <t xml:space="preserve">⑤ 공급망 독립</t>
  </si>
  <si>
    <r>
      <rPr>
        <sz val="10"/>
        <color rgb="FF000000"/>
        <rFont val="DejaVu Sans"/>
        <family val="2"/>
      </rPr>
      <t xml:space="preserve">외부 금형업체 의존 탈피 → 원가 통제권 확보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가격 협상력 강화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리스크 분산</t>
    </r>
  </si>
  <si>
    <t xml:space="preserve">원가 구조 자율성</t>
  </si>
  <si>
    <t xml:space="preserve">⑥ 비삼성 확장 무기</t>
  </si>
  <si>
    <r>
      <rPr>
        <sz val="10"/>
        <color rgb="FF000000"/>
        <rFont val="DejaVu Sans"/>
        <family val="2"/>
      </rPr>
      <t xml:space="preserve">고품질 내부 금형으로 자동차</t>
    </r>
    <r>
      <rPr>
        <sz val="10"/>
        <color rgb="FF000000"/>
        <rFont val="DejaVu Sans"/>
        <family val="2"/>
        <charset val="1"/>
      </rPr>
      <t xml:space="preserve">·</t>
    </r>
    <r>
      <rPr>
        <sz val="10"/>
        <color rgb="FF000000"/>
        <rFont val="DejaVu Sans"/>
        <family val="2"/>
      </rPr>
      <t xml:space="preserve">방산 신규 프로젝트 입찰 경쟁력 강화</t>
    </r>
  </si>
  <si>
    <t xml:space="preserve">비삼성 매출 성장 동력</t>
  </si>
  <si>
    <r>
      <rPr>
        <b val="true"/>
        <sz val="10"/>
        <color rgb="FF375623"/>
        <rFont val="DejaVu Sans"/>
        <family val="2"/>
      </rPr>
      <t xml:space="preserve">★ 최종 결론</t>
    </r>
    <r>
      <rPr>
        <b val="true"/>
        <sz val="10"/>
        <color rgb="FF375623"/>
        <rFont val="DejaVu Sans"/>
        <family val="2"/>
        <charset val="1"/>
      </rPr>
      <t xml:space="preserve">: </t>
    </r>
    <r>
      <rPr>
        <b val="true"/>
        <sz val="10"/>
        <color rgb="FF375623"/>
        <rFont val="DejaVu Sans"/>
        <family val="2"/>
      </rPr>
      <t xml:space="preserve">금형 내재화는 투자 회수를 </t>
    </r>
    <r>
      <rPr>
        <b val="true"/>
        <sz val="10"/>
        <color rgb="FF375623"/>
        <rFont val="DejaVu Sans"/>
        <family val="2"/>
        <charset val="1"/>
      </rPr>
      <t xml:space="preserve">6.2→5.4</t>
    </r>
    <r>
      <rPr>
        <b val="true"/>
        <sz val="10"/>
        <color rgb="FF375623"/>
        <rFont val="DejaVu Sans"/>
        <family val="2"/>
      </rPr>
      <t xml:space="preserve">개월로 단축시키고</t>
    </r>
    <r>
      <rPr>
        <b val="true"/>
        <sz val="10"/>
        <color rgb="FF375623"/>
        <rFont val="DejaVu Sans"/>
        <family val="2"/>
        <charset val="1"/>
      </rPr>
      <t xml:space="preserve">, 7% </t>
    </r>
    <r>
      <rPr>
        <b val="true"/>
        <sz val="10"/>
        <color rgb="FF375623"/>
        <rFont val="DejaVu Sans"/>
        <family val="2"/>
      </rPr>
      <t xml:space="preserve">마진에서도 중국 기본 시나리오를 이길 수 있는 경쟁력을 확보한다</t>
    </r>
    <r>
      <rPr>
        <b val="true"/>
        <sz val="10"/>
        <color rgb="FF375623"/>
        <rFont val="DejaVu Sans"/>
        <family val="2"/>
        <charset val="1"/>
      </rPr>
      <t xml:space="preserve">. </t>
    </r>
    <r>
      <rPr>
        <b val="true"/>
        <sz val="10"/>
        <color rgb="FF375623"/>
        <rFont val="DejaVu Sans"/>
        <family val="2"/>
      </rPr>
      <t xml:space="preserve">자사 금형 내재화로 연 </t>
    </r>
    <r>
      <rPr>
        <b val="true"/>
        <sz val="10"/>
        <color rgb="FF375623"/>
        <rFont val="DejaVu Sans"/>
        <family val="2"/>
        <charset val="1"/>
      </rPr>
      <t xml:space="preserve">$300K </t>
    </r>
    <r>
      <rPr>
        <b val="true"/>
        <sz val="10"/>
        <color rgb="FF375623"/>
        <rFont val="DejaVu Sans"/>
        <family val="2"/>
      </rPr>
      <t xml:space="preserve">원가 절감이 발생하며</t>
    </r>
    <r>
      <rPr>
        <b val="true"/>
        <sz val="10"/>
        <color rgb="FF375623"/>
        <rFont val="DejaVu Sans"/>
        <family val="2"/>
        <charset val="1"/>
      </rPr>
      <t xml:space="preserve">, </t>
    </r>
    <r>
      <rPr>
        <b val="true"/>
        <sz val="10"/>
        <color rgb="FF375623"/>
        <rFont val="DejaVu Sans"/>
        <family val="2"/>
      </rPr>
      <t xml:space="preserve">초과 용량</t>
    </r>
    <r>
      <rPr>
        <b val="true"/>
        <sz val="10"/>
        <color rgb="FF375623"/>
        <rFont val="DejaVu Sans"/>
        <family val="2"/>
        <charset val="1"/>
      </rPr>
      <t xml:space="preserve">(60</t>
    </r>
    <r>
      <rPr>
        <b val="true"/>
        <sz val="10"/>
        <color rgb="FF375623"/>
        <rFont val="DejaVu Sans"/>
        <family val="2"/>
      </rPr>
      <t xml:space="preserve">개</t>
    </r>
    <r>
      <rPr>
        <b val="true"/>
        <sz val="10"/>
        <color rgb="FF375623"/>
        <rFont val="DejaVu Sans"/>
        <family val="2"/>
        <charset val="1"/>
      </rPr>
      <t xml:space="preserve">/</t>
    </r>
    <r>
      <rPr>
        <b val="true"/>
        <sz val="10"/>
        <color rgb="FF375623"/>
        <rFont val="DejaVu Sans"/>
        <family val="2"/>
      </rPr>
      <t xml:space="preserve">년</t>
    </r>
    <r>
      <rPr>
        <b val="true"/>
        <sz val="10"/>
        <color rgb="FF375623"/>
        <rFont val="DejaVu Sans"/>
        <family val="2"/>
        <charset val="1"/>
      </rPr>
      <t xml:space="preserve">)</t>
    </r>
    <r>
      <rPr>
        <b val="true"/>
        <sz val="10"/>
        <color rgb="FF375623"/>
        <rFont val="DejaVu Sans"/>
        <family val="2"/>
      </rPr>
      <t xml:space="preserve">은 현재 내부 집중이나 삼성 캐스팅 개발사 등록 등 향후 기회 발생 시 연 </t>
    </r>
    <r>
      <rPr>
        <b val="true"/>
        <sz val="10"/>
        <color rgb="FF375623"/>
        <rFont val="DejaVu Sans"/>
        <family val="2"/>
        <charset val="1"/>
      </rPr>
      <t xml:space="preserve">$300K </t>
    </r>
    <r>
      <rPr>
        <b val="true"/>
        <sz val="10"/>
        <color rgb="FF375623"/>
        <rFont val="DejaVu Sans"/>
        <family val="2"/>
      </rPr>
      <t xml:space="preserve">추가 이익원으로 전환 가능한 잠재력을 보유한다</t>
    </r>
    <r>
      <rPr>
        <b val="true"/>
        <sz val="10"/>
        <color rgb="FF375623"/>
        <rFont val="DejaVu Sans"/>
        <family val="2"/>
        <charset val="1"/>
      </rPr>
      <t xml:space="preserve">. </t>
    </r>
    <r>
      <rPr>
        <b val="true"/>
        <sz val="10"/>
        <color rgb="FF375623"/>
        <rFont val="DejaVu Sans"/>
        <family val="2"/>
      </rPr>
      <t xml:space="preserve">금형 관리 시스템은 삼성</t>
    </r>
    <r>
      <rPr>
        <b val="true"/>
        <sz val="10"/>
        <color rgb="FF375623"/>
        <rFont val="DejaVu Sans"/>
        <family val="2"/>
        <charset val="1"/>
      </rPr>
      <t xml:space="preserve">·</t>
    </r>
    <r>
      <rPr>
        <b val="true"/>
        <sz val="10"/>
        <color rgb="FF375623"/>
        <rFont val="DejaVu Sans"/>
        <family val="2"/>
      </rPr>
      <t xml:space="preserve">자동차 품질 경쟁력을 구조적으로 향상시키는 장기 기술 자산이다</t>
    </r>
    <r>
      <rPr>
        <b val="true"/>
        <sz val="10"/>
        <color rgb="FF375623"/>
        <rFont val="DejaVu Sans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</si>
</sst>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_);\(#,##0\);\-"/>
    <numFmt numFmtId="166" formatCode="0.0%;\(0.0%\);\-"/>
    <numFmt numFmtId="167" formatCode="0.0_);\(0.0\);\-"/>
    <numFmt numFmtId="168" formatCode="\$#,##0.0000"/>
    <numFmt numFmtId="169" formatCode="0"/>
    <numFmt numFmtId="170" formatCode="0\개"/>
    <numFmt numFmtId="171" formatCode="0.0&quot;개월&quot;"/>
    <numFmt numFmtId="172" formatCode="0.0\x"/>
    <numFmt numFmtId="173" formatCode="@"/>
    <numFmt numFmtId="174" formatCode="\$#,##0"/>
    <numFmt numFmtId="175" formatCode="0.0%"/>
    <numFmt numFmtId="176" formatCode="\+0\개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sz val="11"/>
      <color rgb="FFFFFFFF"/>
      <name val="DejaVu Sans"/>
      <family val="2"/>
    </font>
    <font>
      <sz val="11"/>
      <color rgb="FFFFFFFF"/>
      <name val="DejaVu Sans"/>
      <family val="2"/>
      <charset val="1"/>
    </font>
    <font>
      <b val="true"/>
      <sz val="10"/>
      <color rgb="FFFFFFFF"/>
      <name val="DejaVu Sans"/>
      <family val="2"/>
    </font>
    <font>
      <b val="true"/>
      <sz val="12"/>
      <color rgb="FF1F3864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2"/>
      <color rgb="FF17375E"/>
      <name val="Arial"/>
      <family val="0"/>
      <charset val="1"/>
    </font>
    <font>
      <b val="true"/>
      <sz val="12"/>
      <color rgb="FF00B050"/>
      <name val="Arial"/>
      <family val="0"/>
      <charset val="1"/>
    </font>
    <font>
      <b val="true"/>
      <sz val="12"/>
      <color rgb="FF00B050"/>
      <name val="DejaVu Sans"/>
      <family val="2"/>
    </font>
    <font>
      <b val="true"/>
      <sz val="11"/>
      <color rgb="FF7B5800"/>
      <name val="DejaVu Sans"/>
      <family val="2"/>
    </font>
    <font>
      <b val="true"/>
      <sz val="11"/>
      <color rgb="FF7B5800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sz val="10"/>
      <color rgb="FF000000"/>
      <name val="DejaVu Sans"/>
      <family val="2"/>
      <charset val="1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B5800"/>
      <name val="DejaVu Sans"/>
      <family val="2"/>
    </font>
    <font>
      <b val="true"/>
      <sz val="10"/>
      <color rgb="FF7B5800"/>
      <name val="DejaVu Sans"/>
      <family val="2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DejaVu Sans"/>
      <family val="2"/>
      <charset val="1"/>
    </font>
    <font>
      <i val="true"/>
      <sz val="9"/>
      <color rgb="FF595959"/>
      <name val="DejaVu Sans"/>
      <family val="2"/>
    </font>
    <font>
      <i val="true"/>
      <sz val="9"/>
      <color rgb="FF595959"/>
      <name val="DejaVu Sans"/>
      <family val="2"/>
      <charset val="1"/>
    </font>
    <font>
      <i val="true"/>
      <sz val="9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DejaVu Sans"/>
      <family val="2"/>
    </font>
    <font>
      <sz val="10"/>
      <color rgb="FF595959"/>
      <name val="DejaVu Sans"/>
      <family val="2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DejaVu Sans"/>
      <family val="2"/>
    </font>
    <font>
      <i val="true"/>
      <sz val="10"/>
      <color rgb="FF595959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DejaVu Sans"/>
      <family val="2"/>
      <charset val="1"/>
    </font>
    <font>
      <b val="true"/>
      <sz val="10"/>
      <color rgb="FF7B5800"/>
      <name val="Arial"/>
      <family val="0"/>
      <charset val="1"/>
    </font>
    <font>
      <b val="true"/>
      <sz val="10"/>
      <color rgb="FF375623"/>
      <name val="DejaVu Sans"/>
      <family val="2"/>
    </font>
    <font>
      <b val="true"/>
      <sz val="10"/>
      <color rgb="FF375623"/>
      <name val="DejaVu Sans"/>
      <family val="2"/>
      <charset val="1"/>
    </font>
    <font>
      <b val="true"/>
      <sz val="10"/>
      <color rgb="FF00B050"/>
      <name val="DejaVu Sans"/>
      <family val="2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DejaVu Sans"/>
      <family val="2"/>
      <charset val="1"/>
    </font>
    <font>
      <sz val="10"/>
      <color rgb="FFFFFFFF"/>
      <name val="DejaVu Sans"/>
      <family val="2"/>
    </font>
    <font>
      <sz val="10"/>
      <color rgb="FFFFFFFF"/>
      <name val="DejaVu Sans"/>
      <family val="2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0000"/>
      <name val="DejaVu Sans"/>
      <family val="2"/>
    </font>
    <font>
      <sz val="10"/>
      <color rgb="FF00B050"/>
      <name val="Arial"/>
      <family val="0"/>
      <charset val="1"/>
    </font>
    <font>
      <i val="true"/>
      <sz val="10"/>
      <color rgb="FF000000"/>
      <name val="DejaVu Sans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17375E"/>
        <bgColor rgb="FF1F3864"/>
      </patternFill>
    </fill>
    <fill>
      <patternFill patternType="solid">
        <fgColor rgb="FF00B050"/>
        <bgColor rgb="FF008080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9E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17375E"/>
      </left>
      <right style="thin">
        <color rgb="FF17375E"/>
      </right>
      <top style="thin">
        <color rgb="FF17375E"/>
      </top>
      <bottom style="thin">
        <color rgb="FF17375E"/>
      </bottom>
      <diagonal/>
    </border>
    <border diagonalUp="false" diagonalDown="false"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F0A500"/>
      </left>
      <right style="medium">
        <color rgb="FFF0A500"/>
      </right>
      <top style="medium">
        <color rgb="FFF0A500"/>
      </top>
      <bottom style="medium">
        <color rgb="FFF0A500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0A500"/>
      </left>
      <right style="thin">
        <color rgb="FFF0A500"/>
      </right>
      <top style="thin">
        <color rgb="FFF0A500"/>
      </top>
      <bottom style="thin">
        <color rgb="FFF0A500"/>
      </bottom>
      <diagonal/>
    </border>
    <border diagonalUp="false" diagonalDown="false">
      <left style="thin">
        <color rgb="FF1F3864"/>
      </left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375623"/>
      </left>
      <right/>
      <top style="thin">
        <color rgb="FF375623"/>
      </top>
      <bottom style="thin">
        <color rgb="FF375623"/>
      </bottom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0A500"/>
      </left>
      <right/>
      <top style="thin">
        <color rgb="FFF0A500"/>
      </top>
      <bottom style="thin">
        <color rgb="FFF0A5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9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3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3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5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5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5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1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8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1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8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9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53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0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1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9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800"/>
      <rgbColor rgb="FF800080"/>
      <rgbColor rgb="FF008080"/>
      <rgbColor rgb="FFCCCCCC"/>
      <rgbColor rgb="FF808080"/>
      <rgbColor rgb="FF9999FF"/>
      <rgbColor rgb="FF993366"/>
      <rgbColor rgb="FFFFF9E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0A500"/>
      <rgbColor rgb="FFFF6600"/>
      <rgbColor rgb="FF595959"/>
      <rgbColor rgb="FF969696"/>
      <rgbColor rgb="FF17375E"/>
      <rgbColor rgb="FF00B050"/>
      <rgbColor rgb="FF003300"/>
      <rgbColor rgb="FF375623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8" min="3" style="1" width="14"/>
    <col collapsed="false" customWidth="true" hidden="false" outlineLevel="0" max="9" min="9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6" hidden="false" customHeight="true" outlineLevel="0" collapsed="false"/>
    <row r="5" customFormat="false" ht="19.5" hidden="false" customHeight="true" outlineLevel="0" collapsed="false">
      <c r="B5" s="4" t="s">
        <v>2</v>
      </c>
      <c r="C5" s="4"/>
      <c r="D5" s="5" t="s">
        <v>3</v>
      </c>
      <c r="E5" s="5"/>
      <c r="F5" s="6" t="s">
        <v>4</v>
      </c>
      <c r="G5" s="6"/>
      <c r="H5" s="7" t="s">
        <v>5</v>
      </c>
    </row>
    <row r="6" customFormat="false" ht="27.75" hidden="false" customHeight="true" outlineLevel="0" collapsed="false">
      <c r="B6" s="8" t="s">
        <v>6</v>
      </c>
      <c r="C6" s="8"/>
      <c r="D6" s="9" t="s">
        <v>7</v>
      </c>
      <c r="E6" s="9"/>
      <c r="F6" s="10" t="s">
        <v>8</v>
      </c>
      <c r="G6" s="10"/>
      <c r="H6" s="11" t="s">
        <v>9</v>
      </c>
    </row>
    <row r="7" customFormat="false" ht="6" hidden="false" customHeight="true" outlineLevel="0" collapsed="false"/>
    <row r="8" customFormat="false" ht="27.75" hidden="false" customHeight="true" outlineLevel="0" collapsed="false">
      <c r="B8" s="12" t="s">
        <v>10</v>
      </c>
      <c r="C8" s="12"/>
      <c r="D8" s="12"/>
      <c r="E8" s="12"/>
      <c r="F8" s="12"/>
      <c r="G8" s="12"/>
      <c r="H8" s="12"/>
    </row>
    <row r="9" customFormat="false" ht="6" hidden="false" customHeight="true" outlineLevel="0" collapsed="false"/>
    <row r="10" customFormat="false" ht="18" hidden="false" customHeight="true" outlineLevel="0" collapsed="false">
      <c r="A10" s="13" t="s">
        <v>11</v>
      </c>
      <c r="B10" s="13"/>
      <c r="C10" s="13"/>
      <c r="D10" s="13"/>
      <c r="E10" s="13"/>
      <c r="F10" s="13"/>
      <c r="G10" s="13"/>
      <c r="H10" s="13"/>
    </row>
    <row r="11" customFormat="false" ht="18" hidden="false" customHeight="true" outlineLevel="0" collapsed="false"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H11" s="14" t="s">
        <v>18</v>
      </c>
    </row>
    <row r="12" customFormat="false" ht="18" hidden="false" customHeight="true" outlineLevel="0" collapsed="false">
      <c r="B12" s="15" t="s">
        <v>19</v>
      </c>
      <c r="C12" s="16" t="n">
        <v>10000</v>
      </c>
      <c r="D12" s="17" t="n">
        <v>0.15</v>
      </c>
      <c r="E12" s="18" t="n">
        <f aca="false">C12*D12</f>
        <v>1500</v>
      </c>
      <c r="F12" s="17" t="n">
        <v>0.235</v>
      </c>
      <c r="G12" s="19" t="n">
        <f aca="false">C12*F12</f>
        <v>2350</v>
      </c>
      <c r="H12" s="20" t="n">
        <f aca="false">G12-E12</f>
        <v>850</v>
      </c>
    </row>
    <row r="13" customFormat="false" ht="18" hidden="false" customHeight="true" outlineLevel="0" collapsed="false">
      <c r="B13" s="15" t="s">
        <v>20</v>
      </c>
      <c r="C13" s="16" t="n">
        <v>28000</v>
      </c>
      <c r="D13" s="17" t="n">
        <v>0.08</v>
      </c>
      <c r="E13" s="18" t="n">
        <f aca="false">C13*D13</f>
        <v>2240</v>
      </c>
      <c r="F13" s="17" t="n">
        <v>0.172</v>
      </c>
      <c r="G13" s="19" t="n">
        <f aca="false">C13*F13</f>
        <v>4816</v>
      </c>
      <c r="H13" s="20" t="n">
        <f aca="false">G13-E13</f>
        <v>2576</v>
      </c>
    </row>
    <row r="14" customFormat="false" ht="18" hidden="false" customHeight="true" outlineLevel="0" collapsed="false">
      <c r="B14" s="21" t="s">
        <v>21</v>
      </c>
      <c r="C14" s="16" t="n">
        <v>7000</v>
      </c>
      <c r="D14" s="17" t="n">
        <v>0.2</v>
      </c>
      <c r="E14" s="18" t="n">
        <f aca="false">C14*D14</f>
        <v>1400</v>
      </c>
      <c r="F14" s="17" t="n">
        <v>0.28</v>
      </c>
      <c r="G14" s="19" t="n">
        <f aca="false">C14*F14</f>
        <v>1960</v>
      </c>
      <c r="H14" s="20" t="n">
        <f aca="false">G14-E14</f>
        <v>560</v>
      </c>
    </row>
    <row r="15" customFormat="false" ht="19.5" hidden="false" customHeight="true" outlineLevel="0" collapsed="false">
      <c r="B15" s="22" t="s">
        <v>22</v>
      </c>
      <c r="C15" s="23" t="n">
        <f aca="false">SUM(C12:C14)</f>
        <v>45000</v>
      </c>
      <c r="D15" s="24" t="n">
        <f aca="false">E15/C15</f>
        <v>0.114222222222222</v>
      </c>
      <c r="E15" s="23" t="n">
        <f aca="false">SUM(E12:E14)</f>
        <v>5140</v>
      </c>
      <c r="F15" s="24" t="n">
        <f aca="false">G15/C15</f>
        <v>0.2028</v>
      </c>
      <c r="G15" s="23" t="n">
        <f aca="false">SUM(G12:G14)</f>
        <v>9126</v>
      </c>
      <c r="H15" s="23" t="n">
        <f aca="false">SUM(H12:H14)</f>
        <v>3986</v>
      </c>
    </row>
    <row r="16" customFormat="false" ht="6" hidden="false" customHeight="true" outlineLevel="0" collapsed="false"/>
    <row r="17" customFormat="false" ht="18" hidden="false" customHeight="true" outlineLevel="0" collapsed="false">
      <c r="A17" s="13" t="s">
        <v>23</v>
      </c>
      <c r="B17" s="13"/>
      <c r="C17" s="13"/>
      <c r="D17" s="13"/>
      <c r="E17" s="13"/>
      <c r="F17" s="13"/>
      <c r="G17" s="13"/>
      <c r="H17" s="13"/>
    </row>
    <row r="18" customFormat="false" ht="18" hidden="false" customHeight="true" outlineLevel="0" collapsed="false">
      <c r="B18" s="15" t="s">
        <v>24</v>
      </c>
      <c r="C18" s="16" t="n">
        <v>2000</v>
      </c>
      <c r="D18" s="16"/>
      <c r="E18" s="16"/>
      <c r="F18" s="16"/>
      <c r="G18" s="16"/>
      <c r="H18" s="16"/>
    </row>
    <row r="19" customFormat="false" ht="18" hidden="false" customHeight="true" outlineLevel="0" collapsed="false">
      <c r="B19" s="15" t="s">
        <v>25</v>
      </c>
      <c r="C19" s="25" t="n">
        <f aca="false">SUM(H12:H14)</f>
        <v>3986</v>
      </c>
      <c r="D19" s="25"/>
      <c r="E19" s="25"/>
      <c r="F19" s="25"/>
      <c r="G19" s="25"/>
      <c r="H19" s="25"/>
    </row>
    <row r="20" customFormat="false" ht="18" hidden="false" customHeight="true" outlineLevel="0" collapsed="false">
      <c r="B20" s="15" t="s">
        <v>26</v>
      </c>
      <c r="C20" s="25" t="n">
        <f aca="false">C19/C18*12</f>
        <v>23.916</v>
      </c>
      <c r="D20" s="25"/>
      <c r="E20" s="25"/>
      <c r="F20" s="25"/>
      <c r="G20" s="25"/>
      <c r="H20" s="25"/>
    </row>
    <row r="21" customFormat="false" ht="18" hidden="false" customHeight="true" outlineLevel="0" collapsed="false">
      <c r="B21" s="21" t="s">
        <v>27</v>
      </c>
      <c r="C21" s="20" t="n">
        <f aca="false">C18*3</f>
        <v>6000</v>
      </c>
      <c r="D21" s="20"/>
      <c r="E21" s="20"/>
      <c r="F21" s="20"/>
      <c r="G21" s="20"/>
      <c r="H21" s="20"/>
    </row>
    <row r="22" customFormat="false" ht="18" hidden="false" customHeight="true" outlineLevel="0" collapsed="false">
      <c r="B22" s="15" t="s">
        <v>28</v>
      </c>
      <c r="C22" s="26" t="str">
        <f aca="false">C21/2000*100&amp;"% (3년)"</f>
        <v>300% (3년)</v>
      </c>
      <c r="D22" s="26"/>
      <c r="E22" s="26"/>
      <c r="F22" s="26"/>
      <c r="G22" s="26"/>
      <c r="H22" s="26"/>
    </row>
    <row r="23" customFormat="false" ht="6" hidden="false" customHeight="true" outlineLevel="0" collapsed="false"/>
    <row r="24" customFormat="false" ht="18" hidden="false" customHeight="true" outlineLevel="0" collapsed="false">
      <c r="A24" s="13" t="s">
        <v>29</v>
      </c>
      <c r="B24" s="13"/>
      <c r="C24" s="13"/>
      <c r="D24" s="13"/>
      <c r="E24" s="13"/>
      <c r="F24" s="13"/>
      <c r="G24" s="13"/>
      <c r="H24" s="13"/>
    </row>
    <row r="25" customFormat="false" ht="30" hidden="false" customHeight="true" outlineLevel="0" collapsed="false">
      <c r="B25" s="14" t="s">
        <v>30</v>
      </c>
      <c r="C25" s="14" t="s">
        <v>31</v>
      </c>
      <c r="D25" s="14" t="s">
        <v>32</v>
      </c>
      <c r="E25" s="14" t="s">
        <v>33</v>
      </c>
      <c r="F25" s="14" t="s">
        <v>34</v>
      </c>
      <c r="G25" s="27" t="s">
        <v>35</v>
      </c>
      <c r="H25" s="14" t="s">
        <v>36</v>
      </c>
    </row>
    <row r="26" customFormat="false" ht="18" hidden="false" customHeight="true" outlineLevel="0" collapsed="false">
      <c r="B26" s="28" t="s">
        <v>37</v>
      </c>
      <c r="C26" s="29" t="s">
        <v>38</v>
      </c>
      <c r="D26" s="30" t="n">
        <v>0.235</v>
      </c>
      <c r="E26" s="19" t="n">
        <v>1958</v>
      </c>
      <c r="F26" s="31" t="n">
        <v>8734</v>
      </c>
      <c r="G26" s="32" t="s">
        <v>39</v>
      </c>
      <c r="H26" s="32" t="s">
        <v>40</v>
      </c>
    </row>
    <row r="27" customFormat="false" ht="18" hidden="false" customHeight="true" outlineLevel="0" collapsed="false">
      <c r="B27" s="33" t="s">
        <v>41</v>
      </c>
      <c r="C27" s="34" t="s">
        <v>42</v>
      </c>
      <c r="D27" s="35" t="n">
        <v>0.053</v>
      </c>
      <c r="E27" s="36" t="n">
        <v>540</v>
      </c>
      <c r="F27" s="37" t="n">
        <v>7316</v>
      </c>
      <c r="G27" s="34" t="s">
        <v>43</v>
      </c>
      <c r="H27" s="38" t="s">
        <v>44</v>
      </c>
    </row>
    <row r="28" customFormat="false" ht="18" hidden="false" customHeight="true" outlineLevel="0" collapsed="false">
      <c r="B28" s="39" t="s">
        <v>45</v>
      </c>
      <c r="C28" s="40" t="s">
        <v>46</v>
      </c>
      <c r="D28" s="41" t="n">
        <v>0.1</v>
      </c>
      <c r="E28" s="42" t="n">
        <v>960</v>
      </c>
      <c r="F28" s="43" t="n">
        <v>8736</v>
      </c>
      <c r="G28" s="40" t="s">
        <v>47</v>
      </c>
      <c r="H28" s="44" t="s">
        <v>48</v>
      </c>
    </row>
    <row r="29" customFormat="false" ht="6" hidden="false" customHeight="true" outlineLevel="0" collapsed="false"/>
    <row r="30" customFormat="false" ht="30" hidden="false" customHeight="true" outlineLevel="0" collapsed="false">
      <c r="A30" s="45" t="s">
        <v>49</v>
      </c>
      <c r="B30" s="45"/>
      <c r="C30" s="45"/>
      <c r="D30" s="45"/>
      <c r="E30" s="45"/>
      <c r="F30" s="45"/>
      <c r="G30" s="45"/>
      <c r="H30" s="45"/>
    </row>
  </sheetData>
  <mergeCells count="18">
    <mergeCell ref="B2:H2"/>
    <mergeCell ref="B3:H3"/>
    <mergeCell ref="B5:C5"/>
    <mergeCell ref="D5:E5"/>
    <mergeCell ref="F5:G5"/>
    <mergeCell ref="B6:C6"/>
    <mergeCell ref="D6:E6"/>
    <mergeCell ref="F6:G6"/>
    <mergeCell ref="B8:H8"/>
    <mergeCell ref="A10:H10"/>
    <mergeCell ref="A17:H17"/>
    <mergeCell ref="C18:H18"/>
    <mergeCell ref="C19:H19"/>
    <mergeCell ref="C20:H20"/>
    <mergeCell ref="C21:H21"/>
    <mergeCell ref="C22:H22"/>
    <mergeCell ref="A24:H2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22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50</v>
      </c>
      <c r="B2" s="46"/>
      <c r="C2" s="46"/>
      <c r="D2" s="46"/>
      <c r="E2" s="46"/>
    </row>
    <row r="3" customFormat="false" ht="6" hidden="false" customHeight="true" outlineLevel="0" collapsed="false"/>
    <row r="4" customFormat="false" ht="18" hidden="false" customHeight="true" outlineLevel="0" collapsed="false">
      <c r="B4" s="47" t="s">
        <v>51</v>
      </c>
      <c r="C4" s="47"/>
      <c r="D4" s="47"/>
      <c r="E4" s="47"/>
    </row>
    <row r="5" customFormat="false" ht="6" hidden="false" customHeight="true" outlineLevel="0" collapsed="false"/>
    <row r="6" customFormat="false" ht="18" hidden="false" customHeight="true" outlineLevel="0" collapsed="false">
      <c r="A6" s="13" t="s">
        <v>52</v>
      </c>
      <c r="B6" s="13"/>
      <c r="C6" s="13"/>
      <c r="D6" s="13"/>
      <c r="E6" s="13"/>
    </row>
    <row r="7" customFormat="false" ht="18" hidden="false" customHeight="true" outlineLevel="0" collapsed="false">
      <c r="B7" s="14" t="s">
        <v>53</v>
      </c>
      <c r="C7" s="14" t="s">
        <v>54</v>
      </c>
      <c r="D7" s="14" t="s">
        <v>55</v>
      </c>
      <c r="E7" s="14" t="s">
        <v>56</v>
      </c>
    </row>
    <row r="8" customFormat="false" ht="18" hidden="false" customHeight="true" outlineLevel="0" collapsed="false">
      <c r="B8" s="15" t="s">
        <v>57</v>
      </c>
      <c r="C8" s="48" t="s">
        <v>58</v>
      </c>
      <c r="D8" s="49" t="n">
        <v>10000</v>
      </c>
      <c r="E8" s="50"/>
    </row>
    <row r="9" customFormat="false" ht="18" hidden="false" customHeight="true" outlineLevel="0" collapsed="false">
      <c r="B9" s="15" t="s">
        <v>59</v>
      </c>
      <c r="C9" s="48" t="s">
        <v>60</v>
      </c>
      <c r="D9" s="49" t="n">
        <v>28000</v>
      </c>
      <c r="E9" s="50"/>
    </row>
    <row r="10" customFormat="false" ht="18" hidden="false" customHeight="true" outlineLevel="0" collapsed="false">
      <c r="B10" s="21" t="s">
        <v>61</v>
      </c>
      <c r="C10" s="48" t="s">
        <v>62</v>
      </c>
      <c r="D10" s="49" t="n">
        <v>7000</v>
      </c>
      <c r="E10" s="50"/>
    </row>
    <row r="11" customFormat="false" ht="18" hidden="false" customHeight="true" outlineLevel="0" collapsed="false">
      <c r="B11" s="15" t="s">
        <v>63</v>
      </c>
      <c r="C11" s="48" t="s">
        <v>64</v>
      </c>
      <c r="D11" s="51" t="n">
        <v>0.15</v>
      </c>
      <c r="E11" s="52" t="s">
        <v>65</v>
      </c>
    </row>
    <row r="12" customFormat="false" ht="18" hidden="false" customHeight="true" outlineLevel="0" collapsed="false">
      <c r="B12" s="15" t="s">
        <v>66</v>
      </c>
      <c r="C12" s="48" t="s">
        <v>67</v>
      </c>
      <c r="D12" s="51" t="n">
        <v>0.08</v>
      </c>
      <c r="E12" s="52" t="s">
        <v>68</v>
      </c>
    </row>
    <row r="13" customFormat="false" ht="18" hidden="false" customHeight="true" outlineLevel="0" collapsed="false">
      <c r="B13" s="21" t="s">
        <v>69</v>
      </c>
      <c r="C13" s="48" t="s">
        <v>70</v>
      </c>
      <c r="D13" s="51" t="n">
        <v>0.2</v>
      </c>
      <c r="E13" s="52" t="s">
        <v>68</v>
      </c>
    </row>
    <row r="14" customFormat="false" ht="6" hidden="false" customHeight="true" outlineLevel="0" collapsed="false"/>
    <row r="15" customFormat="false" ht="18" hidden="false" customHeight="true" outlineLevel="0" collapsed="false">
      <c r="A15" s="13" t="s">
        <v>71</v>
      </c>
      <c r="B15" s="13"/>
      <c r="C15" s="13"/>
      <c r="D15" s="13"/>
      <c r="E15" s="13"/>
    </row>
    <row r="16" customFormat="false" ht="18" hidden="false" customHeight="true" outlineLevel="0" collapsed="false">
      <c r="B16" s="14" t="s">
        <v>53</v>
      </c>
      <c r="C16" s="14" t="s">
        <v>54</v>
      </c>
      <c r="D16" s="14" t="s">
        <v>55</v>
      </c>
      <c r="E16" s="14" t="s">
        <v>56</v>
      </c>
    </row>
    <row r="17" customFormat="false" ht="18" hidden="false" customHeight="true" outlineLevel="0" collapsed="false">
      <c r="B17" s="15" t="s">
        <v>72</v>
      </c>
      <c r="C17" s="48" t="s">
        <v>73</v>
      </c>
      <c r="D17" s="53" t="n">
        <v>0.63</v>
      </c>
      <c r="E17" s="50"/>
    </row>
    <row r="18" customFormat="false" ht="18" hidden="false" customHeight="true" outlineLevel="0" collapsed="false">
      <c r="B18" s="15" t="s">
        <v>74</v>
      </c>
      <c r="C18" s="48" t="s">
        <v>75</v>
      </c>
      <c r="D18" s="49" t="n">
        <v>13000</v>
      </c>
      <c r="E18" s="50"/>
    </row>
    <row r="19" customFormat="false" ht="18" hidden="false" customHeight="true" outlineLevel="0" collapsed="false">
      <c r="B19" s="15" t="s">
        <v>76</v>
      </c>
      <c r="C19" s="48" t="s">
        <v>77</v>
      </c>
      <c r="D19" s="49" t="n">
        <v>200000</v>
      </c>
      <c r="E19" s="50"/>
    </row>
    <row r="20" customFormat="false" ht="18" hidden="false" customHeight="true" outlineLevel="0" collapsed="false">
      <c r="B20" s="15" t="s">
        <v>78</v>
      </c>
      <c r="C20" s="48" t="s">
        <v>79</v>
      </c>
      <c r="D20" s="54" t="n">
        <f aca="false">D18/D19</f>
        <v>0.065</v>
      </c>
      <c r="E20" s="55" t="s">
        <v>80</v>
      </c>
    </row>
    <row r="21" customFormat="false" ht="18" hidden="false" customHeight="true" outlineLevel="0" collapsed="false">
      <c r="B21" s="15" t="s">
        <v>81</v>
      </c>
      <c r="C21" s="48" t="s">
        <v>82</v>
      </c>
      <c r="D21" s="54" t="n">
        <f aca="false">D17*(1-D11)</f>
        <v>0.5355</v>
      </c>
      <c r="E21" s="56" t="s">
        <v>83</v>
      </c>
    </row>
    <row r="22" customFormat="false" ht="18" hidden="false" customHeight="true" outlineLevel="0" collapsed="false">
      <c r="B22" s="15" t="s">
        <v>84</v>
      </c>
      <c r="C22" s="48" t="s">
        <v>85</v>
      </c>
      <c r="D22" s="54" t="n">
        <f aca="false">D17+D20</f>
        <v>0.695</v>
      </c>
      <c r="E22" s="56" t="s">
        <v>86</v>
      </c>
    </row>
    <row r="23" customFormat="false" ht="6" hidden="false" customHeight="true" outlineLevel="0" collapsed="false"/>
    <row r="24" customFormat="false" ht="18" hidden="false" customHeight="true" outlineLevel="0" collapsed="false">
      <c r="A24" s="13" t="s">
        <v>87</v>
      </c>
      <c r="B24" s="13"/>
      <c r="C24" s="13"/>
      <c r="D24" s="13"/>
      <c r="E24" s="13"/>
    </row>
    <row r="25" customFormat="false" ht="18" hidden="false" customHeight="true" outlineLevel="0" collapsed="false">
      <c r="B25" s="14" t="s">
        <v>53</v>
      </c>
      <c r="C25" s="14" t="s">
        <v>54</v>
      </c>
      <c r="D25" s="14" t="s">
        <v>55</v>
      </c>
      <c r="E25" s="14" t="s">
        <v>56</v>
      </c>
    </row>
    <row r="26" customFormat="false" ht="18" hidden="false" customHeight="true" outlineLevel="0" collapsed="false">
      <c r="B26" s="15" t="s">
        <v>88</v>
      </c>
      <c r="C26" s="48" t="s">
        <v>89</v>
      </c>
      <c r="D26" s="49" t="n">
        <v>2000</v>
      </c>
      <c r="E26" s="50"/>
    </row>
    <row r="27" customFormat="false" ht="18" hidden="false" customHeight="true" outlineLevel="0" collapsed="false">
      <c r="B27" s="21" t="s">
        <v>90</v>
      </c>
      <c r="C27" s="48" t="s">
        <v>91</v>
      </c>
      <c r="D27" s="51" t="n">
        <v>0.05</v>
      </c>
      <c r="E27" s="50"/>
    </row>
    <row r="28" customFormat="false" ht="18" hidden="false" customHeight="true" outlineLevel="0" collapsed="false">
      <c r="B28" s="21" t="s">
        <v>92</v>
      </c>
      <c r="C28" s="48" t="s">
        <v>93</v>
      </c>
      <c r="D28" s="51" t="n">
        <v>0.1</v>
      </c>
      <c r="E28" s="50"/>
    </row>
    <row r="29" customFormat="false" ht="18" hidden="false" customHeight="true" outlineLevel="0" collapsed="false">
      <c r="B29" s="21" t="s">
        <v>94</v>
      </c>
      <c r="C29" s="48" t="s">
        <v>95</v>
      </c>
      <c r="D29" s="57" t="n">
        <v>6</v>
      </c>
      <c r="E29" s="50"/>
    </row>
    <row r="30" customFormat="false" ht="18" hidden="false" customHeight="true" outlineLevel="0" collapsed="false">
      <c r="B30" s="21" t="s">
        <v>96</v>
      </c>
      <c r="C30" s="48" t="s">
        <v>97</v>
      </c>
      <c r="D30" s="57" t="n">
        <v>15</v>
      </c>
      <c r="E30" s="50"/>
    </row>
    <row r="31" customFormat="false" ht="6" hidden="false" customHeight="true" outlineLevel="0" collapsed="false"/>
    <row r="32" customFormat="false" ht="18" hidden="false" customHeight="true" outlineLevel="0" collapsed="false">
      <c r="A32" s="13" t="s">
        <v>98</v>
      </c>
      <c r="B32" s="13"/>
      <c r="C32" s="13"/>
      <c r="D32" s="13"/>
      <c r="E32" s="13"/>
    </row>
    <row r="33" customFormat="false" ht="18" hidden="false" customHeight="true" outlineLevel="0" collapsed="false">
      <c r="B33" s="14" t="s">
        <v>53</v>
      </c>
      <c r="C33" s="14" t="s">
        <v>54</v>
      </c>
      <c r="D33" s="14" t="s">
        <v>55</v>
      </c>
      <c r="E33" s="14" t="s">
        <v>56</v>
      </c>
    </row>
    <row r="34" customFormat="false" ht="18" hidden="false" customHeight="true" outlineLevel="0" collapsed="false">
      <c r="B34" s="15" t="s">
        <v>99</v>
      </c>
      <c r="C34" s="48" t="s">
        <v>100</v>
      </c>
      <c r="D34" s="53" t="n">
        <v>0.62</v>
      </c>
      <c r="E34" s="52" t="s">
        <v>101</v>
      </c>
    </row>
    <row r="35" customFormat="false" ht="18" hidden="false" customHeight="true" outlineLevel="0" collapsed="false">
      <c r="B35" s="15" t="s">
        <v>102</v>
      </c>
      <c r="C35" s="48" t="s">
        <v>103</v>
      </c>
      <c r="D35" s="53" t="n">
        <v>0.58</v>
      </c>
      <c r="E35" s="52" t="s">
        <v>104</v>
      </c>
    </row>
    <row r="36" customFormat="false" ht="18" hidden="false" customHeight="true" outlineLevel="0" collapsed="false">
      <c r="B36" s="15" t="s">
        <v>105</v>
      </c>
      <c r="C36" s="48" t="s">
        <v>106</v>
      </c>
      <c r="D36" s="53" t="n">
        <v>0.54</v>
      </c>
      <c r="E36" s="52" t="s">
        <v>107</v>
      </c>
    </row>
    <row r="37" customFormat="false" ht="6" hidden="false" customHeight="true" outlineLevel="0" collapsed="false"/>
    <row r="38" customFormat="false" ht="18" hidden="false" customHeight="true" outlineLevel="0" collapsed="false">
      <c r="A38" s="13" t="s">
        <v>108</v>
      </c>
      <c r="B38" s="13"/>
      <c r="C38" s="13"/>
      <c r="D38" s="13"/>
      <c r="E38" s="13"/>
    </row>
    <row r="39" customFormat="false" ht="18" hidden="false" customHeight="true" outlineLevel="0" collapsed="false">
      <c r="B39" s="14" t="s">
        <v>53</v>
      </c>
      <c r="C39" s="14" t="s">
        <v>54</v>
      </c>
      <c r="D39" s="14" t="s">
        <v>55</v>
      </c>
      <c r="E39" s="14" t="s">
        <v>56</v>
      </c>
    </row>
    <row r="40" customFormat="false" ht="18" hidden="false" customHeight="true" outlineLevel="0" collapsed="false">
      <c r="B40" s="15" t="s">
        <v>109</v>
      </c>
      <c r="C40" s="48" t="s">
        <v>110</v>
      </c>
      <c r="D40" s="58" t="n">
        <v>6</v>
      </c>
      <c r="E40" s="50"/>
    </row>
    <row r="41" customFormat="false" ht="18" hidden="false" customHeight="true" outlineLevel="0" collapsed="false">
      <c r="B41" s="15" t="s">
        <v>111</v>
      </c>
      <c r="C41" s="48" t="s">
        <v>112</v>
      </c>
      <c r="D41" s="58" t="n">
        <v>1</v>
      </c>
      <c r="E41" s="50"/>
    </row>
    <row r="42" customFormat="false" ht="18" hidden="false" customHeight="true" outlineLevel="0" collapsed="false">
      <c r="B42" s="15" t="s">
        <v>113</v>
      </c>
      <c r="C42" s="48" t="s">
        <v>114</v>
      </c>
      <c r="D42" s="59" t="n">
        <f aca="false">D8/D40</f>
        <v>1666.66666666667</v>
      </c>
      <c r="E42" s="56" t="s">
        <v>115</v>
      </c>
    </row>
    <row r="43" customFormat="false" ht="18" hidden="false" customHeight="true" outlineLevel="0" collapsed="false">
      <c r="B43" s="15" t="s">
        <v>116</v>
      </c>
      <c r="C43" s="48" t="s">
        <v>117</v>
      </c>
      <c r="D43" s="59" t="n">
        <f aca="false">D42*D41</f>
        <v>1666.66666666667</v>
      </c>
      <c r="E43" s="56" t="s">
        <v>118</v>
      </c>
    </row>
    <row r="44" customFormat="false" ht="18" hidden="false" customHeight="true" outlineLevel="0" collapsed="false">
      <c r="B44" s="15" t="s">
        <v>119</v>
      </c>
      <c r="C44" s="48" t="s">
        <v>120</v>
      </c>
      <c r="D44" s="59" t="n">
        <f aca="false">D43*D11</f>
        <v>250</v>
      </c>
      <c r="E44" s="56" t="s">
        <v>121</v>
      </c>
    </row>
    <row r="45" customFormat="false" ht="6" hidden="false" customHeight="true" outlineLevel="0" collapsed="false"/>
  </sheetData>
  <mergeCells count="7">
    <mergeCell ref="A2:E2"/>
    <mergeCell ref="B4:E4"/>
    <mergeCell ref="A6:E6"/>
    <mergeCell ref="A15:E15"/>
    <mergeCell ref="A24:E24"/>
    <mergeCell ref="A32:E32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122</v>
      </c>
      <c r="B2" s="46"/>
      <c r="C2" s="46"/>
      <c r="D2" s="46"/>
      <c r="E2" s="46"/>
      <c r="F2" s="46"/>
      <c r="G2" s="46"/>
    </row>
    <row r="3" customFormat="false" ht="6" hidden="false" customHeight="true" outlineLevel="0" collapsed="false"/>
    <row r="4" customFormat="false" ht="18" hidden="false" customHeight="true" outlineLevel="0" collapsed="false">
      <c r="A4" s="60" t="s">
        <v>123</v>
      </c>
      <c r="B4" s="60"/>
      <c r="C4" s="60"/>
      <c r="D4" s="60"/>
      <c r="E4" s="60"/>
      <c r="F4" s="60"/>
      <c r="G4" s="60"/>
    </row>
    <row r="5" customFormat="false" ht="18" hidden="false" customHeight="true" outlineLevel="0" collapsed="false">
      <c r="B5" s="14" t="s">
        <v>124</v>
      </c>
      <c r="C5" s="14" t="s">
        <v>125</v>
      </c>
      <c r="D5" s="14" t="s">
        <v>126</v>
      </c>
      <c r="E5" s="14" t="s">
        <v>56</v>
      </c>
    </row>
    <row r="6" customFormat="false" ht="18" hidden="false" customHeight="true" outlineLevel="0" collapsed="false">
      <c r="B6" s="61" t="s">
        <v>127</v>
      </c>
      <c r="C6" s="53" t="n">
        <v>0.63</v>
      </c>
      <c r="D6" s="62" t="s">
        <v>128</v>
      </c>
      <c r="E6" s="15" t="s">
        <v>129</v>
      </c>
      <c r="F6" s="15"/>
      <c r="G6" s="15"/>
    </row>
    <row r="7" customFormat="false" ht="18" hidden="false" customHeight="true" outlineLevel="0" collapsed="false">
      <c r="B7" s="63" t="s">
        <v>130</v>
      </c>
      <c r="C7" s="54" t="n">
        <f aca="false">C6*0.15</f>
        <v>0.0945</v>
      </c>
      <c r="D7" s="64" t="n">
        <f aca="false">C7/C6</f>
        <v>0.15</v>
      </c>
      <c r="E7" s="63" t="s">
        <v>131</v>
      </c>
      <c r="F7" s="63"/>
      <c r="G7" s="63"/>
    </row>
    <row r="8" customFormat="false" ht="18" hidden="false" customHeight="true" outlineLevel="0" collapsed="false">
      <c r="B8" s="15" t="s">
        <v>132</v>
      </c>
      <c r="C8" s="54" t="n">
        <f aca="false">C6*0.85</f>
        <v>0.5355</v>
      </c>
      <c r="D8" s="64" t="n">
        <f aca="false">C8/C6</f>
        <v>0.85</v>
      </c>
      <c r="E8" s="15" t="s">
        <v>133</v>
      </c>
      <c r="F8" s="15"/>
      <c r="G8" s="15"/>
    </row>
    <row r="9" customFormat="false" ht="18" hidden="false" customHeight="true" outlineLevel="0" collapsed="false">
      <c r="B9" s="15" t="s">
        <v>134</v>
      </c>
      <c r="C9" s="54" t="n">
        <f aca="false">13000/200000</f>
        <v>0.065</v>
      </c>
      <c r="D9" s="62" t="s">
        <v>128</v>
      </c>
      <c r="E9" s="21" t="s">
        <v>80</v>
      </c>
      <c r="F9" s="21"/>
      <c r="G9" s="21"/>
    </row>
    <row r="10" customFormat="false" ht="18" hidden="false" customHeight="true" outlineLevel="0" collapsed="false">
      <c r="B10" s="65" t="s">
        <v>135</v>
      </c>
      <c r="C10" s="66" t="n">
        <f aca="false">C6+C9</f>
        <v>0.695</v>
      </c>
      <c r="D10" s="62" t="s">
        <v>128</v>
      </c>
      <c r="E10" s="67" t="s">
        <v>86</v>
      </c>
      <c r="F10" s="67"/>
      <c r="G10" s="67"/>
    </row>
    <row r="11" customFormat="false" ht="18" hidden="false" customHeight="true" outlineLevel="0" collapsed="false">
      <c r="B11" s="15" t="s">
        <v>136</v>
      </c>
      <c r="C11" s="53" t="n">
        <v>0.54</v>
      </c>
      <c r="D11" s="62" t="s">
        <v>128</v>
      </c>
      <c r="E11" s="15" t="s">
        <v>137</v>
      </c>
      <c r="F11" s="15"/>
      <c r="G11" s="15"/>
    </row>
    <row r="12" customFormat="false" ht="18" hidden="false" customHeight="true" outlineLevel="0" collapsed="false">
      <c r="B12" s="65" t="s">
        <v>138</v>
      </c>
      <c r="C12" s="66" t="n">
        <f aca="false">C10-C11</f>
        <v>0.155</v>
      </c>
      <c r="D12" s="68" t="n">
        <f aca="false">C12/C11</f>
        <v>0.287037037037037</v>
      </c>
      <c r="E12" s="69" t="s">
        <v>139</v>
      </c>
      <c r="F12" s="69"/>
      <c r="G12" s="69"/>
    </row>
    <row r="13" customFormat="false" ht="6" hidden="false" customHeight="true" outlineLevel="0" collapsed="false"/>
    <row r="14" customFormat="false" ht="18" hidden="false" customHeight="true" outlineLevel="0" collapsed="false">
      <c r="A14" s="60" t="s">
        <v>140</v>
      </c>
      <c r="B14" s="60"/>
      <c r="C14" s="60"/>
      <c r="D14" s="60"/>
      <c r="E14" s="60"/>
      <c r="F14" s="60"/>
      <c r="G14" s="60"/>
    </row>
    <row r="15" customFormat="false" ht="30" hidden="false" customHeight="true" outlineLevel="0" collapsed="false">
      <c r="B15" s="14" t="s">
        <v>141</v>
      </c>
      <c r="C15" s="14" t="s">
        <v>142</v>
      </c>
      <c r="D15" s="14" t="s">
        <v>143</v>
      </c>
      <c r="E15" s="27" t="s">
        <v>144</v>
      </c>
      <c r="F15" s="27" t="s">
        <v>145</v>
      </c>
      <c r="G15" s="14" t="s">
        <v>146</v>
      </c>
    </row>
    <row r="16" customFormat="false" ht="18" hidden="false" customHeight="true" outlineLevel="0" collapsed="false">
      <c r="B16" s="15" t="s">
        <v>147</v>
      </c>
      <c r="C16" s="17" t="n">
        <v>0</v>
      </c>
      <c r="D16" s="70" t="n">
        <f aca="false">C8*(1-C16)+C9</f>
        <v>0.6005</v>
      </c>
      <c r="E16" s="70" t="n">
        <f aca="false">D16/0.95</f>
        <v>0.632105263157895</v>
      </c>
      <c r="F16" s="70" t="n">
        <f aca="false">D16/0.93</f>
        <v>0.645698924731183</v>
      </c>
      <c r="G16" s="71" t="n">
        <f aca="false">E16-C11</f>
        <v>0.0921052631578948</v>
      </c>
    </row>
    <row r="17" customFormat="false" ht="18" hidden="false" customHeight="true" outlineLevel="0" collapsed="false">
      <c r="B17" s="21" t="s">
        <v>148</v>
      </c>
      <c r="C17" s="17" t="n">
        <v>0.05</v>
      </c>
      <c r="D17" s="70" t="n">
        <f aca="false">C8*(1-C17)+C9</f>
        <v>0.573725</v>
      </c>
      <c r="E17" s="70" t="n">
        <f aca="false">D17/0.95</f>
        <v>0.603921052631579</v>
      </c>
      <c r="F17" s="70" t="n">
        <f aca="false">D17/0.93</f>
        <v>0.616908602150538</v>
      </c>
      <c r="G17" s="71" t="n">
        <f aca="false">E17-C11</f>
        <v>0.063921052631579</v>
      </c>
    </row>
    <row r="18" customFormat="false" ht="18" hidden="false" customHeight="true" outlineLevel="0" collapsed="false">
      <c r="B18" s="21" t="s">
        <v>149</v>
      </c>
      <c r="C18" s="17" t="n">
        <v>0.08</v>
      </c>
      <c r="D18" s="70" t="n">
        <f aca="false">C8*(1-C18)+C9</f>
        <v>0.55766</v>
      </c>
      <c r="E18" s="70" t="n">
        <f aca="false">D18/0.95</f>
        <v>0.58701052631579</v>
      </c>
      <c r="F18" s="70" t="n">
        <f aca="false">D18/0.93</f>
        <v>0.599634408602151</v>
      </c>
      <c r="G18" s="71" t="n">
        <f aca="false">E18-C11</f>
        <v>0.0470105263157895</v>
      </c>
    </row>
    <row r="19" customFormat="false" ht="18" hidden="false" customHeight="true" outlineLevel="0" collapsed="false">
      <c r="B19" s="28" t="s">
        <v>150</v>
      </c>
      <c r="C19" s="17" t="n">
        <v>0.1</v>
      </c>
      <c r="D19" s="72" t="n">
        <f aca="false">C8*(1-C19)+C9</f>
        <v>0.54695</v>
      </c>
      <c r="E19" s="72" t="n">
        <f aca="false">D19/0.95</f>
        <v>0.575736842105263</v>
      </c>
      <c r="F19" s="72" t="n">
        <f aca="false">D19/0.93</f>
        <v>0.588118279569893</v>
      </c>
      <c r="G19" s="72" t="n">
        <f aca="false">E19-C11</f>
        <v>0.0357368421052632</v>
      </c>
    </row>
    <row r="20" customFormat="false" ht="6" hidden="false" customHeight="true" outlineLevel="0" collapsed="false"/>
    <row r="21" customFormat="false" ht="30" hidden="false" customHeight="true" outlineLevel="0" collapsed="false">
      <c r="A21" s="73" t="s">
        <v>151</v>
      </c>
      <c r="B21" s="73"/>
      <c r="C21" s="73"/>
      <c r="D21" s="73"/>
      <c r="E21" s="73"/>
      <c r="F21" s="73"/>
      <c r="G21" s="73"/>
    </row>
    <row r="23" customFormat="false" ht="18" hidden="false" customHeight="true" outlineLevel="0" collapsed="false">
      <c r="A23" s="74" t="s">
        <v>152</v>
      </c>
      <c r="B23" s="74"/>
      <c r="C23" s="74"/>
      <c r="D23" s="74"/>
      <c r="E23" s="74"/>
      <c r="F23" s="74"/>
      <c r="G23" s="74"/>
    </row>
    <row r="24" customFormat="false" ht="18" hidden="false" customHeight="true" outlineLevel="0" collapsed="false">
      <c r="B24" s="14" t="s">
        <v>124</v>
      </c>
      <c r="C24" s="14" t="s">
        <v>153</v>
      </c>
      <c r="D24" s="27" t="s">
        <v>154</v>
      </c>
      <c r="E24" s="27" t="s">
        <v>155</v>
      </c>
      <c r="F24" s="14" t="s">
        <v>56</v>
      </c>
    </row>
    <row r="25" customFormat="false" ht="18" hidden="false" customHeight="true" outlineLevel="0" collapsed="false">
      <c r="B25" s="15" t="s">
        <v>156</v>
      </c>
      <c r="C25" s="75" t="s">
        <v>157</v>
      </c>
      <c r="D25" s="75" t="s">
        <v>157</v>
      </c>
      <c r="E25" s="75" t="s">
        <v>158</v>
      </c>
      <c r="F25" s="76" t="s">
        <v>159</v>
      </c>
    </row>
    <row r="26" customFormat="false" ht="18" hidden="false" customHeight="true" outlineLevel="0" collapsed="false">
      <c r="B26" s="15" t="s">
        <v>160</v>
      </c>
      <c r="C26" s="75" t="s">
        <v>161</v>
      </c>
      <c r="D26" s="75" t="s">
        <v>161</v>
      </c>
      <c r="E26" s="75" t="s">
        <v>161</v>
      </c>
      <c r="F26" s="75" t="s">
        <v>162</v>
      </c>
    </row>
    <row r="27" customFormat="false" ht="18" hidden="false" customHeight="true" outlineLevel="0" collapsed="false">
      <c r="B27" s="15" t="s">
        <v>163</v>
      </c>
      <c r="C27" s="75" t="s">
        <v>164</v>
      </c>
      <c r="D27" s="75" t="s">
        <v>165</v>
      </c>
      <c r="E27" s="75" t="s">
        <v>165</v>
      </c>
      <c r="F27" s="76" t="s">
        <v>166</v>
      </c>
    </row>
    <row r="28" customFormat="false" ht="18" hidden="false" customHeight="true" outlineLevel="0" collapsed="false">
      <c r="B28" s="15" t="s">
        <v>167</v>
      </c>
      <c r="C28" s="75" t="s">
        <v>168</v>
      </c>
      <c r="D28" s="75" t="s">
        <v>169</v>
      </c>
      <c r="E28" s="75" t="s">
        <v>170</v>
      </c>
      <c r="F28" s="76" t="s">
        <v>171</v>
      </c>
    </row>
    <row r="29" customFormat="false" ht="18" hidden="false" customHeight="true" outlineLevel="0" collapsed="false">
      <c r="B29" s="15" t="s">
        <v>172</v>
      </c>
      <c r="C29" s="75" t="s">
        <v>173</v>
      </c>
      <c r="D29" s="75" t="s">
        <v>174</v>
      </c>
      <c r="E29" s="75" t="s">
        <v>175</v>
      </c>
      <c r="F29" s="75" t="s">
        <v>176</v>
      </c>
    </row>
    <row r="30" customFormat="false" ht="18" hidden="false" customHeight="true" outlineLevel="0" collapsed="false">
      <c r="B30" s="15" t="s">
        <v>177</v>
      </c>
      <c r="C30" s="75" t="s">
        <v>128</v>
      </c>
      <c r="D30" s="75" t="s">
        <v>128</v>
      </c>
      <c r="E30" s="75" t="s">
        <v>178</v>
      </c>
      <c r="F30" s="76"/>
    </row>
    <row r="31" customFormat="false" ht="18" hidden="false" customHeight="true" outlineLevel="0" collapsed="false">
      <c r="B31" s="77" t="s">
        <v>179</v>
      </c>
      <c r="C31" s="78" t="s">
        <v>180</v>
      </c>
      <c r="D31" s="78" t="s">
        <v>181</v>
      </c>
      <c r="E31" s="78" t="s">
        <v>182</v>
      </c>
      <c r="F31" s="79" t="s">
        <v>183</v>
      </c>
    </row>
    <row r="32" customFormat="false" ht="36" hidden="false" customHeight="true" outlineLevel="0" collapsed="false">
      <c r="A32" s="80" t="s">
        <v>184</v>
      </c>
      <c r="B32" s="80"/>
      <c r="C32" s="80"/>
      <c r="D32" s="80"/>
      <c r="E32" s="80"/>
      <c r="F32" s="80"/>
      <c r="G32" s="80"/>
    </row>
  </sheetData>
  <mergeCells count="13">
    <mergeCell ref="A2:G2"/>
    <mergeCell ref="A4:G4"/>
    <mergeCell ref="E6:G6"/>
    <mergeCell ref="E7:G7"/>
    <mergeCell ref="E8:G8"/>
    <mergeCell ref="E9:G9"/>
    <mergeCell ref="E10:G10"/>
    <mergeCell ref="E11:G11"/>
    <mergeCell ref="E12:G12"/>
    <mergeCell ref="A14:G14"/>
    <mergeCell ref="A21:G21"/>
    <mergeCell ref="A23:G23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8" min="3" style="1" width="13"/>
    <col collapsed="false" customWidth="true" hidden="false" outlineLevel="0" max="9" min="9" style="1" width="2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185</v>
      </c>
      <c r="B2" s="46"/>
      <c r="C2" s="46"/>
      <c r="D2" s="46"/>
      <c r="E2" s="46"/>
      <c r="F2" s="46"/>
      <c r="G2" s="46"/>
      <c r="H2" s="46"/>
      <c r="I2" s="46"/>
    </row>
    <row r="3" customFormat="false" ht="6" hidden="false" customHeight="true" outlineLevel="0" collapsed="false"/>
    <row r="4" customFormat="false" ht="18" hidden="false" customHeight="true" outlineLevel="0" collapsed="false">
      <c r="A4" s="60" t="s">
        <v>186</v>
      </c>
      <c r="B4" s="60"/>
      <c r="C4" s="60"/>
      <c r="D4" s="60"/>
      <c r="E4" s="60"/>
      <c r="F4" s="60"/>
      <c r="G4" s="60"/>
      <c r="H4" s="60"/>
      <c r="I4" s="60"/>
    </row>
    <row r="5" customFormat="false" ht="30" hidden="false" customHeight="true" outlineLevel="0" collapsed="false">
      <c r="B5" s="14" t="s">
        <v>12</v>
      </c>
      <c r="C5" s="14" t="s">
        <v>187</v>
      </c>
      <c r="D5" s="14" t="s">
        <v>188</v>
      </c>
      <c r="E5" s="14" t="s">
        <v>189</v>
      </c>
      <c r="F5" s="14" t="s">
        <v>190</v>
      </c>
      <c r="G5" s="14" t="s">
        <v>191</v>
      </c>
      <c r="H5" s="14" t="s">
        <v>192</v>
      </c>
      <c r="I5" s="14" t="s">
        <v>193</v>
      </c>
    </row>
    <row r="6" customFormat="false" ht="18" hidden="false" customHeight="true" outlineLevel="0" collapsed="false">
      <c r="B6" s="15" t="s">
        <v>194</v>
      </c>
      <c r="C6" s="16" t="n">
        <v>8333</v>
      </c>
      <c r="D6" s="17" t="n">
        <v>0.15</v>
      </c>
      <c r="E6" s="18" t="n">
        <f aca="false">C6*D6</f>
        <v>1249.95</v>
      </c>
      <c r="F6" s="18" t="n">
        <f aca="false">C6*(1-D6)</f>
        <v>7083.05</v>
      </c>
      <c r="G6" s="18" t="n">
        <f aca="false">F6*0.9</f>
        <v>6374.745</v>
      </c>
      <c r="H6" s="19" t="n">
        <f aca="false">C6-G6</f>
        <v>1958.255</v>
      </c>
      <c r="I6" s="20" t="n">
        <f aca="false">H6-E6</f>
        <v>708.305</v>
      </c>
    </row>
    <row r="7" customFormat="false" ht="18" hidden="false" customHeight="true" outlineLevel="0" collapsed="false">
      <c r="B7" s="15" t="s">
        <v>20</v>
      </c>
      <c r="C7" s="16" t="n">
        <v>28000</v>
      </c>
      <c r="D7" s="17" t="n">
        <v>0.08</v>
      </c>
      <c r="E7" s="18" t="n">
        <f aca="false">C7*D7</f>
        <v>2240</v>
      </c>
      <c r="F7" s="18" t="n">
        <f aca="false">C7*(1-D7)</f>
        <v>25760</v>
      </c>
      <c r="G7" s="18" t="n">
        <f aca="false">F7*0.9</f>
        <v>23184</v>
      </c>
      <c r="H7" s="19" t="n">
        <f aca="false">C7-G7</f>
        <v>4816</v>
      </c>
      <c r="I7" s="20" t="n">
        <f aca="false">H7-E7</f>
        <v>2576</v>
      </c>
    </row>
    <row r="8" customFormat="false" ht="18" hidden="false" customHeight="true" outlineLevel="0" collapsed="false">
      <c r="B8" s="21" t="s">
        <v>21</v>
      </c>
      <c r="C8" s="16" t="n">
        <v>7000</v>
      </c>
      <c r="D8" s="17" t="n">
        <v>0.2</v>
      </c>
      <c r="E8" s="18" t="n">
        <f aca="false">C8*D8</f>
        <v>1400</v>
      </c>
      <c r="F8" s="18" t="n">
        <f aca="false">C8*(1-D8)</f>
        <v>5600</v>
      </c>
      <c r="G8" s="18" t="n">
        <f aca="false">F8*0.9</f>
        <v>5040</v>
      </c>
      <c r="H8" s="19" t="n">
        <f aca="false">C8-G8</f>
        <v>1960</v>
      </c>
      <c r="I8" s="20" t="n">
        <f aca="false">H8-E8</f>
        <v>560</v>
      </c>
    </row>
    <row r="9" customFormat="false" ht="19.5" hidden="false" customHeight="true" outlineLevel="0" collapsed="false">
      <c r="B9" s="22" t="s">
        <v>22</v>
      </c>
      <c r="C9" s="23" t="n">
        <f aca="false">SUM(C6:C8)</f>
        <v>43333</v>
      </c>
      <c r="D9" s="24" t="n">
        <f aca="false">E9/C9</f>
        <v>0.112845868045139</v>
      </c>
      <c r="E9" s="23" t="n">
        <f aca="false">SUM(E6:E8)</f>
        <v>4889.95</v>
      </c>
      <c r="F9" s="23" t="n">
        <f aca="false">SUM(F6:F8)</f>
        <v>38443.05</v>
      </c>
      <c r="G9" s="23" t="n">
        <f aca="false">SUM(G6:G8)</f>
        <v>34598.745</v>
      </c>
      <c r="H9" s="23" t="n">
        <f aca="false">SUM(H6:H8)</f>
        <v>8734.255</v>
      </c>
      <c r="I9" s="23" t="n">
        <f aca="false">SUM(I6:I8)</f>
        <v>3844.305</v>
      </c>
    </row>
    <row r="10" customFormat="false" ht="6" hidden="false" customHeight="true" outlineLevel="0" collapsed="false"/>
    <row r="11" customFormat="false" ht="18" hidden="false" customHeight="true" outlineLevel="0" collapsed="false">
      <c r="A11" s="60" t="s">
        <v>195</v>
      </c>
      <c r="B11" s="60"/>
      <c r="C11" s="60"/>
      <c r="D11" s="60"/>
      <c r="E11" s="60"/>
      <c r="F11" s="60"/>
      <c r="G11" s="60"/>
      <c r="H11" s="60"/>
      <c r="I11" s="60"/>
    </row>
    <row r="12" customFormat="false" ht="19.5" hidden="false" customHeight="true" outlineLevel="0" collapsed="false">
      <c r="B12" s="15" t="s">
        <v>196</v>
      </c>
      <c r="C12" s="16" t="n">
        <v>2000</v>
      </c>
      <c r="D12" s="16"/>
      <c r="E12" s="16"/>
      <c r="F12" s="16"/>
      <c r="G12" s="16"/>
      <c r="H12" s="16"/>
      <c r="I12" s="16"/>
    </row>
    <row r="13" customFormat="false" ht="19.5" hidden="false" customHeight="true" outlineLevel="0" collapsed="false">
      <c r="B13" s="15" t="s">
        <v>25</v>
      </c>
      <c r="C13" s="31" t="n">
        <f aca="false">SUM(I6:I8)</f>
        <v>3844.305</v>
      </c>
      <c r="D13" s="31"/>
      <c r="E13" s="31"/>
      <c r="F13" s="31"/>
      <c r="G13" s="31"/>
      <c r="H13" s="31"/>
      <c r="I13" s="31"/>
    </row>
    <row r="14" customFormat="false" ht="19.5" hidden="false" customHeight="true" outlineLevel="0" collapsed="false">
      <c r="B14" s="15" t="s">
        <v>26</v>
      </c>
      <c r="C14" s="81" t="n">
        <f aca="false">C12/C13*12</f>
        <v>6.24300101058579</v>
      </c>
      <c r="D14" s="81"/>
      <c r="E14" s="81"/>
      <c r="F14" s="81"/>
      <c r="G14" s="81"/>
      <c r="H14" s="81"/>
      <c r="I14" s="81"/>
    </row>
    <row r="15" customFormat="false" ht="19.5" hidden="false" customHeight="true" outlineLevel="0" collapsed="false">
      <c r="B15" s="21" t="s">
        <v>27</v>
      </c>
      <c r="C15" s="31" t="n">
        <f aca="false">C13*3</f>
        <v>11532.915</v>
      </c>
      <c r="D15" s="31"/>
      <c r="E15" s="31"/>
      <c r="F15" s="31"/>
      <c r="G15" s="31"/>
      <c r="H15" s="31"/>
      <c r="I15" s="31"/>
    </row>
    <row r="16" customFormat="false" ht="19.5" hidden="false" customHeight="true" outlineLevel="0" collapsed="false">
      <c r="B16" s="21" t="s">
        <v>197</v>
      </c>
      <c r="C16" s="82" t="n">
        <f aca="false">C15/C12</f>
        <v>5.7664575</v>
      </c>
      <c r="D16" s="82"/>
      <c r="E16" s="82"/>
      <c r="F16" s="82"/>
      <c r="G16" s="82"/>
      <c r="H16" s="82"/>
      <c r="I16" s="82"/>
    </row>
    <row r="17" customFormat="false" ht="6" hidden="false" customHeight="true" outlineLevel="0" collapsed="false"/>
    <row r="18" customFormat="false" ht="18" hidden="false" customHeight="true" outlineLevel="0" collapsed="false">
      <c r="A18" s="60" t="s">
        <v>198</v>
      </c>
      <c r="B18" s="60"/>
      <c r="C18" s="60"/>
      <c r="D18" s="60"/>
      <c r="E18" s="60"/>
      <c r="F18" s="60"/>
      <c r="G18" s="60"/>
      <c r="H18" s="60"/>
      <c r="I18" s="60"/>
    </row>
    <row r="19" customFormat="false" ht="18" hidden="false" customHeight="true" outlineLevel="0" collapsed="false">
      <c r="B19" s="14" t="s">
        <v>124</v>
      </c>
      <c r="C19" s="14" t="s">
        <v>199</v>
      </c>
      <c r="D19" s="14" t="s">
        <v>56</v>
      </c>
    </row>
    <row r="20" customFormat="false" ht="18" hidden="false" customHeight="true" outlineLevel="0" collapsed="false">
      <c r="B20" s="15" t="s">
        <v>200</v>
      </c>
      <c r="C20" s="19" t="n">
        <f aca="false">10000/6*0.15</f>
        <v>250</v>
      </c>
      <c r="D20" s="83" t="s">
        <v>201</v>
      </c>
      <c r="E20" s="83"/>
      <c r="F20" s="83"/>
      <c r="G20" s="83"/>
      <c r="H20" s="83"/>
      <c r="I20" s="83"/>
    </row>
    <row r="21" customFormat="false" ht="18" hidden="false" customHeight="true" outlineLevel="0" collapsed="false">
      <c r="B21" s="15" t="s">
        <v>202</v>
      </c>
      <c r="C21" s="19" t="n">
        <f aca="false">SUM(I6:I8)</f>
        <v>3844.305</v>
      </c>
      <c r="D21" s="83" t="s">
        <v>203</v>
      </c>
      <c r="E21" s="83"/>
      <c r="F21" s="83"/>
      <c r="G21" s="83"/>
      <c r="H21" s="83"/>
      <c r="I21" s="83"/>
    </row>
    <row r="22" customFormat="false" ht="18" hidden="false" customHeight="true" outlineLevel="0" collapsed="false">
      <c r="B22" s="22" t="s">
        <v>204</v>
      </c>
      <c r="C22" s="84" t="n">
        <f aca="false">C21/C20</f>
        <v>15.37722</v>
      </c>
      <c r="D22" s="83" t="s">
        <v>205</v>
      </c>
      <c r="E22" s="83"/>
      <c r="F22" s="83"/>
      <c r="G22" s="83"/>
      <c r="H22" s="83"/>
      <c r="I22" s="83"/>
    </row>
    <row r="23" customFormat="false" ht="6" hidden="false" customHeight="true" outlineLevel="0" collapsed="false"/>
    <row r="24" customFormat="false" ht="30" hidden="false" customHeight="true" outlineLevel="0" collapsed="false">
      <c r="A24" s="85" t="s">
        <v>206</v>
      </c>
      <c r="B24" s="85"/>
      <c r="C24" s="85"/>
      <c r="D24" s="85"/>
      <c r="E24" s="85"/>
      <c r="F24" s="85"/>
      <c r="G24" s="85"/>
      <c r="H24" s="85"/>
      <c r="I24" s="85"/>
    </row>
  </sheetData>
  <mergeCells count="13">
    <mergeCell ref="A2:I2"/>
    <mergeCell ref="A4:I4"/>
    <mergeCell ref="A11:I11"/>
    <mergeCell ref="C12:I12"/>
    <mergeCell ref="C13:I13"/>
    <mergeCell ref="C14:I14"/>
    <mergeCell ref="C15:I15"/>
    <mergeCell ref="C16:I16"/>
    <mergeCell ref="A18:I18"/>
    <mergeCell ref="D20:I20"/>
    <mergeCell ref="D21:I21"/>
    <mergeCell ref="D22:I2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6" min="3" style="1" width="13"/>
    <col collapsed="false" customWidth="true" hidden="false" outlineLevel="0" max="8" min="7" style="1" width="14"/>
    <col collapsed="false" customWidth="true" hidden="false" outlineLevel="0" max="9" min="9" style="1" width="2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207</v>
      </c>
      <c r="B2" s="46"/>
      <c r="C2" s="46"/>
      <c r="D2" s="46"/>
      <c r="E2" s="46"/>
      <c r="F2" s="46"/>
      <c r="G2" s="46"/>
      <c r="H2" s="46"/>
      <c r="I2" s="46"/>
    </row>
    <row r="3" customFormat="false" ht="6" hidden="false" customHeight="true" outlineLevel="0" collapsed="false"/>
    <row r="4" customFormat="false" ht="18" hidden="false" customHeight="true" outlineLevel="0" collapsed="false">
      <c r="A4" s="60" t="s">
        <v>208</v>
      </c>
      <c r="B4" s="60"/>
      <c r="C4" s="60"/>
      <c r="D4" s="60"/>
      <c r="E4" s="60"/>
      <c r="F4" s="60"/>
      <c r="G4" s="60"/>
      <c r="H4" s="60"/>
      <c r="I4" s="60"/>
    </row>
    <row r="5" customFormat="false" ht="30" hidden="false" customHeight="true" outlineLevel="0" collapsed="false">
      <c r="B5" s="14" t="s">
        <v>30</v>
      </c>
      <c r="C5" s="14" t="s">
        <v>209</v>
      </c>
      <c r="D5" s="14" t="s">
        <v>32</v>
      </c>
      <c r="E5" s="14" t="s">
        <v>210</v>
      </c>
      <c r="F5" s="14" t="s">
        <v>211</v>
      </c>
      <c r="G5" s="14" t="s">
        <v>212</v>
      </c>
      <c r="H5" s="14" t="s">
        <v>213</v>
      </c>
      <c r="I5" s="27" t="s">
        <v>214</v>
      </c>
    </row>
    <row r="6" customFormat="false" ht="21.75" hidden="false" customHeight="true" outlineLevel="0" collapsed="false">
      <c r="B6" s="28" t="s">
        <v>37</v>
      </c>
      <c r="C6" s="86" t="s">
        <v>38</v>
      </c>
      <c r="D6" s="87" t="n">
        <v>0.235</v>
      </c>
      <c r="E6" s="88" t="n">
        <v>8333</v>
      </c>
      <c r="F6" s="31" t="n">
        <f aca="false">E6*D6</f>
        <v>1958.255</v>
      </c>
      <c r="G6" s="88" t="n">
        <v>6776</v>
      </c>
      <c r="H6" s="31" t="n">
        <f aca="false">F6+G6</f>
        <v>8734.255</v>
      </c>
      <c r="I6" s="89" t="s">
        <v>39</v>
      </c>
    </row>
    <row r="7" customFormat="false" ht="21.75" hidden="false" customHeight="true" outlineLevel="0" collapsed="false">
      <c r="B7" s="33" t="s">
        <v>215</v>
      </c>
      <c r="C7" s="90" t="n">
        <v>0.576</v>
      </c>
      <c r="D7" s="35" t="n">
        <f aca="false">1-0.547/C7</f>
        <v>0.0503472222222221</v>
      </c>
      <c r="E7" s="36" t="n">
        <f aca="false">ROUND(15873*C7,0)</f>
        <v>9143</v>
      </c>
      <c r="F7" s="36" t="n">
        <f aca="false">E7*D7</f>
        <v>460.324652777777</v>
      </c>
      <c r="G7" s="91" t="n">
        <v>6776</v>
      </c>
      <c r="H7" s="36" t="n">
        <f aca="false">F7+G7</f>
        <v>7236.32465277778</v>
      </c>
      <c r="I7" s="92" t="n">
        <f aca="false">H7-H6</f>
        <v>-1497.93034722222</v>
      </c>
    </row>
    <row r="8" customFormat="false" ht="21.75" hidden="false" customHeight="true" outlineLevel="0" collapsed="false">
      <c r="B8" s="39" t="s">
        <v>216</v>
      </c>
      <c r="C8" s="93" t="n">
        <v>0.608</v>
      </c>
      <c r="D8" s="41" t="n">
        <f aca="false">1-0.547/C8</f>
        <v>0.100328947368421</v>
      </c>
      <c r="E8" s="42" t="n">
        <f aca="false">ROUND(15873*C8,0)</f>
        <v>9651</v>
      </c>
      <c r="F8" s="42" t="n">
        <f aca="false">E8*D8</f>
        <v>968.27467105263</v>
      </c>
      <c r="G8" s="94" t="n">
        <v>6776</v>
      </c>
      <c r="H8" s="42" t="n">
        <f aca="false">F8+G8</f>
        <v>7744.27467105263</v>
      </c>
      <c r="I8" s="95" t="n">
        <f aca="false">H8-H6</f>
        <v>-989.980328947369</v>
      </c>
    </row>
    <row r="9" customFormat="false" ht="21.75" hidden="false" customHeight="true" outlineLevel="0" collapsed="false">
      <c r="B9" s="21" t="s">
        <v>217</v>
      </c>
      <c r="C9" s="96" t="n">
        <v>0.638</v>
      </c>
      <c r="D9" s="97" t="n">
        <f aca="false">1-0.547/C9</f>
        <v>0.142633228840125</v>
      </c>
      <c r="E9" s="18" t="n">
        <f aca="false">ROUND(15873*C9,0)</f>
        <v>10127</v>
      </c>
      <c r="F9" s="18" t="n">
        <f aca="false">E9*D9</f>
        <v>1444.44670846395</v>
      </c>
      <c r="G9" s="16" t="n">
        <v>6776</v>
      </c>
      <c r="H9" s="18" t="n">
        <f aca="false">F9+G9</f>
        <v>8220.44670846395</v>
      </c>
      <c r="I9" s="98" t="n">
        <f aca="false">H9-H6</f>
        <v>-513.80829153605</v>
      </c>
    </row>
    <row r="10" customFormat="false" ht="6" hidden="false" customHeight="true" outlineLevel="0" collapsed="false"/>
    <row r="11" customFormat="false" ht="18" hidden="false" customHeight="true" outlineLevel="0" collapsed="false">
      <c r="A11" s="60" t="s">
        <v>218</v>
      </c>
      <c r="B11" s="60"/>
      <c r="C11" s="60"/>
      <c r="D11" s="60"/>
      <c r="E11" s="60"/>
      <c r="F11" s="60"/>
      <c r="G11" s="60"/>
      <c r="H11" s="60"/>
      <c r="I11" s="60"/>
    </row>
    <row r="12" customFormat="false" ht="18" hidden="false" customHeight="true" outlineLevel="0" collapsed="false">
      <c r="B12" s="14" t="s">
        <v>124</v>
      </c>
      <c r="C12" s="14" t="s">
        <v>219</v>
      </c>
      <c r="D12" s="14" t="s">
        <v>56</v>
      </c>
    </row>
    <row r="13" customFormat="false" ht="18" hidden="false" customHeight="true" outlineLevel="0" collapsed="false">
      <c r="B13" s="21" t="s">
        <v>220</v>
      </c>
      <c r="C13" s="18" t="n">
        <f aca="false">H6</f>
        <v>8734.255</v>
      </c>
      <c r="D13" s="99" t="s">
        <v>221</v>
      </c>
      <c r="E13" s="99"/>
      <c r="F13" s="99"/>
      <c r="G13" s="99"/>
      <c r="H13" s="99"/>
      <c r="I13" s="99"/>
    </row>
    <row r="14" customFormat="false" ht="18" hidden="false" customHeight="true" outlineLevel="0" collapsed="false">
      <c r="B14" s="15" t="s">
        <v>222</v>
      </c>
      <c r="C14" s="18" t="n">
        <f aca="false">C13-6776</f>
        <v>1958.255</v>
      </c>
      <c r="D14" s="55" t="s">
        <v>223</v>
      </c>
      <c r="E14" s="55"/>
      <c r="F14" s="55"/>
      <c r="G14" s="55"/>
      <c r="H14" s="55"/>
      <c r="I14" s="55"/>
    </row>
    <row r="15" customFormat="false" ht="18" hidden="false" customHeight="true" outlineLevel="0" collapsed="false">
      <c r="B15" s="61" t="s">
        <v>224</v>
      </c>
      <c r="C15" s="82" t="n">
        <f aca="false">C14/(15873*0.6703)</f>
        <v>0.18405219807577</v>
      </c>
      <c r="D15" s="99" t="s">
        <v>225</v>
      </c>
      <c r="E15" s="99"/>
      <c r="F15" s="99"/>
      <c r="G15" s="99"/>
      <c r="H15" s="99"/>
      <c r="I15" s="99"/>
    </row>
    <row r="16" customFormat="false" ht="18" hidden="false" customHeight="true" outlineLevel="0" collapsed="false">
      <c r="B16" s="15" t="s">
        <v>226</v>
      </c>
      <c r="C16" s="72" t="n">
        <f aca="false">0.547/(1-0.184)</f>
        <v>0.670343137254902</v>
      </c>
      <c r="D16" s="56" t="s">
        <v>227</v>
      </c>
      <c r="E16" s="56"/>
      <c r="F16" s="56"/>
      <c r="G16" s="56"/>
      <c r="H16" s="56"/>
      <c r="I16" s="56"/>
    </row>
    <row r="17" customFormat="false" ht="18" hidden="false" customHeight="true" outlineLevel="0" collapsed="false">
      <c r="B17" s="15" t="s">
        <v>228</v>
      </c>
      <c r="C17" s="100" t="n">
        <v>0.58</v>
      </c>
      <c r="D17" s="83" t="s">
        <v>137</v>
      </c>
      <c r="E17" s="83"/>
      <c r="F17" s="83"/>
      <c r="G17" s="83"/>
      <c r="H17" s="83"/>
      <c r="I17" s="83"/>
    </row>
    <row r="18" customFormat="false" ht="18" hidden="false" customHeight="true" outlineLevel="0" collapsed="false">
      <c r="B18" s="61" t="s">
        <v>229</v>
      </c>
      <c r="C18" s="101" t="str">
        <f aca="false">IF(C16&gt;C17,"수주 불가 (재진입 단가 &gt; 중국)","수주 가능")</f>
        <v>수주 불가 (재진입 단가 &gt; 중국)</v>
      </c>
      <c r="D18" s="83" t="s">
        <v>230</v>
      </c>
      <c r="E18" s="83"/>
      <c r="F18" s="83"/>
      <c r="G18" s="83"/>
      <c r="H18" s="83"/>
      <c r="I18" s="83"/>
    </row>
    <row r="19" customFormat="false" ht="6" hidden="false" customHeight="true" outlineLevel="0" collapsed="false"/>
    <row r="20" customFormat="false" ht="30" hidden="false" customHeight="true" outlineLevel="0" collapsed="false">
      <c r="A20" s="102" t="s">
        <v>231</v>
      </c>
      <c r="B20" s="102"/>
      <c r="C20" s="102"/>
      <c r="D20" s="102"/>
      <c r="E20" s="102"/>
      <c r="F20" s="102"/>
      <c r="G20" s="102"/>
      <c r="H20" s="102"/>
      <c r="I20" s="102"/>
    </row>
  </sheetData>
  <mergeCells count="10">
    <mergeCell ref="A2:I2"/>
    <mergeCell ref="A4:I4"/>
    <mergeCell ref="A11:I11"/>
    <mergeCell ref="D13:I13"/>
    <mergeCell ref="D14:I14"/>
    <mergeCell ref="D15:I15"/>
    <mergeCell ref="D16:I16"/>
    <mergeCell ref="D17:I17"/>
    <mergeCell ref="D18:I18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232</v>
      </c>
      <c r="B2" s="46"/>
      <c r="C2" s="46"/>
      <c r="D2" s="46"/>
      <c r="E2" s="46"/>
      <c r="F2" s="46"/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233</v>
      </c>
      <c r="B4" s="13"/>
      <c r="C4" s="13"/>
      <c r="D4" s="13"/>
      <c r="E4" s="13"/>
      <c r="F4" s="13"/>
    </row>
    <row r="5" customFormat="false" ht="30" hidden="false" customHeight="true" outlineLevel="0" collapsed="false">
      <c r="A5" s="102" t="s">
        <v>234</v>
      </c>
      <c r="B5" s="102"/>
      <c r="C5" s="102"/>
      <c r="D5" s="102"/>
      <c r="E5" s="102"/>
      <c r="F5" s="102"/>
    </row>
    <row r="6" customFormat="false" ht="6" hidden="false" customHeight="true" outlineLevel="0" collapsed="false"/>
    <row r="7" customFormat="false" ht="18" hidden="false" customHeight="true" outlineLevel="0" collapsed="false">
      <c r="A7" s="13" t="s">
        <v>235</v>
      </c>
      <c r="B7" s="13"/>
      <c r="C7" s="13"/>
      <c r="D7" s="13"/>
      <c r="E7" s="13"/>
      <c r="F7" s="13"/>
    </row>
    <row r="8" customFormat="false" ht="18" hidden="false" customHeight="true" outlineLevel="0" collapsed="false">
      <c r="B8" s="14" t="s">
        <v>236</v>
      </c>
      <c r="C8" s="14" t="s">
        <v>237</v>
      </c>
      <c r="D8" s="14" t="s">
        <v>238</v>
      </c>
      <c r="E8" s="14" t="s">
        <v>239</v>
      </c>
      <c r="F8" s="14" t="s">
        <v>240</v>
      </c>
    </row>
    <row r="9" customFormat="false" ht="42" hidden="false" customHeight="true" outlineLevel="0" collapsed="false">
      <c r="B9" s="103" t="s">
        <v>241</v>
      </c>
      <c r="C9" s="104" t="s">
        <v>242</v>
      </c>
      <c r="D9" s="105" t="s">
        <v>243</v>
      </c>
      <c r="E9" s="104" t="s">
        <v>244</v>
      </c>
      <c r="F9" s="106" t="s">
        <v>245</v>
      </c>
    </row>
    <row r="10" customFormat="false" ht="42" hidden="false" customHeight="true" outlineLevel="0" collapsed="false">
      <c r="B10" s="103" t="s">
        <v>246</v>
      </c>
      <c r="C10" s="107" t="s">
        <v>247</v>
      </c>
      <c r="D10" s="105" t="s">
        <v>248</v>
      </c>
      <c r="E10" s="107" t="s">
        <v>249</v>
      </c>
      <c r="F10" s="108" t="s">
        <v>250</v>
      </c>
    </row>
    <row r="11" customFormat="false" ht="42" hidden="false" customHeight="true" outlineLevel="0" collapsed="false">
      <c r="B11" s="109" t="s">
        <v>251</v>
      </c>
      <c r="C11" s="110" t="s">
        <v>252</v>
      </c>
      <c r="D11" s="40" t="s">
        <v>253</v>
      </c>
      <c r="E11" s="110" t="s">
        <v>254</v>
      </c>
      <c r="F11" s="106" t="s">
        <v>255</v>
      </c>
    </row>
    <row r="12" customFormat="false" ht="42" hidden="false" customHeight="true" outlineLevel="0" collapsed="false">
      <c r="B12" s="109" t="s">
        <v>256</v>
      </c>
      <c r="C12" s="110" t="s">
        <v>257</v>
      </c>
      <c r="D12" s="40" t="s">
        <v>253</v>
      </c>
      <c r="E12" s="110" t="s">
        <v>258</v>
      </c>
      <c r="F12" s="106" t="s">
        <v>259</v>
      </c>
    </row>
    <row r="13" customFormat="false" ht="42" hidden="false" customHeight="true" outlineLevel="0" collapsed="false">
      <c r="B13" s="111" t="s">
        <v>260</v>
      </c>
      <c r="C13" s="112" t="s">
        <v>261</v>
      </c>
      <c r="D13" s="113" t="s">
        <v>262</v>
      </c>
      <c r="E13" s="112" t="s">
        <v>263</v>
      </c>
      <c r="F13" s="106" t="s">
        <v>264</v>
      </c>
    </row>
    <row r="14" customFormat="false" ht="6" hidden="false" customHeight="true" outlineLevel="0" collapsed="false"/>
    <row r="15" customFormat="false" ht="18" hidden="false" customHeight="true" outlineLevel="0" collapsed="false">
      <c r="A15" s="13" t="s">
        <v>265</v>
      </c>
      <c r="B15" s="13"/>
      <c r="C15" s="13"/>
      <c r="D15" s="13"/>
      <c r="E15" s="13"/>
      <c r="F15" s="13"/>
    </row>
    <row r="16" customFormat="false" ht="18" hidden="false" customHeight="true" outlineLevel="0" collapsed="false">
      <c r="B16" s="14" t="s">
        <v>266</v>
      </c>
      <c r="C16" s="14" t="s">
        <v>267</v>
      </c>
      <c r="D16" s="14" t="s">
        <v>268</v>
      </c>
      <c r="E16" s="14" t="s">
        <v>269</v>
      </c>
    </row>
    <row r="17" customFormat="false" ht="36" hidden="false" customHeight="true" outlineLevel="0" collapsed="false">
      <c r="B17" s="114" t="s">
        <v>270</v>
      </c>
      <c r="C17" s="115" t="s">
        <v>271</v>
      </c>
      <c r="D17" s="106" t="s">
        <v>272</v>
      </c>
      <c r="E17" s="115" t="s">
        <v>273</v>
      </c>
    </row>
    <row r="18" customFormat="false" ht="36" hidden="false" customHeight="true" outlineLevel="0" collapsed="false">
      <c r="B18" s="114" t="s">
        <v>270</v>
      </c>
      <c r="C18" s="112" t="s">
        <v>274</v>
      </c>
      <c r="D18" s="106" t="s">
        <v>275</v>
      </c>
      <c r="E18" s="112" t="s">
        <v>276</v>
      </c>
    </row>
    <row r="19" customFormat="false" ht="36" hidden="false" customHeight="true" outlineLevel="0" collapsed="false">
      <c r="B19" s="114" t="s">
        <v>277</v>
      </c>
      <c r="C19" s="112" t="s">
        <v>278</v>
      </c>
      <c r="D19" s="106" t="s">
        <v>279</v>
      </c>
      <c r="E19" s="112" t="s">
        <v>280</v>
      </c>
    </row>
    <row r="20" customFormat="false" ht="36" hidden="false" customHeight="true" outlineLevel="0" collapsed="false">
      <c r="B20" s="114" t="s">
        <v>277</v>
      </c>
      <c r="C20" s="112" t="s">
        <v>281</v>
      </c>
      <c r="D20" s="106" t="s">
        <v>282</v>
      </c>
      <c r="E20" s="112" t="s">
        <v>283</v>
      </c>
    </row>
    <row r="21" customFormat="false" ht="6" hidden="false" customHeight="true" outlineLevel="0" collapsed="false"/>
    <row r="22" customFormat="false" ht="30" hidden="false" customHeight="true" outlineLevel="0" collapsed="false">
      <c r="A22" s="116" t="s">
        <v>284</v>
      </c>
      <c r="B22" s="116"/>
      <c r="C22" s="116"/>
      <c r="D22" s="116"/>
      <c r="E22" s="116"/>
      <c r="F22" s="116"/>
    </row>
  </sheetData>
  <mergeCells count="6">
    <mergeCell ref="A2:F2"/>
    <mergeCell ref="A4:F4"/>
    <mergeCell ref="A5:F5"/>
    <mergeCell ref="A7:F7"/>
    <mergeCell ref="A15:F15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46" t="s">
        <v>285</v>
      </c>
      <c r="B2" s="46"/>
      <c r="C2" s="46"/>
      <c r="D2" s="46"/>
      <c r="E2" s="46"/>
      <c r="F2" s="46"/>
      <c r="G2" s="46"/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286</v>
      </c>
      <c r="B4" s="13"/>
      <c r="C4" s="13"/>
      <c r="D4" s="13"/>
      <c r="E4" s="13"/>
      <c r="F4" s="13"/>
      <c r="G4" s="13"/>
    </row>
    <row r="5" customFormat="false" ht="18" hidden="false" customHeight="true" outlineLevel="0" collapsed="false">
      <c r="B5" s="14" t="s">
        <v>287</v>
      </c>
      <c r="C5" s="14" t="s">
        <v>288</v>
      </c>
      <c r="D5" s="14" t="s">
        <v>289</v>
      </c>
      <c r="E5" s="14" t="s">
        <v>290</v>
      </c>
      <c r="F5" s="14" t="s">
        <v>291</v>
      </c>
    </row>
    <row r="6" customFormat="false" ht="72" hidden="false" customHeight="true" outlineLevel="0" collapsed="false">
      <c r="B6" s="117" t="s">
        <v>292</v>
      </c>
      <c r="C6" s="103" t="s">
        <v>293</v>
      </c>
      <c r="D6" s="104" t="s">
        <v>294</v>
      </c>
      <c r="E6" s="104" t="s">
        <v>295</v>
      </c>
      <c r="F6" s="104" t="s">
        <v>296</v>
      </c>
    </row>
    <row r="7" customFormat="false" ht="72" hidden="false" customHeight="true" outlineLevel="0" collapsed="false">
      <c r="B7" s="109" t="s">
        <v>297</v>
      </c>
      <c r="C7" s="109" t="s">
        <v>298</v>
      </c>
      <c r="D7" s="110" t="s">
        <v>299</v>
      </c>
      <c r="E7" s="110" t="s">
        <v>300</v>
      </c>
      <c r="F7" s="110" t="s">
        <v>301</v>
      </c>
    </row>
    <row r="8" customFormat="false" ht="72" hidden="false" customHeight="true" outlineLevel="0" collapsed="false">
      <c r="B8" s="118" t="s">
        <v>302</v>
      </c>
      <c r="C8" s="118" t="s">
        <v>303</v>
      </c>
      <c r="D8" s="119" t="s">
        <v>304</v>
      </c>
      <c r="E8" s="119" t="s">
        <v>305</v>
      </c>
      <c r="F8" s="119" t="s">
        <v>306</v>
      </c>
    </row>
    <row r="9" customFormat="false" ht="72" hidden="false" customHeight="true" outlineLevel="0" collapsed="false">
      <c r="B9" s="120" t="s">
        <v>307</v>
      </c>
      <c r="C9" s="120" t="s">
        <v>308</v>
      </c>
      <c r="D9" s="121" t="s">
        <v>309</v>
      </c>
      <c r="E9" s="121" t="s">
        <v>310</v>
      </c>
      <c r="F9" s="121" t="s">
        <v>311</v>
      </c>
    </row>
    <row r="10" customFormat="false" ht="72" hidden="false" customHeight="true" outlineLevel="0" collapsed="false">
      <c r="B10" s="122" t="s">
        <v>312</v>
      </c>
      <c r="C10" s="123" t="s">
        <v>313</v>
      </c>
      <c r="D10" s="106" t="s">
        <v>314</v>
      </c>
      <c r="E10" s="106" t="s">
        <v>315</v>
      </c>
      <c r="F10" s="106" t="s">
        <v>316</v>
      </c>
    </row>
    <row r="11" customFormat="false" ht="6" hidden="false" customHeight="true" outlineLevel="0" collapsed="false"/>
    <row r="12" customFormat="false" ht="18" hidden="false" customHeight="true" outlineLevel="0" collapsed="false">
      <c r="A12" s="13" t="s">
        <v>317</v>
      </c>
      <c r="B12" s="13"/>
      <c r="C12" s="13"/>
      <c r="D12" s="13"/>
      <c r="E12" s="13"/>
      <c r="F12" s="13"/>
      <c r="G12" s="13"/>
    </row>
    <row r="13" customFormat="false" ht="18" hidden="false" customHeight="true" outlineLevel="0" collapsed="false">
      <c r="B13" s="14" t="s">
        <v>318</v>
      </c>
      <c r="C13" s="14" t="s">
        <v>319</v>
      </c>
      <c r="D13" s="14" t="s">
        <v>320</v>
      </c>
      <c r="E13" s="14" t="s">
        <v>36</v>
      </c>
    </row>
    <row r="14" customFormat="false" ht="36" hidden="false" customHeight="true" outlineLevel="0" collapsed="false">
      <c r="B14" s="121" t="s">
        <v>321</v>
      </c>
      <c r="C14" s="121" t="s">
        <v>322</v>
      </c>
      <c r="D14" s="124" t="s">
        <v>323</v>
      </c>
      <c r="E14" s="32" t="s">
        <v>324</v>
      </c>
    </row>
    <row r="15" customFormat="false" ht="36" hidden="false" customHeight="true" outlineLevel="0" collapsed="false">
      <c r="B15" s="121" t="s">
        <v>325</v>
      </c>
      <c r="C15" s="121" t="s">
        <v>326</v>
      </c>
      <c r="D15" s="124" t="s">
        <v>327</v>
      </c>
      <c r="E15" s="32" t="s">
        <v>328</v>
      </c>
    </row>
    <row r="16" customFormat="false" ht="36" hidden="false" customHeight="true" outlineLevel="0" collapsed="false">
      <c r="B16" s="110" t="s">
        <v>329</v>
      </c>
      <c r="C16" s="110" t="s">
        <v>330</v>
      </c>
      <c r="D16" s="40" t="s">
        <v>331</v>
      </c>
      <c r="E16" s="44" t="s">
        <v>332</v>
      </c>
    </row>
    <row r="17" customFormat="false" ht="36" hidden="false" customHeight="true" outlineLevel="0" collapsed="false">
      <c r="B17" s="104" t="s">
        <v>333</v>
      </c>
      <c r="C17" s="104" t="s">
        <v>334</v>
      </c>
      <c r="D17" s="34" t="s">
        <v>335</v>
      </c>
      <c r="E17" s="38" t="s">
        <v>336</v>
      </c>
    </row>
    <row r="18" customFormat="false" ht="6" hidden="false" customHeight="true" outlineLevel="0" collapsed="false"/>
    <row r="19" customFormat="false" ht="30" hidden="false" customHeight="true" outlineLevel="0" collapsed="false">
      <c r="A19" s="85" t="s">
        <v>337</v>
      </c>
      <c r="B19" s="85"/>
      <c r="C19" s="85"/>
      <c r="D19" s="85"/>
      <c r="E19" s="85"/>
      <c r="F19" s="85"/>
      <c r="G19" s="85"/>
    </row>
  </sheetData>
  <mergeCells count="4">
    <mergeCell ref="A2:G2"/>
    <mergeCell ref="A4:G4"/>
    <mergeCell ref="A12:G1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25" t="s">
        <v>338</v>
      </c>
      <c r="C2" s="125"/>
      <c r="D2" s="125"/>
      <c r="E2" s="125"/>
      <c r="F2" s="125"/>
      <c r="G2" s="125"/>
    </row>
    <row r="3" customFormat="false" ht="19.5" hidden="false" customHeight="true" outlineLevel="0" collapsed="false">
      <c r="B3" s="126" t="s">
        <v>339</v>
      </c>
      <c r="C3" s="126"/>
      <c r="D3" s="126"/>
      <c r="E3" s="126"/>
      <c r="F3" s="126"/>
      <c r="G3" s="126"/>
    </row>
    <row r="4" customFormat="false" ht="6" hidden="false" customHeight="true" outlineLevel="0" collapsed="false"/>
    <row r="5" customFormat="false" ht="18" hidden="false" customHeight="true" outlineLevel="0" collapsed="false">
      <c r="B5" s="74" t="s">
        <v>340</v>
      </c>
      <c r="C5" s="74"/>
      <c r="D5" s="74"/>
      <c r="E5" s="74"/>
      <c r="F5" s="74"/>
      <c r="G5" s="74"/>
    </row>
    <row r="6" customFormat="false" ht="18" hidden="false" customHeight="true" outlineLevel="0" collapsed="false">
      <c r="B6" s="14" t="s">
        <v>124</v>
      </c>
      <c r="C6" s="14" t="s">
        <v>341</v>
      </c>
      <c r="D6" s="14" t="s">
        <v>342</v>
      </c>
      <c r="E6" s="14" t="s">
        <v>343</v>
      </c>
      <c r="F6" s="14" t="s">
        <v>344</v>
      </c>
      <c r="G6" s="14" t="s">
        <v>56</v>
      </c>
    </row>
    <row r="7" customFormat="false" ht="18" hidden="false" customHeight="true" outlineLevel="0" collapsed="false">
      <c r="B7" s="127" t="s">
        <v>345</v>
      </c>
      <c r="C7" s="128" t="n">
        <v>13500</v>
      </c>
      <c r="D7" s="128" t="n">
        <v>8500</v>
      </c>
      <c r="E7" s="129" t="n">
        <f aca="false">C7-D7</f>
        <v>5000</v>
      </c>
      <c r="F7" s="130" t="n">
        <f aca="false">E7/C7</f>
        <v>0.37037037037037</v>
      </c>
      <c r="G7" s="131" t="s">
        <v>346</v>
      </c>
    </row>
    <row r="8" customFormat="false" ht="18" hidden="false" customHeight="true" outlineLevel="0" collapsed="false">
      <c r="B8" s="15" t="s">
        <v>347</v>
      </c>
      <c r="C8" s="132" t="n">
        <v>13500</v>
      </c>
      <c r="D8" s="132" t="n">
        <v>8000</v>
      </c>
      <c r="E8" s="133" t="n">
        <f aca="false">C8-D8</f>
        <v>5500</v>
      </c>
      <c r="F8" s="134" t="n">
        <f aca="false">E8/C8</f>
        <v>0.407407407407407</v>
      </c>
      <c r="G8" s="135" t="s">
        <v>348</v>
      </c>
    </row>
    <row r="9" customFormat="false" ht="18" hidden="false" customHeight="true" outlineLevel="0" collapsed="false">
      <c r="B9" s="15" t="s">
        <v>349</v>
      </c>
      <c r="C9" s="132" t="n">
        <v>13500</v>
      </c>
      <c r="D9" s="132" t="n">
        <v>9000</v>
      </c>
      <c r="E9" s="133" t="n">
        <f aca="false">C9-D9</f>
        <v>4500</v>
      </c>
      <c r="F9" s="134" t="n">
        <f aca="false">E9/C9</f>
        <v>0.333333333333333</v>
      </c>
      <c r="G9" s="135" t="s">
        <v>350</v>
      </c>
    </row>
    <row r="10" customFormat="false" ht="6" hidden="false" customHeight="true" outlineLevel="0" collapsed="false"/>
    <row r="11" customFormat="false" ht="18" hidden="false" customHeight="true" outlineLevel="0" collapsed="false">
      <c r="B11" s="74" t="s">
        <v>351</v>
      </c>
      <c r="C11" s="74"/>
      <c r="D11" s="74"/>
      <c r="E11" s="74"/>
      <c r="F11" s="74"/>
      <c r="G11" s="74"/>
    </row>
    <row r="12" customFormat="false" ht="18" hidden="false" customHeight="true" outlineLevel="0" collapsed="false">
      <c r="B12" s="14" t="s">
        <v>124</v>
      </c>
      <c r="C12" s="14" t="s">
        <v>352</v>
      </c>
      <c r="D12" s="14" t="s">
        <v>353</v>
      </c>
      <c r="E12" s="14" t="s">
        <v>354</v>
      </c>
      <c r="F12" s="14" t="s">
        <v>355</v>
      </c>
      <c r="G12" s="14" t="s">
        <v>56</v>
      </c>
    </row>
    <row r="13" customFormat="false" ht="18" hidden="false" customHeight="true" outlineLevel="0" collapsed="false">
      <c r="B13" s="136" t="s">
        <v>356</v>
      </c>
      <c r="C13" s="137" t="n">
        <v>60</v>
      </c>
      <c r="D13" s="137" t="n">
        <v>120</v>
      </c>
      <c r="E13" s="138" t="n">
        <f aca="false">D13-C13</f>
        <v>60</v>
      </c>
      <c r="F13" s="139" t="s">
        <v>128</v>
      </c>
      <c r="G13" s="140" t="s">
        <v>357</v>
      </c>
    </row>
    <row r="14" customFormat="false" ht="18" hidden="false" customHeight="true" outlineLevel="0" collapsed="false">
      <c r="B14" s="15" t="s">
        <v>358</v>
      </c>
      <c r="C14" s="137" t="n">
        <v>60</v>
      </c>
      <c r="D14" s="137" t="n">
        <v>60</v>
      </c>
      <c r="E14" s="141" t="n">
        <f aca="false">D14-C14</f>
        <v>0</v>
      </c>
      <c r="F14" s="139" t="s">
        <v>128</v>
      </c>
      <c r="G14" s="142" t="s">
        <v>359</v>
      </c>
    </row>
    <row r="15" customFormat="false" ht="18" hidden="false" customHeight="true" outlineLevel="0" collapsed="false">
      <c r="B15" s="143" t="s">
        <v>360</v>
      </c>
      <c r="C15" s="139" t="s">
        <v>128</v>
      </c>
      <c r="D15" s="144" t="n">
        <f aca="false">D13-D14</f>
        <v>60</v>
      </c>
      <c r="E15" s="138" t="n">
        <f aca="false">D15</f>
        <v>60</v>
      </c>
      <c r="F15" s="145" t="n">
        <f aca="false">D15*(C7-C7)/1000</f>
        <v>0</v>
      </c>
      <c r="G15" s="146" t="s">
        <v>361</v>
      </c>
    </row>
    <row r="16" customFormat="false" ht="6" hidden="false" customHeight="true" outlineLevel="0" collapsed="false"/>
    <row r="17" customFormat="false" ht="18" hidden="false" customHeight="true" outlineLevel="0" collapsed="false">
      <c r="B17" s="14" t="s">
        <v>362</v>
      </c>
      <c r="C17" s="14" t="s">
        <v>363</v>
      </c>
      <c r="D17" s="14"/>
      <c r="E17" s="14" t="s">
        <v>364</v>
      </c>
      <c r="F17" s="14" t="s">
        <v>56</v>
      </c>
      <c r="G17" s="14"/>
    </row>
    <row r="18" customFormat="false" ht="21.75" hidden="false" customHeight="true" outlineLevel="0" collapsed="false">
      <c r="B18" s="28" t="s">
        <v>365</v>
      </c>
      <c r="C18" s="147" t="s">
        <v>366</v>
      </c>
      <c r="D18" s="148"/>
      <c r="E18" s="129" t="n">
        <v>300</v>
      </c>
      <c r="F18" s="149" t="s">
        <v>367</v>
      </c>
      <c r="G18" s="148"/>
    </row>
    <row r="19" customFormat="false" ht="21.75" hidden="false" customHeight="true" outlineLevel="0" collapsed="false">
      <c r="B19" s="55" t="s">
        <v>368</v>
      </c>
      <c r="C19" s="147" t="s">
        <v>369</v>
      </c>
      <c r="D19" s="148"/>
      <c r="E19" s="129" t="n">
        <v>300</v>
      </c>
      <c r="F19" s="150" t="s">
        <v>370</v>
      </c>
      <c r="G19" s="148"/>
    </row>
    <row r="20" customFormat="false" ht="21.75" hidden="false" customHeight="true" outlineLevel="0" collapsed="false">
      <c r="B20" s="22" t="s">
        <v>371</v>
      </c>
      <c r="C20" s="151" t="s">
        <v>372</v>
      </c>
      <c r="D20" s="152"/>
      <c r="E20" s="153" t="n">
        <v>300</v>
      </c>
      <c r="F20" s="154" t="s">
        <v>373</v>
      </c>
      <c r="G20" s="152"/>
    </row>
    <row r="21" customFormat="false" ht="6" hidden="false" customHeight="true" outlineLevel="0" collapsed="false"/>
    <row r="22" customFormat="false" ht="18" hidden="false" customHeight="true" outlineLevel="0" collapsed="false">
      <c r="B22" s="74" t="s">
        <v>374</v>
      </c>
      <c r="C22" s="74"/>
      <c r="D22" s="74"/>
      <c r="E22" s="74"/>
      <c r="F22" s="74"/>
      <c r="G22" s="74"/>
    </row>
    <row r="23" customFormat="false" ht="18" hidden="false" customHeight="true" outlineLevel="0" collapsed="false">
      <c r="B23" s="14" t="s">
        <v>375</v>
      </c>
      <c r="C23" s="14" t="s">
        <v>376</v>
      </c>
      <c r="D23" s="14" t="s">
        <v>377</v>
      </c>
      <c r="E23" s="14" t="s">
        <v>378</v>
      </c>
      <c r="F23" s="14" t="s">
        <v>56</v>
      </c>
      <c r="G23" s="14"/>
    </row>
    <row r="24" customFormat="false" ht="18" hidden="false" customHeight="true" outlineLevel="0" collapsed="false">
      <c r="B24" s="15" t="s">
        <v>379</v>
      </c>
      <c r="C24" s="70" t="n">
        <v>0.4819</v>
      </c>
      <c r="D24" s="100" t="n">
        <v>0.4819</v>
      </c>
      <c r="E24" s="155" t="s">
        <v>380</v>
      </c>
      <c r="F24" s="142" t="s">
        <v>381</v>
      </c>
      <c r="G24" s="15"/>
    </row>
    <row r="25" customFormat="false" ht="18" hidden="false" customHeight="true" outlineLevel="0" collapsed="false">
      <c r="B25" s="15" t="s">
        <v>382</v>
      </c>
      <c r="C25" s="70" t="n">
        <v>0.0675</v>
      </c>
      <c r="D25" s="100" t="n">
        <v>0.0425</v>
      </c>
      <c r="E25" s="156" t="s">
        <v>383</v>
      </c>
      <c r="F25" s="142" t="s">
        <v>384</v>
      </c>
      <c r="G25" s="15"/>
    </row>
    <row r="26" customFormat="false" ht="18" hidden="false" customHeight="true" outlineLevel="0" collapsed="false">
      <c r="B26" s="22" t="s">
        <v>385</v>
      </c>
      <c r="C26" s="157" t="n">
        <v>0.5494</v>
      </c>
      <c r="D26" s="158" t="n">
        <v>0.5244</v>
      </c>
      <c r="E26" s="159" t="s">
        <v>383</v>
      </c>
      <c r="F26" s="160" t="s">
        <v>386</v>
      </c>
      <c r="G26" s="152"/>
    </row>
    <row r="27" customFormat="false" ht="6" hidden="false" customHeight="true" outlineLevel="0" collapsed="false"/>
    <row r="28" customFormat="false" ht="18" hidden="false" customHeight="true" outlineLevel="0" collapsed="false">
      <c r="B28" s="14" t="s">
        <v>387</v>
      </c>
      <c r="C28" s="14" t="s">
        <v>388</v>
      </c>
      <c r="D28" s="14" t="s">
        <v>389</v>
      </c>
      <c r="E28" s="14" t="s">
        <v>390</v>
      </c>
      <c r="F28" s="14" t="s">
        <v>391</v>
      </c>
      <c r="G28" s="14" t="s">
        <v>392</v>
      </c>
    </row>
    <row r="29" customFormat="false" ht="19.5" hidden="false" customHeight="true" outlineLevel="0" collapsed="false">
      <c r="B29" s="28" t="s">
        <v>393</v>
      </c>
      <c r="C29" s="161" t="n">
        <v>0.5521</v>
      </c>
      <c r="D29" s="32" t="s">
        <v>394</v>
      </c>
      <c r="E29" s="32" t="s">
        <v>394</v>
      </c>
      <c r="F29" s="38" t="s">
        <v>395</v>
      </c>
      <c r="G29" s="162" t="s">
        <v>396</v>
      </c>
    </row>
    <row r="30" customFormat="false" ht="19.5" hidden="false" customHeight="true" outlineLevel="0" collapsed="false">
      <c r="B30" s="28" t="s">
        <v>397</v>
      </c>
      <c r="C30" s="161" t="n">
        <v>0.5639</v>
      </c>
      <c r="D30" s="32" t="s">
        <v>394</v>
      </c>
      <c r="E30" s="32" t="s">
        <v>394</v>
      </c>
      <c r="F30" s="38" t="s">
        <v>395</v>
      </c>
      <c r="G30" s="162" t="s">
        <v>398</v>
      </c>
    </row>
    <row r="31" customFormat="false" ht="19.5" hidden="false" customHeight="true" outlineLevel="0" collapsed="false">
      <c r="B31" s="39" t="s">
        <v>399</v>
      </c>
      <c r="C31" s="163" t="n">
        <v>0.5827</v>
      </c>
      <c r="D31" s="32" t="s">
        <v>394</v>
      </c>
      <c r="E31" s="44" t="s">
        <v>400</v>
      </c>
      <c r="F31" s="38" t="s">
        <v>395</v>
      </c>
      <c r="G31" s="164" t="s">
        <v>401</v>
      </c>
    </row>
    <row r="32" customFormat="false" ht="19.5" hidden="false" customHeight="true" outlineLevel="0" collapsed="false">
      <c r="B32" s="33" t="s">
        <v>402</v>
      </c>
      <c r="C32" s="66" t="n">
        <v>0.6169</v>
      </c>
      <c r="D32" s="32" t="s">
        <v>394</v>
      </c>
      <c r="E32" s="38" t="s">
        <v>395</v>
      </c>
      <c r="F32" s="38" t="s">
        <v>395</v>
      </c>
      <c r="G32" s="165" t="s">
        <v>403</v>
      </c>
    </row>
    <row r="33" customFormat="false" ht="6" hidden="false" customHeight="true" outlineLevel="0" collapsed="false"/>
    <row r="34" customFormat="false" ht="18" hidden="false" customHeight="true" outlineLevel="0" collapsed="false">
      <c r="B34" s="74" t="s">
        <v>404</v>
      </c>
      <c r="C34" s="74"/>
      <c r="D34" s="74"/>
      <c r="E34" s="74"/>
      <c r="F34" s="74"/>
      <c r="G34" s="74"/>
    </row>
    <row r="35" customFormat="false" ht="18" hidden="false" customHeight="true" outlineLevel="0" collapsed="false">
      <c r="B35" s="14" t="s">
        <v>124</v>
      </c>
      <c r="C35" s="14" t="s">
        <v>376</v>
      </c>
      <c r="D35" s="14" t="s">
        <v>405</v>
      </c>
      <c r="E35" s="14" t="s">
        <v>406</v>
      </c>
      <c r="F35" s="14" t="s">
        <v>56</v>
      </c>
      <c r="G35" s="14"/>
    </row>
    <row r="36" customFormat="false" ht="19.5" hidden="false" customHeight="true" outlineLevel="0" collapsed="false">
      <c r="B36" s="15" t="s">
        <v>407</v>
      </c>
      <c r="C36" s="133" t="n">
        <v>3844</v>
      </c>
      <c r="D36" s="145" t="n">
        <v>3844</v>
      </c>
      <c r="E36" s="166" t="s">
        <v>380</v>
      </c>
      <c r="F36" s="135" t="s">
        <v>408</v>
      </c>
      <c r="G36" s="15"/>
    </row>
    <row r="37" customFormat="false" ht="19.5" hidden="false" customHeight="true" outlineLevel="0" collapsed="false">
      <c r="B37" s="15" t="s">
        <v>409</v>
      </c>
      <c r="C37" s="133" t="n">
        <v>0</v>
      </c>
      <c r="D37" s="145" t="n">
        <v>300</v>
      </c>
      <c r="E37" s="166" t="s">
        <v>410</v>
      </c>
      <c r="F37" s="131" t="s">
        <v>411</v>
      </c>
      <c r="G37" s="15"/>
    </row>
    <row r="38" customFormat="false" ht="19.5" hidden="false" customHeight="true" outlineLevel="0" collapsed="false">
      <c r="B38" s="15" t="s">
        <v>412</v>
      </c>
      <c r="C38" s="133" t="n">
        <v>0</v>
      </c>
      <c r="D38" s="145" t="n">
        <v>300</v>
      </c>
      <c r="E38" s="166" t="s">
        <v>410</v>
      </c>
      <c r="F38" s="131" t="s">
        <v>413</v>
      </c>
      <c r="G38" s="15"/>
    </row>
    <row r="39" customFormat="false" ht="19.5" hidden="false" customHeight="true" outlineLevel="0" collapsed="false">
      <c r="B39" s="22" t="s">
        <v>414</v>
      </c>
      <c r="C39" s="167" t="n">
        <v>3844</v>
      </c>
      <c r="D39" s="153" t="n">
        <v>4144</v>
      </c>
      <c r="E39" s="168" t="s">
        <v>410</v>
      </c>
      <c r="F39" s="131"/>
      <c r="G39" s="152"/>
    </row>
    <row r="40" customFormat="false" ht="19.5" hidden="false" customHeight="true" outlineLevel="0" collapsed="false">
      <c r="B40" s="127" t="s">
        <v>5</v>
      </c>
      <c r="C40" s="169" t="s">
        <v>415</v>
      </c>
      <c r="D40" s="170" t="s">
        <v>416</v>
      </c>
      <c r="E40" s="171" t="s">
        <v>417</v>
      </c>
      <c r="F40" s="131" t="s">
        <v>418</v>
      </c>
      <c r="G40" s="148"/>
    </row>
    <row r="41" customFormat="false" ht="19.5" hidden="false" customHeight="true" outlineLevel="0" collapsed="false">
      <c r="B41" s="28" t="s">
        <v>419</v>
      </c>
      <c r="C41" s="172" t="n">
        <v>11532</v>
      </c>
      <c r="D41" s="129" t="n">
        <v>12432</v>
      </c>
      <c r="E41" s="171" t="s">
        <v>420</v>
      </c>
      <c r="F41" s="131"/>
      <c r="G41" s="148"/>
    </row>
    <row r="42" customFormat="false" ht="6" hidden="false" customHeight="true" outlineLevel="0" collapsed="false"/>
    <row r="43" customFormat="false" ht="18" hidden="false" customHeight="true" outlineLevel="0" collapsed="false">
      <c r="B43" s="74" t="s">
        <v>421</v>
      </c>
      <c r="C43" s="74"/>
      <c r="D43" s="74"/>
      <c r="E43" s="74"/>
      <c r="F43" s="74"/>
      <c r="G43" s="74"/>
    </row>
    <row r="44" customFormat="false" ht="18" hidden="false" customHeight="true" outlineLevel="0" collapsed="false">
      <c r="B44" s="14" t="s">
        <v>422</v>
      </c>
      <c r="C44" s="14" t="s">
        <v>423</v>
      </c>
      <c r="D44" s="14"/>
      <c r="E44" s="14"/>
      <c r="F44" s="14" t="s">
        <v>424</v>
      </c>
      <c r="G44" s="14"/>
    </row>
    <row r="45" customFormat="false" ht="27.75" hidden="false" customHeight="true" outlineLevel="0" collapsed="false">
      <c r="B45" s="22" t="s">
        <v>425</v>
      </c>
      <c r="C45" s="173" t="s">
        <v>426</v>
      </c>
      <c r="D45" s="173"/>
      <c r="E45" s="173"/>
      <c r="F45" s="174" t="s">
        <v>427</v>
      </c>
      <c r="G45" s="15"/>
    </row>
    <row r="46" customFormat="false" ht="27.75" hidden="false" customHeight="true" outlineLevel="0" collapsed="false">
      <c r="B46" s="22" t="s">
        <v>428</v>
      </c>
      <c r="C46" s="173" t="s">
        <v>429</v>
      </c>
      <c r="D46" s="173"/>
      <c r="E46" s="173"/>
      <c r="F46" s="174" t="s">
        <v>430</v>
      </c>
      <c r="G46" s="15"/>
    </row>
    <row r="47" customFormat="false" ht="27.75" hidden="false" customHeight="true" outlineLevel="0" collapsed="false">
      <c r="B47" s="22" t="s">
        <v>431</v>
      </c>
      <c r="C47" s="173" t="s">
        <v>432</v>
      </c>
      <c r="D47" s="173"/>
      <c r="E47" s="173"/>
      <c r="F47" s="174" t="s">
        <v>433</v>
      </c>
      <c r="G47" s="15"/>
    </row>
    <row r="48" customFormat="false" ht="27.75" hidden="false" customHeight="true" outlineLevel="0" collapsed="false">
      <c r="B48" s="22" t="s">
        <v>434</v>
      </c>
      <c r="C48" s="173" t="s">
        <v>435</v>
      </c>
      <c r="D48" s="173"/>
      <c r="E48" s="173"/>
      <c r="F48" s="174" t="s">
        <v>436</v>
      </c>
      <c r="G48" s="15"/>
    </row>
    <row r="49" customFormat="false" ht="27.75" hidden="false" customHeight="true" outlineLevel="0" collapsed="false">
      <c r="B49" s="22" t="s">
        <v>437</v>
      </c>
      <c r="C49" s="173" t="s">
        <v>438</v>
      </c>
      <c r="D49" s="173"/>
      <c r="E49" s="173"/>
      <c r="F49" s="174" t="s">
        <v>439</v>
      </c>
      <c r="G49" s="15"/>
    </row>
    <row r="50" customFormat="false" ht="27.75" hidden="false" customHeight="true" outlineLevel="0" collapsed="false">
      <c r="B50" s="22" t="s">
        <v>440</v>
      </c>
      <c r="C50" s="173" t="s">
        <v>441</v>
      </c>
      <c r="D50" s="173"/>
      <c r="E50" s="173"/>
      <c r="F50" s="174" t="s">
        <v>442</v>
      </c>
      <c r="G50" s="15"/>
    </row>
    <row r="51" customFormat="false" ht="6" hidden="false" customHeight="true" outlineLevel="0" collapsed="false"/>
    <row r="52" customFormat="false" ht="36" hidden="false" customHeight="true" outlineLevel="0" collapsed="false">
      <c r="B52" s="175" t="s">
        <v>443</v>
      </c>
      <c r="C52" s="175"/>
      <c r="D52" s="175"/>
      <c r="E52" s="175"/>
      <c r="F52" s="175"/>
      <c r="G52" s="175"/>
    </row>
  </sheetData>
  <mergeCells count="14">
    <mergeCell ref="B2:G2"/>
    <mergeCell ref="B3:G3"/>
    <mergeCell ref="B5:G5"/>
    <mergeCell ref="B11:G11"/>
    <mergeCell ref="B22:G22"/>
    <mergeCell ref="B34:G34"/>
    <mergeCell ref="B43:G43"/>
    <mergeCell ref="C45:E45"/>
    <mergeCell ref="C46:E46"/>
    <mergeCell ref="C47:E47"/>
    <mergeCell ref="C48:E48"/>
    <mergeCell ref="C49:E49"/>
    <mergeCell ref="C50:E50"/>
    <mergeCell ref="B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2026-04-23T04:05:41Z</dcterms:created>
  <dc:creator>openpyxl</dc:creator>
  <dc:description/>
  <dc:language>en-US</dc:language>
  <cp:lastModifiedBy/>
  <dcterms:modified xsi:type="dcterms:W3CDTF">2026-04-23T05:46:53Z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