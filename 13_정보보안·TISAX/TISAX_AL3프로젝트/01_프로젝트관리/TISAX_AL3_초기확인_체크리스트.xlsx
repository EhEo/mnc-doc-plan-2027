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13_정보보안·TISAX/TISAX_AL3프로젝트/01_프로젝트관리/"/>
    </mc:Choice>
  </mc:AlternateContent>
  <xr:revisionPtr revIDLastSave="20" documentId="11_7B5447C1F8A489DEE43F655C841DCC42068A84F6" xr6:coauthVersionLast="47" xr6:coauthVersionMax="47" xr10:uidLastSave="{790F5CE6-D194-46F4-98F9-C2B493CFF77B}"/>
  <bookViews>
    <workbookView xWindow="28680" yWindow="-120" windowWidth="29040" windowHeight="15720" tabRatio="500" activeTab="1" xr2:uid="{00000000-000D-0000-FFFF-FFFF00000000}"/>
  </bookViews>
  <sheets>
    <sheet name="1_적용범위결정" sheetId="1" r:id="rId1"/>
    <sheet name="2_초기_Gap분석" sheetId="2" r:id="rId2"/>
    <sheet name="3_비용추정" sheetId="3" r:id="rId3"/>
    <sheet name="4_마일스톤계획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3" l="1"/>
  <c r="D15" i="3"/>
  <c r="F22" i="2"/>
  <c r="D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<sst xmlns="http://schemas.openxmlformats.org/spreadsheetml/2006/main" count="281" uniqueCount="203">
  <si>
    <r>
      <rPr>
        <b/>
        <sz val="16"/>
        <color rgb="FFFFFFFF"/>
        <rFont val="맑은 고딕"/>
        <family val="3"/>
        <charset val="129"/>
      </rPr>
      <t xml:space="preserve">TISAX AL3 </t>
    </r>
    <r>
      <rPr>
        <b/>
        <sz val="16"/>
        <color rgb="FFFFFFFF"/>
        <rFont val="Noto Sans CJK SC"/>
        <family val="2"/>
      </rPr>
      <t>적용 범위 결정 체크리스트</t>
    </r>
  </si>
  <si>
    <r>
      <rPr>
        <sz val="9"/>
        <color rgb="FF595959"/>
        <rFont val="Noto Sans CJK SC"/>
        <family val="2"/>
      </rPr>
      <t>▶ 목적</t>
    </r>
    <r>
      <rPr>
        <sz val="9"/>
        <color rgb="FF595959"/>
        <rFont val="맑은 고딕"/>
        <family val="3"/>
        <charset val="129"/>
      </rPr>
      <t xml:space="preserve">: TISAX AL3 </t>
    </r>
    <r>
      <rPr>
        <sz val="9"/>
        <color rgb="FF595959"/>
        <rFont val="Noto Sans CJK SC"/>
        <family val="2"/>
      </rPr>
      <t>인증이 필요한 실제 범위</t>
    </r>
    <r>
      <rPr>
        <sz val="9"/>
        <color rgb="FF595959"/>
        <rFont val="맑은 고딕"/>
        <family val="3"/>
        <charset val="129"/>
      </rPr>
      <t>(</t>
    </r>
    <r>
      <rPr>
        <sz val="9"/>
        <color rgb="FF595959"/>
        <rFont val="Noto Sans CJK SC"/>
        <family val="2"/>
      </rPr>
      <t>고객</t>
    </r>
    <r>
      <rPr>
        <sz val="9"/>
        <color rgb="FF595959"/>
        <rFont val="맑은 고딕"/>
        <family val="3"/>
        <charset val="129"/>
      </rPr>
      <t>·</t>
    </r>
    <r>
      <rPr>
        <sz val="9"/>
        <color rgb="FF595959"/>
        <rFont val="Noto Sans CJK SC"/>
        <family val="2"/>
      </rPr>
      <t>제품</t>
    </r>
    <r>
      <rPr>
        <sz val="9"/>
        <color rgb="FF595959"/>
        <rFont val="맑은 고딕"/>
        <family val="3"/>
        <charset val="129"/>
      </rPr>
      <t>·</t>
    </r>
    <r>
      <rPr>
        <sz val="9"/>
        <color rgb="FF595959"/>
        <rFont val="Noto Sans CJK SC"/>
        <family val="2"/>
      </rPr>
      <t>공정</t>
    </r>
    <r>
      <rPr>
        <sz val="9"/>
        <color rgb="FF595959"/>
        <rFont val="맑은 고딕"/>
        <family val="3"/>
        <charset val="129"/>
      </rPr>
      <t>·</t>
    </r>
    <r>
      <rPr>
        <sz val="9"/>
        <color rgb="FF595959"/>
        <rFont val="Noto Sans CJK SC"/>
        <family val="2"/>
      </rPr>
      <t>시스템</t>
    </r>
    <r>
      <rPr>
        <sz val="9"/>
        <color rgb="FF595959"/>
        <rFont val="맑은 고딕"/>
        <family val="3"/>
        <charset val="129"/>
      </rPr>
      <t>)</t>
    </r>
    <r>
      <rPr>
        <sz val="9"/>
        <color rgb="FF595959"/>
        <rFont val="Noto Sans CJK SC"/>
        <family val="2"/>
      </rPr>
      <t>를 최소화하여 비용을 절감하고 현실적인 인증 계획을 수립</t>
    </r>
  </si>
  <si>
    <r>
      <rPr>
        <b/>
        <sz val="11"/>
        <color rgb="FFFFFFFF"/>
        <rFont val="맑은 고딕"/>
        <family val="3"/>
        <charset val="129"/>
      </rPr>
      <t xml:space="preserve">SECTION 1 — </t>
    </r>
    <r>
      <rPr>
        <b/>
        <sz val="11"/>
        <color rgb="FFFFFFFF"/>
        <rFont val="Noto Sans CJK SC"/>
        <family val="2"/>
      </rPr>
      <t xml:space="preserve">고객별 </t>
    </r>
    <r>
      <rPr>
        <b/>
        <sz val="11"/>
        <color rgb="FFFFFFFF"/>
        <rFont val="맑은 고딕"/>
        <family val="3"/>
        <charset val="129"/>
      </rPr>
      <t xml:space="preserve">TISAX </t>
    </r>
    <r>
      <rPr>
        <b/>
        <sz val="11"/>
        <color rgb="FFFFFFFF"/>
        <rFont val="Noto Sans CJK SC"/>
        <family val="2"/>
      </rPr>
      <t>요건 파악</t>
    </r>
  </si>
  <si>
    <t>No</t>
  </si>
  <si>
    <t>확인 항목</t>
  </si>
  <si>
    <t>확인 내용</t>
  </si>
  <si>
    <t>담당자</t>
  </si>
  <si>
    <r>
      <rPr>
        <b/>
        <sz val="10"/>
        <color rgb="FFFFFFFF"/>
        <rFont val="Noto Sans CJK SC"/>
        <family val="2"/>
      </rPr>
      <t>결과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Noto Sans CJK SC"/>
        <family val="2"/>
      </rPr>
      <t>현황</t>
    </r>
  </si>
  <si>
    <t>완료</t>
  </si>
  <si>
    <t>1</t>
  </si>
  <si>
    <r>
      <rPr>
        <sz val="9"/>
        <rFont val="맑은 고딕"/>
        <family val="3"/>
        <charset val="129"/>
      </rPr>
      <t xml:space="preserve">TISAX </t>
    </r>
    <r>
      <rPr>
        <sz val="9"/>
        <rFont val="Noto Sans CJK SC"/>
        <family val="2"/>
      </rPr>
      <t>요구 고객사 목록</t>
    </r>
  </si>
  <si>
    <r>
      <rPr>
        <sz val="9"/>
        <rFont val="Noto Sans CJK SC"/>
        <family val="2"/>
      </rPr>
      <t xml:space="preserve">현재 거래 중인 </t>
    </r>
    <r>
      <rPr>
        <sz val="9"/>
        <rFont val="맑은 고딕"/>
        <family val="3"/>
        <charset val="129"/>
      </rPr>
      <t xml:space="preserve">OEM/Tier1 </t>
    </r>
    <r>
      <rPr>
        <sz val="9"/>
        <rFont val="Noto Sans CJK SC"/>
        <family val="2"/>
      </rPr>
      <t xml:space="preserve">중 </t>
    </r>
    <r>
      <rPr>
        <sz val="9"/>
        <rFont val="맑은 고딕"/>
        <family val="3"/>
        <charset val="129"/>
      </rPr>
      <t>TISAX AL3</t>
    </r>
    <r>
      <rPr>
        <sz val="9"/>
        <rFont val="Noto Sans CJK SC"/>
        <family val="2"/>
      </rPr>
      <t>을 명시적으로 요구하는 고객사를 확인하고 목록화한다</t>
    </r>
    <r>
      <rPr>
        <sz val="9"/>
        <rFont val="맑은 고딕"/>
        <family val="3"/>
        <charset val="129"/>
      </rPr>
      <t>.</t>
    </r>
  </si>
  <si>
    <r>
      <rPr>
        <sz val="9"/>
        <rFont val="Noto Sans CJK SC"/>
        <family val="2"/>
      </rPr>
      <t>영업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>계약팀</t>
    </r>
  </si>
  <si>
    <t>☐</t>
  </si>
  <si>
    <t>2</t>
  </si>
  <si>
    <r>
      <rPr>
        <sz val="9"/>
        <rFont val="Noto Sans CJK SC"/>
        <family val="2"/>
      </rPr>
      <t>계약서</t>
    </r>
    <r>
      <rPr>
        <sz val="9"/>
        <rFont val="맑은 고딕"/>
        <family val="3"/>
        <charset val="129"/>
      </rPr>
      <t xml:space="preserve">·NDA </t>
    </r>
    <r>
      <rPr>
        <sz val="9"/>
        <rFont val="Noto Sans CJK SC"/>
        <family val="2"/>
      </rPr>
      <t>검토</t>
    </r>
  </si>
  <si>
    <r>
      <rPr>
        <sz val="9"/>
        <rFont val="Noto Sans CJK SC"/>
        <family val="2"/>
      </rPr>
      <t xml:space="preserve">기존 계약서 및 </t>
    </r>
    <r>
      <rPr>
        <sz val="9"/>
        <rFont val="맑은 고딕"/>
        <family val="3"/>
        <charset val="129"/>
      </rPr>
      <t>NDA</t>
    </r>
    <r>
      <rPr>
        <sz val="9"/>
        <rFont val="Noto Sans CJK SC"/>
        <family val="2"/>
      </rPr>
      <t xml:space="preserve">에 </t>
    </r>
    <r>
      <rPr>
        <sz val="9"/>
        <rFont val="맑은 고딕"/>
        <family val="3"/>
        <charset val="129"/>
      </rPr>
      <t xml:space="preserve">TISAX </t>
    </r>
    <r>
      <rPr>
        <sz val="9"/>
        <rFont val="Noto Sans CJK SC"/>
        <family val="2"/>
      </rPr>
      <t>라벨 조건 또는 정보보안 등급 조건이 명시되어 있는지 확인한다</t>
    </r>
    <r>
      <rPr>
        <sz val="9"/>
        <rFont val="맑은 고딕"/>
        <family val="3"/>
        <charset val="129"/>
      </rPr>
      <t>.</t>
    </r>
  </si>
  <si>
    <t>법무팀</t>
  </si>
  <si>
    <t>3</t>
  </si>
  <si>
    <t>향후 수주 예정 고객 파악</t>
  </si>
  <si>
    <r>
      <rPr>
        <sz val="9"/>
        <rFont val="Noto Sans CJK SC"/>
        <family val="2"/>
      </rPr>
      <t xml:space="preserve">입찰 예정이거나 신규 접촉 중인 고객 중 </t>
    </r>
    <r>
      <rPr>
        <sz val="9"/>
        <rFont val="맑은 고딕"/>
        <family val="3"/>
        <charset val="129"/>
      </rPr>
      <t>TISAX</t>
    </r>
    <r>
      <rPr>
        <sz val="9"/>
        <rFont val="Noto Sans CJK SC"/>
        <family val="2"/>
      </rPr>
      <t>를 요건으로 제시할 가능성이 있는 고객을 파악한다</t>
    </r>
    <r>
      <rPr>
        <sz val="9"/>
        <rFont val="맑은 고딕"/>
        <family val="3"/>
        <charset val="129"/>
      </rPr>
      <t>.</t>
    </r>
  </si>
  <si>
    <t>영업팀</t>
  </si>
  <si>
    <t>4</t>
  </si>
  <si>
    <r>
      <rPr>
        <sz val="9"/>
        <rFont val="맑은 고딕"/>
        <family val="3"/>
        <charset val="129"/>
      </rPr>
      <t xml:space="preserve">AL </t>
    </r>
    <r>
      <rPr>
        <sz val="9"/>
        <rFont val="Noto Sans CJK SC"/>
        <family val="2"/>
      </rPr>
      <t>레벨 확인</t>
    </r>
  </si>
  <si>
    <r>
      <rPr>
        <sz val="9"/>
        <rFont val="맑은 고딕"/>
        <family val="3"/>
        <charset val="129"/>
      </rPr>
      <t xml:space="preserve">TISAX </t>
    </r>
    <r>
      <rPr>
        <sz val="9"/>
        <rFont val="Noto Sans CJK SC"/>
        <family val="2"/>
      </rPr>
      <t xml:space="preserve">라벨 유형별 필요 </t>
    </r>
    <r>
      <rPr>
        <sz val="9"/>
        <rFont val="맑은 고딕"/>
        <family val="3"/>
        <charset val="129"/>
      </rPr>
      <t>AL</t>
    </r>
    <r>
      <rPr>
        <sz val="9"/>
        <rFont val="Noto Sans CJK SC"/>
        <family val="2"/>
      </rPr>
      <t>을 확인한다</t>
    </r>
    <r>
      <rPr>
        <sz val="9"/>
        <rFont val="맑은 고딕"/>
        <family val="3"/>
        <charset val="129"/>
      </rPr>
      <t xml:space="preserve">: </t>
    </r>
    <r>
      <rPr>
        <sz val="9"/>
        <rFont val="Noto Sans CJK SC"/>
        <family val="2"/>
      </rPr>
      <t>기밀정보</t>
    </r>
    <r>
      <rPr>
        <sz val="9"/>
        <rFont val="맑은 고딕"/>
        <family val="3"/>
        <charset val="129"/>
      </rPr>
      <t xml:space="preserve">(AL2), </t>
    </r>
    <r>
      <rPr>
        <sz val="9"/>
        <rFont val="Noto Sans CJK SC"/>
        <family val="2"/>
      </rPr>
      <t>극비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프로토타입</t>
    </r>
    <r>
      <rPr>
        <sz val="9"/>
        <rFont val="맑은 고딕"/>
        <family val="3"/>
        <charset val="129"/>
      </rPr>
      <t xml:space="preserve">(AL3), </t>
    </r>
    <r>
      <rPr>
        <sz val="9"/>
        <rFont val="Noto Sans CJK SC"/>
        <family val="2"/>
      </rPr>
      <t>보안테스트</t>
    </r>
    <r>
      <rPr>
        <sz val="9"/>
        <rFont val="맑은 고딕"/>
        <family val="3"/>
        <charset val="129"/>
      </rPr>
      <t>(AL3+).</t>
    </r>
  </si>
  <si>
    <r>
      <rPr>
        <sz val="9"/>
        <rFont val="맑은 고딕"/>
        <family val="3"/>
        <charset val="129"/>
      </rPr>
      <t>IT/</t>
    </r>
    <r>
      <rPr>
        <sz val="9"/>
        <rFont val="Noto Sans CJK SC"/>
        <family val="2"/>
      </rPr>
      <t>품질팀</t>
    </r>
  </si>
  <si>
    <t>5</t>
  </si>
  <si>
    <t>고객별 인증 기한 요구</t>
  </si>
  <si>
    <r>
      <rPr>
        <sz val="9"/>
        <rFont val="Noto Sans CJK SC"/>
        <family val="2"/>
      </rPr>
      <t xml:space="preserve">고객이 </t>
    </r>
    <r>
      <rPr>
        <sz val="9"/>
        <rFont val="맑은 고딕"/>
        <family val="3"/>
        <charset val="129"/>
      </rPr>
      <t xml:space="preserve">TISAX </t>
    </r>
    <r>
      <rPr>
        <sz val="9"/>
        <rFont val="Noto Sans CJK SC"/>
        <family val="2"/>
      </rPr>
      <t>인증 취득 기한을 계약 조건으로 제시했는지 확인하고 데드라인을 정리한다</t>
    </r>
    <r>
      <rPr>
        <sz val="9"/>
        <rFont val="맑은 고딕"/>
        <family val="3"/>
        <charset val="129"/>
      </rPr>
      <t>.</t>
    </r>
  </si>
  <si>
    <r>
      <rPr>
        <b/>
        <sz val="11"/>
        <color rgb="FFFFFFFF"/>
        <rFont val="맑은 고딕"/>
        <family val="3"/>
        <charset val="129"/>
      </rPr>
      <t xml:space="preserve">SECTION 2 — </t>
    </r>
    <r>
      <rPr>
        <b/>
        <sz val="11"/>
        <color rgb="FFFFFFFF"/>
        <rFont val="Noto Sans CJK SC"/>
        <family val="2"/>
      </rPr>
      <t>취급 정보 및 제품 분류</t>
    </r>
  </si>
  <si>
    <t>6</t>
  </si>
  <si>
    <t>취급 정보 유형 분류</t>
  </si>
  <si>
    <r>
      <rPr>
        <sz val="9"/>
        <rFont val="Noto Sans CJK SC"/>
        <family val="2"/>
      </rPr>
      <t>고객 데이터 유형을 분류</t>
    </r>
    <r>
      <rPr>
        <sz val="9"/>
        <rFont val="맑은 고딕"/>
        <family val="3"/>
        <charset val="129"/>
      </rPr>
      <t xml:space="preserve">: ① </t>
    </r>
    <r>
      <rPr>
        <sz val="9"/>
        <rFont val="Noto Sans CJK SC"/>
        <family val="2"/>
      </rPr>
      <t>일반 기술 정보</t>
    </r>
    <r>
      <rPr>
        <sz val="9"/>
        <rFont val="맑은 고딕"/>
        <family val="3"/>
        <charset val="129"/>
      </rPr>
      <t xml:space="preserve">(AL1) ② </t>
    </r>
    <r>
      <rPr>
        <sz val="9"/>
        <rFont val="Noto Sans CJK SC"/>
        <family val="2"/>
      </rPr>
      <t>기밀 기술 정보</t>
    </r>
    <r>
      <rPr>
        <sz val="9"/>
        <rFont val="맑은 고딕"/>
        <family val="3"/>
        <charset val="129"/>
      </rPr>
      <t xml:space="preserve">(AL2) ③ </t>
    </r>
    <r>
      <rPr>
        <sz val="9"/>
        <rFont val="Noto Sans CJK SC"/>
        <family val="2"/>
      </rPr>
      <t>극비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>프로토타입 데이터</t>
    </r>
    <r>
      <rPr>
        <sz val="9"/>
        <rFont val="맑은 고딕"/>
        <family val="3"/>
        <charset val="129"/>
      </rPr>
      <t xml:space="preserve">(AL3) ④ </t>
    </r>
    <r>
      <rPr>
        <sz val="9"/>
        <rFont val="Noto Sans CJK SC"/>
        <family val="2"/>
      </rPr>
      <t>보안테스트 데이터</t>
    </r>
    <r>
      <rPr>
        <sz val="9"/>
        <rFont val="맑은 고딕"/>
        <family val="3"/>
        <charset val="129"/>
      </rPr>
      <t>(AL3+)</t>
    </r>
  </si>
  <si>
    <t>7</t>
  </si>
  <si>
    <r>
      <rPr>
        <sz val="9"/>
        <rFont val="맑은 고딕"/>
        <family val="3"/>
        <charset val="129"/>
      </rPr>
      <t xml:space="preserve">AL3 </t>
    </r>
    <r>
      <rPr>
        <sz val="9"/>
        <rFont val="Noto Sans CJK SC"/>
        <family val="2"/>
      </rPr>
      <t>대상 제품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프로젝트 목록</t>
    </r>
  </si>
  <si>
    <r>
      <rPr>
        <sz val="9"/>
        <rFont val="Noto Sans CJK SC"/>
        <family val="2"/>
      </rPr>
      <t>현재 또는 향후 프로토타입 차량 부품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미출시 모델 관련 정보를 처리하는 제품 및 프로젝트를 목록화한다</t>
    </r>
    <r>
      <rPr>
        <sz val="9"/>
        <rFont val="맑은 고딕"/>
        <family val="3"/>
        <charset val="129"/>
      </rPr>
      <t>.</t>
    </r>
  </si>
  <si>
    <r>
      <rPr>
        <sz val="9"/>
        <rFont val="Noto Sans CJK SC"/>
        <family val="2"/>
      </rPr>
      <t>개발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>생산팀</t>
    </r>
  </si>
  <si>
    <t>8</t>
  </si>
  <si>
    <t>정보 보관 위치 파악</t>
  </si>
  <si>
    <r>
      <rPr>
        <sz val="9"/>
        <rFont val="맑은 고딕"/>
        <family val="3"/>
        <charset val="129"/>
      </rPr>
      <t xml:space="preserve">AL3 </t>
    </r>
    <r>
      <rPr>
        <sz val="9"/>
        <rFont val="Noto Sans CJK SC"/>
        <family val="2"/>
      </rPr>
      <t>대상 정보가 저장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처리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전송되는 시스템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서버</t>
    </r>
    <r>
      <rPr>
        <sz val="9"/>
        <rFont val="맑은 고딕"/>
        <family val="3"/>
        <charset val="129"/>
      </rPr>
      <t xml:space="preserve">, PC, </t>
    </r>
    <r>
      <rPr>
        <sz val="9"/>
        <rFont val="Noto Sans CJK SC"/>
        <family val="2"/>
      </rPr>
      <t>저장매체를 식별한다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</si>
  <si>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IT</t>
    </r>
    <r>
      <rPr>
        <sz val="9"/>
        <rFont val="Noto Sans CJK SC"/>
        <family val="2"/>
      </rPr>
      <t>팀</t>
    </r>
  </si>
  <si>
    <t>9</t>
  </si>
  <si>
    <t>정보 처리 인원 파악</t>
  </si>
  <si>
    <r>
      <rPr>
        <sz val="9"/>
        <rFont val="맑은 고딕"/>
        <family val="3"/>
        <charset val="129"/>
      </rPr>
      <t xml:space="preserve">AL3 </t>
    </r>
    <r>
      <rPr>
        <sz val="9"/>
        <rFont val="Noto Sans CJK SC"/>
        <family val="2"/>
      </rPr>
      <t>대상 정보에 접근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처리하는 임직원 및 외부 협력사 인원을 파악한다</t>
    </r>
    <r>
      <rPr>
        <sz val="9"/>
        <rFont val="맑은 고딕"/>
        <family val="3"/>
        <charset val="129"/>
      </rPr>
      <t>.</t>
    </r>
  </si>
  <si>
    <r>
      <rPr>
        <sz val="9"/>
        <rFont val="맑은 고딕"/>
        <family val="3"/>
        <charset val="129"/>
      </rPr>
      <t>HR/IT</t>
    </r>
    <r>
      <rPr>
        <sz val="9"/>
        <rFont val="Noto Sans CJK SC"/>
        <family val="2"/>
      </rPr>
      <t>팀</t>
    </r>
  </si>
  <si>
    <t>10</t>
  </si>
  <si>
    <r>
      <rPr>
        <sz val="9"/>
        <rFont val="Noto Sans CJK SC"/>
        <family val="2"/>
      </rPr>
      <t>정보 처리 공정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부서 파악</t>
    </r>
  </si>
  <si>
    <r>
      <rPr>
        <sz val="9"/>
        <rFont val="맑은 고딕"/>
        <family val="3"/>
        <charset val="129"/>
      </rPr>
      <t xml:space="preserve">AL3 </t>
    </r>
    <r>
      <rPr>
        <sz val="9"/>
        <rFont val="Noto Sans CJK SC"/>
        <family val="2"/>
      </rPr>
      <t>대상 정보를 처리하는 부서 및 생산 라인을 식별하여 최소 적용 범위를 도출한다</t>
    </r>
    <r>
      <rPr>
        <sz val="9"/>
        <rFont val="맑은 고딕"/>
        <family val="3"/>
        <charset val="129"/>
      </rPr>
      <t>.</t>
    </r>
  </si>
  <si>
    <r>
      <rPr>
        <sz val="9"/>
        <rFont val="Noto Sans CJK SC"/>
        <family val="2"/>
      </rPr>
      <t>생산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>품질팀</t>
    </r>
  </si>
  <si>
    <r>
      <rPr>
        <b/>
        <sz val="11"/>
        <color rgb="FFFFFFFF"/>
        <rFont val="맑은 고딕"/>
        <family val="3"/>
        <charset val="129"/>
      </rPr>
      <t xml:space="preserve">SECTION 3 — TISAX </t>
    </r>
    <r>
      <rPr>
        <b/>
        <sz val="11"/>
        <color rgb="FFFFFFFF"/>
        <rFont val="Noto Sans CJK SC"/>
        <family val="2"/>
      </rPr>
      <t>인증 범위</t>
    </r>
    <r>
      <rPr>
        <b/>
        <sz val="11"/>
        <color rgb="FFFFFFFF"/>
        <rFont val="맑은 고딕"/>
        <family val="3"/>
        <charset val="129"/>
      </rPr>
      <t xml:space="preserve">(Scope) </t>
    </r>
    <r>
      <rPr>
        <b/>
        <sz val="11"/>
        <color rgb="FFFFFFFF"/>
        <rFont val="Noto Sans CJK SC"/>
        <family val="2"/>
      </rPr>
      <t>결정</t>
    </r>
  </si>
  <si>
    <t>11</t>
  </si>
  <si>
    <r>
      <rPr>
        <sz val="9"/>
        <rFont val="Noto Sans CJK SC"/>
        <family val="2"/>
      </rPr>
      <t xml:space="preserve">범위 옵션 검토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비용 절감</t>
    </r>
    <r>
      <rPr>
        <sz val="9"/>
        <rFont val="맑은 고딕"/>
        <family val="3"/>
        <charset val="129"/>
      </rPr>
      <t>)</t>
    </r>
  </si>
  <si>
    <r>
      <rPr>
        <sz val="9"/>
        <rFont val="Noto Sans CJK SC"/>
        <family val="2"/>
      </rPr>
      <t xml:space="preserve">① 전사 적용 </t>
    </r>
    <r>
      <rPr>
        <sz val="9"/>
        <rFont val="맑은 고딕"/>
        <family val="3"/>
        <charset val="129"/>
      </rPr>
      <t xml:space="preserve">vs ② </t>
    </r>
    <r>
      <rPr>
        <sz val="9"/>
        <rFont val="Noto Sans CJK SC"/>
        <family val="2"/>
      </rPr>
      <t>사업부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 xml:space="preserve">팀 단위 범위 </t>
    </r>
    <r>
      <rPr>
        <sz val="9"/>
        <rFont val="맑은 고딕"/>
        <family val="3"/>
        <charset val="129"/>
      </rPr>
      <t xml:space="preserve">vs ③ </t>
    </r>
    <r>
      <rPr>
        <sz val="9"/>
        <rFont val="Noto Sans CJK SC"/>
        <family val="2"/>
      </rPr>
      <t>물리적 보안구역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클린룸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 xml:space="preserve">구축 후 범위 최소화
→ 비용 절감을 위해 </t>
    </r>
    <r>
      <rPr>
        <sz val="9"/>
        <rFont val="맑은 고딕"/>
        <family val="3"/>
        <charset val="129"/>
      </rPr>
      <t xml:space="preserve">AL3 </t>
    </r>
    <r>
      <rPr>
        <sz val="9"/>
        <rFont val="Noto Sans CJK SC"/>
        <family val="2"/>
      </rPr>
      <t>해당 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공간만 범위로 설정하는 방안을 우선 검토</t>
    </r>
    <r>
      <rPr>
        <sz val="9"/>
        <rFont val="맑은 고딕"/>
        <family val="3"/>
        <charset val="129"/>
      </rPr>
      <t>.</t>
    </r>
  </si>
  <si>
    <r>
      <rPr>
        <sz val="9"/>
        <rFont val="Noto Sans CJK SC"/>
        <family val="2"/>
      </rPr>
      <t>경영진</t>
    </r>
    <r>
      <rPr>
        <sz val="9"/>
        <rFont val="맑은 고딕"/>
        <family val="3"/>
        <charset val="129"/>
      </rPr>
      <t>/IT</t>
    </r>
    <r>
      <rPr>
        <sz val="9"/>
        <rFont val="Noto Sans CJK SC"/>
        <family val="2"/>
      </rPr>
      <t>팀</t>
    </r>
  </si>
  <si>
    <t>12</t>
  </si>
  <si>
    <t>물리적 분리 가능성 검토</t>
  </si>
  <si>
    <r>
      <rPr>
        <sz val="9"/>
        <rFont val="맑은 고딕"/>
        <family val="3"/>
        <charset val="129"/>
      </rPr>
      <t xml:space="preserve">AL3 </t>
    </r>
    <r>
      <rPr>
        <sz val="9"/>
        <rFont val="Noto Sans CJK SC"/>
        <family val="2"/>
      </rPr>
      <t>업무를 처리하는 전용 공간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보안구역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을 별도 구축할 수 있는지 공간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비용을 사전 검토한다</t>
    </r>
    <r>
      <rPr>
        <sz val="9"/>
        <rFont val="맑은 고딕"/>
        <family val="3"/>
        <charset val="129"/>
      </rPr>
      <t>.</t>
    </r>
  </si>
  <si>
    <r>
      <rPr>
        <sz val="9"/>
        <rFont val="Noto Sans CJK SC"/>
        <family val="2"/>
      </rPr>
      <t>시설</t>
    </r>
    <r>
      <rPr>
        <sz val="9"/>
        <rFont val="맑은 고딕"/>
        <family val="3"/>
        <charset val="129"/>
      </rPr>
      <t>/IT</t>
    </r>
    <r>
      <rPr>
        <sz val="9"/>
        <rFont val="Noto Sans CJK SC"/>
        <family val="2"/>
      </rPr>
      <t>팀</t>
    </r>
  </si>
  <si>
    <t>13</t>
  </si>
  <si>
    <t>논리적 분리 가능성 검토</t>
  </si>
  <si>
    <r>
      <rPr>
        <sz val="9"/>
        <rFont val="맑은 고딕"/>
        <family val="3"/>
        <charset val="129"/>
      </rPr>
      <t xml:space="preserve">VLAN, </t>
    </r>
    <r>
      <rPr>
        <sz val="9"/>
        <rFont val="Noto Sans CJK SC"/>
        <family val="2"/>
      </rPr>
      <t>별도 서버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 xml:space="preserve">독립 </t>
    </r>
    <r>
      <rPr>
        <sz val="9"/>
        <rFont val="맑은 고딕"/>
        <family val="3"/>
        <charset val="129"/>
      </rPr>
      <t xml:space="preserve">PC </t>
    </r>
    <r>
      <rPr>
        <sz val="9"/>
        <rFont val="Noto Sans CJK SC"/>
        <family val="2"/>
      </rPr>
      <t>등 논리적 네트워크 분리로 범위를 제한할 수 있는지 확인한다</t>
    </r>
    <r>
      <rPr>
        <sz val="9"/>
        <rFont val="맑은 고딕"/>
        <family val="3"/>
        <charset val="129"/>
      </rPr>
      <t>.</t>
    </r>
  </si>
  <si>
    <t>14</t>
  </si>
  <si>
    <t>범위 내 인원 최소화 계획</t>
  </si>
  <si>
    <r>
      <rPr>
        <sz val="9"/>
        <rFont val="Noto Sans CJK SC"/>
        <family val="2"/>
      </rPr>
      <t>범위 내 접근 인원을 최소화</t>
    </r>
    <r>
      <rPr>
        <sz val="9"/>
        <rFont val="맑은 고딕"/>
        <family val="3"/>
        <charset val="129"/>
      </rPr>
      <t xml:space="preserve">(Need-to-know </t>
    </r>
    <r>
      <rPr>
        <sz val="9"/>
        <rFont val="Noto Sans CJK SC"/>
        <family val="2"/>
      </rPr>
      <t>원칙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하고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범위 외 직원은 별도 보안 통제 없이 운영 가능하도록 설계한다</t>
    </r>
    <r>
      <rPr>
        <sz val="9"/>
        <rFont val="맑은 고딕"/>
        <family val="3"/>
        <charset val="129"/>
      </rPr>
      <t>.</t>
    </r>
  </si>
  <si>
    <t>15</t>
  </si>
  <si>
    <r>
      <rPr>
        <sz val="9"/>
        <rFont val="Noto Sans CJK SC"/>
        <family val="2"/>
      </rPr>
      <t>컨설팅사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인증기관 사전 상담</t>
    </r>
  </si>
  <si>
    <r>
      <rPr>
        <sz val="9"/>
        <rFont val="Noto Sans CJK SC"/>
        <family val="2"/>
      </rPr>
      <t>범위</t>
    </r>
    <r>
      <rPr>
        <sz val="9"/>
        <rFont val="맑은 고딕"/>
        <family val="3"/>
        <charset val="129"/>
      </rPr>
      <t xml:space="preserve">(Scope Statement) </t>
    </r>
    <r>
      <rPr>
        <sz val="9"/>
        <rFont val="Noto Sans CJK SC"/>
        <family val="2"/>
      </rPr>
      <t xml:space="preserve">초안을 </t>
    </r>
    <r>
      <rPr>
        <sz val="9"/>
        <rFont val="맑은 고딕"/>
        <family val="3"/>
        <charset val="129"/>
      </rPr>
      <t xml:space="preserve">ENX </t>
    </r>
    <r>
      <rPr>
        <sz val="9"/>
        <rFont val="Noto Sans CJK SC"/>
        <family val="2"/>
      </rPr>
      <t>인증기관 또는 사전 컨설팅사에 검토 의뢰하여 타당성을 확인한다</t>
    </r>
    <r>
      <rPr>
        <sz val="9"/>
        <rFont val="맑은 고딕"/>
        <family val="3"/>
        <charset val="129"/>
      </rPr>
      <t>.</t>
    </r>
  </si>
  <si>
    <t>경영진</t>
  </si>
  <si>
    <r>
      <rPr>
        <b/>
        <sz val="16"/>
        <color rgb="FFFFFFFF"/>
        <rFont val="맑은 고딕"/>
        <family val="3"/>
        <charset val="129"/>
      </rPr>
      <t xml:space="preserve">TISAX AL3 </t>
    </r>
    <r>
      <rPr>
        <b/>
        <sz val="16"/>
        <color rgb="FFFFFFFF"/>
        <rFont val="Noto Sans CJK SC"/>
        <family val="2"/>
      </rPr>
      <t xml:space="preserve">초기 </t>
    </r>
    <r>
      <rPr>
        <b/>
        <sz val="16"/>
        <color rgb="FFFFFFFF"/>
        <rFont val="맑은 고딕"/>
        <family val="3"/>
        <charset val="129"/>
      </rPr>
      <t xml:space="preserve">Gap </t>
    </r>
    <r>
      <rPr>
        <b/>
        <sz val="16"/>
        <color rgb="FFFFFFFF"/>
        <rFont val="Noto Sans CJK SC"/>
        <family val="2"/>
      </rPr>
      <t xml:space="preserve">분석 — </t>
    </r>
    <r>
      <rPr>
        <b/>
        <sz val="16"/>
        <color rgb="FFFFFFFF"/>
        <rFont val="맑은 고딕"/>
        <family val="3"/>
        <charset val="129"/>
      </rPr>
      <t xml:space="preserve">VDA ISA 5.1 </t>
    </r>
    <r>
      <rPr>
        <b/>
        <sz val="16"/>
        <color rgb="FFFFFFFF"/>
        <rFont val="Noto Sans CJK SC"/>
        <family val="2"/>
      </rPr>
      <t>주요 영역별 자가 점검</t>
    </r>
  </si>
  <si>
    <r>
      <rPr>
        <sz val="9"/>
        <color rgb="FF595959"/>
        <rFont val="Noto Sans CJK SC"/>
        <family val="2"/>
      </rPr>
      <t>▶ 현재 수준 기준</t>
    </r>
    <r>
      <rPr>
        <sz val="9"/>
        <color rgb="FF595959"/>
        <rFont val="맑은 고딕"/>
        <family val="3"/>
        <charset val="129"/>
      </rPr>
      <t>: 0=</t>
    </r>
    <r>
      <rPr>
        <sz val="9"/>
        <color rgb="FF595959"/>
        <rFont val="Noto Sans CJK SC"/>
        <family val="2"/>
      </rPr>
      <t>미구축</t>
    </r>
    <r>
      <rPr>
        <sz val="9"/>
        <color rgb="FF595959"/>
        <rFont val="맑은 고딕"/>
        <family val="3"/>
        <charset val="129"/>
      </rPr>
      <t>, 1=</t>
    </r>
    <r>
      <rPr>
        <sz val="9"/>
        <color rgb="FF595959"/>
        <rFont val="Noto Sans CJK SC"/>
        <family val="2"/>
      </rPr>
      <t>초기</t>
    </r>
    <r>
      <rPr>
        <sz val="9"/>
        <color rgb="FF595959"/>
        <rFont val="맑은 고딕"/>
        <family val="3"/>
        <charset val="129"/>
      </rPr>
      <t>, 2=</t>
    </r>
    <r>
      <rPr>
        <sz val="9"/>
        <color rgb="FF595959"/>
        <rFont val="Noto Sans CJK SC"/>
        <family val="2"/>
      </rPr>
      <t>부분구축</t>
    </r>
    <r>
      <rPr>
        <sz val="9"/>
        <color rgb="FF595959"/>
        <rFont val="맑은 고딕"/>
        <family val="3"/>
        <charset val="129"/>
      </rPr>
      <t>, 3=</t>
    </r>
    <r>
      <rPr>
        <sz val="9"/>
        <color rgb="FF595959"/>
        <rFont val="Noto Sans CJK SC"/>
        <family val="2"/>
      </rPr>
      <t xml:space="preserve">구축완료 </t>
    </r>
    <r>
      <rPr>
        <sz val="9"/>
        <color rgb="FF595959"/>
        <rFont val="맑은 고딕"/>
        <family val="3"/>
        <charset val="129"/>
      </rPr>
      <t xml:space="preserve">| </t>
    </r>
    <r>
      <rPr>
        <sz val="9"/>
        <color rgb="FF595959"/>
        <rFont val="Noto Sans CJK SC"/>
        <family val="2"/>
      </rPr>
      <t>목표 수준</t>
    </r>
    <r>
      <rPr>
        <sz val="9"/>
        <color rgb="FF595959"/>
        <rFont val="맑은 고딕"/>
        <family val="3"/>
        <charset val="129"/>
      </rPr>
      <t>(AL3): 3</t>
    </r>
    <r>
      <rPr>
        <sz val="9"/>
        <color rgb="FF595959"/>
        <rFont val="Noto Sans CJK SC"/>
        <family val="2"/>
      </rPr>
      <t xml:space="preserve">점 이상 </t>
    </r>
    <r>
      <rPr>
        <sz val="9"/>
        <color rgb="FF595959"/>
        <rFont val="맑은 고딕"/>
        <family val="3"/>
        <charset val="129"/>
      </rPr>
      <t xml:space="preserve">| </t>
    </r>
    <r>
      <rPr>
        <sz val="9"/>
        <color rgb="FF595959"/>
        <rFont val="Noto Sans CJK SC"/>
        <family val="2"/>
      </rPr>
      <t xml:space="preserve">점수 차이 </t>
    </r>
    <r>
      <rPr>
        <sz val="9"/>
        <color rgb="FF595959"/>
        <rFont val="맑은 고딕"/>
        <family val="3"/>
        <charset val="129"/>
      </rPr>
      <t>= Gap</t>
    </r>
  </si>
  <si>
    <r>
      <rPr>
        <b/>
        <sz val="10"/>
        <color rgb="FFFFFFFF"/>
        <rFont val="맑은 고딕"/>
        <family val="3"/>
        <charset val="129"/>
      </rPr>
      <t xml:space="preserve">VDA ISA </t>
    </r>
    <r>
      <rPr>
        <b/>
        <sz val="10"/>
        <color rgb="FFFFFFFF"/>
        <rFont val="Noto Sans CJK SC"/>
        <family val="2"/>
      </rPr>
      <t>영역</t>
    </r>
  </si>
  <si>
    <t>주요 점검 항목</t>
  </si>
  <si>
    <r>
      <rPr>
        <b/>
        <sz val="10"/>
        <color rgb="FFFFFFFF"/>
        <rFont val="Noto Sans CJK SC"/>
        <family val="2"/>
      </rPr>
      <t xml:space="preserve">현재수준
</t>
    </r>
    <r>
      <rPr>
        <b/>
        <sz val="10"/>
        <color rgb="FFFFFFFF"/>
        <rFont val="맑은 고딕"/>
        <family val="3"/>
        <charset val="129"/>
      </rPr>
      <t>(0~3)</t>
    </r>
  </si>
  <si>
    <r>
      <rPr>
        <b/>
        <sz val="10"/>
        <color rgb="FFFFFFFF"/>
        <rFont val="Noto Sans CJK SC"/>
        <family val="2"/>
      </rPr>
      <t xml:space="preserve">목표수준
</t>
    </r>
    <r>
      <rPr>
        <b/>
        <sz val="10"/>
        <color rgb="FFFFFFFF"/>
        <rFont val="맑은 고딕"/>
        <family val="3"/>
        <charset val="129"/>
      </rPr>
      <t>(AL3=3)</t>
    </r>
  </si>
  <si>
    <r>
      <rPr>
        <b/>
        <sz val="10"/>
        <color rgb="FFFFFFFF"/>
        <rFont val="맑은 고딕"/>
        <family val="3"/>
        <charset val="129"/>
      </rPr>
      <t>Gap
(</t>
    </r>
    <r>
      <rPr>
        <b/>
        <sz val="10"/>
        <color rgb="FFFFFFFF"/>
        <rFont val="Noto Sans CJK SC"/>
        <family val="2"/>
      </rPr>
      <t>목표</t>
    </r>
    <r>
      <rPr>
        <b/>
        <sz val="10"/>
        <color rgb="FFFFFFFF"/>
        <rFont val="맑은 고딕"/>
        <family val="3"/>
        <charset val="129"/>
      </rPr>
      <t>-</t>
    </r>
    <r>
      <rPr>
        <b/>
        <sz val="10"/>
        <color rgb="FFFFFFFF"/>
        <rFont val="Noto Sans CJK SC"/>
        <family val="2"/>
      </rPr>
      <t>현재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</si>
  <si>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우선순위
</t>
    </r>
    <r>
      <rPr>
        <b/>
        <sz val="10"/>
        <color rgb="FFFFFFFF"/>
        <rFont val="맑은 고딕"/>
        <family val="3"/>
        <charset val="129"/>
      </rPr>
      <t>(H/M/L)</t>
    </r>
  </si>
  <si>
    <r>
      <rPr>
        <sz val="9"/>
        <rFont val="Noto Sans CJK SC"/>
        <family val="2"/>
      </rPr>
      <t xml:space="preserve">정보보안 정책 </t>
    </r>
    <r>
      <rPr>
        <sz val="9"/>
        <rFont val="맑은 고딕"/>
        <family val="3"/>
        <charset val="129"/>
      </rPr>
      <t>(IS-1)</t>
    </r>
  </si>
  <si>
    <t>정보보안 정책 문서 수립 및 임원 승인 여부</t>
  </si>
  <si>
    <t>H</t>
  </si>
  <si>
    <r>
      <rPr>
        <sz val="9"/>
        <rFont val="Noto Sans CJK SC"/>
        <family val="2"/>
      </rPr>
      <t>정보보안 역할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책임 지정 </t>
    </r>
    <r>
      <rPr>
        <sz val="9"/>
        <rFont val="맑은 고딕"/>
        <family val="3"/>
        <charset val="129"/>
      </rPr>
      <t xml:space="preserve">(CISO </t>
    </r>
    <r>
      <rPr>
        <sz val="9"/>
        <rFont val="Noto Sans CJK SC"/>
        <family val="2"/>
      </rPr>
      <t>또는 담당자</t>
    </r>
    <r>
      <rPr>
        <sz val="9"/>
        <rFont val="맑은 고딕"/>
        <family val="3"/>
        <charset val="129"/>
      </rPr>
      <t>)</t>
    </r>
  </si>
  <si>
    <r>
      <rPr>
        <sz val="9"/>
        <rFont val="Noto Sans CJK SC"/>
        <family val="2"/>
      </rPr>
      <t xml:space="preserve">인원 보안 </t>
    </r>
    <r>
      <rPr>
        <sz val="9"/>
        <rFont val="맑은 고딕"/>
        <family val="3"/>
        <charset val="129"/>
      </rPr>
      <t>(IS-2)</t>
    </r>
  </si>
  <si>
    <r>
      <rPr>
        <sz val="9"/>
        <rFont val="Noto Sans CJK SC"/>
        <family val="2"/>
      </rPr>
      <t xml:space="preserve">임직원 보안 교육 연 </t>
    </r>
    <r>
      <rPr>
        <sz val="9"/>
        <rFont val="맑은 고딕"/>
        <family val="3"/>
        <charset val="129"/>
      </rPr>
      <t>1</t>
    </r>
    <r>
      <rPr>
        <sz val="9"/>
        <rFont val="Noto Sans CJK SC"/>
        <family val="2"/>
      </rPr>
      <t>회 이상 실시 여부</t>
    </r>
  </si>
  <si>
    <t>M</t>
  </si>
  <si>
    <r>
      <rPr>
        <sz val="9"/>
        <rFont val="Noto Sans CJK SC"/>
        <family val="2"/>
      </rPr>
      <t>비밀유지서약서</t>
    </r>
    <r>
      <rPr>
        <sz val="9"/>
        <rFont val="맑은 고딕"/>
        <family val="3"/>
        <charset val="129"/>
      </rPr>
      <t xml:space="preserve">(NDA) </t>
    </r>
    <r>
      <rPr>
        <sz val="9"/>
        <rFont val="Noto Sans CJK SC"/>
        <family val="2"/>
      </rPr>
      <t>징구 및 관리 현황</t>
    </r>
  </si>
  <si>
    <r>
      <rPr>
        <sz val="9"/>
        <rFont val="Noto Sans CJK SC"/>
        <family val="2"/>
      </rPr>
      <t xml:space="preserve">물리적 보안 </t>
    </r>
    <r>
      <rPr>
        <sz val="9"/>
        <rFont val="맑은 고딕"/>
        <family val="3"/>
        <charset val="129"/>
      </rPr>
      <t>(IS-3)</t>
    </r>
  </si>
  <si>
    <t>보안구역 설정 및 출입통제 시스템 구축 여부</t>
  </si>
  <si>
    <r>
      <rPr>
        <sz val="9"/>
        <rFont val="맑은 고딕"/>
        <family val="3"/>
        <charset val="129"/>
      </rPr>
      <t xml:space="preserve">CCTV, </t>
    </r>
    <r>
      <rPr>
        <sz val="9"/>
        <rFont val="Noto Sans CJK SC"/>
        <family val="2"/>
      </rPr>
      <t>잠금장치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방문자 관리 절차 현황</t>
    </r>
  </si>
  <si>
    <r>
      <rPr>
        <sz val="9"/>
        <rFont val="맑은 고딕"/>
        <family val="3"/>
        <charset val="129"/>
      </rPr>
      <t>IT·</t>
    </r>
    <r>
      <rPr>
        <sz val="9"/>
        <rFont val="Noto Sans CJK SC"/>
        <family val="2"/>
      </rPr>
      <t xml:space="preserve">시스템 보안 </t>
    </r>
    <r>
      <rPr>
        <sz val="9"/>
        <rFont val="맑은 고딕"/>
        <family val="3"/>
        <charset val="129"/>
      </rPr>
      <t>(IS-4)</t>
    </r>
  </si>
  <si>
    <r>
      <rPr>
        <sz val="9"/>
        <rFont val="Noto Sans CJK SC"/>
        <family val="2"/>
      </rPr>
      <t>접근통제 정책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최소권한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계정관리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>수립 여부</t>
    </r>
  </si>
  <si>
    <r>
      <rPr>
        <sz val="9"/>
        <rFont val="Noto Sans CJK SC"/>
        <family val="2"/>
      </rPr>
      <t>네트워크 분리</t>
    </r>
    <r>
      <rPr>
        <sz val="9"/>
        <rFont val="맑은 고딕"/>
        <family val="3"/>
        <charset val="129"/>
      </rPr>
      <t xml:space="preserve">(VLAN </t>
    </r>
    <r>
      <rPr>
        <sz val="9"/>
        <rFont val="Noto Sans CJK SC"/>
        <family val="2"/>
      </rPr>
      <t>또는 물리적 분리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>구현 여부</t>
    </r>
  </si>
  <si>
    <r>
      <rPr>
        <sz val="9"/>
        <rFont val="Noto Sans CJK SC"/>
        <family val="2"/>
      </rPr>
      <t>데이터 암호화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저장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전송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>적용 현황</t>
    </r>
  </si>
  <si>
    <t>취약점 점검 및 패치 관리 프로세스 수립 여부</t>
  </si>
  <si>
    <r>
      <rPr>
        <sz val="9"/>
        <rFont val="Noto Sans CJK SC"/>
        <family val="2"/>
      </rPr>
      <t xml:space="preserve">공급망 보안 </t>
    </r>
    <r>
      <rPr>
        <sz val="9"/>
        <rFont val="맑은 고딕"/>
        <family val="3"/>
        <charset val="129"/>
      </rPr>
      <t>(IS-5)</t>
    </r>
  </si>
  <si>
    <r>
      <rPr>
        <sz val="9"/>
        <rFont val="Noto Sans CJK SC"/>
        <family val="2"/>
      </rPr>
      <t>협력사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외주 업체 보안 요건 계약 반영 여부</t>
    </r>
  </si>
  <si>
    <t>협력사 보안 수준 평가 절차 운영 여부</t>
  </si>
  <si>
    <r>
      <rPr>
        <sz val="9"/>
        <rFont val="Noto Sans CJK SC"/>
        <family val="2"/>
      </rPr>
      <t xml:space="preserve">사고 관리 </t>
    </r>
    <r>
      <rPr>
        <sz val="9"/>
        <rFont val="맑은 고딕"/>
        <family val="3"/>
        <charset val="129"/>
      </rPr>
      <t>(IS-6)</t>
    </r>
  </si>
  <si>
    <r>
      <rPr>
        <sz val="9"/>
        <rFont val="Noto Sans CJK SC"/>
        <family val="2"/>
      </rPr>
      <t>보안 사고 탐지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보고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대응 절차 수립 여부</t>
    </r>
  </si>
  <si>
    <r>
      <rPr>
        <sz val="9"/>
        <rFont val="Noto Sans CJK SC"/>
        <family val="2"/>
      </rPr>
      <t>사고 대응 훈련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모의훈련 등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>실시 여부</t>
    </r>
  </si>
  <si>
    <t>L</t>
  </si>
  <si>
    <r>
      <rPr>
        <sz val="9"/>
        <rFont val="Noto Sans CJK SC"/>
        <family val="2"/>
      </rPr>
      <t xml:space="preserve">사업 연속성 </t>
    </r>
    <r>
      <rPr>
        <sz val="9"/>
        <rFont val="맑은 고딕"/>
        <family val="3"/>
        <charset val="129"/>
      </rPr>
      <t>(IS-7)</t>
    </r>
  </si>
  <si>
    <t>핵심 시스템 백업 및 복구 절차 수립 여부</t>
  </si>
  <si>
    <r>
      <rPr>
        <sz val="9"/>
        <rFont val="Noto Sans CJK SC"/>
        <family val="2"/>
      </rPr>
      <t xml:space="preserve">컴플라이언스 </t>
    </r>
    <r>
      <rPr>
        <sz val="9"/>
        <rFont val="맑은 고딕"/>
        <family val="3"/>
        <charset val="129"/>
      </rPr>
      <t>(IS-8)</t>
    </r>
  </si>
  <si>
    <r>
      <rPr>
        <sz val="9"/>
        <rFont val="Noto Sans CJK SC"/>
        <family val="2"/>
      </rPr>
      <t>법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규정 준수 검토 프로세스 수립 여부</t>
    </r>
  </si>
  <si>
    <r>
      <rPr>
        <sz val="9"/>
        <rFont val="Noto Sans CJK SC"/>
        <family val="2"/>
      </rPr>
      <t xml:space="preserve">개발 보안 </t>
    </r>
    <r>
      <rPr>
        <sz val="9"/>
        <rFont val="맑은 고딕"/>
        <family val="3"/>
        <charset val="129"/>
      </rPr>
      <t>(IS-9)</t>
    </r>
  </si>
  <si>
    <t>프로토타입 관련 정보의 개발 단계 보안 통제</t>
  </si>
  <si>
    <r>
      <rPr>
        <b/>
        <sz val="10"/>
        <color rgb="FFFFFFFF"/>
        <rFont val="맑은 고딕"/>
        <family val="3"/>
        <charset val="129"/>
      </rPr>
      <t xml:space="preserve">Gap </t>
    </r>
    <r>
      <rPr>
        <b/>
        <sz val="10"/>
        <color rgb="FFFFFFFF"/>
        <rFont val="Noto Sans CJK SC"/>
        <family val="2"/>
      </rPr>
      <t>합계</t>
    </r>
  </si>
  <si>
    <r>
      <rPr>
        <b/>
        <sz val="16"/>
        <color rgb="FFFFFFFF"/>
        <rFont val="맑은 고딕"/>
        <family val="3"/>
        <charset val="129"/>
      </rPr>
      <t xml:space="preserve">TISAX AL3 </t>
    </r>
    <r>
      <rPr>
        <b/>
        <sz val="16"/>
        <color rgb="FFFFFFFF"/>
        <rFont val="Noto Sans CJK SC"/>
        <family val="2"/>
      </rPr>
      <t>예상 비용 추정표</t>
    </r>
  </si>
  <si>
    <r>
      <rPr>
        <i/>
        <sz val="9"/>
        <color rgb="FF595959"/>
        <rFont val="Noto Sans CJK SC"/>
        <family val="2"/>
      </rPr>
      <t>※ 아래 금액은 참고 범위이며</t>
    </r>
    <r>
      <rPr>
        <i/>
        <sz val="9"/>
        <color rgb="FF595959"/>
        <rFont val="맑은 고딕"/>
        <family val="3"/>
        <charset val="129"/>
      </rPr>
      <t xml:space="preserve">, </t>
    </r>
    <r>
      <rPr>
        <i/>
        <sz val="9"/>
        <color rgb="FF595959"/>
        <rFont val="Noto Sans CJK SC"/>
        <family val="2"/>
      </rPr>
      <t>실제 견적은 컨설팅사</t>
    </r>
    <r>
      <rPr>
        <i/>
        <sz val="9"/>
        <color rgb="FF595959"/>
        <rFont val="맑은 고딕"/>
        <family val="3"/>
        <charset val="129"/>
      </rPr>
      <t>·</t>
    </r>
    <r>
      <rPr>
        <i/>
        <sz val="9"/>
        <color rgb="FF595959"/>
        <rFont val="Noto Sans CJK SC"/>
        <family val="2"/>
      </rPr>
      <t>인증기관에 문의 필요</t>
    </r>
    <r>
      <rPr>
        <i/>
        <sz val="9"/>
        <color rgb="FF595959"/>
        <rFont val="맑은 고딕"/>
        <family val="3"/>
        <charset val="129"/>
      </rPr>
      <t xml:space="preserve">. </t>
    </r>
    <r>
      <rPr>
        <i/>
        <sz val="9"/>
        <color rgb="FF595959"/>
        <rFont val="Noto Sans CJK SC"/>
        <family val="2"/>
      </rPr>
      <t>범위</t>
    </r>
    <r>
      <rPr>
        <i/>
        <sz val="9"/>
        <color rgb="FF595959"/>
        <rFont val="맑은 고딕"/>
        <family val="3"/>
        <charset val="129"/>
      </rPr>
      <t>(Scope)</t>
    </r>
    <r>
      <rPr>
        <i/>
        <sz val="9"/>
        <color rgb="FF595959"/>
        <rFont val="Noto Sans CJK SC"/>
        <family val="2"/>
      </rPr>
      <t>를 최소화할수록 인증 비용이 현저히 감소함</t>
    </r>
    <r>
      <rPr>
        <i/>
        <sz val="9"/>
        <color rgb="FF595959"/>
        <rFont val="맑은 고딕"/>
        <family val="3"/>
        <charset val="129"/>
      </rPr>
      <t>.</t>
    </r>
  </si>
  <si>
    <t>비용 항목</t>
  </si>
  <si>
    <t>내용</t>
  </si>
  <si>
    <r>
      <rPr>
        <b/>
        <sz val="10"/>
        <color rgb="FFFFFFFF"/>
        <rFont val="Noto Sans CJK SC"/>
        <family val="2"/>
      </rPr>
      <t xml:space="preserve">전사 적용
</t>
    </r>
    <r>
      <rPr>
        <b/>
        <sz val="10"/>
        <color rgb="FFFFFFFF"/>
        <rFont val="맑은 고딕"/>
        <family val="3"/>
        <charset val="129"/>
      </rPr>
      <t>(USD)</t>
    </r>
  </si>
  <si>
    <r>
      <rPr>
        <b/>
        <sz val="10"/>
        <color rgb="FFFFFFFF"/>
        <rFont val="Noto Sans CJK SC"/>
        <family val="2"/>
      </rPr>
      <t xml:space="preserve">범위 최소화
</t>
    </r>
    <r>
      <rPr>
        <b/>
        <sz val="10"/>
        <color rgb="FFFFFFFF"/>
        <rFont val="맑은 고딕"/>
        <family val="3"/>
        <charset val="129"/>
      </rPr>
      <t>(USD)</t>
    </r>
  </si>
  <si>
    <t>비고</t>
  </si>
  <si>
    <t>담당</t>
  </si>
  <si>
    <t>컨설팅</t>
  </si>
  <si>
    <r>
      <rPr>
        <sz val="9"/>
        <rFont val="Noto Sans CJK SC"/>
        <family val="2"/>
      </rPr>
      <t>사전 컨설팅</t>
    </r>
    <r>
      <rPr>
        <sz val="9"/>
        <rFont val="맑은 고딕"/>
        <family val="3"/>
        <charset val="129"/>
      </rPr>
      <t>(Gap</t>
    </r>
    <r>
      <rPr>
        <sz val="9"/>
        <rFont val="Noto Sans CJK SC"/>
        <family val="2"/>
      </rPr>
      <t>분석</t>
    </r>
    <r>
      <rPr>
        <sz val="9"/>
        <rFont val="맑은 고딕"/>
        <family val="3"/>
        <charset val="129"/>
      </rPr>
      <t>+</t>
    </r>
    <r>
      <rPr>
        <sz val="9"/>
        <rFont val="Noto Sans CJK SC"/>
        <family val="2"/>
      </rPr>
      <t>범위설정</t>
    </r>
    <r>
      <rPr>
        <sz val="9"/>
        <rFont val="맑은 고딕"/>
        <family val="3"/>
        <charset val="129"/>
      </rPr>
      <t>)</t>
    </r>
  </si>
  <si>
    <t>컨설팅사별 상이</t>
  </si>
  <si>
    <r>
      <rPr>
        <sz val="9"/>
        <rFont val="Noto Sans CJK SC"/>
        <family val="2"/>
      </rPr>
      <t>정책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절차서 개발 지원</t>
    </r>
  </si>
  <si>
    <t>기존 문서 활용 시 절감</t>
  </si>
  <si>
    <t>기술 보안</t>
  </si>
  <si>
    <t>접근통제 시스템 구축</t>
  </si>
  <si>
    <t>범위 축소 시 대폭 절감</t>
  </si>
  <si>
    <r>
      <rPr>
        <sz val="9"/>
        <rFont val="Noto Sans CJK SC"/>
        <family val="2"/>
      </rPr>
      <t>네트워크 분리</t>
    </r>
    <r>
      <rPr>
        <sz val="9"/>
        <rFont val="맑은 고딕"/>
        <family val="3"/>
        <charset val="129"/>
      </rPr>
      <t>(VLAN·</t>
    </r>
    <r>
      <rPr>
        <sz val="9"/>
        <rFont val="Noto Sans CJK SC"/>
        <family val="2"/>
      </rPr>
      <t>방화벽</t>
    </r>
    <r>
      <rPr>
        <sz val="9"/>
        <rFont val="맑은 고딕"/>
        <family val="3"/>
        <charset val="129"/>
      </rPr>
      <t>)</t>
    </r>
  </si>
  <si>
    <t>논리적 분리 적용 시</t>
  </si>
  <si>
    <r>
      <rPr>
        <sz val="9"/>
        <rFont val="Noto Sans CJK SC"/>
        <family val="2"/>
      </rPr>
      <t>암호화</t>
    </r>
    <r>
      <rPr>
        <sz val="9"/>
        <rFont val="맑은 고딕"/>
        <family val="3"/>
        <charset val="129"/>
      </rPr>
      <t xml:space="preserve">·DLP </t>
    </r>
    <r>
      <rPr>
        <sz val="9"/>
        <rFont val="Noto Sans CJK SC"/>
        <family val="2"/>
      </rPr>
      <t>솔루션</t>
    </r>
  </si>
  <si>
    <r>
      <rPr>
        <sz val="9"/>
        <rFont val="맑은 고딕"/>
        <family val="3"/>
        <charset val="129"/>
      </rPr>
      <t xml:space="preserve">SaaS </t>
    </r>
    <r>
      <rPr>
        <sz val="9"/>
        <rFont val="Noto Sans CJK SC"/>
        <family val="2"/>
      </rPr>
      <t>활용 시 절감</t>
    </r>
  </si>
  <si>
    <t>물리 보안</t>
  </si>
  <si>
    <r>
      <rPr>
        <sz val="9"/>
        <rFont val="Noto Sans CJK SC"/>
        <family val="2"/>
      </rPr>
      <t>보안구역 출입통제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카드리더 등</t>
    </r>
    <r>
      <rPr>
        <sz val="9"/>
        <rFont val="맑은 고딕"/>
        <family val="3"/>
        <charset val="129"/>
      </rPr>
      <t>)</t>
    </r>
  </si>
  <si>
    <t>전용 보안실 구축 여부에 따라</t>
  </si>
  <si>
    <r>
      <rPr>
        <sz val="9"/>
        <rFont val="맑은 고딕"/>
        <family val="3"/>
        <charset val="129"/>
      </rPr>
      <t xml:space="preserve">CCTV </t>
    </r>
    <r>
      <rPr>
        <sz val="9"/>
        <rFont val="Noto Sans CJK SC"/>
        <family val="2"/>
      </rPr>
      <t>추가 및 관제 시스템</t>
    </r>
  </si>
  <si>
    <t>기존 시스템 활용 가능</t>
  </si>
  <si>
    <r>
      <rPr>
        <sz val="9"/>
        <rFont val="Noto Sans CJK SC"/>
        <family val="2"/>
      </rPr>
      <t>인원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교육</t>
    </r>
  </si>
  <si>
    <t>임직원 보안 교육 프로그램</t>
  </si>
  <si>
    <t>온라인 교육 활용 시 절감</t>
  </si>
  <si>
    <t>심사 비용</t>
  </si>
  <si>
    <r>
      <rPr>
        <sz val="9"/>
        <rFont val="맑은 고딕"/>
        <family val="3"/>
        <charset val="129"/>
      </rPr>
      <t xml:space="preserve">ENX </t>
    </r>
    <r>
      <rPr>
        <sz val="9"/>
        <rFont val="Noto Sans CJK SC"/>
        <family val="2"/>
      </rPr>
      <t>공인 심사 기관 심사료</t>
    </r>
  </si>
  <si>
    <r>
      <rPr>
        <sz val="9"/>
        <rFont val="맑은 고딕"/>
        <family val="3"/>
        <charset val="129"/>
      </rPr>
      <t xml:space="preserve">AL3 </t>
    </r>
    <r>
      <rPr>
        <sz val="9"/>
        <rFont val="Noto Sans CJK SC"/>
        <family val="2"/>
      </rPr>
      <t>온사이트 심사 필수</t>
    </r>
  </si>
  <si>
    <t>인증 유지</t>
  </si>
  <si>
    <r>
      <rPr>
        <sz val="9"/>
        <rFont val="Noto Sans CJK SC"/>
        <family val="2"/>
      </rPr>
      <t>연간 재심사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유지 비용</t>
    </r>
    <r>
      <rPr>
        <sz val="9"/>
        <rFont val="맑은 고딕"/>
        <family val="3"/>
        <charset val="129"/>
      </rPr>
      <t>(3</t>
    </r>
    <r>
      <rPr>
        <sz val="9"/>
        <rFont val="Noto Sans CJK SC"/>
        <family val="2"/>
      </rPr>
      <t>년주기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</si>
  <si>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년마다 재인증 필요</t>
    </r>
  </si>
  <si>
    <r>
      <rPr>
        <b/>
        <sz val="11"/>
        <color rgb="FFFFFFFF"/>
        <rFont val="Noto Sans CJK SC"/>
        <family val="2"/>
      </rPr>
      <t xml:space="preserve">합계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Noto Sans CJK SC"/>
        <family val="2"/>
      </rPr>
      <t>예상 범위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</si>
  <si>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9"/>
        <color rgb="FFC00000"/>
        <rFont val="Noto Sans CJK SC"/>
        <family val="2"/>
      </rPr>
      <t xml:space="preserve">※ 범위 최소화 시 약 </t>
    </r>
    <r>
      <rPr>
        <b/>
        <sz val="9"/>
        <color rgb="FFC00000"/>
        <rFont val="맑은 고딕"/>
        <family val="3"/>
        <charset val="129"/>
      </rPr>
      <t xml:space="preserve">50~60% </t>
    </r>
    <r>
      <rPr>
        <b/>
        <sz val="9"/>
        <color rgb="FFC00000"/>
        <rFont val="Noto Sans CJK SC"/>
        <family val="2"/>
      </rPr>
      <t>절감 가능</t>
    </r>
  </si>
  <si>
    <r>
      <rPr>
        <b/>
        <sz val="14"/>
        <color rgb="FFFFFFFF"/>
        <rFont val="맑은 고딕"/>
        <family val="3"/>
        <charset val="129"/>
      </rPr>
      <t xml:space="preserve">TISAX AL3 </t>
    </r>
    <r>
      <rPr>
        <b/>
        <sz val="14"/>
        <color rgb="FFFFFFFF"/>
        <rFont val="Noto Sans CJK SC"/>
        <family val="2"/>
      </rPr>
      <t xml:space="preserve">마일스톤 계획 </t>
    </r>
    <r>
      <rPr>
        <b/>
        <sz val="14"/>
        <color rgb="FFFFFFFF"/>
        <rFont val="맑은 고딕"/>
        <family val="3"/>
        <charset val="129"/>
      </rPr>
      <t>(</t>
    </r>
    <r>
      <rPr>
        <b/>
        <sz val="14"/>
        <color rgb="FFFFFFFF"/>
        <rFont val="Noto Sans CJK SC"/>
        <family val="2"/>
      </rPr>
      <t>예상 소요 기간</t>
    </r>
    <r>
      <rPr>
        <b/>
        <sz val="14"/>
        <color rgb="FFFFFFFF"/>
        <rFont val="맑은 고딕"/>
        <family val="3"/>
        <charset val="129"/>
      </rPr>
      <t xml:space="preserve">: </t>
    </r>
    <r>
      <rPr>
        <b/>
        <sz val="14"/>
        <color rgb="FFFFFFFF"/>
        <rFont val="Noto Sans CJK SC"/>
        <family val="2"/>
      </rPr>
      <t xml:space="preserve">약 </t>
    </r>
    <r>
      <rPr>
        <b/>
        <sz val="14"/>
        <color rgb="FFFFFFFF"/>
        <rFont val="맑은 고딕"/>
        <family val="3"/>
        <charset val="129"/>
      </rPr>
      <t>12~18</t>
    </r>
    <r>
      <rPr>
        <b/>
        <sz val="14"/>
        <color rgb="FFFFFFFF"/>
        <rFont val="Noto Sans CJK SC"/>
        <family val="2"/>
      </rPr>
      <t>개월</t>
    </r>
    <r>
      <rPr>
        <b/>
        <sz val="14"/>
        <color rgb="FFFFFFFF"/>
        <rFont val="맑은 고딕"/>
        <family val="3"/>
        <charset val="129"/>
      </rPr>
      <t>)</t>
    </r>
  </si>
  <si>
    <t>단계</t>
  </si>
  <si>
    <t>주요 활동</t>
  </si>
  <si>
    <t>예상 시작</t>
  </si>
  <si>
    <t>예상 완료</t>
  </si>
  <si>
    <t>산출물</t>
  </si>
  <si>
    <t>담당부서</t>
  </si>
  <si>
    <t>상태</t>
  </si>
  <si>
    <t>PHASE 0</t>
  </si>
  <si>
    <t>사전 준비</t>
  </si>
  <si>
    <r>
      <rPr>
        <sz val="9"/>
        <rFont val="Noto Sans CJK SC"/>
        <family val="2"/>
      </rPr>
      <t>고객 요건 파악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범위 결정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경영진 승인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예산 확보</t>
    </r>
  </si>
  <si>
    <t>M+0</t>
  </si>
  <si>
    <t>M+2</t>
  </si>
  <si>
    <r>
      <rPr>
        <sz val="9"/>
        <rFont val="Noto Sans CJK SC"/>
        <family val="2"/>
      </rPr>
      <t>범위정의서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프로젝트헌장</t>
    </r>
  </si>
  <si>
    <r>
      <rPr>
        <sz val="9"/>
        <rFont val="Noto Sans CJK SC"/>
        <family val="2"/>
      </rPr>
      <t>경영진</t>
    </r>
    <r>
      <rPr>
        <sz val="9"/>
        <rFont val="맑은 고딕"/>
        <family val="3"/>
        <charset val="129"/>
      </rPr>
      <t>/IT</t>
    </r>
  </si>
  <si>
    <t>☐ 예정</t>
  </si>
  <si>
    <t>PHASE 1</t>
  </si>
  <si>
    <r>
      <rPr>
        <sz val="9"/>
        <rFont val="Noto Sans CJK SC"/>
        <family val="2"/>
      </rPr>
      <t xml:space="preserve">현황 진단 </t>
    </r>
    <r>
      <rPr>
        <sz val="9"/>
        <rFont val="맑은 고딕"/>
        <family val="3"/>
        <charset val="129"/>
      </rPr>
      <t xml:space="preserve">(Gap </t>
    </r>
    <r>
      <rPr>
        <sz val="9"/>
        <rFont val="Noto Sans CJK SC"/>
        <family val="2"/>
      </rPr>
      <t>분석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</si>
  <si>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VDA ISA </t>
    </r>
    <r>
      <rPr>
        <sz val="9"/>
        <rFont val="Noto Sans CJK SC"/>
        <family val="2"/>
      </rPr>
      <t>체크리스트 기반 자가 진단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 xml:space="preserve">컨설팅사 </t>
    </r>
    <r>
      <rPr>
        <sz val="9"/>
        <rFont val="맑은 고딕"/>
        <family val="3"/>
        <charset val="129"/>
      </rPr>
      <t xml:space="preserve">Gap </t>
    </r>
    <r>
      <rPr>
        <sz val="9"/>
        <rFont val="Noto Sans CJK SC"/>
        <family val="2"/>
      </rPr>
      <t>분석 수행</t>
    </r>
  </si>
  <si>
    <t>M+1</t>
  </si>
  <si>
    <t>M+3</t>
  </si>
  <si>
    <r>
      <rPr>
        <sz val="9"/>
        <rFont val="맑은 고딕"/>
        <family val="3"/>
        <charset val="129"/>
      </rPr>
      <t xml:space="preserve">Gap </t>
    </r>
    <r>
      <rPr>
        <sz val="9"/>
        <rFont val="Noto Sans CJK SC"/>
        <family val="2"/>
      </rPr>
      <t>분석 보고서</t>
    </r>
  </si>
  <si>
    <t>PHASE 2</t>
  </si>
  <si>
    <r>
      <rPr>
        <sz val="9"/>
        <rFont val="Noto Sans CJK SC"/>
        <family val="2"/>
      </rPr>
      <t>정책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절차 수립</t>
    </r>
  </si>
  <si>
    <r>
      <rPr>
        <sz val="9"/>
        <rFont val="Noto Sans CJK SC"/>
        <family val="2"/>
      </rPr>
      <t>정보보안정책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절차서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지침서 개발 및 경영진 승인</t>
    </r>
  </si>
  <si>
    <t>M+6</t>
  </si>
  <si>
    <r>
      <rPr>
        <sz val="9"/>
        <rFont val="Noto Sans CJK SC"/>
        <family val="2"/>
      </rPr>
      <t>정책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>절차서 세트</t>
    </r>
  </si>
  <si>
    <r>
      <rPr>
        <sz val="9"/>
        <rFont val="맑은 고딕"/>
        <family val="3"/>
        <charset val="129"/>
      </rPr>
      <t>IT/</t>
    </r>
    <r>
      <rPr>
        <sz val="9"/>
        <rFont val="Noto Sans CJK SC"/>
        <family val="2"/>
      </rPr>
      <t>법무팀</t>
    </r>
  </si>
  <si>
    <t>PHASE 3</t>
  </si>
  <si>
    <t>기술 보안 구현</t>
  </si>
  <si>
    <r>
      <rPr>
        <sz val="9"/>
        <rFont val="Noto Sans CJK SC"/>
        <family val="2"/>
      </rPr>
      <t>접근통제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네트워크분리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암호화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취약점관리 구축</t>
    </r>
  </si>
  <si>
    <t>M+4</t>
  </si>
  <si>
    <t>M+9</t>
  </si>
  <si>
    <t>기술 보안 구성 문서</t>
  </si>
  <si>
    <t>PHASE 4</t>
  </si>
  <si>
    <t>물리 보안 구현</t>
  </si>
  <si>
    <r>
      <rPr>
        <sz val="9"/>
        <rFont val="Noto Sans CJK SC"/>
        <family val="2"/>
      </rPr>
      <t>보안구역 설정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출입통제 시스템 구축</t>
    </r>
    <r>
      <rPr>
        <sz val="9"/>
        <rFont val="맑은 고딕"/>
        <family val="3"/>
        <charset val="129"/>
      </rPr>
      <t xml:space="preserve">, CCTV </t>
    </r>
    <r>
      <rPr>
        <sz val="9"/>
        <rFont val="Noto Sans CJK SC"/>
        <family val="2"/>
      </rPr>
      <t>확충</t>
    </r>
  </si>
  <si>
    <t>M+5</t>
  </si>
  <si>
    <t>물리 보안 설계도</t>
  </si>
  <si>
    <t>PHASE 5</t>
  </si>
  <si>
    <t>교육 및 인식 제고</t>
  </si>
  <si>
    <r>
      <rPr>
        <sz val="9"/>
        <rFont val="Noto Sans CJK SC"/>
        <family val="2"/>
      </rPr>
      <t>전 임직원 보안 교육 실시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범위 내 심층 교육</t>
    </r>
  </si>
  <si>
    <t>M+10</t>
  </si>
  <si>
    <t>교육 이수 기록</t>
  </si>
  <si>
    <r>
      <rPr>
        <sz val="9"/>
        <rFont val="맑은 고딕"/>
        <family val="3"/>
        <charset val="129"/>
      </rPr>
      <t>HR</t>
    </r>
    <r>
      <rPr>
        <sz val="9"/>
        <rFont val="Noto Sans CJK SC"/>
        <family val="2"/>
      </rPr>
      <t>팀</t>
    </r>
  </si>
  <si>
    <t>PHASE 6</t>
  </si>
  <si>
    <t>내부 심사</t>
  </si>
  <si>
    <r>
      <rPr>
        <sz val="9"/>
        <rFont val="Noto Sans CJK SC"/>
        <family val="2"/>
      </rPr>
      <t>내부 감사팀 또는 컨설팅사 모의 심사 실시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부적합 시정</t>
    </r>
  </si>
  <si>
    <t>M+13</t>
  </si>
  <si>
    <t>내부 심사 결과서</t>
  </si>
  <si>
    <r>
      <rPr>
        <sz val="9"/>
        <rFont val="Noto Sans CJK SC"/>
        <family val="2"/>
      </rPr>
      <t>품질</t>
    </r>
    <r>
      <rPr>
        <sz val="9"/>
        <rFont val="맑은 고딕"/>
        <family val="3"/>
        <charset val="129"/>
      </rPr>
      <t>/IT</t>
    </r>
    <r>
      <rPr>
        <sz val="9"/>
        <rFont val="Noto Sans CJK SC"/>
        <family val="2"/>
      </rPr>
      <t>팀</t>
    </r>
  </si>
  <si>
    <t>PHASE 7</t>
  </si>
  <si>
    <r>
      <rPr>
        <sz val="9"/>
        <rFont val="맑은 고딕"/>
        <family val="3"/>
        <charset val="129"/>
      </rPr>
      <t xml:space="preserve">ENX </t>
    </r>
    <r>
      <rPr>
        <sz val="9"/>
        <rFont val="Noto Sans CJK SC"/>
        <family val="2"/>
      </rPr>
      <t xml:space="preserve">공인 심사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외부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</si>
  <si>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ENX </t>
    </r>
    <r>
      <rPr>
        <sz val="9"/>
        <rFont val="Noto Sans CJK SC"/>
        <family val="2"/>
      </rPr>
      <t>인증기관 신청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문서 심사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온사이트 심사 수행</t>
    </r>
  </si>
  <si>
    <t>M+16</t>
  </si>
  <si>
    <r>
      <rPr>
        <sz val="9"/>
        <rFont val="맑은 고딕"/>
        <family val="3"/>
        <charset val="129"/>
      </rPr>
      <t xml:space="preserve">TISAX </t>
    </r>
    <r>
      <rPr>
        <sz val="9"/>
        <rFont val="Noto Sans CJK SC"/>
        <family val="2"/>
      </rPr>
      <t>심사 결과</t>
    </r>
  </si>
  <si>
    <t>PHASE 8</t>
  </si>
  <si>
    <t>인증 취득 및 유지</t>
  </si>
  <si>
    <r>
      <rPr>
        <sz val="9"/>
        <rFont val="맑은 고딕"/>
        <family val="3"/>
        <charset val="129"/>
      </rPr>
      <t xml:space="preserve">TISAX </t>
    </r>
    <r>
      <rPr>
        <sz val="9"/>
        <rFont val="Noto Sans CJK SC"/>
        <family val="2"/>
      </rPr>
      <t>라벨 발급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고객사 제출</t>
    </r>
    <r>
      <rPr>
        <sz val="9"/>
        <rFont val="맑은 고딕"/>
        <family val="3"/>
        <charset val="129"/>
      </rPr>
      <t>, 3</t>
    </r>
    <r>
      <rPr>
        <sz val="9"/>
        <rFont val="Noto Sans CJK SC"/>
        <family val="2"/>
      </rPr>
      <t>년 주기 유지 관리</t>
    </r>
  </si>
  <si>
    <t>M+18</t>
  </si>
  <si>
    <r>
      <rPr>
        <sz val="9"/>
        <rFont val="맑은 고딕"/>
        <family val="3"/>
        <charset val="129"/>
      </rPr>
      <t xml:space="preserve">TISAX </t>
    </r>
    <r>
      <rPr>
        <sz val="9"/>
        <rFont val="Noto Sans CJK SC"/>
        <family val="2"/>
      </rPr>
      <t>라벨 증서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</si>
</sst>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6"/>
      <color rgb="FFFFFFFF"/>
      <name val="맑은 고딕"/>
      <family val="3"/>
      <charset val="129"/>
    </font>
    <font>
      <b/>
      <sz val="16"/>
      <color rgb="FFFFFFFF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sz val="9"/>
      <name val="맑은 고딕"/>
      <family val="3"/>
      <charset val="129"/>
    </font>
    <font>
      <sz val="9"/>
      <name val="Noto Sans CJK SC"/>
      <family val="2"/>
    </font>
    <font>
      <b/>
      <sz val="10"/>
      <name val="맑은 고딕"/>
      <family val="3"/>
      <charset val="129"/>
    </font>
    <font>
      <i/>
      <sz val="9"/>
      <color rgb="FF595959"/>
      <name val="Noto Sans CJK SC"/>
      <family val="2"/>
    </font>
    <font>
      <i/>
      <sz val="9"/>
      <color rgb="FF595959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9"/>
      <color rgb="FFC00000"/>
      <name val="Noto Sans CJK SC"/>
      <family val="2"/>
    </font>
    <font>
      <b/>
      <sz val="9"/>
      <color rgb="FFC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4"/>
      <color rgb="FFFFFFFF"/>
      <name val="Noto Sans CJK SC"/>
      <family val="2"/>
    </font>
    <font>
      <b/>
      <sz val="9"/>
      <name val="맑은 고딕"/>
      <family val="3"/>
      <charset val="129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EAD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2F7FC"/>
        <bgColor rgb="FFEBF3FB"/>
      </patternFill>
    </fill>
    <fill>
      <patternFill patternType="solid">
        <fgColor rgb="FFFFFFFF"/>
        <bgColor rgb="FFF2F7FC"/>
      </patternFill>
    </fill>
    <fill>
      <patternFill patternType="solid">
        <fgColor rgb="FFEBF3FB"/>
        <bgColor rgb="FFF2F7F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4E6F1"/>
      </patternFill>
    </fill>
    <fill>
      <patternFill patternType="solid">
        <fgColor rgb="FFF4E6F1"/>
        <bgColor rgb="FFFCE4D6"/>
      </patternFill>
    </fill>
    <fill>
      <patternFill patternType="solid">
        <fgColor rgb="FFD9EAD3"/>
        <b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7" fillId="2" borderId="0" xfId="0" applyFont="1" applyFill="1" applyAlignment="1">
      <alignment horizontal="center" vertical="center"/>
    </xf>
    <xf numFmtId="0" fontId="15" fillId="9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3" fontId="9" fillId="11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3" fontId="9" fillId="10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3" fontId="9" fillId="9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3" fontId="9" fillId="12" borderId="1" xfId="0" applyNumberFormat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3" fontId="9" fillId="1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2F7FC"/>
      <rgbColor rgb="FFF4E6F1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opLeftCell="A20" zoomScaleNormal="100" workbookViewId="0">
      <selection sqref="A1:F1"/>
    </sheetView>
  </sheetViews>
  <sheetFormatPr defaultColWidth="8.7109375" defaultRowHeight="15"/>
  <cols>
    <col min="1" max="1" width="5" customWidth="1"/>
    <col min="2" max="2" width="28" customWidth="1"/>
    <col min="3" max="3" width="38" customWidth="1"/>
    <col min="4" max="4" width="16" customWidth="1"/>
    <col min="5" max="5" width="22" customWidth="1"/>
    <col min="6" max="6" width="14" customWidth="1"/>
  </cols>
  <sheetData>
    <row r="1" spans="1:6" ht="36" customHeight="1">
      <c r="A1" s="9" t="s">
        <v>0</v>
      </c>
      <c r="B1" s="9"/>
      <c r="C1" s="9"/>
      <c r="D1" s="9"/>
      <c r="E1" s="9"/>
      <c r="F1" s="9"/>
    </row>
    <row r="2" spans="1:6" ht="21.75" customHeight="1">
      <c r="A2" s="8" t="s">
        <v>1</v>
      </c>
      <c r="B2" s="8"/>
      <c r="C2" s="8"/>
      <c r="D2" s="8"/>
      <c r="E2" s="8"/>
      <c r="F2" s="8"/>
    </row>
    <row r="4" spans="1:6" ht="24" customHeight="1">
      <c r="A4" s="7" t="s">
        <v>2</v>
      </c>
      <c r="B4" s="7"/>
      <c r="C4" s="7"/>
      <c r="D4" s="7"/>
      <c r="E4" s="7"/>
      <c r="F4" s="7"/>
    </row>
    <row r="5" spans="1:6" ht="21.75" customHeight="1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</row>
    <row r="6" spans="1:6" ht="42" customHeight="1">
      <c r="A6" s="12" t="s">
        <v>9</v>
      </c>
      <c r="B6" s="13" t="s">
        <v>10</v>
      </c>
      <c r="C6" s="14" t="s">
        <v>11</v>
      </c>
      <c r="D6" s="14" t="s">
        <v>12</v>
      </c>
      <c r="E6" s="13"/>
      <c r="F6" s="12" t="s">
        <v>13</v>
      </c>
    </row>
    <row r="7" spans="1:6" ht="42" customHeight="1">
      <c r="A7" s="15" t="s">
        <v>14</v>
      </c>
      <c r="B7" s="16" t="s">
        <v>15</v>
      </c>
      <c r="C7" s="16" t="s">
        <v>16</v>
      </c>
      <c r="D7" s="16" t="s">
        <v>17</v>
      </c>
      <c r="E7" s="16"/>
      <c r="F7" s="15" t="s">
        <v>13</v>
      </c>
    </row>
    <row r="8" spans="1:6" ht="42" customHeight="1">
      <c r="A8" s="12" t="s">
        <v>18</v>
      </c>
      <c r="B8" s="14" t="s">
        <v>19</v>
      </c>
      <c r="C8" s="14" t="s">
        <v>20</v>
      </c>
      <c r="D8" s="14" t="s">
        <v>21</v>
      </c>
      <c r="E8" s="13"/>
      <c r="F8" s="12" t="s">
        <v>13</v>
      </c>
    </row>
    <row r="9" spans="1:6" ht="42" customHeight="1">
      <c r="A9" s="15" t="s">
        <v>22</v>
      </c>
      <c r="B9" s="17" t="s">
        <v>23</v>
      </c>
      <c r="C9" s="17" t="s">
        <v>24</v>
      </c>
      <c r="D9" s="17" t="s">
        <v>25</v>
      </c>
      <c r="E9" s="17"/>
      <c r="F9" s="15" t="s">
        <v>13</v>
      </c>
    </row>
    <row r="10" spans="1:6" ht="42" customHeight="1">
      <c r="A10" s="12" t="s">
        <v>26</v>
      </c>
      <c r="B10" s="14" t="s">
        <v>27</v>
      </c>
      <c r="C10" s="14" t="s">
        <v>28</v>
      </c>
      <c r="D10" s="14" t="s">
        <v>12</v>
      </c>
      <c r="E10" s="13"/>
      <c r="F10" s="12" t="s">
        <v>13</v>
      </c>
    </row>
    <row r="12" spans="1:6" ht="24" customHeight="1">
      <c r="A12" s="7" t="s">
        <v>29</v>
      </c>
      <c r="B12" s="7"/>
      <c r="C12" s="7"/>
      <c r="D12" s="7"/>
      <c r="E12" s="7"/>
      <c r="F12" s="7"/>
    </row>
    <row r="13" spans="1:6" ht="21.75" customHeight="1">
      <c r="A13" s="10" t="s">
        <v>3</v>
      </c>
      <c r="B13" s="11" t="s">
        <v>4</v>
      </c>
      <c r="C13" s="11" t="s">
        <v>5</v>
      </c>
      <c r="D13" s="11" t="s">
        <v>6</v>
      </c>
      <c r="E13" s="11" t="s">
        <v>7</v>
      </c>
      <c r="F13" s="11" t="s">
        <v>8</v>
      </c>
    </row>
    <row r="14" spans="1:6" ht="42" customHeight="1">
      <c r="A14" s="12" t="s">
        <v>30</v>
      </c>
      <c r="B14" s="14" t="s">
        <v>31</v>
      </c>
      <c r="C14" s="14" t="s">
        <v>32</v>
      </c>
      <c r="D14" s="13" t="s">
        <v>25</v>
      </c>
      <c r="E14" s="13"/>
      <c r="F14" s="12" t="s">
        <v>13</v>
      </c>
    </row>
    <row r="15" spans="1:6" ht="42" customHeight="1">
      <c r="A15" s="15" t="s">
        <v>33</v>
      </c>
      <c r="B15" s="17" t="s">
        <v>34</v>
      </c>
      <c r="C15" s="16" t="s">
        <v>35</v>
      </c>
      <c r="D15" s="16" t="s">
        <v>36</v>
      </c>
      <c r="E15" s="17"/>
      <c r="F15" s="15" t="s">
        <v>13</v>
      </c>
    </row>
    <row r="16" spans="1:6" ht="42" customHeight="1">
      <c r="A16" s="12" t="s">
        <v>37</v>
      </c>
      <c r="B16" s="14" t="s">
        <v>38</v>
      </c>
      <c r="C16" s="13" t="s">
        <v>39</v>
      </c>
      <c r="D16" s="13" t="s">
        <v>40</v>
      </c>
      <c r="E16" s="13"/>
      <c r="F16" s="12" t="s">
        <v>13</v>
      </c>
    </row>
    <row r="17" spans="1:6" ht="42" customHeight="1">
      <c r="A17" s="15" t="s">
        <v>41</v>
      </c>
      <c r="B17" s="16" t="s">
        <v>42</v>
      </c>
      <c r="C17" s="17" t="s">
        <v>43</v>
      </c>
      <c r="D17" s="17" t="s">
        <v>44</v>
      </c>
      <c r="E17" s="17"/>
      <c r="F17" s="15" t="s">
        <v>13</v>
      </c>
    </row>
    <row r="18" spans="1:6" ht="42" customHeight="1">
      <c r="A18" s="12" t="s">
        <v>45</v>
      </c>
      <c r="B18" s="14" t="s">
        <v>46</v>
      </c>
      <c r="C18" s="13" t="s">
        <v>47</v>
      </c>
      <c r="D18" s="14" t="s">
        <v>48</v>
      </c>
      <c r="E18" s="13"/>
      <c r="F18" s="12" t="s">
        <v>13</v>
      </c>
    </row>
    <row r="20" spans="1:6" ht="24" customHeight="1">
      <c r="A20" s="7" t="s">
        <v>49</v>
      </c>
      <c r="B20" s="7"/>
      <c r="C20" s="7"/>
      <c r="D20" s="7"/>
      <c r="E20" s="7"/>
      <c r="F20" s="7"/>
    </row>
    <row r="21" spans="1:6" ht="21.75" customHeight="1">
      <c r="A21" s="10" t="s">
        <v>3</v>
      </c>
      <c r="B21" s="11" t="s">
        <v>4</v>
      </c>
      <c r="C21" s="11" t="s">
        <v>5</v>
      </c>
      <c r="D21" s="11" t="s">
        <v>6</v>
      </c>
      <c r="E21" s="11" t="s">
        <v>7</v>
      </c>
      <c r="F21" s="11" t="s">
        <v>8</v>
      </c>
    </row>
    <row r="22" spans="1:6" ht="49.5" customHeight="1">
      <c r="A22" s="12" t="s">
        <v>50</v>
      </c>
      <c r="B22" s="14" t="s">
        <v>51</v>
      </c>
      <c r="C22" s="14" t="s">
        <v>52</v>
      </c>
      <c r="D22" s="14" t="s">
        <v>53</v>
      </c>
      <c r="E22" s="13"/>
      <c r="F22" s="12" t="s">
        <v>13</v>
      </c>
    </row>
    <row r="23" spans="1:6" ht="49.5" customHeight="1">
      <c r="A23" s="15" t="s">
        <v>54</v>
      </c>
      <c r="B23" s="16" t="s">
        <v>55</v>
      </c>
      <c r="C23" s="17" t="s">
        <v>56</v>
      </c>
      <c r="D23" s="16" t="s">
        <v>57</v>
      </c>
      <c r="E23" s="17"/>
      <c r="F23" s="15" t="s">
        <v>13</v>
      </c>
    </row>
    <row r="24" spans="1:6" ht="49.5" customHeight="1">
      <c r="A24" s="12" t="s">
        <v>58</v>
      </c>
      <c r="B24" s="14" t="s">
        <v>59</v>
      </c>
      <c r="C24" s="13" t="s">
        <v>60</v>
      </c>
      <c r="D24" s="13" t="s">
        <v>40</v>
      </c>
      <c r="E24" s="13"/>
      <c r="F24" s="12" t="s">
        <v>13</v>
      </c>
    </row>
    <row r="25" spans="1:6" ht="49.5" customHeight="1">
      <c r="A25" s="15" t="s">
        <v>61</v>
      </c>
      <c r="B25" s="16" t="s">
        <v>62</v>
      </c>
      <c r="C25" s="16" t="s">
        <v>63</v>
      </c>
      <c r="D25" s="17" t="s">
        <v>44</v>
      </c>
      <c r="E25" s="17"/>
      <c r="F25" s="15" t="s">
        <v>13</v>
      </c>
    </row>
    <row r="26" spans="1:6" ht="49.5" customHeight="1">
      <c r="A26" s="12" t="s">
        <v>64</v>
      </c>
      <c r="B26" s="14" t="s">
        <v>65</v>
      </c>
      <c r="C26" s="14" t="s">
        <v>66</v>
      </c>
      <c r="D26" s="14" t="s">
        <v>67</v>
      </c>
      <c r="E26" s="13"/>
      <c r="F26" s="12" t="s">
        <v>13</v>
      </c>
    </row>
  </sheetData>
  <mergeCells count="5">
    <mergeCell ref="A1:F1"/>
    <mergeCell ref="A2:F2"/>
    <mergeCell ref="A4:F4"/>
    <mergeCell ref="A12:F12"/>
    <mergeCell ref="A20:F20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showGridLines="0" tabSelected="1" zoomScaleNormal="100" workbookViewId="0">
      <selection activeCell="C26" sqref="C26"/>
    </sheetView>
  </sheetViews>
  <sheetFormatPr defaultColWidth="8.7109375" defaultRowHeight="15"/>
  <cols>
    <col min="1" max="1" width="5" customWidth="1"/>
    <col min="2" max="2" width="22" customWidth="1"/>
    <col min="3" max="3" width="38.7109375" customWidth="1"/>
    <col min="4" max="5" width="12" customWidth="1"/>
    <col min="6" max="7" width="18" customWidth="1"/>
  </cols>
  <sheetData>
    <row r="1" spans="1:7" ht="36" customHeight="1">
      <c r="A1" s="9" t="s">
        <v>68</v>
      </c>
      <c r="B1" s="9"/>
      <c r="C1" s="9"/>
      <c r="D1" s="9"/>
      <c r="E1" s="9"/>
      <c r="F1" s="9"/>
      <c r="G1" s="9"/>
    </row>
    <row r="2" spans="1:7" ht="19.5" customHeight="1">
      <c r="A2" s="6" t="s">
        <v>69</v>
      </c>
      <c r="B2" s="6"/>
      <c r="C2" s="6"/>
      <c r="D2" s="6"/>
      <c r="E2" s="6"/>
      <c r="F2" s="6"/>
      <c r="G2" s="6"/>
    </row>
    <row r="4" spans="1:7" ht="30" customHeight="1">
      <c r="A4" s="18" t="s">
        <v>3</v>
      </c>
      <c r="B4" s="18" t="s">
        <v>70</v>
      </c>
      <c r="C4" s="19" t="s">
        <v>71</v>
      </c>
      <c r="D4" s="19" t="s">
        <v>72</v>
      </c>
      <c r="E4" s="19" t="s">
        <v>73</v>
      </c>
      <c r="F4" s="18" t="s">
        <v>74</v>
      </c>
      <c r="G4" s="19" t="s">
        <v>75</v>
      </c>
    </row>
    <row r="5" spans="1:7" ht="29.25" customHeight="1">
      <c r="A5" s="47">
        <v>1</v>
      </c>
      <c r="B5" s="31" t="s">
        <v>76</v>
      </c>
      <c r="C5" s="31" t="s">
        <v>77</v>
      </c>
      <c r="D5" s="47"/>
      <c r="E5" s="47">
        <v>3</v>
      </c>
      <c r="F5" s="47" t="str">
        <f t="shared" ref="F5:F21" si="0">IF(D5="","",E5-D5)</f>
        <v/>
      </c>
      <c r="G5" s="47" t="s">
        <v>78</v>
      </c>
    </row>
    <row r="6" spans="1:7" ht="29.25" customHeight="1">
      <c r="A6" s="47">
        <v>2</v>
      </c>
      <c r="B6" s="31" t="s">
        <v>76</v>
      </c>
      <c r="C6" s="31" t="s">
        <v>79</v>
      </c>
      <c r="D6" s="47"/>
      <c r="E6" s="47">
        <v>3</v>
      </c>
      <c r="F6" s="47" t="str">
        <f t="shared" si="0"/>
        <v/>
      </c>
      <c r="G6" s="47" t="s">
        <v>78</v>
      </c>
    </row>
    <row r="7" spans="1:7" ht="29.25" customHeight="1">
      <c r="A7" s="53">
        <v>3</v>
      </c>
      <c r="B7" s="34" t="s">
        <v>80</v>
      </c>
      <c r="C7" s="34" t="s">
        <v>81</v>
      </c>
      <c r="D7" s="53"/>
      <c r="E7" s="53">
        <v>3</v>
      </c>
      <c r="F7" s="53" t="str">
        <f t="shared" si="0"/>
        <v/>
      </c>
      <c r="G7" s="53" t="s">
        <v>82</v>
      </c>
    </row>
    <row r="8" spans="1:7" ht="29.25" customHeight="1">
      <c r="A8" s="53">
        <v>4</v>
      </c>
      <c r="B8" s="34" t="s">
        <v>80</v>
      </c>
      <c r="C8" s="34" t="s">
        <v>83</v>
      </c>
      <c r="D8" s="53"/>
      <c r="E8" s="53">
        <v>3</v>
      </c>
      <c r="F8" s="53" t="str">
        <f t="shared" si="0"/>
        <v/>
      </c>
      <c r="G8" s="53" t="s">
        <v>82</v>
      </c>
    </row>
    <row r="9" spans="1:7" ht="29.25" customHeight="1">
      <c r="A9" s="51">
        <v>5</v>
      </c>
      <c r="B9" s="40" t="s">
        <v>84</v>
      </c>
      <c r="C9" s="40" t="s">
        <v>85</v>
      </c>
      <c r="D9" s="51"/>
      <c r="E9" s="51">
        <v>3</v>
      </c>
      <c r="F9" s="51" t="str">
        <f t="shared" si="0"/>
        <v/>
      </c>
      <c r="G9" s="51" t="s">
        <v>78</v>
      </c>
    </row>
    <row r="10" spans="1:7" ht="29.25" customHeight="1">
      <c r="A10" s="51">
        <v>6</v>
      </c>
      <c r="B10" s="40" t="s">
        <v>84</v>
      </c>
      <c r="C10" s="38" t="s">
        <v>86</v>
      </c>
      <c r="D10" s="51"/>
      <c r="E10" s="51">
        <v>3</v>
      </c>
      <c r="F10" s="51" t="str">
        <f t="shared" si="0"/>
        <v/>
      </c>
      <c r="G10" s="51" t="s">
        <v>78</v>
      </c>
    </row>
    <row r="11" spans="1:7" ht="29.25" customHeight="1">
      <c r="A11" s="49">
        <v>7</v>
      </c>
      <c r="B11" s="35" t="s">
        <v>87</v>
      </c>
      <c r="C11" s="37" t="s">
        <v>88</v>
      </c>
      <c r="D11" s="49"/>
      <c r="E11" s="49">
        <v>3</v>
      </c>
      <c r="F11" s="49" t="str">
        <f t="shared" si="0"/>
        <v/>
      </c>
      <c r="G11" s="49" t="s">
        <v>78</v>
      </c>
    </row>
    <row r="12" spans="1:7" ht="29.25" customHeight="1">
      <c r="A12" s="49">
        <v>8</v>
      </c>
      <c r="B12" s="35" t="s">
        <v>87</v>
      </c>
      <c r="C12" s="37" t="s">
        <v>89</v>
      </c>
      <c r="D12" s="49"/>
      <c r="E12" s="49">
        <v>3</v>
      </c>
      <c r="F12" s="49" t="str">
        <f t="shared" si="0"/>
        <v/>
      </c>
      <c r="G12" s="49" t="s">
        <v>78</v>
      </c>
    </row>
    <row r="13" spans="1:7" ht="29.25" customHeight="1">
      <c r="A13" s="49">
        <v>9</v>
      </c>
      <c r="B13" s="35" t="s">
        <v>87</v>
      </c>
      <c r="C13" s="37" t="s">
        <v>90</v>
      </c>
      <c r="D13" s="49"/>
      <c r="E13" s="49">
        <v>3</v>
      </c>
      <c r="F13" s="49" t="str">
        <f t="shared" si="0"/>
        <v/>
      </c>
      <c r="G13" s="49" t="s">
        <v>78</v>
      </c>
    </row>
    <row r="14" spans="1:7" ht="29.25" customHeight="1">
      <c r="A14" s="49">
        <v>10</v>
      </c>
      <c r="B14" s="35" t="s">
        <v>87</v>
      </c>
      <c r="C14" s="37" t="s">
        <v>91</v>
      </c>
      <c r="D14" s="49"/>
      <c r="E14" s="49">
        <v>3</v>
      </c>
      <c r="F14" s="49" t="str">
        <f t="shared" si="0"/>
        <v/>
      </c>
      <c r="G14" s="49" t="s">
        <v>82</v>
      </c>
    </row>
    <row r="15" spans="1:7" ht="29.25" customHeight="1">
      <c r="A15" s="55">
        <v>11</v>
      </c>
      <c r="B15" s="43" t="s">
        <v>92</v>
      </c>
      <c r="C15" s="43" t="s">
        <v>93</v>
      </c>
      <c r="D15" s="55"/>
      <c r="E15" s="55">
        <v>3</v>
      </c>
      <c r="F15" s="55" t="str">
        <f t="shared" si="0"/>
        <v/>
      </c>
      <c r="G15" s="55" t="s">
        <v>82</v>
      </c>
    </row>
    <row r="16" spans="1:7" ht="29.25" customHeight="1">
      <c r="A16" s="55">
        <v>12</v>
      </c>
      <c r="B16" s="43" t="s">
        <v>92</v>
      </c>
      <c r="C16" s="43" t="s">
        <v>94</v>
      </c>
      <c r="D16" s="55"/>
      <c r="E16" s="55">
        <v>3</v>
      </c>
      <c r="F16" s="55" t="str">
        <f t="shared" si="0"/>
        <v/>
      </c>
      <c r="G16" s="55" t="s">
        <v>82</v>
      </c>
    </row>
    <row r="17" spans="1:7" ht="29.25" customHeight="1">
      <c r="A17" s="57">
        <v>13</v>
      </c>
      <c r="B17" s="46" t="s">
        <v>95</v>
      </c>
      <c r="C17" s="46" t="s">
        <v>96</v>
      </c>
      <c r="D17" s="57"/>
      <c r="E17" s="57">
        <v>3</v>
      </c>
      <c r="F17" s="57" t="str">
        <f t="shared" si="0"/>
        <v/>
      </c>
      <c r="G17" s="57" t="s">
        <v>78</v>
      </c>
    </row>
    <row r="18" spans="1:7" ht="29.25" customHeight="1">
      <c r="A18" s="57">
        <v>14</v>
      </c>
      <c r="B18" s="46" t="s">
        <v>95</v>
      </c>
      <c r="C18" s="46" t="s">
        <v>97</v>
      </c>
      <c r="D18" s="57"/>
      <c r="E18" s="57">
        <v>3</v>
      </c>
      <c r="F18" s="57" t="str">
        <f t="shared" si="0"/>
        <v/>
      </c>
      <c r="G18" s="57" t="s">
        <v>98</v>
      </c>
    </row>
    <row r="19" spans="1:7" ht="29.25" customHeight="1">
      <c r="A19" s="53">
        <v>15</v>
      </c>
      <c r="B19" s="34" t="s">
        <v>99</v>
      </c>
      <c r="C19" s="34" t="s">
        <v>100</v>
      </c>
      <c r="D19" s="53"/>
      <c r="E19" s="53">
        <v>3</v>
      </c>
      <c r="F19" s="53" t="str">
        <f t="shared" si="0"/>
        <v/>
      </c>
      <c r="G19" s="53" t="s">
        <v>82</v>
      </c>
    </row>
    <row r="20" spans="1:7" ht="29.25" customHeight="1">
      <c r="A20" s="47">
        <v>16</v>
      </c>
      <c r="B20" s="31" t="s">
        <v>101</v>
      </c>
      <c r="C20" s="31" t="s">
        <v>102</v>
      </c>
      <c r="D20" s="47"/>
      <c r="E20" s="47">
        <v>3</v>
      </c>
      <c r="F20" s="47" t="str">
        <f t="shared" si="0"/>
        <v/>
      </c>
      <c r="G20" s="47" t="s">
        <v>98</v>
      </c>
    </row>
    <row r="21" spans="1:7" ht="29.25" customHeight="1">
      <c r="A21" s="49">
        <v>17</v>
      </c>
      <c r="B21" s="37" t="s">
        <v>103</v>
      </c>
      <c r="C21" s="37" t="s">
        <v>104</v>
      </c>
      <c r="D21" s="49"/>
      <c r="E21" s="49">
        <v>3</v>
      </c>
      <c r="F21" s="49" t="str">
        <f t="shared" si="0"/>
        <v/>
      </c>
      <c r="G21" s="49" t="s">
        <v>78</v>
      </c>
    </row>
    <row r="22" spans="1:7">
      <c r="A22" s="5" t="s">
        <v>105</v>
      </c>
      <c r="B22" s="5"/>
      <c r="C22" s="5"/>
      <c r="D22" s="20" t="str">
        <f>COUNTA(D5:D21)&amp;"개 입력"</f>
        <v>0개 입력</v>
      </c>
      <c r="F22" s="20" t="str">
        <f>IF(COUNTA(D5:D21)&gt;0,SUM(F5:F21),"입력 후 계산")</f>
        <v>입력 후 계산</v>
      </c>
    </row>
  </sheetData>
  <mergeCells count="3">
    <mergeCell ref="A1:G1"/>
    <mergeCell ref="A2:G2"/>
    <mergeCell ref="A22:C22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zoomScaleNormal="100" workbookViewId="0">
      <selection activeCell="C21" sqref="C21"/>
    </sheetView>
  </sheetViews>
  <sheetFormatPr defaultColWidth="8.7109375" defaultRowHeight="15"/>
  <cols>
    <col min="1" max="1" width="6" customWidth="1"/>
    <col min="2" max="2" width="14.85546875" customWidth="1"/>
    <col min="3" max="3" width="32" customWidth="1"/>
    <col min="4" max="5" width="16" customWidth="1"/>
    <col min="6" max="6" width="26.140625" customWidth="1"/>
    <col min="7" max="7" width="18" customWidth="1"/>
  </cols>
  <sheetData>
    <row r="1" spans="1:7" ht="36" customHeight="1">
      <c r="A1" s="9" t="s">
        <v>106</v>
      </c>
      <c r="B1" s="9"/>
      <c r="C1" s="9"/>
      <c r="D1" s="9"/>
      <c r="E1" s="9"/>
      <c r="F1" s="9"/>
      <c r="G1" s="9"/>
    </row>
    <row r="2" spans="1:7" ht="21.75" customHeight="1">
      <c r="A2" s="4" t="s">
        <v>107</v>
      </c>
      <c r="B2" s="4"/>
      <c r="C2" s="4"/>
      <c r="D2" s="4"/>
      <c r="E2" s="4"/>
      <c r="F2" s="4"/>
      <c r="G2" s="4"/>
    </row>
    <row r="4" spans="1:7" ht="30" customHeight="1">
      <c r="A4" s="18" t="s">
        <v>3</v>
      </c>
      <c r="B4" s="19" t="s">
        <v>108</v>
      </c>
      <c r="C4" s="19" t="s">
        <v>109</v>
      </c>
      <c r="D4" s="19" t="s">
        <v>110</v>
      </c>
      <c r="E4" s="19" t="s">
        <v>111</v>
      </c>
      <c r="F4" s="19" t="s">
        <v>112</v>
      </c>
      <c r="G4" s="19" t="s">
        <v>113</v>
      </c>
    </row>
    <row r="5" spans="1:7" ht="31.5" customHeight="1">
      <c r="A5" s="47">
        <v>1</v>
      </c>
      <c r="B5" s="31" t="s">
        <v>114</v>
      </c>
      <c r="C5" s="31" t="s">
        <v>115</v>
      </c>
      <c r="D5" s="48">
        <v>8000</v>
      </c>
      <c r="E5" s="48">
        <v>4000</v>
      </c>
      <c r="F5" s="31" t="s">
        <v>116</v>
      </c>
      <c r="G5" s="31"/>
    </row>
    <row r="6" spans="1:7" ht="31.5" customHeight="1">
      <c r="A6" s="47">
        <v>2</v>
      </c>
      <c r="B6" s="31" t="s">
        <v>114</v>
      </c>
      <c r="C6" s="31" t="s">
        <v>117</v>
      </c>
      <c r="D6" s="48">
        <v>12000</v>
      </c>
      <c r="E6" s="48">
        <v>5000</v>
      </c>
      <c r="F6" s="31" t="s">
        <v>118</v>
      </c>
      <c r="G6" s="31"/>
    </row>
    <row r="7" spans="1:7" ht="31.5" customHeight="1">
      <c r="A7" s="49">
        <v>3</v>
      </c>
      <c r="B7" s="37" t="s">
        <v>119</v>
      </c>
      <c r="C7" s="37" t="s">
        <v>120</v>
      </c>
      <c r="D7" s="50">
        <v>15000</v>
      </c>
      <c r="E7" s="50">
        <v>5000</v>
      </c>
      <c r="F7" s="37" t="s">
        <v>121</v>
      </c>
      <c r="G7" s="35"/>
    </row>
    <row r="8" spans="1:7" ht="31.5" customHeight="1">
      <c r="A8" s="49">
        <v>4</v>
      </c>
      <c r="B8" s="37" t="s">
        <v>119</v>
      </c>
      <c r="C8" s="37" t="s">
        <v>122</v>
      </c>
      <c r="D8" s="50">
        <v>10000</v>
      </c>
      <c r="E8" s="50">
        <v>3000</v>
      </c>
      <c r="F8" s="37" t="s">
        <v>123</v>
      </c>
      <c r="G8" s="35"/>
    </row>
    <row r="9" spans="1:7" ht="31.5" customHeight="1">
      <c r="A9" s="49">
        <v>5</v>
      </c>
      <c r="B9" s="37" t="s">
        <v>119</v>
      </c>
      <c r="C9" s="37" t="s">
        <v>124</v>
      </c>
      <c r="D9" s="50">
        <v>8000</v>
      </c>
      <c r="E9" s="50">
        <v>2000</v>
      </c>
      <c r="F9" s="35" t="s">
        <v>125</v>
      </c>
      <c r="G9" s="35"/>
    </row>
    <row r="10" spans="1:7" ht="31.5" customHeight="1">
      <c r="A10" s="51">
        <v>6</v>
      </c>
      <c r="B10" s="40" t="s">
        <v>126</v>
      </c>
      <c r="C10" s="40" t="s">
        <v>127</v>
      </c>
      <c r="D10" s="52">
        <v>12000</v>
      </c>
      <c r="E10" s="52">
        <v>4000</v>
      </c>
      <c r="F10" s="40" t="s">
        <v>128</v>
      </c>
      <c r="G10" s="38"/>
    </row>
    <row r="11" spans="1:7" ht="31.5" customHeight="1">
      <c r="A11" s="51">
        <v>7</v>
      </c>
      <c r="B11" s="40" t="s">
        <v>126</v>
      </c>
      <c r="C11" s="38" t="s">
        <v>129</v>
      </c>
      <c r="D11" s="52">
        <v>5000</v>
      </c>
      <c r="E11" s="52">
        <v>2000</v>
      </c>
      <c r="F11" s="40" t="s">
        <v>130</v>
      </c>
      <c r="G11" s="38"/>
    </row>
    <row r="12" spans="1:7" ht="31.5" customHeight="1">
      <c r="A12" s="53">
        <v>8</v>
      </c>
      <c r="B12" s="34" t="s">
        <v>131</v>
      </c>
      <c r="C12" s="34" t="s">
        <v>132</v>
      </c>
      <c r="D12" s="54">
        <v>3000</v>
      </c>
      <c r="E12" s="54">
        <v>1500</v>
      </c>
      <c r="F12" s="34" t="s">
        <v>133</v>
      </c>
      <c r="G12" s="34"/>
    </row>
    <row r="13" spans="1:7" ht="31.5" customHeight="1">
      <c r="A13" s="55">
        <v>9</v>
      </c>
      <c r="B13" s="43" t="s">
        <v>134</v>
      </c>
      <c r="C13" s="41" t="s">
        <v>135</v>
      </c>
      <c r="D13" s="56">
        <v>15000</v>
      </c>
      <c r="E13" s="56">
        <v>8000</v>
      </c>
      <c r="F13" s="41" t="s">
        <v>136</v>
      </c>
      <c r="G13" s="41"/>
    </row>
    <row r="14" spans="1:7" ht="31.5" customHeight="1">
      <c r="A14" s="57">
        <v>10</v>
      </c>
      <c r="B14" s="46" t="s">
        <v>137</v>
      </c>
      <c r="C14" s="46" t="s">
        <v>138</v>
      </c>
      <c r="D14" s="58">
        <v>5000</v>
      </c>
      <c r="E14" s="58">
        <v>3000</v>
      </c>
      <c r="F14" s="44" t="s">
        <v>139</v>
      </c>
      <c r="G14" s="44"/>
    </row>
    <row r="15" spans="1:7" ht="17.100000000000001" customHeight="1">
      <c r="A15" s="3" t="s">
        <v>140</v>
      </c>
      <c r="B15" s="3"/>
      <c r="C15" s="3"/>
      <c r="D15" s="21">
        <f>SUM(D5:D14)</f>
        <v>93000</v>
      </c>
      <c r="E15" s="21">
        <f>SUM(E5:E14)</f>
        <v>37500</v>
      </c>
      <c r="F15" s="2" t="s">
        <v>141</v>
      </c>
      <c r="G15" s="2"/>
    </row>
  </sheetData>
  <mergeCells count="4">
    <mergeCell ref="A1:G1"/>
    <mergeCell ref="A2:G2"/>
    <mergeCell ref="A15:C15"/>
    <mergeCell ref="F15:G15"/>
  </mergeCells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showGridLines="0" zoomScaleNormal="100" workbookViewId="0">
      <selection activeCell="F17" sqref="F17"/>
    </sheetView>
  </sheetViews>
  <sheetFormatPr defaultColWidth="8.7109375" defaultRowHeight="15"/>
  <cols>
    <col min="1" max="1" width="6" customWidth="1"/>
    <col min="2" max="2" width="18" customWidth="1"/>
    <col min="3" max="3" width="18.28515625" customWidth="1"/>
    <col min="4" max="4" width="28.7109375" customWidth="1"/>
    <col min="5" max="5" width="12" customWidth="1"/>
    <col min="6" max="7" width="16" customWidth="1"/>
    <col min="8" max="8" width="14" customWidth="1"/>
  </cols>
  <sheetData>
    <row r="1" spans="1:9" ht="31.5" customHeight="1">
      <c r="A1" s="1" t="s">
        <v>142</v>
      </c>
      <c r="B1" s="1"/>
      <c r="C1" s="1"/>
      <c r="D1" s="1"/>
      <c r="E1" s="1"/>
      <c r="F1" s="1"/>
      <c r="G1" s="1"/>
      <c r="H1" s="1"/>
      <c r="I1" s="1"/>
    </row>
    <row r="3" spans="1:9" ht="24" customHeight="1">
      <c r="A3" s="22" t="s">
        <v>3</v>
      </c>
      <c r="B3" s="23" t="s">
        <v>143</v>
      </c>
      <c r="C3" s="23" t="s">
        <v>144</v>
      </c>
      <c r="D3" s="23" t="s">
        <v>145</v>
      </c>
      <c r="E3" s="23" t="s">
        <v>146</v>
      </c>
      <c r="F3" s="23" t="s">
        <v>147</v>
      </c>
      <c r="G3" s="23" t="s">
        <v>148</v>
      </c>
      <c r="H3" s="24" t="s">
        <v>149</v>
      </c>
      <c r="I3" s="25"/>
    </row>
    <row r="4" spans="1:9" ht="29.25" customHeight="1">
      <c r="A4" s="26">
        <v>1</v>
      </c>
      <c r="B4" s="27" t="s">
        <v>150</v>
      </c>
      <c r="C4" s="28" t="s">
        <v>151</v>
      </c>
      <c r="D4" s="28" t="s">
        <v>152</v>
      </c>
      <c r="E4" s="26" t="s">
        <v>153</v>
      </c>
      <c r="F4" s="26" t="s">
        <v>154</v>
      </c>
      <c r="G4" s="28" t="s">
        <v>155</v>
      </c>
      <c r="H4" s="28" t="s">
        <v>156</v>
      </c>
      <c r="I4" s="28" t="s">
        <v>157</v>
      </c>
    </row>
    <row r="5" spans="1:9" ht="29.25" customHeight="1">
      <c r="A5" s="29">
        <v>2</v>
      </c>
      <c r="B5" s="30" t="s">
        <v>158</v>
      </c>
      <c r="C5" s="31" t="s">
        <v>159</v>
      </c>
      <c r="D5" s="29" t="s">
        <v>160</v>
      </c>
      <c r="E5" s="29" t="s">
        <v>161</v>
      </c>
      <c r="F5" s="29" t="s">
        <v>162</v>
      </c>
      <c r="G5" s="29" t="s">
        <v>163</v>
      </c>
      <c r="H5" s="29" t="s">
        <v>25</v>
      </c>
      <c r="I5" s="31" t="s">
        <v>157</v>
      </c>
    </row>
    <row r="6" spans="1:9" ht="29.25" customHeight="1">
      <c r="A6" s="32">
        <v>3</v>
      </c>
      <c r="B6" s="33" t="s">
        <v>164</v>
      </c>
      <c r="C6" s="34" t="s">
        <v>165</v>
      </c>
      <c r="D6" s="34" t="s">
        <v>166</v>
      </c>
      <c r="E6" s="32" t="s">
        <v>154</v>
      </c>
      <c r="F6" s="32" t="s">
        <v>167</v>
      </c>
      <c r="G6" s="34" t="s">
        <v>168</v>
      </c>
      <c r="H6" s="32" t="s">
        <v>169</v>
      </c>
      <c r="I6" s="34" t="s">
        <v>157</v>
      </c>
    </row>
    <row r="7" spans="1:9" ht="29.25" customHeight="1">
      <c r="A7" s="35">
        <v>4</v>
      </c>
      <c r="B7" s="36" t="s">
        <v>170</v>
      </c>
      <c r="C7" s="37" t="s">
        <v>171</v>
      </c>
      <c r="D7" s="37" t="s">
        <v>172</v>
      </c>
      <c r="E7" s="35" t="s">
        <v>173</v>
      </c>
      <c r="F7" s="35" t="s">
        <v>174</v>
      </c>
      <c r="G7" s="37" t="s">
        <v>175</v>
      </c>
      <c r="H7" s="35" t="s">
        <v>40</v>
      </c>
      <c r="I7" s="37" t="s">
        <v>157</v>
      </c>
    </row>
    <row r="8" spans="1:9" ht="29.25" customHeight="1">
      <c r="A8" s="38">
        <v>5</v>
      </c>
      <c r="B8" s="39" t="s">
        <v>176</v>
      </c>
      <c r="C8" s="40" t="s">
        <v>177</v>
      </c>
      <c r="D8" s="40" t="s">
        <v>178</v>
      </c>
      <c r="E8" s="38" t="s">
        <v>179</v>
      </c>
      <c r="F8" s="38" t="s">
        <v>174</v>
      </c>
      <c r="G8" s="40" t="s">
        <v>180</v>
      </c>
      <c r="H8" s="40" t="s">
        <v>57</v>
      </c>
      <c r="I8" s="40" t="s">
        <v>157</v>
      </c>
    </row>
    <row r="9" spans="1:9" ht="29.25" customHeight="1">
      <c r="A9" s="41">
        <v>6</v>
      </c>
      <c r="B9" s="42" t="s">
        <v>181</v>
      </c>
      <c r="C9" s="43" t="s">
        <v>182</v>
      </c>
      <c r="D9" s="43" t="s">
        <v>183</v>
      </c>
      <c r="E9" s="41" t="s">
        <v>167</v>
      </c>
      <c r="F9" s="41" t="s">
        <v>184</v>
      </c>
      <c r="G9" s="43" t="s">
        <v>185</v>
      </c>
      <c r="H9" s="41" t="s">
        <v>186</v>
      </c>
      <c r="I9" s="43" t="s">
        <v>157</v>
      </c>
    </row>
    <row r="10" spans="1:9" ht="29.25" customHeight="1">
      <c r="A10" s="44">
        <v>7</v>
      </c>
      <c r="B10" s="45" t="s">
        <v>187</v>
      </c>
      <c r="C10" s="46" t="s">
        <v>188</v>
      </c>
      <c r="D10" s="46" t="s">
        <v>189</v>
      </c>
      <c r="E10" s="44" t="s">
        <v>184</v>
      </c>
      <c r="F10" s="44" t="s">
        <v>190</v>
      </c>
      <c r="G10" s="46" t="s">
        <v>191</v>
      </c>
      <c r="H10" s="46" t="s">
        <v>192</v>
      </c>
      <c r="I10" s="46" t="s">
        <v>157</v>
      </c>
    </row>
    <row r="11" spans="1:9" ht="29.25" customHeight="1">
      <c r="A11" s="26">
        <v>8</v>
      </c>
      <c r="B11" s="27" t="s">
        <v>193</v>
      </c>
      <c r="C11" s="26" t="s">
        <v>194</v>
      </c>
      <c r="D11" s="26" t="s">
        <v>195</v>
      </c>
      <c r="E11" s="26" t="s">
        <v>190</v>
      </c>
      <c r="F11" s="26" t="s">
        <v>196</v>
      </c>
      <c r="G11" s="26" t="s">
        <v>197</v>
      </c>
      <c r="H11" s="28" t="s">
        <v>53</v>
      </c>
      <c r="I11" s="28" t="s">
        <v>157</v>
      </c>
    </row>
    <row r="12" spans="1:9" ht="29.25" customHeight="1">
      <c r="A12" s="32">
        <v>9</v>
      </c>
      <c r="B12" s="33" t="s">
        <v>198</v>
      </c>
      <c r="C12" s="34" t="s">
        <v>199</v>
      </c>
      <c r="D12" s="32" t="s">
        <v>200</v>
      </c>
      <c r="E12" s="32" t="s">
        <v>196</v>
      </c>
      <c r="F12" s="32" t="s">
        <v>201</v>
      </c>
      <c r="G12" s="32" t="s">
        <v>202</v>
      </c>
      <c r="H12" s="34" t="s">
        <v>67</v>
      </c>
      <c r="I12" s="34" t="s">
        <v>157</v>
      </c>
    </row>
  </sheetData>
  <mergeCells count="2">
    <mergeCell ref="H3:I3"/>
    <mergeCell ref="A1:I1"/>
  </mergeCells>
  <phoneticPr fontId="20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1_적용범위결정</vt:lpstr>
      <vt:lpstr>2_초기_Gap분석</vt:lpstr>
      <vt:lpstr>3_비용추정</vt:lpstr>
      <vt:lpstr>4_마일스톤계획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2026-06-19T05:11:08Z</dcterms:created>
  <dcterms:modified xsi:type="dcterms:W3CDTF">2026-06-19T05:32:08Z</dcterms:modified>
  <dc:language>en-US</dc:language>
</cp:coreProperties>
</file>