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부서별 AI 솔루션 추천" sheetId="1" state="visible" r:id="rId3"/>
    <sheet name="임원용 젠스파크 분석" sheetId="2" state="visible" r:id="rId4"/>
    <sheet name="도입 비용 시뮬레이션" sheetId="3" state="visible" r:id="rId5"/>
    <sheet name="도입 로드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<sst xmlns="http://schemas.openxmlformats.org/spreadsheetml/2006/main" count="379" uniqueCount="246">
  <si>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도입계획 </t>
    </r>
    <r>
      <rPr>
        <b val="true"/>
        <sz val="16"/>
        <color rgb="FF1F4E79"/>
        <rFont val="맑은 고딕"/>
        <family val="0"/>
        <charset val="1"/>
      </rPr>
      <t xml:space="preserve">- </t>
    </r>
    <r>
      <rPr>
        <b val="true"/>
        <sz val="16"/>
        <color rgb="FF1F4E79"/>
        <rFont val="DejaVu Sans"/>
        <family val="2"/>
      </rPr>
      <t xml:space="preserve">부서별 </t>
    </r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솔루션 추천서 </t>
    </r>
    <r>
      <rPr>
        <b val="true"/>
        <sz val="16"/>
        <color rgb="FF1F4E79"/>
        <rFont val="맑은 고딕"/>
        <family val="0"/>
        <charset val="1"/>
      </rPr>
      <t xml:space="preserve">(</t>
    </r>
    <r>
      <rPr>
        <b val="true"/>
        <sz val="16"/>
        <color rgb="FF1F4E79"/>
        <rFont val="DejaVu Sans"/>
        <family val="2"/>
      </rPr>
      <t xml:space="preserve">종합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</si>
  <si>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r>
      <rPr>
        <sz val="10"/>
        <color rgb="FF666666"/>
        <rFont val="DejaVu Sans"/>
        <family val="2"/>
      </rPr>
      <t xml:space="preserve">작성일</t>
    </r>
    <r>
      <rPr>
        <sz val="10"/>
        <color rgb="FF666666"/>
        <rFont val="맑은 고딕"/>
        <family val="0"/>
        <charset val="1"/>
      </rPr>
      <t xml:space="preserve">: 2026-04-06  |  </t>
    </r>
    <r>
      <rPr>
        <sz val="10"/>
        <color rgb="FF666666"/>
        <rFont val="DejaVu Sans"/>
        <family val="2"/>
      </rPr>
      <t xml:space="preserve">참고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부서구조표</t>
    </r>
    <r>
      <rPr>
        <sz val="10"/>
        <color rgb="FF666666"/>
        <rFont val="맑은 고딕"/>
        <family val="0"/>
        <charset val="1"/>
      </rPr>
      <t xml:space="preserve">, AI</t>
    </r>
    <r>
      <rPr>
        <sz val="10"/>
        <color rgb="FF666666"/>
        <rFont val="DejaVu Sans"/>
        <family val="2"/>
      </rPr>
      <t xml:space="preserve">플랫폼비교표</t>
    </r>
    <r>
      <rPr>
        <sz val="10"/>
        <color rgb="FF666666"/>
        <rFont val="맑은 고딕"/>
        <family val="0"/>
        <charset val="1"/>
      </rPr>
      <t xml:space="preserve">, Claude</t>
    </r>
    <r>
      <rPr>
        <sz val="10"/>
        <color rgb="FF666666"/>
        <rFont val="DejaVu Sans"/>
        <family val="2"/>
      </rPr>
      <t xml:space="preserve">도입계획서</t>
    </r>
    <r>
      <rPr>
        <sz val="10"/>
        <color rgb="FF666666"/>
        <rFont val="맑은 고딕"/>
        <family val="0"/>
        <charset val="1"/>
      </rPr>
      <t xml:space="preserve">, AI</t>
    </r>
    <r>
      <rPr>
        <sz val="10"/>
        <color rgb="FF666666"/>
        <rFont val="DejaVu Sans"/>
        <family val="2"/>
      </rPr>
      <t xml:space="preserve">도입계획</t>
    </r>
    <r>
      <rPr>
        <sz val="10"/>
        <color rgb="FF666666"/>
        <rFont val="맑은 고딕"/>
        <family val="0"/>
        <charset val="1"/>
      </rPr>
      <t xml:space="preserve">(</t>
    </r>
    <r>
      <rPr>
        <sz val="10"/>
        <color rgb="FF666666"/>
        <rFont val="DejaVu Sans"/>
        <family val="2"/>
      </rPr>
      <t xml:space="preserve">마인드맵</t>
    </r>
    <r>
      <rPr>
        <sz val="10"/>
        <color rgb="FF666666"/>
        <rFont val="맑은 고딕"/>
        <family val="0"/>
        <charset val="1"/>
      </rPr>
      <t xml:space="preserve">)  |  </t>
    </r>
    <r>
      <rPr>
        <sz val="10"/>
        <color rgb="FF666666"/>
        <rFont val="DejaVu Sans"/>
        <family val="2"/>
      </rPr>
      <t xml:space="preserve">원칙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부문별 </t>
    </r>
    <r>
      <rPr>
        <sz val="10"/>
        <color rgb="FF666666"/>
        <rFont val="맑은 고딕"/>
        <family val="0"/>
        <charset val="1"/>
      </rPr>
      <t xml:space="preserve">2</t>
    </r>
    <r>
      <rPr>
        <sz val="10"/>
        <color rgb="FF666666"/>
        <rFont val="DejaVu Sans"/>
        <family val="2"/>
      </rPr>
      <t xml:space="preserve">개 이내 선정</t>
    </r>
  </si>
  <si>
    <t xml:space="preserve">부문</t>
  </si>
  <si>
    <r>
      <rPr>
        <b val="true"/>
        <sz val="9"/>
        <color rgb="FFFFFFFF"/>
        <rFont val="DejaVu Sans"/>
        <family val="2"/>
      </rPr>
      <t xml:space="preserve">파트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팀</t>
    </r>
  </si>
  <si>
    <t xml:space="preserve">주요 업무</t>
  </si>
  <si>
    <r>
      <rPr>
        <b val="true"/>
        <sz val="9"/>
        <color rgb="FFFFFFFF"/>
        <rFont val="DejaVu Sans"/>
        <family val="2"/>
      </rPr>
      <t xml:space="preserve">추천 </t>
    </r>
    <r>
      <rPr>
        <b val="true"/>
        <sz val="9"/>
        <color rgb="FFFFFFFF"/>
        <rFont val="맑은 고딕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플랫폼</t>
    </r>
  </si>
  <si>
    <r>
      <rPr>
        <b val="true"/>
        <sz val="9"/>
        <color rgb="FFFFFFFF"/>
        <rFont val="DejaVu Sans"/>
        <family val="2"/>
      </rPr>
      <t xml:space="preserve">추천 사유 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업무 연계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</si>
  <si>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월 비용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인당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</si>
  <si>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도입 우선순위</t>
  </si>
  <si>
    <t xml:space="preserve">기대 효과</t>
  </si>
  <si>
    <t xml:space="preserve">경영지원</t>
  </si>
  <si>
    <t xml:space="preserve">인사총무</t>
  </si>
  <si>
    <r>
      <rPr>
        <sz val="9"/>
        <rFont val="DejaVu Sans"/>
        <family val="2"/>
      </rPr>
      <t xml:space="preserve">인원관리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급여관리
회사운영관리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채용관리</t>
    </r>
  </si>
  <si>
    <t xml:space="preserve">ChatGPT Team</t>
  </si>
  <si>
    <r>
      <rPr>
        <sz val="9"/>
        <rFont val="DejaVu Sans"/>
        <family val="2"/>
      </rPr>
      <t xml:space="preserve">① 문서작성 종합 최고점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언어이해 </t>
    </r>
    <r>
      <rPr>
        <sz val="9"/>
        <rFont val="맑은 고딕"/>
        <family val="0"/>
        <charset val="1"/>
      </rPr>
      <t xml:space="preserve">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- </t>
    </r>
    <r>
      <rPr>
        <sz val="9"/>
        <rFont val="DejaVu Sans"/>
        <family val="2"/>
      </rPr>
      <t xml:space="preserve">채용공고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면접평가표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운영비 보고서 작성에 최적
② DALL-E 통합으로 사내 공지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안내 자료 제작 가능
③ Custom GPTs로 급여관리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채용 전용 봇 구축 가능
④ 팀 워크스페이스로 인사 문서 공유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협업 용이</t>
    </r>
  </si>
  <si>
    <r>
      <rPr>
        <sz val="9"/>
        <rFont val="맑은 고딕"/>
        <family val="0"/>
        <charset val="1"/>
      </rPr>
      <t xml:space="preserve">$25/</t>
    </r>
    <r>
      <rPr>
        <sz val="9"/>
        <rFont val="DejaVu Sans"/>
        <family val="2"/>
      </rPr>
      <t xml:space="preserve">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월
</t>
    </r>
    <r>
      <rPr>
        <sz val="9"/>
        <rFont val="맑은 고딕"/>
        <family val="0"/>
        <charset val="1"/>
      </rPr>
      <t xml:space="preserve">(Team </t>
    </r>
    <r>
      <rPr>
        <sz val="9"/>
        <rFont val="DejaVu Sans"/>
        <family val="2"/>
      </rPr>
      <t xml:space="preserve">연간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</si>
  <si>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순위</t>
    </r>
  </si>
  <si>
    <r>
      <rPr>
        <sz val="9"/>
        <rFont val="DejaVu Sans"/>
        <family val="2"/>
      </rPr>
      <t xml:space="preserve">문서작성 시간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채용공고 품질 향상
반복업무 자동화</t>
    </r>
  </si>
  <si>
    <t xml:space="preserve">Claude Team</t>
  </si>
  <si>
    <r>
      <rPr>
        <sz val="9"/>
        <rFont val="DejaVu Sans"/>
        <family val="2"/>
      </rPr>
      <t xml:space="preserve">① 법률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규정 검토 최적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문서분석 </t>
    </r>
    <r>
      <rPr>
        <sz val="9"/>
        <rFont val="맑은 고딕"/>
        <family val="0"/>
        <charset val="1"/>
      </rPr>
      <t xml:space="preserve">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- </t>
    </r>
    <r>
      <rPr>
        <sz val="9"/>
        <rFont val="DejaVu Sans"/>
        <family val="2"/>
      </rPr>
      <t xml:space="preserve">근로계약서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취업규칙 등 법적 문서 검토
② 200K 컨텍스트로 급여규정 전체를 한 번에 분석 가능
③ 환각</t>
    </r>
    <r>
      <rPr>
        <sz val="9"/>
        <rFont val="맑은 고딕"/>
        <family val="0"/>
        <charset val="1"/>
      </rPr>
      <t xml:space="preserve">(Hallucination) </t>
    </r>
    <r>
      <rPr>
        <sz val="9"/>
        <rFont val="DejaVu Sans"/>
        <family val="2"/>
      </rPr>
      <t xml:space="preserve">적어 인사 관련 정보 신뢰도 높음
④ 채용 서류 대량 검토 및 요약 기능 우수</t>
    </r>
  </si>
  <si>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순위</t>
    </r>
  </si>
  <si>
    <r>
      <rPr>
        <sz val="9"/>
        <rFont val="DejaVu Sans"/>
        <family val="2"/>
      </rPr>
      <t xml:space="preserve">규정 검토 시간 </t>
    </r>
    <r>
      <rPr>
        <sz val="9"/>
        <rFont val="맑은 고딕"/>
        <family val="0"/>
        <charset val="1"/>
      </rPr>
      <t xml:space="preserve">60%↓
</t>
    </r>
    <r>
      <rPr>
        <sz val="9"/>
        <rFont val="DejaVu Sans"/>
        <family val="2"/>
      </rPr>
      <t xml:space="preserve">법적 리스크 사전 식별
서류 분류 자동화</t>
    </r>
  </si>
  <si>
    <t xml:space="preserve">구매</t>
  </si>
  <si>
    <r>
      <rPr>
        <sz val="9"/>
        <rFont val="DejaVu Sans"/>
        <family val="2"/>
      </rPr>
      <t xml:space="preserve">거래처 관리
구매발주관리</t>
    </r>
    <r>
      <rPr>
        <sz val="9"/>
        <rFont val="맑은 고딕"/>
        <family val="0"/>
        <charset val="1"/>
      </rPr>
      <t xml:space="preserve">, AP</t>
    </r>
    <r>
      <rPr>
        <sz val="9"/>
        <rFont val="DejaVu Sans"/>
        <family val="2"/>
      </rPr>
      <t xml:space="preserve">관리</t>
    </r>
  </si>
  <si>
    <r>
      <rPr>
        <sz val="9"/>
        <rFont val="DejaVu Sans"/>
        <family val="2"/>
      </rPr>
      <t xml:space="preserve">① 코드인터프리터로 거래처 데이터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시각화 즉시 가능
② 구매발주서</t>
    </r>
    <r>
      <rPr>
        <sz val="9"/>
        <rFont val="맑은 고딕"/>
        <family val="0"/>
        <charset val="1"/>
      </rPr>
      <t xml:space="preserve">, AP </t>
    </r>
    <r>
      <rPr>
        <sz val="9"/>
        <rFont val="DejaVu Sans"/>
        <family val="2"/>
      </rPr>
      <t xml:space="preserve">정산보고서 등 정형 문서 자동 생성
③ 거래처 평가표 양식 생성 및 데이터 정리에 강점
④ 다국어 지원</t>
    </r>
    <r>
      <rPr>
        <sz val="9"/>
        <rFont val="맑은 고딕"/>
        <family val="0"/>
        <charset val="1"/>
      </rPr>
      <t xml:space="preserve">(9.5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으로 해외 거래처 커뮤니케이션 지원</t>
    </r>
  </si>
  <si>
    <r>
      <rPr>
        <sz val="9"/>
        <rFont val="DejaVu Sans"/>
        <family val="2"/>
      </rPr>
      <t xml:space="preserve">발주서 작성 시간 </t>
    </r>
    <r>
      <rPr>
        <sz val="9"/>
        <rFont val="맑은 고딕"/>
        <family val="0"/>
        <charset val="1"/>
      </rPr>
      <t xml:space="preserve">40%↓
</t>
    </r>
    <r>
      <rPr>
        <sz val="9"/>
        <rFont val="DejaVu Sans"/>
        <family val="2"/>
      </rPr>
      <t xml:space="preserve">거래처 분석 효율화
</t>
    </r>
    <r>
      <rPr>
        <sz val="9"/>
        <rFont val="맑은 고딕"/>
        <family val="0"/>
        <charset val="1"/>
      </rPr>
      <t xml:space="preserve">AP </t>
    </r>
    <r>
      <rPr>
        <sz val="9"/>
        <rFont val="DejaVu Sans"/>
        <family val="2"/>
      </rPr>
      <t xml:space="preserve">정산 보고 자동화</t>
    </r>
  </si>
  <si>
    <t xml:space="preserve">Perplexity Pro</t>
  </si>
  <si>
    <r>
      <rPr>
        <sz val="9"/>
        <rFont val="DejaVu Sans"/>
        <family val="2"/>
      </rPr>
      <t xml:space="preserve">① 웹검색 최고점</t>
    </r>
    <r>
      <rPr>
        <sz val="9"/>
        <rFont val="맑은 고딕"/>
        <family val="0"/>
        <charset val="1"/>
      </rPr>
      <t xml:space="preserve">(9.5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- </t>
    </r>
    <r>
      <rPr>
        <sz val="9"/>
        <rFont val="DejaVu Sans"/>
        <family val="2"/>
      </rPr>
      <t xml:space="preserve">원자재 시세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거래처 동향 실시간 리서치
② 출처 자동 인용으로 시장 조사 보고서 근거 확보
③ 구매 원가절감을 위한 대체 거래처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소재 탐색에 최적
④ 구매 납기 관련 글로벌 공급망 이슈 모니터링</t>
    </r>
  </si>
  <si>
    <r>
      <rPr>
        <sz val="9"/>
        <rFont val="맑은 고딕"/>
        <family val="0"/>
        <charset val="1"/>
      </rPr>
      <t xml:space="preserve">$20/</t>
    </r>
    <r>
      <rPr>
        <sz val="9"/>
        <rFont val="DejaVu Sans"/>
        <family val="2"/>
      </rPr>
      <t xml:space="preserve">월
</t>
    </r>
    <r>
      <rPr>
        <sz val="9"/>
        <rFont val="맑은 고딕"/>
        <family val="0"/>
        <charset val="1"/>
      </rPr>
      <t xml:space="preserve">(Pro)</t>
    </r>
  </si>
  <si>
    <r>
      <rPr>
        <sz val="9"/>
        <rFont val="DejaVu Sans"/>
        <family val="2"/>
      </rPr>
      <t xml:space="preserve">시장 조사 시간 </t>
    </r>
    <r>
      <rPr>
        <sz val="9"/>
        <rFont val="맑은 고딕"/>
        <family val="0"/>
        <charset val="1"/>
      </rPr>
      <t xml:space="preserve">70%↓
</t>
    </r>
    <r>
      <rPr>
        <sz val="9"/>
        <rFont val="DejaVu Sans"/>
        <family val="2"/>
      </rPr>
      <t xml:space="preserve">원자재 시세 파악 실시간
거래처 발굴 효율화</t>
    </r>
  </si>
  <si>
    <t xml:space="preserve">재무</t>
  </si>
  <si>
    <r>
      <rPr>
        <sz val="9"/>
        <rFont val="DejaVu Sans"/>
        <family val="2"/>
      </rPr>
      <t xml:space="preserve">자금관리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재무분석
원가관리</t>
    </r>
  </si>
  <si>
    <r>
      <rPr>
        <sz val="9"/>
        <rFont val="DejaVu Sans"/>
        <family val="2"/>
      </rPr>
      <t xml:space="preserve">① 문서분석 최고점</t>
    </r>
    <r>
      <rPr>
        <sz val="9"/>
        <rFont val="맑은 고딕"/>
        <family val="0"/>
        <charset val="1"/>
      </rPr>
      <t xml:space="preserve">(9.5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- </t>
    </r>
    <r>
      <rPr>
        <sz val="9"/>
        <rFont val="DejaVu Sans"/>
        <family val="2"/>
      </rPr>
      <t xml:space="preserve">재무제표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원가분석 보고서 정밀 분석
② 200K 컨텍스트로 다년간 재무데이터 한 번에 비교 분석
③ 논리추론 정확도 높아 원가구조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자금운용 시뮬레이션 신뢰도 우수
④ 환각 적어 재무 수치 관련 오류 위험 최소화</t>
    </r>
  </si>
  <si>
    <r>
      <rPr>
        <sz val="9"/>
        <rFont val="DejaVu Sans"/>
        <family val="2"/>
      </rPr>
      <t xml:space="preserve">재무분석 시간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원가보고서 자동화
자금일보 초안 생성</t>
    </r>
  </si>
  <si>
    <r>
      <rPr>
        <sz val="9"/>
        <rFont val="DejaVu Sans"/>
        <family val="2"/>
      </rPr>
      <t xml:space="preserve">① 코드인터프리터로 재무데이터 즉석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차트 생성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데이터분석 </t>
    </r>
    <r>
      <rPr>
        <sz val="9"/>
        <rFont val="맑은 고딕"/>
        <family val="0"/>
        <charset val="1"/>
      </rPr>
      <t xml:space="preserve">8.5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
② Excel/CSV </t>
    </r>
    <r>
      <rPr>
        <sz val="9"/>
        <rFont val="DejaVu Sans"/>
        <family val="2"/>
      </rPr>
      <t xml:space="preserve">업로드 후 자동 분석 및 시각화 가능
③ 자금일보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재무제표 양식 자동 생성 및 포맷팅
④ 원가구조 비교 분석 및 </t>
    </r>
    <r>
      <rPr>
        <sz val="9"/>
        <rFont val="맑은 고딕"/>
        <family val="0"/>
        <charset val="1"/>
      </rPr>
      <t xml:space="preserve">What-if </t>
    </r>
    <r>
      <rPr>
        <sz val="9"/>
        <rFont val="DejaVu Sans"/>
        <family val="2"/>
      </rPr>
      <t xml:space="preserve">시나리오 시뮬레이션</t>
    </r>
  </si>
  <si>
    <t xml:space="preserve">데이터 시각화 즉시
시나리오 분석 가능
보고서 품질 향상</t>
  </si>
  <si>
    <t xml:space="preserve">생산</t>
  </si>
  <si>
    <t xml:space="preserve">생산계획</t>
  </si>
  <si>
    <r>
      <rPr>
        <sz val="9"/>
        <rFont val="DejaVu Sans"/>
        <family val="2"/>
      </rPr>
      <t xml:space="preserve">생산계획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캐파관리
</t>
    </r>
    <r>
      <rPr>
        <sz val="9"/>
        <rFont val="맑은 고딕"/>
        <family val="0"/>
        <charset val="1"/>
      </rPr>
      <t xml:space="preserve">BOM</t>
    </r>
    <r>
      <rPr>
        <sz val="9"/>
        <rFont val="DejaVu Sans"/>
        <family val="2"/>
      </rPr>
      <t xml:space="preserve">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공수관리</t>
    </r>
  </si>
  <si>
    <r>
      <rPr>
        <sz val="9"/>
        <rFont val="DejaVu Sans"/>
        <family val="2"/>
      </rPr>
      <t xml:space="preserve">① 코드인터프리터로 생산계획표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캐파분석표 데이터 즉시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시각화
② BOM 리스트 정합성 검증 및 </t>
    </r>
    <r>
      <rPr>
        <sz val="9"/>
        <rFont val="맑은 고딕"/>
        <family val="0"/>
        <charset val="1"/>
      </rPr>
      <t xml:space="preserve">Cross-check </t>
    </r>
    <r>
      <rPr>
        <sz val="9"/>
        <rFont val="DejaVu Sans"/>
        <family val="2"/>
      </rPr>
      <t xml:space="preserve">자동화
③ 공수실적 데이터 기반 생산성 분석 및 보고서 자동 생성
④ Custom GPTs로 생산계획 전용 분석 봇 구축 가능</t>
    </r>
  </si>
  <si>
    <r>
      <rPr>
        <sz val="9"/>
        <rFont val="DejaVu Sans"/>
        <family val="2"/>
      </rPr>
      <t xml:space="preserve">생산계획 수립 </t>
    </r>
    <r>
      <rPr>
        <sz val="9"/>
        <rFont val="맑은 고딕"/>
        <family val="0"/>
        <charset val="1"/>
      </rPr>
      <t xml:space="preserve">40%↓
BOM </t>
    </r>
    <r>
      <rPr>
        <sz val="9"/>
        <rFont val="DejaVu Sans"/>
        <family val="2"/>
      </rPr>
      <t xml:space="preserve">검증 자동화
캐파 분석 효율화</t>
    </r>
  </si>
  <si>
    <r>
      <rPr>
        <sz val="9"/>
        <rFont val="맑은 고딕"/>
        <family val="0"/>
        <charset val="1"/>
      </rPr>
      <t xml:space="preserve">① 200K </t>
    </r>
    <r>
      <rPr>
        <sz val="9"/>
        <rFont val="DejaVu Sans"/>
        <family val="2"/>
      </rPr>
      <t xml:space="preserve">컨텍스트로 대량 </t>
    </r>
    <r>
      <rPr>
        <sz val="9"/>
        <rFont val="맑은 고딕"/>
        <family val="0"/>
        <charset val="1"/>
      </rPr>
      <t xml:space="preserve">BOM </t>
    </r>
    <r>
      <rPr>
        <sz val="9"/>
        <rFont val="DejaVu Sans"/>
        <family val="2"/>
      </rPr>
      <t xml:space="preserve">데이터 전체 맥락 분석 가능
② 생산계획 달성률 추이 분석 및 원인 파악 리포트 생성
③ 설비 가동률과 공수 효율성 간 상관관계 심층 분석
④ 분석 품질이 높아 경영진 보고용 자료 작성에 적합</t>
    </r>
  </si>
  <si>
    <t xml:space="preserve">심층 분석 품질 향상
경영진 보고 효율화
데이터 기반 의사결정</t>
  </si>
  <si>
    <r>
      <rPr>
        <b val="true"/>
        <sz val="9"/>
        <rFont val="DejaVu Sans"/>
        <family val="2"/>
      </rPr>
      <t xml:space="preserve">생산</t>
    </r>
    <r>
      <rPr>
        <b val="true"/>
        <sz val="9"/>
        <rFont val="맑은 고딕"/>
        <family val="0"/>
        <charset val="1"/>
      </rPr>
      <t xml:space="preserve">1
(</t>
    </r>
    <r>
      <rPr>
        <b val="true"/>
        <sz val="9"/>
        <rFont val="DejaVu Sans"/>
        <family val="2"/>
      </rPr>
      <t xml:space="preserve">다이캐스팅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</si>
  <si>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다이캐스팅 생산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관리
원재료 리사이클링</t>
    </r>
  </si>
  <si>
    <r>
      <rPr>
        <sz val="9"/>
        <rFont val="DejaVu Sans"/>
        <family val="2"/>
      </rPr>
      <t xml:space="preserve">① 생산일보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다이캐스팅 실적표 데이터를 업로드하면 즉시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차트 생성
② 양품률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일일 생산목표 달성률 추이 자동 시각화
③ 리사이클링 회수율 데이터 패턴 분석 및 개선점 도출
④ 교대 근무별 실적 비교 분석 보고서 자동 생성</t>
    </r>
  </si>
  <si>
    <r>
      <rPr>
        <sz val="9"/>
        <rFont val="DejaVu Sans"/>
        <family val="2"/>
      </rPr>
      <t xml:space="preserve">생산일보 작성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실적 분석 자동화
양품률 추이 시각화</t>
    </r>
  </si>
  <si>
    <r>
      <rPr>
        <b val="true"/>
        <sz val="9"/>
        <rFont val="DejaVu Sans"/>
        <family val="2"/>
      </rPr>
      <t xml:space="preserve">생산</t>
    </r>
    <r>
      <rPr>
        <b val="true"/>
        <sz val="9"/>
        <rFont val="맑은 고딕"/>
        <family val="0"/>
        <charset val="1"/>
      </rPr>
      <t xml:space="preserve">2
(CNC/</t>
    </r>
    <r>
      <rPr>
        <b val="true"/>
        <sz val="9"/>
        <rFont val="DejaVu Sans"/>
        <family val="2"/>
      </rPr>
      <t xml:space="preserve">후공정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</si>
  <si>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CNC </t>
    </r>
    <r>
      <rPr>
        <sz val="9"/>
        <rFont val="DejaVu Sans"/>
        <family val="2"/>
      </rPr>
      <t xml:space="preserve">정밀가공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바렐
화성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사상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조립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포장</t>
    </r>
  </si>
  <si>
    <r>
      <rPr>
        <sz val="9"/>
        <rFont val="DejaVu Sans"/>
        <family val="2"/>
      </rPr>
      <t xml:space="preserve">① 가공일보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공정별 실적표 데이터 분석 및 불량률 추적 자동화
② 공정별 생산성 비교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바렐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화성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사상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조립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포장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대시보드 생성
③ 납기 준수율 추이 분석 및 지연 원인 패턴 도출
④ 출하검사성적서 양식 자동 생성</t>
    </r>
  </si>
  <si>
    <t xml:space="preserve">공정별 실적 분석 자동화
불량률 추적 효율화
납기 관리 개선</t>
  </si>
  <si>
    <r>
      <rPr>
        <b val="true"/>
        <sz val="9"/>
        <rFont val="DejaVu Sans"/>
        <family val="2"/>
      </rPr>
      <t xml:space="preserve">기술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개발</t>
    </r>
  </si>
  <si>
    <t xml:space="preserve">생산기술</t>
  </si>
  <si>
    <r>
      <rPr>
        <sz val="9"/>
        <rFont val="맑은 고딕"/>
        <family val="0"/>
        <charset val="1"/>
      </rPr>
      <t xml:space="preserve">CNC </t>
    </r>
    <r>
      <rPr>
        <sz val="9"/>
        <rFont val="DejaVu Sans"/>
        <family val="2"/>
      </rPr>
      <t xml:space="preserve">가공 기술
가공지그설계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공정관리</t>
    </r>
  </si>
  <si>
    <r>
      <rPr>
        <sz val="9"/>
        <rFont val="DejaVu Sans"/>
        <family val="2"/>
      </rPr>
      <t xml:space="preserve">① 문서분석 최고점 </t>
    </r>
    <r>
      <rPr>
        <sz val="9"/>
        <rFont val="맑은 고딕"/>
        <family val="0"/>
        <charset val="1"/>
      </rPr>
      <t xml:space="preserve">- </t>
    </r>
    <r>
      <rPr>
        <sz val="9"/>
        <rFont val="DejaVu Sans"/>
        <family val="2"/>
      </rPr>
      <t xml:space="preserve">가공조건표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공정관리 기준서 등 기술문서 작성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분석 최적
② 가공 정밀도 데이터 분석 및 조건 최적화 방안 도출
③ 지그 설계 관련 기술 자료 정리 및 표준화 지원
④ 공정개선 아이디어 도출 시 논리적 근거 제시에 강점</t>
    </r>
  </si>
  <si>
    <r>
      <rPr>
        <sz val="9"/>
        <rFont val="DejaVu Sans"/>
        <family val="2"/>
      </rPr>
      <t xml:space="preserve">기술문서 작성 </t>
    </r>
    <r>
      <rPr>
        <sz val="9"/>
        <rFont val="맑은 고딕"/>
        <family val="0"/>
        <charset val="1"/>
      </rPr>
      <t xml:space="preserve">60%↓
</t>
    </r>
    <r>
      <rPr>
        <sz val="9"/>
        <rFont val="DejaVu Sans"/>
        <family val="2"/>
      </rPr>
      <t xml:space="preserve">공정개선 분석 효율화
기준서 표준화</t>
    </r>
  </si>
  <si>
    <t xml:space="preserve">개발영업</t>
  </si>
  <si>
    <r>
      <rPr>
        <sz val="9"/>
        <rFont val="DejaVu Sans"/>
        <family val="2"/>
      </rPr>
      <t xml:space="preserve">고객관리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제품양산개발
매출관리</t>
    </r>
  </si>
  <si>
    <t xml:space="preserve">Claude Team
★도입 확정</t>
  </si>
  <si>
    <r>
      <rPr>
        <sz val="9"/>
        <rFont val="DejaVu Sans"/>
        <family val="2"/>
      </rPr>
      <t xml:space="preserve">【</t>
    </r>
    <r>
      <rPr>
        <sz val="9"/>
        <rFont val="맑은 고딕"/>
        <family val="0"/>
        <charset val="1"/>
      </rPr>
      <t xml:space="preserve">Claude </t>
    </r>
    <r>
      <rPr>
        <sz val="9"/>
        <rFont val="DejaVu Sans"/>
        <family val="2"/>
      </rPr>
      <t xml:space="preserve">도입 구축계획서 기반 확정】
① 분석데이터 실무 반영 및 보고서 작성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작성시간 </t>
    </r>
    <r>
      <rPr>
        <sz val="9"/>
        <rFont val="맑은 고딕"/>
        <family val="0"/>
        <charset val="1"/>
      </rPr>
      <t xml:space="preserve">50%↓ </t>
    </r>
    <r>
      <rPr>
        <sz val="9"/>
        <rFont val="DejaVu Sans"/>
        <family val="2"/>
      </rPr>
      <t xml:space="preserve">목표</t>
    </r>
    <r>
      <rPr>
        <sz val="9"/>
        <rFont val="맑은 고딕"/>
        <family val="0"/>
        <charset val="1"/>
      </rPr>
      <t xml:space="preserve">)
② 개발 히스토리 문서화 및 추적 자동화
③ 영업 제안서 및 기술문서 작성
④ Quick Win: </t>
    </r>
    <r>
      <rPr>
        <sz val="9"/>
        <rFont val="DejaVu Sans"/>
        <family val="2"/>
      </rPr>
      <t xml:space="preserve">기존 분석 보고서를 </t>
    </r>
    <r>
      <rPr>
        <sz val="9"/>
        <rFont val="맑은 고딕"/>
        <family val="0"/>
        <charset val="1"/>
      </rPr>
      <t xml:space="preserve">Claude</t>
    </r>
    <r>
      <rPr>
        <sz val="9"/>
        <rFont val="DejaVu Sans"/>
        <family val="2"/>
      </rPr>
      <t xml:space="preserve">로 재작성 → 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후 비교</t>
    </r>
  </si>
  <si>
    <r>
      <rPr>
        <sz val="9"/>
        <rFont val="맑은 고딕"/>
        <family val="0"/>
        <charset val="1"/>
      </rPr>
      <t xml:space="preserve">Std $25/</t>
    </r>
    <r>
      <rPr>
        <sz val="9"/>
        <rFont val="DejaVu Sans"/>
        <family val="2"/>
      </rPr>
      <t xml:space="preserve">인
</t>
    </r>
    <r>
      <rPr>
        <sz val="9"/>
        <rFont val="맑은 고딕"/>
        <family val="0"/>
        <charset val="1"/>
      </rPr>
      <t xml:space="preserve">× 5</t>
    </r>
    <r>
      <rPr>
        <sz val="9"/>
        <rFont val="DejaVu Sans"/>
        <family val="2"/>
      </rPr>
      <t xml:space="preserve">명</t>
    </r>
  </si>
  <si>
    <r>
      <rPr>
        <sz val="9"/>
        <rFont val="DejaVu Sans"/>
        <family val="2"/>
      </rPr>
      <t xml:space="preserve">도입확정
</t>
    </r>
    <r>
      <rPr>
        <sz val="9"/>
        <rFont val="맑은 고딕"/>
        <family val="0"/>
        <charset val="1"/>
      </rPr>
      <t xml:space="preserve">(Pilot)</t>
    </r>
  </si>
  <si>
    <r>
      <rPr>
        <sz val="9"/>
        <rFont val="DejaVu Sans"/>
        <family val="2"/>
      </rPr>
      <t xml:space="preserve">보고서 작성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분석 항목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배↑
개발문서 표준화</t>
    </r>
  </si>
  <si>
    <r>
      <rPr>
        <sz val="9"/>
        <rFont val="DejaVu Sans"/>
        <family val="2"/>
      </rPr>
      <t xml:space="preserve">① 웹검색 최고점 </t>
    </r>
    <r>
      <rPr>
        <sz val="9"/>
        <rFont val="맑은 고딕"/>
        <family val="0"/>
        <charset val="1"/>
      </rPr>
      <t xml:space="preserve">- </t>
    </r>
    <r>
      <rPr>
        <sz val="9"/>
        <rFont val="DejaVu Sans"/>
        <family val="2"/>
      </rPr>
      <t xml:space="preserve">고객사 동향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시장 트렌드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경쟁사 분석 실시간 리서치
② 출처 자동 인용으로 영업 제안서에 시장 근거 자료 즉시 삽입
③ 제품양산개발 시 유사 기술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특허 조사에 최적
④ 매출 관련 산업 동향 모니터링</t>
    </r>
  </si>
  <si>
    <r>
      <rPr>
        <sz val="9"/>
        <rFont val="DejaVu Sans"/>
        <family val="2"/>
      </rPr>
      <t xml:space="preserve">시장 조사 </t>
    </r>
    <r>
      <rPr>
        <sz val="9"/>
        <rFont val="맑은 고딕"/>
        <family val="0"/>
        <charset val="1"/>
      </rPr>
      <t xml:space="preserve">70%↓
</t>
    </r>
    <r>
      <rPr>
        <sz val="9"/>
        <rFont val="DejaVu Sans"/>
        <family val="2"/>
      </rPr>
      <t xml:space="preserve">고객 정보 실시간 파악
제안서 근거 강화</t>
    </r>
  </si>
  <si>
    <t xml:space="preserve">자동화</t>
  </si>
  <si>
    <t xml:space="preserve">생산자동화 설비 개발
및 유지보수</t>
  </si>
  <si>
    <t xml:space="preserve">Claude Team
(Claude Code)</t>
  </si>
  <si>
    <r>
      <rPr>
        <sz val="9"/>
        <rFont val="DejaVu Sans"/>
        <family val="2"/>
      </rPr>
      <t xml:space="preserve">① 코딩 최고점</t>
    </r>
    <r>
      <rPr>
        <sz val="9"/>
        <rFont val="맑은 고딕"/>
        <family val="0"/>
        <charset val="1"/>
      </rPr>
      <t xml:space="preserve">(9.5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+ Claude Code </t>
    </r>
    <r>
      <rPr>
        <sz val="9"/>
        <rFont val="DejaVu Sans"/>
        <family val="2"/>
      </rPr>
      <t xml:space="preserve">환경으로 자동화 설비 코드 개발 최적
② PLC 로직</t>
    </r>
    <r>
      <rPr>
        <sz val="9"/>
        <rFont val="맑은 고딕"/>
        <family val="0"/>
        <charset val="1"/>
      </rPr>
      <t xml:space="preserve">, Python </t>
    </r>
    <r>
      <rPr>
        <sz val="9"/>
        <rFont val="DejaVu Sans"/>
        <family val="2"/>
      </rPr>
      <t xml:space="preserve">스크립트 등 산업용 코드 생성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디버깅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리팩토링
③ Git 연동으로 자동화 설비 소프트웨어 형상관리 지원
④ 유지보수 이력 데이터 분석 및 고장 패턴 도출</t>
    </r>
  </si>
  <si>
    <r>
      <rPr>
        <sz val="9"/>
        <rFont val="맑은 고딕"/>
        <family val="0"/>
        <charset val="1"/>
      </rPr>
      <t xml:space="preserve">Prm $125/</t>
    </r>
    <r>
      <rPr>
        <sz val="9"/>
        <rFont val="DejaVu Sans"/>
        <family val="2"/>
      </rPr>
      <t xml:space="preserve">인
</t>
    </r>
    <r>
      <rPr>
        <sz val="9"/>
        <rFont val="맑은 고딕"/>
        <family val="0"/>
        <charset val="1"/>
      </rPr>
      <t xml:space="preserve">(Code </t>
    </r>
    <r>
      <rPr>
        <sz val="9"/>
        <rFont val="DejaVu Sans"/>
        <family val="2"/>
      </rPr>
      <t xml:space="preserve">포함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</si>
  <si>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코드 개발 </t>
    </r>
    <r>
      <rPr>
        <sz val="9"/>
        <rFont val="맑은 고딕"/>
        <family val="0"/>
        <charset val="1"/>
      </rPr>
      <t xml:space="preserve">60%↓
</t>
    </r>
    <r>
      <rPr>
        <sz val="9"/>
        <rFont val="DejaVu Sans"/>
        <family val="2"/>
      </rPr>
      <t xml:space="preserve">디버깅 시간 단축
설비 </t>
    </r>
    <r>
      <rPr>
        <sz val="9"/>
        <rFont val="맑은 고딕"/>
        <family val="0"/>
        <charset val="1"/>
      </rPr>
      <t xml:space="preserve">SW </t>
    </r>
    <r>
      <rPr>
        <sz val="9"/>
        <rFont val="DejaVu Sans"/>
        <family val="2"/>
      </rPr>
      <t xml:space="preserve">품질 향상</t>
    </r>
  </si>
  <si>
    <r>
      <rPr>
        <b val="true"/>
        <sz val="9"/>
        <rFont val="DejaVu Sans"/>
        <family val="2"/>
      </rPr>
      <t xml:space="preserve">전산팀
</t>
    </r>
    <r>
      <rPr>
        <b val="true"/>
        <sz val="9"/>
        <rFont val="맑은 고딕"/>
        <family val="0"/>
        <charset val="1"/>
      </rPr>
      <t xml:space="preserve">(IT)</t>
    </r>
  </si>
  <si>
    <r>
      <rPr>
        <sz val="9"/>
        <rFont val="DejaVu Sans"/>
        <family val="2"/>
      </rPr>
      <t xml:space="preserve">시스템 개발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데이터
파이프라인</t>
    </r>
    <r>
      <rPr>
        <sz val="9"/>
        <rFont val="맑은 고딕"/>
        <family val="0"/>
        <charset val="1"/>
      </rPr>
      <t xml:space="preserve">, AI</t>
    </r>
    <r>
      <rPr>
        <sz val="9"/>
        <rFont val="DejaVu Sans"/>
        <family val="2"/>
      </rPr>
      <t xml:space="preserve">교육</t>
    </r>
  </si>
  <si>
    <r>
      <rPr>
        <sz val="9"/>
        <rFont val="DejaVu Sans"/>
        <family val="2"/>
      </rPr>
      <t xml:space="preserve">【</t>
    </r>
    <r>
      <rPr>
        <sz val="9"/>
        <rFont val="맑은 고딕"/>
        <family val="0"/>
        <charset val="1"/>
      </rPr>
      <t xml:space="preserve">Claude </t>
    </r>
    <r>
      <rPr>
        <sz val="9"/>
        <rFont val="DejaVu Sans"/>
        <family val="2"/>
      </rPr>
      <t xml:space="preserve">도입 구축계획서 기반 확정】
① Claude Code 활용 시스템 개발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개발시간 </t>
    </r>
    <r>
      <rPr>
        <sz val="9"/>
        <rFont val="맑은 고딕"/>
        <family val="0"/>
        <charset val="1"/>
      </rPr>
      <t xml:space="preserve">60%↓ </t>
    </r>
    <r>
      <rPr>
        <sz val="9"/>
        <rFont val="DejaVu Sans"/>
        <family val="2"/>
      </rPr>
      <t xml:space="preserve">목표</t>
    </r>
    <r>
      <rPr>
        <sz val="9"/>
        <rFont val="맑은 고딕"/>
        <family val="0"/>
        <charset val="1"/>
      </rPr>
      <t xml:space="preserve">)
② 데이터 파이프라인 설계 및 구축
③ AI </t>
    </r>
    <r>
      <rPr>
        <sz val="9"/>
        <rFont val="DejaVu Sans"/>
        <family val="2"/>
      </rPr>
      <t xml:space="preserve">교육 담당 및 전사 지원 역할
④ Quick Win: 반복 코드 작성 업무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건을 </t>
    </r>
    <r>
      <rPr>
        <sz val="9"/>
        <rFont val="맑은 고딕"/>
        <family val="0"/>
        <charset val="1"/>
      </rPr>
      <t xml:space="preserve">Claude Code</t>
    </r>
    <r>
      <rPr>
        <sz val="9"/>
        <rFont val="DejaVu Sans"/>
        <family val="2"/>
      </rPr>
      <t xml:space="preserve">로 수행</t>
    </r>
  </si>
  <si>
    <t xml:space="preserve">Prm $125 ×2
Std $25 ×1</t>
  </si>
  <si>
    <r>
      <rPr>
        <sz val="9"/>
        <rFont val="DejaVu Sans"/>
        <family val="2"/>
      </rPr>
      <t xml:space="preserve">개발 시간 </t>
    </r>
    <r>
      <rPr>
        <sz val="9"/>
        <rFont val="맑은 고딕"/>
        <family val="0"/>
        <charset val="1"/>
      </rPr>
      <t xml:space="preserve">60%↓
</t>
    </r>
    <r>
      <rPr>
        <sz val="9"/>
        <rFont val="DejaVu Sans"/>
        <family val="2"/>
      </rPr>
      <t xml:space="preserve">코드 품질 동등↑
전사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교육 주도</t>
    </r>
  </si>
  <si>
    <r>
      <rPr>
        <b val="true"/>
        <sz val="9"/>
        <rFont val="DejaVu Sans"/>
        <family val="2"/>
      </rPr>
      <t xml:space="preserve">품질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환경</t>
    </r>
  </si>
  <si>
    <t xml:space="preserve">품질</t>
  </si>
  <si>
    <r>
      <rPr>
        <sz val="9"/>
        <rFont val="맑은 고딕"/>
        <family val="0"/>
        <charset val="1"/>
      </rPr>
      <t xml:space="preserve">IQC, OQC, IPQC
</t>
    </r>
    <r>
      <rPr>
        <sz val="9"/>
        <rFont val="DejaVu Sans"/>
        <family val="2"/>
      </rPr>
      <t xml:space="preserve">수율관리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클레임 관리</t>
    </r>
  </si>
  <si>
    <r>
      <rPr>
        <sz val="9"/>
        <rFont val="DejaVu Sans"/>
        <family val="2"/>
      </rPr>
      <t xml:space="preserve">【</t>
    </r>
    <r>
      <rPr>
        <sz val="9"/>
        <rFont val="맑은 고딕"/>
        <family val="0"/>
        <charset val="1"/>
      </rPr>
      <t xml:space="preserve">Claude </t>
    </r>
    <r>
      <rPr>
        <sz val="9"/>
        <rFont val="DejaVu Sans"/>
        <family val="2"/>
      </rPr>
      <t xml:space="preserve">도입 구축계획서 기반 확정】
① 불량 분석 보고서 자동 생성 </t>
    </r>
    <r>
      <rPr>
        <sz val="9"/>
        <rFont val="맑은 고딕"/>
        <family val="0"/>
        <charset val="1"/>
      </rPr>
      <t xml:space="preserve">(4M </t>
    </r>
    <r>
      <rPr>
        <sz val="9"/>
        <rFont val="DejaVu Sans"/>
        <family val="2"/>
      </rPr>
      <t xml:space="preserve">분석</t>
    </r>
    <r>
      <rPr>
        <sz val="9"/>
        <rFont val="맑은 고딕"/>
        <family val="0"/>
        <charset val="1"/>
      </rPr>
      <t xml:space="preserve">: </t>
    </r>
    <r>
      <rPr>
        <sz val="9"/>
        <rFont val="DejaVu Sans"/>
        <family val="2"/>
      </rPr>
      <t xml:space="preserve">인간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기계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재료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방법</t>
    </r>
    <r>
      <rPr>
        <sz val="9"/>
        <rFont val="맑은 고딕"/>
        <family val="0"/>
        <charset val="1"/>
      </rPr>
      <t xml:space="preserve">)
② 품질 데이터 통계 분석 및 시각화 (</t>
    </r>
    <r>
      <rPr>
        <sz val="9"/>
        <rFont val="DejaVu Sans"/>
        <family val="2"/>
      </rPr>
      <t xml:space="preserve">분석시간 </t>
    </r>
    <r>
      <rPr>
        <sz val="9"/>
        <rFont val="맑은 고딕"/>
        <family val="0"/>
        <charset val="1"/>
      </rPr>
      <t xml:space="preserve">40%↓ </t>
    </r>
    <r>
      <rPr>
        <sz val="9"/>
        <rFont val="DejaVu Sans"/>
        <family val="2"/>
      </rPr>
      <t xml:space="preserve">목표</t>
    </r>
    <r>
      <rPr>
        <sz val="9"/>
        <rFont val="맑은 고딕"/>
        <family val="0"/>
        <charset val="1"/>
      </rPr>
      <t xml:space="preserve">)
③ 공정 파라미터 상관관계 분석 및 최적 조건 탐색
④ Quick Win: </t>
    </r>
    <r>
      <rPr>
        <sz val="9"/>
        <rFont val="DejaVu Sans"/>
        <family val="2"/>
      </rPr>
      <t xml:space="preserve">불량 데이터로 통계 분석 보고서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건 </t>
    </r>
    <r>
      <rPr>
        <sz val="9"/>
        <rFont val="맑은 고딕"/>
        <family val="0"/>
        <charset val="1"/>
      </rPr>
      <t xml:space="preserve">Claude</t>
    </r>
    <r>
      <rPr>
        <sz val="9"/>
        <rFont val="DejaVu Sans"/>
        <family val="2"/>
      </rPr>
      <t xml:space="preserve">로 생성</t>
    </r>
  </si>
  <si>
    <r>
      <rPr>
        <sz val="9"/>
        <rFont val="맑은 고딕"/>
        <family val="0"/>
        <charset val="1"/>
      </rPr>
      <t xml:space="preserve">Std $25/</t>
    </r>
    <r>
      <rPr>
        <sz val="9"/>
        <rFont val="DejaVu Sans"/>
        <family val="2"/>
      </rPr>
      <t xml:space="preserve">인
</t>
    </r>
    <r>
      <rPr>
        <sz val="9"/>
        <rFont val="맑은 고딕"/>
        <family val="0"/>
        <charset val="1"/>
      </rPr>
      <t xml:space="preserve">× 3</t>
    </r>
    <r>
      <rPr>
        <sz val="9"/>
        <rFont val="DejaVu Sans"/>
        <family val="2"/>
      </rPr>
      <t xml:space="preserve">명</t>
    </r>
  </si>
  <si>
    <r>
      <rPr>
        <sz val="9"/>
        <rFont val="DejaVu Sans"/>
        <family val="2"/>
      </rPr>
      <t xml:space="preserve">분석 시간 </t>
    </r>
    <r>
      <rPr>
        <sz val="9"/>
        <rFont val="맑은 고딕"/>
        <family val="0"/>
        <charset val="1"/>
      </rPr>
      <t xml:space="preserve">40%↓
</t>
    </r>
    <r>
      <rPr>
        <sz val="9"/>
        <rFont val="DejaVu Sans"/>
        <family val="2"/>
      </rPr>
      <t xml:space="preserve">분석 항목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배↑
보고서 품질 향상</t>
    </r>
  </si>
  <si>
    <r>
      <rPr>
        <sz val="9"/>
        <rFont val="DejaVu Sans"/>
        <family val="2"/>
      </rPr>
      <t xml:space="preserve">① 코드인터프리터로 수율 데이터</t>
    </r>
    <r>
      <rPr>
        <sz val="9"/>
        <rFont val="맑은 고딕"/>
        <family val="0"/>
        <charset val="1"/>
      </rPr>
      <t xml:space="preserve">, SPC </t>
    </r>
    <r>
      <rPr>
        <sz val="9"/>
        <rFont val="DejaVu Sans"/>
        <family val="2"/>
      </rPr>
      <t xml:space="preserve">차트 즉석 생성 가능
② 수입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출하검사 데이터 업로드 → 자동 통계 분석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시각화
③ 클레임 보고서 다국어 작성 지원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해외 고객 대응</t>
    </r>
    <r>
      <rPr>
        <sz val="9"/>
        <rFont val="맑은 고딕"/>
        <family val="0"/>
        <charset val="1"/>
      </rPr>
      <t xml:space="preserve">)
④ 품질 관련 이미지(</t>
    </r>
    <r>
      <rPr>
        <sz val="9"/>
        <rFont val="DejaVu Sans"/>
        <family val="2"/>
      </rPr>
      <t xml:space="preserve">불량 사진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분석 및 분류 보조</t>
    </r>
  </si>
  <si>
    <r>
      <rPr>
        <sz val="9"/>
        <rFont val="DejaVu Sans"/>
        <family val="2"/>
      </rPr>
      <t xml:space="preserve">데이터 시각화 즉시
</t>
    </r>
    <r>
      <rPr>
        <sz val="9"/>
        <rFont val="맑은 고딕"/>
        <family val="0"/>
        <charset val="1"/>
      </rPr>
      <t xml:space="preserve">SPC </t>
    </r>
    <r>
      <rPr>
        <sz val="9"/>
        <rFont val="DejaVu Sans"/>
        <family val="2"/>
      </rPr>
      <t xml:space="preserve">차트 자동 생성
클레임 대응 효율화</t>
    </r>
  </si>
  <si>
    <t xml:space="preserve">금형</t>
  </si>
  <si>
    <t xml:space="preserve">금형제작 및
유지보수관리</t>
  </si>
  <si>
    <r>
      <rPr>
        <sz val="9"/>
        <rFont val="DejaVu Sans"/>
        <family val="2"/>
      </rPr>
      <t xml:space="preserve">① 금형 이력카드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보수 실적표 등 이력 데이터 전체 맥락 분석 가능
② 금형 수명 달성률 데이터 패턴 분석 → 교체 시기 예측 보조
③ 보수 대응시간 분석 및 개선 방안 도출
④ 금형 제작 납기 관리 보고서 자동 생성</t>
    </r>
  </si>
  <si>
    <r>
      <rPr>
        <sz val="9"/>
        <rFont val="DejaVu Sans"/>
        <family val="2"/>
      </rPr>
      <t xml:space="preserve">이력 관리 효율화
수명 예측 보조
보고서 작성 </t>
    </r>
    <r>
      <rPr>
        <sz val="9"/>
        <rFont val="맑은 고딕"/>
        <family val="0"/>
        <charset val="1"/>
      </rPr>
      <t xml:space="preserve">50%↓</t>
    </r>
  </si>
  <si>
    <t xml:space="preserve">환경안전</t>
  </si>
  <si>
    <r>
      <rPr>
        <sz val="9"/>
        <rFont val="DejaVu Sans"/>
        <family val="2"/>
      </rPr>
      <t xml:space="preserve">화재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사고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환경
보안 관리</t>
    </r>
  </si>
  <si>
    <r>
      <rPr>
        <sz val="9"/>
        <rFont val="DejaVu Sans"/>
        <family val="2"/>
      </rPr>
      <t xml:space="preserve">① 안전규정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환경법규 등 법적 문서 분석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검토 최강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문서분석 </t>
    </r>
    <r>
      <rPr>
        <sz val="9"/>
        <rFont val="맑은 고딕"/>
        <family val="0"/>
        <charset val="1"/>
      </rPr>
      <t xml:space="preserve">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
② 안전점검 체크리스트 자동 생성 및 업데이트
③ 사고 보고서 표준 양식 생성 및 원인 분석 프레임워크 적용
④ 환각 적어 안전/</t>
    </r>
    <r>
      <rPr>
        <sz val="9"/>
        <rFont val="DejaVu Sans"/>
        <family val="2"/>
      </rPr>
      <t xml:space="preserve">환경 관련 규정 해석 신뢰도 높음</t>
    </r>
  </si>
  <si>
    <r>
      <rPr>
        <sz val="9"/>
        <rFont val="DejaVu Sans"/>
        <family val="2"/>
      </rPr>
      <t xml:space="preserve">규정 검토 시간 </t>
    </r>
    <r>
      <rPr>
        <sz val="9"/>
        <rFont val="맑은 고딕"/>
        <family val="0"/>
        <charset val="1"/>
      </rPr>
      <t xml:space="preserve">60%↓
</t>
    </r>
    <r>
      <rPr>
        <sz val="9"/>
        <rFont val="DejaVu Sans"/>
        <family val="2"/>
      </rPr>
      <t xml:space="preserve">체크리스트 자동화
안전교육 자료 생성</t>
    </r>
  </si>
  <si>
    <r>
      <rPr>
        <sz val="9"/>
        <rFont val="DejaVu Sans"/>
        <family val="2"/>
      </rPr>
      <t xml:space="preserve">① 최신 환경법규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산업안전 규정 변경사항 실시간 리서치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웹검색 </t>
    </r>
    <r>
      <rPr>
        <sz val="9"/>
        <rFont val="맑은 고딕"/>
        <family val="0"/>
        <charset val="1"/>
      </rPr>
      <t xml:space="preserve">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
② 출처 자동 인용으로 법규 준수 보고서 근거 확보
③ 타사 안전사고 사례·</t>
    </r>
    <r>
      <rPr>
        <sz val="9"/>
        <rFont val="DejaVu Sans"/>
        <family val="2"/>
      </rPr>
      <t xml:space="preserve">개선 사례 리서치에 최적
④ 환경관리 관련 최신 기술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제도 동향 모니터링</t>
    </r>
  </si>
  <si>
    <r>
      <rPr>
        <sz val="9"/>
        <rFont val="DejaVu Sans"/>
        <family val="2"/>
      </rPr>
      <t xml:space="preserve">법규 업데이트 실시간
사례 조사 </t>
    </r>
    <r>
      <rPr>
        <sz val="9"/>
        <rFont val="맑은 고딕"/>
        <family val="0"/>
        <charset val="1"/>
      </rPr>
      <t xml:space="preserve">80%↓
</t>
    </r>
    <r>
      <rPr>
        <sz val="9"/>
        <rFont val="DejaVu Sans"/>
        <family val="2"/>
      </rPr>
      <t xml:space="preserve">규정 근거 자동 확보</t>
    </r>
  </si>
  <si>
    <t xml:space="preserve">공무</t>
  </si>
  <si>
    <t xml:space="preserve">생산설비 유지보수
공장 유지보수</t>
  </si>
  <si>
    <r>
      <rPr>
        <sz val="9"/>
        <rFont val="DejaVu Sans"/>
        <family val="2"/>
      </rPr>
      <t xml:space="preserve">① 설비점검 일지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보수이력 데이터 분석 및 시각화 자동화
② 예방정비 완료율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고장 정지시간 추이 차트 즉시 생성
③ 보수 요청 대응률 분석 및 우선순위 도출
④ 시설관리 보고서 양식 자동 생성 및 데이터 입력 보조</t>
    </r>
  </si>
  <si>
    <r>
      <rPr>
        <sz val="9"/>
        <rFont val="DejaVu Sans"/>
        <family val="2"/>
      </rPr>
      <t xml:space="preserve">설비 데이터 분석 자동화
보고서 작성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예방정비 패턴 도출</t>
    </r>
  </si>
  <si>
    <t xml:space="preserve">경영진</t>
  </si>
  <si>
    <r>
      <rPr>
        <b val="true"/>
        <sz val="9"/>
        <rFont val="DejaVu Sans"/>
        <family val="2"/>
      </rPr>
      <t xml:space="preserve">임원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경영진</t>
    </r>
  </si>
  <si>
    <r>
      <rPr>
        <sz val="9"/>
        <rFont val="DejaVu Sans"/>
        <family val="2"/>
      </rPr>
      <t xml:space="preserve">경영 의사결정
</t>
    </r>
    <r>
      <rPr>
        <sz val="9"/>
        <rFont val="맑은 고딕"/>
        <family val="0"/>
        <charset val="1"/>
      </rPr>
      <t xml:space="preserve">KPI </t>
    </r>
    <r>
      <rPr>
        <sz val="9"/>
        <rFont val="DejaVu Sans"/>
        <family val="2"/>
      </rPr>
      <t xml:space="preserve">모니터링
수익성 관리</t>
    </r>
  </si>
  <si>
    <t xml:space="preserve">Genspark Team</t>
  </si>
  <si>
    <r>
      <rPr>
        <sz val="9"/>
        <rFont val="맑은 고딕"/>
        <family val="0"/>
        <charset val="1"/>
      </rPr>
      <t xml:space="preserve">① MoA(Mixture of Agents) - GPT/Claude/Gemini </t>
    </r>
    <r>
      <rPr>
        <sz val="9"/>
        <rFont val="DejaVu Sans"/>
        <family val="2"/>
      </rPr>
      <t xml:space="preserve">답변을 한 화면에서 동시 비교
② 자동화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에이전트 최고점</t>
    </r>
    <r>
      <rPr>
        <sz val="9"/>
        <rFont val="맑은 고딕"/>
        <family val="0"/>
        <charset val="1"/>
      </rPr>
      <t xml:space="preserve">(9.5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) - </t>
    </r>
    <r>
      <rPr>
        <sz val="9"/>
        <rFont val="DejaVu Sans"/>
        <family val="2"/>
      </rPr>
      <t xml:space="preserve">리서치→분석→보고서 워크플로우 자동화
③ AI Slides·Sheets로 경영 보고 자료 원클릭 생성
④ AI Developer 기능으로 간단한 업무용 웹앱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대시보드 프로토타입도 제작 가능
⑤ 교차 검증으로 환각 최소화 → 의사결정 정보 신뢰도 향상</t>
    </r>
  </si>
  <si>
    <r>
      <rPr>
        <sz val="9"/>
        <rFont val="맑은 고딕"/>
        <family val="0"/>
        <charset val="1"/>
      </rPr>
      <t xml:space="preserve">$30/</t>
    </r>
    <r>
      <rPr>
        <sz val="9"/>
        <rFont val="DejaVu Sans"/>
        <family val="2"/>
      </rPr>
      <t xml:space="preserve">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월
</t>
    </r>
    <r>
      <rPr>
        <sz val="9"/>
        <rFont val="맑은 고딕"/>
        <family val="0"/>
        <charset val="1"/>
      </rPr>
      <t xml:space="preserve">(Team)</t>
    </r>
  </si>
  <si>
    <r>
      <rPr>
        <sz val="9"/>
        <rFont val="DejaVu Sans"/>
        <family val="2"/>
      </rPr>
      <t xml:space="preserve">의사결정 다각화
리서치 시간 </t>
    </r>
    <r>
      <rPr>
        <sz val="9"/>
        <rFont val="맑은 고딕"/>
        <family val="0"/>
        <charset val="1"/>
      </rPr>
      <t xml:space="preserve">70%↓
</t>
    </r>
    <r>
      <rPr>
        <sz val="9"/>
        <rFont val="DejaVu Sans"/>
        <family val="2"/>
      </rPr>
      <t xml:space="preserve">경영 보고 자동화</t>
    </r>
  </si>
  <si>
    <t xml:space="preserve">Perplexity
Enterprise</t>
  </si>
  <si>
    <r>
      <rPr>
        <sz val="9"/>
        <rFont val="DejaVu Sans"/>
        <family val="2"/>
      </rPr>
      <t xml:space="preserve">① 웹검색 최고점 </t>
    </r>
    <r>
      <rPr>
        <sz val="9"/>
        <rFont val="맑은 고딕"/>
        <family val="0"/>
        <charset val="1"/>
      </rPr>
      <t xml:space="preserve">- </t>
    </r>
    <r>
      <rPr>
        <sz val="9"/>
        <rFont val="DejaVu Sans"/>
        <family val="2"/>
      </rPr>
      <t xml:space="preserve">산업 동향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경쟁사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시장 변화 등 최신 정보 실시간 파악
② 출처 자동 인용으로 의사결정 근거 자료 즉시 확보
③ Deep Research로 심층 리서치 보고서 자동 생성
④ SOC 2 Type II 인증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데이터 학습 제외 → 기업 보안 요건 충족</t>
    </r>
  </si>
  <si>
    <r>
      <rPr>
        <sz val="9"/>
        <rFont val="맑은 고딕"/>
        <family val="0"/>
        <charset val="1"/>
      </rPr>
      <t xml:space="preserve">$40/</t>
    </r>
    <r>
      <rPr>
        <sz val="9"/>
        <rFont val="DejaVu Sans"/>
        <family val="2"/>
      </rPr>
      <t xml:space="preserve">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월
</t>
    </r>
    <r>
      <rPr>
        <sz val="9"/>
        <rFont val="맑은 고딕"/>
        <family val="0"/>
        <charset val="1"/>
      </rPr>
      <t xml:space="preserve">(Enterprise)</t>
    </r>
  </si>
  <si>
    <t xml:space="preserve">경영 정보 실시간 파악
리서치 보고서 자동
정보 보안 확보</t>
  </si>
  <si>
    <r>
      <rPr>
        <b val="true"/>
        <sz val="16"/>
        <color rgb="FF1F4E79"/>
        <rFont val="DejaVu Sans"/>
        <family val="2"/>
      </rPr>
      <t xml:space="preserve">임원급 의사결정 지원 </t>
    </r>
    <r>
      <rPr>
        <b val="true"/>
        <sz val="16"/>
        <color rgb="FF1F4E79"/>
        <rFont val="맑은 고딕"/>
        <family val="0"/>
        <charset val="1"/>
      </rPr>
      <t xml:space="preserve">- </t>
    </r>
    <r>
      <rPr>
        <b val="true"/>
        <sz val="16"/>
        <color rgb="FF1F4E79"/>
        <rFont val="DejaVu Sans"/>
        <family val="2"/>
      </rPr>
      <t xml:space="preserve">젠스파크</t>
    </r>
    <r>
      <rPr>
        <b val="true"/>
        <sz val="16"/>
        <color rgb="FF1F4E79"/>
        <rFont val="맑은 고딕"/>
        <family val="0"/>
        <charset val="1"/>
      </rPr>
      <t xml:space="preserve">(Genspark) </t>
    </r>
    <r>
      <rPr>
        <b val="true"/>
        <sz val="16"/>
        <color rgb="FF1F4E79"/>
        <rFont val="DejaVu Sans"/>
        <family val="2"/>
      </rPr>
      <t xml:space="preserve">도입 적합성 분석</t>
    </r>
  </si>
  <si>
    <r>
      <rPr>
        <sz val="10"/>
        <color rgb="FF666666"/>
        <rFont val="DejaVu Sans"/>
        <family val="2"/>
      </rPr>
      <t xml:space="preserve">참고자료</t>
    </r>
    <r>
      <rPr>
        <sz val="10"/>
        <color rgb="FF666666"/>
        <rFont val="맑은 고딕"/>
        <family val="0"/>
        <charset val="1"/>
      </rPr>
      <t xml:space="preserve">: AI_</t>
    </r>
    <r>
      <rPr>
        <sz val="10"/>
        <color rgb="FF666666"/>
        <rFont val="DejaVu Sans"/>
        <family val="2"/>
      </rPr>
      <t xml:space="preserve">플랫폼</t>
    </r>
    <r>
      <rPr>
        <sz val="10"/>
        <color rgb="FF666666"/>
        <rFont val="맑은 고딕"/>
        <family val="0"/>
        <charset val="1"/>
      </rPr>
      <t xml:space="preserve">_</t>
    </r>
    <r>
      <rPr>
        <sz val="10"/>
        <color rgb="FF666666"/>
        <rFont val="DejaVu Sans"/>
        <family val="2"/>
      </rPr>
      <t xml:space="preserve">비교표</t>
    </r>
    <r>
      <rPr>
        <sz val="10"/>
        <color rgb="FF666666"/>
        <rFont val="맑은 고딕"/>
        <family val="0"/>
        <charset val="1"/>
      </rPr>
      <t xml:space="preserve">_2026.xlsx / AI </t>
    </r>
    <r>
      <rPr>
        <sz val="10"/>
        <color rgb="FF666666"/>
        <rFont val="DejaVu Sans"/>
        <family val="2"/>
      </rPr>
      <t xml:space="preserve">서비스 조사 보고서</t>
    </r>
    <r>
      <rPr>
        <sz val="10"/>
        <color rgb="FF666666"/>
        <rFont val="맑은 고딕"/>
        <family val="0"/>
        <charset val="1"/>
      </rPr>
      <t xml:space="preserve">(Perplexity) / </t>
    </r>
    <r>
      <rPr>
        <sz val="10"/>
        <color rgb="FF666666"/>
        <rFont val="DejaVu Sans"/>
        <family val="2"/>
      </rPr>
      <t xml:space="preserve">웹 리서치 결과 종합</t>
    </r>
  </si>
  <si>
    <r>
      <rPr>
        <b val="true"/>
        <sz val="13"/>
        <color rgb="FF1F4E79"/>
        <rFont val="맑은 고딕"/>
        <family val="0"/>
        <charset val="1"/>
      </rPr>
      <t xml:space="preserve">1. </t>
    </r>
    <r>
      <rPr>
        <b val="true"/>
        <sz val="13"/>
        <color rgb="FF1F4E79"/>
        <rFont val="DejaVu Sans"/>
        <family val="2"/>
      </rPr>
      <t xml:space="preserve">임원 업무 관점 </t>
    </r>
    <r>
      <rPr>
        <b val="true"/>
        <sz val="13"/>
        <color rgb="FF1F4E79"/>
        <rFont val="맑은 고딕"/>
        <family val="0"/>
        <charset val="1"/>
      </rPr>
      <t xml:space="preserve">AI </t>
    </r>
    <r>
      <rPr>
        <b val="true"/>
        <sz val="13"/>
        <color rgb="FF1F4E79"/>
        <rFont val="DejaVu Sans"/>
        <family val="2"/>
      </rPr>
      <t xml:space="preserve">플랫폼 비교 </t>
    </r>
    <r>
      <rPr>
        <b val="true"/>
        <sz val="13"/>
        <color rgb="FF1F4E79"/>
        <rFont val="맑은 고딕"/>
        <family val="0"/>
        <charset val="1"/>
      </rPr>
      <t xml:space="preserve">(AI </t>
    </r>
    <r>
      <rPr>
        <b val="true"/>
        <sz val="13"/>
        <color rgb="FF1F4E79"/>
        <rFont val="DejaVu Sans"/>
        <family val="2"/>
      </rPr>
      <t xml:space="preserve">비교표 데이터 기반</t>
    </r>
    <r>
      <rPr>
        <b val="true"/>
        <sz val="13"/>
        <color rgb="FF1F4E79"/>
        <rFont val="맑은 고딕"/>
        <family val="0"/>
        <charset val="1"/>
      </rPr>
      <t xml:space="preserve">)</t>
    </r>
  </si>
  <si>
    <t xml:space="preserve">평가 항목</t>
  </si>
  <si>
    <t xml:space="preserve">ChatGPT</t>
  </si>
  <si>
    <t xml:space="preserve">Gemini</t>
  </si>
  <si>
    <t xml:space="preserve">Claude</t>
  </si>
  <si>
    <t xml:space="preserve">Perplexity</t>
  </si>
  <si>
    <t xml:space="preserve">Genspark</t>
  </si>
  <si>
    <r>
      <rPr>
        <b val="true"/>
        <sz val="9"/>
        <rFont val="DejaVu Sans"/>
        <family val="2"/>
      </rPr>
      <t xml:space="preserve">웹 검색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최신정보</t>
    </r>
  </si>
  <si>
    <t xml:space="preserve">8.5</t>
  </si>
  <si>
    <t xml:space="preserve">9</t>
  </si>
  <si>
    <t xml:space="preserve">7.5</t>
  </si>
  <si>
    <t xml:space="preserve">9.5 ★</t>
  </si>
  <si>
    <r>
      <rPr>
        <b val="true"/>
        <sz val="9"/>
        <rFont val="DejaVu Sans"/>
        <family val="2"/>
      </rPr>
      <t xml:space="preserve">자동화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에이전트</t>
    </r>
  </si>
  <si>
    <t xml:space="preserve">8</t>
  </si>
  <si>
    <t xml:space="preserve">7</t>
  </si>
  <si>
    <t xml:space="preserve">문서 분석</t>
  </si>
  <si>
    <r>
      <rPr>
        <b val="true"/>
        <sz val="9"/>
        <rFont val="DejaVu Sans"/>
        <family val="2"/>
      </rPr>
      <t xml:space="preserve">코드 실행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개발</t>
    </r>
  </si>
  <si>
    <t xml:space="preserve">✅ 코드인터프리터</t>
  </si>
  <si>
    <t xml:space="preserve">✅ 지원</t>
  </si>
  <si>
    <t xml:space="preserve">✅ Claude Code</t>
  </si>
  <si>
    <t xml:space="preserve">❌ 미지원</t>
  </si>
  <si>
    <r>
      <rPr>
        <sz val="9"/>
        <rFont val="맑은 고딕"/>
        <family val="0"/>
        <charset val="1"/>
      </rPr>
      <t xml:space="preserve">✅ AI Developer
(GitHub </t>
    </r>
    <r>
      <rPr>
        <sz val="9"/>
        <rFont val="DejaVu Sans"/>
        <family val="2"/>
      </rPr>
      <t xml:space="preserve">연동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</si>
  <si>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데이터 분석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시각화</t>
    </r>
  </si>
  <si>
    <t xml:space="preserve">9 ★</t>
  </si>
  <si>
    <t xml:space="preserve">다국어 지원</t>
  </si>
  <si>
    <r>
      <rPr>
        <b val="true"/>
        <sz val="9"/>
        <rFont val="DejaVu Sans"/>
        <family val="2"/>
      </rPr>
      <t xml:space="preserve">멀티 </t>
    </r>
    <r>
      <rPr>
        <b val="true"/>
        <sz val="9"/>
        <rFont val="맑은 고딕"/>
        <family val="0"/>
        <charset val="1"/>
      </rPr>
      <t xml:space="preserve">LLM </t>
    </r>
    <r>
      <rPr>
        <b val="true"/>
        <sz val="9"/>
        <rFont val="DejaVu Sans"/>
        <family val="2"/>
      </rPr>
      <t xml:space="preserve">동시 비교</t>
    </r>
  </si>
  <si>
    <t xml:space="preserve">❌ 단일모델</t>
  </si>
  <si>
    <t xml:space="preserve">✅ 선택 가능</t>
  </si>
  <si>
    <r>
      <rPr>
        <sz val="9"/>
        <rFont val="맑은 고딕"/>
        <family val="0"/>
        <charset val="1"/>
      </rPr>
      <t xml:space="preserve">✅ MoA </t>
    </r>
    <r>
      <rPr>
        <sz val="9"/>
        <rFont val="DejaVu Sans"/>
        <family val="2"/>
      </rPr>
      <t xml:space="preserve">자동</t>
    </r>
  </si>
  <si>
    <r>
      <rPr>
        <b val="true"/>
        <sz val="9"/>
        <rFont val="DejaVu Sans"/>
        <family val="2"/>
      </rPr>
      <t xml:space="preserve">슬라이드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시트 자동생성</t>
    </r>
  </si>
  <si>
    <t xml:space="preserve">❌</t>
  </si>
  <si>
    <t xml:space="preserve">✅ (G Suite)</t>
  </si>
  <si>
    <t xml:space="preserve">✅ AI Slides/Sheets</t>
  </si>
  <si>
    <r>
      <rPr>
        <b val="true"/>
        <sz val="9"/>
        <rFont val="DejaVu Sans"/>
        <family val="2"/>
      </rPr>
      <t xml:space="preserve">기업 보안 </t>
    </r>
    <r>
      <rPr>
        <b val="true"/>
        <sz val="9"/>
        <rFont val="맑은 고딕"/>
        <family val="0"/>
        <charset val="1"/>
      </rPr>
      <t xml:space="preserve">(Team/Ent)</t>
    </r>
  </si>
  <si>
    <r>
      <rPr>
        <sz val="9"/>
        <rFont val="맑은 고딕"/>
        <family val="0"/>
        <charset val="1"/>
      </rPr>
      <t xml:space="preserve">SSO, </t>
    </r>
    <r>
      <rPr>
        <sz val="9"/>
        <rFont val="DejaVu Sans"/>
        <family val="2"/>
      </rPr>
      <t xml:space="preserve">감사로그</t>
    </r>
  </si>
  <si>
    <r>
      <rPr>
        <sz val="9"/>
        <rFont val="맑은 고딕"/>
        <family val="0"/>
        <charset val="1"/>
      </rPr>
      <t xml:space="preserve">Workspace </t>
    </r>
    <r>
      <rPr>
        <sz val="9"/>
        <rFont val="DejaVu Sans"/>
        <family val="2"/>
      </rPr>
      <t xml:space="preserve">통합</t>
    </r>
  </si>
  <si>
    <t xml:space="preserve">SSO, SCIM</t>
  </si>
  <si>
    <t xml:space="preserve">SOC 2 Type II</t>
  </si>
  <si>
    <t xml:space="preserve">SOC 2, ISO 27001</t>
  </si>
  <si>
    <r>
      <rPr>
        <b val="true"/>
        <sz val="9"/>
        <rFont val="DejaVu Sans"/>
        <family val="2"/>
      </rPr>
      <t xml:space="preserve">팀 요금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인당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월</t>
    </r>
    <r>
      <rPr>
        <b val="true"/>
        <sz val="9"/>
        <rFont val="맑은 고딕"/>
        <family val="0"/>
        <charset val="1"/>
      </rPr>
      <t xml:space="preserve">)</t>
    </r>
  </si>
  <si>
    <t xml:space="preserve">$25~30</t>
  </si>
  <si>
    <t xml:space="preserve">$14~22</t>
  </si>
  <si>
    <t xml:space="preserve">$25~125</t>
  </si>
  <si>
    <t xml:space="preserve">$40~325</t>
  </si>
  <si>
    <t xml:space="preserve">$30</t>
  </si>
  <si>
    <r>
      <rPr>
        <b val="true"/>
        <sz val="13"/>
        <color rgb="FF1F4E79"/>
        <rFont val="맑은 고딕"/>
        <family val="0"/>
        <charset val="1"/>
      </rPr>
      <t xml:space="preserve">2. </t>
    </r>
    <r>
      <rPr>
        <b val="true"/>
        <sz val="13"/>
        <color rgb="FF1F4E79"/>
        <rFont val="DejaVu Sans"/>
        <family val="2"/>
      </rPr>
      <t xml:space="preserve">임원급 젠스파크 도입에 대한 종합 의견</t>
    </r>
  </si>
  <si>
    <t xml:space="preserve">구분</t>
  </si>
  <si>
    <t xml:space="preserve">세부 내용</t>
  </si>
  <si>
    <r>
      <rPr>
        <b val="true"/>
        <sz val="9"/>
        <rFont val="DejaVu Sans"/>
        <family val="2"/>
      </rPr>
      <t xml:space="preserve">✅ 적합 </t>
    </r>
    <r>
      <rPr>
        <b val="true"/>
        <sz val="9"/>
        <rFont val="맑은 고딕"/>
        <family val="0"/>
        <charset val="1"/>
      </rPr>
      <t xml:space="preserve">1:
</t>
    </r>
    <r>
      <rPr>
        <b val="true"/>
        <sz val="9"/>
        <rFont val="DejaVu Sans"/>
        <family val="2"/>
      </rPr>
      <t xml:space="preserve">멀티 </t>
    </r>
    <r>
      <rPr>
        <b val="true"/>
        <sz val="9"/>
        <rFont val="맑은 고딕"/>
        <family val="0"/>
        <charset val="1"/>
      </rPr>
      <t xml:space="preserve">LLM </t>
    </r>
    <r>
      <rPr>
        <b val="true"/>
        <sz val="9"/>
        <rFont val="DejaVu Sans"/>
        <family val="2"/>
      </rPr>
      <t xml:space="preserve">비교</t>
    </r>
  </si>
  <si>
    <r>
      <rPr>
        <sz val="9"/>
        <rFont val="맑은 고딕"/>
        <family val="0"/>
        <charset val="1"/>
      </rPr>
      <t xml:space="preserve">GPT·Claude·Gemini</t>
    </r>
    <r>
      <rPr>
        <sz val="9"/>
        <rFont val="DejaVu Sans"/>
        <family val="2"/>
      </rPr>
      <t xml:space="preserve">의 답변을 한 화면에서 동시 비교 가능 → 특정 모델 편향 없이 다각적 관점 확보
임원의 전략적 질문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시장 진출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투자 판단 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에 </t>
    </r>
    <r>
      <rPr>
        <sz val="9"/>
        <rFont val="맑은 고딕"/>
        <family val="0"/>
        <charset val="1"/>
      </rPr>
      <t xml:space="preserve">3</t>
    </r>
    <r>
      <rPr>
        <sz val="9"/>
        <rFont val="DejaVu Sans"/>
        <family val="2"/>
      </rPr>
      <t xml:space="preserve">개 엔진의 시각을 교차 검증하여 의사결정 품질 향상
개별 구독</t>
    </r>
    <r>
      <rPr>
        <sz val="9"/>
        <rFont val="맑은 고딕"/>
        <family val="0"/>
        <charset val="1"/>
      </rPr>
      <t xml:space="preserve">(ChatGPT Plus $20 + Claude Pro $20 + Gemini $20 = $60/</t>
    </r>
    <r>
      <rPr>
        <sz val="9"/>
        <rFont val="DejaVu Sans"/>
        <family val="2"/>
      </rPr>
      <t xml:space="preserve">월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대비 </t>
    </r>
    <r>
      <rPr>
        <sz val="9"/>
        <rFont val="맑은 고딕"/>
        <family val="0"/>
        <charset val="1"/>
      </rPr>
      <t xml:space="preserve">Genspark Team $30/</t>
    </r>
    <r>
      <rPr>
        <sz val="9"/>
        <rFont val="DejaVu Sans"/>
        <family val="2"/>
      </rPr>
      <t xml:space="preserve">월로 비용 효율적</t>
    </r>
  </si>
  <si>
    <r>
      <rPr>
        <b val="true"/>
        <sz val="9"/>
        <rFont val="DejaVu Sans"/>
        <family val="2"/>
      </rPr>
      <t xml:space="preserve">✅ 적합 </t>
    </r>
    <r>
      <rPr>
        <b val="true"/>
        <sz val="9"/>
        <rFont val="맑은 고딕"/>
        <family val="0"/>
        <charset val="1"/>
      </rPr>
      <t xml:space="preserve">2:
</t>
    </r>
    <r>
      <rPr>
        <b val="true"/>
        <sz val="9"/>
        <rFont val="DejaVu Sans"/>
        <family val="2"/>
      </rPr>
      <t xml:space="preserve">올인원 워크스페이스</t>
    </r>
  </si>
  <si>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검색 → 분석 → 슬라이드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시트 생성까지 하나의 플랫폼에서 완결
경영진이 별도 도구 전환 없이 리서치부터 보고 자료 제작까지 원스톱 처리
자동화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에이전트 점수 </t>
    </r>
    <r>
      <rPr>
        <sz val="9"/>
        <rFont val="맑은 고딕"/>
        <family val="0"/>
        <charset val="1"/>
      </rPr>
      <t xml:space="preserve">9.5</t>
    </r>
    <r>
      <rPr>
        <sz val="9"/>
        <rFont val="DejaVu Sans"/>
        <family val="2"/>
      </rPr>
      <t xml:space="preserve">점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비교 대상 중 최고</t>
    </r>
    <r>
      <rPr>
        <sz val="9"/>
        <rFont val="맑은 고딕"/>
        <family val="0"/>
        <charset val="1"/>
      </rPr>
      <t xml:space="preserve">) → </t>
    </r>
    <r>
      <rPr>
        <sz val="9"/>
        <rFont val="DejaVu Sans"/>
        <family val="2"/>
      </rPr>
      <t xml:space="preserve">반복적 리서치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보고 업무 자동화에 최적
</t>
    </r>
    <r>
      <rPr>
        <sz val="9"/>
        <rFont val="맑은 고딕"/>
        <family val="0"/>
        <charset val="1"/>
      </rPr>
      <t xml:space="preserve">+ AI Developer </t>
    </r>
    <r>
      <rPr>
        <sz val="9"/>
        <rFont val="DejaVu Sans"/>
        <family val="2"/>
      </rPr>
      <t xml:space="preserve">기능으로 간단한 업무용 웹앱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대시보드 프로토타입 제작도 가능 </t>
    </r>
    <r>
      <rPr>
        <sz val="9"/>
        <rFont val="맑은 고딕"/>
        <family val="0"/>
        <charset val="1"/>
      </rPr>
      <t xml:space="preserve">(GitHub </t>
    </r>
    <r>
      <rPr>
        <sz val="9"/>
        <rFont val="DejaVu Sans"/>
        <family val="2"/>
      </rPr>
      <t xml:space="preserve">연동 지원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</si>
  <si>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✅ 적합 </t>
    </r>
    <r>
      <rPr>
        <b val="true"/>
        <sz val="9"/>
        <rFont val="맑은 고딕"/>
        <family val="0"/>
        <charset val="1"/>
      </rPr>
      <t xml:space="preserve">3:
</t>
    </r>
    <r>
      <rPr>
        <b val="true"/>
        <sz val="9"/>
        <rFont val="DejaVu Sans"/>
        <family val="2"/>
      </rPr>
      <t xml:space="preserve">교차 검증</t>
    </r>
  </si>
  <si>
    <r>
      <rPr>
        <sz val="9"/>
        <rFont val="맑은 고딕"/>
        <family val="0"/>
        <charset val="1"/>
      </rPr>
      <t xml:space="preserve">MoA(Mixture of Agents) </t>
    </r>
    <r>
      <rPr>
        <sz val="9"/>
        <rFont val="DejaVu Sans"/>
        <family val="2"/>
      </rPr>
      <t xml:space="preserve">구조로 모델 간 결과를 자동 교차 검증
경량 모델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빠른 응답</t>
    </r>
    <r>
      <rPr>
        <sz val="9"/>
        <rFont val="맑은 고딕"/>
        <family val="0"/>
        <charset val="1"/>
      </rPr>
      <t xml:space="preserve">) ↔ </t>
    </r>
    <r>
      <rPr>
        <sz val="9"/>
        <rFont val="DejaVu Sans"/>
        <family val="2"/>
      </rPr>
      <t xml:space="preserve">고급 모델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심층 분석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자동 전환으로 효율적 워크플로우
환각</t>
    </r>
    <r>
      <rPr>
        <sz val="9"/>
        <rFont val="맑은 고딕"/>
        <family val="0"/>
        <charset val="1"/>
      </rPr>
      <t xml:space="preserve">(Hallucination) </t>
    </r>
    <r>
      <rPr>
        <sz val="9"/>
        <rFont val="DejaVu Sans"/>
        <family val="2"/>
      </rPr>
      <t xml:space="preserve">위험 최소화 → 경영 의사결정에 핵심적인 정보 신뢰도 확보</t>
    </r>
  </si>
  <si>
    <r>
      <rPr>
        <b val="true"/>
        <sz val="9"/>
        <rFont val="DejaVu Sans"/>
        <family val="2"/>
      </rPr>
      <t xml:space="preserve">⚠️ 주의 </t>
    </r>
    <r>
      <rPr>
        <b val="true"/>
        <sz val="9"/>
        <rFont val="맑은 고딕"/>
        <family val="0"/>
        <charset val="1"/>
      </rPr>
      <t xml:space="preserve">1:
</t>
    </r>
    <r>
      <rPr>
        <b val="true"/>
        <sz val="9"/>
        <rFont val="DejaVu Sans"/>
        <family val="2"/>
      </rPr>
      <t xml:space="preserve">정보보안</t>
    </r>
  </si>
  <si>
    <r>
      <rPr>
        <sz val="9"/>
        <rFont val="DejaVu Sans"/>
        <family val="2"/>
      </rPr>
      <t xml:space="preserve">사내 기밀 데이터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재무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영업비밀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미공개 정보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입력 시 외부 클라우드 전송 → 정보보안 정책 검토 필수
</t>
    </r>
    <r>
      <rPr>
        <sz val="9"/>
        <rFont val="맑은 고딕"/>
        <family val="0"/>
        <charset val="1"/>
      </rPr>
      <t xml:space="preserve">Genspark Team</t>
    </r>
    <r>
      <rPr>
        <sz val="9"/>
        <rFont val="DejaVu Sans"/>
        <family val="2"/>
      </rPr>
      <t xml:space="preserve">은 </t>
    </r>
    <r>
      <rPr>
        <sz val="9"/>
        <rFont val="맑은 고딕"/>
        <family val="0"/>
        <charset val="1"/>
      </rPr>
      <t xml:space="preserve">SOC 2 Type II, ISO 27001 </t>
    </r>
    <r>
      <rPr>
        <sz val="9"/>
        <rFont val="DejaVu Sans"/>
        <family val="2"/>
      </rPr>
      <t xml:space="preserve">인증 보유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데이터 학습 제외 정책 적용
그러나 온프레미스 배포는 미지원 → 입력 데이터 범위에 대한 사내 가이드라인 수립 필요</t>
    </r>
  </si>
  <si>
    <r>
      <rPr>
        <b val="true"/>
        <sz val="9"/>
        <rFont val="DejaVu Sans"/>
        <family val="2"/>
      </rPr>
      <t xml:space="preserve">⚠️ 주의 </t>
    </r>
    <r>
      <rPr>
        <b val="true"/>
        <sz val="9"/>
        <rFont val="맑은 고딕"/>
        <family val="0"/>
        <charset val="1"/>
      </rPr>
      <t xml:space="preserve">2:
</t>
    </r>
    <r>
      <rPr>
        <b val="true"/>
        <sz val="9"/>
        <rFont val="DejaVu Sans"/>
        <family val="2"/>
      </rPr>
      <t xml:space="preserve">활용도 편차</t>
    </r>
  </si>
  <si>
    <r>
      <rPr>
        <sz val="9"/>
        <rFont val="DejaVu Sans"/>
        <family val="2"/>
      </rPr>
      <t xml:space="preserve">임원별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리터러시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활용 능력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편차에 따라 실제 활용도 차이 발생 가능
전산팀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교육 담당자가 임원 전용 프롬프트 가이드 및 활용 시나리오 제공 필요
초기에는 </t>
    </r>
    <r>
      <rPr>
        <sz val="9"/>
        <rFont val="맑은 고딕"/>
        <family val="0"/>
        <charset val="1"/>
      </rPr>
      <t xml:space="preserve">"</t>
    </r>
    <r>
      <rPr>
        <sz val="9"/>
        <rFont val="DejaVu Sans"/>
        <family val="2"/>
      </rPr>
      <t xml:space="preserve">경영 리서치</t>
    </r>
    <r>
      <rPr>
        <sz val="9"/>
        <rFont val="맑은 고딕"/>
        <family val="0"/>
        <charset val="1"/>
      </rPr>
      <t xml:space="preserve">", "</t>
    </r>
    <r>
      <rPr>
        <sz val="9"/>
        <rFont val="DejaVu Sans"/>
        <family val="2"/>
      </rPr>
      <t xml:space="preserve">시장 동향 분석</t>
    </r>
    <r>
      <rPr>
        <sz val="9"/>
        <rFont val="맑은 고딕"/>
        <family val="0"/>
        <charset val="1"/>
      </rPr>
      <t xml:space="preserve">" </t>
    </r>
    <r>
      <rPr>
        <sz val="9"/>
        <rFont val="DejaVu Sans"/>
        <family val="2"/>
      </rPr>
      <t xml:space="preserve">등 구체적 사용 사례 중심으로 온보딩 권장</t>
    </r>
  </si>
  <si>
    <r>
      <rPr>
        <b val="true"/>
        <sz val="9"/>
        <rFont val="DejaVu Sans"/>
        <family val="2"/>
      </rPr>
      <t xml:space="preserve">⚠️ 주의 </t>
    </r>
    <r>
      <rPr>
        <b val="true"/>
        <sz val="9"/>
        <rFont val="맑은 고딕"/>
        <family val="0"/>
        <charset val="1"/>
      </rPr>
      <t xml:space="preserve">3:
</t>
    </r>
    <r>
      <rPr>
        <b val="true"/>
        <sz val="9"/>
        <rFont val="DejaVu Sans"/>
        <family val="2"/>
      </rPr>
      <t xml:space="preserve">전문 분석 한계</t>
    </r>
  </si>
  <si>
    <r>
      <rPr>
        <sz val="9"/>
        <rFont val="DejaVu Sans"/>
        <family val="2"/>
      </rPr>
      <t xml:space="preserve">범용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플랫폼이므로 재무모델링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원가분석 등 전문 분야는 전용 </t>
    </r>
    <r>
      <rPr>
        <sz val="9"/>
        <rFont val="맑은 고딕"/>
        <family val="0"/>
        <charset val="1"/>
      </rPr>
      <t xml:space="preserve">BI </t>
    </r>
    <r>
      <rPr>
        <sz val="9"/>
        <rFont val="DejaVu Sans"/>
        <family val="2"/>
      </rPr>
      <t xml:space="preserve">도구 대비 깊이 부족
정량적 데이터 분석</t>
    </r>
    <r>
      <rPr>
        <sz val="9"/>
        <rFont val="맑은 고딕"/>
        <family val="0"/>
        <charset val="1"/>
      </rPr>
      <t xml:space="preserve">(KPI, </t>
    </r>
    <r>
      <rPr>
        <sz val="9"/>
        <rFont val="DejaVu Sans"/>
        <family val="2"/>
      </rPr>
      <t xml:space="preserve">수익성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은 기존 </t>
    </r>
    <r>
      <rPr>
        <sz val="9"/>
        <rFont val="맑은 고딕"/>
        <family val="0"/>
        <charset val="1"/>
      </rPr>
      <t xml:space="preserve">ERP/MES </t>
    </r>
    <r>
      <rPr>
        <sz val="9"/>
        <rFont val="DejaVu Sans"/>
        <family val="2"/>
      </rPr>
      <t xml:space="preserve">데이터를 활용한 전용 </t>
    </r>
    <r>
      <rPr>
        <sz val="9"/>
        <rFont val="맑은 고딕"/>
        <family val="0"/>
        <charset val="1"/>
      </rPr>
      <t xml:space="preserve">BI </t>
    </r>
    <r>
      <rPr>
        <sz val="9"/>
        <rFont val="DejaVu Sans"/>
        <family val="2"/>
      </rPr>
      <t xml:space="preserve">연동이 필요
장기적으로 </t>
    </r>
    <r>
      <rPr>
        <sz val="9"/>
        <rFont val="맑은 고딕"/>
        <family val="0"/>
        <charset val="1"/>
      </rPr>
      <t xml:space="preserve">Genspark(</t>
    </r>
    <r>
      <rPr>
        <sz val="9"/>
        <rFont val="DejaVu Sans"/>
        <family val="2"/>
      </rPr>
      <t xml:space="preserve">정성 분석</t>
    </r>
    <r>
      <rPr>
        <sz val="9"/>
        <rFont val="맑은 고딕"/>
        <family val="0"/>
        <charset val="1"/>
      </rPr>
      <t xml:space="preserve">) + </t>
    </r>
    <r>
      <rPr>
        <sz val="9"/>
        <rFont val="DejaVu Sans"/>
        <family val="2"/>
      </rPr>
      <t xml:space="preserve">전용 </t>
    </r>
    <r>
      <rPr>
        <sz val="9"/>
        <rFont val="맑은 고딕"/>
        <family val="0"/>
        <charset val="1"/>
      </rPr>
      <t xml:space="preserve">BI </t>
    </r>
    <r>
      <rPr>
        <sz val="9"/>
        <rFont val="DejaVu Sans"/>
        <family val="2"/>
      </rPr>
      <t xml:space="preserve">대시보드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정량 분석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병행 구조 권장</t>
    </r>
  </si>
  <si>
    <t xml:space="preserve">💡 최종 추천</t>
  </si>
  <si>
    <r>
      <rPr>
        <sz val="9"/>
        <rFont val="DejaVu Sans"/>
        <family val="2"/>
      </rPr>
      <t xml:space="preserve">■ 임원급 도입 도구</t>
    </r>
    <r>
      <rPr>
        <sz val="9"/>
        <rFont val="맑은 고딕"/>
        <family val="0"/>
        <charset val="1"/>
      </rPr>
      <t xml:space="preserve">: Genspark Team ($30/</t>
    </r>
    <r>
      <rPr>
        <sz val="9"/>
        <rFont val="DejaVu Sans"/>
        <family val="2"/>
      </rPr>
      <t xml:space="preserve">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월</t>
    </r>
    <r>
      <rPr>
        <sz val="9"/>
        <rFont val="맑은 고딕"/>
        <family val="0"/>
        <charset val="1"/>
      </rPr>
      <t xml:space="preserve">) + Perplexity Enterprise ($40/</t>
    </r>
    <r>
      <rPr>
        <sz val="9"/>
        <rFont val="DejaVu Sans"/>
        <family val="2"/>
      </rPr>
      <t xml:space="preserve">인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월</t>
    </r>
    <r>
      <rPr>
        <sz val="9"/>
        <rFont val="맑은 고딕"/>
        <family val="0"/>
        <charset val="1"/>
      </rPr>
      <t xml:space="preserve">)
▶ Genspark: </t>
    </r>
    <r>
      <rPr>
        <sz val="9"/>
        <rFont val="DejaVu Sans"/>
        <family val="2"/>
      </rPr>
      <t xml:space="preserve">멀티 </t>
    </r>
    <r>
      <rPr>
        <sz val="9"/>
        <rFont val="맑은 고딕"/>
        <family val="0"/>
        <charset val="1"/>
      </rPr>
      <t xml:space="preserve">LLM </t>
    </r>
    <r>
      <rPr>
        <sz val="9"/>
        <rFont val="DejaVu Sans"/>
        <family val="2"/>
      </rPr>
      <t xml:space="preserve">비교 → 정성적 다각 분석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보고자료 자동 생성</t>
    </r>
    <r>
      <rPr>
        <sz val="9"/>
        <rFont val="맑은 고딕"/>
        <family val="0"/>
        <charset val="1"/>
      </rPr>
      <t xml:space="preserve">, AI Developer</t>
    </r>
    <r>
      <rPr>
        <sz val="9"/>
        <rFont val="DejaVu Sans"/>
        <family val="2"/>
      </rPr>
      <t xml:space="preserve">로 프로토타입 제작
▶ Perplexity: 실시간 검색 → 시장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경쟁사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산업 동향 팩트 기반 리서치
▶ 이 조합으로 </t>
    </r>
    <r>
      <rPr>
        <sz val="9"/>
        <rFont val="맑은 고딕"/>
        <family val="0"/>
        <charset val="1"/>
      </rPr>
      <t xml:space="preserve">"</t>
    </r>
    <r>
      <rPr>
        <sz val="9"/>
        <rFont val="DejaVu Sans"/>
        <family val="2"/>
      </rPr>
      <t xml:space="preserve">비교 분석 </t>
    </r>
    <r>
      <rPr>
        <sz val="9"/>
        <rFont val="맑은 고딕"/>
        <family val="0"/>
        <charset val="1"/>
      </rPr>
      <t xml:space="preserve">+ </t>
    </r>
    <r>
      <rPr>
        <sz val="9"/>
        <rFont val="DejaVu Sans"/>
        <family val="2"/>
      </rPr>
      <t xml:space="preserve">실시간 정보</t>
    </r>
    <r>
      <rPr>
        <sz val="9"/>
        <rFont val="맑은 고딕"/>
        <family val="0"/>
        <charset val="1"/>
      </rPr>
      <t xml:space="preserve">" </t>
    </r>
    <r>
      <rPr>
        <sz val="9"/>
        <rFont val="DejaVu Sans"/>
        <family val="2"/>
      </rPr>
      <t xml:space="preserve">양면의 의사결정 근거 확보
■ 비용</t>
    </r>
    <r>
      <rPr>
        <sz val="9"/>
        <rFont val="맑은 고딕"/>
        <family val="0"/>
        <charset val="1"/>
      </rPr>
      <t xml:space="preserve">: </t>
    </r>
    <r>
      <rPr>
        <sz val="9"/>
        <rFont val="DejaVu Sans"/>
        <family val="2"/>
      </rPr>
      <t xml:space="preserve">임원 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인당 약 </t>
    </r>
    <r>
      <rPr>
        <sz val="9"/>
        <rFont val="맑은 고딕"/>
        <family val="0"/>
        <charset val="1"/>
      </rPr>
      <t xml:space="preserve">$70/</t>
    </r>
    <r>
      <rPr>
        <sz val="9"/>
        <rFont val="DejaVu Sans"/>
        <family val="2"/>
      </rPr>
      <t xml:space="preserve">월 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약 </t>
    </r>
    <r>
      <rPr>
        <sz val="9"/>
        <rFont val="맑은 고딕"/>
        <family val="0"/>
        <charset val="1"/>
      </rPr>
      <t xml:space="preserve">9.8</t>
    </r>
    <r>
      <rPr>
        <sz val="9"/>
        <rFont val="DejaVu Sans"/>
        <family val="2"/>
      </rPr>
      <t xml:space="preserve">만원</t>
    </r>
    <r>
      <rPr>
        <sz val="9"/>
        <rFont val="맑은 고딕"/>
        <family val="0"/>
        <charset val="1"/>
      </rPr>
      <t xml:space="preserve">) → </t>
    </r>
    <r>
      <rPr>
        <sz val="9"/>
        <rFont val="DejaVu Sans"/>
        <family val="2"/>
      </rPr>
      <t xml:space="preserve">의사결정 품질 대비 합리적 투자</t>
    </r>
  </si>
  <si>
    <r>
      <rPr>
        <b val="true"/>
        <sz val="16"/>
        <color rgb="FF1F4E79"/>
        <rFont val="DejaVu Sans"/>
        <family val="2"/>
      </rPr>
      <t xml:space="preserve">부서별 </t>
    </r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도입 비용 시뮬레이션</t>
    </r>
  </si>
  <si>
    <r>
      <rPr>
        <sz val="10"/>
        <color rgb="FF666666"/>
        <rFont val="맑은 고딕"/>
        <family val="0"/>
        <charset val="1"/>
      </rPr>
      <t xml:space="preserve">Claude </t>
    </r>
    <r>
      <rPr>
        <sz val="10"/>
        <color rgb="FF666666"/>
        <rFont val="DejaVu Sans"/>
        <family val="2"/>
      </rPr>
      <t xml:space="preserve">도입 구축계획서 </t>
    </r>
    <r>
      <rPr>
        <sz val="10"/>
        <color rgb="FF666666"/>
        <rFont val="맑은 고딕"/>
        <family val="0"/>
        <charset val="1"/>
      </rPr>
      <t xml:space="preserve">Pilot(11</t>
    </r>
    <r>
      <rPr>
        <sz val="10"/>
        <color rgb="FF666666"/>
        <rFont val="DejaVu Sans"/>
        <family val="2"/>
      </rPr>
      <t xml:space="preserve">명</t>
    </r>
    <r>
      <rPr>
        <sz val="10"/>
        <color rgb="FF666666"/>
        <rFont val="맑은 고딕"/>
        <family val="0"/>
        <charset val="1"/>
      </rPr>
      <t xml:space="preserve">) </t>
    </r>
    <r>
      <rPr>
        <sz val="10"/>
        <color rgb="FF666666"/>
        <rFont val="DejaVu Sans"/>
        <family val="2"/>
      </rPr>
      <t xml:space="preserve">포함 </t>
    </r>
    <r>
      <rPr>
        <sz val="10"/>
        <color rgb="FF666666"/>
        <rFont val="맑은 고딕"/>
        <family val="0"/>
        <charset val="1"/>
      </rPr>
      <t xml:space="preserve">| </t>
    </r>
    <r>
      <rPr>
        <sz val="10"/>
        <color rgb="FF666666"/>
        <rFont val="DejaVu Sans"/>
        <family val="2"/>
      </rPr>
      <t xml:space="preserve">단계별 확산 시나리오 </t>
    </r>
    <r>
      <rPr>
        <sz val="10"/>
        <color rgb="FF666666"/>
        <rFont val="맑은 고딕"/>
        <family val="0"/>
        <charset val="1"/>
      </rPr>
      <t xml:space="preserve">| USD </t>
    </r>
    <r>
      <rPr>
        <sz val="10"/>
        <color rgb="FF666666"/>
        <rFont val="DejaVu Sans"/>
        <family val="2"/>
      </rPr>
      <t xml:space="preserve">기준</t>
    </r>
    <r>
      <rPr>
        <sz val="10"/>
        <color rgb="FF666666"/>
        <rFont val="맑은 고딕"/>
        <family val="0"/>
        <charset val="1"/>
      </rPr>
      <t xml:space="preserve">, </t>
    </r>
    <r>
      <rPr>
        <sz val="10"/>
        <color rgb="FF666666"/>
        <rFont val="DejaVu Sans"/>
        <family val="2"/>
      </rPr>
      <t xml:space="preserve">환율 </t>
    </r>
    <r>
      <rPr>
        <sz val="10"/>
        <color rgb="FF666666"/>
        <rFont val="맑은 고딕"/>
        <family val="0"/>
        <charset val="1"/>
      </rPr>
      <t xml:space="preserve">1,400</t>
    </r>
    <r>
      <rPr>
        <sz val="10"/>
        <color rgb="FF666666"/>
        <rFont val="DejaVu Sans"/>
        <family val="2"/>
      </rPr>
      <t xml:space="preserve">원 적용</t>
    </r>
  </si>
  <si>
    <r>
      <rPr>
        <b val="true"/>
        <sz val="13"/>
        <color rgb="FF1F4E79"/>
        <rFont val="맑은 고딕"/>
        <family val="0"/>
        <charset val="1"/>
      </rPr>
      <t xml:space="preserve">▶ Phase 1: Pilot (1~3</t>
    </r>
    <r>
      <rPr>
        <b val="true"/>
        <sz val="13"/>
        <color rgb="FF1F4E79"/>
        <rFont val="DejaVu Sans"/>
        <family val="2"/>
      </rPr>
      <t xml:space="preserve">개월</t>
    </r>
    <r>
      <rPr>
        <b val="true"/>
        <sz val="13"/>
        <color rgb="FF1F4E79"/>
        <rFont val="맑은 고딕"/>
        <family val="0"/>
        <charset val="1"/>
      </rPr>
      <t xml:space="preserve">) - Claude </t>
    </r>
    <r>
      <rPr>
        <b val="true"/>
        <sz val="13"/>
        <color rgb="FF1F4E79"/>
        <rFont val="DejaVu Sans"/>
        <family val="2"/>
      </rPr>
      <t xml:space="preserve">도입 구축계획서 기반</t>
    </r>
  </si>
  <si>
    <t xml:space="preserve">팀</t>
  </si>
  <si>
    <t xml:space="preserve">인원</t>
  </si>
  <si>
    <t xml:space="preserve">플랫폼</t>
  </si>
  <si>
    <t xml:space="preserve">플랜</t>
  </si>
  <si>
    <t xml:space="preserve">인당 월비용</t>
  </si>
  <si>
    <t xml:space="preserve">월 소계</t>
  </si>
  <si>
    <t xml:space="preserve">비고</t>
  </si>
  <si>
    <t xml:space="preserve">개발영업팀</t>
  </si>
  <si>
    <t xml:space="preserve">Team Standard</t>
  </si>
  <si>
    <t xml:space="preserve">$25</t>
  </si>
  <si>
    <r>
      <rPr>
        <sz val="9"/>
        <rFont val="DejaVu Sans"/>
        <family val="2"/>
      </rPr>
      <t xml:space="preserve">분석보고서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개발히스토리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제안서</t>
    </r>
  </si>
  <si>
    <t xml:space="preserve">품질팀</t>
  </si>
  <si>
    <r>
      <rPr>
        <sz val="9"/>
        <rFont val="DejaVu Sans"/>
        <family val="2"/>
      </rPr>
      <t xml:space="preserve">불량분석</t>
    </r>
    <r>
      <rPr>
        <sz val="9"/>
        <rFont val="맑은 고딕"/>
        <family val="0"/>
        <charset val="1"/>
      </rPr>
      <t xml:space="preserve">, SPC, </t>
    </r>
    <r>
      <rPr>
        <sz val="9"/>
        <rFont val="DejaVu Sans"/>
        <family val="2"/>
      </rPr>
      <t xml:space="preserve">클레임 보고서</t>
    </r>
  </si>
  <si>
    <r>
      <rPr>
        <sz val="9"/>
        <rFont val="DejaVu Sans"/>
        <family val="2"/>
      </rPr>
      <t xml:space="preserve">전산팀 </t>
    </r>
    <r>
      <rPr>
        <sz val="9"/>
        <rFont val="맑은 고딕"/>
        <family val="0"/>
        <charset val="1"/>
      </rPr>
      <t xml:space="preserve">(Std)</t>
    </r>
  </si>
  <si>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교육 담당</t>
    </r>
  </si>
  <si>
    <r>
      <rPr>
        <sz val="9"/>
        <rFont val="DejaVu Sans"/>
        <family val="2"/>
      </rPr>
      <t xml:space="preserve">전산팀 </t>
    </r>
    <r>
      <rPr>
        <sz val="9"/>
        <rFont val="맑은 고딕"/>
        <family val="0"/>
        <charset val="1"/>
      </rPr>
      <t xml:space="preserve">(Prm)</t>
    </r>
  </si>
  <si>
    <t xml:space="preserve">Team Premium</t>
  </si>
  <si>
    <t xml:space="preserve">$125</t>
  </si>
  <si>
    <r>
      <rPr>
        <sz val="9"/>
        <rFont val="맑은 고딕"/>
        <family val="0"/>
        <charset val="1"/>
      </rPr>
      <t xml:space="preserve">Claude Code </t>
    </r>
    <r>
      <rPr>
        <sz val="9"/>
        <rFont val="DejaVu Sans"/>
        <family val="2"/>
      </rPr>
      <t xml:space="preserve">개발</t>
    </r>
  </si>
  <si>
    <r>
      <rPr>
        <b val="true"/>
        <sz val="9"/>
        <rFont val="맑은 고딕"/>
        <family val="0"/>
        <charset val="1"/>
      </rPr>
      <t xml:space="preserve">Phase 1 </t>
    </r>
    <r>
      <rPr>
        <b val="true"/>
        <sz val="9"/>
        <rFont val="DejaVu Sans"/>
        <family val="2"/>
      </rPr>
      <t xml:space="preserve">합계</t>
    </r>
  </si>
  <si>
    <r>
      <rPr>
        <b val="true"/>
        <sz val="9"/>
        <rFont val="DejaVu Sans"/>
        <family val="2"/>
      </rPr>
      <t xml:space="preserve">월 </t>
    </r>
    <r>
      <rPr>
        <b val="true"/>
        <sz val="9"/>
        <rFont val="맑은 고딕"/>
        <family val="0"/>
        <charset val="1"/>
      </rPr>
      <t xml:space="preserve">$475 / </t>
    </r>
    <r>
      <rPr>
        <b val="true"/>
        <sz val="9"/>
        <rFont val="DejaVu Sans"/>
        <family val="2"/>
      </rPr>
      <t xml:space="preserve">약 </t>
    </r>
    <r>
      <rPr>
        <b val="true"/>
        <sz val="9"/>
        <rFont val="맑은 고딕"/>
        <family val="0"/>
        <charset val="1"/>
      </rPr>
      <t xml:space="preserve">66.5</t>
    </r>
    <r>
      <rPr>
        <b val="true"/>
        <sz val="9"/>
        <rFont val="DejaVu Sans"/>
        <family val="2"/>
      </rPr>
      <t xml:space="preserve">만원</t>
    </r>
  </si>
  <si>
    <r>
      <rPr>
        <b val="true"/>
        <sz val="13"/>
        <color rgb="FF1F4E79"/>
        <rFont val="맑은 고딕"/>
        <family val="0"/>
        <charset val="1"/>
      </rPr>
      <t xml:space="preserve">▶ Phase 2: </t>
    </r>
    <r>
      <rPr>
        <b val="true"/>
        <sz val="13"/>
        <color rgb="FF1F4E79"/>
        <rFont val="DejaVu Sans"/>
        <family val="2"/>
      </rPr>
      <t xml:space="preserve">확산 </t>
    </r>
    <r>
      <rPr>
        <b val="true"/>
        <sz val="13"/>
        <color rgb="FF1F4E79"/>
        <rFont val="맑은 고딕"/>
        <family val="0"/>
        <charset val="1"/>
      </rPr>
      <t xml:space="preserve">(4~6</t>
    </r>
    <r>
      <rPr>
        <b val="true"/>
        <sz val="13"/>
        <color rgb="FF1F4E79"/>
        <rFont val="DejaVu Sans"/>
        <family val="2"/>
      </rPr>
      <t xml:space="preserve">개월</t>
    </r>
    <r>
      <rPr>
        <b val="true"/>
        <sz val="13"/>
        <color rgb="FF1F4E79"/>
        <rFont val="맑은 고딕"/>
        <family val="0"/>
        <charset val="1"/>
      </rPr>
      <t xml:space="preserve">) - </t>
    </r>
    <r>
      <rPr>
        <b val="true"/>
        <sz val="13"/>
        <color rgb="FF1F4E79"/>
        <rFont val="DejaVu Sans"/>
        <family val="2"/>
      </rPr>
      <t xml:space="preserve">경영지원 </t>
    </r>
    <r>
      <rPr>
        <b val="true"/>
        <sz val="13"/>
        <color rgb="FF1F4E79"/>
        <rFont val="맑은 고딕"/>
        <family val="0"/>
        <charset val="1"/>
      </rPr>
      <t xml:space="preserve">+ </t>
    </r>
    <r>
      <rPr>
        <b val="true"/>
        <sz val="13"/>
        <color rgb="FF1F4E79"/>
        <rFont val="DejaVu Sans"/>
        <family val="2"/>
      </rPr>
      <t xml:space="preserve">임원</t>
    </r>
  </si>
  <si>
    <r>
      <rPr>
        <sz val="9"/>
        <rFont val="맑은 고딕"/>
        <family val="0"/>
        <charset val="1"/>
      </rPr>
      <t xml:space="preserve">Phase 1 </t>
    </r>
    <r>
      <rPr>
        <sz val="9"/>
        <rFont val="DejaVu Sans"/>
        <family val="2"/>
      </rPr>
      <t xml:space="preserve">유지</t>
    </r>
  </si>
  <si>
    <t xml:space="preserve">기존 유지</t>
  </si>
  <si>
    <r>
      <rPr>
        <sz val="9"/>
        <rFont val="DejaVu Sans"/>
        <family val="2"/>
      </rPr>
      <t xml:space="preserve">기존 </t>
    </r>
    <r>
      <rPr>
        <sz val="9"/>
        <rFont val="맑은 고딕"/>
        <family val="0"/>
        <charset val="1"/>
      </rPr>
      <t xml:space="preserve">Pilot</t>
    </r>
    <r>
      <rPr>
        <sz val="9"/>
        <rFont val="DejaVu Sans"/>
        <family val="2"/>
      </rPr>
      <t xml:space="preserve">팀 계속</t>
    </r>
  </si>
  <si>
    <r>
      <rPr>
        <sz val="9"/>
        <rFont val="맑은 고딕"/>
        <family val="0"/>
        <charset val="1"/>
      </rPr>
      <t xml:space="preserve">Team (</t>
    </r>
    <r>
      <rPr>
        <sz val="9"/>
        <rFont val="DejaVu Sans"/>
        <family val="2"/>
      </rPr>
      <t xml:space="preserve">연간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</si>
  <si>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문서작성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채용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운영관리</t>
    </r>
  </si>
  <si>
    <r>
      <rPr>
        <sz val="9"/>
        <rFont val="DejaVu Sans"/>
        <family val="2"/>
      </rPr>
      <t xml:space="preserve">거래처관리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발주</t>
    </r>
    <r>
      <rPr>
        <sz val="9"/>
        <rFont val="맑은 고딕"/>
        <family val="0"/>
        <charset val="1"/>
      </rPr>
      <t xml:space="preserve">, AP</t>
    </r>
  </si>
  <si>
    <r>
      <rPr>
        <sz val="9"/>
        <rFont val="DejaVu Sans"/>
        <family val="2"/>
      </rPr>
      <t xml:space="preserve">재무분석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원가관리</t>
    </r>
  </si>
  <si>
    <r>
      <rPr>
        <sz val="9"/>
        <rFont val="DejaVu Sans"/>
        <family val="2"/>
      </rPr>
      <t xml:space="preserve">생산계획</t>
    </r>
    <r>
      <rPr>
        <sz val="9"/>
        <rFont val="맑은 고딕"/>
        <family val="0"/>
        <charset val="1"/>
      </rPr>
      <t xml:space="preserve">, BOM, </t>
    </r>
    <r>
      <rPr>
        <sz val="9"/>
        <rFont val="DejaVu Sans"/>
        <family val="2"/>
      </rPr>
      <t xml:space="preserve">캐파</t>
    </r>
  </si>
  <si>
    <r>
      <rPr>
        <sz val="9"/>
        <rFont val="DejaVu Sans"/>
        <family val="2"/>
      </rPr>
      <t xml:space="preserve">임원 </t>
    </r>
    <r>
      <rPr>
        <sz val="9"/>
        <rFont val="맑은 고딕"/>
        <family val="0"/>
        <charset val="1"/>
      </rPr>
      <t xml:space="preserve">(Genspark)</t>
    </r>
  </si>
  <si>
    <t xml:space="preserve">Team</t>
  </si>
  <si>
    <r>
      <rPr>
        <sz val="9"/>
        <rFont val="DejaVu Sans"/>
        <family val="2"/>
      </rPr>
      <t xml:space="preserve">멀티</t>
    </r>
    <r>
      <rPr>
        <sz val="9"/>
        <rFont val="맑은 고딕"/>
        <family val="0"/>
        <charset val="1"/>
      </rPr>
      <t xml:space="preserve">LLM </t>
    </r>
    <r>
      <rPr>
        <sz val="9"/>
        <rFont val="DejaVu Sans"/>
        <family val="2"/>
      </rPr>
      <t xml:space="preserve">비교 의사결정</t>
    </r>
  </si>
  <si>
    <r>
      <rPr>
        <sz val="9"/>
        <rFont val="DejaVu Sans"/>
        <family val="2"/>
      </rPr>
      <t xml:space="preserve">임원 </t>
    </r>
    <r>
      <rPr>
        <sz val="9"/>
        <rFont val="맑은 고딕"/>
        <family val="0"/>
        <charset val="1"/>
      </rPr>
      <t xml:space="preserve">(Perplexity)</t>
    </r>
  </si>
  <si>
    <t xml:space="preserve">Enterprise Pro</t>
  </si>
  <si>
    <t xml:space="preserve">$40</t>
  </si>
  <si>
    <t xml:space="preserve">실시간 리서치</t>
  </si>
  <si>
    <r>
      <rPr>
        <b val="true"/>
        <sz val="9"/>
        <rFont val="맑은 고딕"/>
        <family val="0"/>
        <charset val="1"/>
      </rPr>
      <t xml:space="preserve">Phase 2 </t>
    </r>
    <r>
      <rPr>
        <b val="true"/>
        <sz val="9"/>
        <rFont val="DejaVu Sans"/>
        <family val="2"/>
      </rPr>
      <t xml:space="preserve">추가 합계</t>
    </r>
  </si>
  <si>
    <r>
      <rPr>
        <b val="true"/>
        <sz val="9"/>
        <rFont val="맑은 고딕"/>
        <family val="0"/>
        <charset val="1"/>
      </rPr>
      <t xml:space="preserve">Phase 2 </t>
    </r>
    <r>
      <rPr>
        <b val="true"/>
        <sz val="9"/>
        <rFont val="DejaVu Sans"/>
        <family val="2"/>
      </rPr>
      <t xml:space="preserve">총 합계</t>
    </r>
  </si>
  <si>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도입 단계별 로드맵 </t>
    </r>
    <r>
      <rPr>
        <b val="true"/>
        <sz val="16"/>
        <color rgb="FF1F4E79"/>
        <rFont val="맑은 고딕"/>
        <family val="0"/>
        <charset val="1"/>
      </rPr>
      <t xml:space="preserve">(AI </t>
    </r>
    <r>
      <rPr>
        <b val="true"/>
        <sz val="16"/>
        <color rgb="FF1F4E79"/>
        <rFont val="DejaVu Sans"/>
        <family val="2"/>
      </rPr>
      <t xml:space="preserve">도입계획 </t>
    </r>
    <r>
      <rPr>
        <b val="true"/>
        <sz val="16"/>
        <color rgb="FF1F4E79"/>
        <rFont val="맑은 고딕"/>
        <family val="0"/>
        <charset val="1"/>
      </rPr>
      <t xml:space="preserve">+ Claude </t>
    </r>
    <r>
      <rPr>
        <b val="true"/>
        <sz val="16"/>
        <color rgb="FF1F4E79"/>
        <rFont val="DejaVu Sans"/>
        <family val="2"/>
      </rPr>
      <t xml:space="preserve">구축계획서 연계</t>
    </r>
    <r>
      <rPr>
        <b val="true"/>
        <sz val="16"/>
        <color rgb="FF1F4E79"/>
        <rFont val="맑은 고딕"/>
        <family val="0"/>
        <charset val="1"/>
      </rPr>
      <t xml:space="preserve">)</t>
    </r>
  </si>
  <si>
    <t xml:space="preserve">단계</t>
  </si>
  <si>
    <t xml:space="preserve">기간</t>
  </si>
  <si>
    <t xml:space="preserve">핵심 활동</t>
  </si>
  <si>
    <r>
      <rPr>
        <b val="true"/>
        <sz val="9"/>
        <color rgb="FFFFFFFF"/>
        <rFont val="DejaVu Sans"/>
        <family val="2"/>
      </rPr>
      <t xml:space="preserve">대상 부문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팀</t>
    </r>
  </si>
  <si>
    <r>
      <rPr>
        <b val="true"/>
        <sz val="9"/>
        <color rgb="FFFFFFFF"/>
        <rFont val="DejaVu Sans"/>
        <family val="2"/>
      </rPr>
      <t xml:space="preserve">도입 </t>
    </r>
    <r>
      <rPr>
        <b val="true"/>
        <sz val="9"/>
        <color rgb="FFFFFFFF"/>
        <rFont val="맑은 고딕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플랫폼</t>
    </r>
  </si>
  <si>
    <t xml:space="preserve">성공 지표</t>
  </si>
  <si>
    <r>
      <rPr>
        <b val="true"/>
        <sz val="9"/>
        <rFont val="맑은 고딕"/>
        <family val="0"/>
        <charset val="1"/>
      </rPr>
      <t xml:space="preserve">1</t>
    </r>
    <r>
      <rPr>
        <b val="true"/>
        <sz val="9"/>
        <rFont val="DejaVu Sans"/>
        <family val="2"/>
      </rPr>
      <t xml:space="preserve">단계
</t>
    </r>
    <r>
      <rPr>
        <b val="true"/>
        <sz val="9"/>
        <rFont val="맑은 고딕"/>
        <family val="0"/>
        <charset val="1"/>
      </rPr>
      <t xml:space="preserve">Pilot </t>
    </r>
    <r>
      <rPr>
        <b val="true"/>
        <sz val="9"/>
        <rFont val="DejaVu Sans"/>
        <family val="2"/>
      </rPr>
      <t xml:space="preserve">도입</t>
    </r>
  </si>
  <si>
    <r>
      <rPr>
        <sz val="9"/>
        <rFont val="맑은 고딕"/>
        <family val="0"/>
        <charset val="1"/>
      </rPr>
      <t xml:space="preserve">1~12</t>
    </r>
    <r>
      <rPr>
        <sz val="9"/>
        <rFont val="DejaVu Sans"/>
        <family val="2"/>
      </rPr>
      <t xml:space="preserve">주
</t>
    </r>
    <r>
      <rPr>
        <sz val="9"/>
        <rFont val="맑은 고딕"/>
        <family val="0"/>
        <charset val="1"/>
      </rPr>
      <t xml:space="preserve">(3</t>
    </r>
    <r>
      <rPr>
        <sz val="9"/>
        <rFont val="DejaVu Sans"/>
        <family val="2"/>
      </rPr>
      <t xml:space="preserve">개월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</si>
  <si>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• Claude Team Plan 11</t>
    </r>
    <r>
      <rPr>
        <sz val="9"/>
        <rFont val="DejaVu Sans"/>
        <family val="2"/>
      </rPr>
      <t xml:space="preserve">석 개설
• 보안정책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사용가이드 수립
• 팀별 교육</t>
    </r>
    <r>
      <rPr>
        <sz val="9"/>
        <rFont val="맑은 고딕"/>
        <family val="0"/>
        <charset val="1"/>
      </rPr>
      <t xml:space="preserve">(2</t>
    </r>
    <r>
      <rPr>
        <sz val="9"/>
        <rFont val="DejaVu Sans"/>
        <family val="2"/>
      </rPr>
      <t xml:space="preserve">시간</t>
    </r>
    <r>
      <rPr>
        <sz val="9"/>
        <rFont val="맑은 고딕"/>
        <family val="0"/>
        <charset val="1"/>
      </rPr>
      <t xml:space="preserve">×3</t>
    </r>
    <r>
      <rPr>
        <sz val="9"/>
        <rFont val="DejaVu Sans"/>
        <family val="2"/>
      </rPr>
      <t xml:space="preserve">회</t>
    </r>
    <r>
      <rPr>
        <sz val="9"/>
        <rFont val="맑은 고딕"/>
        <family val="0"/>
        <charset val="1"/>
      </rPr>
      <t xml:space="preserve">)
• Quick Win </t>
    </r>
    <r>
      <rPr>
        <sz val="9"/>
        <rFont val="DejaVu Sans"/>
        <family val="2"/>
      </rPr>
      <t xml:space="preserve">과제 실행
• 성과 측정 및 경영진 보고</t>
    </r>
  </si>
  <si>
    <r>
      <rPr>
        <sz val="9"/>
        <rFont val="DejaVu Sans"/>
        <family val="2"/>
      </rPr>
      <t xml:space="preserve">개발영업팀 </t>
    </r>
    <r>
      <rPr>
        <sz val="9"/>
        <rFont val="맑은 고딕"/>
        <family val="0"/>
        <charset val="1"/>
      </rPr>
      <t xml:space="preserve">(5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품질팀 </t>
    </r>
    <r>
      <rPr>
        <sz val="9"/>
        <rFont val="맑은 고딕"/>
        <family val="0"/>
        <charset val="1"/>
      </rPr>
      <t xml:space="preserve">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전산팀 </t>
    </r>
    <r>
      <rPr>
        <sz val="9"/>
        <rFont val="맑은 고딕"/>
        <family val="0"/>
        <charset val="1"/>
      </rPr>
      <t xml:space="preserve">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</si>
  <si>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Claude Team
(Std 9 + Prm 2)
</t>
    </r>
    <r>
      <rPr>
        <sz val="9"/>
        <rFont val="DejaVu Sans"/>
        <family val="2"/>
      </rPr>
      <t xml:space="preserve">월 </t>
    </r>
    <r>
      <rPr>
        <sz val="9"/>
        <rFont val="맑은 고딕"/>
        <family val="0"/>
        <charset val="1"/>
      </rPr>
      <t xml:space="preserve">$475</t>
    </r>
  </si>
  <si>
    <r>
      <rPr>
        <sz val="9"/>
        <rFont val="DejaVu Sans"/>
        <family val="2"/>
      </rPr>
      <t xml:space="preserve">업무시간 절감률 </t>
    </r>
    <r>
      <rPr>
        <sz val="9"/>
        <rFont val="맑은 고딕"/>
        <family val="0"/>
        <charset val="1"/>
      </rPr>
      <t xml:space="preserve">30~50%
AI </t>
    </r>
    <r>
      <rPr>
        <sz val="9"/>
        <rFont val="DejaVu Sans"/>
        <family val="2"/>
      </rPr>
      <t xml:space="preserve">활용율 주 </t>
    </r>
    <r>
      <rPr>
        <sz val="9"/>
        <rFont val="맑은 고딕"/>
        <family val="0"/>
        <charset val="1"/>
      </rPr>
      <t xml:space="preserve">3</t>
    </r>
    <r>
      <rPr>
        <sz val="9"/>
        <rFont val="DejaVu Sans"/>
        <family val="2"/>
      </rPr>
      <t xml:space="preserve">회↑
산출물 품질 동등↑
</t>
    </r>
    <r>
      <rPr>
        <sz val="9"/>
        <rFont val="맑은 고딕"/>
        <family val="0"/>
        <charset val="1"/>
      </rPr>
      <t xml:space="preserve">ROI </t>
    </r>
    <r>
      <rPr>
        <sz val="9"/>
        <rFont val="DejaVu Sans"/>
        <family val="2"/>
      </rPr>
      <t xml:space="preserve">약 </t>
    </r>
    <r>
      <rPr>
        <sz val="9"/>
        <rFont val="맑은 고딕"/>
        <family val="0"/>
        <charset val="1"/>
      </rPr>
      <t xml:space="preserve">8.1</t>
    </r>
    <r>
      <rPr>
        <sz val="9"/>
        <rFont val="DejaVu Sans"/>
        <family val="2"/>
      </rPr>
      <t xml:space="preserve">배 검증</t>
    </r>
  </si>
  <si>
    <r>
      <rPr>
        <b val="true"/>
        <sz val="9"/>
        <rFont val="맑은 고딕"/>
        <family val="0"/>
        <charset val="1"/>
      </rPr>
      <t xml:space="preserve">2</t>
    </r>
    <r>
      <rPr>
        <b val="true"/>
        <sz val="9"/>
        <rFont val="DejaVu Sans"/>
        <family val="2"/>
      </rPr>
      <t xml:space="preserve">단계
경영지원 확산</t>
    </r>
  </si>
  <si>
    <r>
      <rPr>
        <sz val="9"/>
        <rFont val="맑은 고딕"/>
        <family val="0"/>
        <charset val="1"/>
      </rPr>
      <t xml:space="preserve">4~6</t>
    </r>
    <r>
      <rPr>
        <sz val="9"/>
        <rFont val="DejaVu Sans"/>
        <family val="2"/>
      </rPr>
      <t xml:space="preserve">개월</t>
    </r>
  </si>
  <si>
    <t xml:space="preserve">• 경영지원 부문 확대 도입
• ChatGPT Team 추가 도입
• Perplexity 리서치 도입
• Train the Trainer 방식 교육
• 프롬프트 라이브러리 전사 공유</t>
  </si>
  <si>
    <r>
      <rPr>
        <sz val="9"/>
        <rFont val="DejaVu Sans"/>
        <family val="2"/>
      </rPr>
      <t xml:space="preserve">인사총무 </t>
    </r>
    <r>
      <rPr>
        <sz val="9"/>
        <rFont val="맑은 고딕"/>
        <family val="0"/>
        <charset val="1"/>
      </rPr>
      <t xml:space="preserve">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구매 </t>
    </r>
    <r>
      <rPr>
        <sz val="9"/>
        <rFont val="맑은 고딕"/>
        <family val="0"/>
        <charset val="1"/>
      </rPr>
      <t xml:space="preserve">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재무 </t>
    </r>
    <r>
      <rPr>
        <sz val="9"/>
        <rFont val="맑은 고딕"/>
        <family val="0"/>
        <charset val="1"/>
      </rPr>
      <t xml:space="preserve">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생산계획 </t>
    </r>
    <r>
      <rPr>
        <sz val="9"/>
        <rFont val="맑은 고딕"/>
        <family val="0"/>
        <charset val="1"/>
      </rPr>
      <t xml:space="preserve">(2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</t>
    </r>
  </si>
  <si>
    <t xml:space="preserve">ChatGPT Team
Claude Team
Perplexity Pro</t>
  </si>
  <si>
    <r>
      <rPr>
        <sz val="9"/>
        <rFont val="DejaVu Sans"/>
        <family val="2"/>
      </rPr>
      <t xml:space="preserve">문서작성 시간 </t>
    </r>
    <r>
      <rPr>
        <sz val="9"/>
        <rFont val="맑은 고딕"/>
        <family val="0"/>
        <charset val="1"/>
      </rPr>
      <t xml:space="preserve">50%↓
</t>
    </r>
    <r>
      <rPr>
        <sz val="9"/>
        <rFont val="DejaVu Sans"/>
        <family val="2"/>
      </rPr>
      <t xml:space="preserve">시장조사 시간 </t>
    </r>
    <r>
      <rPr>
        <sz val="9"/>
        <rFont val="맑은 고딕"/>
        <family val="0"/>
        <charset val="1"/>
      </rPr>
      <t xml:space="preserve">70%↓
</t>
    </r>
    <r>
      <rPr>
        <sz val="9"/>
        <rFont val="DejaVu Sans"/>
        <family val="2"/>
      </rPr>
      <t xml:space="preserve">경영지원 업무 자동화율</t>
    </r>
  </si>
  <si>
    <r>
      <rPr>
        <b val="true"/>
        <sz val="9"/>
        <rFont val="맑은 고딕"/>
        <family val="0"/>
        <charset val="1"/>
      </rPr>
      <t xml:space="preserve">3</t>
    </r>
    <r>
      <rPr>
        <b val="true"/>
        <sz val="9"/>
        <rFont val="DejaVu Sans"/>
        <family val="2"/>
      </rPr>
      <t xml:space="preserve">단계
경영진</t>
    </r>
    <r>
      <rPr>
        <b val="true"/>
        <sz val="9"/>
        <rFont val="맑은 고딕"/>
        <family val="0"/>
        <charset val="1"/>
      </rPr>
      <t xml:space="preserve">+</t>
    </r>
    <r>
      <rPr>
        <b val="true"/>
        <sz val="9"/>
        <rFont val="DejaVu Sans"/>
        <family val="2"/>
      </rPr>
      <t xml:space="preserve">생산 확대</t>
    </r>
  </si>
  <si>
    <r>
      <rPr>
        <sz val="9"/>
        <rFont val="맑은 고딕"/>
        <family val="0"/>
        <charset val="1"/>
      </rPr>
      <t xml:space="preserve">7~9</t>
    </r>
    <r>
      <rPr>
        <sz val="9"/>
        <rFont val="DejaVu Sans"/>
        <family val="2"/>
      </rPr>
      <t xml:space="preserve">개월</t>
    </r>
  </si>
  <si>
    <r>
      <rPr>
        <sz val="9"/>
        <rFont val="DejaVu Sans"/>
        <family val="2"/>
      </rPr>
      <t xml:space="preserve">• 임원급 </t>
    </r>
    <r>
      <rPr>
        <sz val="9"/>
        <rFont val="맑은 고딕"/>
        <family val="0"/>
        <charset val="1"/>
      </rPr>
      <t xml:space="preserve">Genspark/Perplexity </t>
    </r>
    <r>
      <rPr>
        <sz val="9"/>
        <rFont val="DejaVu Sans"/>
        <family val="2"/>
      </rPr>
      <t xml:space="preserve">도입
• 생산현장 팀 확대
• 전산팀 → 자동화팀 </t>
    </r>
    <r>
      <rPr>
        <sz val="9"/>
        <rFont val="맑은 고딕"/>
        <family val="0"/>
        <charset val="1"/>
      </rPr>
      <t xml:space="preserve">Claude Code </t>
    </r>
    <r>
      <rPr>
        <sz val="9"/>
        <rFont val="DejaVu Sans"/>
        <family val="2"/>
      </rPr>
      <t xml:space="preserve">확대
• AI 도입계획 </t>
    </r>
    <r>
      <rPr>
        <sz val="9"/>
        <rFont val="맑은 고딕"/>
        <family val="0"/>
        <charset val="1"/>
      </rPr>
      <t xml:space="preserve">2</t>
    </r>
    <r>
      <rPr>
        <sz val="9"/>
        <rFont val="DejaVu Sans"/>
        <family val="2"/>
      </rPr>
      <t xml:space="preserve">단계</t>
    </r>
    <r>
      <rPr>
        <sz val="9"/>
        <rFont val="맑은 고딕"/>
        <family val="0"/>
        <charset val="1"/>
      </rPr>
      <t xml:space="preserve">(Pilot </t>
    </r>
    <r>
      <rPr>
        <sz val="9"/>
        <rFont val="DejaVu Sans"/>
        <family val="2"/>
      </rPr>
      <t xml:space="preserve">프로젝트</t>
    </r>
    <r>
      <rPr>
        <sz val="9"/>
        <rFont val="맑은 고딕"/>
        <family val="0"/>
        <charset val="1"/>
      </rPr>
      <t xml:space="preserve">)</t>
    </r>
    <r>
      <rPr>
        <sz val="9"/>
        <rFont val="DejaVu Sans"/>
        <family val="2"/>
      </rPr>
      <t xml:space="preserve">와 연계
• KPI 통합 모니터링 체계 구축</t>
    </r>
  </si>
  <si>
    <r>
      <rPr>
        <sz val="9"/>
        <rFont val="DejaVu Sans"/>
        <family val="2"/>
      </rPr>
      <t xml:space="preserve">임원 </t>
    </r>
    <r>
      <rPr>
        <sz val="9"/>
        <rFont val="맑은 고딕"/>
        <family val="0"/>
        <charset val="1"/>
      </rPr>
      <t xml:space="preserve">(3</t>
    </r>
    <r>
      <rPr>
        <sz val="9"/>
        <rFont val="DejaVu Sans"/>
        <family val="2"/>
      </rPr>
      <t xml:space="preserve">명</t>
    </r>
    <r>
      <rPr>
        <sz val="9"/>
        <rFont val="맑은 고딕"/>
        <family val="0"/>
        <charset val="1"/>
      </rPr>
      <t xml:space="preserve">)
</t>
    </r>
    <r>
      <rPr>
        <sz val="9"/>
        <rFont val="DejaVu Sans"/>
        <family val="2"/>
      </rPr>
      <t xml:space="preserve">생산</t>
    </r>
    <r>
      <rPr>
        <sz val="9"/>
        <rFont val="맑은 고딕"/>
        <family val="0"/>
        <charset val="1"/>
      </rPr>
      <t xml:space="preserve">1/</t>
    </r>
    <r>
      <rPr>
        <sz val="9"/>
        <rFont val="DejaVu Sans"/>
        <family val="2"/>
      </rPr>
      <t xml:space="preserve">생산</t>
    </r>
    <r>
      <rPr>
        <sz val="9"/>
        <rFont val="맑은 고딕"/>
        <family val="0"/>
        <charset val="1"/>
      </rPr>
      <t xml:space="preserve">2
</t>
    </r>
    <r>
      <rPr>
        <sz val="9"/>
        <rFont val="DejaVu Sans"/>
        <family val="2"/>
      </rPr>
      <t xml:space="preserve">생산기술
자동화팀</t>
    </r>
  </si>
  <si>
    <t xml:space="preserve">Genspark Team
Perplexity Enterprise
Claude Team
ChatGPT Team</t>
  </si>
  <si>
    <r>
      <rPr>
        <sz val="9"/>
        <rFont val="맑은 고딕"/>
        <family val="0"/>
        <charset val="1"/>
      </rPr>
      <t xml:space="preserve">KPI </t>
    </r>
    <r>
      <rPr>
        <sz val="9"/>
        <rFont val="DejaVu Sans"/>
        <family val="2"/>
      </rPr>
      <t xml:space="preserve">모니터링 실시간
의사결정 시간 단축
생산현장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활용율</t>
    </r>
  </si>
  <si>
    <r>
      <rPr>
        <b val="true"/>
        <sz val="9"/>
        <rFont val="맑은 고딕"/>
        <family val="0"/>
        <charset val="1"/>
      </rPr>
      <t xml:space="preserve">4</t>
    </r>
    <r>
      <rPr>
        <b val="true"/>
        <sz val="9"/>
        <rFont val="DejaVu Sans"/>
        <family val="2"/>
      </rPr>
      <t xml:space="preserve">단계
전사 지능화</t>
    </r>
  </si>
  <si>
    <r>
      <rPr>
        <sz val="9"/>
        <rFont val="맑은 고딕"/>
        <family val="0"/>
        <charset val="1"/>
      </rPr>
      <t xml:space="preserve">10~12</t>
    </r>
    <r>
      <rPr>
        <sz val="9"/>
        <rFont val="DejaVu Sans"/>
        <family val="2"/>
      </rPr>
      <t xml:space="preserve">개월</t>
    </r>
    <r>
      <rPr>
        <sz val="9"/>
        <rFont val="맑은 고딕"/>
        <family val="0"/>
        <charset val="1"/>
      </rPr>
      <t xml:space="preserve">+</t>
    </r>
  </si>
  <si>
    <r>
      <rPr>
        <sz val="9"/>
        <rFont val="DejaVu Sans"/>
        <family val="2"/>
      </rPr>
      <t xml:space="preserve">• 전 부서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도입 완료
• AI 도입계획 </t>
    </r>
    <r>
      <rPr>
        <sz val="9"/>
        <rFont val="맑은 고딕"/>
        <family val="0"/>
        <charset val="1"/>
      </rPr>
      <t xml:space="preserve">3~4</t>
    </r>
    <r>
      <rPr>
        <sz val="9"/>
        <rFont val="DejaVu Sans"/>
        <family val="2"/>
      </rPr>
      <t xml:space="preserve">단계와 연계
  (관리영역확장 → 전사지능화</t>
    </r>
    <r>
      <rPr>
        <sz val="9"/>
        <rFont val="맑은 고딕"/>
        <family val="0"/>
        <charset val="1"/>
      </rPr>
      <t xml:space="preserve">)
• Enterprise </t>
    </r>
    <r>
      <rPr>
        <sz val="9"/>
        <rFont val="DejaVu Sans"/>
        <family val="2"/>
      </rPr>
      <t xml:space="preserve">플랜 전환 검토
• AI 거버넌스 체계 확립</t>
    </r>
  </si>
  <si>
    <r>
      <rPr>
        <sz val="9"/>
        <rFont val="DejaVu Sans"/>
        <family val="2"/>
      </rPr>
      <t xml:space="preserve">환경안전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금형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공무
전 부서 통합
</t>
    </r>
    <r>
      <rPr>
        <sz val="9"/>
        <rFont val="맑은 고딕"/>
        <family val="0"/>
        <charset val="1"/>
      </rPr>
      <t xml:space="preserve">(30~50</t>
    </r>
    <r>
      <rPr>
        <sz val="9"/>
        <rFont val="DejaVu Sans"/>
        <family val="2"/>
      </rPr>
      <t xml:space="preserve">명 규모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</si>
  <si>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전사 통합 플랜
</t>
    </r>
    <r>
      <rPr>
        <sz val="9"/>
        <rFont val="맑은 고딕"/>
        <family val="0"/>
        <charset val="1"/>
      </rPr>
      <t xml:space="preserve">Enterprise </t>
    </r>
    <r>
      <rPr>
        <sz val="9"/>
        <rFont val="DejaVu Sans"/>
        <family val="2"/>
      </rPr>
      <t xml:space="preserve">검토
통합 대시보드 연계</t>
    </r>
  </si>
  <si>
    <r>
      <rPr>
        <sz val="9"/>
        <rFont val="DejaVu Sans"/>
        <family val="2"/>
      </rPr>
      <t xml:space="preserve">전사 </t>
    </r>
    <r>
      <rPr>
        <sz val="9"/>
        <rFont val="맑은 고딕"/>
        <family val="0"/>
        <charset val="1"/>
      </rPr>
      <t xml:space="preserve">AI </t>
    </r>
    <r>
      <rPr>
        <sz val="9"/>
        <rFont val="DejaVu Sans"/>
        <family val="2"/>
      </rPr>
      <t xml:space="preserve">활용율 </t>
    </r>
    <r>
      <rPr>
        <sz val="9"/>
        <rFont val="맑은 고딕"/>
        <family val="0"/>
        <charset val="1"/>
      </rPr>
      <t xml:space="preserve">80%↑
</t>
    </r>
    <r>
      <rPr>
        <sz val="9"/>
        <rFont val="DejaVu Sans"/>
        <family val="2"/>
      </rPr>
      <t xml:space="preserve">업무 효율화 종합 수치
확산 계획서 완성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</si>
</sst>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맑은 고딕"/>
      <family val="0"/>
      <charset val="1"/>
    </font>
    <font>
      <b val="true"/>
      <sz val="16"/>
      <color rgb="FF1F4E79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맑은 고딕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b val="true"/>
      <sz val="9"/>
      <name val="DejaVu Sans"/>
      <family val="2"/>
    </font>
    <font>
      <sz val="9"/>
      <name val="DejaVu Sans"/>
      <family val="2"/>
    </font>
    <font>
      <sz val="9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13"/>
      <color rgb="FF1F4E79"/>
      <name val="맑은 고딕"/>
      <family val="0"/>
      <charset val="1"/>
    </font>
    <font>
      <b val="true"/>
      <sz val="13"/>
      <color rgb="FF1F4E79"/>
      <name val="DejaVu Sans"/>
      <family val="2"/>
    </font>
    <font>
      <b val="true"/>
      <sz val="9"/>
      <color rgb="FF006100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AEEF3"/>
      </patternFill>
    </fill>
    <fill>
      <patternFill patternType="solid">
        <fgColor rgb="FFC6EFCE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DAEEF3"/>
        <bgColor rgb="FFE8F0FE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E4DFEC"/>
        <bgColor rgb="FFD9D9D9"/>
      </patternFill>
    </fill>
    <fill>
      <patternFill patternType="solid">
        <fgColor rgb="FFFFF2CC"/>
        <bgColor rgb="FFFFFFCC"/>
      </patternFill>
    </fill>
    <fill>
      <patternFill patternType="solid">
        <fgColor rgb="FFE8F0FE"/>
        <bgColor rgb="FFDAEEF3"/>
      </patternFill>
    </fill>
    <fill>
      <patternFill patternType="solid">
        <fgColor rgb="FFFFC7CE"/>
        <bgColor rgb="FFFCE4D6"/>
      </patternFill>
    </fill>
    <fill>
      <patternFill patternType="solid">
        <fgColor rgb="FFFFD966"/>
        <bgColor rgb="FFF4B084"/>
      </patternFill>
    </fill>
    <fill>
      <patternFill patternType="solid">
        <fgColor rgb="FFF4B084"/>
        <bgColor rgb="FFFFC7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E4DFEC"/>
      <rgbColor rgb="FFF4B084"/>
      <rgbColor rgb="FFFCE4D6"/>
      <rgbColor rgb="FFFFC7CE"/>
      <rgbColor rgb="FF3366FF"/>
      <rgbColor rgb="FF33CCCC"/>
      <rgbColor rgb="FF99CC00"/>
      <rgbColor rgb="FFFFD966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79.5" hidden="false" customHeight="true" outlineLevel="0" collapsed="false">
      <c r="A5" s="4" t="s">
        <v>10</v>
      </c>
      <c r="B5" s="5" t="s">
        <v>11</v>
      </c>
      <c r="C5" s="6" t="s">
        <v>12</v>
      </c>
      <c r="D5" s="7" t="s">
        <v>13</v>
      </c>
      <c r="E5" s="6" t="s">
        <v>14</v>
      </c>
      <c r="F5" s="7" t="s">
        <v>15</v>
      </c>
      <c r="G5" s="8" t="s">
        <v>16</v>
      </c>
      <c r="H5" s="6" t="s">
        <v>17</v>
      </c>
    </row>
    <row r="6" customFormat="false" ht="79.5" hidden="false" customHeight="true" outlineLevel="0" collapsed="false">
      <c r="A6" s="4"/>
      <c r="B6" s="5" t="s">
        <v>11</v>
      </c>
      <c r="C6" s="6" t="s">
        <v>12</v>
      </c>
      <c r="D6" s="7" t="s">
        <v>18</v>
      </c>
      <c r="E6" s="6" t="s">
        <v>19</v>
      </c>
      <c r="F6" s="7" t="s">
        <v>15</v>
      </c>
      <c r="G6" s="9" t="s">
        <v>20</v>
      </c>
      <c r="H6" s="6" t="s">
        <v>21</v>
      </c>
    </row>
    <row r="7" customFormat="false" ht="79.5" hidden="false" customHeight="true" outlineLevel="0" collapsed="false">
      <c r="A7" s="4" t="s">
        <v>10</v>
      </c>
      <c r="B7" s="5" t="s">
        <v>22</v>
      </c>
      <c r="C7" s="6" t="s">
        <v>23</v>
      </c>
      <c r="D7" s="7" t="s">
        <v>13</v>
      </c>
      <c r="E7" s="6" t="s">
        <v>24</v>
      </c>
      <c r="F7" s="7" t="s">
        <v>15</v>
      </c>
      <c r="G7" s="8" t="s">
        <v>16</v>
      </c>
      <c r="H7" s="6" t="s">
        <v>25</v>
      </c>
    </row>
    <row r="8" customFormat="false" ht="79.5" hidden="false" customHeight="true" outlineLevel="0" collapsed="false">
      <c r="A8" s="4"/>
      <c r="B8" s="5" t="s">
        <v>22</v>
      </c>
      <c r="C8" s="6" t="s">
        <v>23</v>
      </c>
      <c r="D8" s="7" t="s">
        <v>26</v>
      </c>
      <c r="E8" s="6" t="s">
        <v>27</v>
      </c>
      <c r="F8" s="7" t="s">
        <v>28</v>
      </c>
      <c r="G8" s="9" t="s">
        <v>20</v>
      </c>
      <c r="H8" s="6" t="s">
        <v>29</v>
      </c>
    </row>
    <row r="9" customFormat="false" ht="79.5" hidden="false" customHeight="true" outlineLevel="0" collapsed="false">
      <c r="A9" s="4" t="s">
        <v>10</v>
      </c>
      <c r="B9" s="5" t="s">
        <v>30</v>
      </c>
      <c r="C9" s="6" t="s">
        <v>31</v>
      </c>
      <c r="D9" s="7" t="s">
        <v>18</v>
      </c>
      <c r="E9" s="6" t="s">
        <v>32</v>
      </c>
      <c r="F9" s="7" t="s">
        <v>15</v>
      </c>
      <c r="G9" s="8" t="s">
        <v>16</v>
      </c>
      <c r="H9" s="6" t="s">
        <v>33</v>
      </c>
    </row>
    <row r="10" customFormat="false" ht="79.5" hidden="false" customHeight="true" outlineLevel="0" collapsed="false">
      <c r="A10" s="4"/>
      <c r="B10" s="5" t="s">
        <v>30</v>
      </c>
      <c r="C10" s="6" t="s">
        <v>31</v>
      </c>
      <c r="D10" s="7" t="s">
        <v>13</v>
      </c>
      <c r="E10" s="6" t="s">
        <v>34</v>
      </c>
      <c r="F10" s="7" t="s">
        <v>15</v>
      </c>
      <c r="G10" s="9" t="s">
        <v>20</v>
      </c>
      <c r="H10" s="6" t="s">
        <v>35</v>
      </c>
    </row>
    <row r="11" customFormat="false" ht="79.5" hidden="false" customHeight="true" outlineLevel="0" collapsed="false">
      <c r="A11" s="10" t="s">
        <v>36</v>
      </c>
      <c r="B11" s="5" t="s">
        <v>37</v>
      </c>
      <c r="C11" s="6" t="s">
        <v>38</v>
      </c>
      <c r="D11" s="7" t="s">
        <v>13</v>
      </c>
      <c r="E11" s="6" t="s">
        <v>39</v>
      </c>
      <c r="F11" s="7" t="s">
        <v>15</v>
      </c>
      <c r="G11" s="8" t="s">
        <v>16</v>
      </c>
      <c r="H11" s="6" t="s">
        <v>40</v>
      </c>
    </row>
    <row r="12" customFormat="false" ht="79.5" hidden="false" customHeight="true" outlineLevel="0" collapsed="false">
      <c r="A12" s="10"/>
      <c r="B12" s="5" t="s">
        <v>37</v>
      </c>
      <c r="C12" s="6" t="s">
        <v>38</v>
      </c>
      <c r="D12" s="7" t="s">
        <v>18</v>
      </c>
      <c r="E12" s="7" t="s">
        <v>41</v>
      </c>
      <c r="F12" s="7" t="s">
        <v>15</v>
      </c>
      <c r="G12" s="9" t="s">
        <v>20</v>
      </c>
      <c r="H12" s="6" t="s">
        <v>42</v>
      </c>
    </row>
    <row r="13" customFormat="false" ht="79.5" hidden="false" customHeight="true" outlineLevel="0" collapsed="false">
      <c r="A13" s="10" t="s">
        <v>36</v>
      </c>
      <c r="B13" s="5" t="s">
        <v>43</v>
      </c>
      <c r="C13" s="6" t="s">
        <v>44</v>
      </c>
      <c r="D13" s="7" t="s">
        <v>13</v>
      </c>
      <c r="E13" s="6" t="s">
        <v>45</v>
      </c>
      <c r="F13" s="7" t="s">
        <v>15</v>
      </c>
      <c r="G13" s="8" t="s">
        <v>16</v>
      </c>
      <c r="H13" s="6" t="s">
        <v>46</v>
      </c>
    </row>
    <row r="14" customFormat="false" ht="79.5" hidden="false" customHeight="true" outlineLevel="0" collapsed="false">
      <c r="A14" s="10" t="s">
        <v>36</v>
      </c>
      <c r="B14" s="5" t="s">
        <v>47</v>
      </c>
      <c r="C14" s="7" t="s">
        <v>48</v>
      </c>
      <c r="D14" s="7" t="s">
        <v>13</v>
      </c>
      <c r="E14" s="6" t="s">
        <v>49</v>
      </c>
      <c r="F14" s="7" t="s">
        <v>15</v>
      </c>
      <c r="G14" s="8" t="s">
        <v>16</v>
      </c>
      <c r="H14" s="6" t="s">
        <v>50</v>
      </c>
    </row>
    <row r="15" customFormat="false" ht="79.5" hidden="false" customHeight="true" outlineLevel="0" collapsed="false">
      <c r="A15" s="11" t="s">
        <v>51</v>
      </c>
      <c r="B15" s="5" t="s">
        <v>52</v>
      </c>
      <c r="C15" s="7" t="s">
        <v>53</v>
      </c>
      <c r="D15" s="7" t="s">
        <v>18</v>
      </c>
      <c r="E15" s="6" t="s">
        <v>54</v>
      </c>
      <c r="F15" s="7" t="s">
        <v>15</v>
      </c>
      <c r="G15" s="8" t="s">
        <v>16</v>
      </c>
      <c r="H15" s="6" t="s">
        <v>55</v>
      </c>
    </row>
    <row r="16" customFormat="false" ht="79.5" hidden="false" customHeight="true" outlineLevel="0" collapsed="false">
      <c r="A16" s="11" t="s">
        <v>51</v>
      </c>
      <c r="B16" s="5" t="s">
        <v>56</v>
      </c>
      <c r="C16" s="6" t="s">
        <v>57</v>
      </c>
      <c r="D16" s="7" t="s">
        <v>58</v>
      </c>
      <c r="E16" s="6" t="s">
        <v>59</v>
      </c>
      <c r="F16" s="7" t="s">
        <v>60</v>
      </c>
      <c r="G16" s="12" t="s">
        <v>61</v>
      </c>
      <c r="H16" s="6" t="s">
        <v>62</v>
      </c>
    </row>
    <row r="17" customFormat="false" ht="79.5" hidden="false" customHeight="true" outlineLevel="0" collapsed="false">
      <c r="A17" s="11"/>
      <c r="B17" s="5" t="s">
        <v>56</v>
      </c>
      <c r="C17" s="6" t="s">
        <v>57</v>
      </c>
      <c r="D17" s="7" t="s">
        <v>26</v>
      </c>
      <c r="E17" s="6" t="s">
        <v>63</v>
      </c>
      <c r="F17" s="7" t="s">
        <v>28</v>
      </c>
      <c r="G17" s="9" t="s">
        <v>20</v>
      </c>
      <c r="H17" s="6" t="s">
        <v>64</v>
      </c>
    </row>
    <row r="18" customFormat="false" ht="79.5" hidden="false" customHeight="true" outlineLevel="0" collapsed="false">
      <c r="A18" s="11" t="s">
        <v>51</v>
      </c>
      <c r="B18" s="5" t="s">
        <v>65</v>
      </c>
      <c r="C18" s="6" t="s">
        <v>66</v>
      </c>
      <c r="D18" s="7" t="s">
        <v>67</v>
      </c>
      <c r="E18" s="6" t="s">
        <v>68</v>
      </c>
      <c r="F18" s="7" t="s">
        <v>69</v>
      </c>
      <c r="G18" s="8" t="s">
        <v>16</v>
      </c>
      <c r="H18" s="6" t="s">
        <v>70</v>
      </c>
    </row>
    <row r="19" customFormat="false" ht="79.5" hidden="false" customHeight="true" outlineLevel="0" collapsed="false">
      <c r="A19" s="11" t="s">
        <v>51</v>
      </c>
      <c r="B19" s="5" t="s">
        <v>71</v>
      </c>
      <c r="C19" s="6" t="s">
        <v>72</v>
      </c>
      <c r="D19" s="7" t="s">
        <v>58</v>
      </c>
      <c r="E19" s="6" t="s">
        <v>73</v>
      </c>
      <c r="F19" s="7" t="s">
        <v>74</v>
      </c>
      <c r="G19" s="12" t="s">
        <v>61</v>
      </c>
      <c r="H19" s="6" t="s">
        <v>75</v>
      </c>
    </row>
    <row r="20" customFormat="false" ht="79.5" hidden="false" customHeight="true" outlineLevel="0" collapsed="false">
      <c r="A20" s="13" t="s">
        <v>76</v>
      </c>
      <c r="B20" s="5" t="s">
        <v>77</v>
      </c>
      <c r="C20" s="7" t="s">
        <v>78</v>
      </c>
      <c r="D20" s="7" t="s">
        <v>58</v>
      </c>
      <c r="E20" s="6" t="s">
        <v>79</v>
      </c>
      <c r="F20" s="7" t="s">
        <v>80</v>
      </c>
      <c r="G20" s="12" t="s">
        <v>61</v>
      </c>
      <c r="H20" s="6" t="s">
        <v>81</v>
      </c>
    </row>
    <row r="21" customFormat="false" ht="79.5" hidden="false" customHeight="true" outlineLevel="0" collapsed="false">
      <c r="A21" s="13"/>
      <c r="B21" s="5" t="s">
        <v>77</v>
      </c>
      <c r="C21" s="7" t="s">
        <v>78</v>
      </c>
      <c r="D21" s="7" t="s">
        <v>13</v>
      </c>
      <c r="E21" s="6" t="s">
        <v>82</v>
      </c>
      <c r="F21" s="7" t="s">
        <v>15</v>
      </c>
      <c r="G21" s="9" t="s">
        <v>20</v>
      </c>
      <c r="H21" s="6" t="s">
        <v>83</v>
      </c>
    </row>
    <row r="22" customFormat="false" ht="79.5" hidden="false" customHeight="true" outlineLevel="0" collapsed="false">
      <c r="A22" s="13" t="s">
        <v>76</v>
      </c>
      <c r="B22" s="5" t="s">
        <v>84</v>
      </c>
      <c r="C22" s="6" t="s">
        <v>85</v>
      </c>
      <c r="D22" s="7" t="s">
        <v>18</v>
      </c>
      <c r="E22" s="6" t="s">
        <v>86</v>
      </c>
      <c r="F22" s="7" t="s">
        <v>15</v>
      </c>
      <c r="G22" s="8" t="s">
        <v>16</v>
      </c>
      <c r="H22" s="6" t="s">
        <v>87</v>
      </c>
    </row>
    <row r="23" customFormat="false" ht="79.5" hidden="false" customHeight="true" outlineLevel="0" collapsed="false">
      <c r="A23" s="13" t="s">
        <v>76</v>
      </c>
      <c r="B23" s="5" t="s">
        <v>88</v>
      </c>
      <c r="C23" s="6" t="s">
        <v>89</v>
      </c>
      <c r="D23" s="7" t="s">
        <v>18</v>
      </c>
      <c r="E23" s="6" t="s">
        <v>90</v>
      </c>
      <c r="F23" s="7" t="s">
        <v>15</v>
      </c>
      <c r="G23" s="8" t="s">
        <v>16</v>
      </c>
      <c r="H23" s="6" t="s">
        <v>91</v>
      </c>
    </row>
    <row r="24" customFormat="false" ht="79.5" hidden="false" customHeight="true" outlineLevel="0" collapsed="false">
      <c r="A24" s="13"/>
      <c r="B24" s="5" t="s">
        <v>88</v>
      </c>
      <c r="C24" s="6" t="s">
        <v>89</v>
      </c>
      <c r="D24" s="7" t="s">
        <v>26</v>
      </c>
      <c r="E24" s="6" t="s">
        <v>92</v>
      </c>
      <c r="F24" s="7" t="s">
        <v>28</v>
      </c>
      <c r="G24" s="9" t="s">
        <v>20</v>
      </c>
      <c r="H24" s="6" t="s">
        <v>93</v>
      </c>
    </row>
    <row r="25" customFormat="false" ht="79.5" hidden="false" customHeight="true" outlineLevel="0" collapsed="false">
      <c r="A25" s="13" t="s">
        <v>76</v>
      </c>
      <c r="B25" s="5" t="s">
        <v>94</v>
      </c>
      <c r="C25" s="6" t="s">
        <v>95</v>
      </c>
      <c r="D25" s="7" t="s">
        <v>13</v>
      </c>
      <c r="E25" s="6" t="s">
        <v>96</v>
      </c>
      <c r="F25" s="7" t="s">
        <v>15</v>
      </c>
      <c r="G25" s="8" t="s">
        <v>16</v>
      </c>
      <c r="H25" s="6" t="s">
        <v>97</v>
      </c>
    </row>
    <row r="26" customFormat="false" ht="79.5" hidden="false" customHeight="true" outlineLevel="0" collapsed="false">
      <c r="A26" s="14" t="s">
        <v>98</v>
      </c>
      <c r="B26" s="5" t="s">
        <v>99</v>
      </c>
      <c r="C26" s="6" t="s">
        <v>100</v>
      </c>
      <c r="D26" s="7" t="s">
        <v>101</v>
      </c>
      <c r="E26" s="7" t="s">
        <v>102</v>
      </c>
      <c r="F26" s="7" t="s">
        <v>103</v>
      </c>
      <c r="G26" s="8" t="s">
        <v>16</v>
      </c>
      <c r="H26" s="6" t="s">
        <v>104</v>
      </c>
    </row>
    <row r="27" customFormat="false" ht="79.5" hidden="false" customHeight="true" outlineLevel="0" collapsed="false">
      <c r="A27" s="14"/>
      <c r="B27" s="5" t="s">
        <v>99</v>
      </c>
      <c r="C27" s="6" t="s">
        <v>100</v>
      </c>
      <c r="D27" s="7" t="s">
        <v>105</v>
      </c>
      <c r="E27" s="6" t="s">
        <v>106</v>
      </c>
      <c r="F27" s="7" t="s">
        <v>107</v>
      </c>
      <c r="G27" s="9" t="s">
        <v>20</v>
      </c>
      <c r="H27" s="6" t="s">
        <v>108</v>
      </c>
    </row>
  </sheetData>
  <mergeCells count="10">
    <mergeCell ref="A1:H1"/>
    <mergeCell ref="A2:H2"/>
    <mergeCell ref="A5:A6"/>
    <mergeCell ref="A7:A8"/>
    <mergeCell ref="A9:A10"/>
    <mergeCell ref="A11:A12"/>
    <mergeCell ref="A16:A17"/>
    <mergeCell ref="A20:A21"/>
    <mergeCell ref="A23:A24"/>
    <mergeCell ref="A26:A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39.75" hidden="false" customHeight="true" outlineLevel="0" collapsed="false">
      <c r="A1" s="15" t="s">
        <v>109</v>
      </c>
      <c r="B1" s="15"/>
      <c r="C1" s="15"/>
      <c r="D1" s="15"/>
      <c r="E1" s="15"/>
      <c r="F1" s="15"/>
    </row>
    <row r="2" customFormat="false" ht="12.65" hidden="false" customHeight="false" outlineLevel="0" collapsed="false">
      <c r="A2" s="2" t="s">
        <v>110</v>
      </c>
      <c r="B2" s="2"/>
      <c r="C2" s="2"/>
      <c r="D2" s="2"/>
      <c r="E2" s="2"/>
      <c r="F2" s="2"/>
    </row>
    <row r="4" customFormat="false" ht="16.4" hidden="false" customHeight="false" outlineLevel="0" collapsed="false">
      <c r="A4" s="16" t="s">
        <v>111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3" t="s">
        <v>112</v>
      </c>
      <c r="B5" s="17" t="s">
        <v>113</v>
      </c>
      <c r="C5" s="17" t="s">
        <v>114</v>
      </c>
      <c r="D5" s="17" t="s">
        <v>115</v>
      </c>
      <c r="E5" s="17" t="s">
        <v>116</v>
      </c>
      <c r="F5" s="17" t="s">
        <v>117</v>
      </c>
    </row>
    <row r="6" customFormat="false" ht="24" hidden="false" customHeight="true" outlineLevel="0" collapsed="false">
      <c r="A6" s="18" t="s">
        <v>118</v>
      </c>
      <c r="B6" s="19" t="s">
        <v>119</v>
      </c>
      <c r="C6" s="19" t="s">
        <v>120</v>
      </c>
      <c r="D6" s="19" t="s">
        <v>121</v>
      </c>
      <c r="E6" s="20" t="s">
        <v>122</v>
      </c>
      <c r="F6" s="19" t="s">
        <v>119</v>
      </c>
    </row>
    <row r="7" customFormat="false" ht="24" hidden="false" customHeight="true" outlineLevel="0" collapsed="false">
      <c r="A7" s="18" t="s">
        <v>123</v>
      </c>
      <c r="B7" s="19" t="s">
        <v>124</v>
      </c>
      <c r="C7" s="19" t="s">
        <v>121</v>
      </c>
      <c r="D7" s="19" t="s">
        <v>121</v>
      </c>
      <c r="E7" s="19" t="s">
        <v>125</v>
      </c>
      <c r="F7" s="20" t="s">
        <v>122</v>
      </c>
    </row>
    <row r="8" customFormat="false" ht="24" hidden="false" customHeight="true" outlineLevel="0" collapsed="false">
      <c r="A8" s="18" t="s">
        <v>126</v>
      </c>
      <c r="B8" s="19" t="s">
        <v>120</v>
      </c>
      <c r="C8" s="19" t="s">
        <v>119</v>
      </c>
      <c r="D8" s="20" t="s">
        <v>122</v>
      </c>
      <c r="E8" s="19" t="s">
        <v>121</v>
      </c>
      <c r="F8" s="19" t="s">
        <v>124</v>
      </c>
    </row>
    <row r="9" customFormat="false" ht="24" hidden="false" customHeight="true" outlineLevel="0" collapsed="false">
      <c r="A9" s="18" t="s">
        <v>127</v>
      </c>
      <c r="B9" s="21" t="s">
        <v>128</v>
      </c>
      <c r="C9" s="21" t="s">
        <v>129</v>
      </c>
      <c r="D9" s="19" t="s">
        <v>130</v>
      </c>
      <c r="E9" s="21" t="s">
        <v>131</v>
      </c>
      <c r="F9" s="19" t="s">
        <v>132</v>
      </c>
    </row>
    <row r="10" customFormat="false" ht="24" hidden="false" customHeight="true" outlineLevel="0" collapsed="false">
      <c r="A10" s="18" t="s">
        <v>133</v>
      </c>
      <c r="B10" s="20" t="s">
        <v>134</v>
      </c>
      <c r="C10" s="19" t="s">
        <v>119</v>
      </c>
      <c r="D10" s="19" t="s">
        <v>119</v>
      </c>
      <c r="E10" s="19" t="s">
        <v>125</v>
      </c>
      <c r="F10" s="19" t="s">
        <v>124</v>
      </c>
    </row>
    <row r="11" customFormat="false" ht="24" hidden="false" customHeight="true" outlineLevel="0" collapsed="false">
      <c r="A11" s="18" t="s">
        <v>135</v>
      </c>
      <c r="B11" s="20" t="s">
        <v>122</v>
      </c>
      <c r="C11" s="19" t="s">
        <v>120</v>
      </c>
      <c r="D11" s="19" t="s">
        <v>119</v>
      </c>
      <c r="E11" s="19" t="s">
        <v>124</v>
      </c>
      <c r="F11" s="19" t="s">
        <v>124</v>
      </c>
    </row>
    <row r="12" customFormat="false" ht="24" hidden="false" customHeight="true" outlineLevel="0" collapsed="false">
      <c r="A12" s="18" t="s">
        <v>136</v>
      </c>
      <c r="B12" s="21" t="s">
        <v>137</v>
      </c>
      <c r="C12" s="21" t="s">
        <v>137</v>
      </c>
      <c r="D12" s="21" t="s">
        <v>137</v>
      </c>
      <c r="E12" s="21" t="s">
        <v>138</v>
      </c>
      <c r="F12" s="19" t="s">
        <v>139</v>
      </c>
    </row>
    <row r="13" customFormat="false" ht="24" hidden="false" customHeight="true" outlineLevel="0" collapsed="false">
      <c r="A13" s="18" t="s">
        <v>140</v>
      </c>
      <c r="B13" s="19" t="s">
        <v>141</v>
      </c>
      <c r="C13" s="19" t="s">
        <v>142</v>
      </c>
      <c r="D13" s="19" t="s">
        <v>141</v>
      </c>
      <c r="E13" s="19" t="s">
        <v>141</v>
      </c>
      <c r="F13" s="19" t="s">
        <v>143</v>
      </c>
    </row>
    <row r="14" customFormat="false" ht="24" hidden="false" customHeight="true" outlineLevel="0" collapsed="false">
      <c r="A14" s="18" t="s">
        <v>144</v>
      </c>
      <c r="B14" s="19" t="s">
        <v>145</v>
      </c>
      <c r="C14" s="19" t="s">
        <v>146</v>
      </c>
      <c r="D14" s="19" t="s">
        <v>147</v>
      </c>
      <c r="E14" s="19" t="s">
        <v>148</v>
      </c>
      <c r="F14" s="19" t="s">
        <v>149</v>
      </c>
    </row>
    <row r="15" customFormat="false" ht="24" hidden="false" customHeight="true" outlineLevel="0" collapsed="false">
      <c r="A15" s="18" t="s">
        <v>150</v>
      </c>
      <c r="B15" s="19" t="s">
        <v>151</v>
      </c>
      <c r="C15" s="19" t="s">
        <v>152</v>
      </c>
      <c r="D15" s="19" t="s">
        <v>153</v>
      </c>
      <c r="E15" s="19" t="s">
        <v>154</v>
      </c>
      <c r="F15" s="19" t="s">
        <v>155</v>
      </c>
    </row>
    <row r="17" customFormat="false" ht="16.4" hidden="false" customHeight="false" outlineLevel="0" collapsed="false">
      <c r="A17" s="16" t="s">
        <v>156</v>
      </c>
      <c r="B17" s="16"/>
      <c r="C17" s="16"/>
      <c r="D17" s="16"/>
      <c r="E17" s="16"/>
      <c r="F17" s="16"/>
    </row>
    <row r="18" customFormat="false" ht="15" hidden="false" customHeight="false" outlineLevel="0" collapsed="false">
      <c r="A18" s="3" t="s">
        <v>157</v>
      </c>
      <c r="B18" s="3" t="s">
        <v>158</v>
      </c>
    </row>
    <row r="19" customFormat="false" ht="64.5" hidden="false" customHeight="true" outlineLevel="0" collapsed="false">
      <c r="A19" s="22" t="s">
        <v>159</v>
      </c>
      <c r="B19" s="23" t="s">
        <v>160</v>
      </c>
      <c r="C19" s="23"/>
      <c r="D19" s="23"/>
      <c r="E19" s="23"/>
      <c r="F19" s="23"/>
    </row>
    <row r="20" customFormat="false" ht="64.5" hidden="false" customHeight="true" outlineLevel="0" collapsed="false">
      <c r="A20" s="22" t="s">
        <v>161</v>
      </c>
      <c r="B20" s="23" t="s">
        <v>162</v>
      </c>
      <c r="C20" s="23"/>
      <c r="D20" s="23"/>
      <c r="E20" s="23"/>
      <c r="F20" s="23"/>
    </row>
    <row r="21" customFormat="false" ht="64.5" hidden="false" customHeight="true" outlineLevel="0" collapsed="false">
      <c r="A21" s="22" t="s">
        <v>163</v>
      </c>
      <c r="B21" s="23" t="s">
        <v>164</v>
      </c>
      <c r="C21" s="23"/>
      <c r="D21" s="23"/>
      <c r="E21" s="23"/>
      <c r="F21" s="23"/>
    </row>
    <row r="22" customFormat="false" ht="64.5" hidden="false" customHeight="true" outlineLevel="0" collapsed="false">
      <c r="A22" s="24" t="s">
        <v>165</v>
      </c>
      <c r="B22" s="25" t="s">
        <v>166</v>
      </c>
      <c r="C22" s="25"/>
      <c r="D22" s="25"/>
      <c r="E22" s="25"/>
      <c r="F22" s="25"/>
    </row>
    <row r="23" customFormat="false" ht="64.5" hidden="false" customHeight="true" outlineLevel="0" collapsed="false">
      <c r="A23" s="24" t="s">
        <v>167</v>
      </c>
      <c r="B23" s="25" t="s">
        <v>168</v>
      </c>
      <c r="C23" s="25"/>
      <c r="D23" s="25"/>
      <c r="E23" s="25"/>
      <c r="F23" s="25"/>
    </row>
    <row r="24" customFormat="false" ht="64.5" hidden="false" customHeight="true" outlineLevel="0" collapsed="false">
      <c r="A24" s="24" t="s">
        <v>169</v>
      </c>
      <c r="B24" s="25" t="s">
        <v>170</v>
      </c>
      <c r="C24" s="25"/>
      <c r="D24" s="25"/>
      <c r="E24" s="25"/>
      <c r="F24" s="25"/>
    </row>
    <row r="25" customFormat="false" ht="109.5" hidden="false" customHeight="true" outlineLevel="0" collapsed="false">
      <c r="A25" s="26" t="s">
        <v>171</v>
      </c>
      <c r="B25" s="25" t="s">
        <v>172</v>
      </c>
      <c r="C25" s="25"/>
      <c r="D25" s="25"/>
      <c r="E25" s="25"/>
      <c r="F25" s="25"/>
    </row>
  </sheetData>
  <mergeCells count="11">
    <mergeCell ref="A1:F1"/>
    <mergeCell ref="A2:F2"/>
    <mergeCell ref="A4:F4"/>
    <mergeCell ref="A17:F17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39.75" hidden="false" customHeight="true" outlineLevel="0" collapsed="false">
      <c r="A1" s="15" t="s">
        <v>173</v>
      </c>
      <c r="B1" s="15"/>
      <c r="C1" s="15"/>
      <c r="D1" s="15"/>
      <c r="E1" s="15"/>
      <c r="F1" s="15"/>
      <c r="G1" s="15"/>
    </row>
    <row r="2" customFormat="false" ht="12.65" hidden="false" customHeight="false" outlineLevel="0" collapsed="false">
      <c r="A2" s="27" t="s">
        <v>174</v>
      </c>
      <c r="B2" s="27"/>
      <c r="C2" s="27"/>
      <c r="D2" s="27"/>
      <c r="E2" s="27"/>
      <c r="F2" s="27"/>
      <c r="G2" s="27"/>
    </row>
    <row r="4" customFormat="false" ht="16.4" hidden="false" customHeight="false" outlineLevel="0" collapsed="false">
      <c r="A4" s="16" t="s">
        <v>175</v>
      </c>
      <c r="B4" s="16"/>
      <c r="C4" s="16"/>
      <c r="D4" s="16"/>
      <c r="E4" s="16"/>
      <c r="F4" s="16"/>
      <c r="G4" s="16"/>
    </row>
    <row r="5" customFormat="false" ht="15" hidden="false" customHeight="false" outlineLevel="0" collapsed="false">
      <c r="A5" s="3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182</v>
      </c>
    </row>
    <row r="6" customFormat="false" ht="21.75" hidden="false" customHeight="true" outlineLevel="0" collapsed="false">
      <c r="A6" s="21" t="s">
        <v>183</v>
      </c>
      <c r="B6" s="21" t="n">
        <v>5</v>
      </c>
      <c r="C6" s="19" t="s">
        <v>115</v>
      </c>
      <c r="D6" s="19" t="s">
        <v>184</v>
      </c>
      <c r="E6" s="19" t="s">
        <v>185</v>
      </c>
      <c r="F6" s="21" t="n">
        <f aca="false">B6*25</f>
        <v>125</v>
      </c>
      <c r="G6" s="21" t="s">
        <v>186</v>
      </c>
    </row>
    <row r="7" customFormat="false" ht="21.75" hidden="false" customHeight="true" outlineLevel="0" collapsed="false">
      <c r="A7" s="21" t="s">
        <v>187</v>
      </c>
      <c r="B7" s="21" t="n">
        <v>3</v>
      </c>
      <c r="C7" s="19" t="s">
        <v>115</v>
      </c>
      <c r="D7" s="19" t="s">
        <v>184</v>
      </c>
      <c r="E7" s="19" t="s">
        <v>185</v>
      </c>
      <c r="F7" s="21" t="n">
        <f aca="false">B7*25</f>
        <v>75</v>
      </c>
      <c r="G7" s="21" t="s">
        <v>188</v>
      </c>
    </row>
    <row r="8" customFormat="false" ht="21.75" hidden="false" customHeight="true" outlineLevel="0" collapsed="false">
      <c r="A8" s="21" t="s">
        <v>189</v>
      </c>
      <c r="B8" s="21" t="n">
        <v>1</v>
      </c>
      <c r="C8" s="19" t="s">
        <v>115</v>
      </c>
      <c r="D8" s="19" t="s">
        <v>184</v>
      </c>
      <c r="E8" s="19" t="s">
        <v>185</v>
      </c>
      <c r="F8" s="21" t="n">
        <f aca="false">B8*25</f>
        <v>25</v>
      </c>
      <c r="G8" s="19" t="s">
        <v>190</v>
      </c>
    </row>
    <row r="9" customFormat="false" ht="21.75" hidden="false" customHeight="true" outlineLevel="0" collapsed="false">
      <c r="A9" s="21" t="s">
        <v>191</v>
      </c>
      <c r="B9" s="21" t="n">
        <v>2</v>
      </c>
      <c r="C9" s="19" t="s">
        <v>115</v>
      </c>
      <c r="D9" s="19" t="s">
        <v>192</v>
      </c>
      <c r="E9" s="19" t="s">
        <v>193</v>
      </c>
      <c r="F9" s="21" t="n">
        <f aca="false">B9*125</f>
        <v>250</v>
      </c>
      <c r="G9" s="19" t="s">
        <v>194</v>
      </c>
    </row>
    <row r="10" customFormat="false" ht="21.75" hidden="false" customHeight="true" outlineLevel="0" collapsed="false">
      <c r="A10" s="28" t="s">
        <v>195</v>
      </c>
      <c r="B10" s="28" t="n">
        <f aca="false">SUM(B6:B9)</f>
        <v>11</v>
      </c>
      <c r="C10" s="28"/>
      <c r="D10" s="28"/>
      <c r="E10" s="28"/>
      <c r="F10" s="28" t="n">
        <f aca="false">SUM(F6:F9)</f>
        <v>475</v>
      </c>
      <c r="G10" s="29" t="s">
        <v>196</v>
      </c>
    </row>
    <row r="12" customFormat="false" ht="16.4" hidden="false" customHeight="false" outlineLevel="0" collapsed="false">
      <c r="A12" s="16" t="s">
        <v>197</v>
      </c>
      <c r="B12" s="16"/>
      <c r="C12" s="16"/>
      <c r="D12" s="16"/>
      <c r="E12" s="16"/>
      <c r="F12" s="16"/>
      <c r="G12" s="16"/>
    </row>
    <row r="13" customFormat="false" ht="15" hidden="false" customHeight="false" outlineLevel="0" collapsed="false">
      <c r="A13" s="3" t="s">
        <v>176</v>
      </c>
      <c r="B13" s="3" t="s">
        <v>177</v>
      </c>
      <c r="C13" s="3" t="s">
        <v>178</v>
      </c>
      <c r="D13" s="3" t="s">
        <v>179</v>
      </c>
      <c r="E13" s="3" t="s">
        <v>180</v>
      </c>
      <c r="F13" s="3" t="s">
        <v>181</v>
      </c>
      <c r="G13" s="3" t="s">
        <v>182</v>
      </c>
    </row>
    <row r="14" customFormat="false" ht="21.75" hidden="false" customHeight="true" outlineLevel="0" collapsed="false">
      <c r="A14" s="19" t="s">
        <v>198</v>
      </c>
      <c r="B14" s="21" t="n">
        <f aca="false">B10</f>
        <v>11</v>
      </c>
      <c r="C14" s="19" t="s">
        <v>115</v>
      </c>
      <c r="D14" s="21" t="s">
        <v>199</v>
      </c>
      <c r="E14" s="21"/>
      <c r="F14" s="21" t="n">
        <f aca="false">F10</f>
        <v>475</v>
      </c>
      <c r="G14" s="21" t="s">
        <v>200</v>
      </c>
    </row>
    <row r="15" customFormat="false" ht="21.75" hidden="false" customHeight="true" outlineLevel="0" collapsed="false">
      <c r="A15" s="21" t="s">
        <v>11</v>
      </c>
      <c r="B15" s="21" t="n">
        <v>3</v>
      </c>
      <c r="C15" s="19" t="s">
        <v>113</v>
      </c>
      <c r="D15" s="19" t="s">
        <v>201</v>
      </c>
      <c r="E15" s="19" t="s">
        <v>185</v>
      </c>
      <c r="F15" s="21" t="n">
        <f aca="false">B15*25</f>
        <v>75</v>
      </c>
      <c r="G15" s="21" t="s">
        <v>202</v>
      </c>
    </row>
    <row r="16" customFormat="false" ht="21.75" hidden="false" customHeight="true" outlineLevel="0" collapsed="false">
      <c r="A16" s="21" t="s">
        <v>22</v>
      </c>
      <c r="B16" s="21" t="n">
        <v>2</v>
      </c>
      <c r="C16" s="19" t="s">
        <v>113</v>
      </c>
      <c r="D16" s="19" t="s">
        <v>201</v>
      </c>
      <c r="E16" s="19" t="s">
        <v>185</v>
      </c>
      <c r="F16" s="21" t="n">
        <f aca="false">B16*25</f>
        <v>50</v>
      </c>
      <c r="G16" s="21" t="s">
        <v>203</v>
      </c>
    </row>
    <row r="17" customFormat="false" ht="21.75" hidden="false" customHeight="true" outlineLevel="0" collapsed="false">
      <c r="A17" s="21" t="s">
        <v>30</v>
      </c>
      <c r="B17" s="21" t="n">
        <v>2</v>
      </c>
      <c r="C17" s="19" t="s">
        <v>115</v>
      </c>
      <c r="D17" s="19" t="s">
        <v>184</v>
      </c>
      <c r="E17" s="19" t="s">
        <v>185</v>
      </c>
      <c r="F17" s="21" t="n">
        <f aca="false">B17*25</f>
        <v>50</v>
      </c>
      <c r="G17" s="21" t="s">
        <v>204</v>
      </c>
    </row>
    <row r="18" customFormat="false" ht="21.75" hidden="false" customHeight="true" outlineLevel="0" collapsed="false">
      <c r="A18" s="21" t="s">
        <v>37</v>
      </c>
      <c r="B18" s="21" t="n">
        <v>2</v>
      </c>
      <c r="C18" s="19" t="s">
        <v>113</v>
      </c>
      <c r="D18" s="19" t="s">
        <v>201</v>
      </c>
      <c r="E18" s="19" t="s">
        <v>185</v>
      </c>
      <c r="F18" s="21" t="n">
        <f aca="false">B18*25</f>
        <v>50</v>
      </c>
      <c r="G18" s="21" t="s">
        <v>205</v>
      </c>
    </row>
    <row r="19" customFormat="false" ht="21.75" hidden="false" customHeight="true" outlineLevel="0" collapsed="false">
      <c r="A19" s="21" t="s">
        <v>206</v>
      </c>
      <c r="B19" s="21" t="n">
        <v>3</v>
      </c>
      <c r="C19" s="19" t="s">
        <v>117</v>
      </c>
      <c r="D19" s="19" t="s">
        <v>207</v>
      </c>
      <c r="E19" s="19" t="s">
        <v>155</v>
      </c>
      <c r="F19" s="21" t="n">
        <f aca="false">B19*30</f>
        <v>90</v>
      </c>
      <c r="G19" s="21" t="s">
        <v>208</v>
      </c>
    </row>
    <row r="20" customFormat="false" ht="21.75" hidden="false" customHeight="true" outlineLevel="0" collapsed="false">
      <c r="A20" s="21" t="s">
        <v>209</v>
      </c>
      <c r="B20" s="21" t="n">
        <v>3</v>
      </c>
      <c r="C20" s="19" t="s">
        <v>116</v>
      </c>
      <c r="D20" s="19" t="s">
        <v>210</v>
      </c>
      <c r="E20" s="19" t="s">
        <v>211</v>
      </c>
      <c r="F20" s="21" t="n">
        <f aca="false">B20*40</f>
        <v>120</v>
      </c>
      <c r="G20" s="21" t="s">
        <v>212</v>
      </c>
    </row>
    <row r="21" customFormat="false" ht="21.75" hidden="false" customHeight="true" outlineLevel="0" collapsed="false">
      <c r="A21" s="30" t="s">
        <v>213</v>
      </c>
      <c r="B21" s="30" t="n">
        <f aca="false">SUM(B15:B20)</f>
        <v>15</v>
      </c>
      <c r="C21" s="30"/>
      <c r="D21" s="30"/>
      <c r="E21" s="30"/>
      <c r="F21" s="30" t="n">
        <f aca="false">SUM(F15:F20)</f>
        <v>435</v>
      </c>
      <c r="G21" s="30"/>
    </row>
    <row r="22" customFormat="false" ht="21.75" hidden="false" customHeight="true" outlineLevel="0" collapsed="false">
      <c r="A22" s="31" t="s">
        <v>214</v>
      </c>
      <c r="B22" s="31" t="n">
        <f aca="false">B14+B21</f>
        <v>26</v>
      </c>
      <c r="C22" s="31"/>
      <c r="D22" s="31"/>
      <c r="E22" s="31"/>
      <c r="F22" s="31" t="n">
        <f aca="false">F14+F21</f>
        <v>910</v>
      </c>
      <c r="G22" s="31"/>
    </row>
  </sheetData>
  <mergeCells count="4">
    <mergeCell ref="A1:G1"/>
    <mergeCell ref="A2:G2"/>
    <mergeCell ref="A4:G4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39.75" hidden="false" customHeight="true" outlineLevel="0" collapsed="false">
      <c r="A1" s="1" t="s">
        <v>215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216</v>
      </c>
      <c r="B3" s="3" t="s">
        <v>217</v>
      </c>
      <c r="C3" s="3" t="s">
        <v>218</v>
      </c>
      <c r="D3" s="3" t="s">
        <v>219</v>
      </c>
      <c r="E3" s="3" t="s">
        <v>220</v>
      </c>
      <c r="F3" s="3" t="s">
        <v>221</v>
      </c>
    </row>
    <row r="4" customFormat="false" ht="109.5" hidden="false" customHeight="true" outlineLevel="0" collapsed="false">
      <c r="A4" s="28" t="s">
        <v>222</v>
      </c>
      <c r="B4" s="7" t="s">
        <v>223</v>
      </c>
      <c r="C4" s="7" t="s">
        <v>224</v>
      </c>
      <c r="D4" s="6" t="s">
        <v>225</v>
      </c>
      <c r="E4" s="7" t="s">
        <v>226</v>
      </c>
      <c r="F4" s="6" t="s">
        <v>227</v>
      </c>
    </row>
    <row r="5" customFormat="false" ht="109.5" hidden="false" customHeight="true" outlineLevel="0" collapsed="false">
      <c r="A5" s="32" t="s">
        <v>228</v>
      </c>
      <c r="B5" s="7" t="s">
        <v>229</v>
      </c>
      <c r="C5" s="6" t="s">
        <v>230</v>
      </c>
      <c r="D5" s="6" t="s">
        <v>231</v>
      </c>
      <c r="E5" s="7" t="s">
        <v>232</v>
      </c>
      <c r="F5" s="6" t="s">
        <v>233</v>
      </c>
    </row>
    <row r="6" customFormat="false" ht="109.5" hidden="false" customHeight="true" outlineLevel="0" collapsed="false">
      <c r="A6" s="33" t="s">
        <v>234</v>
      </c>
      <c r="B6" s="7" t="s">
        <v>235</v>
      </c>
      <c r="C6" s="6" t="s">
        <v>236</v>
      </c>
      <c r="D6" s="6" t="s">
        <v>237</v>
      </c>
      <c r="E6" s="7" t="s">
        <v>238</v>
      </c>
      <c r="F6" s="7" t="s">
        <v>239</v>
      </c>
    </row>
    <row r="7" customFormat="false" ht="109.5" hidden="false" customHeight="true" outlineLevel="0" collapsed="false">
      <c r="A7" s="34" t="s">
        <v>240</v>
      </c>
      <c r="B7" s="7" t="s">
        <v>241</v>
      </c>
      <c r="C7" s="6" t="s">
        <v>242</v>
      </c>
      <c r="D7" s="6" t="s">
        <v>243</v>
      </c>
      <c r="E7" s="6" t="s">
        <v>244</v>
      </c>
      <c r="F7" s="6" t="s">
        <v>245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2026-04-06T10:54:29Z</dcterms:created>
  <dc:creator>openpyxl</dc:creator>
  <dc:description/>
  <dc:language>en-US</dc:language>
  <cp:lastModifiedBy/>
  <dcterms:modified xsi:type="dcterms:W3CDTF">2026-04-06T10:54:30Z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