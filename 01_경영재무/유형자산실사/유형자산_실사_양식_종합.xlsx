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MISTOP\Documents\유형자산 실사\"/>
    </mc:Choice>
  </mc:AlternateContent>
  <xr:revisionPtr revIDLastSave="0" documentId="13_ncr:1_{286E2CF2-E760-448E-9F19-BBDB43C4D37F}" xr6:coauthVersionLast="47" xr6:coauthVersionMax="47" xr10:uidLastSave="{00000000-0000-0000-0000-000000000000}"/>
  <bookViews>
    <workbookView xWindow="28680" yWindow="-120" windowWidth="29040" windowHeight="15720" tabRatio="500" activeTab="5" xr2:uid="{00000000-000D-0000-FFFF-FFFF00000000}"/>
  </bookViews>
  <sheets>
    <sheet name="실사계획서" sheetId="1" r:id="rId1"/>
    <sheet name="자산분류코드표" sheetId="2" r:id="rId2"/>
    <sheet name="유형자산실사대장" sheetId="3" r:id="rId3"/>
    <sheet name="차이분석표" sheetId="4" r:id="rId4"/>
    <sheet name="실사결과요약" sheetId="5" r:id="rId5"/>
    <sheet name="실사체크리스트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H12" i="5" l="1"/>
  <c r="G12" i="5"/>
  <c r="F12" i="5"/>
  <c r="E12" i="5"/>
  <c r="C14" i="5" s="1"/>
  <c r="D12" i="5"/>
  <c r="C12" i="5"/>
  <c r="F23" i="4"/>
  <c r="F22" i="4"/>
  <c r="F21" i="4"/>
  <c r="F20" i="4"/>
  <c r="F19" i="4"/>
  <c r="F18" i="4"/>
  <c r="F17" i="4"/>
  <c r="F16" i="4"/>
  <c r="F15" i="4"/>
  <c r="F14" i="4"/>
  <c r="F13" i="4"/>
  <c r="F12" i="4"/>
  <c r="F11" i="4"/>
  <c r="F10" i="4"/>
  <c r="F9" i="4"/>
  <c r="F8" i="4"/>
  <c r="F7" i="4"/>
  <c r="F6" i="4"/>
  <c r="F5" i="4"/>
  <c r="F4" i="4"/>
  <c r="K36" i="3"/>
  <c r="J36" i="3"/>
  <c r="I36" i="3"/>
  <c r="L35" i="3"/>
  <c r="L34" i="3"/>
  <c r="L33" i="3"/>
  <c r="L32" i="3"/>
  <c r="L31" i="3"/>
  <c r="L30" i="3"/>
  <c r="L29" i="3"/>
  <c r="L28" i="3"/>
  <c r="L27" i="3"/>
  <c r="L26" i="3"/>
  <c r="L25" i="3"/>
  <c r="L24" i="3"/>
  <c r="L23" i="3"/>
  <c r="L22" i="3"/>
  <c r="L21" i="3"/>
  <c r="L20" i="3"/>
  <c r="L19" i="3"/>
  <c r="L18" i="3"/>
  <c r="L17" i="3"/>
  <c r="L16" i="3"/>
  <c r="L15" i="3"/>
  <c r="L14" i="3"/>
  <c r="L13" i="3"/>
  <c r="L12" i="3"/>
  <c r="L11" i="3"/>
  <c r="L10" i="3"/>
  <c r="L9" i="3"/>
  <c r="L8" i="3"/>
  <c r="L7" i="3"/>
  <c r="L6" i="3"/>
  <c r="L36" i="3" s="1"/>
</calcChain>
</file>

<file path=xl/sharedStrings.xml><?xml version="1.0" encoding="utf-8"?>
<sst xmlns="http://schemas.openxmlformats.org/spreadsheetml/2006/main" count="280" uniqueCount="242">
  <si>
    <t>유형자산 실사 계획서</t>
  </si>
  <si>
    <r>
      <rPr>
        <sz val="9"/>
        <color rgb="FF666666"/>
        <rFont val="맑은 고딕"/>
        <family val="3"/>
        <charset val="129"/>
      </rPr>
      <t>(</t>
    </r>
    <r>
      <rPr>
        <sz val="9"/>
        <color rgb="FF666666"/>
        <rFont val="DejaVu Sans"/>
        <family val="2"/>
      </rPr>
      <t xml:space="preserve">재고자산 제외 </t>
    </r>
    <r>
      <rPr>
        <sz val="9"/>
        <color rgb="FF666666"/>
        <rFont val="맑은 고딕"/>
        <family val="3"/>
        <charset val="129"/>
      </rPr>
      <t xml:space="preserve">- </t>
    </r>
    <r>
      <rPr>
        <sz val="9"/>
        <color rgb="FF666666"/>
        <rFont val="DejaVu Sans"/>
        <family val="2"/>
      </rPr>
      <t>설비</t>
    </r>
    <r>
      <rPr>
        <sz val="9"/>
        <color rgb="FF666666"/>
        <rFont val="맑은 고딕"/>
        <family val="3"/>
        <charset val="129"/>
      </rPr>
      <t>/</t>
    </r>
    <r>
      <rPr>
        <sz val="9"/>
        <color rgb="FF666666"/>
        <rFont val="DejaVu Sans"/>
        <family val="2"/>
      </rPr>
      <t>기계장치</t>
    </r>
    <r>
      <rPr>
        <sz val="9"/>
        <color rgb="FF666666"/>
        <rFont val="맑은 고딕"/>
        <family val="3"/>
        <charset val="129"/>
      </rPr>
      <t xml:space="preserve">, </t>
    </r>
    <r>
      <rPr>
        <sz val="9"/>
        <color rgb="FF666666"/>
        <rFont val="DejaVu Sans"/>
        <family val="2"/>
      </rPr>
      <t>사무가구</t>
    </r>
    <r>
      <rPr>
        <sz val="9"/>
        <color rgb="FF666666"/>
        <rFont val="맑은 고딕"/>
        <family val="3"/>
        <charset val="129"/>
      </rPr>
      <t xml:space="preserve">, </t>
    </r>
    <r>
      <rPr>
        <sz val="9"/>
        <color rgb="FF666666"/>
        <rFont val="DejaVu Sans"/>
        <family val="2"/>
      </rPr>
      <t>전자제품</t>
    </r>
    <r>
      <rPr>
        <sz val="9"/>
        <color rgb="FF666666"/>
        <rFont val="맑은 고딕"/>
        <family val="3"/>
        <charset val="129"/>
      </rPr>
      <t>/IT</t>
    </r>
    <r>
      <rPr>
        <sz val="9"/>
        <color rgb="FF666666"/>
        <rFont val="DejaVu Sans"/>
        <family val="2"/>
      </rPr>
      <t>장비</t>
    </r>
    <r>
      <rPr>
        <sz val="9"/>
        <color rgb="FF666666"/>
        <rFont val="맑은 고딕"/>
        <family val="3"/>
        <charset val="129"/>
      </rPr>
      <t xml:space="preserve">, </t>
    </r>
    <r>
      <rPr>
        <sz val="9"/>
        <color rgb="FF666666"/>
        <rFont val="DejaVu Sans"/>
        <family val="2"/>
      </rPr>
      <t>차량운반구</t>
    </r>
    <r>
      <rPr>
        <sz val="9"/>
        <color rgb="FF666666"/>
        <rFont val="맑은 고딕"/>
        <family val="3"/>
        <charset val="129"/>
      </rPr>
      <t xml:space="preserve">, </t>
    </r>
    <r>
      <rPr>
        <sz val="9"/>
        <color rgb="FF666666"/>
        <rFont val="DejaVu Sans"/>
        <family val="2"/>
      </rPr>
      <t>공구</t>
    </r>
    <r>
      <rPr>
        <sz val="9"/>
        <color rgb="FF666666"/>
        <rFont val="맑은 고딕"/>
        <family val="3"/>
        <charset val="129"/>
      </rPr>
      <t>/</t>
    </r>
    <r>
      <rPr>
        <sz val="9"/>
        <color rgb="FF666666"/>
        <rFont val="DejaVu Sans"/>
        <family val="2"/>
      </rPr>
      <t>금형</t>
    </r>
    <r>
      <rPr>
        <sz val="9"/>
        <color rgb="FF666666"/>
        <rFont val="맑은 고딕"/>
        <family val="3"/>
        <charset val="129"/>
      </rPr>
      <t>)</t>
    </r>
  </si>
  <si>
    <r>
      <rPr>
        <b/>
        <sz val="12"/>
        <color rgb="FF2F5496"/>
        <rFont val="맑은 고딕"/>
        <family val="3"/>
        <charset val="129"/>
      </rPr>
      <t xml:space="preserve">1. </t>
    </r>
    <r>
      <rPr>
        <b/>
        <sz val="12"/>
        <color rgb="FF2F5496"/>
        <rFont val="DejaVu Sans"/>
        <family val="2"/>
      </rPr>
      <t>실사 개요</t>
    </r>
  </si>
  <si>
    <t>실사명</t>
  </si>
  <si>
    <t>실사 기준일</t>
  </si>
  <si>
    <t>실사 목적</t>
  </si>
  <si>
    <t>실사 기간</t>
  </si>
  <si>
    <t>주관 부서</t>
  </si>
  <si>
    <t>실사 장소</t>
  </si>
  <si>
    <t>실사 대상</t>
  </si>
  <si>
    <t>제외 대상</t>
  </si>
  <si>
    <t>총괄 책임자</t>
  </si>
  <si>
    <t>문서번호</t>
  </si>
  <si>
    <r>
      <rPr>
        <b/>
        <sz val="12"/>
        <color rgb="FF2F5496"/>
        <rFont val="맑은 고딕"/>
        <family val="3"/>
        <charset val="129"/>
      </rPr>
      <t xml:space="preserve">2. </t>
    </r>
    <r>
      <rPr>
        <b/>
        <sz val="12"/>
        <color rgb="FF2F5496"/>
        <rFont val="DejaVu Sans"/>
        <family val="2"/>
      </rPr>
      <t xml:space="preserve">실사 절차 </t>
    </r>
    <r>
      <rPr>
        <b/>
        <sz val="12"/>
        <color rgb="FF2F5496"/>
        <rFont val="맑은 고딕"/>
        <family val="3"/>
        <charset val="129"/>
      </rPr>
      <t>(Step-by-Step)</t>
    </r>
  </si>
  <si>
    <t>단계</t>
  </si>
  <si>
    <t>절차</t>
  </si>
  <si>
    <t>세부 내용</t>
  </si>
  <si>
    <t>담당</t>
  </si>
  <si>
    <t>산출물</t>
  </si>
  <si>
    <r>
      <rPr>
        <b/>
        <sz val="10"/>
        <rFont val="맑은 고딕"/>
        <family val="3"/>
        <charset val="129"/>
      </rPr>
      <t>1</t>
    </r>
    <r>
      <rPr>
        <b/>
        <sz val="10"/>
        <rFont val="DejaVu Sans"/>
        <family val="2"/>
      </rPr>
      <t xml:space="preserve">단계
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사전준비</t>
    </r>
    <r>
      <rPr>
        <b/>
        <sz val="10"/>
        <rFont val="맑은 고딕"/>
        <family val="3"/>
        <charset val="129"/>
      </rPr>
      <t>)</t>
    </r>
  </si>
  <si>
    <t>실사 계획 수립</t>
  </si>
  <si>
    <r>
      <rPr>
        <sz val="10"/>
        <rFont val="DejaVu Sans"/>
        <family val="2"/>
      </rPr>
      <t>• 실사 일정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범위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인원 확정
• 자산분류 기준 및 코드체계 확인
• 자산대장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장부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데이터 추출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정리</t>
    </r>
  </si>
  <si>
    <t>재무팀</t>
  </si>
  <si>
    <r>
      <rPr>
        <sz val="10"/>
        <rFont val="DejaVu Sans"/>
        <family val="2"/>
      </rPr>
      <t>실사계획서
자산대장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장부</t>
    </r>
    <r>
      <rPr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</si>
  <si>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2</t>
    </r>
    <r>
      <rPr>
        <b/>
        <sz val="10"/>
        <rFont val="DejaVu Sans"/>
        <family val="2"/>
      </rPr>
      <t xml:space="preserve">단계
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사전준비</t>
    </r>
    <r>
      <rPr>
        <b/>
        <sz val="10"/>
        <rFont val="맑은 고딕"/>
        <family val="3"/>
        <charset val="129"/>
      </rPr>
      <t>)</t>
    </r>
  </si>
  <si>
    <t>실사팀 편성 및 교육</t>
  </si>
  <si>
    <r>
      <rPr>
        <sz val="10"/>
        <rFont val="DejaVu Sans"/>
        <family val="2"/>
      </rPr>
      <t>• 실사반 편성</t>
    </r>
    <r>
      <rPr>
        <sz val="10"/>
        <rFont val="맑은 고딕"/>
        <family val="3"/>
        <charset val="129"/>
      </rPr>
      <t>(2</t>
    </r>
    <r>
      <rPr>
        <sz val="10"/>
        <rFont val="DejaVu Sans"/>
        <family val="2"/>
      </rPr>
      <t xml:space="preserve">인 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>조 원칙</t>
    </r>
    <r>
      <rPr>
        <sz val="10"/>
        <rFont val="맑은 고딕"/>
        <family val="3"/>
        <charset val="129"/>
      </rPr>
      <t xml:space="preserve">)
• 실사 방법, </t>
    </r>
    <r>
      <rPr>
        <sz val="10"/>
        <rFont val="DejaVu Sans"/>
        <family val="2"/>
      </rPr>
      <t>양식 작성법 교육
• 자산 라벨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태그 부착 상태 사전점검</t>
    </r>
  </si>
  <si>
    <t>인사총무팀</t>
  </si>
  <si>
    <t>실사팀 편성표
교육자료</t>
  </si>
  <si>
    <r>
      <rPr>
        <b/>
        <sz val="10"/>
        <rFont val="맑은 고딕"/>
        <family val="3"/>
        <charset val="129"/>
      </rPr>
      <t>3</t>
    </r>
    <r>
      <rPr>
        <b/>
        <sz val="10"/>
        <rFont val="DejaVu Sans"/>
        <family val="2"/>
      </rPr>
      <t xml:space="preserve">단계
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현장실사</t>
    </r>
    <r>
      <rPr>
        <b/>
        <sz val="10"/>
        <rFont val="맑은 고딕"/>
        <family val="3"/>
        <charset val="129"/>
      </rPr>
      <t>)</t>
    </r>
  </si>
  <si>
    <t>현장 자산 확인</t>
  </si>
  <si>
    <r>
      <rPr>
        <sz val="10"/>
        <rFont val="DejaVu Sans"/>
        <family val="2"/>
      </rPr>
      <t>• 자산 소재지 방문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현물 확인
• 자산번호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품명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수량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상태 확인
• 사진 촬영 및 위치 기록
• 자산 라벨 미부착 건 신규 부착</t>
    </r>
  </si>
  <si>
    <t>실사반</t>
  </si>
  <si>
    <r>
      <rPr>
        <sz val="10"/>
        <rFont val="DejaVu Sans"/>
        <family val="2"/>
      </rPr>
      <t xml:space="preserve">실사대장
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현장기입</t>
    </r>
    <r>
      <rPr>
        <sz val="10"/>
        <rFont val="맑은 고딕"/>
        <family val="3"/>
        <charset val="129"/>
      </rPr>
      <t>)</t>
    </r>
  </si>
  <si>
    <r>
      <rPr>
        <b/>
        <sz val="10"/>
        <rFont val="맑은 고딕"/>
        <family val="3"/>
        <charset val="129"/>
      </rPr>
      <t>4</t>
    </r>
    <r>
      <rPr>
        <b/>
        <sz val="10"/>
        <rFont val="DejaVu Sans"/>
        <family val="2"/>
      </rPr>
      <t xml:space="preserve">단계
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현장실사</t>
    </r>
    <r>
      <rPr>
        <b/>
        <sz val="10"/>
        <rFont val="맑은 고딕"/>
        <family val="3"/>
        <charset val="129"/>
      </rPr>
      <t>)</t>
    </r>
  </si>
  <si>
    <t>장부 대 현물 대사</t>
  </si>
  <si>
    <r>
      <rPr>
        <sz val="10"/>
        <rFont val="DejaVu Sans"/>
        <family val="2"/>
      </rPr>
      <t xml:space="preserve">• 장부상 자산 </t>
    </r>
    <r>
      <rPr>
        <sz val="10"/>
        <rFont val="맑은 고딕"/>
        <family val="3"/>
        <charset val="129"/>
      </rPr>
      <t xml:space="preserve">vs </t>
    </r>
    <r>
      <rPr>
        <sz val="10"/>
        <rFont val="DejaVu Sans"/>
        <family val="2"/>
      </rPr>
      <t>현물 대사
• 과부족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미확인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폐기대상 분류
• 위치이동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관리부서변경 건 확인</t>
    </r>
  </si>
  <si>
    <t>차이내역서</t>
  </si>
  <si>
    <r>
      <rPr>
        <b/>
        <sz val="10"/>
        <rFont val="맑은 고딕"/>
        <family val="3"/>
        <charset val="129"/>
      </rPr>
      <t>5</t>
    </r>
    <r>
      <rPr>
        <b/>
        <sz val="10"/>
        <rFont val="DejaVu Sans"/>
        <family val="2"/>
      </rPr>
      <t xml:space="preserve">단계
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사후정리</t>
    </r>
    <r>
      <rPr>
        <b/>
        <sz val="10"/>
        <rFont val="맑은 고딕"/>
        <family val="3"/>
        <charset val="129"/>
      </rPr>
      <t>)</t>
    </r>
  </si>
  <si>
    <t>차이 원인 분석</t>
  </si>
  <si>
    <r>
      <rPr>
        <sz val="10"/>
        <rFont val="DejaVu Sans"/>
        <family val="2"/>
      </rPr>
      <t>• 과부족 원인 파악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이동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폐기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미등록 등</t>
    </r>
    <r>
      <rPr>
        <sz val="10"/>
        <rFont val="맑은 고딕"/>
        <family val="3"/>
        <charset val="129"/>
      </rPr>
      <t>)
• 관리부서별 확인 및 서명
• 폐기/</t>
    </r>
    <r>
      <rPr>
        <sz val="10"/>
        <rFont val="DejaVu Sans"/>
        <family val="2"/>
      </rPr>
      <t>처분 대상 자산 선별</t>
    </r>
  </si>
  <si>
    <t>재무팀
인사총무팀</t>
  </si>
  <si>
    <t>차이분석표</t>
  </si>
  <si>
    <r>
      <rPr>
        <b/>
        <sz val="10"/>
        <rFont val="맑은 고딕"/>
        <family val="3"/>
        <charset val="129"/>
      </rPr>
      <t>6</t>
    </r>
    <r>
      <rPr>
        <b/>
        <sz val="10"/>
        <rFont val="DejaVu Sans"/>
        <family val="2"/>
      </rPr>
      <t xml:space="preserve">단계
</t>
    </r>
    <r>
      <rPr>
        <b/>
        <sz val="10"/>
        <rFont val="맑은 고딕"/>
        <family val="3"/>
        <charset val="129"/>
      </rPr>
      <t>(</t>
    </r>
    <r>
      <rPr>
        <b/>
        <sz val="10"/>
        <rFont val="DejaVu Sans"/>
        <family val="2"/>
      </rPr>
      <t>사후정리</t>
    </r>
    <r>
      <rPr>
        <b/>
        <sz val="10"/>
        <rFont val="맑은 고딕"/>
        <family val="3"/>
        <charset val="129"/>
      </rPr>
      <t>)</t>
    </r>
  </si>
  <si>
    <t>결과 보고 및 후속조치</t>
  </si>
  <si>
    <r>
      <rPr>
        <sz val="10"/>
        <rFont val="DejaVu Sans"/>
        <family val="2"/>
      </rPr>
      <t>• 실사결과보고서 작성
• 장부 수정 반영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취득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폐기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이동</t>
    </r>
    <r>
      <rPr>
        <sz val="10"/>
        <rFont val="맑은 고딕"/>
        <family val="3"/>
        <charset val="129"/>
      </rPr>
      <t>)
• 경영진 보고 및 승인
• 자산관리 개선사항 도출</t>
    </r>
  </si>
  <si>
    <t>실사결과보고서
장부수정 전표</t>
  </si>
  <si>
    <r>
      <rPr>
        <b/>
        <sz val="12"/>
        <color rgb="FF2F5496"/>
        <rFont val="맑은 고딕"/>
        <family val="3"/>
        <charset val="129"/>
      </rPr>
      <t xml:space="preserve">3. </t>
    </r>
    <r>
      <rPr>
        <b/>
        <sz val="12"/>
        <color rgb="FF2F5496"/>
        <rFont val="DejaVu Sans"/>
        <family val="2"/>
      </rPr>
      <t>실사 시 유의사항</t>
    </r>
  </si>
  <si>
    <r>
      <rPr>
        <sz val="10"/>
        <rFont val="DejaVu Sans"/>
        <family val="2"/>
      </rPr>
      <t xml:space="preserve">① 실사는 반드시 </t>
    </r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 xml:space="preserve">인 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>조로 진행하며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실사자와 입회자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관리부서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가 함께 확인합니다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</si>
  <si>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② 자산의 물리적 상태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양호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보통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불량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폐기대상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를 반드시 기록하고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불량 이상은 사진을 촬영합니다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</si>
  <si>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③ 장부에 없는 현물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미등록자산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발견 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별도 리스트에 기재하여 사후 등록 절차를 진행합니다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</si>
  <si>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④ 위치 이동이 확인된 자산은 현재 위치와 이동 사유를 기록합니다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</si>
  <si>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⑤ 차량의 경우 차량등록증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보험증서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주행거리를 추가로 확인합니다</t>
    </r>
    <r>
      <rPr>
        <sz val="10"/>
        <rFont val="맑은 고딕"/>
        <family val="3"/>
        <charset val="129"/>
      </rPr>
      <t>.</t>
    </r>
  </si>
  <si>
    <r>
      <rPr>
        <sz val="10"/>
        <rFont val="맑은 고딕"/>
        <family val="3"/>
        <charset val="129"/>
      </rPr>
      <t>⑥ IT</t>
    </r>
    <r>
      <rPr>
        <sz val="10"/>
        <rFont val="DejaVu Sans"/>
        <family val="2"/>
      </rPr>
      <t>장비</t>
    </r>
    <r>
      <rPr>
        <sz val="10"/>
        <rFont val="맑은 고딕"/>
        <family val="3"/>
        <charset val="129"/>
      </rPr>
      <t xml:space="preserve">(PC, </t>
    </r>
    <r>
      <rPr>
        <sz val="10"/>
        <rFont val="DejaVu Sans"/>
        <family val="2"/>
      </rPr>
      <t>서버 등</t>
    </r>
    <r>
      <rPr>
        <sz val="10"/>
        <rFont val="맑은 고딕"/>
        <family val="3"/>
        <charset val="129"/>
      </rPr>
      <t>)</t>
    </r>
    <r>
      <rPr>
        <sz val="10"/>
        <rFont val="DejaVu Sans"/>
        <family val="2"/>
      </rPr>
      <t>는 시리얼번호와 사용자를 반드시 확인합니다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</si>
  <si>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⑦ 실사 완료 후 관리부서 담당자의 확인 서명을 반드시 받습니다</t>
    </r>
    <r>
      <rPr>
        <sz val="10"/>
        <rFont val="맑은 고딕"/>
        <family val="3"/>
        <charset val="129"/>
      </rPr>
      <t>.</t>
    </r>
  </si>
  <si>
    <r>
      <rPr>
        <sz val="10"/>
        <rFont val="DejaVu Sans"/>
        <family val="2"/>
      </rPr>
      <t>⑧ 폐기 대상 자산은 별도 관리하여 폐기 품의 절차를 진행합니다</t>
    </r>
    <r>
      <rPr>
        <sz val="10"/>
        <rFont val="맑은 고딕"/>
        <family val="3"/>
        <charset val="129"/>
      </rPr>
      <t>.</t>
    </r>
  </si>
  <si>
    <r>
      <rPr>
        <b/>
        <sz val="12"/>
        <color rgb="FF2F5496"/>
        <rFont val="맑은 고딕"/>
        <family val="3"/>
        <charset val="129"/>
      </rPr>
      <t xml:space="preserve">4. </t>
    </r>
    <r>
      <rPr>
        <b/>
        <sz val="12"/>
        <color rgb="FF2F5496"/>
        <rFont val="DejaVu Sans"/>
        <family val="2"/>
      </rPr>
      <t>승인</t>
    </r>
  </si>
  <si>
    <t>구분</t>
  </si>
  <si>
    <t>작성</t>
  </si>
  <si>
    <t>검토</t>
  </si>
  <si>
    <t>승인</t>
  </si>
  <si>
    <t>직위</t>
  </si>
  <si>
    <t>성명</t>
  </si>
  <si>
    <t>서명</t>
  </si>
  <si>
    <t>일자</t>
  </si>
  <si>
    <t>유형자산 분류코드표</t>
  </si>
  <si>
    <t>No</t>
  </si>
  <si>
    <t>대분류코드</t>
  </si>
  <si>
    <t>대분류명</t>
  </si>
  <si>
    <t>중분류 예시</t>
  </si>
  <si>
    <r>
      <rPr>
        <b/>
        <sz val="10"/>
        <color rgb="FFFFFFFF"/>
        <rFont val="DejaVu Sans"/>
        <family val="2"/>
      </rPr>
      <t>내용연수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년</t>
    </r>
    <r>
      <rPr>
        <b/>
        <sz val="10"/>
        <color rgb="FFFFFFFF"/>
        <rFont val="맑은 고딕"/>
        <family val="3"/>
        <charset val="129"/>
      </rPr>
      <t>)</t>
    </r>
  </si>
  <si>
    <t>상각방법</t>
  </si>
  <si>
    <t>비고</t>
  </si>
  <si>
    <t>FA-MC</t>
  </si>
  <si>
    <r>
      <rPr>
        <sz val="10"/>
        <rFont val="DejaVu Sans"/>
        <family val="2"/>
      </rPr>
      <t>설비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기계장치</t>
    </r>
  </si>
  <si>
    <r>
      <rPr>
        <sz val="10"/>
        <rFont val="DejaVu Sans"/>
        <family val="2"/>
      </rPr>
      <t>생산설비</t>
    </r>
    <r>
      <rPr>
        <sz val="10"/>
        <rFont val="맑은 고딕"/>
        <family val="3"/>
        <charset val="129"/>
      </rPr>
      <t xml:space="preserve">, CNC, </t>
    </r>
    <r>
      <rPr>
        <sz val="10"/>
        <rFont val="DejaVu Sans"/>
        <family val="2"/>
      </rPr>
      <t>사출기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프레스</t>
    </r>
    <r>
      <rPr>
        <sz val="10"/>
        <rFont val="맑은 고딕"/>
        <family val="3"/>
        <charset val="129"/>
      </rPr>
      <t xml:space="preserve">,
</t>
    </r>
    <r>
      <rPr>
        <sz val="10"/>
        <rFont val="DejaVu Sans"/>
        <family val="2"/>
      </rPr>
      <t>컨베이어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포장기 등</t>
    </r>
  </si>
  <si>
    <t>8~15</t>
  </si>
  <si>
    <t>정액법</t>
  </si>
  <si>
    <r>
      <rPr>
        <sz val="10"/>
        <rFont val="DejaVu Sans"/>
        <family val="2"/>
      </rPr>
      <t xml:space="preserve">취득가 </t>
    </r>
    <r>
      <rPr>
        <sz val="10"/>
        <rFont val="맑은 고딕"/>
        <family val="3"/>
        <charset val="129"/>
      </rPr>
      <t>500</t>
    </r>
    <r>
      <rPr>
        <sz val="10"/>
        <rFont val="DejaVu Sans"/>
        <family val="2"/>
      </rPr>
      <t>만원 이상</t>
    </r>
  </si>
  <si>
    <t>FA-FN</t>
  </si>
  <si>
    <r>
      <rPr>
        <sz val="10"/>
        <rFont val="DejaVu Sans"/>
        <family val="2"/>
      </rPr>
      <t>사무가구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비품</t>
    </r>
  </si>
  <si>
    <r>
      <rPr>
        <sz val="10"/>
        <rFont val="DejaVu Sans"/>
        <family val="2"/>
      </rPr>
      <t>책상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의자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캐비닛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파티션</t>
    </r>
    <r>
      <rPr>
        <sz val="10"/>
        <rFont val="맑은 고딕"/>
        <family val="3"/>
        <charset val="129"/>
      </rPr>
      <t xml:space="preserve">,
</t>
    </r>
    <r>
      <rPr>
        <sz val="10"/>
        <rFont val="DejaVu Sans"/>
        <family val="2"/>
      </rPr>
      <t>회의테이블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소파 등</t>
    </r>
  </si>
  <si>
    <t>5~10</t>
  </si>
  <si>
    <r>
      <rPr>
        <sz val="10"/>
        <rFont val="DejaVu Sans"/>
        <family val="2"/>
      </rPr>
      <t xml:space="preserve">취득가 </t>
    </r>
    <r>
      <rPr>
        <sz val="10"/>
        <rFont val="맑은 고딕"/>
        <family val="3"/>
        <charset val="129"/>
      </rPr>
      <t>50</t>
    </r>
    <r>
      <rPr>
        <sz val="10"/>
        <rFont val="DejaVu Sans"/>
        <family val="2"/>
      </rPr>
      <t>만원 이상</t>
    </r>
  </si>
  <si>
    <t>FA-IT</t>
  </si>
  <si>
    <r>
      <rPr>
        <sz val="10"/>
        <rFont val="DejaVu Sans"/>
        <family val="2"/>
      </rPr>
      <t>전자제품</t>
    </r>
    <r>
      <rPr>
        <sz val="10"/>
        <rFont val="맑은 고딕"/>
        <family val="3"/>
        <charset val="129"/>
      </rPr>
      <t>·IT</t>
    </r>
    <r>
      <rPr>
        <sz val="10"/>
        <rFont val="DejaVu Sans"/>
        <family val="2"/>
      </rPr>
      <t>장비</t>
    </r>
  </si>
  <si>
    <r>
      <rPr>
        <sz val="10"/>
        <rFont val="맑은 고딕"/>
        <family val="3"/>
        <charset val="129"/>
      </rPr>
      <t xml:space="preserve">PC, </t>
    </r>
    <r>
      <rPr>
        <sz val="10"/>
        <rFont val="DejaVu Sans"/>
        <family val="2"/>
      </rPr>
      <t>노트북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모니터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서버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프린터</t>
    </r>
    <r>
      <rPr>
        <sz val="10"/>
        <rFont val="맑은 고딕"/>
        <family val="3"/>
        <charset val="129"/>
      </rPr>
      <t xml:space="preserve">,
</t>
    </r>
    <r>
      <rPr>
        <sz val="10"/>
        <rFont val="DejaVu Sans"/>
        <family val="2"/>
      </rPr>
      <t>복합기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네트워크장비 등</t>
    </r>
  </si>
  <si>
    <t>4~5</t>
  </si>
  <si>
    <r>
      <rPr>
        <sz val="10"/>
        <rFont val="맑은 고딕"/>
        <family val="3"/>
        <charset val="129"/>
      </rPr>
      <t xml:space="preserve">S/N </t>
    </r>
    <r>
      <rPr>
        <sz val="10"/>
        <rFont val="DejaVu Sans"/>
        <family val="2"/>
      </rPr>
      <t>필수 관리</t>
    </r>
  </si>
  <si>
    <t>FA-VH</t>
  </si>
  <si>
    <t>차량운반구</t>
  </si>
  <si>
    <r>
      <rPr>
        <sz val="10"/>
        <rFont val="DejaVu Sans"/>
        <family val="2"/>
      </rPr>
      <t>업무용 승용차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화물차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지게차</t>
    </r>
    <r>
      <rPr>
        <sz val="10"/>
        <rFont val="맑은 고딕"/>
        <family val="3"/>
        <charset val="129"/>
      </rPr>
      <t xml:space="preserve">,
</t>
    </r>
    <r>
      <rPr>
        <sz val="10"/>
        <rFont val="DejaVu Sans"/>
        <family val="2"/>
      </rPr>
      <t>전동카트 등</t>
    </r>
  </si>
  <si>
    <t>5~6</t>
  </si>
  <si>
    <t>차량등록증 확인</t>
  </si>
  <si>
    <t>FA-TL</t>
  </si>
  <si>
    <r>
      <rPr>
        <sz val="10"/>
        <rFont val="DejaVu Sans"/>
        <family val="2"/>
      </rPr>
      <t>공구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금형</t>
    </r>
  </si>
  <si>
    <r>
      <rPr>
        <sz val="10"/>
        <rFont val="DejaVu Sans"/>
        <family val="2"/>
      </rPr>
      <t>금형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지그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측정기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전동공구</t>
    </r>
    <r>
      <rPr>
        <sz val="10"/>
        <rFont val="맑은 고딕"/>
        <family val="3"/>
        <charset val="129"/>
      </rPr>
      <t xml:space="preserve">,
</t>
    </r>
    <r>
      <rPr>
        <sz val="10"/>
        <rFont val="DejaVu Sans"/>
        <family val="2"/>
      </rPr>
      <t>특수공구 등</t>
    </r>
  </si>
  <si>
    <t>3~5</t>
  </si>
  <si>
    <r>
      <rPr>
        <sz val="10"/>
        <rFont val="DejaVu Sans"/>
        <family val="2"/>
      </rPr>
      <t>정액법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생산량비례</t>
    </r>
  </si>
  <si>
    <t>금형은 별도관리</t>
  </si>
  <si>
    <r>
      <rPr>
        <b/>
        <sz val="10"/>
        <color rgb="FFC00000"/>
        <rFont val="DejaVu Sans"/>
        <family val="2"/>
      </rPr>
      <t>※ 자산번호 체계</t>
    </r>
    <r>
      <rPr>
        <b/>
        <sz val="10"/>
        <color rgb="FFC00000"/>
        <rFont val="맑은 고딕"/>
        <family val="3"/>
        <charset val="129"/>
      </rPr>
      <t>: [</t>
    </r>
    <r>
      <rPr>
        <b/>
        <sz val="10"/>
        <color rgb="FFC00000"/>
        <rFont val="DejaVu Sans"/>
        <family val="2"/>
      </rPr>
      <t>대분류코드</t>
    </r>
    <r>
      <rPr>
        <b/>
        <sz val="10"/>
        <color rgb="FFC00000"/>
        <rFont val="맑은 고딕"/>
        <family val="3"/>
        <charset val="129"/>
      </rPr>
      <t>]-[</t>
    </r>
    <r>
      <rPr>
        <b/>
        <sz val="10"/>
        <color rgb="FFC00000"/>
        <rFont val="DejaVu Sans"/>
        <family val="2"/>
      </rPr>
      <t>취득연도</t>
    </r>
    <r>
      <rPr>
        <b/>
        <sz val="10"/>
        <color rgb="FFC00000"/>
        <rFont val="맑은 고딕"/>
        <family val="3"/>
        <charset val="129"/>
      </rPr>
      <t>]-[</t>
    </r>
    <r>
      <rPr>
        <b/>
        <sz val="10"/>
        <color rgb="FFC00000"/>
        <rFont val="DejaVu Sans"/>
        <family val="2"/>
      </rPr>
      <t>일련번호</t>
    </r>
    <r>
      <rPr>
        <b/>
        <sz val="10"/>
        <color rgb="FFC00000"/>
        <rFont val="맑은 고딕"/>
        <family val="3"/>
        <charset val="129"/>
      </rPr>
      <t xml:space="preserve">]  </t>
    </r>
    <r>
      <rPr>
        <b/>
        <sz val="10"/>
        <color rgb="FFC00000"/>
        <rFont val="DejaVu Sans"/>
        <family val="2"/>
      </rPr>
      <t>예</t>
    </r>
    <r>
      <rPr>
        <b/>
        <sz val="10"/>
        <color rgb="FFC00000"/>
        <rFont val="맑은 고딕"/>
        <family val="3"/>
        <charset val="129"/>
      </rPr>
      <t>) FA-MC-2024-0001</t>
    </r>
  </si>
  <si>
    <r>
      <rPr>
        <b/>
        <sz val="10"/>
        <color rgb="FFC00000"/>
        <rFont val="DejaVu Sans"/>
        <family val="2"/>
      </rPr>
      <t>※ 자산상태 코드</t>
    </r>
    <r>
      <rPr>
        <b/>
        <sz val="10"/>
        <color rgb="FFC00000"/>
        <rFont val="맑은 고딕"/>
        <family val="3"/>
        <charset val="129"/>
      </rPr>
      <t>: A(</t>
    </r>
    <r>
      <rPr>
        <b/>
        <sz val="10"/>
        <color rgb="FFC00000"/>
        <rFont val="DejaVu Sans"/>
        <family val="2"/>
      </rPr>
      <t>양호</t>
    </r>
    <r>
      <rPr>
        <b/>
        <sz val="10"/>
        <color rgb="FFC00000"/>
        <rFont val="맑은 고딕"/>
        <family val="3"/>
        <charset val="129"/>
      </rPr>
      <t>) / B(</t>
    </r>
    <r>
      <rPr>
        <b/>
        <sz val="10"/>
        <color rgb="FFC00000"/>
        <rFont val="DejaVu Sans"/>
        <family val="2"/>
      </rPr>
      <t>보통</t>
    </r>
    <r>
      <rPr>
        <b/>
        <sz val="10"/>
        <color rgb="FFC00000"/>
        <rFont val="맑은 고딕"/>
        <family val="3"/>
        <charset val="129"/>
      </rPr>
      <t>) / C(</t>
    </r>
    <r>
      <rPr>
        <b/>
        <sz val="10"/>
        <color rgb="FFC00000"/>
        <rFont val="DejaVu Sans"/>
        <family val="2"/>
      </rPr>
      <t>불량</t>
    </r>
    <r>
      <rPr>
        <b/>
        <sz val="10"/>
        <color rgb="FFC00000"/>
        <rFont val="맑은 고딕"/>
        <family val="3"/>
        <charset val="129"/>
      </rPr>
      <t>-</t>
    </r>
    <r>
      <rPr>
        <b/>
        <sz val="10"/>
        <color rgb="FFC00000"/>
        <rFont val="DejaVu Sans"/>
        <family val="2"/>
      </rPr>
      <t>수리필요</t>
    </r>
    <r>
      <rPr>
        <b/>
        <sz val="10"/>
        <color rgb="FFC00000"/>
        <rFont val="맑은 고딕"/>
        <family val="3"/>
        <charset val="129"/>
      </rPr>
      <t>) / D(</t>
    </r>
    <r>
      <rPr>
        <b/>
        <sz val="10"/>
        <color rgb="FFC00000"/>
        <rFont val="DejaVu Sans"/>
        <family val="2"/>
      </rPr>
      <t>폐기대상</t>
    </r>
    <r>
      <rPr>
        <b/>
        <sz val="10"/>
        <color rgb="FFC00000"/>
        <rFont val="맑은 고딕"/>
        <family val="3"/>
        <charset val="129"/>
      </rPr>
      <t>) / E(</t>
    </r>
    <r>
      <rPr>
        <b/>
        <sz val="10"/>
        <color rgb="FFC00000"/>
        <rFont val="DejaVu Sans"/>
        <family val="2"/>
      </rPr>
      <t>분실</t>
    </r>
    <r>
      <rPr>
        <b/>
        <sz val="10"/>
        <color rgb="FFC00000"/>
        <rFont val="맑은 고딕"/>
        <family val="3"/>
        <charset val="129"/>
      </rPr>
      <t>·</t>
    </r>
    <r>
      <rPr>
        <b/>
        <sz val="10"/>
        <color rgb="FFC00000"/>
        <rFont val="DejaVu Sans"/>
        <family val="2"/>
      </rPr>
      <t>미확인</t>
    </r>
    <r>
      <rPr>
        <b/>
        <sz val="10"/>
        <color rgb="FFC00000"/>
        <rFont val="맑은 고딕"/>
        <family val="3"/>
        <charset val="129"/>
      </rPr>
      <t>)</t>
    </r>
  </si>
  <si>
    <t>유형자산 실사대장</t>
  </si>
  <si>
    <r>
      <rPr>
        <b/>
        <sz val="9"/>
        <rFont val="DejaVu Sans"/>
        <family val="2"/>
      </rPr>
      <t>실사기준일</t>
    </r>
    <r>
      <rPr>
        <b/>
        <sz val="9"/>
        <rFont val="맑은 고딕"/>
        <family val="3"/>
        <charset val="129"/>
      </rPr>
      <t>:</t>
    </r>
  </si>
  <si>
    <r>
      <rPr>
        <b/>
        <sz val="9"/>
        <rFont val="DejaVu Sans"/>
        <family val="2"/>
      </rPr>
      <t>실사일자</t>
    </r>
    <r>
      <rPr>
        <b/>
        <sz val="9"/>
        <rFont val="맑은 고딕"/>
        <family val="3"/>
        <charset val="129"/>
      </rPr>
      <t>:</t>
    </r>
  </si>
  <si>
    <r>
      <rPr>
        <b/>
        <sz val="9"/>
        <rFont val="DejaVu Sans"/>
        <family val="2"/>
      </rPr>
      <t>실사장소</t>
    </r>
    <r>
      <rPr>
        <b/>
        <sz val="9"/>
        <rFont val="맑은 고딕"/>
        <family val="3"/>
        <charset val="129"/>
      </rPr>
      <t>:</t>
    </r>
  </si>
  <si>
    <r>
      <rPr>
        <b/>
        <sz val="9"/>
        <rFont val="DejaVu Sans"/>
        <family val="2"/>
      </rPr>
      <t>실사반</t>
    </r>
    <r>
      <rPr>
        <b/>
        <sz val="9"/>
        <rFont val="맑은 고딕"/>
        <family val="3"/>
        <charset val="129"/>
      </rPr>
      <t>:</t>
    </r>
  </si>
  <si>
    <r>
      <rPr>
        <b/>
        <sz val="9"/>
        <rFont val="DejaVu Sans"/>
        <family val="2"/>
      </rPr>
      <t>페이지</t>
    </r>
    <r>
      <rPr>
        <b/>
        <sz val="9"/>
        <rFont val="맑은 고딕"/>
        <family val="3"/>
        <charset val="129"/>
      </rPr>
      <t>:</t>
    </r>
  </si>
  <si>
    <t xml:space="preserve">   /   </t>
  </si>
  <si>
    <t>자산번호</t>
  </si>
  <si>
    <t>대분류</t>
  </si>
  <si>
    <r>
      <rPr>
        <b/>
        <sz val="10"/>
        <color rgb="FFFFFFFF"/>
        <rFont val="DejaVu Sans"/>
        <family val="2"/>
      </rPr>
      <t>자산명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품명</t>
    </r>
    <r>
      <rPr>
        <b/>
        <sz val="10"/>
        <color rgb="FFFFFFFF"/>
        <rFont val="맑은 고딕"/>
        <family val="3"/>
        <charset val="129"/>
      </rPr>
      <t>)</t>
    </r>
  </si>
  <si>
    <r>
      <rPr>
        <b/>
        <sz val="10"/>
        <color rgb="FFFFFFFF"/>
        <rFont val="DejaVu Sans"/>
        <family val="2"/>
      </rPr>
      <t>규격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DejaVu Sans"/>
        <family val="2"/>
      </rPr>
      <t>모델</t>
    </r>
  </si>
  <si>
    <r>
      <rPr>
        <b/>
        <sz val="10"/>
        <color rgb="FFFFFFFF"/>
        <rFont val="DejaVu Sans"/>
        <family val="2"/>
      </rPr>
      <t>제조사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DejaVu Sans"/>
        <family val="2"/>
      </rPr>
      <t>브랜드</t>
    </r>
  </si>
  <si>
    <t>시리얼번호</t>
  </si>
  <si>
    <t>취득일자</t>
  </si>
  <si>
    <r>
      <rPr>
        <b/>
        <sz val="10"/>
        <color rgb="FFFFFFFF"/>
        <rFont val="DejaVu Sans"/>
        <family val="2"/>
      </rPr>
      <t>취득금액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</si>
  <si>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장부수량</t>
  </si>
  <si>
    <t>실사수량</t>
  </si>
  <si>
    <t>차이</t>
  </si>
  <si>
    <t>자산상태</t>
  </si>
  <si>
    <r>
      <rPr>
        <b/>
        <sz val="10"/>
        <color rgb="FFFFFFFF"/>
        <rFont val="DejaVu Sans"/>
        <family val="2"/>
      </rPr>
      <t>설치위치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DejaVu Sans"/>
        <family val="2"/>
      </rPr>
      <t>보관장소</t>
    </r>
  </si>
  <si>
    <r>
      <rPr>
        <b/>
        <sz val="10"/>
        <color rgb="FFFFFFFF"/>
        <rFont val="DejaVu Sans"/>
        <family val="2"/>
      </rPr>
      <t>관리부서</t>
    </r>
    <r>
      <rPr>
        <b/>
        <sz val="10"/>
        <color rgb="FFFFFFFF"/>
        <rFont val="맑은 고딕"/>
        <family val="3"/>
        <charset val="129"/>
      </rPr>
      <t>/</t>
    </r>
    <r>
      <rPr>
        <b/>
        <sz val="10"/>
        <color rgb="FFFFFFFF"/>
        <rFont val="DejaVu Sans"/>
        <family val="2"/>
      </rPr>
      <t>사용자</t>
    </r>
  </si>
  <si>
    <r>
      <rPr>
        <b/>
        <sz val="10"/>
        <color rgb="FFFFFFFF"/>
        <rFont val="DejaVu Sans"/>
        <family val="2"/>
      </rPr>
      <t>비고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특이사항</t>
    </r>
    <r>
      <rPr>
        <b/>
        <sz val="10"/>
        <color rgb="FFFFFFFF"/>
        <rFont val="맑은 고딕"/>
        <family val="3"/>
        <charset val="129"/>
      </rPr>
      <t>)</t>
    </r>
  </si>
  <si>
    <t>FA-MC-2022-0001</t>
  </si>
  <si>
    <r>
      <rPr>
        <sz val="10"/>
        <rFont val="맑은 고딕"/>
        <family val="3"/>
        <charset val="129"/>
      </rPr>
      <t xml:space="preserve">CNC </t>
    </r>
    <r>
      <rPr>
        <sz val="10"/>
        <rFont val="DejaVu Sans"/>
        <family val="2"/>
      </rPr>
      <t xml:space="preserve">선반 </t>
    </r>
    <r>
      <rPr>
        <sz val="10"/>
        <rFont val="맑은 고딕"/>
        <family val="3"/>
        <charset val="129"/>
      </rPr>
      <t>#1</t>
    </r>
  </si>
  <si>
    <t>VL-500</t>
  </si>
  <si>
    <t>두산공작기계</t>
  </si>
  <si>
    <t>DSN22-00451</t>
  </si>
  <si>
    <t>2022-03-15</t>
  </si>
  <si>
    <r>
      <rPr>
        <sz val="10"/>
        <rFont val="DejaVu Sans"/>
        <family val="2"/>
      </rPr>
      <t>제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 xml:space="preserve">공장 </t>
    </r>
    <r>
      <rPr>
        <sz val="10"/>
        <rFont val="맑은 고딕"/>
        <family val="3"/>
        <charset val="129"/>
      </rPr>
      <t>A</t>
    </r>
    <r>
      <rPr>
        <sz val="10"/>
        <rFont val="DejaVu Sans"/>
        <family val="2"/>
      </rPr>
      <t>라인</t>
    </r>
  </si>
  <si>
    <t>생산팀</t>
  </si>
  <si>
    <t>FA-MC-2023-0015</t>
  </si>
  <si>
    <t>에어컴프레서</t>
  </si>
  <si>
    <t>GA30-7.5</t>
  </si>
  <si>
    <t>아트라스콥코</t>
  </si>
  <si>
    <t>ATC23-12890</t>
  </si>
  <si>
    <t>2023-06-20</t>
  </si>
  <si>
    <r>
      <rPr>
        <sz val="10"/>
        <rFont val="DejaVu Sans"/>
        <family val="2"/>
      </rPr>
      <t>제</t>
    </r>
    <r>
      <rPr>
        <sz val="10"/>
        <rFont val="맑은 고딕"/>
        <family val="3"/>
        <charset val="129"/>
      </rPr>
      <t>1</t>
    </r>
    <r>
      <rPr>
        <sz val="10"/>
        <rFont val="DejaVu Sans"/>
        <family val="2"/>
      </rPr>
      <t>공장 유틸리티실</t>
    </r>
  </si>
  <si>
    <t>시설팀</t>
  </si>
  <si>
    <t>FA-FN-2021-0042</t>
  </si>
  <si>
    <t>임원용 책상세트</t>
  </si>
  <si>
    <t>ED-200</t>
  </si>
  <si>
    <t>퍼시스</t>
  </si>
  <si>
    <t>-</t>
  </si>
  <si>
    <t>2021-01-10</t>
  </si>
  <si>
    <r>
      <rPr>
        <sz val="10"/>
        <rFont val="DejaVu Sans"/>
        <family val="2"/>
      </rPr>
      <t xml:space="preserve">본관 </t>
    </r>
    <r>
      <rPr>
        <sz val="10"/>
        <rFont val="맑은 고딕"/>
        <family val="3"/>
        <charset val="129"/>
      </rPr>
      <t>3</t>
    </r>
    <r>
      <rPr>
        <sz val="10"/>
        <rFont val="DejaVu Sans"/>
        <family val="2"/>
      </rPr>
      <t>층 임원실</t>
    </r>
  </si>
  <si>
    <t>경영지원팀</t>
  </si>
  <si>
    <t>FA-IT-2024-0088</t>
  </si>
  <si>
    <r>
      <rPr>
        <sz val="10"/>
        <rFont val="DejaVu Sans"/>
        <family val="2"/>
      </rPr>
      <t xml:space="preserve">노트북 </t>
    </r>
    <r>
      <rPr>
        <sz val="10"/>
        <rFont val="맑은 고딕"/>
        <family val="3"/>
        <charset val="129"/>
      </rPr>
      <t>(ThinkPad)</t>
    </r>
  </si>
  <si>
    <t>T14s Gen4</t>
  </si>
  <si>
    <t>Lenovo</t>
  </si>
  <si>
    <t>LNV24-77541</t>
  </si>
  <si>
    <t>2024-02-01</t>
  </si>
  <si>
    <r>
      <rPr>
        <sz val="10"/>
        <rFont val="DejaVu Sans"/>
        <family val="2"/>
      </rPr>
      <t xml:space="preserve">본관 </t>
    </r>
    <r>
      <rPr>
        <sz val="10"/>
        <rFont val="맑은 고딕"/>
        <family val="3"/>
        <charset val="129"/>
      </rPr>
      <t>2</t>
    </r>
    <r>
      <rPr>
        <sz val="10"/>
        <rFont val="DejaVu Sans"/>
        <family val="2"/>
      </rPr>
      <t>층 개발팀</t>
    </r>
  </si>
  <si>
    <r>
      <rPr>
        <sz val="10"/>
        <rFont val="DejaVu Sans"/>
        <family val="2"/>
      </rPr>
      <t>개발팀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홍길동</t>
    </r>
  </si>
  <si>
    <t>FA-VH-2023-0003</t>
  </si>
  <si>
    <t>업무용 승합차</t>
  </si>
  <si>
    <t>스타리아</t>
  </si>
  <si>
    <t>현대자동차</t>
  </si>
  <si>
    <r>
      <rPr>
        <sz val="10"/>
        <rFont val="맑은 고딕"/>
        <family val="3"/>
        <charset val="129"/>
      </rPr>
      <t>12</t>
    </r>
    <r>
      <rPr>
        <sz val="10"/>
        <rFont val="DejaVu Sans"/>
        <family val="2"/>
      </rPr>
      <t>가</t>
    </r>
    <r>
      <rPr>
        <sz val="10"/>
        <rFont val="맑은 고딕"/>
        <family val="3"/>
        <charset val="129"/>
      </rPr>
      <t>3456</t>
    </r>
  </si>
  <si>
    <t>2023-09-01</t>
  </si>
  <si>
    <t>주차장</t>
  </si>
  <si>
    <t>총무팀</t>
  </si>
  <si>
    <r>
      <rPr>
        <sz val="10"/>
        <rFont val="DejaVu Sans"/>
        <family val="2"/>
      </rPr>
      <t>주행거리</t>
    </r>
    <r>
      <rPr>
        <sz val="10"/>
        <rFont val="맑은 고딕"/>
        <family val="3"/>
        <charset val="129"/>
      </rPr>
      <t>: ___km</t>
    </r>
  </si>
  <si>
    <t>합계</t>
  </si>
  <si>
    <r>
      <rPr>
        <b/>
        <sz val="10"/>
        <rFont val="DejaVu Sans"/>
        <family val="2"/>
      </rPr>
      <t>실사자</t>
    </r>
    <r>
      <rPr>
        <b/>
        <sz val="10"/>
        <rFont val="맑은 고딕"/>
        <family val="3"/>
        <charset val="129"/>
      </rPr>
      <t>: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</si>
  <si>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입회자</t>
    </r>
    <r>
      <rPr>
        <b/>
        <sz val="10"/>
        <rFont val="맑은 고딕"/>
        <family val="3"/>
        <charset val="129"/>
      </rPr>
      <t>: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</si>
  <si>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r>
      <rPr>
        <b/>
        <sz val="10"/>
        <rFont val="DejaVu Sans"/>
        <family val="2"/>
      </rPr>
      <t>확인자</t>
    </r>
    <r>
      <rPr>
        <b/>
        <sz val="10"/>
        <rFont val="맑은 고딕"/>
        <family val="3"/>
        <charset val="129"/>
      </rPr>
      <t>:                    (</t>
    </r>
    <r>
      <rPr>
        <b/>
        <sz val="10"/>
        <rFont val="DejaVu Sans"/>
        <family val="2"/>
      </rPr>
      <t>서명</t>
    </r>
    <r>
      <rPr>
        <b/>
        <sz val="10"/>
        <rFont val="맑은 고딕"/>
        <family val="3"/>
        <charset val="129"/>
      </rPr>
      <t>)</t>
    </r>
  </si>
  <si>
    <t>유형자산 실사 차이분석표</t>
  </si>
  <si>
    <t>자산명</t>
  </si>
  <si>
    <t>차이유형</t>
  </si>
  <si>
    <t>차이 원인</t>
  </si>
  <si>
    <t>조치사항</t>
  </si>
  <si>
    <t>처리결과</t>
  </si>
  <si>
    <t>유형자산 실사 결과 요약</t>
  </si>
  <si>
    <r>
      <rPr>
        <b/>
        <sz val="11"/>
        <color rgb="FF2F5496"/>
        <rFont val="맑은 고딕"/>
        <family val="3"/>
        <charset val="129"/>
      </rPr>
      <t xml:space="preserve">1. </t>
    </r>
    <r>
      <rPr>
        <b/>
        <sz val="11"/>
        <color rgb="FF2F5496"/>
        <rFont val="DejaVu Sans"/>
        <family val="2"/>
      </rPr>
      <t>자산 분류별 실사 결과</t>
    </r>
  </si>
  <si>
    <t>자산 분류</t>
  </si>
  <si>
    <t>장부 건수</t>
  </si>
  <si>
    <r>
      <rPr>
        <b/>
        <sz val="10"/>
        <color rgb="FFFFFFFF"/>
        <rFont val="DejaVu Sans"/>
        <family val="2"/>
      </rPr>
      <t>장부 금액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</si>
  <si>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실사 건수</t>
  </si>
  <si>
    <t>일치</t>
  </si>
  <si>
    <t>차이 발생</t>
  </si>
  <si>
    <t>실사 일치율</t>
  </si>
  <si>
    <r>
      <rPr>
        <b/>
        <sz val="11"/>
        <color rgb="FF2F5496"/>
        <rFont val="맑은 고딕"/>
        <family val="3"/>
        <charset val="129"/>
      </rPr>
      <t xml:space="preserve">2. </t>
    </r>
    <r>
      <rPr>
        <b/>
        <sz val="11"/>
        <color rgb="FF2F5496"/>
        <rFont val="DejaVu Sans"/>
        <family val="2"/>
      </rPr>
      <t>차이 유형별 현황</t>
    </r>
  </si>
  <si>
    <t>차이 유형</t>
  </si>
  <si>
    <t>건수</t>
  </si>
  <si>
    <r>
      <rPr>
        <b/>
        <sz val="10"/>
        <color rgb="FFFFFFFF"/>
        <rFont val="DejaVu Sans"/>
        <family val="2"/>
      </rPr>
      <t>금액</t>
    </r>
    <r>
      <rPr>
        <b/>
        <sz val="10"/>
        <color rgb="FFFFFFFF"/>
        <rFont val="맑은 고딕"/>
        <family val="3"/>
        <charset val="129"/>
      </rPr>
      <t>(</t>
    </r>
    <r>
      <rPr>
        <b/>
        <sz val="10"/>
        <color rgb="FFFFFFFF"/>
        <rFont val="DejaVu Sans"/>
        <family val="2"/>
      </rPr>
      <t>원</t>
    </r>
    <r>
      <rPr>
        <b/>
        <sz val="10"/>
        <color rgb="FFFFFFFF"/>
        <rFont val="맑은 고딕"/>
        <family val="3"/>
        <charset val="129"/>
      </rPr>
      <t>)</t>
    </r>
  </si>
  <si>
    <t>주요 원인</t>
  </si>
  <si>
    <t>조치 계획</t>
  </si>
  <si>
    <r>
      <rPr>
        <sz val="10"/>
        <rFont val="DejaVu Sans"/>
        <family val="2"/>
      </rPr>
      <t xml:space="preserve">과잉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 xml:space="preserve">장부 </t>
    </r>
    <r>
      <rPr>
        <sz val="10"/>
        <rFont val="맑은 고딕"/>
        <family val="3"/>
        <charset val="129"/>
      </rPr>
      <t xml:space="preserve">&lt; </t>
    </r>
    <r>
      <rPr>
        <sz val="10"/>
        <rFont val="DejaVu Sans"/>
        <family val="2"/>
      </rPr>
      <t>현물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</si>
  <si>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 xml:space="preserve">부족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 xml:space="preserve">장부 </t>
    </r>
    <r>
      <rPr>
        <sz val="10"/>
        <rFont val="맑은 고딕"/>
        <family val="3"/>
        <charset val="129"/>
      </rPr>
      <t xml:space="preserve">&gt; </t>
    </r>
    <r>
      <rPr>
        <sz val="10"/>
        <rFont val="DejaVu Sans"/>
        <family val="2"/>
      </rPr>
      <t>현물</t>
    </r>
    <r>
      <rPr>
        <sz val="10"/>
        <rFont val="맑은 고딕"/>
        <family val="3"/>
        <charset val="129"/>
      </rPr>
      <t>)</t>
    </r>
  </si>
  <si>
    <r>
      <rPr>
        <sz val="10"/>
        <rFont val="DejaVu Sans"/>
        <family val="2"/>
      </rPr>
      <t>상태변경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불량</t>
    </r>
  </si>
  <si>
    <t>위치상이</t>
  </si>
  <si>
    <t>미등록 자산</t>
  </si>
  <si>
    <t>폐기대상</t>
  </si>
  <si>
    <r>
      <rPr>
        <b/>
        <sz val="11"/>
        <color rgb="FF2F5496"/>
        <rFont val="맑은 고딕"/>
        <family val="3"/>
        <charset val="129"/>
      </rPr>
      <t xml:space="preserve">3. </t>
    </r>
    <r>
      <rPr>
        <b/>
        <sz val="11"/>
        <color rgb="FF2F5496"/>
        <rFont val="DejaVu Sans"/>
        <family val="2"/>
      </rPr>
      <t>후속조치 사항</t>
    </r>
  </si>
  <si>
    <t>조치 사항</t>
  </si>
  <si>
    <t>담당부서</t>
  </si>
  <si>
    <t>완료기한</t>
  </si>
  <si>
    <t>상태</t>
  </si>
  <si>
    <r>
      <rPr>
        <sz val="10"/>
        <rFont val="DejaVu Sans"/>
        <family val="2"/>
      </rPr>
      <t xml:space="preserve">장부 수정 반영 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취득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폐기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이동 전표 처리</t>
    </r>
    <r>
      <rPr>
        <sz val="10"/>
        <rFont val="맑은 고딕"/>
        <family val="3"/>
        <charset val="129"/>
      </rPr>
      <t>)</t>
    </r>
  </si>
  <si>
    <t>미등록 자산 신규 등록 및 라벨 부착</t>
  </si>
  <si>
    <t>폐기대상 자산 폐기 품의서 작성</t>
  </si>
  <si>
    <t>위치이동 자산 장부 반영</t>
  </si>
  <si>
    <t>자산관리 프로세스 개선안 수립</t>
  </si>
  <si>
    <t>유형자산 실사 체크리스트</t>
  </si>
  <si>
    <t>점검항목</t>
  </si>
  <si>
    <t>확인</t>
  </si>
  <si>
    <t>해당없음</t>
  </si>
  <si>
    <t>사전준비</t>
  </si>
  <si>
    <r>
      <rPr>
        <sz val="10"/>
        <rFont val="DejaVu Sans"/>
        <family val="2"/>
      </rPr>
      <t>자산대장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장부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데이터 최신 추출 완료</t>
    </r>
  </si>
  <si>
    <t>자산분류코드표 및 자산번호 체계 확인</t>
  </si>
  <si>
    <r>
      <rPr>
        <sz val="10"/>
        <rFont val="DejaVu Sans"/>
        <family val="2"/>
      </rPr>
      <t>실사 양식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실사대장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차이분석표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인쇄 완료</t>
    </r>
  </si>
  <si>
    <t>실사팀 편성 및 역할 배정 완료</t>
  </si>
  <si>
    <t>실사 교육 실시 완료</t>
  </si>
  <si>
    <r>
      <rPr>
        <sz val="10"/>
        <rFont val="DejaVu Sans"/>
        <family val="2"/>
      </rPr>
      <t>카메라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촬영 장비 준비</t>
    </r>
  </si>
  <si>
    <r>
      <rPr>
        <sz val="10"/>
        <rFont val="DejaVu Sans"/>
        <family val="2"/>
      </rPr>
      <t>자산 라벨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바코드 스티커 준비</t>
    </r>
  </si>
  <si>
    <t>현장실사</t>
  </si>
  <si>
    <t>자산 현물의 물리적 존재 확인</t>
  </si>
  <si>
    <r>
      <rPr>
        <sz val="10"/>
        <rFont val="DejaVu Sans"/>
        <family val="2"/>
      </rPr>
      <t>자산번호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라벨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부착 여부 확인</t>
    </r>
  </si>
  <si>
    <r>
      <rPr>
        <sz val="10"/>
        <rFont val="DejaVu Sans"/>
        <family val="2"/>
      </rPr>
      <t>자산 상태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양호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보통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불량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폐기</t>
    </r>
    <r>
      <rPr>
        <sz val="10"/>
        <rFont val="맑은 고딕"/>
        <family val="3"/>
        <charset val="129"/>
      </rPr>
      <t xml:space="preserve">) </t>
    </r>
    <r>
      <rPr>
        <sz val="10"/>
        <rFont val="DejaVu Sans"/>
        <family val="2"/>
      </rPr>
      <t>기록</t>
    </r>
  </si>
  <si>
    <r>
      <rPr>
        <sz val="10"/>
        <rFont val="DejaVu Sans"/>
        <family val="2"/>
      </rPr>
      <t xml:space="preserve">시리얼번호 확인 </t>
    </r>
    <r>
      <rPr>
        <sz val="10"/>
        <rFont val="맑은 고딕"/>
        <family val="3"/>
        <charset val="129"/>
      </rPr>
      <t>(IT</t>
    </r>
    <r>
      <rPr>
        <sz val="10"/>
        <rFont val="DejaVu Sans"/>
        <family val="2"/>
      </rPr>
      <t>장비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설비</t>
    </r>
    <r>
      <rPr>
        <sz val="10"/>
        <rFont val="맑은 고딕"/>
        <family val="3"/>
        <charset val="129"/>
      </rPr>
      <t>)</t>
    </r>
  </si>
  <si>
    <t>설치 위치 및 보관장소 확인</t>
  </si>
  <si>
    <r>
      <rPr>
        <sz val="10"/>
        <rFont val="DejaVu Sans"/>
        <family val="2"/>
      </rPr>
      <t>관리부서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사용자 확인</t>
    </r>
  </si>
  <si>
    <r>
      <rPr>
        <sz val="10"/>
        <rFont val="DejaVu Sans"/>
        <family val="2"/>
      </rPr>
      <t>불량</t>
    </r>
    <r>
      <rPr>
        <sz val="10"/>
        <rFont val="맑은 고딕"/>
        <family val="3"/>
        <charset val="129"/>
      </rPr>
      <t>·</t>
    </r>
    <r>
      <rPr>
        <sz val="10"/>
        <rFont val="DejaVu Sans"/>
        <family val="2"/>
      </rPr>
      <t>파손 자산 사진 촬영</t>
    </r>
  </si>
  <si>
    <t>미등록 자산 발견 시 별도 기록</t>
  </si>
  <si>
    <r>
      <rPr>
        <sz val="10"/>
        <rFont val="DejaVu Sans"/>
        <family val="2"/>
      </rPr>
      <t>차량</t>
    </r>
    <r>
      <rPr>
        <sz val="10"/>
        <rFont val="맑은 고딕"/>
        <family val="3"/>
        <charset val="129"/>
      </rPr>
      <t xml:space="preserve">: </t>
    </r>
    <r>
      <rPr>
        <sz val="10"/>
        <rFont val="DejaVu Sans"/>
        <family val="2"/>
      </rPr>
      <t>등록증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보험</t>
    </r>
    <r>
      <rPr>
        <sz val="10"/>
        <rFont val="맑은 고딕"/>
        <family val="3"/>
        <charset val="129"/>
      </rPr>
      <t xml:space="preserve">, </t>
    </r>
    <r>
      <rPr>
        <sz val="10"/>
        <rFont val="DejaVu Sans"/>
        <family val="2"/>
      </rPr>
      <t>주행거리 확인</t>
    </r>
  </si>
  <si>
    <r>
      <rPr>
        <b/>
        <sz val="10"/>
        <rFont val="DejaVu Sans"/>
        <family val="2"/>
      </rPr>
      <t>대사</t>
    </r>
    <r>
      <rPr>
        <b/>
        <sz val="10"/>
        <rFont val="맑은 고딕"/>
        <family val="3"/>
        <charset val="129"/>
      </rPr>
      <t>·</t>
    </r>
    <r>
      <rPr>
        <b/>
        <sz val="10"/>
        <rFont val="DejaVu Sans"/>
        <family val="2"/>
      </rPr>
      <t>분석</t>
    </r>
  </si>
  <si>
    <t>장부 대 현물 수량 대사 완료</t>
  </si>
  <si>
    <t>과부족 건 원인 조사 완료</t>
  </si>
  <si>
    <t>위치 이동 건 확인 및 기록</t>
  </si>
  <si>
    <t>폐기 대상 자산 리스트 작성</t>
  </si>
  <si>
    <t>미등록 자산 리스트 작성</t>
  </si>
  <si>
    <t>차이분석표 작성 완료</t>
  </si>
  <si>
    <t>사후처리</t>
  </si>
  <si>
    <t>실사결과 요약보고서 작성</t>
  </si>
  <si>
    <t>관리부서 담당자 확인 서명 수령</t>
  </si>
  <si>
    <r>
      <rPr>
        <sz val="10"/>
        <rFont val="DejaVu Sans"/>
        <family val="2"/>
      </rPr>
      <t>장부 수정 전표 작성</t>
    </r>
    <r>
      <rPr>
        <sz val="10"/>
        <rFont val="맑은 고딕"/>
        <family val="3"/>
        <charset val="129"/>
      </rPr>
      <t>(</t>
    </r>
    <r>
      <rPr>
        <sz val="10"/>
        <rFont val="DejaVu Sans"/>
        <family val="2"/>
      </rPr>
      <t>취득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폐기</t>
    </r>
    <r>
      <rPr>
        <sz val="10"/>
        <rFont val="맑은 고딕"/>
        <family val="3"/>
        <charset val="129"/>
      </rPr>
      <t>/</t>
    </r>
    <r>
      <rPr>
        <sz val="10"/>
        <rFont val="DejaVu Sans"/>
        <family val="2"/>
      </rPr>
      <t>이동</t>
    </r>
    <r>
      <rPr>
        <sz val="10"/>
        <rFont val="맑은 고딕"/>
        <family val="3"/>
        <charset val="129"/>
      </rPr>
      <t>)</t>
    </r>
  </si>
  <si>
    <t>폐기 품의서 작성 및 승인</t>
  </si>
  <si>
    <t>경영진 보고 완료</t>
  </si>
  <si>
    <t>자산관리 개선사항 정리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</si>
</sst>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21" x14ac:knownFonts="1">
    <font>
      <sz val="11"/>
      <color theme="1"/>
      <name val="Calibri"/>
      <family val="2"/>
      <charset val="1"/>
    </font>
    <font>
      <b/>
      <sz val="16"/>
      <name val="DejaVu Sans"/>
      <family val="2"/>
    </font>
    <font>
      <sz val="9"/>
      <color rgb="FF666666"/>
      <name val="맑은 고딕"/>
      <family val="3"/>
      <charset val="129"/>
    </font>
    <font>
      <sz val="9"/>
      <color rgb="FF666666"/>
      <name val="DejaVu Sans"/>
      <family val="2"/>
    </font>
    <font>
      <b/>
      <sz val="12"/>
      <color rgb="FF2F5496"/>
      <name val="맑은 고딕"/>
      <family val="3"/>
      <charset val="129"/>
    </font>
    <font>
      <b/>
      <sz val="12"/>
      <color rgb="FF2F5496"/>
      <name val="DejaVu Sans"/>
      <family val="2"/>
    </font>
    <font>
      <b/>
      <sz val="10"/>
      <name val="DejaVu Sans"/>
      <family val="2"/>
    </font>
    <font>
      <b/>
      <sz val="10"/>
      <color rgb="FFFFFFFF"/>
      <name val="DejaVu Sans"/>
      <family val="2"/>
    </font>
    <font>
      <b/>
      <sz val="10"/>
      <name val="맑은 고딕"/>
      <family val="3"/>
      <charset val="129"/>
    </font>
    <font>
      <sz val="10"/>
      <name val="DejaVu Sans"/>
      <family val="2"/>
    </font>
    <font>
      <sz val="10"/>
      <name val="맑은 고딕"/>
      <family val="3"/>
      <charset val="129"/>
    </font>
    <font>
      <b/>
      <sz val="10"/>
      <color rgb="FFFFFFFF"/>
      <name val="맑은 고딕"/>
      <family val="3"/>
      <charset val="129"/>
    </font>
    <font>
      <b/>
      <sz val="10"/>
      <color rgb="FFC00000"/>
      <name val="DejaVu Sans"/>
      <family val="2"/>
    </font>
    <font>
      <b/>
      <sz val="10"/>
      <color rgb="FFC00000"/>
      <name val="맑은 고딕"/>
      <family val="3"/>
      <charset val="129"/>
    </font>
    <font>
      <b/>
      <sz val="9"/>
      <name val="DejaVu Sans"/>
      <family val="2"/>
    </font>
    <font>
      <b/>
      <sz val="9"/>
      <name val="맑은 고딕"/>
      <family val="3"/>
      <charset val="129"/>
    </font>
    <font>
      <sz val="9"/>
      <name val="맑은 고딕"/>
      <family val="3"/>
      <charset val="129"/>
    </font>
    <font>
      <b/>
      <sz val="11"/>
      <color rgb="FF2F5496"/>
      <name val="맑은 고딕"/>
      <family val="3"/>
      <charset val="129"/>
    </font>
    <font>
      <b/>
      <sz val="11"/>
      <color rgb="FF2F5496"/>
      <name val="DejaVu Sans"/>
      <family val="2"/>
    </font>
    <font>
      <b/>
      <sz val="14"/>
      <color rgb="FF2F5496"/>
      <name val="맑은 고딕"/>
      <family val="3"/>
      <charset val="129"/>
    </font>
    <font>
      <sz val="8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D6E4F0"/>
        <bgColor rgb="FFE2EFDA"/>
      </patternFill>
    </fill>
    <fill>
      <patternFill patternType="solid">
        <fgColor rgb="FFF2F2F2"/>
        <bgColor rgb="FFE2EFDA"/>
      </patternFill>
    </fill>
    <fill>
      <patternFill patternType="solid">
        <fgColor rgb="FF2F5496"/>
        <bgColor rgb="FF0066CC"/>
      </patternFill>
    </fill>
    <fill>
      <patternFill patternType="solid">
        <fgColor rgb="FFFFF2CC"/>
        <bgColor rgb="FFF2F2F2"/>
      </patternFill>
    </fill>
    <fill>
      <patternFill patternType="solid">
        <fgColor rgb="FFE2EFDA"/>
        <bgColor rgb="FFF2F2F2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2" xfId="0" applyBorder="1"/>
    <xf numFmtId="0" fontId="6" fillId="3" borderId="2" xfId="0" applyFont="1" applyFill="1" applyBorder="1"/>
    <xf numFmtId="0" fontId="6" fillId="0" borderId="0" xfId="0" applyFont="1"/>
    <xf numFmtId="0" fontId="6" fillId="5" borderId="1" xfId="0" applyFont="1" applyFill="1" applyBorder="1" applyAlignment="1">
      <alignment horizontal="center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2" fillId="0" borderId="0" xfId="0" applyFont="1"/>
    <xf numFmtId="0" fontId="12" fillId="0" borderId="0" xfId="0" applyFont="1" applyAlignment="1">
      <alignment horizontal="left" vertical="center" wrapText="1"/>
    </xf>
    <xf numFmtId="0" fontId="10" fillId="0" borderId="0" xfId="0" applyFont="1" applyAlignment="1">
      <alignment horizontal="left" vertical="center" wrapText="1"/>
    </xf>
    <xf numFmtId="0" fontId="9" fillId="0" borderId="0" xfId="0" applyFont="1" applyAlignment="1">
      <alignment horizontal="left" vertical="center" wrapText="1"/>
    </xf>
    <xf numFmtId="0" fontId="6" fillId="3" borderId="1" xfId="0" applyFont="1" applyFill="1" applyBorder="1" applyAlignment="1">
      <alignment horizontal="left" vertical="center" wrapText="1"/>
    </xf>
    <xf numFmtId="0" fontId="4" fillId="2" borderId="0" xfId="0" applyFont="1" applyFill="1"/>
    <xf numFmtId="0" fontId="2" fillId="0" borderId="0" xfId="0" applyFont="1" applyAlignment="1">
      <alignment horizontal="center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left" vertical="center" wrapText="1"/>
    </xf>
    <xf numFmtId="0" fontId="7" fillId="4" borderId="1" xfId="0" applyFont="1" applyFill="1" applyBorder="1" applyAlignment="1">
      <alignment horizontal="center" vertical="center" wrapText="1"/>
    </xf>
    <xf numFmtId="0" fontId="8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left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1" fillId="4" borderId="1" xfId="0" applyFont="1" applyFill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 wrapText="1"/>
    </xf>
    <xf numFmtId="0" fontId="9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4" fillId="0" borderId="0" xfId="0" applyFont="1"/>
    <xf numFmtId="0" fontId="16" fillId="0" borderId="0" xfId="0" applyFont="1"/>
    <xf numFmtId="3" fontId="10" fillId="0" borderId="1" xfId="0" applyNumberFormat="1" applyFont="1" applyBorder="1" applyAlignment="1">
      <alignment horizontal="center" vertical="center" wrapText="1"/>
    </xf>
    <xf numFmtId="0" fontId="0" fillId="0" borderId="1" xfId="0" applyBorder="1"/>
    <xf numFmtId="3" fontId="0" fillId="0" borderId="1" xfId="0" applyNumberFormat="1" applyBorder="1" applyAlignment="1">
      <alignment horizontal="center" vertical="center" wrapText="1"/>
    </xf>
    <xf numFmtId="0" fontId="6" fillId="5" borderId="1" xfId="0" applyFont="1" applyFill="1" applyBorder="1" applyAlignment="1">
      <alignment horizontal="center" vertical="center" wrapText="1"/>
    </xf>
    <xf numFmtId="0" fontId="8" fillId="5" borderId="1" xfId="0" applyFont="1" applyFill="1" applyBorder="1"/>
    <xf numFmtId="3" fontId="8" fillId="5" borderId="1" xfId="0" applyNumberFormat="1" applyFont="1" applyFill="1" applyBorder="1"/>
    <xf numFmtId="0" fontId="9" fillId="3" borderId="1" xfId="0" applyFont="1" applyFill="1" applyBorder="1" applyAlignment="1">
      <alignment horizontal="center" vertical="center" wrapText="1"/>
    </xf>
    <xf numFmtId="3" fontId="8" fillId="5" borderId="1" xfId="0" applyNumberFormat="1" applyFont="1" applyFill="1" applyBorder="1" applyAlignment="1">
      <alignment horizontal="center" vertical="center" wrapText="1"/>
    </xf>
    <xf numFmtId="0" fontId="6" fillId="6" borderId="1" xfId="0" applyFont="1" applyFill="1" applyBorder="1"/>
    <xf numFmtId="0" fontId="17" fillId="2" borderId="0" xfId="0" applyFont="1" applyFill="1"/>
    <xf numFmtId="176" fontId="19" fillId="0" borderId="1" xfId="0" applyNumberFormat="1" applyFont="1" applyBorder="1" applyAlignment="1">
      <alignment horizontal="center" vertical="center" wrapText="1"/>
    </xf>
    <xf numFmtId="0" fontId="0" fillId="0" borderId="1" xfId="0" applyBorder="1" applyAlignment="1">
      <alignment horizontal="left" vertical="center" wrapText="1"/>
    </xf>
    <xf numFmtId="0" fontId="9" fillId="0" borderId="1" xfId="0" applyFont="1" applyBorder="1" applyAlignment="1">
      <alignment horizontal="left" vertical="center" wrapText="1"/>
    </xf>
    <xf numFmtId="0" fontId="6" fillId="2" borderId="1" xfId="0" applyFont="1" applyFill="1" applyBorder="1" applyAlignment="1">
      <alignment horizontal="center" vertical="center" wrapText="1"/>
    </xf>
  </cellXfs>
  <cellStyles count="1">
    <cellStyle name="표준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2CC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66"/>
      <rgbColor rgb="FF969696"/>
      <rgbColor rgb="FF003366"/>
      <rgbColor rgb="FF339966"/>
      <rgbColor rgb="FF003300"/>
      <rgbColor rgb="FF333300"/>
      <rgbColor rgb="FF993300"/>
      <rgbColor rgb="FF993366"/>
      <rgbColor rgb="FF2F5496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F36"/>
  <sheetViews>
    <sheetView zoomScaleNormal="100" workbookViewId="0">
      <selection sqref="A1:F1"/>
    </sheetView>
  </sheetViews>
  <sheetFormatPr defaultColWidth="8.7109375" defaultRowHeight="15" x14ac:dyDescent="0.25"/>
  <cols>
    <col min="1" max="1" width="4" customWidth="1"/>
    <col min="2" max="2" width="16" customWidth="1"/>
    <col min="3" max="3" width="30" customWidth="1"/>
    <col min="4" max="4" width="16" customWidth="1"/>
    <col min="5" max="5" width="30" customWidth="1"/>
    <col min="6" max="6" width="16" customWidth="1"/>
  </cols>
  <sheetData>
    <row r="1" spans="1:6" ht="39.75" customHeight="1" x14ac:dyDescent="0.25">
      <c r="A1" s="14" t="s">
        <v>0</v>
      </c>
      <c r="B1" s="14"/>
      <c r="C1" s="14"/>
      <c r="D1" s="14"/>
      <c r="E1" s="14"/>
      <c r="F1" s="14"/>
    </row>
    <row r="2" spans="1:6" ht="21.75" customHeight="1" x14ac:dyDescent="0.25">
      <c r="A2" s="13" t="s">
        <v>1</v>
      </c>
      <c r="B2" s="13"/>
      <c r="C2" s="13"/>
      <c r="D2" s="13"/>
      <c r="E2" s="13"/>
      <c r="F2" s="13"/>
    </row>
    <row r="4" spans="1:6" ht="17.25" x14ac:dyDescent="0.3">
      <c r="A4" s="12" t="s">
        <v>2</v>
      </c>
      <c r="B4" s="12"/>
      <c r="C4" s="12"/>
      <c r="D4" s="12"/>
      <c r="E4" s="12"/>
      <c r="F4" s="12"/>
    </row>
    <row r="5" spans="1:6" ht="27.75" customHeight="1" x14ac:dyDescent="0.25">
      <c r="B5" s="11" t="s">
        <v>3</v>
      </c>
      <c r="C5" s="11"/>
      <c r="D5" s="15"/>
      <c r="E5" s="11" t="s">
        <v>4</v>
      </c>
      <c r="F5" s="11"/>
    </row>
    <row r="6" spans="1:6" ht="27.75" customHeight="1" x14ac:dyDescent="0.25">
      <c r="B6" s="11" t="s">
        <v>5</v>
      </c>
      <c r="C6" s="11"/>
      <c r="D6" s="15"/>
      <c r="E6" s="11" t="s">
        <v>6</v>
      </c>
      <c r="F6" s="11"/>
    </row>
    <row r="7" spans="1:6" ht="27.75" customHeight="1" x14ac:dyDescent="0.25">
      <c r="B7" s="11" t="s">
        <v>7</v>
      </c>
      <c r="C7" s="11"/>
      <c r="D7" s="15"/>
      <c r="E7" s="11" t="s">
        <v>8</v>
      </c>
      <c r="F7" s="11"/>
    </row>
    <row r="8" spans="1:6" ht="27.75" customHeight="1" x14ac:dyDescent="0.25">
      <c r="B8" s="11" t="s">
        <v>9</v>
      </c>
      <c r="C8" s="11"/>
      <c r="D8" s="15"/>
      <c r="E8" s="11" t="s">
        <v>10</v>
      </c>
      <c r="F8" s="11"/>
    </row>
    <row r="9" spans="1:6" ht="27.75" customHeight="1" x14ac:dyDescent="0.25">
      <c r="B9" s="11" t="s">
        <v>11</v>
      </c>
      <c r="C9" s="11"/>
      <c r="D9" s="15"/>
      <c r="E9" s="11" t="s">
        <v>12</v>
      </c>
      <c r="F9" s="11"/>
    </row>
    <row r="11" spans="1:6" ht="17.25" x14ac:dyDescent="0.3">
      <c r="A11" s="12" t="s">
        <v>13</v>
      </c>
      <c r="B11" s="12"/>
      <c r="C11" s="12"/>
      <c r="D11" s="12"/>
      <c r="E11" s="12"/>
      <c r="F11" s="12"/>
    </row>
    <row r="12" spans="1:6" ht="24.75" customHeight="1" x14ac:dyDescent="0.25">
      <c r="B12" s="16" t="s">
        <v>14</v>
      </c>
      <c r="C12" s="16" t="s">
        <v>15</v>
      </c>
      <c r="D12" s="16" t="s">
        <v>16</v>
      </c>
      <c r="E12" s="16" t="s">
        <v>17</v>
      </c>
      <c r="F12" s="16" t="s">
        <v>18</v>
      </c>
    </row>
    <row r="13" spans="1:6" ht="79.5" customHeight="1" x14ac:dyDescent="0.25">
      <c r="B13" s="17" t="s">
        <v>19</v>
      </c>
      <c r="C13" s="18" t="s">
        <v>20</v>
      </c>
      <c r="D13" s="18" t="s">
        <v>21</v>
      </c>
      <c r="E13" s="18" t="s">
        <v>22</v>
      </c>
      <c r="F13" s="18" t="s">
        <v>23</v>
      </c>
    </row>
    <row r="14" spans="1:6" ht="79.5" customHeight="1" x14ac:dyDescent="0.25">
      <c r="B14" s="17" t="s">
        <v>24</v>
      </c>
      <c r="C14" s="18" t="s">
        <v>25</v>
      </c>
      <c r="D14" s="18" t="s">
        <v>26</v>
      </c>
      <c r="E14" s="18" t="s">
        <v>27</v>
      </c>
      <c r="F14" s="18" t="s">
        <v>28</v>
      </c>
    </row>
    <row r="15" spans="1:6" ht="79.5" customHeight="1" x14ac:dyDescent="0.25">
      <c r="B15" s="17" t="s">
        <v>29</v>
      </c>
      <c r="C15" s="18" t="s">
        <v>30</v>
      </c>
      <c r="D15" s="18" t="s">
        <v>31</v>
      </c>
      <c r="E15" s="18" t="s">
        <v>32</v>
      </c>
      <c r="F15" s="18" t="s">
        <v>33</v>
      </c>
    </row>
    <row r="16" spans="1:6" ht="79.5" customHeight="1" x14ac:dyDescent="0.25">
      <c r="B16" s="17" t="s">
        <v>34</v>
      </c>
      <c r="C16" s="18" t="s">
        <v>35</v>
      </c>
      <c r="D16" s="18" t="s">
        <v>36</v>
      </c>
      <c r="E16" s="18" t="s">
        <v>32</v>
      </c>
      <c r="F16" s="18" t="s">
        <v>37</v>
      </c>
    </row>
    <row r="17" spans="1:6" ht="79.5" customHeight="1" x14ac:dyDescent="0.25">
      <c r="B17" s="17" t="s">
        <v>38</v>
      </c>
      <c r="C17" s="18" t="s">
        <v>39</v>
      </c>
      <c r="D17" s="18" t="s">
        <v>40</v>
      </c>
      <c r="E17" s="18" t="s">
        <v>41</v>
      </c>
      <c r="F17" s="18" t="s">
        <v>42</v>
      </c>
    </row>
    <row r="18" spans="1:6" ht="79.5" customHeight="1" x14ac:dyDescent="0.25">
      <c r="B18" s="17" t="s">
        <v>43</v>
      </c>
      <c r="C18" s="18" t="s">
        <v>44</v>
      </c>
      <c r="D18" s="18" t="s">
        <v>45</v>
      </c>
      <c r="E18" s="18" t="s">
        <v>22</v>
      </c>
      <c r="F18" s="18" t="s">
        <v>46</v>
      </c>
    </row>
    <row r="20" spans="1:6" ht="17.25" x14ac:dyDescent="0.3">
      <c r="A20" s="12" t="s">
        <v>47</v>
      </c>
      <c r="B20" s="12"/>
      <c r="C20" s="12"/>
      <c r="D20" s="12"/>
      <c r="E20" s="12"/>
      <c r="F20" s="12"/>
    </row>
    <row r="21" spans="1:6" ht="21.75" customHeight="1" x14ac:dyDescent="0.25">
      <c r="B21" s="10" t="s">
        <v>48</v>
      </c>
      <c r="C21" s="10"/>
      <c r="D21" s="10"/>
      <c r="E21" s="10"/>
      <c r="F21" s="10"/>
    </row>
    <row r="22" spans="1:6" ht="21.75" customHeight="1" x14ac:dyDescent="0.25">
      <c r="B22" s="10" t="s">
        <v>49</v>
      </c>
      <c r="C22" s="10"/>
      <c r="D22" s="10"/>
      <c r="E22" s="10"/>
      <c r="F22" s="10"/>
    </row>
    <row r="23" spans="1:6" ht="21.75" customHeight="1" x14ac:dyDescent="0.25">
      <c r="B23" s="10" t="s">
        <v>50</v>
      </c>
      <c r="C23" s="10"/>
      <c r="D23" s="10"/>
      <c r="E23" s="10"/>
      <c r="F23" s="10"/>
    </row>
    <row r="24" spans="1:6" ht="21.75" customHeight="1" x14ac:dyDescent="0.25">
      <c r="B24" s="10" t="s">
        <v>51</v>
      </c>
      <c r="C24" s="10"/>
      <c r="D24" s="10"/>
      <c r="E24" s="10"/>
      <c r="F24" s="10"/>
    </row>
    <row r="25" spans="1:6" ht="21.75" customHeight="1" x14ac:dyDescent="0.25">
      <c r="B25" s="10" t="s">
        <v>52</v>
      </c>
      <c r="C25" s="10"/>
      <c r="D25" s="10"/>
      <c r="E25" s="10"/>
      <c r="F25" s="10"/>
    </row>
    <row r="26" spans="1:6" ht="21.75" customHeight="1" x14ac:dyDescent="0.25">
      <c r="B26" s="9" t="s">
        <v>53</v>
      </c>
      <c r="C26" s="9"/>
      <c r="D26" s="9"/>
      <c r="E26" s="9"/>
      <c r="F26" s="9"/>
    </row>
    <row r="27" spans="1:6" ht="21.75" customHeight="1" x14ac:dyDescent="0.25">
      <c r="B27" s="10" t="s">
        <v>54</v>
      </c>
      <c r="C27" s="10"/>
      <c r="D27" s="10"/>
      <c r="E27" s="10"/>
      <c r="F27" s="10"/>
    </row>
    <row r="28" spans="1:6" ht="21.75" customHeight="1" x14ac:dyDescent="0.25">
      <c r="B28" s="10" t="s">
        <v>55</v>
      </c>
      <c r="C28" s="10"/>
      <c r="D28" s="10"/>
      <c r="E28" s="10"/>
      <c r="F28" s="10"/>
    </row>
    <row r="31" spans="1:6" ht="17.25" x14ac:dyDescent="0.3">
      <c r="A31" s="12" t="s">
        <v>56</v>
      </c>
      <c r="B31" s="12"/>
      <c r="C31" s="12"/>
      <c r="D31" s="12"/>
      <c r="E31" s="12"/>
      <c r="F31" s="12"/>
    </row>
    <row r="32" spans="1:6" x14ac:dyDescent="0.25">
      <c r="B32" s="16" t="s">
        <v>57</v>
      </c>
      <c r="C32" s="16" t="s">
        <v>58</v>
      </c>
      <c r="D32" s="16" t="s">
        <v>59</v>
      </c>
      <c r="E32" s="16" t="s">
        <v>60</v>
      </c>
    </row>
    <row r="33" spans="2:5" ht="30" customHeight="1" x14ac:dyDescent="0.25">
      <c r="B33" s="19" t="s">
        <v>61</v>
      </c>
      <c r="C33" s="20"/>
      <c r="D33" s="20"/>
      <c r="E33" s="20"/>
    </row>
    <row r="34" spans="2:5" ht="30" customHeight="1" x14ac:dyDescent="0.25">
      <c r="B34" s="19" t="s">
        <v>62</v>
      </c>
      <c r="C34" s="20"/>
      <c r="D34" s="20"/>
      <c r="E34" s="20"/>
    </row>
    <row r="35" spans="2:5" ht="30" customHeight="1" x14ac:dyDescent="0.25">
      <c r="B35" s="19" t="s">
        <v>63</v>
      </c>
      <c r="C35" s="20"/>
      <c r="D35" s="20"/>
      <c r="E35" s="20"/>
    </row>
    <row r="36" spans="2:5" ht="30" customHeight="1" x14ac:dyDescent="0.25">
      <c r="B36" s="19" t="s">
        <v>64</v>
      </c>
      <c r="C36" s="20"/>
      <c r="D36" s="20"/>
      <c r="E36" s="20"/>
    </row>
  </sheetData>
  <mergeCells count="24">
    <mergeCell ref="B27:F27"/>
    <mergeCell ref="B28:F28"/>
    <mergeCell ref="A31:F31"/>
    <mergeCell ref="B22:F22"/>
    <mergeCell ref="B23:F23"/>
    <mergeCell ref="B24:F24"/>
    <mergeCell ref="B25:F25"/>
    <mergeCell ref="B26:F26"/>
    <mergeCell ref="B9:C9"/>
    <mergeCell ref="E9:F9"/>
    <mergeCell ref="A11:F11"/>
    <mergeCell ref="A20:F20"/>
    <mergeCell ref="B21:F21"/>
    <mergeCell ref="B6:C6"/>
    <mergeCell ref="E6:F6"/>
    <mergeCell ref="B7:C7"/>
    <mergeCell ref="E7:F7"/>
    <mergeCell ref="B8:C8"/>
    <mergeCell ref="E8:F8"/>
    <mergeCell ref="A1:F1"/>
    <mergeCell ref="A2:F2"/>
    <mergeCell ref="A4:F4"/>
    <mergeCell ref="B5:C5"/>
    <mergeCell ref="E5:F5"/>
  </mergeCells>
  <phoneticPr fontId="20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G11"/>
  <sheetViews>
    <sheetView zoomScaleNormal="100" workbookViewId="0">
      <selection sqref="A1:G1"/>
    </sheetView>
  </sheetViews>
  <sheetFormatPr defaultColWidth="8.7109375" defaultRowHeight="15" x14ac:dyDescent="0.25"/>
  <cols>
    <col min="1" max="1" width="4" customWidth="1"/>
    <col min="2" max="2" width="12" customWidth="1"/>
    <col min="3" max="3" width="18" customWidth="1"/>
    <col min="4" max="4" width="35" customWidth="1"/>
    <col min="5" max="6" width="20" customWidth="1"/>
    <col min="7" max="7" width="15" customWidth="1"/>
  </cols>
  <sheetData>
    <row r="1" spans="1:7" ht="34.5" customHeight="1" x14ac:dyDescent="0.25">
      <c r="A1" s="14" t="s">
        <v>65</v>
      </c>
      <c r="B1" s="14"/>
      <c r="C1" s="14"/>
      <c r="D1" s="14"/>
      <c r="E1" s="14"/>
      <c r="F1" s="14"/>
      <c r="G1" s="14"/>
    </row>
    <row r="3" spans="1:7" ht="24.75" customHeight="1" x14ac:dyDescent="0.25">
      <c r="A3" s="21" t="s">
        <v>66</v>
      </c>
      <c r="B3" s="16" t="s">
        <v>67</v>
      </c>
      <c r="C3" s="16" t="s">
        <v>68</v>
      </c>
      <c r="D3" s="16" t="s">
        <v>69</v>
      </c>
      <c r="E3" s="16" t="s">
        <v>70</v>
      </c>
      <c r="F3" s="16" t="s">
        <v>71</v>
      </c>
      <c r="G3" s="16" t="s">
        <v>72</v>
      </c>
    </row>
    <row r="4" spans="1:7" ht="39.75" customHeight="1" x14ac:dyDescent="0.25">
      <c r="A4" s="22">
        <v>1</v>
      </c>
      <c r="B4" s="22" t="s">
        <v>73</v>
      </c>
      <c r="C4" s="23" t="s">
        <v>74</v>
      </c>
      <c r="D4" s="18" t="s">
        <v>75</v>
      </c>
      <c r="E4" s="22" t="s">
        <v>76</v>
      </c>
      <c r="F4" s="23" t="s">
        <v>77</v>
      </c>
      <c r="G4" s="23" t="s">
        <v>78</v>
      </c>
    </row>
    <row r="5" spans="1:7" ht="39.75" customHeight="1" x14ac:dyDescent="0.25">
      <c r="A5" s="23">
        <v>2</v>
      </c>
      <c r="B5" s="22" t="s">
        <v>79</v>
      </c>
      <c r="C5" s="23" t="s">
        <v>80</v>
      </c>
      <c r="D5" s="18" t="s">
        <v>81</v>
      </c>
      <c r="E5" s="22" t="s">
        <v>82</v>
      </c>
      <c r="F5" s="23" t="s">
        <v>77</v>
      </c>
      <c r="G5" s="23" t="s">
        <v>83</v>
      </c>
    </row>
    <row r="6" spans="1:7" ht="39.75" customHeight="1" x14ac:dyDescent="0.25">
      <c r="A6" s="23">
        <v>3</v>
      </c>
      <c r="B6" s="22" t="s">
        <v>84</v>
      </c>
      <c r="C6" s="23" t="s">
        <v>85</v>
      </c>
      <c r="D6" s="24" t="s">
        <v>86</v>
      </c>
      <c r="E6" s="22" t="s">
        <v>87</v>
      </c>
      <c r="F6" s="23" t="s">
        <v>77</v>
      </c>
      <c r="G6" s="22" t="s">
        <v>88</v>
      </c>
    </row>
    <row r="7" spans="1:7" ht="39.75" customHeight="1" x14ac:dyDescent="0.25">
      <c r="A7" s="23">
        <v>4</v>
      </c>
      <c r="B7" s="22" t="s">
        <v>89</v>
      </c>
      <c r="C7" s="23" t="s">
        <v>90</v>
      </c>
      <c r="D7" s="18" t="s">
        <v>91</v>
      </c>
      <c r="E7" s="22" t="s">
        <v>92</v>
      </c>
      <c r="F7" s="23" t="s">
        <v>77</v>
      </c>
      <c r="G7" s="23" t="s">
        <v>93</v>
      </c>
    </row>
    <row r="8" spans="1:7" ht="39.75" customHeight="1" x14ac:dyDescent="0.25">
      <c r="A8" s="23">
        <v>5</v>
      </c>
      <c r="B8" s="22" t="s">
        <v>94</v>
      </c>
      <c r="C8" s="23" t="s">
        <v>95</v>
      </c>
      <c r="D8" s="18" t="s">
        <v>96</v>
      </c>
      <c r="E8" s="22" t="s">
        <v>97</v>
      </c>
      <c r="F8" s="23" t="s">
        <v>98</v>
      </c>
      <c r="G8" s="23" t="s">
        <v>99</v>
      </c>
    </row>
    <row r="10" spans="1:7" ht="15" customHeight="1" x14ac:dyDescent="0.25">
      <c r="A10" s="8" t="s">
        <v>100</v>
      </c>
      <c r="B10" s="8"/>
      <c r="C10" s="8"/>
      <c r="D10" s="8"/>
      <c r="E10" s="8"/>
      <c r="F10" s="8"/>
      <c r="G10" s="8"/>
    </row>
    <row r="11" spans="1:7" x14ac:dyDescent="0.25">
      <c r="A11" s="7" t="s">
        <v>101</v>
      </c>
      <c r="B11" s="7"/>
      <c r="C11" s="7"/>
      <c r="D11" s="7"/>
      <c r="E11" s="7"/>
      <c r="F11" s="7"/>
      <c r="G11" s="7"/>
    </row>
  </sheetData>
  <mergeCells count="3">
    <mergeCell ref="A1:G1"/>
    <mergeCell ref="A10:G10"/>
    <mergeCell ref="A11:G11"/>
  </mergeCells>
  <phoneticPr fontId="20" type="noConversion"/>
  <pageMargins left="0.75" right="0.75" top="1" bottom="1" header="0.511811023622047" footer="0.511811023622047"/>
  <pageSetup fitToHeight="0" orientation="landscape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P38"/>
  <sheetViews>
    <sheetView zoomScaleNormal="100" workbookViewId="0">
      <selection activeCell="F23" sqref="F23"/>
    </sheetView>
  </sheetViews>
  <sheetFormatPr defaultColWidth="8.7109375" defaultRowHeight="15" x14ac:dyDescent="0.25"/>
  <cols>
    <col min="1" max="1" width="5" customWidth="1"/>
    <col min="2" max="2" width="16" customWidth="1"/>
    <col min="3" max="3" width="12" customWidth="1"/>
    <col min="4" max="4" width="20" customWidth="1"/>
    <col min="5" max="5" width="10" customWidth="1"/>
    <col min="6" max="6" width="12" customWidth="1"/>
    <col min="7" max="7" width="15" customWidth="1"/>
    <col min="8" max="8" width="12" customWidth="1"/>
    <col min="9" max="9" width="15" customWidth="1"/>
    <col min="10" max="11" width="10" customWidth="1"/>
    <col min="12" max="12" width="12" customWidth="1"/>
    <col min="13" max="13" width="10" customWidth="1"/>
    <col min="14" max="15" width="15" customWidth="1"/>
    <col min="16" max="16" width="18" customWidth="1"/>
  </cols>
  <sheetData>
    <row r="1" spans="1:16" ht="34.5" customHeight="1" x14ac:dyDescent="0.25">
      <c r="A1" s="14" t="s">
        <v>102</v>
      </c>
      <c r="B1" s="14"/>
      <c r="C1" s="14"/>
      <c r="D1" s="14"/>
      <c r="E1" s="14"/>
      <c r="F1" s="14"/>
      <c r="G1" s="14"/>
      <c r="H1" s="14"/>
      <c r="I1" s="14"/>
      <c r="J1" s="14"/>
      <c r="K1" s="14"/>
      <c r="L1" s="14"/>
      <c r="M1" s="14"/>
      <c r="N1" s="14"/>
      <c r="O1" s="14"/>
      <c r="P1" s="14"/>
    </row>
    <row r="2" spans="1:16" ht="21.75" customHeight="1" x14ac:dyDescent="0.25">
      <c r="B2" s="25" t="s">
        <v>103</v>
      </c>
      <c r="C2" s="26"/>
      <c r="D2" s="25" t="s">
        <v>104</v>
      </c>
      <c r="E2" s="26"/>
      <c r="F2" s="25" t="s">
        <v>105</v>
      </c>
      <c r="G2" s="26"/>
      <c r="H2" s="25" t="s">
        <v>106</v>
      </c>
      <c r="I2" s="26"/>
      <c r="J2" s="25" t="s">
        <v>107</v>
      </c>
      <c r="K2" s="26" t="s">
        <v>108</v>
      </c>
    </row>
    <row r="4" spans="1:16" ht="19.5" customHeight="1" x14ac:dyDescent="0.25">
      <c r="A4" s="6" t="s">
        <v>66</v>
      </c>
      <c r="B4" s="5" t="s">
        <v>109</v>
      </c>
      <c r="C4" s="5" t="s">
        <v>110</v>
      </c>
      <c r="D4" s="5" t="s">
        <v>111</v>
      </c>
      <c r="E4" s="5" t="s">
        <v>112</v>
      </c>
      <c r="F4" s="5" t="s">
        <v>113</v>
      </c>
      <c r="G4" s="5" t="s">
        <v>114</v>
      </c>
      <c r="H4" s="5" t="s">
        <v>115</v>
      </c>
      <c r="I4" s="5" t="s">
        <v>116</v>
      </c>
      <c r="J4" s="5" t="s">
        <v>117</v>
      </c>
      <c r="K4" s="5" t="s">
        <v>118</v>
      </c>
      <c r="L4" s="5" t="s">
        <v>119</v>
      </c>
      <c r="M4" s="5" t="s">
        <v>120</v>
      </c>
      <c r="N4" s="5" t="s">
        <v>121</v>
      </c>
      <c r="O4" s="5" t="s">
        <v>122</v>
      </c>
      <c r="P4" s="5" t="s">
        <v>123</v>
      </c>
    </row>
    <row r="5" spans="1:16" ht="19.5" customHeight="1" x14ac:dyDescent="0.25">
      <c r="A5" s="6"/>
      <c r="B5" s="6"/>
      <c r="C5" s="6"/>
      <c r="D5" s="6"/>
      <c r="E5" s="6"/>
      <c r="F5" s="6"/>
      <c r="G5" s="6"/>
      <c r="H5" s="6"/>
      <c r="I5" s="6"/>
      <c r="J5" s="6"/>
      <c r="K5" s="6"/>
      <c r="L5" s="6"/>
      <c r="M5" s="6"/>
      <c r="N5" s="6"/>
      <c r="O5" s="6"/>
      <c r="P5" s="6"/>
    </row>
    <row r="6" spans="1:16" ht="27.75" customHeight="1" x14ac:dyDescent="0.25">
      <c r="A6" s="23">
        <v>1</v>
      </c>
      <c r="B6" s="22" t="s">
        <v>124</v>
      </c>
      <c r="C6" s="23" t="s">
        <v>74</v>
      </c>
      <c r="D6" s="24" t="s">
        <v>125</v>
      </c>
      <c r="E6" s="24" t="s">
        <v>126</v>
      </c>
      <c r="F6" s="18" t="s">
        <v>127</v>
      </c>
      <c r="G6" s="22" t="s">
        <v>128</v>
      </c>
      <c r="H6" s="22" t="s">
        <v>129</v>
      </c>
      <c r="I6" s="27">
        <v>85000000</v>
      </c>
      <c r="J6" s="23">
        <v>1</v>
      </c>
      <c r="K6" s="23"/>
      <c r="L6" s="23">
        <f t="shared" ref="L6:L35" si="0">K6-J6</f>
        <v>-1</v>
      </c>
      <c r="M6" s="22"/>
      <c r="N6" s="18" t="s">
        <v>130</v>
      </c>
      <c r="O6" s="18" t="s">
        <v>131</v>
      </c>
      <c r="P6" s="18"/>
    </row>
    <row r="7" spans="1:16" ht="27.75" customHeight="1" x14ac:dyDescent="0.25">
      <c r="A7" s="23">
        <v>2</v>
      </c>
      <c r="B7" s="22" t="s">
        <v>132</v>
      </c>
      <c r="C7" s="23" t="s">
        <v>74</v>
      </c>
      <c r="D7" s="18" t="s">
        <v>133</v>
      </c>
      <c r="E7" s="24" t="s">
        <v>134</v>
      </c>
      <c r="F7" s="18" t="s">
        <v>135</v>
      </c>
      <c r="G7" s="22" t="s">
        <v>136</v>
      </c>
      <c r="H7" s="22" t="s">
        <v>137</v>
      </c>
      <c r="I7" s="27">
        <v>32000000</v>
      </c>
      <c r="J7" s="23">
        <v>1</v>
      </c>
      <c r="K7" s="23"/>
      <c r="L7" s="23">
        <f t="shared" si="0"/>
        <v>-1</v>
      </c>
      <c r="M7" s="22"/>
      <c r="N7" s="18" t="s">
        <v>138</v>
      </c>
      <c r="O7" s="18" t="s">
        <v>139</v>
      </c>
      <c r="P7" s="18"/>
    </row>
    <row r="8" spans="1:16" ht="27.75" customHeight="1" x14ac:dyDescent="0.25">
      <c r="A8" s="23">
        <v>3</v>
      </c>
      <c r="B8" s="22" t="s">
        <v>140</v>
      </c>
      <c r="C8" s="23" t="s">
        <v>80</v>
      </c>
      <c r="D8" s="18" t="s">
        <v>141</v>
      </c>
      <c r="E8" s="24" t="s">
        <v>142</v>
      </c>
      <c r="F8" s="18" t="s">
        <v>143</v>
      </c>
      <c r="G8" s="22" t="s">
        <v>144</v>
      </c>
      <c r="H8" s="22" t="s">
        <v>145</v>
      </c>
      <c r="I8" s="27">
        <v>2800000</v>
      </c>
      <c r="J8" s="23">
        <v>1</v>
      </c>
      <c r="K8" s="23"/>
      <c r="L8" s="23">
        <f t="shared" si="0"/>
        <v>-1</v>
      </c>
      <c r="M8" s="22"/>
      <c r="N8" s="18" t="s">
        <v>146</v>
      </c>
      <c r="O8" s="18" t="s">
        <v>147</v>
      </c>
      <c r="P8" s="18"/>
    </row>
    <row r="9" spans="1:16" ht="27.75" customHeight="1" x14ac:dyDescent="0.25">
      <c r="A9" s="23">
        <v>4</v>
      </c>
      <c r="B9" s="22" t="s">
        <v>148</v>
      </c>
      <c r="C9" s="23" t="s">
        <v>85</v>
      </c>
      <c r="D9" s="18" t="s">
        <v>149</v>
      </c>
      <c r="E9" s="24" t="s">
        <v>150</v>
      </c>
      <c r="F9" s="24" t="s">
        <v>151</v>
      </c>
      <c r="G9" s="22" t="s">
        <v>152</v>
      </c>
      <c r="H9" s="22" t="s">
        <v>153</v>
      </c>
      <c r="I9" s="27">
        <v>1850000</v>
      </c>
      <c r="J9" s="23">
        <v>1</v>
      </c>
      <c r="K9" s="23"/>
      <c r="L9" s="23">
        <f t="shared" si="0"/>
        <v>-1</v>
      </c>
      <c r="M9" s="22"/>
      <c r="N9" s="18" t="s">
        <v>154</v>
      </c>
      <c r="O9" s="18" t="s">
        <v>155</v>
      </c>
      <c r="P9" s="18"/>
    </row>
    <row r="10" spans="1:16" ht="27.75" customHeight="1" x14ac:dyDescent="0.25">
      <c r="A10" s="23">
        <v>5</v>
      </c>
      <c r="B10" s="22" t="s">
        <v>156</v>
      </c>
      <c r="C10" s="23" t="s">
        <v>90</v>
      </c>
      <c r="D10" s="18" t="s">
        <v>157</v>
      </c>
      <c r="E10" s="18" t="s">
        <v>158</v>
      </c>
      <c r="F10" s="18" t="s">
        <v>159</v>
      </c>
      <c r="G10" s="22" t="s">
        <v>160</v>
      </c>
      <c r="H10" s="22" t="s">
        <v>161</v>
      </c>
      <c r="I10" s="27">
        <v>42000000</v>
      </c>
      <c r="J10" s="23">
        <v>1</v>
      </c>
      <c r="K10" s="23"/>
      <c r="L10" s="23">
        <f t="shared" si="0"/>
        <v>-1</v>
      </c>
      <c r="M10" s="22"/>
      <c r="N10" s="18" t="s">
        <v>162</v>
      </c>
      <c r="O10" s="18" t="s">
        <v>163</v>
      </c>
      <c r="P10" s="18" t="s">
        <v>164</v>
      </c>
    </row>
    <row r="11" spans="1:16" ht="24.75" customHeight="1" x14ac:dyDescent="0.25">
      <c r="A11" s="23">
        <v>6</v>
      </c>
      <c r="B11" s="20"/>
      <c r="C11" s="20"/>
      <c r="D11" s="28"/>
      <c r="E11" s="28"/>
      <c r="F11" s="28"/>
      <c r="G11" s="20"/>
      <c r="H11" s="20"/>
      <c r="I11" s="29"/>
      <c r="J11" s="20"/>
      <c r="K11" s="20"/>
      <c r="L11" s="23">
        <f t="shared" si="0"/>
        <v>0</v>
      </c>
      <c r="M11" s="20"/>
      <c r="N11" s="28"/>
      <c r="O11" s="28"/>
      <c r="P11" s="28"/>
    </row>
    <row r="12" spans="1:16" ht="24.75" customHeight="1" x14ac:dyDescent="0.25">
      <c r="A12" s="23">
        <v>7</v>
      </c>
      <c r="B12" s="20"/>
      <c r="C12" s="20"/>
      <c r="D12" s="28"/>
      <c r="E12" s="28"/>
      <c r="F12" s="28"/>
      <c r="G12" s="20"/>
      <c r="H12" s="20"/>
      <c r="I12" s="29"/>
      <c r="J12" s="20"/>
      <c r="K12" s="20"/>
      <c r="L12" s="23">
        <f t="shared" si="0"/>
        <v>0</v>
      </c>
      <c r="M12" s="20"/>
      <c r="N12" s="28"/>
      <c r="O12" s="28"/>
      <c r="P12" s="28"/>
    </row>
    <row r="13" spans="1:16" ht="24.75" customHeight="1" x14ac:dyDescent="0.25">
      <c r="A13" s="23">
        <v>8</v>
      </c>
      <c r="B13" s="20"/>
      <c r="C13" s="20"/>
      <c r="D13" s="28"/>
      <c r="E13" s="28"/>
      <c r="F13" s="28"/>
      <c r="G13" s="20"/>
      <c r="H13" s="20"/>
      <c r="I13" s="29"/>
      <c r="J13" s="20"/>
      <c r="K13" s="20"/>
      <c r="L13" s="23">
        <f t="shared" si="0"/>
        <v>0</v>
      </c>
      <c r="M13" s="20"/>
      <c r="N13" s="28"/>
      <c r="O13" s="28"/>
      <c r="P13" s="28"/>
    </row>
    <row r="14" spans="1:16" ht="24.75" customHeight="1" x14ac:dyDescent="0.25">
      <c r="A14" s="23">
        <v>9</v>
      </c>
      <c r="B14" s="20"/>
      <c r="C14" s="20"/>
      <c r="D14" s="28"/>
      <c r="E14" s="28"/>
      <c r="F14" s="28"/>
      <c r="G14" s="20"/>
      <c r="H14" s="20"/>
      <c r="I14" s="29"/>
      <c r="J14" s="20"/>
      <c r="K14" s="20"/>
      <c r="L14" s="23">
        <f t="shared" si="0"/>
        <v>0</v>
      </c>
      <c r="M14" s="20"/>
      <c r="N14" s="28"/>
      <c r="O14" s="28"/>
      <c r="P14" s="28"/>
    </row>
    <row r="15" spans="1:16" ht="24.75" customHeight="1" x14ac:dyDescent="0.25">
      <c r="A15" s="23">
        <v>10</v>
      </c>
      <c r="B15" s="20"/>
      <c r="C15" s="20"/>
      <c r="D15" s="28"/>
      <c r="E15" s="28"/>
      <c r="F15" s="28"/>
      <c r="G15" s="20"/>
      <c r="H15" s="20"/>
      <c r="I15" s="29"/>
      <c r="J15" s="20"/>
      <c r="K15" s="20"/>
      <c r="L15" s="23">
        <f t="shared" si="0"/>
        <v>0</v>
      </c>
      <c r="M15" s="20"/>
      <c r="N15" s="28"/>
      <c r="O15" s="28"/>
      <c r="P15" s="28"/>
    </row>
    <row r="16" spans="1:16" ht="24.75" customHeight="1" x14ac:dyDescent="0.25">
      <c r="A16" s="23">
        <v>11</v>
      </c>
      <c r="B16" s="20"/>
      <c r="C16" s="20"/>
      <c r="D16" s="28"/>
      <c r="E16" s="28"/>
      <c r="F16" s="28"/>
      <c r="G16" s="20"/>
      <c r="H16" s="20"/>
      <c r="I16" s="29"/>
      <c r="J16" s="20"/>
      <c r="K16" s="20"/>
      <c r="L16" s="23">
        <f t="shared" si="0"/>
        <v>0</v>
      </c>
      <c r="M16" s="20"/>
      <c r="N16" s="28"/>
      <c r="O16" s="28"/>
      <c r="P16" s="28"/>
    </row>
    <row r="17" spans="1:16" ht="24.75" customHeight="1" x14ac:dyDescent="0.25">
      <c r="A17" s="23">
        <v>12</v>
      </c>
      <c r="B17" s="20"/>
      <c r="C17" s="20"/>
      <c r="D17" s="28"/>
      <c r="E17" s="28"/>
      <c r="F17" s="28"/>
      <c r="G17" s="20"/>
      <c r="H17" s="20"/>
      <c r="I17" s="29"/>
      <c r="J17" s="20"/>
      <c r="K17" s="20"/>
      <c r="L17" s="23">
        <f t="shared" si="0"/>
        <v>0</v>
      </c>
      <c r="M17" s="20"/>
      <c r="N17" s="28"/>
      <c r="O17" s="28"/>
      <c r="P17" s="28"/>
    </row>
    <row r="18" spans="1:16" ht="24.75" customHeight="1" x14ac:dyDescent="0.25">
      <c r="A18" s="23">
        <v>13</v>
      </c>
      <c r="B18" s="20"/>
      <c r="C18" s="20"/>
      <c r="D18" s="28"/>
      <c r="E18" s="28"/>
      <c r="F18" s="28"/>
      <c r="G18" s="20"/>
      <c r="H18" s="20"/>
      <c r="I18" s="29"/>
      <c r="J18" s="20"/>
      <c r="K18" s="20"/>
      <c r="L18" s="23">
        <f t="shared" si="0"/>
        <v>0</v>
      </c>
      <c r="M18" s="20"/>
      <c r="N18" s="28"/>
      <c r="O18" s="28"/>
      <c r="P18" s="28"/>
    </row>
    <row r="19" spans="1:16" ht="24.75" customHeight="1" x14ac:dyDescent="0.25">
      <c r="A19" s="23">
        <v>14</v>
      </c>
      <c r="B19" s="20"/>
      <c r="C19" s="20"/>
      <c r="D19" s="28"/>
      <c r="E19" s="28"/>
      <c r="F19" s="28"/>
      <c r="G19" s="20"/>
      <c r="H19" s="20"/>
      <c r="I19" s="29"/>
      <c r="J19" s="20"/>
      <c r="K19" s="20"/>
      <c r="L19" s="23">
        <f t="shared" si="0"/>
        <v>0</v>
      </c>
      <c r="M19" s="20"/>
      <c r="N19" s="28"/>
      <c r="O19" s="28"/>
      <c r="P19" s="28"/>
    </row>
    <row r="20" spans="1:16" ht="24.75" customHeight="1" x14ac:dyDescent="0.25">
      <c r="A20" s="23">
        <v>15</v>
      </c>
      <c r="B20" s="20"/>
      <c r="C20" s="20"/>
      <c r="D20" s="28"/>
      <c r="E20" s="28"/>
      <c r="F20" s="28"/>
      <c r="G20" s="20"/>
      <c r="H20" s="20"/>
      <c r="I20" s="29"/>
      <c r="J20" s="20"/>
      <c r="K20" s="20"/>
      <c r="L20" s="23">
        <f t="shared" si="0"/>
        <v>0</v>
      </c>
      <c r="M20" s="20"/>
      <c r="N20" s="28"/>
      <c r="O20" s="28"/>
      <c r="P20" s="28"/>
    </row>
    <row r="21" spans="1:16" ht="24.75" customHeight="1" x14ac:dyDescent="0.25">
      <c r="A21" s="23">
        <v>16</v>
      </c>
      <c r="B21" s="20"/>
      <c r="C21" s="20"/>
      <c r="D21" s="28"/>
      <c r="E21" s="28"/>
      <c r="F21" s="28"/>
      <c r="G21" s="20"/>
      <c r="H21" s="20"/>
      <c r="I21" s="29"/>
      <c r="J21" s="20"/>
      <c r="K21" s="20"/>
      <c r="L21" s="23">
        <f t="shared" si="0"/>
        <v>0</v>
      </c>
      <c r="M21" s="20"/>
      <c r="N21" s="28"/>
      <c r="O21" s="28"/>
      <c r="P21" s="28"/>
    </row>
    <row r="22" spans="1:16" ht="24.75" customHeight="1" x14ac:dyDescent="0.25">
      <c r="A22" s="23">
        <v>17</v>
      </c>
      <c r="B22" s="20"/>
      <c r="C22" s="20"/>
      <c r="D22" s="28"/>
      <c r="E22" s="28"/>
      <c r="F22" s="28"/>
      <c r="G22" s="20"/>
      <c r="H22" s="20"/>
      <c r="I22" s="29"/>
      <c r="J22" s="20"/>
      <c r="K22" s="20"/>
      <c r="L22" s="23">
        <f t="shared" si="0"/>
        <v>0</v>
      </c>
      <c r="M22" s="20"/>
      <c r="N22" s="28"/>
      <c r="O22" s="28"/>
      <c r="P22" s="28"/>
    </row>
    <row r="23" spans="1:16" ht="24.75" customHeight="1" x14ac:dyDescent="0.25">
      <c r="A23" s="23">
        <v>18</v>
      </c>
      <c r="B23" s="20"/>
      <c r="C23" s="20"/>
      <c r="D23" s="28"/>
      <c r="E23" s="28"/>
      <c r="F23" s="28"/>
      <c r="G23" s="20"/>
      <c r="H23" s="20"/>
      <c r="I23" s="29"/>
      <c r="J23" s="20"/>
      <c r="K23" s="20"/>
      <c r="L23" s="23">
        <f t="shared" si="0"/>
        <v>0</v>
      </c>
      <c r="M23" s="20"/>
      <c r="N23" s="28"/>
      <c r="O23" s="28"/>
      <c r="P23" s="28"/>
    </row>
    <row r="24" spans="1:16" ht="24.75" customHeight="1" x14ac:dyDescent="0.25">
      <c r="A24" s="23">
        <v>19</v>
      </c>
      <c r="B24" s="20"/>
      <c r="C24" s="20"/>
      <c r="D24" s="28"/>
      <c r="E24" s="28"/>
      <c r="F24" s="28"/>
      <c r="G24" s="20"/>
      <c r="H24" s="20"/>
      <c r="I24" s="29"/>
      <c r="J24" s="20"/>
      <c r="K24" s="20"/>
      <c r="L24" s="23">
        <f t="shared" si="0"/>
        <v>0</v>
      </c>
      <c r="M24" s="20"/>
      <c r="N24" s="28"/>
      <c r="O24" s="28"/>
      <c r="P24" s="28"/>
    </row>
    <row r="25" spans="1:16" ht="24.75" customHeight="1" x14ac:dyDescent="0.25">
      <c r="A25" s="23">
        <v>20</v>
      </c>
      <c r="B25" s="20"/>
      <c r="C25" s="20"/>
      <c r="D25" s="28"/>
      <c r="E25" s="28"/>
      <c r="F25" s="28"/>
      <c r="G25" s="20"/>
      <c r="H25" s="20"/>
      <c r="I25" s="29"/>
      <c r="J25" s="20"/>
      <c r="K25" s="20"/>
      <c r="L25" s="23">
        <f t="shared" si="0"/>
        <v>0</v>
      </c>
      <c r="M25" s="20"/>
      <c r="N25" s="28"/>
      <c r="O25" s="28"/>
      <c r="P25" s="28"/>
    </row>
    <row r="26" spans="1:16" ht="24.75" customHeight="1" x14ac:dyDescent="0.25">
      <c r="A26" s="23">
        <v>21</v>
      </c>
      <c r="B26" s="20"/>
      <c r="C26" s="20"/>
      <c r="D26" s="28"/>
      <c r="E26" s="28"/>
      <c r="F26" s="28"/>
      <c r="G26" s="20"/>
      <c r="H26" s="20"/>
      <c r="I26" s="29"/>
      <c r="J26" s="20"/>
      <c r="K26" s="20"/>
      <c r="L26" s="23">
        <f t="shared" si="0"/>
        <v>0</v>
      </c>
      <c r="M26" s="20"/>
      <c r="N26" s="28"/>
      <c r="O26" s="28"/>
      <c r="P26" s="28"/>
    </row>
    <row r="27" spans="1:16" ht="24.75" customHeight="1" x14ac:dyDescent="0.25">
      <c r="A27" s="23">
        <v>22</v>
      </c>
      <c r="B27" s="20"/>
      <c r="C27" s="20"/>
      <c r="D27" s="28"/>
      <c r="E27" s="28"/>
      <c r="F27" s="28"/>
      <c r="G27" s="20"/>
      <c r="H27" s="20"/>
      <c r="I27" s="29"/>
      <c r="J27" s="20"/>
      <c r="K27" s="20"/>
      <c r="L27" s="23">
        <f t="shared" si="0"/>
        <v>0</v>
      </c>
      <c r="M27" s="20"/>
      <c r="N27" s="28"/>
      <c r="O27" s="28"/>
      <c r="P27" s="28"/>
    </row>
    <row r="28" spans="1:16" ht="24.75" customHeight="1" x14ac:dyDescent="0.25">
      <c r="A28" s="23">
        <v>23</v>
      </c>
      <c r="B28" s="20"/>
      <c r="C28" s="20"/>
      <c r="D28" s="28"/>
      <c r="E28" s="28"/>
      <c r="F28" s="28"/>
      <c r="G28" s="20"/>
      <c r="H28" s="20"/>
      <c r="I28" s="29"/>
      <c r="J28" s="20"/>
      <c r="K28" s="20"/>
      <c r="L28" s="23">
        <f t="shared" si="0"/>
        <v>0</v>
      </c>
      <c r="M28" s="20"/>
      <c r="N28" s="28"/>
      <c r="O28" s="28"/>
      <c r="P28" s="28"/>
    </row>
    <row r="29" spans="1:16" ht="24.75" customHeight="1" x14ac:dyDescent="0.25">
      <c r="A29" s="23">
        <v>24</v>
      </c>
      <c r="B29" s="20"/>
      <c r="C29" s="20"/>
      <c r="D29" s="28"/>
      <c r="E29" s="28"/>
      <c r="F29" s="28"/>
      <c r="G29" s="20"/>
      <c r="H29" s="20"/>
      <c r="I29" s="29"/>
      <c r="J29" s="20"/>
      <c r="K29" s="20"/>
      <c r="L29" s="23">
        <f t="shared" si="0"/>
        <v>0</v>
      </c>
      <c r="M29" s="20"/>
      <c r="N29" s="28"/>
      <c r="O29" s="28"/>
      <c r="P29" s="28"/>
    </row>
    <row r="30" spans="1:16" ht="24.75" customHeight="1" x14ac:dyDescent="0.25">
      <c r="A30" s="23">
        <v>25</v>
      </c>
      <c r="B30" s="20"/>
      <c r="C30" s="20"/>
      <c r="D30" s="28"/>
      <c r="E30" s="28"/>
      <c r="F30" s="28"/>
      <c r="G30" s="20"/>
      <c r="H30" s="20"/>
      <c r="I30" s="29"/>
      <c r="J30" s="20"/>
      <c r="K30" s="20"/>
      <c r="L30" s="23">
        <f t="shared" si="0"/>
        <v>0</v>
      </c>
      <c r="M30" s="20"/>
      <c r="N30" s="28"/>
      <c r="O30" s="28"/>
      <c r="P30" s="28"/>
    </row>
    <row r="31" spans="1:16" ht="24.75" customHeight="1" x14ac:dyDescent="0.25">
      <c r="A31" s="23">
        <v>26</v>
      </c>
      <c r="B31" s="20"/>
      <c r="C31" s="20"/>
      <c r="D31" s="28"/>
      <c r="E31" s="28"/>
      <c r="F31" s="28"/>
      <c r="G31" s="20"/>
      <c r="H31" s="20"/>
      <c r="I31" s="29"/>
      <c r="J31" s="20"/>
      <c r="K31" s="20"/>
      <c r="L31" s="23">
        <f t="shared" si="0"/>
        <v>0</v>
      </c>
      <c r="M31" s="20"/>
      <c r="N31" s="28"/>
      <c r="O31" s="28"/>
      <c r="P31" s="28"/>
    </row>
    <row r="32" spans="1:16" ht="24.75" customHeight="1" x14ac:dyDescent="0.25">
      <c r="A32" s="23">
        <v>27</v>
      </c>
      <c r="B32" s="20"/>
      <c r="C32" s="20"/>
      <c r="D32" s="28"/>
      <c r="E32" s="28"/>
      <c r="F32" s="28"/>
      <c r="G32" s="20"/>
      <c r="H32" s="20"/>
      <c r="I32" s="29"/>
      <c r="J32" s="20"/>
      <c r="K32" s="20"/>
      <c r="L32" s="23">
        <f t="shared" si="0"/>
        <v>0</v>
      </c>
      <c r="M32" s="20"/>
      <c r="N32" s="28"/>
      <c r="O32" s="28"/>
      <c r="P32" s="28"/>
    </row>
    <row r="33" spans="1:16" ht="24.75" customHeight="1" x14ac:dyDescent="0.25">
      <c r="A33" s="23">
        <v>28</v>
      </c>
      <c r="B33" s="20"/>
      <c r="C33" s="20"/>
      <c r="D33" s="28"/>
      <c r="E33" s="28"/>
      <c r="F33" s="28"/>
      <c r="G33" s="20"/>
      <c r="H33" s="20"/>
      <c r="I33" s="29"/>
      <c r="J33" s="20"/>
      <c r="K33" s="20"/>
      <c r="L33" s="23">
        <f t="shared" si="0"/>
        <v>0</v>
      </c>
      <c r="M33" s="20"/>
      <c r="N33" s="28"/>
      <c r="O33" s="28"/>
      <c r="P33" s="28"/>
    </row>
    <row r="34" spans="1:16" ht="24.75" customHeight="1" x14ac:dyDescent="0.25">
      <c r="A34" s="23">
        <v>29</v>
      </c>
      <c r="B34" s="20"/>
      <c r="C34" s="20"/>
      <c r="D34" s="28"/>
      <c r="E34" s="28"/>
      <c r="F34" s="28"/>
      <c r="G34" s="20"/>
      <c r="H34" s="20"/>
      <c r="I34" s="29"/>
      <c r="J34" s="20"/>
      <c r="K34" s="20"/>
      <c r="L34" s="23">
        <f t="shared" si="0"/>
        <v>0</v>
      </c>
      <c r="M34" s="20"/>
      <c r="N34" s="28"/>
      <c r="O34" s="28"/>
      <c r="P34" s="28"/>
    </row>
    <row r="35" spans="1:16" ht="24.75" customHeight="1" x14ac:dyDescent="0.25">
      <c r="A35" s="23">
        <v>30</v>
      </c>
      <c r="B35" s="20"/>
      <c r="C35" s="20"/>
      <c r="D35" s="28"/>
      <c r="E35" s="28"/>
      <c r="F35" s="28"/>
      <c r="G35" s="20"/>
      <c r="H35" s="20"/>
      <c r="I35" s="29"/>
      <c r="J35" s="20"/>
      <c r="K35" s="20"/>
      <c r="L35" s="23">
        <f t="shared" si="0"/>
        <v>0</v>
      </c>
      <c r="M35" s="20"/>
      <c r="N35" s="28"/>
      <c r="O35" s="28"/>
      <c r="P35" s="28"/>
    </row>
    <row r="36" spans="1:16" ht="15" customHeight="1" x14ac:dyDescent="0.25">
      <c r="A36" s="4" t="s">
        <v>165</v>
      </c>
      <c r="B36" s="4"/>
      <c r="C36" s="4"/>
      <c r="D36" s="31"/>
      <c r="E36" s="31"/>
      <c r="F36" s="31"/>
      <c r="G36" s="31"/>
      <c r="H36" s="31"/>
      <c r="I36" s="32">
        <f>SUM(I6:I35)</f>
        <v>163650000</v>
      </c>
      <c r="J36" s="31">
        <f>SUM(J6:J35)</f>
        <v>5</v>
      </c>
      <c r="K36" s="31">
        <f>SUM(K6:K35)</f>
        <v>0</v>
      </c>
      <c r="L36" s="31">
        <f>SUM(L6:L35)</f>
        <v>-5</v>
      </c>
      <c r="M36" s="31"/>
      <c r="N36" s="31"/>
      <c r="O36" s="31"/>
      <c r="P36" s="31"/>
    </row>
    <row r="38" spans="1:16" x14ac:dyDescent="0.25">
      <c r="A38" s="3" t="s">
        <v>166</v>
      </c>
      <c r="B38" s="3"/>
      <c r="C38" s="3"/>
      <c r="D38" s="3"/>
      <c r="E38" s="3" t="s">
        <v>167</v>
      </c>
      <c r="F38" s="3"/>
      <c r="G38" s="3"/>
      <c r="H38" s="3"/>
      <c r="I38" s="3" t="s">
        <v>168</v>
      </c>
      <c r="J38" s="3"/>
      <c r="K38" s="3"/>
      <c r="L38" s="3"/>
    </row>
  </sheetData>
  <mergeCells count="21">
    <mergeCell ref="P4:P5"/>
    <mergeCell ref="A36:C36"/>
    <mergeCell ref="A38:D38"/>
    <mergeCell ref="E38:H38"/>
    <mergeCell ref="I38:L38"/>
    <mergeCell ref="A1:P1"/>
    <mergeCell ref="A4:A5"/>
    <mergeCell ref="B4:B5"/>
    <mergeCell ref="C4:C5"/>
    <mergeCell ref="D4:D5"/>
    <mergeCell ref="E4:E5"/>
    <mergeCell ref="F4:F5"/>
    <mergeCell ref="G4:G5"/>
    <mergeCell ref="H4:H5"/>
    <mergeCell ref="I4:I5"/>
    <mergeCell ref="J4:J5"/>
    <mergeCell ref="K4:K5"/>
    <mergeCell ref="L4:L5"/>
    <mergeCell ref="M4:M5"/>
    <mergeCell ref="N4:N5"/>
    <mergeCell ref="O4:O5"/>
  </mergeCells>
  <phoneticPr fontId="20" type="noConversion"/>
  <dataValidations count="2">
    <dataValidation type="list" allowBlank="1" errorTitle="잘못된 입력" error="분류코드표의 대분류 중 선택하세요" sqref="C6:C35" xr:uid="{00000000-0002-0000-0200-000000000000}">
      <formula1>"설비·기계장치,사무가구·비품,전자제품·IT장비,차량운반구,공구·금형"</formula1>
      <formula2>0</formula2>
    </dataValidation>
    <dataValidation type="list" allowBlank="1" sqref="M6:M35" xr:uid="{00000000-0002-0000-0200-000001000000}">
      <formula1>"A(양호),B(보통),C(불량),D(폐기대상),E(분실)"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K23"/>
  <sheetViews>
    <sheetView zoomScaleNormal="100" workbookViewId="0">
      <selection sqref="A1:K1"/>
    </sheetView>
  </sheetViews>
  <sheetFormatPr defaultColWidth="8.7109375" defaultRowHeight="15" x14ac:dyDescent="0.25"/>
  <cols>
    <col min="1" max="1" width="5" customWidth="1"/>
    <col min="2" max="2" width="16" customWidth="1"/>
    <col min="3" max="3" width="20" customWidth="1"/>
    <col min="4" max="6" width="10" customWidth="1"/>
    <col min="7" max="7" width="14" customWidth="1"/>
    <col min="8" max="10" width="18" customWidth="1"/>
    <col min="11" max="11" width="14" customWidth="1"/>
  </cols>
  <sheetData>
    <row r="1" spans="1:11" ht="34.5" customHeight="1" x14ac:dyDescent="0.25">
      <c r="A1" s="14" t="s">
        <v>169</v>
      </c>
      <c r="B1" s="14"/>
      <c r="C1" s="14"/>
      <c r="D1" s="14"/>
      <c r="E1" s="14"/>
      <c r="F1" s="14"/>
      <c r="G1" s="14"/>
      <c r="H1" s="14"/>
      <c r="I1" s="14"/>
      <c r="J1" s="14"/>
      <c r="K1" s="14"/>
    </row>
    <row r="3" spans="1:11" ht="27.75" customHeight="1" x14ac:dyDescent="0.25">
      <c r="A3" s="21" t="s">
        <v>66</v>
      </c>
      <c r="B3" s="16" t="s">
        <v>109</v>
      </c>
      <c r="C3" s="16" t="s">
        <v>170</v>
      </c>
      <c r="D3" s="16" t="s">
        <v>117</v>
      </c>
      <c r="E3" s="16" t="s">
        <v>118</v>
      </c>
      <c r="F3" s="16" t="s">
        <v>119</v>
      </c>
      <c r="G3" s="16" t="s">
        <v>171</v>
      </c>
      <c r="H3" s="16" t="s">
        <v>172</v>
      </c>
      <c r="I3" s="16" t="s">
        <v>173</v>
      </c>
      <c r="J3" s="16" t="s">
        <v>174</v>
      </c>
      <c r="K3" s="16" t="s">
        <v>72</v>
      </c>
    </row>
    <row r="4" spans="1:11" ht="24.75" customHeight="1" x14ac:dyDescent="0.25">
      <c r="A4" s="23">
        <v>1</v>
      </c>
      <c r="B4" s="23"/>
      <c r="C4" s="23"/>
      <c r="D4" s="23"/>
      <c r="E4" s="23"/>
      <c r="F4" s="23">
        <f t="shared" ref="F4:F23" si="0">E4-D4</f>
        <v>0</v>
      </c>
      <c r="G4" s="24"/>
      <c r="H4" s="18"/>
      <c r="I4" s="18"/>
      <c r="J4" s="24"/>
      <c r="K4" s="18"/>
    </row>
    <row r="5" spans="1:11" ht="24.75" customHeight="1" x14ac:dyDescent="0.25">
      <c r="A5" s="23">
        <v>2</v>
      </c>
      <c r="B5" s="23"/>
      <c r="C5" s="23"/>
      <c r="D5" s="23"/>
      <c r="E5" s="23"/>
      <c r="F5" s="23">
        <f t="shared" si="0"/>
        <v>0</v>
      </c>
      <c r="G5" s="24"/>
      <c r="H5" s="18"/>
      <c r="I5" s="18"/>
      <c r="J5" s="24"/>
      <c r="K5" s="18"/>
    </row>
    <row r="6" spans="1:11" ht="24.75" customHeight="1" x14ac:dyDescent="0.25">
      <c r="A6" s="23">
        <v>3</v>
      </c>
      <c r="B6" s="23"/>
      <c r="C6" s="23"/>
      <c r="D6" s="23"/>
      <c r="E6" s="23"/>
      <c r="F6" s="23">
        <f t="shared" si="0"/>
        <v>0</v>
      </c>
      <c r="G6" s="24"/>
      <c r="H6" s="18"/>
      <c r="I6" s="18"/>
      <c r="J6" s="24"/>
      <c r="K6" s="18"/>
    </row>
    <row r="7" spans="1:11" ht="24.75" customHeight="1" x14ac:dyDescent="0.25">
      <c r="A7" s="23">
        <v>4</v>
      </c>
      <c r="B7" s="23"/>
      <c r="C7" s="23"/>
      <c r="D7" s="23"/>
      <c r="E7" s="23"/>
      <c r="F7" s="23">
        <f t="shared" si="0"/>
        <v>0</v>
      </c>
      <c r="G7" s="24"/>
      <c r="H7" s="18"/>
      <c r="I7" s="18"/>
      <c r="J7" s="24"/>
      <c r="K7" s="18"/>
    </row>
    <row r="8" spans="1:11" ht="24.75" customHeight="1" x14ac:dyDescent="0.25">
      <c r="A8" s="23">
        <v>5</v>
      </c>
      <c r="B8" s="23"/>
      <c r="C8" s="23"/>
      <c r="D8" s="23"/>
      <c r="E8" s="23"/>
      <c r="F8" s="23">
        <f t="shared" si="0"/>
        <v>0</v>
      </c>
      <c r="G8" s="24"/>
      <c r="H8" s="18"/>
      <c r="I8" s="18"/>
      <c r="J8" s="24"/>
      <c r="K8" s="18"/>
    </row>
    <row r="9" spans="1:11" ht="24.75" customHeight="1" x14ac:dyDescent="0.25">
      <c r="A9" s="23">
        <v>6</v>
      </c>
      <c r="B9" s="23"/>
      <c r="C9" s="23"/>
      <c r="D9" s="23"/>
      <c r="E9" s="23"/>
      <c r="F9" s="23">
        <f t="shared" si="0"/>
        <v>0</v>
      </c>
      <c r="G9" s="24"/>
      <c r="H9" s="18"/>
      <c r="I9" s="18"/>
      <c r="J9" s="24"/>
      <c r="K9" s="18"/>
    </row>
    <row r="10" spans="1:11" ht="24.75" customHeight="1" x14ac:dyDescent="0.25">
      <c r="A10" s="23">
        <v>7</v>
      </c>
      <c r="B10" s="23"/>
      <c r="C10" s="23"/>
      <c r="D10" s="23"/>
      <c r="E10" s="23"/>
      <c r="F10" s="23">
        <f t="shared" si="0"/>
        <v>0</v>
      </c>
      <c r="G10" s="24"/>
      <c r="H10" s="18"/>
      <c r="I10" s="18"/>
      <c r="J10" s="24"/>
      <c r="K10" s="18"/>
    </row>
    <row r="11" spans="1:11" ht="24.75" customHeight="1" x14ac:dyDescent="0.25">
      <c r="A11" s="23">
        <v>8</v>
      </c>
      <c r="B11" s="23"/>
      <c r="C11" s="23"/>
      <c r="D11" s="23"/>
      <c r="E11" s="23"/>
      <c r="F11" s="23">
        <f t="shared" si="0"/>
        <v>0</v>
      </c>
      <c r="G11" s="24"/>
      <c r="H11" s="18"/>
      <c r="I11" s="18"/>
      <c r="J11" s="24"/>
      <c r="K11" s="18"/>
    </row>
    <row r="12" spans="1:11" ht="24.75" customHeight="1" x14ac:dyDescent="0.25">
      <c r="A12" s="23">
        <v>9</v>
      </c>
      <c r="B12" s="23"/>
      <c r="C12" s="23"/>
      <c r="D12" s="23"/>
      <c r="E12" s="23"/>
      <c r="F12" s="23">
        <f t="shared" si="0"/>
        <v>0</v>
      </c>
      <c r="G12" s="24"/>
      <c r="H12" s="18"/>
      <c r="I12" s="18"/>
      <c r="J12" s="24"/>
      <c r="K12" s="18"/>
    </row>
    <row r="13" spans="1:11" ht="24.75" customHeight="1" x14ac:dyDescent="0.25">
      <c r="A13" s="23">
        <v>10</v>
      </c>
      <c r="B13" s="23"/>
      <c r="C13" s="23"/>
      <c r="D13" s="23"/>
      <c r="E13" s="23"/>
      <c r="F13" s="23">
        <f t="shared" si="0"/>
        <v>0</v>
      </c>
      <c r="G13" s="24"/>
      <c r="H13" s="18"/>
      <c r="I13" s="18"/>
      <c r="J13" s="24"/>
      <c r="K13" s="18"/>
    </row>
    <row r="14" spans="1:11" ht="24.75" customHeight="1" x14ac:dyDescent="0.25">
      <c r="A14" s="23">
        <v>11</v>
      </c>
      <c r="B14" s="23"/>
      <c r="C14" s="23"/>
      <c r="D14" s="23"/>
      <c r="E14" s="23"/>
      <c r="F14" s="23">
        <f t="shared" si="0"/>
        <v>0</v>
      </c>
      <c r="G14" s="24"/>
      <c r="H14" s="18"/>
      <c r="I14" s="18"/>
      <c r="J14" s="24"/>
      <c r="K14" s="18"/>
    </row>
    <row r="15" spans="1:11" ht="24.75" customHeight="1" x14ac:dyDescent="0.25">
      <c r="A15" s="23">
        <v>12</v>
      </c>
      <c r="B15" s="23"/>
      <c r="C15" s="23"/>
      <c r="D15" s="23"/>
      <c r="E15" s="23"/>
      <c r="F15" s="23">
        <f t="shared" si="0"/>
        <v>0</v>
      </c>
      <c r="G15" s="24"/>
      <c r="H15" s="18"/>
      <c r="I15" s="18"/>
      <c r="J15" s="24"/>
      <c r="K15" s="18"/>
    </row>
    <row r="16" spans="1:11" ht="24.75" customHeight="1" x14ac:dyDescent="0.25">
      <c r="A16" s="23">
        <v>13</v>
      </c>
      <c r="B16" s="23"/>
      <c r="C16" s="23"/>
      <c r="D16" s="23"/>
      <c r="E16" s="23"/>
      <c r="F16" s="23">
        <f t="shared" si="0"/>
        <v>0</v>
      </c>
      <c r="G16" s="24"/>
      <c r="H16" s="18"/>
      <c r="I16" s="18"/>
      <c r="J16" s="24"/>
      <c r="K16" s="18"/>
    </row>
    <row r="17" spans="1:11" ht="24.75" customHeight="1" x14ac:dyDescent="0.25">
      <c r="A17" s="23">
        <v>14</v>
      </c>
      <c r="B17" s="23"/>
      <c r="C17" s="23"/>
      <c r="D17" s="23"/>
      <c r="E17" s="23"/>
      <c r="F17" s="23">
        <f t="shared" si="0"/>
        <v>0</v>
      </c>
      <c r="G17" s="24"/>
      <c r="H17" s="18"/>
      <c r="I17" s="18"/>
      <c r="J17" s="24"/>
      <c r="K17" s="18"/>
    </row>
    <row r="18" spans="1:11" ht="24.75" customHeight="1" x14ac:dyDescent="0.25">
      <c r="A18" s="23">
        <v>15</v>
      </c>
      <c r="B18" s="23"/>
      <c r="C18" s="23"/>
      <c r="D18" s="23"/>
      <c r="E18" s="23"/>
      <c r="F18" s="23">
        <f t="shared" si="0"/>
        <v>0</v>
      </c>
      <c r="G18" s="24"/>
      <c r="H18" s="18"/>
      <c r="I18" s="18"/>
      <c r="J18" s="24"/>
      <c r="K18" s="18"/>
    </row>
    <row r="19" spans="1:11" ht="24.75" customHeight="1" x14ac:dyDescent="0.25">
      <c r="A19" s="23">
        <v>16</v>
      </c>
      <c r="B19" s="23"/>
      <c r="C19" s="23"/>
      <c r="D19" s="23"/>
      <c r="E19" s="23"/>
      <c r="F19" s="23">
        <f t="shared" si="0"/>
        <v>0</v>
      </c>
      <c r="G19" s="24"/>
      <c r="H19" s="18"/>
      <c r="I19" s="18"/>
      <c r="J19" s="24"/>
      <c r="K19" s="18"/>
    </row>
    <row r="20" spans="1:11" ht="24.75" customHeight="1" x14ac:dyDescent="0.25">
      <c r="A20" s="23">
        <v>17</v>
      </c>
      <c r="B20" s="23"/>
      <c r="C20" s="23"/>
      <c r="D20" s="23"/>
      <c r="E20" s="23"/>
      <c r="F20" s="23">
        <f t="shared" si="0"/>
        <v>0</v>
      </c>
      <c r="G20" s="24"/>
      <c r="H20" s="18"/>
      <c r="I20" s="18"/>
      <c r="J20" s="24"/>
      <c r="K20" s="18"/>
    </row>
    <row r="21" spans="1:11" ht="24.75" customHeight="1" x14ac:dyDescent="0.25">
      <c r="A21" s="23">
        <v>18</v>
      </c>
      <c r="B21" s="23"/>
      <c r="C21" s="23"/>
      <c r="D21" s="23"/>
      <c r="E21" s="23"/>
      <c r="F21" s="23">
        <f t="shared" si="0"/>
        <v>0</v>
      </c>
      <c r="G21" s="24"/>
      <c r="H21" s="18"/>
      <c r="I21" s="18"/>
      <c r="J21" s="24"/>
      <c r="K21" s="18"/>
    </row>
    <row r="22" spans="1:11" ht="24.75" customHeight="1" x14ac:dyDescent="0.25">
      <c r="A22" s="23">
        <v>19</v>
      </c>
      <c r="B22" s="23"/>
      <c r="C22" s="23"/>
      <c r="D22" s="23"/>
      <c r="E22" s="23"/>
      <c r="F22" s="23">
        <f t="shared" si="0"/>
        <v>0</v>
      </c>
      <c r="G22" s="24"/>
      <c r="H22" s="18"/>
      <c r="I22" s="18"/>
      <c r="J22" s="24"/>
      <c r="K22" s="18"/>
    </row>
    <row r="23" spans="1:11" ht="24.75" customHeight="1" x14ac:dyDescent="0.25">
      <c r="A23" s="23">
        <v>20</v>
      </c>
      <c r="B23" s="23"/>
      <c r="C23" s="23"/>
      <c r="D23" s="23"/>
      <c r="E23" s="23"/>
      <c r="F23" s="23">
        <f t="shared" si="0"/>
        <v>0</v>
      </c>
      <c r="G23" s="24"/>
      <c r="H23" s="18"/>
      <c r="I23" s="18"/>
      <c r="J23" s="24"/>
      <c r="K23" s="18"/>
    </row>
  </sheetData>
  <mergeCells count="1">
    <mergeCell ref="A1:K1"/>
  </mergeCells>
  <phoneticPr fontId="20" type="noConversion"/>
  <dataValidations count="2">
    <dataValidation type="list" allowBlank="1" sqref="G4:G23" xr:uid="{00000000-0002-0000-0300-000000000000}">
      <formula1>"과잉(장부&lt;현물),부족(장부&gt;현물),위치상이,상태변경,미등록,폐기대상"</formula1>
      <formula2>0</formula2>
    </dataValidation>
    <dataValidation type="list" allowBlank="1" sqref="J4:J23" xr:uid="{00000000-0002-0000-0300-000001000000}">
      <formula1>"처리완료,처리중,미처리,보류"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H38"/>
  <sheetViews>
    <sheetView zoomScaleNormal="100" workbookViewId="0">
      <selection sqref="A1:H1"/>
    </sheetView>
  </sheetViews>
  <sheetFormatPr defaultColWidth="8.7109375" defaultRowHeight="15" x14ac:dyDescent="0.25"/>
  <cols>
    <col min="1" max="1" width="4" customWidth="1"/>
    <col min="2" max="2" width="20" customWidth="1"/>
    <col min="3" max="7" width="15" customWidth="1"/>
    <col min="8" max="8" width="20" customWidth="1"/>
  </cols>
  <sheetData>
    <row r="1" spans="1:8" ht="34.5" customHeight="1" x14ac:dyDescent="0.25">
      <c r="A1" s="14" t="s">
        <v>175</v>
      </c>
      <c r="B1" s="14"/>
      <c r="C1" s="14"/>
      <c r="D1" s="14"/>
      <c r="E1" s="14"/>
      <c r="F1" s="14"/>
      <c r="G1" s="14"/>
      <c r="H1" s="14"/>
    </row>
    <row r="3" spans="1:8" x14ac:dyDescent="0.25">
      <c r="B3" s="2" t="s">
        <v>4</v>
      </c>
      <c r="C3" s="2"/>
      <c r="D3" s="1"/>
      <c r="E3" s="1"/>
      <c r="F3" s="2" t="s">
        <v>6</v>
      </c>
      <c r="G3" s="2"/>
      <c r="H3" s="28"/>
    </row>
    <row r="5" spans="1:8" ht="16.5" x14ac:dyDescent="0.3">
      <c r="B5" s="36" t="s">
        <v>176</v>
      </c>
      <c r="C5" s="36"/>
      <c r="D5" s="36"/>
      <c r="E5" s="36"/>
      <c r="F5" s="36"/>
      <c r="G5" s="36"/>
      <c r="H5" s="36"/>
    </row>
    <row r="6" spans="1:8" x14ac:dyDescent="0.25">
      <c r="B6" s="16" t="s">
        <v>177</v>
      </c>
      <c r="C6" s="16" t="s">
        <v>178</v>
      </c>
      <c r="D6" s="16" t="s">
        <v>179</v>
      </c>
      <c r="E6" s="16" t="s">
        <v>180</v>
      </c>
      <c r="F6" s="16" t="s">
        <v>181</v>
      </c>
      <c r="G6" s="16" t="s">
        <v>182</v>
      </c>
      <c r="H6" s="16" t="s">
        <v>72</v>
      </c>
    </row>
    <row r="7" spans="1:8" ht="24.75" customHeight="1" x14ac:dyDescent="0.25">
      <c r="B7" s="33" t="s">
        <v>74</v>
      </c>
      <c r="C7" s="29"/>
      <c r="D7" s="29"/>
      <c r="E7" s="29"/>
      <c r="F7" s="29"/>
      <c r="G7" s="29"/>
      <c r="H7" s="29"/>
    </row>
    <row r="8" spans="1:8" ht="24.75" customHeight="1" x14ac:dyDescent="0.25">
      <c r="B8" s="33" t="s">
        <v>80</v>
      </c>
      <c r="C8" s="29"/>
      <c r="D8" s="29"/>
      <c r="E8" s="29"/>
      <c r="F8" s="29"/>
      <c r="G8" s="29"/>
      <c r="H8" s="29"/>
    </row>
    <row r="9" spans="1:8" ht="24.75" customHeight="1" x14ac:dyDescent="0.25">
      <c r="B9" s="33" t="s">
        <v>85</v>
      </c>
      <c r="C9" s="29"/>
      <c r="D9" s="29"/>
      <c r="E9" s="29"/>
      <c r="F9" s="29"/>
      <c r="G9" s="29"/>
      <c r="H9" s="29"/>
    </row>
    <row r="10" spans="1:8" ht="24.75" customHeight="1" x14ac:dyDescent="0.25">
      <c r="B10" s="33" t="s">
        <v>90</v>
      </c>
      <c r="C10" s="29"/>
      <c r="D10" s="29"/>
      <c r="E10" s="29"/>
      <c r="F10" s="29"/>
      <c r="G10" s="29"/>
      <c r="H10" s="29"/>
    </row>
    <row r="11" spans="1:8" ht="24.75" customHeight="1" x14ac:dyDescent="0.25">
      <c r="B11" s="33" t="s">
        <v>95</v>
      </c>
      <c r="C11" s="29"/>
      <c r="D11" s="29"/>
      <c r="E11" s="29"/>
      <c r="F11" s="29"/>
      <c r="G11" s="29"/>
      <c r="H11" s="29"/>
    </row>
    <row r="12" spans="1:8" x14ac:dyDescent="0.25">
      <c r="B12" s="30" t="s">
        <v>165</v>
      </c>
      <c r="C12" s="34">
        <f t="shared" ref="C12:H12" si="0">SUM(C7:C11)</f>
        <v>0</v>
      </c>
      <c r="D12" s="34">
        <f t="shared" si="0"/>
        <v>0</v>
      </c>
      <c r="E12" s="34">
        <f t="shared" si="0"/>
        <v>0</v>
      </c>
      <c r="F12" s="34">
        <f t="shared" si="0"/>
        <v>0</v>
      </c>
      <c r="G12" s="34">
        <f t="shared" si="0"/>
        <v>0</v>
      </c>
      <c r="H12" s="34">
        <f t="shared" si="0"/>
        <v>0</v>
      </c>
    </row>
    <row r="14" spans="1:8" ht="20.25" x14ac:dyDescent="0.25">
      <c r="B14" s="35" t="s">
        <v>183</v>
      </c>
      <c r="C14" s="37" t="str">
        <f>IF(E12=0,"-",F12/E12)</f>
        <v>-</v>
      </c>
      <c r="D14" s="37"/>
    </row>
    <row r="16" spans="1:8" ht="16.5" x14ac:dyDescent="0.3">
      <c r="B16" s="36" t="s">
        <v>184</v>
      </c>
      <c r="C16" s="36"/>
      <c r="D16" s="36"/>
      <c r="E16" s="36"/>
      <c r="F16" s="36"/>
      <c r="G16" s="36"/>
      <c r="H16" s="36"/>
    </row>
    <row r="17" spans="2:8" ht="15" customHeight="1" x14ac:dyDescent="0.25">
      <c r="B17" s="16" t="s">
        <v>185</v>
      </c>
      <c r="C17" s="16" t="s">
        <v>186</v>
      </c>
      <c r="D17" s="16" t="s">
        <v>187</v>
      </c>
      <c r="E17" s="5" t="s">
        <v>188</v>
      </c>
      <c r="F17" s="5"/>
      <c r="G17" s="5" t="s">
        <v>189</v>
      </c>
      <c r="H17" s="5"/>
    </row>
    <row r="18" spans="2:8" ht="24.75" customHeight="1" x14ac:dyDescent="0.25">
      <c r="B18" s="23" t="s">
        <v>190</v>
      </c>
      <c r="C18" s="20"/>
      <c r="D18" s="29"/>
      <c r="E18" s="38"/>
      <c r="F18" s="38"/>
      <c r="G18" s="38"/>
      <c r="H18" s="38"/>
    </row>
    <row r="19" spans="2:8" ht="24.75" customHeight="1" x14ac:dyDescent="0.25">
      <c r="B19" s="23" t="s">
        <v>191</v>
      </c>
      <c r="C19" s="20"/>
      <c r="D19" s="29"/>
      <c r="E19" s="38"/>
      <c r="F19" s="38"/>
      <c r="G19" s="38"/>
      <c r="H19" s="38"/>
    </row>
    <row r="20" spans="2:8" ht="24.75" customHeight="1" x14ac:dyDescent="0.25">
      <c r="B20" s="23" t="s">
        <v>192</v>
      </c>
      <c r="C20" s="20"/>
      <c r="D20" s="29"/>
      <c r="E20" s="38"/>
      <c r="F20" s="38"/>
      <c r="G20" s="38"/>
      <c r="H20" s="38"/>
    </row>
    <row r="21" spans="2:8" ht="24.75" customHeight="1" x14ac:dyDescent="0.25">
      <c r="B21" s="23" t="s">
        <v>193</v>
      </c>
      <c r="C21" s="20"/>
      <c r="D21" s="29"/>
      <c r="E21" s="38"/>
      <c r="F21" s="38"/>
      <c r="G21" s="38"/>
      <c r="H21" s="38"/>
    </row>
    <row r="22" spans="2:8" ht="24.75" customHeight="1" x14ac:dyDescent="0.25">
      <c r="B22" s="23" t="s">
        <v>194</v>
      </c>
      <c r="C22" s="20"/>
      <c r="D22" s="29"/>
      <c r="E22" s="38"/>
      <c r="F22" s="38"/>
      <c r="G22" s="38"/>
      <c r="H22" s="38"/>
    </row>
    <row r="23" spans="2:8" ht="24.75" customHeight="1" x14ac:dyDescent="0.25">
      <c r="B23" s="23" t="s">
        <v>195</v>
      </c>
      <c r="C23" s="20"/>
      <c r="D23" s="29"/>
      <c r="E23" s="38"/>
      <c r="F23" s="38"/>
      <c r="G23" s="38"/>
      <c r="H23" s="38"/>
    </row>
    <row r="25" spans="2:8" ht="16.5" x14ac:dyDescent="0.3">
      <c r="B25" s="36" t="s">
        <v>196</v>
      </c>
      <c r="C25" s="36"/>
      <c r="D25" s="36"/>
      <c r="E25" s="36"/>
      <c r="F25" s="36"/>
      <c r="G25" s="36"/>
      <c r="H25" s="36"/>
    </row>
    <row r="26" spans="2:8" ht="15" customHeight="1" x14ac:dyDescent="0.25">
      <c r="B26" s="21" t="s">
        <v>66</v>
      </c>
      <c r="C26" s="5" t="s">
        <v>197</v>
      </c>
      <c r="D26" s="5"/>
      <c r="E26" s="5"/>
      <c r="F26" s="16" t="s">
        <v>198</v>
      </c>
      <c r="G26" s="16" t="s">
        <v>199</v>
      </c>
      <c r="H26" s="16" t="s">
        <v>200</v>
      </c>
    </row>
    <row r="27" spans="2:8" ht="24.75" customHeight="1" x14ac:dyDescent="0.25">
      <c r="B27" s="23">
        <v>1</v>
      </c>
      <c r="C27" s="39" t="s">
        <v>201</v>
      </c>
      <c r="D27" s="39"/>
      <c r="E27" s="39"/>
      <c r="F27" s="28"/>
      <c r="G27" s="28"/>
      <c r="H27" s="28"/>
    </row>
    <row r="28" spans="2:8" ht="24.75" customHeight="1" x14ac:dyDescent="0.25">
      <c r="B28" s="23">
        <v>2</v>
      </c>
      <c r="C28" s="39" t="s">
        <v>202</v>
      </c>
      <c r="D28" s="39"/>
      <c r="E28" s="39"/>
      <c r="F28" s="28"/>
      <c r="G28" s="28"/>
      <c r="H28" s="28"/>
    </row>
    <row r="29" spans="2:8" ht="24.75" customHeight="1" x14ac:dyDescent="0.25">
      <c r="B29" s="23">
        <v>3</v>
      </c>
      <c r="C29" s="39" t="s">
        <v>203</v>
      </c>
      <c r="D29" s="39"/>
      <c r="E29" s="39"/>
      <c r="F29" s="28"/>
      <c r="G29" s="28"/>
      <c r="H29" s="28"/>
    </row>
    <row r="30" spans="2:8" ht="24.75" customHeight="1" x14ac:dyDescent="0.25">
      <c r="B30" s="23">
        <v>4</v>
      </c>
      <c r="C30" s="39" t="s">
        <v>204</v>
      </c>
      <c r="D30" s="39"/>
      <c r="E30" s="39"/>
      <c r="F30" s="28"/>
      <c r="G30" s="28"/>
      <c r="H30" s="28"/>
    </row>
    <row r="31" spans="2:8" ht="24.75" customHeight="1" x14ac:dyDescent="0.25">
      <c r="B31" s="23">
        <v>5</v>
      </c>
      <c r="C31" s="39" t="s">
        <v>205</v>
      </c>
      <c r="D31" s="39"/>
      <c r="E31" s="39"/>
      <c r="F31" s="28"/>
      <c r="G31" s="28"/>
      <c r="H31" s="28"/>
    </row>
    <row r="34" spans="2:5" x14ac:dyDescent="0.25">
      <c r="B34" s="16" t="s">
        <v>57</v>
      </c>
      <c r="C34" s="16" t="s">
        <v>58</v>
      </c>
      <c r="D34" s="16" t="s">
        <v>59</v>
      </c>
      <c r="E34" s="16" t="s">
        <v>60</v>
      </c>
    </row>
    <row r="35" spans="2:5" ht="27.75" customHeight="1" x14ac:dyDescent="0.25">
      <c r="B35" s="19" t="s">
        <v>61</v>
      </c>
      <c r="C35" s="20"/>
      <c r="D35" s="20"/>
      <c r="E35" s="20"/>
    </row>
    <row r="36" spans="2:5" ht="27.75" customHeight="1" x14ac:dyDescent="0.25">
      <c r="B36" s="19" t="s">
        <v>62</v>
      </c>
      <c r="C36" s="20"/>
      <c r="D36" s="20"/>
      <c r="E36" s="20"/>
    </row>
    <row r="37" spans="2:5" ht="27.75" customHeight="1" x14ac:dyDescent="0.25">
      <c r="B37" s="19" t="s">
        <v>63</v>
      </c>
      <c r="C37" s="20"/>
      <c r="D37" s="20"/>
      <c r="E37" s="20"/>
    </row>
    <row r="38" spans="2:5" ht="27.75" customHeight="1" x14ac:dyDescent="0.25">
      <c r="B38" s="19" t="s">
        <v>64</v>
      </c>
      <c r="C38" s="20"/>
      <c r="D38" s="20"/>
      <c r="E38" s="20"/>
    </row>
  </sheetData>
  <mergeCells count="28">
    <mergeCell ref="C31:E31"/>
    <mergeCell ref="C26:E26"/>
    <mergeCell ref="C27:E27"/>
    <mergeCell ref="C28:E28"/>
    <mergeCell ref="C29:E29"/>
    <mergeCell ref="C30:E30"/>
    <mergeCell ref="E22:F22"/>
    <mergeCell ref="G22:H22"/>
    <mergeCell ref="E23:F23"/>
    <mergeCell ref="G23:H23"/>
    <mergeCell ref="B25:H25"/>
    <mergeCell ref="E19:F19"/>
    <mergeCell ref="G19:H19"/>
    <mergeCell ref="E20:F20"/>
    <mergeCell ref="G20:H20"/>
    <mergeCell ref="E21:F21"/>
    <mergeCell ref="G21:H21"/>
    <mergeCell ref="C14:D14"/>
    <mergeCell ref="B16:H16"/>
    <mergeCell ref="E17:F17"/>
    <mergeCell ref="G17:H17"/>
    <mergeCell ref="E18:F18"/>
    <mergeCell ref="G18:H18"/>
    <mergeCell ref="A1:H1"/>
    <mergeCell ref="B3:C3"/>
    <mergeCell ref="D3:E3"/>
    <mergeCell ref="F3:G3"/>
    <mergeCell ref="B5:H5"/>
  </mergeCells>
  <phoneticPr fontId="20" type="noConversion"/>
  <dataValidations count="1">
    <dataValidation type="list" allowBlank="1" sqref="G27:G31" xr:uid="{00000000-0002-0000-0400-000000000000}">
      <formula1>"완료,진행중,미착수,보류"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F31"/>
  <sheetViews>
    <sheetView tabSelected="1" topLeftCell="A14" zoomScaleNormal="100" workbookViewId="0">
      <selection sqref="A1:F1"/>
    </sheetView>
  </sheetViews>
  <sheetFormatPr defaultColWidth="8.7109375" defaultRowHeight="15" x14ac:dyDescent="0.25"/>
  <cols>
    <col min="1" max="1" width="4" customWidth="1"/>
    <col min="2" max="2" width="5" customWidth="1"/>
    <col min="3" max="3" width="38" customWidth="1"/>
    <col min="4" max="5" width="10" customWidth="1"/>
    <col min="6" max="6" width="25" customWidth="1"/>
  </cols>
  <sheetData>
    <row r="1" spans="1:6" ht="34.5" customHeight="1" x14ac:dyDescent="0.25">
      <c r="A1" s="14" t="s">
        <v>206</v>
      </c>
      <c r="B1" s="14"/>
      <c r="C1" s="14"/>
      <c r="D1" s="14"/>
      <c r="E1" s="14"/>
      <c r="F1" s="14"/>
    </row>
    <row r="3" spans="1:6" x14ac:dyDescent="0.25">
      <c r="A3" s="21" t="s">
        <v>66</v>
      </c>
      <c r="B3" s="16" t="s">
        <v>57</v>
      </c>
      <c r="C3" s="16" t="s">
        <v>207</v>
      </c>
      <c r="D3" s="16" t="s">
        <v>208</v>
      </c>
      <c r="E3" s="16" t="s">
        <v>209</v>
      </c>
      <c r="F3" s="16" t="s">
        <v>72</v>
      </c>
    </row>
    <row r="4" spans="1:6" ht="24" customHeight="1" x14ac:dyDescent="0.25">
      <c r="A4" s="23">
        <v>1</v>
      </c>
      <c r="B4" s="40" t="s">
        <v>210</v>
      </c>
      <c r="C4" s="18" t="s">
        <v>211</v>
      </c>
      <c r="D4" s="28"/>
      <c r="E4" s="28"/>
      <c r="F4" s="28"/>
    </row>
    <row r="5" spans="1:6" ht="24" customHeight="1" x14ac:dyDescent="0.25">
      <c r="A5" s="23">
        <v>2</v>
      </c>
      <c r="B5" s="40"/>
      <c r="C5" s="18" t="s">
        <v>212</v>
      </c>
      <c r="D5" s="28"/>
      <c r="E5" s="28"/>
      <c r="F5" s="28"/>
    </row>
    <row r="6" spans="1:6" ht="24" customHeight="1" x14ac:dyDescent="0.25">
      <c r="A6" s="23">
        <v>3</v>
      </c>
      <c r="B6" s="40"/>
      <c r="C6" s="18" t="s">
        <v>213</v>
      </c>
      <c r="D6" s="28"/>
      <c r="E6" s="28"/>
      <c r="F6" s="28"/>
    </row>
    <row r="7" spans="1:6" ht="24" customHeight="1" x14ac:dyDescent="0.25">
      <c r="A7" s="23">
        <v>4</v>
      </c>
      <c r="B7" s="40"/>
      <c r="C7" s="18" t="s">
        <v>214</v>
      </c>
      <c r="D7" s="28"/>
      <c r="E7" s="28"/>
      <c r="F7" s="28"/>
    </row>
    <row r="8" spans="1:6" ht="24" customHeight="1" x14ac:dyDescent="0.25">
      <c r="A8" s="23">
        <v>5</v>
      </c>
      <c r="B8" s="40"/>
      <c r="C8" s="18" t="s">
        <v>215</v>
      </c>
      <c r="D8" s="28"/>
      <c r="E8" s="28"/>
      <c r="F8" s="28"/>
    </row>
    <row r="9" spans="1:6" ht="24" customHeight="1" x14ac:dyDescent="0.25">
      <c r="A9" s="23">
        <v>6</v>
      </c>
      <c r="B9" s="40"/>
      <c r="C9" s="18" t="s">
        <v>216</v>
      </c>
      <c r="D9" s="28"/>
      <c r="E9" s="28"/>
      <c r="F9" s="28"/>
    </row>
    <row r="10" spans="1:6" ht="24" customHeight="1" x14ac:dyDescent="0.25">
      <c r="A10" s="23">
        <v>7</v>
      </c>
      <c r="B10" s="40"/>
      <c r="C10" s="18" t="s">
        <v>217</v>
      </c>
      <c r="D10" s="28"/>
      <c r="E10" s="28"/>
      <c r="F10" s="28"/>
    </row>
    <row r="11" spans="1:6" ht="24" customHeight="1" x14ac:dyDescent="0.25">
      <c r="A11" s="23">
        <v>8</v>
      </c>
      <c r="B11" s="40" t="s">
        <v>218</v>
      </c>
      <c r="C11" s="18" t="s">
        <v>219</v>
      </c>
      <c r="D11" s="28"/>
      <c r="E11" s="28"/>
      <c r="F11" s="28"/>
    </row>
    <row r="12" spans="1:6" ht="24" customHeight="1" x14ac:dyDescent="0.25">
      <c r="A12" s="23">
        <v>9</v>
      </c>
      <c r="B12" s="40"/>
      <c r="C12" s="18" t="s">
        <v>220</v>
      </c>
      <c r="D12" s="28"/>
      <c r="E12" s="28"/>
      <c r="F12" s="28"/>
    </row>
    <row r="13" spans="1:6" ht="24" customHeight="1" x14ac:dyDescent="0.25">
      <c r="A13" s="23">
        <v>10</v>
      </c>
      <c r="B13" s="40"/>
      <c r="C13" s="18" t="s">
        <v>221</v>
      </c>
      <c r="D13" s="28"/>
      <c r="E13" s="28"/>
      <c r="F13" s="28"/>
    </row>
    <row r="14" spans="1:6" ht="24" customHeight="1" x14ac:dyDescent="0.25">
      <c r="A14" s="23">
        <v>11</v>
      </c>
      <c r="B14" s="40"/>
      <c r="C14" s="18" t="s">
        <v>222</v>
      </c>
      <c r="D14" s="28"/>
      <c r="E14" s="28"/>
      <c r="F14" s="28"/>
    </row>
    <row r="15" spans="1:6" ht="24" customHeight="1" x14ac:dyDescent="0.25">
      <c r="A15" s="23">
        <v>12</v>
      </c>
      <c r="B15" s="40"/>
      <c r="C15" s="18" t="s">
        <v>223</v>
      </c>
      <c r="D15" s="28"/>
      <c r="E15" s="28"/>
      <c r="F15" s="28"/>
    </row>
    <row r="16" spans="1:6" ht="24" customHeight="1" x14ac:dyDescent="0.25">
      <c r="A16" s="23">
        <v>13</v>
      </c>
      <c r="B16" s="40"/>
      <c r="C16" s="18" t="s">
        <v>224</v>
      </c>
      <c r="D16" s="28"/>
      <c r="E16" s="28"/>
      <c r="F16" s="28"/>
    </row>
    <row r="17" spans="1:6" ht="24" customHeight="1" x14ac:dyDescent="0.25">
      <c r="A17" s="23">
        <v>14</v>
      </c>
      <c r="B17" s="40"/>
      <c r="C17" s="18" t="s">
        <v>225</v>
      </c>
      <c r="D17" s="28"/>
      <c r="E17" s="28"/>
      <c r="F17" s="28"/>
    </row>
    <row r="18" spans="1:6" ht="24" customHeight="1" x14ac:dyDescent="0.25">
      <c r="A18" s="23">
        <v>15</v>
      </c>
      <c r="B18" s="40"/>
      <c r="C18" s="18" t="s">
        <v>226</v>
      </c>
      <c r="D18" s="28"/>
      <c r="E18" s="28"/>
      <c r="F18" s="28"/>
    </row>
    <row r="19" spans="1:6" ht="24" customHeight="1" x14ac:dyDescent="0.25">
      <c r="A19" s="23">
        <v>16</v>
      </c>
      <c r="B19" s="40"/>
      <c r="C19" s="18" t="s">
        <v>227</v>
      </c>
      <c r="D19" s="28"/>
      <c r="E19" s="28"/>
      <c r="F19" s="28"/>
    </row>
    <row r="20" spans="1:6" ht="24" customHeight="1" x14ac:dyDescent="0.25">
      <c r="A20" s="23">
        <v>17</v>
      </c>
      <c r="B20" s="40" t="s">
        <v>228</v>
      </c>
      <c r="C20" s="18" t="s">
        <v>229</v>
      </c>
      <c r="D20" s="28"/>
      <c r="E20" s="28"/>
      <c r="F20" s="28"/>
    </row>
    <row r="21" spans="1:6" ht="24" customHeight="1" x14ac:dyDescent="0.25">
      <c r="A21" s="23">
        <v>18</v>
      </c>
      <c r="B21" s="40"/>
      <c r="C21" s="18" t="s">
        <v>230</v>
      </c>
      <c r="D21" s="28"/>
      <c r="E21" s="28"/>
      <c r="F21" s="28"/>
    </row>
    <row r="22" spans="1:6" ht="24" customHeight="1" x14ac:dyDescent="0.25">
      <c r="A22" s="23">
        <v>19</v>
      </c>
      <c r="B22" s="40"/>
      <c r="C22" s="18" t="s">
        <v>231</v>
      </c>
      <c r="D22" s="28"/>
      <c r="E22" s="28"/>
      <c r="F22" s="28"/>
    </row>
    <row r="23" spans="1:6" ht="24" customHeight="1" x14ac:dyDescent="0.25">
      <c r="A23" s="23">
        <v>20</v>
      </c>
      <c r="B23" s="40"/>
      <c r="C23" s="18" t="s">
        <v>232</v>
      </c>
      <c r="D23" s="28"/>
      <c r="E23" s="28"/>
      <c r="F23" s="28"/>
    </row>
    <row r="24" spans="1:6" ht="24" customHeight="1" x14ac:dyDescent="0.25">
      <c r="A24" s="23">
        <v>21</v>
      </c>
      <c r="B24" s="40"/>
      <c r="C24" s="18" t="s">
        <v>233</v>
      </c>
      <c r="D24" s="28"/>
      <c r="E24" s="28"/>
      <c r="F24" s="28"/>
    </row>
    <row r="25" spans="1:6" ht="24" customHeight="1" x14ac:dyDescent="0.25">
      <c r="A25" s="23">
        <v>22</v>
      </c>
      <c r="B25" s="40"/>
      <c r="C25" s="18" t="s">
        <v>234</v>
      </c>
      <c r="D25" s="28"/>
      <c r="E25" s="28"/>
      <c r="F25" s="28"/>
    </row>
    <row r="26" spans="1:6" ht="24" customHeight="1" x14ac:dyDescent="0.25">
      <c r="A26" s="23">
        <v>23</v>
      </c>
      <c r="B26" s="40" t="s">
        <v>235</v>
      </c>
      <c r="C26" s="18" t="s">
        <v>236</v>
      </c>
      <c r="D26" s="28"/>
      <c r="E26" s="28"/>
      <c r="F26" s="28"/>
    </row>
    <row r="27" spans="1:6" ht="24" customHeight="1" x14ac:dyDescent="0.25">
      <c r="A27" s="23">
        <v>24</v>
      </c>
      <c r="B27" s="40"/>
      <c r="C27" s="18" t="s">
        <v>237</v>
      </c>
      <c r="D27" s="28"/>
      <c r="E27" s="28"/>
      <c r="F27" s="28"/>
    </row>
    <row r="28" spans="1:6" ht="24" customHeight="1" x14ac:dyDescent="0.25">
      <c r="A28" s="23">
        <v>25</v>
      </c>
      <c r="B28" s="40"/>
      <c r="C28" s="18" t="s">
        <v>238</v>
      </c>
      <c r="D28" s="28"/>
      <c r="E28" s="28"/>
      <c r="F28" s="28"/>
    </row>
    <row r="29" spans="1:6" ht="24" customHeight="1" x14ac:dyDescent="0.25">
      <c r="A29" s="23">
        <v>26</v>
      </c>
      <c r="B29" s="40"/>
      <c r="C29" s="18" t="s">
        <v>239</v>
      </c>
      <c r="D29" s="28"/>
      <c r="E29" s="28"/>
      <c r="F29" s="28"/>
    </row>
    <row r="30" spans="1:6" ht="24" customHeight="1" x14ac:dyDescent="0.25">
      <c r="A30" s="23">
        <v>27</v>
      </c>
      <c r="B30" s="40"/>
      <c r="C30" s="18" t="s">
        <v>240</v>
      </c>
      <c r="D30" s="28"/>
      <c r="E30" s="28"/>
      <c r="F30" s="28"/>
    </row>
    <row r="31" spans="1:6" ht="24" customHeight="1" x14ac:dyDescent="0.25">
      <c r="A31" s="23">
        <v>28</v>
      </c>
      <c r="B31" s="40"/>
      <c r="C31" s="18" t="s">
        <v>241</v>
      </c>
      <c r="D31" s="28"/>
      <c r="E31" s="28"/>
      <c r="F31" s="28"/>
    </row>
  </sheetData>
  <mergeCells count="5">
    <mergeCell ref="A1:F1"/>
    <mergeCell ref="B4:B10"/>
    <mergeCell ref="B11:B19"/>
    <mergeCell ref="B20:B25"/>
    <mergeCell ref="B26:B31"/>
  </mergeCells>
  <phoneticPr fontId="20" type="noConversion"/>
  <dataValidations count="1">
    <dataValidation type="list" allowBlank="1" sqref="D4:E31" xr:uid="{00000000-0002-0000-0500-000000000000}">
      <formula1>"☑,☐"</formula1>
      <formula2>0</formula2>
    </dataValidation>
  </dataValidations>
  <pageMargins left="0.75" right="0.75" top="1" bottom="1" header="0.511811023622047" footer="0.511811023622047"/>
  <pageSetup fitToHeight="0" orientation="landscape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실사계획서</vt:lpstr>
      <vt:lpstr>자산분류코드표</vt:lpstr>
      <vt:lpstr>유형자산실사대장</vt:lpstr>
      <vt:lpstr>차이분석표</vt:lpstr>
      <vt:lpstr>실사결과요약</vt:lpstr>
      <vt:lpstr>실사체크리스트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임재홍</cp:lastModifiedBy>
  <cp:revision>0</cp:revision>
  <dcterms:created xsi:type="dcterms:W3CDTF">2026-04-09T05:09:03Z</dcterms:created>
  <dcterms:modified xsi:type="dcterms:W3CDTF">2026-04-09T05:12:56Z</dcterms:modified>
  <dc:language>en-US</dc:language>
</cp:coreProperties>
</file>