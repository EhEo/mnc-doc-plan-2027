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유형자산 실사\"/>
    </mc:Choice>
  </mc:AlternateContent>
  <xr:revisionPtr revIDLastSave="0" documentId="13_ncr:1_{7F6D5BA7-8528-422E-8E93-590C46ECA7EC}" xr6:coauthVersionLast="47" xr6:coauthVersionMax="47" xr10:uidLastSave="{00000000-0000-0000-0000-000000000000}"/>
  <bookViews>
    <workbookView xWindow="-120" yWindow="-120" windowWidth="29040" windowHeight="15720" tabRatio="933" activeTab="8" xr2:uid="{00000000-000D-0000-FFFF-FFFF00000000}"/>
  </bookViews>
  <sheets>
    <sheet name="①Inspection Guide" sheetId="1" r:id="rId1"/>
    <sheet name="②Schedule &amp; Progress" sheetId="2" r:id="rId2"/>
    <sheet name="③Dept Asset Distribution" sheetId="3" r:id="rId3"/>
    <sheet name="④Dept Inspection Report" sheetId="4" r:id="rId4"/>
    <sheet name="⑤Discrepancy Analysis" sheetId="5" r:id="rId5"/>
    <sheet name="⑥Unregistered Asset Report" sheetId="6" r:id="rId6"/>
    <sheet name="⑦Disposal &amp; Loss Request" sheetId="7" r:id="rId7"/>
    <sheet name="⑧Asset Label" sheetId="8" r:id="rId8"/>
    <sheet name="⑨Final Report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9" l="1"/>
  <c r="F18" i="9"/>
  <c r="E18" i="9"/>
  <c r="D18" i="9"/>
  <c r="C18" i="9"/>
  <c r="C19" i="9" s="1"/>
  <c r="F20" i="7"/>
  <c r="E20" i="7"/>
  <c r="G19" i="7"/>
  <c r="G18" i="7"/>
  <c r="G17" i="7"/>
  <c r="G16" i="7"/>
  <c r="G15" i="7"/>
  <c r="G14" i="7"/>
  <c r="G13" i="7"/>
  <c r="G12" i="7"/>
  <c r="G11" i="7"/>
  <c r="G10" i="7"/>
  <c r="G20" i="7" s="1"/>
  <c r="D39" i="5"/>
  <c r="C38" i="5"/>
  <c r="C37" i="5"/>
  <c r="C36" i="5"/>
  <c r="C35" i="5"/>
  <c r="C34" i="5"/>
  <c r="C33" i="5"/>
  <c r="C39" i="5" s="1"/>
  <c r="F32" i="4"/>
  <c r="E32" i="4"/>
  <c r="D32" i="4"/>
  <c r="J31" i="3"/>
  <c r="I31" i="3"/>
</calcChain>
</file>

<file path=xl/sharedStrings.xml><?xml version="1.0" encoding="utf-8"?>
<sst xmlns="http://schemas.openxmlformats.org/spreadsheetml/2006/main" count="412" uniqueCount="262">
  <si>
    <r>
      <rPr>
        <b/>
        <sz val="10"/>
        <color rgb="FFC00000"/>
        <rFont val="DejaVu Sans"/>
        <family val="2"/>
      </rPr>
      <t xml:space="preserve">▶ 실사확인서 제출기한을 반드시 준수해 주세요 </t>
    </r>
    <r>
      <rPr>
        <b/>
        <sz val="10"/>
        <color rgb="FFC00000"/>
        <rFont val="맑은 고딕"/>
        <family val="3"/>
        <charset val="129"/>
      </rPr>
      <t>(</t>
    </r>
    <r>
      <rPr>
        <b/>
        <sz val="10"/>
        <color rgb="FFC00000"/>
        <rFont val="DejaVu Sans"/>
        <family val="2"/>
      </rPr>
      <t>부서장 서명 포함</t>
    </r>
    <r>
      <rPr>
        <b/>
        <sz val="10"/>
        <color rgb="FFC00000"/>
        <rFont val="맑은 고딕"/>
        <family val="3"/>
        <charset val="129"/>
      </rPr>
      <t>)</t>
    </r>
  </si>
  <si>
    <r>
      <rPr>
        <b/>
        <sz val="10"/>
        <color rgb="FFC00000"/>
        <rFont val="DejaVu Sans"/>
        <family val="2"/>
      </rPr>
      <t>▶ 자산을 확인할 수 없는 경우</t>
    </r>
    <r>
      <rPr>
        <b/>
        <sz val="10"/>
        <color rgb="FFC00000"/>
        <rFont val="맑은 고딕"/>
        <family val="3"/>
        <charset val="129"/>
      </rPr>
      <t>, "</t>
    </r>
    <r>
      <rPr>
        <b/>
        <sz val="10"/>
        <color rgb="FFC00000"/>
        <rFont val="DejaVu Sans"/>
        <family val="2"/>
      </rPr>
      <t>확인불가</t>
    </r>
    <r>
      <rPr>
        <b/>
        <sz val="10"/>
        <color rgb="FFC00000"/>
        <rFont val="맑은 고딕"/>
        <family val="3"/>
        <charset val="129"/>
      </rPr>
      <t xml:space="preserve">" </t>
    </r>
    <r>
      <rPr>
        <b/>
        <sz val="10"/>
        <color rgb="FFC00000"/>
        <rFont val="DejaVu Sans"/>
        <family val="2"/>
      </rPr>
      <t>사유를 반드시 기재해 주세요</t>
    </r>
  </si>
  <si>
    <t>▶ 장부에 없는 자산을 발견하면 미등록자산 신고서를 작성해 주세요</t>
  </si>
  <si>
    <r>
      <rPr>
        <b/>
        <sz val="10"/>
        <color rgb="FFC00000"/>
        <rFont val="DejaVu Sans"/>
        <family val="2"/>
      </rPr>
      <t>▶ 불량</t>
    </r>
    <r>
      <rPr>
        <b/>
        <sz val="10"/>
        <color rgb="FFC00000"/>
        <rFont val="맑은 고딕"/>
        <family val="3"/>
        <charset val="129"/>
      </rPr>
      <t>·</t>
    </r>
    <r>
      <rPr>
        <b/>
        <sz val="10"/>
        <color rgb="FFC00000"/>
        <rFont val="DejaVu Sans"/>
        <family val="2"/>
      </rPr>
      <t>파손 자산은 사진 촬영 후 첨부해 주세요</t>
    </r>
  </si>
  <si>
    <t>No</t>
  </si>
  <si>
    <t>W1</t>
  </si>
  <si>
    <t>W2</t>
  </si>
  <si>
    <t>W3</t>
  </si>
  <si>
    <t>W4</t>
  </si>
  <si>
    <t>W5</t>
  </si>
  <si>
    <t>■</t>
  </si>
  <si>
    <t>FA-MC-2022-0001</t>
  </si>
  <si>
    <t>VL-500</t>
  </si>
  <si>
    <t>DSN22-0451</t>
  </si>
  <si>
    <t>2022-03-15</t>
  </si>
  <si>
    <t>FA-IT-2024-0088</t>
  </si>
  <si>
    <t>T14s Gen4</t>
  </si>
  <si>
    <t>Lenovo</t>
  </si>
  <si>
    <t>LNV24-7754</t>
  </si>
  <si>
    <t>2024-02-01</t>
  </si>
  <si>
    <t>FA-FN-2021-0042</t>
  </si>
  <si>
    <t>ED-200</t>
  </si>
  <si>
    <t>-</t>
  </si>
  <si>
    <t>2021-01-10</t>
  </si>
  <si>
    <t>합계</t>
  </si>
  <si>
    <r>
      <rPr>
        <b/>
        <sz val="10"/>
        <rFont val="DejaVu Sans"/>
        <family val="2"/>
      </rPr>
      <t>실사자</t>
    </r>
    <r>
      <rPr>
        <b/>
        <sz val="10"/>
        <rFont val="맑은 고딕"/>
        <family val="3"/>
        <charset val="129"/>
      </rPr>
      <t>:      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</si>
  <si>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부서장</t>
    </r>
    <r>
      <rPr>
        <b/>
        <sz val="10"/>
        <rFont val="맑은 고딕"/>
        <family val="3"/>
        <charset val="129"/>
      </rPr>
      <t>:      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</si>
  <si>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일자</t>
    </r>
    <r>
      <rPr>
        <b/>
        <sz val="10"/>
        <rFont val="맑은 고딕"/>
        <family val="3"/>
        <charset val="129"/>
      </rPr>
      <t xml:space="preserve">:        </t>
    </r>
    <r>
      <rPr>
        <b/>
        <sz val="10"/>
        <rFont val="DejaVu Sans"/>
        <family val="2"/>
      </rPr>
      <t>년     월     일</t>
    </r>
  </si>
  <si>
    <t>상태변경</t>
  </si>
  <si>
    <t>수량차이</t>
  </si>
  <si>
    <t>폐기대상</t>
  </si>
  <si>
    <t>• Verification of asset existence and completeness per K-IFRS and internal control standards</t>
  </si>
  <si>
    <t>2. Inspection Schedule</t>
  </si>
  <si>
    <t>Period</t>
  </si>
  <si>
    <t>Phase</t>
  </si>
  <si>
    <t>Key Activities</t>
  </si>
  <si>
    <t>Week 1</t>
  </si>
  <si>
    <t>STEP 1. Preparation</t>
  </si>
  <si>
    <t>Week 4</t>
  </si>
  <si>
    <t>Week 5</t>
  </si>
  <si>
    <t>STEP 4. Follow-up Actions</t>
  </si>
  <si>
    <t>Week 6</t>
  </si>
  <si>
    <t>Deliverables</t>
  </si>
  <si>
    <t>Finance Team
(Overall Lead)</t>
  </si>
  <si>
    <t>⚠ Key Requests</t>
  </si>
  <si>
    <t>Status</t>
  </si>
  <si>
    <t>STEP1
Preparation</t>
  </si>
  <si>
    <t>Complete unregistered asset report</t>
  </si>
  <si>
    <t>Register newly discovered unregistered assets</t>
  </si>
  <si>
    <t>Final update of asset ledger</t>
  </si>
  <si>
    <t>Establish future regular inspection plan</t>
  </si>
  <si>
    <t>Target Department:</t>
  </si>
  <si>
    <t>Distribution Date:</t>
  </si>
  <si>
    <t>Asset Count:</t>
  </si>
  <si>
    <t>Asset No.</t>
  </si>
  <si>
    <t>Category</t>
  </si>
  <si>
    <t>Asset Name</t>
  </si>
  <si>
    <t>Spec/Model</t>
  </si>
  <si>
    <t>Manufacturer</t>
  </si>
  <si>
    <t>Serial No.</t>
  </si>
  <si>
    <t>Acquisition Date</t>
  </si>
  <si>
    <t>Acquisition Cost (KRW)</t>
  </si>
  <si>
    <t>Book Value (KRW)</t>
  </si>
  <si>
    <t>Registered Location</t>
  </si>
  <si>
    <t>Machinery &amp; Equipment</t>
  </si>
  <si>
    <t>CNC Lathe #1</t>
  </si>
  <si>
    <t>Doosan Machine Tools</t>
  </si>
  <si>
    <t>Laptop (ThinkPad)</t>
  </si>
  <si>
    <t>Executive Desk Set</t>
  </si>
  <si>
    <t>Fursys</t>
  </si>
  <si>
    <t>Total</t>
  </si>
  <si>
    <t>Inspection Date:</t>
  </si>
  <si>
    <t>Inspector:</t>
  </si>
  <si>
    <t>User</t>
  </si>
  <si>
    <t>Summary</t>
  </si>
  <si>
    <t>Count</t>
  </si>
  <si>
    <t>Inspection Result</t>
  </si>
  <si>
    <t>Discrepancy Type</t>
  </si>
  <si>
    <t>Processing Result</t>
  </si>
  <si>
    <t>Completion Date</t>
  </si>
  <si>
    <t>■ Summary by Discrepancy Type</t>
  </si>
  <si>
    <t>Ratio (%)</t>
  </si>
  <si>
    <t>Unregistered Asset Report</t>
  </si>
  <si>
    <t>Report Date:</t>
  </si>
  <si>
    <t>Reporter:</t>
  </si>
  <si>
    <t>Location</t>
  </si>
  <si>
    <t>Reporter:                    (Signature)</t>
  </si>
  <si>
    <t>Request Date:</t>
  </si>
  <si>
    <t>Document No.:</t>
  </si>
  <si>
    <t>Processing Type:</t>
  </si>
  <si>
    <t>■ Assets for Processing</t>
  </si>
  <si>
    <t>Remarks</t>
  </si>
  <si>
    <t>Account</t>
  </si>
  <si>
    <t>Debit (KRW)</t>
  </si>
  <si>
    <t>Credit (KRW)</t>
  </si>
  <si>
    <t>Disposal/Loss</t>
  </si>
  <si>
    <t>Name</t>
  </si>
  <si>
    <t>Signature</t>
  </si>
  <si>
    <t>Date</t>
  </si>
  <si>
    <t>Asset Registration Label Template</t>
  </si>
  <si>
    <t>[Company] Asset Label</t>
  </si>
  <si>
    <t>Tangible Asset Inspection Result Report</t>
  </si>
  <si>
    <t>Report Date:           Year      Month      Day</t>
  </si>
  <si>
    <t>1. Inspection Overview</t>
  </si>
  <si>
    <t>Inspection Period</t>
  </si>
  <si>
    <t>Inspection Scope</t>
  </si>
  <si>
    <t>Inspection Method</t>
  </si>
  <si>
    <t>Participating Depts.</t>
  </si>
  <si>
    <t>Total Inspected Assets</t>
  </si>
  <si>
    <t>Machinery &amp; Equipment, Office Furniture &amp; Fixtures, Electronics &amp; IT Equipment, Vehicles, Tools &amp; Dies</t>
  </si>
  <si>
    <t>Finance team distributes asset ledger by dept. → Each dept. verifies physical assets → Finance team consolidates &amp; reconciles</t>
  </si>
  <si>
    <t xml:space="preserve">           Items  /  Total Book Value:                    KRW</t>
  </si>
  <si>
    <t>2. Inspection Results Summary</t>
  </si>
  <si>
    <t>Asset Category</t>
  </si>
  <si>
    <t>Ledger Count</t>
  </si>
  <si>
    <t>Confirmed Count</t>
  </si>
  <si>
    <t>Unconfirmed</t>
  </si>
  <si>
    <t>Unregistered Found</t>
  </si>
  <si>
    <t>Office Furniture &amp; Fixtures</t>
  </si>
  <si>
    <t>Electronics &amp; IT Equipment</t>
  </si>
  <si>
    <t>Vehicles</t>
  </si>
  <si>
    <t>Tools &amp; Dies</t>
  </si>
  <si>
    <t>Inspection Match Rate</t>
  </si>
  <si>
    <t>3. Discrepancy Analysis Summary &amp; Action Plan</t>
  </si>
  <si>
    <t>Amount (KRW)</t>
  </si>
  <si>
    <t>Action Plan</t>
  </si>
  <si>
    <t>Deadline</t>
  </si>
  <si>
    <t>Unconfirmed - Lost</t>
  </si>
  <si>
    <t>Unconfirmed - Disposed</t>
  </si>
  <si>
    <t>Location/Dept. Mismatch</t>
  </si>
  <si>
    <t>Unregistered Asset Found</t>
  </si>
  <si>
    <t>Condition Change (Defective)</t>
  </si>
  <si>
    <t>Record as loss/disposal expense</t>
  </si>
  <si>
    <t>Disposal request &amp; asset write-off</t>
  </si>
  <si>
    <t>Reflect transfer in asset ledger</t>
  </si>
  <si>
    <t>Register as new asset</t>
  </si>
  <si>
    <t>Review for repair or disposal</t>
  </si>
  <si>
    <t>4. Financial Impact</t>
  </si>
  <si>
    <t>Loss/Disposal Cost (Loss on Disposal of Tangible Assets)</t>
  </si>
  <si>
    <t>Disposal Processing Cost</t>
  </si>
  <si>
    <t>Unregistered Asset Additional Registration Amount</t>
  </si>
  <si>
    <t>Net Asset Change After Inspection</t>
  </si>
  <si>
    <t xml:space="preserve">                    KRW</t>
  </si>
  <si>
    <t>5. Improvement Recommendations</t>
  </si>
  <si>
    <t>① Conduct annual regular asset inspection (recommended Nov-Dec each year)</t>
  </si>
  <si>
    <t>② Establish real-time asset ledger update process for acquisition, transfer, and disposal</t>
  </si>
  <si>
    <t>③ Mandatory attachment of asset labels (labels/barcodes) and immediate reissuance when damaged</t>
  </si>
  <si>
    <t>④ Mandatory photo registration for asset acquisitions above a certain amount</t>
  </si>
  <si>
    <t>⑤ Enhance ERP asset management module utilization (review current usage status)</t>
  </si>
  <si>
    <t>⑥ Mandatory submission of asset transfer request form when transferring between departments</t>
  </si>
  <si>
    <t>Prepared by</t>
  </si>
  <si>
    <t>Reviewed by</t>
  </si>
  <si>
    <t>Approved by</t>
  </si>
  <si>
    <t>Title</t>
  </si>
  <si>
    <t>Company-wide Tangible Asset Inspection Guide</t>
  </si>
  <si>
    <t>Jointly organized by Finance Team &amp; HR/General Affairs Team  |  Cooperation requested from all departments</t>
  </si>
  <si>
    <t>1. Background &amp; Objectives</t>
  </si>
  <si>
    <t>3. Departmental Roles &amp; Responsibilities</t>
  </si>
  <si>
    <t>4. Inspection Methods &amp; Precautions</t>
  </si>
  <si>
    <t>• Long-term absence of tangible asset inspection raises concerns about discrepancies between ledger and physical assets</t>
  </si>
  <si>
    <t>• Full verification needed for physical existence, current location, and usage status of all assets</t>
  </si>
  <si>
    <t>• Discovery of unregistered assets, disposition of idle/disposal-eligible assets, processing of loss expenses</t>
  </si>
  <si>
    <t>• Re-attachment of asset labels after inspection and normalization of management system</t>
  </si>
  <si>
    <t>Weeks 2-3</t>
  </si>
  <si>
    <t>Assignee</t>
  </si>
  <si>
    <t>HR/General Affairs
(Operations Lead)</t>
  </si>
  <si>
    <t>Each Department</t>
  </si>
  <si>
    <t>① Finance team extracts department-specific asset lists from the asset ledger and distributes the 'Dept. Asset Distribution Table'.</t>
  </si>
  <si>
    <t>② Each department verifies whether assets actually exist (existence), where they are (location),</t>
  </si>
  <si>
    <t xml:space="preserve">   and their condition (good/defective/disposed, etc.) and records findings in the 'Dept. Inspection Report'.</t>
  </si>
  <si>
    <t>③ Assets found on-site but not in the list (unregistered) are separately documented in the 'Unregistered Asset Report'.</t>
  </si>
  <si>
    <t>④ Upon completion, the department head signs and submits to the Finance team.</t>
  </si>
  <si>
    <t>⑤ Finance team consolidates results and analyzes ledger vs. physical discrepancies, then takes action by cause:</t>
  </si>
  <si>
    <t xml:space="preserve">   - Physical asset missing (lost/disposed) → Process as loss or submit disposal request</t>
  </si>
  <si>
    <t xml:space="preserve">   - Unregistered asset → Register as new asset</t>
  </si>
  <si>
    <t xml:space="preserve">   - Location/department change → Reflect transfer in asset ledger</t>
  </si>
  <si>
    <t>⑥ New asset registration labels are produced and attached to all confirmed assets.</t>
  </si>
  <si>
    <t>⑦ Final inspection results are reported to management, and future regular inspection plans are established.</t>
  </si>
  <si>
    <t>STEP 2. On-site Dept. Inspection</t>
  </si>
  <si>
    <t>STEP 3. Consolidation &amp; Discrepancy Analysis</t>
  </si>
  <si>
    <t>STEP 5. Final Reporting</t>
  </si>
  <si>
    <t>Role</t>
  </si>
  <si>
    <t>• Extract asset ledger &amp; distribute by dept.
• Lead discrepancy analysis, loss/disposal accounting
• Prepare final inspection report</t>
  </si>
  <si>
    <t>• Organize inspection team, distribute forms &amp; training
• Produce &amp; manage asset labels
• Directly inspect shared assets (office furniture, shared IT equip.)</t>
  </si>
  <si>
    <t>• Verify physical assets against distributed list
• Complete &amp; submit inspection report (strict deadline)
• Report unregistered assets if found</t>
  </si>
  <si>
    <t>Extract asset ledger → Distribute by dept.
Organize team, distribute forms, training</t>
  </si>
  <si>
    <t>Each dept. verifies physical assets
based on distributed list, records location &amp; status</t>
  </si>
  <si>
    <t>Consolidate dept. inspection results
Analyze ledger vs. physical discrepancies</t>
  </si>
  <si>
    <t>Register unregistered, disposal request, loss processing
Re-attach asset labels</t>
  </si>
  <si>
    <t>Report to management, finalize ledger
Establish improvement plan</t>
  </si>
  <si>
    <t>Dept. Asset Distribution Table
Discrepancy Analysis Report
Final Report</t>
  </si>
  <si>
    <t>All inspection forms
Asset Labels
Shared asset inspection results</t>
  </si>
  <si>
    <t>Dept. Inspection Report
Unregistered Asset Report</t>
  </si>
  <si>
    <t>Tangible Asset Inspection Schedule &amp; Progress Management</t>
  </si>
  <si>
    <t>STEP2
On-site Inspection</t>
  </si>
  <si>
    <t>STEP3
Discrepancy Analysis</t>
  </si>
  <si>
    <t>STEP4
Follow-up Actions</t>
  </si>
  <si>
    <t>STEP5
Final Reporting</t>
  </si>
  <si>
    <t>Detailed Tasks</t>
  </si>
  <si>
    <t>Extract and organize asset ledger data</t>
  </si>
  <si>
    <t>Prepare and distribute dept. asset distribution tables</t>
  </si>
  <si>
    <t>Organize inspection team and distribute forms</t>
  </si>
  <si>
    <t>Dept. inspection orientation meeting (training)</t>
  </si>
  <si>
    <t>Physical verification of assets by each dept.</t>
  </si>
  <si>
    <t>Complete dept. inspection report</t>
  </si>
  <si>
    <t>Submit inspection report (dept. head signature)</t>
  </si>
  <si>
    <t>Consolidate dept. inspection results</t>
  </si>
  <si>
    <t>Reconcile ledger vs. physical assets</t>
  </si>
  <si>
    <t>Analyze discrepancy causes and complete analysis table</t>
  </si>
  <si>
    <t>Dept. discrepancy confirmation and sign-off</t>
  </si>
  <si>
    <t>Prepare and approve disposal/loss request</t>
  </si>
  <si>
    <t>Process loss expense accounting (journal entries)</t>
  </si>
  <si>
    <t>Produce and attach asset labels</t>
  </si>
  <si>
    <t>Prepare final inspection report</t>
  </si>
  <si>
    <t>Report to management and obtain approval</t>
  </si>
  <si>
    <t>Responsible Dept.</t>
  </si>
  <si>
    <t>Finance Team</t>
  </si>
  <si>
    <t>HR/General Affairs</t>
  </si>
  <si>
    <t>Finance/HR Team</t>
  </si>
  <si>
    <t>Each Dept.→Finance</t>
  </si>
  <si>
    <t>Each Dept./Finance</t>
  </si>
  <si>
    <t>Departmental Asset Distribution Table</t>
  </si>
  <si>
    <t>※ This form is extracted from the Finance team's asset ledger and distributed to each department. Each department verifies physical assets based on this list.</t>
  </si>
  <si>
    <t>Factory #1 Line A</t>
  </si>
  <si>
    <t>Main Bldg. 2F</t>
  </si>
  <si>
    <t>Main Bldg. 3F</t>
  </si>
  <si>
    <t>Departmental Tangible Asset Inspection Report</t>
  </si>
  <si>
    <t>※ This form is completed by each department and submitted to the Finance team after the department head's signature.</t>
  </si>
  <si>
    <t>Inspection Dept.:</t>
  </si>
  <si>
    <t>We hereby confirm that the above inspection results are accurate.</t>
  </si>
  <si>
    <t>Distributed Count</t>
  </si>
  <si>
    <t>Existence Confirmed</t>
  </si>
  <si>
    <t>Confirmed</t>
  </si>
  <si>
    <t>Qty. Confirmed</t>
  </si>
  <si>
    <t>Current Location</t>
  </si>
  <si>
    <t>Dept. Head:</t>
  </si>
  <si>
    <t>Asset Condition</t>
  </si>
  <si>
    <t>Remarks (Special Notes)</t>
  </si>
  <si>
    <t>Tangible Asset Inspection Discrepancy Analysis Table</t>
  </si>
  <si>
    <t>※ Records cause analysis and action plans for items where discrepancies exist between ledger and physical assets.</t>
  </si>
  <si>
    <t>Lost (No Physical Asset)</t>
  </si>
  <si>
    <t>Unregistered (Not in Ledger)</t>
  </si>
  <si>
    <t>Location Mismatch</t>
  </si>
  <si>
    <t>Total Amount (KRW)</t>
  </si>
  <si>
    <t>Managing Dept.</t>
  </si>
  <si>
    <t>Discrepancy Cause (Detail)</t>
  </si>
  <si>
    <t>※ This form is for reporting assets found on-site that are not registered in the asset ledger.</t>
  </si>
  <si>
    <t>The above assets are hereby reported as unregistered assets confirmed on-site.</t>
  </si>
  <si>
    <t>Reporting Dept.:</t>
  </si>
  <si>
    <t>Dept. Head:                    (Signature)</t>
  </si>
  <si>
    <t>Est. Acquisition Date</t>
  </si>
  <si>
    <t>Remarks (Discovery Details)</t>
  </si>
  <si>
    <t>Tangible Asset Disposal/Loss Processing Request</t>
  </si>
  <si>
    <t>■ Accounting Treatment (Journal Entry)</t>
  </si>
  <si>
    <t>Reason for Request:</t>
  </si>
  <si>
    <t>(Dr) Loss on Disposal of Tangible Assets</t>
  </si>
  <si>
    <t>(Cr) Tangible Asset Account</t>
  </si>
  <si>
    <t>(Cr) Accumulated Depreciation</t>
  </si>
  <si>
    <t>Request Dept.:</t>
  </si>
  <si>
    <t>Disposal Loss (KRW)</t>
  </si>
  <si>
    <t>Processing Type</t>
  </si>
  <si>
    <t>※ Print and attach to assets. A4 sheet, 2 columns × 4 rows = 8 labels per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</si>
</sst>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 x14ac:knownFonts="1">
    <font>
      <sz val="11"/>
      <color theme="1"/>
      <name val="Calibri"/>
      <family val="2"/>
      <charset val="1"/>
    </font>
    <font>
      <b/>
      <sz val="16"/>
      <name val="DejaVu Sans"/>
      <family val="2"/>
    </font>
    <font>
      <sz val="9"/>
      <color rgb="FF666666"/>
      <name val="DejaVu Sans"/>
      <family val="2"/>
    </font>
    <font>
      <b/>
      <sz val="12"/>
      <color rgb="FF2F5496"/>
      <name val="맑은 고딕"/>
      <family val="3"/>
      <charset val="129"/>
    </font>
    <font>
      <b/>
      <sz val="12"/>
      <color rgb="FF2F5496"/>
      <name val="DejaVu Sans"/>
      <family val="2"/>
    </font>
    <font>
      <sz val="10"/>
      <name val="DejaVu Sans"/>
      <family val="2"/>
    </font>
    <font>
      <sz val="10"/>
      <name val="맑은 고딕"/>
      <family val="3"/>
      <charset val="129"/>
    </font>
    <font>
      <b/>
      <sz val="10"/>
      <color rgb="FFFFFFFF"/>
      <name val="DejaVu Sans"/>
      <family val="2"/>
    </font>
    <font>
      <b/>
      <sz val="10"/>
      <name val="맑은 고딕"/>
      <family val="3"/>
      <charset val="129"/>
    </font>
    <font>
      <b/>
      <sz val="10"/>
      <name val="DejaVu Sans"/>
      <family val="2"/>
    </font>
    <font>
      <sz val="9"/>
      <name val="DejaVu Sans"/>
      <family val="2"/>
    </font>
    <font>
      <sz val="9"/>
      <name val="맑은 고딕"/>
      <family val="3"/>
      <charset val="129"/>
    </font>
    <font>
      <b/>
      <sz val="11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10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8"/>
      <name val="DejaVu Sans"/>
      <family val="2"/>
    </font>
    <font>
      <sz val="8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DAEEF3"/>
      </patternFill>
    </fill>
    <fill>
      <patternFill patternType="solid">
        <fgColor rgb="FF2F5496"/>
        <bgColor rgb="FF4472C4"/>
      </patternFill>
    </fill>
    <fill>
      <patternFill patternType="solid">
        <fgColor rgb="FFDAEEF3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2F5496"/>
      </patternFill>
    </fill>
    <fill>
      <patternFill patternType="solid">
        <fgColor rgb="FFE2EFDA"/>
        <bgColor rgb="FFDAEEF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2" fillId="6" borderId="0" xfId="0" applyFont="1" applyFill="1"/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2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0" fillId="0" borderId="1" xfId="0" applyNumberFormat="1" applyBorder="1"/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/>
    <xf numFmtId="3" fontId="8" fillId="6" borderId="1" xfId="0" applyNumberFormat="1" applyFont="1" applyFill="1" applyBorder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9" fillId="6" borderId="1" xfId="0" applyFont="1" applyFill="1" applyBorder="1"/>
    <xf numFmtId="0" fontId="0" fillId="6" borderId="1" xfId="0" applyFill="1" applyBorder="1"/>
    <xf numFmtId="3" fontId="0" fillId="0" borderId="1" xfId="0" applyNumberFormat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9" fillId="8" borderId="1" xfId="0" applyFont="1" applyFill="1" applyBorder="1"/>
    <xf numFmtId="176" fontId="19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/>
    <xf numFmtId="0" fontId="5" fillId="5" borderId="1" xfId="0" applyFont="1" applyFill="1" applyBorder="1"/>
    <xf numFmtId="0" fontId="4" fillId="2" borderId="0" xfId="0" applyFont="1" applyFill="1"/>
    <xf numFmtId="0" fontId="9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5A9982-27A5-42B2-8700-5659141E7585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8f1298a7-6f85-4b52-acdf-8099b457d9d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2"/>
  <sheetViews>
    <sheetView showGridLines="0" topLeftCell="A15" zoomScaleNormal="100" workbookViewId="0">
      <selection sqref="A1:E1"/>
    </sheetView>
  </sheetViews>
  <sheetFormatPr defaultColWidth="8.7109375" defaultRowHeight="15" x14ac:dyDescent="0.25"/>
  <cols>
    <col min="1" max="1" width="3" customWidth="1"/>
    <col min="2" max="2" width="5" customWidth="1"/>
    <col min="3" max="3" width="22" customWidth="1"/>
    <col min="4" max="4" width="40" customWidth="1"/>
    <col min="5" max="5" width="35.85546875" customWidth="1"/>
  </cols>
  <sheetData>
    <row r="1" spans="1:5" ht="45" customHeight="1" x14ac:dyDescent="0.25">
      <c r="A1" s="14" t="s">
        <v>154</v>
      </c>
      <c r="B1" s="14"/>
      <c r="C1" s="14"/>
      <c r="D1" s="14"/>
      <c r="E1" s="14"/>
    </row>
    <row r="2" spans="1:5" x14ac:dyDescent="0.25">
      <c r="A2" s="13" t="s">
        <v>155</v>
      </c>
      <c r="B2" s="13"/>
      <c r="C2" s="13"/>
      <c r="D2" s="13"/>
      <c r="E2" s="13"/>
    </row>
    <row r="4" spans="1:5" ht="17.25" x14ac:dyDescent="0.3">
      <c r="B4" s="12" t="s">
        <v>156</v>
      </c>
      <c r="C4" s="12"/>
      <c r="D4" s="12"/>
      <c r="E4" s="12"/>
    </row>
    <row r="5" spans="1:5" ht="21.75" customHeight="1" x14ac:dyDescent="0.25">
      <c r="C5" s="11" t="s">
        <v>159</v>
      </c>
      <c r="D5" s="11"/>
      <c r="E5" s="11"/>
    </row>
    <row r="6" spans="1:5" ht="21.75" customHeight="1" x14ac:dyDescent="0.25">
      <c r="C6" s="11" t="s">
        <v>160</v>
      </c>
      <c r="D6" s="11"/>
      <c r="E6" s="11"/>
    </row>
    <row r="7" spans="1:5" ht="21.75" customHeight="1" x14ac:dyDescent="0.25">
      <c r="C7" s="10" t="s">
        <v>31</v>
      </c>
      <c r="D7" s="10"/>
      <c r="E7" s="10"/>
    </row>
    <row r="8" spans="1:5" ht="21.75" customHeight="1" x14ac:dyDescent="0.25">
      <c r="C8" s="11" t="s">
        <v>161</v>
      </c>
      <c r="D8" s="11"/>
      <c r="E8" s="11"/>
    </row>
    <row r="9" spans="1:5" ht="21.75" customHeight="1" x14ac:dyDescent="0.25">
      <c r="C9" s="11" t="s">
        <v>162</v>
      </c>
      <c r="D9" s="11"/>
      <c r="E9" s="11"/>
    </row>
    <row r="11" spans="1:5" ht="17.25" x14ac:dyDescent="0.3">
      <c r="B11" s="12" t="s">
        <v>32</v>
      </c>
      <c r="C11" s="12"/>
      <c r="D11" s="12"/>
      <c r="E11" s="12"/>
    </row>
    <row r="12" spans="1:5" x14ac:dyDescent="0.25">
      <c r="C12" s="15" t="s">
        <v>33</v>
      </c>
      <c r="D12" s="15" t="s">
        <v>34</v>
      </c>
      <c r="E12" s="15" t="s">
        <v>35</v>
      </c>
    </row>
    <row r="13" spans="1:5" ht="37.5" customHeight="1" x14ac:dyDescent="0.25">
      <c r="C13" s="17" t="s">
        <v>36</v>
      </c>
      <c r="D13" s="18" t="s">
        <v>37</v>
      </c>
      <c r="E13" s="19" t="s">
        <v>185</v>
      </c>
    </row>
    <row r="14" spans="1:5" ht="37.5" customHeight="1" x14ac:dyDescent="0.25">
      <c r="C14" s="17" t="s">
        <v>163</v>
      </c>
      <c r="D14" s="18" t="s">
        <v>178</v>
      </c>
      <c r="E14" s="19" t="s">
        <v>186</v>
      </c>
    </row>
    <row r="15" spans="1:5" ht="37.5" customHeight="1" x14ac:dyDescent="0.25">
      <c r="C15" s="17" t="s">
        <v>38</v>
      </c>
      <c r="D15" s="18" t="s">
        <v>179</v>
      </c>
      <c r="E15" s="19" t="s">
        <v>187</v>
      </c>
    </row>
    <row r="16" spans="1:5" ht="37.5" customHeight="1" x14ac:dyDescent="0.25">
      <c r="C16" s="17" t="s">
        <v>39</v>
      </c>
      <c r="D16" s="18" t="s">
        <v>40</v>
      </c>
      <c r="E16" s="19" t="s">
        <v>188</v>
      </c>
    </row>
    <row r="17" spans="2:5" ht="37.5" customHeight="1" x14ac:dyDescent="0.25">
      <c r="C17" s="17" t="s">
        <v>41</v>
      </c>
      <c r="D17" s="18" t="s">
        <v>180</v>
      </c>
      <c r="E17" s="19" t="s">
        <v>189</v>
      </c>
    </row>
    <row r="19" spans="2:5" ht="17.25" x14ac:dyDescent="0.3">
      <c r="B19" s="12" t="s">
        <v>157</v>
      </c>
      <c r="C19" s="12"/>
      <c r="D19" s="12"/>
      <c r="E19" s="12"/>
    </row>
    <row r="20" spans="2:5" x14ac:dyDescent="0.25">
      <c r="C20" s="15" t="s">
        <v>164</v>
      </c>
      <c r="D20" s="15" t="s">
        <v>181</v>
      </c>
      <c r="E20" s="15" t="s">
        <v>42</v>
      </c>
    </row>
    <row r="21" spans="2:5" ht="54.75" customHeight="1" x14ac:dyDescent="0.25">
      <c r="C21" s="20" t="s">
        <v>43</v>
      </c>
      <c r="D21" s="19" t="s">
        <v>182</v>
      </c>
      <c r="E21" s="21" t="s">
        <v>190</v>
      </c>
    </row>
    <row r="22" spans="2:5" ht="54.75" customHeight="1" x14ac:dyDescent="0.25">
      <c r="C22" s="20" t="s">
        <v>165</v>
      </c>
      <c r="D22" s="19" t="s">
        <v>183</v>
      </c>
      <c r="E22" s="21" t="s">
        <v>191</v>
      </c>
    </row>
    <row r="23" spans="2:5" ht="54.75" customHeight="1" x14ac:dyDescent="0.25">
      <c r="C23" s="20" t="s">
        <v>166</v>
      </c>
      <c r="D23" s="19" t="s">
        <v>184</v>
      </c>
      <c r="E23" s="21" t="s">
        <v>192</v>
      </c>
    </row>
    <row r="25" spans="2:5" ht="17.25" x14ac:dyDescent="0.3">
      <c r="B25" s="12" t="s">
        <v>158</v>
      </c>
      <c r="C25" s="12"/>
      <c r="D25" s="12"/>
      <c r="E25" s="12"/>
    </row>
    <row r="26" spans="2:5" ht="19.5" customHeight="1" x14ac:dyDescent="0.25">
      <c r="C26" s="11" t="s">
        <v>167</v>
      </c>
      <c r="D26" s="11"/>
      <c r="E26" s="11"/>
    </row>
    <row r="27" spans="2:5" ht="19.5" customHeight="1" x14ac:dyDescent="0.25">
      <c r="C27" s="11" t="s">
        <v>168</v>
      </c>
      <c r="D27" s="11"/>
      <c r="E27" s="11"/>
    </row>
    <row r="28" spans="2:5" ht="19.5" customHeight="1" x14ac:dyDescent="0.25">
      <c r="C28" s="11" t="s">
        <v>169</v>
      </c>
      <c r="D28" s="11"/>
      <c r="E28" s="11"/>
    </row>
    <row r="29" spans="2:5" ht="19.5" customHeight="1" x14ac:dyDescent="0.25">
      <c r="C29" s="11" t="s">
        <v>170</v>
      </c>
      <c r="D29" s="11"/>
      <c r="E29" s="11"/>
    </row>
    <row r="30" spans="2:5" ht="19.5" customHeight="1" x14ac:dyDescent="0.25">
      <c r="C30" s="11" t="s">
        <v>171</v>
      </c>
      <c r="D30" s="11"/>
      <c r="E30" s="11"/>
    </row>
    <row r="31" spans="2:5" ht="19.5" customHeight="1" x14ac:dyDescent="0.25">
      <c r="C31" s="11" t="s">
        <v>172</v>
      </c>
      <c r="D31" s="11"/>
      <c r="E31" s="11"/>
    </row>
    <row r="32" spans="2:5" ht="19.5" customHeight="1" x14ac:dyDescent="0.25">
      <c r="C32" s="9" t="s">
        <v>173</v>
      </c>
      <c r="D32" s="9"/>
      <c r="E32" s="9"/>
    </row>
    <row r="33" spans="2:5" ht="19.5" customHeight="1" x14ac:dyDescent="0.25">
      <c r="C33" s="9" t="s">
        <v>174</v>
      </c>
      <c r="D33" s="9"/>
      <c r="E33" s="9"/>
    </row>
    <row r="34" spans="2:5" ht="19.5" customHeight="1" x14ac:dyDescent="0.25">
      <c r="C34" s="9" t="s">
        <v>175</v>
      </c>
      <c r="D34" s="9"/>
      <c r="E34" s="9"/>
    </row>
    <row r="35" spans="2:5" ht="19.5" customHeight="1" x14ac:dyDescent="0.25">
      <c r="C35" s="11" t="s">
        <v>176</v>
      </c>
      <c r="D35" s="11"/>
      <c r="E35" s="11"/>
    </row>
    <row r="36" spans="2:5" ht="19.5" customHeight="1" x14ac:dyDescent="0.25">
      <c r="C36" s="11" t="s">
        <v>177</v>
      </c>
      <c r="D36" s="11"/>
      <c r="E36" s="11"/>
    </row>
    <row r="38" spans="2:5" x14ac:dyDescent="0.25">
      <c r="B38" s="8" t="s">
        <v>44</v>
      </c>
      <c r="C38" s="8"/>
      <c r="D38" s="8"/>
      <c r="E38" s="8"/>
    </row>
    <row r="39" spans="2:5" ht="24" customHeight="1" x14ac:dyDescent="0.25">
      <c r="C39" s="7" t="s">
        <v>0</v>
      </c>
      <c r="D39" s="7"/>
      <c r="E39" s="7"/>
    </row>
    <row r="40" spans="2:5" ht="24" customHeight="1" x14ac:dyDescent="0.25">
      <c r="C40" s="7" t="s">
        <v>1</v>
      </c>
      <c r="D40" s="7"/>
      <c r="E40" s="7"/>
    </row>
    <row r="41" spans="2:5" ht="24" customHeight="1" x14ac:dyDescent="0.25">
      <c r="C41" s="7" t="s">
        <v>2</v>
      </c>
      <c r="D41" s="7"/>
      <c r="E41" s="7"/>
    </row>
    <row r="42" spans="2:5" ht="24" customHeight="1" x14ac:dyDescent="0.25">
      <c r="C42" s="7" t="s">
        <v>3</v>
      </c>
      <c r="D42" s="7"/>
      <c r="E42" s="7"/>
    </row>
  </sheetData>
  <mergeCells count="27">
    <mergeCell ref="C41:E41"/>
    <mergeCell ref="C42:E42"/>
    <mergeCell ref="C35:E35"/>
    <mergeCell ref="C36:E36"/>
    <mergeCell ref="B38:E38"/>
    <mergeCell ref="C39:E39"/>
    <mergeCell ref="C40:E40"/>
    <mergeCell ref="C30:E30"/>
    <mergeCell ref="C31:E31"/>
    <mergeCell ref="C32:E32"/>
    <mergeCell ref="C33:E33"/>
    <mergeCell ref="C34:E34"/>
    <mergeCell ref="B25:E25"/>
    <mergeCell ref="C26:E26"/>
    <mergeCell ref="C27:E27"/>
    <mergeCell ref="C28:E28"/>
    <mergeCell ref="C29:E29"/>
    <mergeCell ref="C7:E7"/>
    <mergeCell ref="C8:E8"/>
    <mergeCell ref="C9:E9"/>
    <mergeCell ref="B11:E11"/>
    <mergeCell ref="B19:E19"/>
    <mergeCell ref="A1:E1"/>
    <mergeCell ref="A2:E2"/>
    <mergeCell ref="B4:E4"/>
    <mergeCell ref="C5:E5"/>
    <mergeCell ref="C6:E6"/>
  </mergeCells>
  <phoneticPr fontId="20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3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3" customWidth="1"/>
    <col min="2" max="2" width="11.5703125" customWidth="1"/>
    <col min="3" max="3" width="25" customWidth="1"/>
    <col min="4" max="4" width="18" customWidth="1"/>
    <col min="5" max="9" width="14" customWidth="1"/>
    <col min="10" max="10" width="18" customWidth="1"/>
  </cols>
  <sheetData>
    <row r="1" spans="1:10" ht="39.75" customHeight="1" x14ac:dyDescent="0.25">
      <c r="A1" s="6" t="s">
        <v>193</v>
      </c>
      <c r="B1" s="6"/>
      <c r="C1" s="6"/>
      <c r="D1" s="6"/>
      <c r="E1" s="6"/>
      <c r="F1" s="6"/>
      <c r="G1" s="6"/>
      <c r="H1" s="6"/>
      <c r="I1" s="6"/>
      <c r="J1" s="6"/>
    </row>
    <row r="3" spans="1:10" ht="27" x14ac:dyDescent="0.25">
      <c r="A3" s="22" t="s">
        <v>4</v>
      </c>
      <c r="B3" s="15" t="s">
        <v>34</v>
      </c>
      <c r="C3" s="15" t="s">
        <v>198</v>
      </c>
      <c r="D3" s="15" t="s">
        <v>215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15" t="s">
        <v>45</v>
      </c>
    </row>
    <row r="4" spans="1:10" ht="27.75" customHeight="1" x14ac:dyDescent="0.25">
      <c r="A4" s="23">
        <v>1</v>
      </c>
      <c r="B4" s="18" t="s">
        <v>46</v>
      </c>
      <c r="C4" s="24" t="s">
        <v>199</v>
      </c>
      <c r="D4" s="24" t="s">
        <v>216</v>
      </c>
      <c r="E4" s="25" t="s">
        <v>10</v>
      </c>
      <c r="F4" s="24"/>
      <c r="G4" s="24"/>
      <c r="H4" s="24"/>
      <c r="I4" s="24"/>
      <c r="J4" s="23"/>
    </row>
    <row r="5" spans="1:10" ht="27.75" customHeight="1" x14ac:dyDescent="0.25">
      <c r="A5" s="24">
        <v>2</v>
      </c>
      <c r="B5" s="24"/>
      <c r="C5" s="24" t="s">
        <v>200</v>
      </c>
      <c r="D5" s="24" t="s">
        <v>216</v>
      </c>
      <c r="E5" s="25" t="s">
        <v>10</v>
      </c>
      <c r="F5" s="24"/>
      <c r="G5" s="24"/>
      <c r="H5" s="24"/>
      <c r="I5" s="24"/>
      <c r="J5" s="23"/>
    </row>
    <row r="6" spans="1:10" ht="27.75" customHeight="1" x14ac:dyDescent="0.25">
      <c r="A6" s="24">
        <v>3</v>
      </c>
      <c r="B6" s="24"/>
      <c r="C6" s="24" t="s">
        <v>201</v>
      </c>
      <c r="D6" s="24" t="s">
        <v>217</v>
      </c>
      <c r="E6" s="25" t="s">
        <v>10</v>
      </c>
      <c r="F6" s="24"/>
      <c r="G6" s="24"/>
      <c r="H6" s="24"/>
      <c r="I6" s="24"/>
      <c r="J6" s="23"/>
    </row>
    <row r="7" spans="1:10" ht="27.75" customHeight="1" x14ac:dyDescent="0.25">
      <c r="A7" s="24">
        <v>4</v>
      </c>
      <c r="B7" s="24"/>
      <c r="C7" s="24" t="s">
        <v>202</v>
      </c>
      <c r="D7" s="24" t="s">
        <v>218</v>
      </c>
      <c r="E7" s="25" t="s">
        <v>10</v>
      </c>
      <c r="F7" s="24"/>
      <c r="G7" s="24"/>
      <c r="H7" s="24"/>
      <c r="I7" s="24"/>
      <c r="J7" s="23"/>
    </row>
    <row r="8" spans="1:10" ht="27.75" customHeight="1" x14ac:dyDescent="0.25">
      <c r="A8" s="24">
        <v>5</v>
      </c>
      <c r="B8" s="18" t="s">
        <v>194</v>
      </c>
      <c r="C8" s="24" t="s">
        <v>203</v>
      </c>
      <c r="D8" s="24" t="s">
        <v>166</v>
      </c>
      <c r="E8" s="24"/>
      <c r="F8" s="25" t="s">
        <v>10</v>
      </c>
      <c r="G8" s="25" t="s">
        <v>10</v>
      </c>
      <c r="H8" s="24"/>
      <c r="I8" s="24"/>
      <c r="J8" s="23"/>
    </row>
    <row r="9" spans="1:10" ht="27.75" customHeight="1" x14ac:dyDescent="0.25">
      <c r="A9" s="24">
        <v>6</v>
      </c>
      <c r="B9" s="24"/>
      <c r="C9" s="24" t="s">
        <v>204</v>
      </c>
      <c r="D9" s="24" t="s">
        <v>166</v>
      </c>
      <c r="E9" s="24"/>
      <c r="F9" s="25" t="s">
        <v>10</v>
      </c>
      <c r="G9" s="25" t="s">
        <v>10</v>
      </c>
      <c r="H9" s="24"/>
      <c r="I9" s="24"/>
      <c r="J9" s="23"/>
    </row>
    <row r="10" spans="1:10" ht="27.75" customHeight="1" x14ac:dyDescent="0.25">
      <c r="A10" s="24">
        <v>7</v>
      </c>
      <c r="B10" s="24"/>
      <c r="C10" s="24" t="s">
        <v>47</v>
      </c>
      <c r="D10" s="24" t="s">
        <v>166</v>
      </c>
      <c r="E10" s="24"/>
      <c r="F10" s="25" t="s">
        <v>10</v>
      </c>
      <c r="G10" s="25" t="s">
        <v>10</v>
      </c>
      <c r="H10" s="24"/>
      <c r="I10" s="24"/>
      <c r="J10" s="23"/>
    </row>
    <row r="11" spans="1:10" ht="27.75" customHeight="1" x14ac:dyDescent="0.25">
      <c r="A11" s="24">
        <v>8</v>
      </c>
      <c r="B11" s="24"/>
      <c r="C11" s="24" t="s">
        <v>205</v>
      </c>
      <c r="D11" s="24" t="s">
        <v>219</v>
      </c>
      <c r="E11" s="24"/>
      <c r="F11" s="24"/>
      <c r="G11" s="25" t="s">
        <v>10</v>
      </c>
      <c r="H11" s="24"/>
      <c r="I11" s="24"/>
      <c r="J11" s="23"/>
    </row>
    <row r="12" spans="1:10" ht="27.75" customHeight="1" x14ac:dyDescent="0.25">
      <c r="A12" s="24">
        <v>9</v>
      </c>
      <c r="B12" s="18" t="s">
        <v>195</v>
      </c>
      <c r="C12" s="24" t="s">
        <v>206</v>
      </c>
      <c r="D12" s="24" t="s">
        <v>216</v>
      </c>
      <c r="E12" s="24"/>
      <c r="F12" s="24"/>
      <c r="G12" s="24"/>
      <c r="H12" s="25" t="s">
        <v>10</v>
      </c>
      <c r="I12" s="24"/>
      <c r="J12" s="23"/>
    </row>
    <row r="13" spans="1:10" ht="27.75" customHeight="1" x14ac:dyDescent="0.25">
      <c r="A13" s="24">
        <v>10</v>
      </c>
      <c r="B13" s="24"/>
      <c r="C13" s="24" t="s">
        <v>207</v>
      </c>
      <c r="D13" s="24" t="s">
        <v>216</v>
      </c>
      <c r="E13" s="24"/>
      <c r="F13" s="24"/>
      <c r="G13" s="24"/>
      <c r="H13" s="25" t="s">
        <v>10</v>
      </c>
      <c r="I13" s="24"/>
      <c r="J13" s="23"/>
    </row>
    <row r="14" spans="1:10" ht="27.75" customHeight="1" x14ac:dyDescent="0.25">
      <c r="A14" s="24">
        <v>11</v>
      </c>
      <c r="B14" s="24"/>
      <c r="C14" s="24" t="s">
        <v>208</v>
      </c>
      <c r="D14" s="24" t="s">
        <v>216</v>
      </c>
      <c r="E14" s="24"/>
      <c r="F14" s="24"/>
      <c r="G14" s="24"/>
      <c r="H14" s="25" t="s">
        <v>10</v>
      </c>
      <c r="I14" s="24"/>
      <c r="J14" s="23"/>
    </row>
    <row r="15" spans="1:10" ht="27.75" customHeight="1" x14ac:dyDescent="0.25">
      <c r="A15" s="24">
        <v>12</v>
      </c>
      <c r="B15" s="24"/>
      <c r="C15" s="24" t="s">
        <v>209</v>
      </c>
      <c r="D15" s="24" t="s">
        <v>220</v>
      </c>
      <c r="E15" s="24"/>
      <c r="F15" s="24"/>
      <c r="G15" s="24"/>
      <c r="H15" s="25" t="s">
        <v>10</v>
      </c>
      <c r="I15" s="24"/>
      <c r="J15" s="23"/>
    </row>
    <row r="16" spans="1:10" ht="27.75" customHeight="1" x14ac:dyDescent="0.25">
      <c r="A16" s="24">
        <v>13</v>
      </c>
      <c r="B16" s="18" t="s">
        <v>196</v>
      </c>
      <c r="C16" s="24" t="s">
        <v>48</v>
      </c>
      <c r="D16" s="24" t="s">
        <v>216</v>
      </c>
      <c r="E16" s="24"/>
      <c r="F16" s="24"/>
      <c r="G16" s="24"/>
      <c r="H16" s="24"/>
      <c r="I16" s="25" t="s">
        <v>10</v>
      </c>
      <c r="J16" s="23"/>
    </row>
    <row r="17" spans="1:10" ht="27.75" customHeight="1" x14ac:dyDescent="0.25">
      <c r="A17" s="24">
        <v>14</v>
      </c>
      <c r="B17" s="24"/>
      <c r="C17" s="24" t="s">
        <v>210</v>
      </c>
      <c r="D17" s="24" t="s">
        <v>218</v>
      </c>
      <c r="E17" s="24"/>
      <c r="F17" s="24"/>
      <c r="G17" s="24"/>
      <c r="H17" s="24"/>
      <c r="I17" s="25" t="s">
        <v>10</v>
      </c>
      <c r="J17" s="23"/>
    </row>
    <row r="18" spans="1:10" ht="27.75" customHeight="1" x14ac:dyDescent="0.25">
      <c r="A18" s="24">
        <v>15</v>
      </c>
      <c r="B18" s="24"/>
      <c r="C18" s="24" t="s">
        <v>211</v>
      </c>
      <c r="D18" s="24" t="s">
        <v>216</v>
      </c>
      <c r="E18" s="24"/>
      <c r="F18" s="24"/>
      <c r="G18" s="24"/>
      <c r="H18" s="24"/>
      <c r="I18" s="25" t="s">
        <v>10</v>
      </c>
      <c r="J18" s="23"/>
    </row>
    <row r="19" spans="1:10" ht="27.75" customHeight="1" x14ac:dyDescent="0.25">
      <c r="A19" s="24">
        <v>16</v>
      </c>
      <c r="B19" s="24"/>
      <c r="C19" s="24" t="s">
        <v>212</v>
      </c>
      <c r="D19" s="24" t="s">
        <v>217</v>
      </c>
      <c r="E19" s="24"/>
      <c r="F19" s="24"/>
      <c r="G19" s="24"/>
      <c r="H19" s="24"/>
      <c r="I19" s="25" t="s">
        <v>10</v>
      </c>
      <c r="J19" s="23"/>
    </row>
    <row r="20" spans="1:10" ht="27.75" customHeight="1" x14ac:dyDescent="0.25">
      <c r="A20" s="24">
        <v>17</v>
      </c>
      <c r="B20" s="24"/>
      <c r="C20" s="24" t="s">
        <v>49</v>
      </c>
      <c r="D20" s="24" t="s">
        <v>216</v>
      </c>
      <c r="E20" s="24"/>
      <c r="F20" s="24"/>
      <c r="G20" s="24"/>
      <c r="H20" s="24"/>
      <c r="I20" s="25" t="s">
        <v>10</v>
      </c>
      <c r="J20" s="23"/>
    </row>
    <row r="21" spans="1:10" ht="27.75" customHeight="1" x14ac:dyDescent="0.25">
      <c r="A21" s="24">
        <v>18</v>
      </c>
      <c r="B21" s="18" t="s">
        <v>197</v>
      </c>
      <c r="C21" s="24" t="s">
        <v>213</v>
      </c>
      <c r="D21" s="24" t="s">
        <v>216</v>
      </c>
      <c r="E21" s="24"/>
      <c r="F21" s="24"/>
      <c r="G21" s="24"/>
      <c r="H21" s="24"/>
      <c r="I21" s="24"/>
      <c r="J21" s="23" t="s">
        <v>10</v>
      </c>
    </row>
    <row r="22" spans="1:10" ht="27.75" customHeight="1" x14ac:dyDescent="0.25">
      <c r="A22" s="24">
        <v>19</v>
      </c>
      <c r="B22" s="24"/>
      <c r="C22" s="24" t="s">
        <v>214</v>
      </c>
      <c r="D22" s="24" t="s">
        <v>216</v>
      </c>
      <c r="E22" s="24"/>
      <c r="F22" s="24"/>
      <c r="G22" s="24"/>
      <c r="H22" s="24"/>
      <c r="I22" s="24"/>
      <c r="J22" s="23" t="s">
        <v>10</v>
      </c>
    </row>
    <row r="23" spans="1:10" ht="27.75" customHeight="1" x14ac:dyDescent="0.25">
      <c r="A23" s="24">
        <v>20</v>
      </c>
      <c r="B23" s="24"/>
      <c r="C23" s="24" t="s">
        <v>50</v>
      </c>
      <c r="D23" s="24" t="s">
        <v>218</v>
      </c>
      <c r="E23" s="24"/>
      <c r="F23" s="24"/>
      <c r="G23" s="24"/>
      <c r="H23" s="24"/>
      <c r="I23" s="24"/>
      <c r="J23" s="23" t="s">
        <v>10</v>
      </c>
    </row>
  </sheetData>
  <mergeCells count="1">
    <mergeCell ref="A1:J1"/>
  </mergeCells>
  <phoneticPr fontId="20" type="noConversion"/>
  <dataValidations count="1">
    <dataValidation type="list" allowBlank="1" sqref="J4:J23" xr:uid="{00000000-0002-0000-0100-000000000000}">
      <formula1>"미착수,진행중,완료,지연"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1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5" customWidth="1"/>
    <col min="2" max="2" width="16" customWidth="1"/>
    <col min="3" max="3" width="16.42578125" customWidth="1"/>
    <col min="4" max="4" width="22" customWidth="1"/>
    <col min="5" max="6" width="14" customWidth="1"/>
    <col min="7" max="7" width="16" customWidth="1"/>
    <col min="8" max="8" width="14" customWidth="1"/>
    <col min="9" max="9" width="16" customWidth="1"/>
    <col min="10" max="10" width="14" customWidth="1"/>
    <col min="11" max="11" width="16" customWidth="1"/>
  </cols>
  <sheetData>
    <row r="1" spans="1:11" ht="37.5" customHeight="1" x14ac:dyDescent="0.25">
      <c r="A1" s="6" t="s">
        <v>221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5">
      <c r="A2" s="5" t="s">
        <v>222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B3" s="26" t="s">
        <v>51</v>
      </c>
      <c r="C3" s="4"/>
      <c r="D3" s="4"/>
      <c r="E3" s="26" t="s">
        <v>52</v>
      </c>
      <c r="F3" s="16"/>
      <c r="G3" s="26" t="s">
        <v>53</v>
      </c>
      <c r="H3" s="16"/>
    </row>
    <row r="5" spans="1:11" ht="25.5" x14ac:dyDescent="0.25">
      <c r="A5" s="22" t="s">
        <v>4</v>
      </c>
      <c r="B5" s="15" t="s">
        <v>54</v>
      </c>
      <c r="C5" s="15" t="s">
        <v>55</v>
      </c>
      <c r="D5" s="15" t="s">
        <v>56</v>
      </c>
      <c r="E5" s="15" t="s">
        <v>57</v>
      </c>
      <c r="F5" s="15" t="s">
        <v>58</v>
      </c>
      <c r="G5" s="15" t="s">
        <v>59</v>
      </c>
      <c r="H5" s="15" t="s">
        <v>60</v>
      </c>
      <c r="I5" s="15" t="s">
        <v>61</v>
      </c>
      <c r="J5" s="15" t="s">
        <v>62</v>
      </c>
      <c r="K5" s="15" t="s">
        <v>63</v>
      </c>
    </row>
    <row r="6" spans="1:11" ht="24.75" customHeight="1" x14ac:dyDescent="0.25">
      <c r="A6" s="24">
        <v>1</v>
      </c>
      <c r="B6" s="23" t="s">
        <v>11</v>
      </c>
      <c r="C6" s="24" t="s">
        <v>64</v>
      </c>
      <c r="D6" s="27" t="s">
        <v>65</v>
      </c>
      <c r="E6" s="27" t="s">
        <v>12</v>
      </c>
      <c r="F6" s="19" t="s">
        <v>66</v>
      </c>
      <c r="G6" s="27" t="s">
        <v>13</v>
      </c>
      <c r="H6" s="23" t="s">
        <v>14</v>
      </c>
      <c r="I6" s="28">
        <v>85000000</v>
      </c>
      <c r="J6" s="28">
        <v>42500000</v>
      </c>
      <c r="K6" s="19" t="s">
        <v>223</v>
      </c>
    </row>
    <row r="7" spans="1:11" ht="24.75" customHeight="1" x14ac:dyDescent="0.25">
      <c r="A7" s="24">
        <v>2</v>
      </c>
      <c r="B7" s="23" t="s">
        <v>15</v>
      </c>
      <c r="C7" s="24" t="s">
        <v>119</v>
      </c>
      <c r="D7" s="19" t="s">
        <v>67</v>
      </c>
      <c r="E7" s="27" t="s">
        <v>16</v>
      </c>
      <c r="F7" s="27" t="s">
        <v>17</v>
      </c>
      <c r="G7" s="27" t="s">
        <v>18</v>
      </c>
      <c r="H7" s="23" t="s">
        <v>19</v>
      </c>
      <c r="I7" s="28">
        <v>1850000</v>
      </c>
      <c r="J7" s="28">
        <v>1480000</v>
      </c>
      <c r="K7" s="19" t="s">
        <v>224</v>
      </c>
    </row>
    <row r="8" spans="1:11" ht="24.75" customHeight="1" x14ac:dyDescent="0.25">
      <c r="A8" s="24">
        <v>3</v>
      </c>
      <c r="B8" s="23" t="s">
        <v>20</v>
      </c>
      <c r="C8" s="24" t="s">
        <v>118</v>
      </c>
      <c r="D8" s="19" t="s">
        <v>68</v>
      </c>
      <c r="E8" s="27" t="s">
        <v>21</v>
      </c>
      <c r="F8" s="19" t="s">
        <v>69</v>
      </c>
      <c r="G8" s="27" t="s">
        <v>22</v>
      </c>
      <c r="H8" s="23" t="s">
        <v>23</v>
      </c>
      <c r="I8" s="28">
        <v>2800000</v>
      </c>
      <c r="J8" s="28">
        <v>1400000</v>
      </c>
      <c r="K8" s="19" t="s">
        <v>225</v>
      </c>
    </row>
    <row r="9" spans="1:11" ht="22.5" customHeight="1" x14ac:dyDescent="0.25">
      <c r="A9" s="24">
        <v>4</v>
      </c>
      <c r="B9" s="16"/>
      <c r="C9" s="16"/>
      <c r="D9" s="16"/>
      <c r="E9" s="16"/>
      <c r="F9" s="16"/>
      <c r="G9" s="16"/>
      <c r="H9" s="16"/>
      <c r="I9" s="29"/>
      <c r="J9" s="29"/>
      <c r="K9" s="16"/>
    </row>
    <row r="10" spans="1:11" ht="22.5" customHeight="1" x14ac:dyDescent="0.25">
      <c r="A10" s="24">
        <v>5</v>
      </c>
      <c r="B10" s="16"/>
      <c r="C10" s="16"/>
      <c r="D10" s="16"/>
      <c r="E10" s="16"/>
      <c r="F10" s="16"/>
      <c r="G10" s="16"/>
      <c r="H10" s="16"/>
      <c r="I10" s="29"/>
      <c r="J10" s="29"/>
      <c r="K10" s="16"/>
    </row>
    <row r="11" spans="1:11" ht="22.5" customHeight="1" x14ac:dyDescent="0.25">
      <c r="A11" s="24">
        <v>6</v>
      </c>
      <c r="B11" s="16"/>
      <c r="C11" s="16"/>
      <c r="D11" s="16"/>
      <c r="E11" s="16"/>
      <c r="F11" s="16"/>
      <c r="G11" s="16"/>
      <c r="H11" s="16"/>
      <c r="I11" s="29"/>
      <c r="J11" s="29"/>
      <c r="K11" s="16"/>
    </row>
    <row r="12" spans="1:11" ht="22.5" customHeight="1" x14ac:dyDescent="0.25">
      <c r="A12" s="24">
        <v>7</v>
      </c>
      <c r="B12" s="16"/>
      <c r="C12" s="16"/>
      <c r="D12" s="16"/>
      <c r="E12" s="16"/>
      <c r="F12" s="16"/>
      <c r="G12" s="16"/>
      <c r="H12" s="16"/>
      <c r="I12" s="29"/>
      <c r="J12" s="29"/>
      <c r="K12" s="16"/>
    </row>
    <row r="13" spans="1:11" ht="22.5" customHeight="1" x14ac:dyDescent="0.25">
      <c r="A13" s="24">
        <v>8</v>
      </c>
      <c r="B13" s="16"/>
      <c r="C13" s="16"/>
      <c r="D13" s="16"/>
      <c r="E13" s="16"/>
      <c r="F13" s="16"/>
      <c r="G13" s="16"/>
      <c r="H13" s="16"/>
      <c r="I13" s="29"/>
      <c r="J13" s="29"/>
      <c r="K13" s="16"/>
    </row>
    <row r="14" spans="1:11" ht="22.5" customHeight="1" x14ac:dyDescent="0.25">
      <c r="A14" s="24">
        <v>9</v>
      </c>
      <c r="B14" s="16"/>
      <c r="C14" s="16"/>
      <c r="D14" s="16"/>
      <c r="E14" s="16"/>
      <c r="F14" s="16"/>
      <c r="G14" s="16"/>
      <c r="H14" s="16"/>
      <c r="I14" s="29"/>
      <c r="J14" s="29"/>
      <c r="K14" s="16"/>
    </row>
    <row r="15" spans="1:11" ht="22.5" customHeight="1" x14ac:dyDescent="0.25">
      <c r="A15" s="24">
        <v>10</v>
      </c>
      <c r="B15" s="16"/>
      <c r="C15" s="16"/>
      <c r="D15" s="16"/>
      <c r="E15" s="16"/>
      <c r="F15" s="16"/>
      <c r="G15" s="16"/>
      <c r="H15" s="16"/>
      <c r="I15" s="29"/>
      <c r="J15" s="29"/>
      <c r="K15" s="16"/>
    </row>
    <row r="16" spans="1:11" ht="22.5" customHeight="1" x14ac:dyDescent="0.25">
      <c r="A16" s="24">
        <v>11</v>
      </c>
      <c r="B16" s="16"/>
      <c r="C16" s="16"/>
      <c r="D16" s="16"/>
      <c r="E16" s="16"/>
      <c r="F16" s="16"/>
      <c r="G16" s="16"/>
      <c r="H16" s="16"/>
      <c r="I16" s="29"/>
      <c r="J16" s="29"/>
      <c r="K16" s="16"/>
    </row>
    <row r="17" spans="1:11" ht="22.5" customHeight="1" x14ac:dyDescent="0.25">
      <c r="A17" s="24">
        <v>12</v>
      </c>
      <c r="B17" s="16"/>
      <c r="C17" s="16"/>
      <c r="D17" s="16"/>
      <c r="E17" s="16"/>
      <c r="F17" s="16"/>
      <c r="G17" s="16"/>
      <c r="H17" s="16"/>
      <c r="I17" s="29"/>
      <c r="J17" s="29"/>
      <c r="K17" s="16"/>
    </row>
    <row r="18" spans="1:11" ht="22.5" customHeight="1" x14ac:dyDescent="0.25">
      <c r="A18" s="24">
        <v>13</v>
      </c>
      <c r="B18" s="16"/>
      <c r="C18" s="16"/>
      <c r="D18" s="16"/>
      <c r="E18" s="16"/>
      <c r="F18" s="16"/>
      <c r="G18" s="16"/>
      <c r="H18" s="16"/>
      <c r="I18" s="29"/>
      <c r="J18" s="29"/>
      <c r="K18" s="16"/>
    </row>
    <row r="19" spans="1:11" ht="22.5" customHeight="1" x14ac:dyDescent="0.25">
      <c r="A19" s="24">
        <v>14</v>
      </c>
      <c r="B19" s="16"/>
      <c r="C19" s="16"/>
      <c r="D19" s="16"/>
      <c r="E19" s="16"/>
      <c r="F19" s="16"/>
      <c r="G19" s="16"/>
      <c r="H19" s="16"/>
      <c r="I19" s="29"/>
      <c r="J19" s="29"/>
      <c r="K19" s="16"/>
    </row>
    <row r="20" spans="1:11" ht="22.5" customHeight="1" x14ac:dyDescent="0.25">
      <c r="A20" s="24">
        <v>15</v>
      </c>
      <c r="B20" s="16"/>
      <c r="C20" s="16"/>
      <c r="D20" s="16"/>
      <c r="E20" s="16"/>
      <c r="F20" s="16"/>
      <c r="G20" s="16"/>
      <c r="H20" s="16"/>
      <c r="I20" s="29"/>
      <c r="J20" s="29"/>
      <c r="K20" s="16"/>
    </row>
    <row r="21" spans="1:11" ht="22.5" customHeight="1" x14ac:dyDescent="0.25">
      <c r="A21" s="24">
        <v>16</v>
      </c>
      <c r="B21" s="16"/>
      <c r="C21" s="16"/>
      <c r="D21" s="16"/>
      <c r="E21" s="16"/>
      <c r="F21" s="16"/>
      <c r="G21" s="16"/>
      <c r="H21" s="16"/>
      <c r="I21" s="29"/>
      <c r="J21" s="29"/>
      <c r="K21" s="16"/>
    </row>
    <row r="22" spans="1:11" ht="22.5" customHeight="1" x14ac:dyDescent="0.25">
      <c r="A22" s="24">
        <v>17</v>
      </c>
      <c r="B22" s="16"/>
      <c r="C22" s="16"/>
      <c r="D22" s="16"/>
      <c r="E22" s="16"/>
      <c r="F22" s="16"/>
      <c r="G22" s="16"/>
      <c r="H22" s="16"/>
      <c r="I22" s="29"/>
      <c r="J22" s="29"/>
      <c r="K22" s="16"/>
    </row>
    <row r="23" spans="1:11" ht="22.5" customHeight="1" x14ac:dyDescent="0.25">
      <c r="A23" s="24">
        <v>18</v>
      </c>
      <c r="B23" s="16"/>
      <c r="C23" s="16"/>
      <c r="D23" s="16"/>
      <c r="E23" s="16"/>
      <c r="F23" s="16"/>
      <c r="G23" s="16"/>
      <c r="H23" s="16"/>
      <c r="I23" s="29"/>
      <c r="J23" s="29"/>
      <c r="K23" s="16"/>
    </row>
    <row r="24" spans="1:11" ht="22.5" customHeight="1" x14ac:dyDescent="0.25">
      <c r="A24" s="24">
        <v>19</v>
      </c>
      <c r="B24" s="16"/>
      <c r="C24" s="16"/>
      <c r="D24" s="16"/>
      <c r="E24" s="16"/>
      <c r="F24" s="16"/>
      <c r="G24" s="16"/>
      <c r="H24" s="16"/>
      <c r="I24" s="29"/>
      <c r="J24" s="29"/>
      <c r="K24" s="16"/>
    </row>
    <row r="25" spans="1:11" ht="22.5" customHeight="1" x14ac:dyDescent="0.25">
      <c r="A25" s="24">
        <v>20</v>
      </c>
      <c r="B25" s="16"/>
      <c r="C25" s="16"/>
      <c r="D25" s="16"/>
      <c r="E25" s="16"/>
      <c r="F25" s="16"/>
      <c r="G25" s="16"/>
      <c r="H25" s="16"/>
      <c r="I25" s="29"/>
      <c r="J25" s="29"/>
      <c r="K25" s="16"/>
    </row>
    <row r="26" spans="1:11" ht="22.5" customHeight="1" x14ac:dyDescent="0.25">
      <c r="A26" s="24">
        <v>21</v>
      </c>
      <c r="B26" s="16"/>
      <c r="C26" s="16"/>
      <c r="D26" s="16"/>
      <c r="E26" s="16"/>
      <c r="F26" s="16"/>
      <c r="G26" s="16"/>
      <c r="H26" s="16"/>
      <c r="I26" s="29"/>
      <c r="J26" s="29"/>
      <c r="K26" s="16"/>
    </row>
    <row r="27" spans="1:11" ht="22.5" customHeight="1" x14ac:dyDescent="0.25">
      <c r="A27" s="24">
        <v>22</v>
      </c>
      <c r="B27" s="16"/>
      <c r="C27" s="16"/>
      <c r="D27" s="16"/>
      <c r="E27" s="16"/>
      <c r="F27" s="16"/>
      <c r="G27" s="16"/>
      <c r="H27" s="16"/>
      <c r="I27" s="29"/>
      <c r="J27" s="29"/>
      <c r="K27" s="16"/>
    </row>
    <row r="28" spans="1:11" ht="22.5" customHeight="1" x14ac:dyDescent="0.25">
      <c r="A28" s="24">
        <v>23</v>
      </c>
      <c r="B28" s="16"/>
      <c r="C28" s="16"/>
      <c r="D28" s="16"/>
      <c r="E28" s="16"/>
      <c r="F28" s="16"/>
      <c r="G28" s="16"/>
      <c r="H28" s="16"/>
      <c r="I28" s="29"/>
      <c r="J28" s="29"/>
      <c r="K28" s="16"/>
    </row>
    <row r="29" spans="1:11" ht="22.5" customHeight="1" x14ac:dyDescent="0.25">
      <c r="A29" s="24">
        <v>24</v>
      </c>
      <c r="B29" s="16"/>
      <c r="C29" s="16"/>
      <c r="D29" s="16"/>
      <c r="E29" s="16"/>
      <c r="F29" s="16"/>
      <c r="G29" s="16"/>
      <c r="H29" s="16"/>
      <c r="I29" s="29"/>
      <c r="J29" s="29"/>
      <c r="K29" s="16"/>
    </row>
    <row r="30" spans="1:11" ht="22.5" customHeight="1" x14ac:dyDescent="0.25">
      <c r="A30" s="24">
        <v>25</v>
      </c>
      <c r="B30" s="16"/>
      <c r="C30" s="16"/>
      <c r="D30" s="16"/>
      <c r="E30" s="16"/>
      <c r="F30" s="16"/>
      <c r="G30" s="16"/>
      <c r="H30" s="16"/>
      <c r="I30" s="29"/>
      <c r="J30" s="29"/>
      <c r="K30" s="16"/>
    </row>
    <row r="31" spans="1:11" ht="15" customHeight="1" x14ac:dyDescent="0.25">
      <c r="A31" s="3" t="s">
        <v>70</v>
      </c>
      <c r="B31" s="3"/>
      <c r="C31" s="3"/>
      <c r="D31" s="31"/>
      <c r="E31" s="31"/>
      <c r="F31" s="31"/>
      <c r="G31" s="31"/>
      <c r="H31" s="31"/>
      <c r="I31" s="32">
        <f>SUM(I6:I30)</f>
        <v>89650000</v>
      </c>
      <c r="J31" s="32">
        <f>SUM(J6:J30)</f>
        <v>45380000</v>
      </c>
      <c r="K31" s="31"/>
    </row>
  </sheetData>
  <mergeCells count="4">
    <mergeCell ref="A1:K1"/>
    <mergeCell ref="A2:K2"/>
    <mergeCell ref="C3:D3"/>
    <mergeCell ref="A31:C31"/>
  </mergeCells>
  <phoneticPr fontId="20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6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5" customWidth="1"/>
    <col min="2" max="2" width="16" customWidth="1"/>
    <col min="3" max="3" width="22" customWidth="1"/>
    <col min="4" max="4" width="14" customWidth="1"/>
    <col min="5" max="6" width="10" customWidth="1"/>
    <col min="7" max="8" width="14" customWidth="1"/>
    <col min="9" max="9" width="12" customWidth="1"/>
    <col min="10" max="10" width="20" customWidth="1"/>
  </cols>
  <sheetData>
    <row r="1" spans="1:10" ht="37.5" customHeight="1" x14ac:dyDescent="0.25">
      <c r="A1" s="6" t="s">
        <v>226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5" t="s">
        <v>227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B3" s="26" t="s">
        <v>228</v>
      </c>
      <c r="C3" s="16"/>
      <c r="D3" s="26" t="s">
        <v>71</v>
      </c>
      <c r="E3" s="16"/>
      <c r="F3" s="26" t="s">
        <v>72</v>
      </c>
      <c r="G3" s="16"/>
      <c r="H3" s="26" t="s">
        <v>235</v>
      </c>
      <c r="I3" s="16"/>
    </row>
    <row r="5" spans="1:10" ht="51" x14ac:dyDescent="0.25">
      <c r="A5" s="22" t="s">
        <v>4</v>
      </c>
      <c r="B5" s="15" t="s">
        <v>54</v>
      </c>
      <c r="C5" s="15" t="s">
        <v>56</v>
      </c>
      <c r="D5" s="15" t="s">
        <v>57</v>
      </c>
      <c r="E5" s="15" t="s">
        <v>231</v>
      </c>
      <c r="F5" s="15" t="s">
        <v>233</v>
      </c>
      <c r="G5" s="15" t="s">
        <v>234</v>
      </c>
      <c r="H5" s="15" t="s">
        <v>236</v>
      </c>
      <c r="I5" s="15" t="s">
        <v>73</v>
      </c>
      <c r="J5" s="15" t="s">
        <v>237</v>
      </c>
    </row>
    <row r="6" spans="1:10" ht="24.75" customHeight="1" x14ac:dyDescent="0.25">
      <c r="A6" s="24">
        <v>1</v>
      </c>
      <c r="B6" s="23" t="s">
        <v>11</v>
      </c>
      <c r="C6" s="23" t="s">
        <v>65</v>
      </c>
      <c r="D6" s="23" t="s">
        <v>12</v>
      </c>
      <c r="E6" s="27"/>
      <c r="F6" s="19"/>
      <c r="G6" s="19"/>
      <c r="H6" s="27"/>
      <c r="I6" s="19"/>
      <c r="J6" s="19"/>
    </row>
    <row r="7" spans="1:10" ht="24.75" customHeight="1" x14ac:dyDescent="0.25">
      <c r="A7" s="24">
        <v>2</v>
      </c>
      <c r="B7" s="23" t="s">
        <v>15</v>
      </c>
      <c r="C7" s="24" t="s">
        <v>67</v>
      </c>
      <c r="D7" s="23" t="s">
        <v>16</v>
      </c>
      <c r="E7" s="27"/>
      <c r="F7" s="19"/>
      <c r="G7" s="19"/>
      <c r="H7" s="27"/>
      <c r="I7" s="19"/>
      <c r="J7" s="19"/>
    </row>
    <row r="8" spans="1:10" ht="24.75" customHeight="1" x14ac:dyDescent="0.25">
      <c r="A8" s="24">
        <v>3</v>
      </c>
      <c r="B8" s="23" t="s">
        <v>20</v>
      </c>
      <c r="C8" s="24" t="s">
        <v>68</v>
      </c>
      <c r="D8" s="23" t="s">
        <v>21</v>
      </c>
      <c r="E8" s="27"/>
      <c r="F8" s="19"/>
      <c r="G8" s="19"/>
      <c r="H8" s="27"/>
      <c r="I8" s="19"/>
      <c r="J8" s="19"/>
    </row>
    <row r="9" spans="1:10" ht="22.5" customHeight="1" x14ac:dyDescent="0.25">
      <c r="A9" s="24">
        <v>4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ht="22.5" customHeight="1" x14ac:dyDescent="0.25">
      <c r="A10" s="24">
        <v>5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2.5" customHeight="1" x14ac:dyDescent="0.25">
      <c r="A11" s="24">
        <v>6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2.5" customHeight="1" x14ac:dyDescent="0.25">
      <c r="A12" s="24">
        <v>7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2.5" customHeight="1" x14ac:dyDescent="0.25">
      <c r="A13" s="24">
        <v>8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2.5" customHeight="1" x14ac:dyDescent="0.25">
      <c r="A14" s="24">
        <v>9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2.5" customHeight="1" x14ac:dyDescent="0.25">
      <c r="A15" s="24">
        <v>10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2.5" customHeight="1" x14ac:dyDescent="0.25">
      <c r="A16" s="24">
        <v>11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2.5" customHeight="1" x14ac:dyDescent="0.25">
      <c r="A17" s="24">
        <v>12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22.5" customHeight="1" x14ac:dyDescent="0.25">
      <c r="A18" s="24">
        <v>13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2.5" customHeight="1" x14ac:dyDescent="0.25">
      <c r="A19" s="24">
        <v>14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2.5" customHeight="1" x14ac:dyDescent="0.25">
      <c r="A20" s="24">
        <v>15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2.5" customHeight="1" x14ac:dyDescent="0.25">
      <c r="A21" s="24">
        <v>16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22.5" customHeight="1" x14ac:dyDescent="0.25">
      <c r="A22" s="24">
        <v>17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ht="22.5" customHeight="1" x14ac:dyDescent="0.25">
      <c r="A23" s="24">
        <v>18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22.5" customHeight="1" x14ac:dyDescent="0.25">
      <c r="A24" s="24">
        <v>19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22.5" customHeight="1" x14ac:dyDescent="0.25">
      <c r="A25" s="24">
        <v>20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ht="22.5" customHeight="1" x14ac:dyDescent="0.25">
      <c r="A26" s="24">
        <v>21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ht="22.5" customHeight="1" x14ac:dyDescent="0.25">
      <c r="A27" s="24">
        <v>22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ht="22.5" customHeight="1" x14ac:dyDescent="0.25">
      <c r="A28" s="24">
        <v>23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ht="22.5" customHeight="1" x14ac:dyDescent="0.25">
      <c r="A29" s="24">
        <v>24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ht="22.5" customHeight="1" x14ac:dyDescent="0.25">
      <c r="A30" s="24">
        <v>25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ht="15" customHeight="1" x14ac:dyDescent="0.25">
      <c r="A31" s="3" t="s">
        <v>74</v>
      </c>
      <c r="B31" s="3"/>
      <c r="C31" s="3"/>
      <c r="D31" s="30" t="s">
        <v>230</v>
      </c>
      <c r="E31" s="30" t="s">
        <v>232</v>
      </c>
      <c r="F31" s="30" t="s">
        <v>116</v>
      </c>
      <c r="G31" s="16"/>
      <c r="H31" s="16"/>
      <c r="I31" s="16"/>
      <c r="J31" s="16"/>
    </row>
    <row r="32" spans="1:10" ht="15" customHeight="1" x14ac:dyDescent="0.25">
      <c r="A32" s="2" t="s">
        <v>75</v>
      </c>
      <c r="B32" s="2"/>
      <c r="C32" s="2"/>
      <c r="D32" s="17">
        <f>COUNTA(B6:B30)</f>
        <v>3</v>
      </c>
      <c r="E32" s="17">
        <f>COUNTIF(E6:E30,"확인")</f>
        <v>0</v>
      </c>
      <c r="F32" s="17">
        <f>COUNTIF(E6:E30,"확인불가*")</f>
        <v>0</v>
      </c>
      <c r="G32" s="17"/>
      <c r="H32" s="17"/>
      <c r="I32" s="17"/>
      <c r="J32" s="17"/>
    </row>
    <row r="34" spans="2:7" x14ac:dyDescent="0.25">
      <c r="B34" s="1" t="s">
        <v>229</v>
      </c>
      <c r="C34" s="1"/>
      <c r="D34" s="1"/>
    </row>
    <row r="36" spans="2:7" x14ac:dyDescent="0.25">
      <c r="B36" s="1" t="s">
        <v>25</v>
      </c>
      <c r="C36" s="1"/>
      <c r="D36" s="1" t="s">
        <v>26</v>
      </c>
      <c r="E36" s="1"/>
      <c r="F36" s="1" t="s">
        <v>27</v>
      </c>
      <c r="G36" s="1"/>
    </row>
  </sheetData>
  <mergeCells count="8">
    <mergeCell ref="B36:C36"/>
    <mergeCell ref="D36:E36"/>
    <mergeCell ref="F36:G36"/>
    <mergeCell ref="A1:J1"/>
    <mergeCell ref="A2:J2"/>
    <mergeCell ref="A31:C31"/>
    <mergeCell ref="A32:C32"/>
    <mergeCell ref="B34:D34"/>
  </mergeCells>
  <phoneticPr fontId="20" type="noConversion"/>
  <dataValidations count="2">
    <dataValidation type="list" allowBlank="1" sqref="E6:E30" xr:uid="{00000000-0002-0000-0300-000000000000}">
      <formula1>"확인,확인불가(분실),확인불가(폐기),확인불가(이동),확인불가(기타)"</formula1>
      <formula2>0</formula2>
    </dataValidation>
    <dataValidation type="list" allowBlank="1" sqref="H6:H30" xr:uid="{00000000-0002-0000-0300-000001000000}">
      <formula1>"A(양호),B(보통),C(불량-수리필요),D(폐기대상)"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9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5" customWidth="1"/>
    <col min="2" max="2" width="16" customWidth="1"/>
    <col min="3" max="3" width="20" customWidth="1"/>
    <col min="4" max="5" width="12" customWidth="1"/>
    <col min="6" max="7" width="14" customWidth="1"/>
    <col min="8" max="9" width="22" customWidth="1"/>
    <col min="10" max="11" width="14" customWidth="1"/>
  </cols>
  <sheetData>
    <row r="1" spans="1:11" ht="37.5" customHeight="1" x14ac:dyDescent="0.25">
      <c r="A1" s="6" t="s">
        <v>238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5">
      <c r="A2" s="5" t="s">
        <v>239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38.25" x14ac:dyDescent="0.25">
      <c r="A4" s="22" t="s">
        <v>4</v>
      </c>
      <c r="B4" s="15" t="s">
        <v>54</v>
      </c>
      <c r="C4" s="15" t="s">
        <v>56</v>
      </c>
      <c r="D4" s="15" t="s">
        <v>62</v>
      </c>
      <c r="E4" s="15" t="s">
        <v>76</v>
      </c>
      <c r="F4" s="15" t="s">
        <v>77</v>
      </c>
      <c r="G4" s="15" t="s">
        <v>244</v>
      </c>
      <c r="H4" s="15" t="s">
        <v>245</v>
      </c>
      <c r="I4" s="15" t="s">
        <v>125</v>
      </c>
      <c r="J4" s="15" t="s">
        <v>78</v>
      </c>
      <c r="K4" s="15" t="s">
        <v>79</v>
      </c>
    </row>
    <row r="5" spans="1:11" ht="24.75" customHeight="1" x14ac:dyDescent="0.25">
      <c r="A5" s="24">
        <v>1</v>
      </c>
      <c r="B5" s="34"/>
      <c r="C5" s="34"/>
      <c r="D5" s="35"/>
      <c r="E5" s="36"/>
      <c r="F5" s="36"/>
      <c r="G5" s="36"/>
      <c r="H5" s="36"/>
      <c r="I5" s="36"/>
      <c r="J5" s="36"/>
      <c r="K5" s="36"/>
    </row>
    <row r="6" spans="1:11" ht="24.75" customHeight="1" x14ac:dyDescent="0.25">
      <c r="A6" s="24">
        <v>2</v>
      </c>
      <c r="B6" s="34"/>
      <c r="C6" s="34"/>
      <c r="D6" s="35"/>
      <c r="E6" s="36"/>
      <c r="F6" s="36"/>
      <c r="G6" s="36"/>
      <c r="H6" s="36"/>
      <c r="I6" s="36"/>
      <c r="J6" s="36"/>
      <c r="K6" s="36"/>
    </row>
    <row r="7" spans="1:11" ht="24.75" customHeight="1" x14ac:dyDescent="0.25">
      <c r="A7" s="24">
        <v>3</v>
      </c>
      <c r="B7" s="34"/>
      <c r="C7" s="34"/>
      <c r="D7" s="35"/>
      <c r="E7" s="36"/>
      <c r="F7" s="36"/>
      <c r="G7" s="36"/>
      <c r="H7" s="36"/>
      <c r="I7" s="36"/>
      <c r="J7" s="36"/>
      <c r="K7" s="36"/>
    </row>
    <row r="8" spans="1:11" ht="24.75" customHeight="1" x14ac:dyDescent="0.25">
      <c r="A8" s="24">
        <v>4</v>
      </c>
      <c r="B8" s="34"/>
      <c r="C8" s="34"/>
      <c r="D8" s="35"/>
      <c r="E8" s="36"/>
      <c r="F8" s="36"/>
      <c r="G8" s="36"/>
      <c r="H8" s="36"/>
      <c r="I8" s="36"/>
      <c r="J8" s="36"/>
      <c r="K8" s="36"/>
    </row>
    <row r="9" spans="1:11" ht="24.75" customHeight="1" x14ac:dyDescent="0.25">
      <c r="A9" s="24">
        <v>5</v>
      </c>
      <c r="B9" s="34"/>
      <c r="C9" s="34"/>
      <c r="D9" s="35"/>
      <c r="E9" s="36"/>
      <c r="F9" s="36"/>
      <c r="G9" s="36"/>
      <c r="H9" s="36"/>
      <c r="I9" s="36"/>
      <c r="J9" s="36"/>
      <c r="K9" s="36"/>
    </row>
    <row r="10" spans="1:11" ht="24.75" customHeight="1" x14ac:dyDescent="0.25">
      <c r="A10" s="24">
        <v>6</v>
      </c>
      <c r="B10" s="34"/>
      <c r="C10" s="34"/>
      <c r="D10" s="35"/>
      <c r="E10" s="36"/>
      <c r="F10" s="36"/>
      <c r="G10" s="36"/>
      <c r="H10" s="36"/>
      <c r="I10" s="36"/>
      <c r="J10" s="36"/>
      <c r="K10" s="36"/>
    </row>
    <row r="11" spans="1:11" ht="24.75" customHeight="1" x14ac:dyDescent="0.25">
      <c r="A11" s="24">
        <v>7</v>
      </c>
      <c r="B11" s="34"/>
      <c r="C11" s="34"/>
      <c r="D11" s="35"/>
      <c r="E11" s="36"/>
      <c r="F11" s="36"/>
      <c r="G11" s="36"/>
      <c r="H11" s="36"/>
      <c r="I11" s="36"/>
      <c r="J11" s="36"/>
      <c r="K11" s="36"/>
    </row>
    <row r="12" spans="1:11" ht="24.75" customHeight="1" x14ac:dyDescent="0.25">
      <c r="A12" s="24">
        <v>8</v>
      </c>
      <c r="B12" s="34"/>
      <c r="C12" s="34"/>
      <c r="D12" s="35"/>
      <c r="E12" s="36"/>
      <c r="F12" s="36"/>
      <c r="G12" s="36"/>
      <c r="H12" s="36"/>
      <c r="I12" s="36"/>
      <c r="J12" s="36"/>
      <c r="K12" s="36"/>
    </row>
    <row r="13" spans="1:11" ht="24.75" customHeight="1" x14ac:dyDescent="0.25">
      <c r="A13" s="24">
        <v>9</v>
      </c>
      <c r="B13" s="34"/>
      <c r="C13" s="34"/>
      <c r="D13" s="35"/>
      <c r="E13" s="36"/>
      <c r="F13" s="36"/>
      <c r="G13" s="36"/>
      <c r="H13" s="36"/>
      <c r="I13" s="36"/>
      <c r="J13" s="36"/>
      <c r="K13" s="36"/>
    </row>
    <row r="14" spans="1:11" ht="24.75" customHeight="1" x14ac:dyDescent="0.25">
      <c r="A14" s="24">
        <v>10</v>
      </c>
      <c r="B14" s="34"/>
      <c r="C14" s="34"/>
      <c r="D14" s="35"/>
      <c r="E14" s="36"/>
      <c r="F14" s="36"/>
      <c r="G14" s="36"/>
      <c r="H14" s="36"/>
      <c r="I14" s="36"/>
      <c r="J14" s="36"/>
      <c r="K14" s="36"/>
    </row>
    <row r="15" spans="1:11" ht="24.75" customHeight="1" x14ac:dyDescent="0.25">
      <c r="A15" s="24">
        <v>11</v>
      </c>
      <c r="B15" s="34"/>
      <c r="C15" s="34"/>
      <c r="D15" s="35"/>
      <c r="E15" s="36"/>
      <c r="F15" s="36"/>
      <c r="G15" s="36"/>
      <c r="H15" s="36"/>
      <c r="I15" s="36"/>
      <c r="J15" s="36"/>
      <c r="K15" s="36"/>
    </row>
    <row r="16" spans="1:11" ht="24.75" customHeight="1" x14ac:dyDescent="0.25">
      <c r="A16" s="24">
        <v>12</v>
      </c>
      <c r="B16" s="34"/>
      <c r="C16" s="34"/>
      <c r="D16" s="35"/>
      <c r="E16" s="36"/>
      <c r="F16" s="36"/>
      <c r="G16" s="36"/>
      <c r="H16" s="36"/>
      <c r="I16" s="36"/>
      <c r="J16" s="36"/>
      <c r="K16" s="36"/>
    </row>
    <row r="17" spans="1:11" ht="24.75" customHeight="1" x14ac:dyDescent="0.25">
      <c r="A17" s="24">
        <v>13</v>
      </c>
      <c r="B17" s="34"/>
      <c r="C17" s="34"/>
      <c r="D17" s="35"/>
      <c r="E17" s="36"/>
      <c r="F17" s="36"/>
      <c r="G17" s="36"/>
      <c r="H17" s="36"/>
      <c r="I17" s="36"/>
      <c r="J17" s="36"/>
      <c r="K17" s="36"/>
    </row>
    <row r="18" spans="1:11" ht="24.75" customHeight="1" x14ac:dyDescent="0.25">
      <c r="A18" s="24">
        <v>14</v>
      </c>
      <c r="B18" s="34"/>
      <c r="C18" s="34"/>
      <c r="D18" s="35"/>
      <c r="E18" s="36"/>
      <c r="F18" s="36"/>
      <c r="G18" s="36"/>
      <c r="H18" s="36"/>
      <c r="I18" s="36"/>
      <c r="J18" s="36"/>
      <c r="K18" s="36"/>
    </row>
    <row r="19" spans="1:11" ht="24.75" customHeight="1" x14ac:dyDescent="0.25">
      <c r="A19" s="24">
        <v>15</v>
      </c>
      <c r="B19" s="34"/>
      <c r="C19" s="34"/>
      <c r="D19" s="35"/>
      <c r="E19" s="36"/>
      <c r="F19" s="36"/>
      <c r="G19" s="36"/>
      <c r="H19" s="36"/>
      <c r="I19" s="36"/>
      <c r="J19" s="36"/>
      <c r="K19" s="36"/>
    </row>
    <row r="20" spans="1:11" ht="24.75" customHeight="1" x14ac:dyDescent="0.25">
      <c r="A20" s="24">
        <v>16</v>
      </c>
      <c r="B20" s="34"/>
      <c r="C20" s="34"/>
      <c r="D20" s="35"/>
      <c r="E20" s="36"/>
      <c r="F20" s="36"/>
      <c r="G20" s="36"/>
      <c r="H20" s="36"/>
      <c r="I20" s="36"/>
      <c r="J20" s="36"/>
      <c r="K20" s="36"/>
    </row>
    <row r="21" spans="1:11" ht="24.75" customHeight="1" x14ac:dyDescent="0.25">
      <c r="A21" s="24">
        <v>17</v>
      </c>
      <c r="B21" s="34"/>
      <c r="C21" s="34"/>
      <c r="D21" s="35"/>
      <c r="E21" s="36"/>
      <c r="F21" s="36"/>
      <c r="G21" s="36"/>
      <c r="H21" s="36"/>
      <c r="I21" s="36"/>
      <c r="J21" s="36"/>
      <c r="K21" s="36"/>
    </row>
    <row r="22" spans="1:11" ht="24.75" customHeight="1" x14ac:dyDescent="0.25">
      <c r="A22" s="24">
        <v>18</v>
      </c>
      <c r="B22" s="34"/>
      <c r="C22" s="34"/>
      <c r="D22" s="35"/>
      <c r="E22" s="36"/>
      <c r="F22" s="36"/>
      <c r="G22" s="36"/>
      <c r="H22" s="36"/>
      <c r="I22" s="36"/>
      <c r="J22" s="36"/>
      <c r="K22" s="36"/>
    </row>
    <row r="23" spans="1:11" ht="24.75" customHeight="1" x14ac:dyDescent="0.25">
      <c r="A23" s="24">
        <v>19</v>
      </c>
      <c r="B23" s="34"/>
      <c r="C23" s="34"/>
      <c r="D23" s="35"/>
      <c r="E23" s="36"/>
      <c r="F23" s="36"/>
      <c r="G23" s="36"/>
      <c r="H23" s="36"/>
      <c r="I23" s="36"/>
      <c r="J23" s="36"/>
      <c r="K23" s="36"/>
    </row>
    <row r="24" spans="1:11" ht="24.75" customHeight="1" x14ac:dyDescent="0.25">
      <c r="A24" s="24">
        <v>20</v>
      </c>
      <c r="B24" s="34"/>
      <c r="C24" s="34"/>
      <c r="D24" s="35"/>
      <c r="E24" s="36"/>
      <c r="F24" s="36"/>
      <c r="G24" s="36"/>
      <c r="H24" s="36"/>
      <c r="I24" s="36"/>
      <c r="J24" s="36"/>
      <c r="K24" s="36"/>
    </row>
    <row r="25" spans="1:11" ht="24.75" customHeight="1" x14ac:dyDescent="0.25">
      <c r="A25" s="24">
        <v>21</v>
      </c>
      <c r="B25" s="34"/>
      <c r="C25" s="34"/>
      <c r="D25" s="35"/>
      <c r="E25" s="36"/>
      <c r="F25" s="36"/>
      <c r="G25" s="36"/>
      <c r="H25" s="36"/>
      <c r="I25" s="36"/>
      <c r="J25" s="36"/>
      <c r="K25" s="36"/>
    </row>
    <row r="26" spans="1:11" ht="24.75" customHeight="1" x14ac:dyDescent="0.25">
      <c r="A26" s="24">
        <v>22</v>
      </c>
      <c r="B26" s="34"/>
      <c r="C26" s="34"/>
      <c r="D26" s="35"/>
      <c r="E26" s="36"/>
      <c r="F26" s="36"/>
      <c r="G26" s="36"/>
      <c r="H26" s="36"/>
      <c r="I26" s="36"/>
      <c r="J26" s="36"/>
      <c r="K26" s="36"/>
    </row>
    <row r="27" spans="1:11" ht="24.75" customHeight="1" x14ac:dyDescent="0.25">
      <c r="A27" s="24">
        <v>23</v>
      </c>
      <c r="B27" s="34"/>
      <c r="C27" s="34"/>
      <c r="D27" s="35"/>
      <c r="E27" s="36"/>
      <c r="F27" s="36"/>
      <c r="G27" s="36"/>
      <c r="H27" s="36"/>
      <c r="I27" s="36"/>
      <c r="J27" s="36"/>
      <c r="K27" s="36"/>
    </row>
    <row r="28" spans="1:11" ht="24.75" customHeight="1" x14ac:dyDescent="0.25">
      <c r="A28" s="24">
        <v>24</v>
      </c>
      <c r="B28" s="34"/>
      <c r="C28" s="34"/>
      <c r="D28" s="35"/>
      <c r="E28" s="36"/>
      <c r="F28" s="36"/>
      <c r="G28" s="36"/>
      <c r="H28" s="36"/>
      <c r="I28" s="36"/>
      <c r="J28" s="36"/>
      <c r="K28" s="36"/>
    </row>
    <row r="29" spans="1:11" ht="24.75" customHeight="1" x14ac:dyDescent="0.25">
      <c r="A29" s="24">
        <v>25</v>
      </c>
      <c r="B29" s="34"/>
      <c r="C29" s="34"/>
      <c r="D29" s="35"/>
      <c r="E29" s="36"/>
      <c r="F29" s="36"/>
      <c r="G29" s="36"/>
      <c r="H29" s="36"/>
      <c r="I29" s="36"/>
      <c r="J29" s="36"/>
      <c r="K29" s="36"/>
    </row>
    <row r="31" spans="1:11" ht="15.75" x14ac:dyDescent="0.25">
      <c r="A31" s="51" t="s">
        <v>80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32" spans="1:11" ht="38.25" x14ac:dyDescent="0.25">
      <c r="B32" s="15" t="s">
        <v>77</v>
      </c>
      <c r="C32" s="15" t="s">
        <v>75</v>
      </c>
      <c r="D32" s="15" t="s">
        <v>243</v>
      </c>
      <c r="E32" s="15" t="s">
        <v>81</v>
      </c>
      <c r="F32" s="16"/>
    </row>
    <row r="33" spans="2:5" ht="24" customHeight="1" x14ac:dyDescent="0.25">
      <c r="B33" s="19" t="s">
        <v>240</v>
      </c>
      <c r="C33" s="24">
        <f>COUNTIF(F5:F29,"분실(현물없음)")</f>
        <v>0</v>
      </c>
      <c r="D33" s="37"/>
      <c r="E33" s="38"/>
    </row>
    <row r="34" spans="2:5" ht="24" customHeight="1" x14ac:dyDescent="0.25">
      <c r="B34" s="19" t="s">
        <v>241</v>
      </c>
      <c r="C34" s="24">
        <f>COUNTIF(F5:F29,"미등록(장부없음)")</f>
        <v>0</v>
      </c>
      <c r="D34" s="37"/>
      <c r="E34" s="38"/>
    </row>
    <row r="35" spans="2:5" ht="24" customHeight="1" x14ac:dyDescent="0.25">
      <c r="B35" s="19" t="s">
        <v>242</v>
      </c>
      <c r="C35" s="24">
        <f>COUNTIF(F5:F29,"위치상이")</f>
        <v>0</v>
      </c>
      <c r="D35" s="37"/>
      <c r="E35" s="38"/>
    </row>
    <row r="36" spans="2:5" ht="24" customHeight="1" x14ac:dyDescent="0.25">
      <c r="B36" s="19" t="s">
        <v>28</v>
      </c>
      <c r="C36" s="24">
        <f>COUNTIF(F5:F29,"상태변경")</f>
        <v>0</v>
      </c>
      <c r="D36" s="37"/>
      <c r="E36" s="38"/>
    </row>
    <row r="37" spans="2:5" ht="24" customHeight="1" x14ac:dyDescent="0.25">
      <c r="B37" s="19" t="s">
        <v>29</v>
      </c>
      <c r="C37" s="24">
        <f>COUNTIF(F5:F29,"수량차이")</f>
        <v>0</v>
      </c>
      <c r="D37" s="37"/>
      <c r="E37" s="38"/>
    </row>
    <row r="38" spans="2:5" ht="24" customHeight="1" x14ac:dyDescent="0.25">
      <c r="B38" s="19" t="s">
        <v>30</v>
      </c>
      <c r="C38" s="24">
        <f>COUNTIF(F5:F29,"폐기대상")</f>
        <v>0</v>
      </c>
      <c r="D38" s="37"/>
      <c r="E38" s="38"/>
    </row>
    <row r="39" spans="2:5" x14ac:dyDescent="0.25">
      <c r="B39" s="39" t="s">
        <v>24</v>
      </c>
      <c r="C39" s="31">
        <f>SUM(C33:C38)</f>
        <v>0</v>
      </c>
      <c r="D39" s="32">
        <f>SUM(D33:D38)</f>
        <v>0</v>
      </c>
      <c r="E39" s="40"/>
    </row>
  </sheetData>
  <mergeCells count="3">
    <mergeCell ref="A1:K1"/>
    <mergeCell ref="A2:K2"/>
    <mergeCell ref="A31:K31"/>
  </mergeCells>
  <phoneticPr fontId="20" type="noConversion"/>
  <dataValidations count="2">
    <dataValidation type="list" allowBlank="1" sqref="F5:F29" xr:uid="{00000000-0002-0000-0400-000000000000}">
      <formula1>"분실(현물없음),미등록(장부없음),위치상이,상태변경,수량차이,폐기대상"</formula1>
      <formula2>0</formula2>
    </dataValidation>
    <dataValidation type="list" allowBlank="1" sqref="J5:J29" xr:uid="{00000000-0002-0000-0400-000001000000}">
      <formula1>"손망실처리,폐기처리,신규등록,이동반영,수량보정,보류"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4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5" customWidth="1"/>
    <col min="2" max="2" width="12" customWidth="1"/>
    <col min="3" max="3" width="22" customWidth="1"/>
    <col min="4" max="9" width="14" customWidth="1"/>
    <col min="10" max="10" width="20" customWidth="1"/>
  </cols>
  <sheetData>
    <row r="1" spans="1:10" ht="37.5" customHeight="1" x14ac:dyDescent="0.25">
      <c r="A1" s="6" t="s">
        <v>82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5" t="s">
        <v>246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B3" s="26" t="s">
        <v>248</v>
      </c>
      <c r="C3" s="16"/>
      <c r="D3" s="26" t="s">
        <v>83</v>
      </c>
      <c r="E3" s="16"/>
      <c r="F3" s="26" t="s">
        <v>84</v>
      </c>
      <c r="G3" s="16"/>
    </row>
    <row r="5" spans="1:10" ht="38.25" x14ac:dyDescent="0.25">
      <c r="A5" s="22" t="s">
        <v>4</v>
      </c>
      <c r="B5" s="15" t="s">
        <v>55</v>
      </c>
      <c r="C5" s="15" t="s">
        <v>56</v>
      </c>
      <c r="D5" s="15" t="s">
        <v>57</v>
      </c>
      <c r="E5" s="15" t="s">
        <v>58</v>
      </c>
      <c r="F5" s="15" t="s">
        <v>59</v>
      </c>
      <c r="G5" s="15" t="s">
        <v>250</v>
      </c>
      <c r="H5" s="15" t="s">
        <v>236</v>
      </c>
      <c r="I5" s="15" t="s">
        <v>85</v>
      </c>
      <c r="J5" s="15" t="s">
        <v>251</v>
      </c>
    </row>
    <row r="6" spans="1:10" ht="24.75" customHeight="1" x14ac:dyDescent="0.25">
      <c r="A6" s="24">
        <v>1</v>
      </c>
      <c r="B6" s="16"/>
      <c r="C6" s="16"/>
      <c r="D6" s="16"/>
      <c r="E6" s="16"/>
      <c r="F6" s="16"/>
      <c r="G6" s="16"/>
      <c r="H6" s="16"/>
      <c r="I6" s="16"/>
      <c r="J6" s="16"/>
    </row>
    <row r="7" spans="1:10" ht="24.75" customHeight="1" x14ac:dyDescent="0.25">
      <c r="A7" s="24">
        <v>2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ht="24.75" customHeight="1" x14ac:dyDescent="0.25">
      <c r="A8" s="24">
        <v>3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ht="24.75" customHeight="1" x14ac:dyDescent="0.25">
      <c r="A9" s="24">
        <v>4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ht="24.75" customHeight="1" x14ac:dyDescent="0.25">
      <c r="A10" s="24">
        <v>5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4.75" customHeight="1" x14ac:dyDescent="0.25">
      <c r="A11" s="24">
        <v>6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4.75" customHeight="1" x14ac:dyDescent="0.25">
      <c r="A12" s="24">
        <v>7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4.75" customHeight="1" x14ac:dyDescent="0.25">
      <c r="A13" s="24">
        <v>8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4.75" customHeight="1" x14ac:dyDescent="0.25">
      <c r="A14" s="24">
        <v>9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4.75" customHeight="1" x14ac:dyDescent="0.25">
      <c r="A15" s="24">
        <v>10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4.75" customHeight="1" x14ac:dyDescent="0.25">
      <c r="A16" s="24">
        <v>11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4.75" customHeight="1" x14ac:dyDescent="0.25">
      <c r="A17" s="24">
        <v>12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24.75" customHeight="1" x14ac:dyDescent="0.25">
      <c r="A18" s="24">
        <v>13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4.75" customHeight="1" x14ac:dyDescent="0.25">
      <c r="A19" s="24">
        <v>14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4.75" customHeight="1" x14ac:dyDescent="0.25">
      <c r="A20" s="24">
        <v>15</v>
      </c>
      <c r="B20" s="16"/>
      <c r="C20" s="16"/>
      <c r="D20" s="16"/>
      <c r="E20" s="16"/>
      <c r="F20" s="16"/>
      <c r="G20" s="16"/>
      <c r="H20" s="16"/>
      <c r="I20" s="16"/>
      <c r="J20" s="16"/>
    </row>
    <row r="22" spans="1:10" ht="15" customHeight="1" x14ac:dyDescent="0.25">
      <c r="A22" s="52" t="s">
        <v>247</v>
      </c>
      <c r="B22" s="52"/>
      <c r="C22" s="52"/>
      <c r="D22" s="52"/>
      <c r="E22" s="52"/>
      <c r="F22" s="52"/>
      <c r="G22" s="52"/>
      <c r="H22" s="52"/>
      <c r="I22" s="52"/>
      <c r="J22" s="52"/>
    </row>
    <row r="24" spans="1:10" x14ac:dyDescent="0.25">
      <c r="B24" s="1" t="s">
        <v>86</v>
      </c>
      <c r="C24" s="1"/>
      <c r="D24" s="1"/>
      <c r="E24" s="1" t="s">
        <v>249</v>
      </c>
      <c r="F24" s="1"/>
      <c r="G24" s="1"/>
    </row>
  </sheetData>
  <mergeCells count="5">
    <mergeCell ref="A1:J1"/>
    <mergeCell ref="A2:J2"/>
    <mergeCell ref="A22:J22"/>
    <mergeCell ref="B24:D24"/>
    <mergeCell ref="E24:G24"/>
  </mergeCells>
  <phoneticPr fontId="20" type="noConversion"/>
  <dataValidations count="2">
    <dataValidation type="list" allowBlank="1" sqref="B6:B20" xr:uid="{00000000-0002-0000-0500-000000000000}">
      <formula1>"설비·기계장치,사무가구·비품,전자제품·IT장비,차량운반구,공구·금형,기타"</formula1>
      <formula2>0</formula2>
    </dataValidation>
    <dataValidation type="list" allowBlank="1" sqref="H6:H20" xr:uid="{00000000-0002-0000-0500-000001000000}">
      <formula1>"A(양호),B(보통),C(불량),D(폐기대상)"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2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3" customWidth="1"/>
    <col min="2" max="3" width="14" customWidth="1"/>
    <col min="4" max="4" width="20" customWidth="1"/>
    <col min="5" max="7" width="14" customWidth="1"/>
    <col min="8" max="8" width="18" customWidth="1"/>
    <col min="9" max="9" width="20" customWidth="1"/>
  </cols>
  <sheetData>
    <row r="1" spans="1:9" ht="39.75" customHeight="1" x14ac:dyDescent="0.25">
      <c r="A1" s="6" t="s">
        <v>252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B3" s="26" t="s">
        <v>87</v>
      </c>
      <c r="C3" s="38"/>
      <c r="D3" s="26" t="s">
        <v>258</v>
      </c>
      <c r="E3" s="38"/>
      <c r="F3" s="26" t="s">
        <v>88</v>
      </c>
      <c r="G3" s="38"/>
    </row>
    <row r="4" spans="1:9" x14ac:dyDescent="0.25">
      <c r="B4" s="26" t="s">
        <v>89</v>
      </c>
      <c r="C4" s="16"/>
    </row>
    <row r="5" spans="1:9" ht="24.75" customHeight="1" x14ac:dyDescent="0.25">
      <c r="B5" s="26" t="s">
        <v>254</v>
      </c>
      <c r="C5" s="53"/>
      <c r="D5" s="53"/>
      <c r="E5" s="53"/>
      <c r="F5" s="53"/>
      <c r="G5" s="53"/>
      <c r="H5" s="53"/>
      <c r="I5" s="53"/>
    </row>
    <row r="6" spans="1:9" ht="24.75" customHeight="1" x14ac:dyDescent="0.25">
      <c r="C6" s="53"/>
      <c r="D6" s="53"/>
      <c r="E6" s="53"/>
      <c r="F6" s="53"/>
      <c r="G6" s="53"/>
      <c r="H6" s="53"/>
      <c r="I6" s="53"/>
    </row>
    <row r="8" spans="1:9" ht="15.75" x14ac:dyDescent="0.25">
      <c r="A8" s="51" t="s">
        <v>90</v>
      </c>
      <c r="B8" s="51"/>
      <c r="C8" s="51"/>
      <c r="D8" s="51"/>
      <c r="E8" s="51"/>
      <c r="F8" s="51"/>
      <c r="G8" s="51"/>
      <c r="H8" s="51"/>
      <c r="I8" s="51"/>
    </row>
    <row r="9" spans="1:9" ht="27" x14ac:dyDescent="0.25">
      <c r="A9" s="22" t="s">
        <v>4</v>
      </c>
      <c r="B9" s="15" t="s">
        <v>54</v>
      </c>
      <c r="C9" s="15" t="s">
        <v>56</v>
      </c>
      <c r="D9" s="15" t="s">
        <v>60</v>
      </c>
      <c r="E9" s="15" t="s">
        <v>61</v>
      </c>
      <c r="F9" s="15" t="s">
        <v>62</v>
      </c>
      <c r="G9" s="15" t="s">
        <v>259</v>
      </c>
      <c r="H9" s="15" t="s">
        <v>260</v>
      </c>
      <c r="I9" s="15" t="s">
        <v>91</v>
      </c>
    </row>
    <row r="10" spans="1:9" ht="24.75" customHeight="1" x14ac:dyDescent="0.25">
      <c r="A10" s="24">
        <v>1</v>
      </c>
      <c r="B10" s="34"/>
      <c r="C10" s="34"/>
      <c r="D10" s="34"/>
      <c r="E10" s="41"/>
      <c r="F10" s="41"/>
      <c r="G10" s="41">
        <f t="shared" ref="G10:G19" si="0">F10</f>
        <v>0</v>
      </c>
      <c r="H10" s="34"/>
      <c r="I10" s="34"/>
    </row>
    <row r="11" spans="1:9" ht="24.75" customHeight="1" x14ac:dyDescent="0.25">
      <c r="A11" s="24">
        <v>2</v>
      </c>
      <c r="B11" s="34"/>
      <c r="C11" s="34"/>
      <c r="D11" s="34"/>
      <c r="E11" s="41"/>
      <c r="F11" s="41"/>
      <c r="G11" s="41">
        <f t="shared" si="0"/>
        <v>0</v>
      </c>
      <c r="H11" s="34"/>
      <c r="I11" s="34"/>
    </row>
    <row r="12" spans="1:9" ht="24.75" customHeight="1" x14ac:dyDescent="0.25">
      <c r="A12" s="24">
        <v>3</v>
      </c>
      <c r="B12" s="34"/>
      <c r="C12" s="34"/>
      <c r="D12" s="34"/>
      <c r="E12" s="41"/>
      <c r="F12" s="41"/>
      <c r="G12" s="41">
        <f t="shared" si="0"/>
        <v>0</v>
      </c>
      <c r="H12" s="34"/>
      <c r="I12" s="34"/>
    </row>
    <row r="13" spans="1:9" ht="24.75" customHeight="1" x14ac:dyDescent="0.25">
      <c r="A13" s="24">
        <v>4</v>
      </c>
      <c r="B13" s="34"/>
      <c r="C13" s="34"/>
      <c r="D13" s="34"/>
      <c r="E13" s="41"/>
      <c r="F13" s="41"/>
      <c r="G13" s="41">
        <f t="shared" si="0"/>
        <v>0</v>
      </c>
      <c r="H13" s="34"/>
      <c r="I13" s="34"/>
    </row>
    <row r="14" spans="1:9" ht="24.75" customHeight="1" x14ac:dyDescent="0.25">
      <c r="A14" s="24">
        <v>5</v>
      </c>
      <c r="B14" s="34"/>
      <c r="C14" s="34"/>
      <c r="D14" s="34"/>
      <c r="E14" s="41"/>
      <c r="F14" s="41"/>
      <c r="G14" s="41">
        <f t="shared" si="0"/>
        <v>0</v>
      </c>
      <c r="H14" s="34"/>
      <c r="I14" s="34"/>
    </row>
    <row r="15" spans="1:9" ht="24.75" customHeight="1" x14ac:dyDescent="0.25">
      <c r="A15" s="24">
        <v>6</v>
      </c>
      <c r="B15" s="34"/>
      <c r="C15" s="34"/>
      <c r="D15" s="34"/>
      <c r="E15" s="41"/>
      <c r="F15" s="41"/>
      <c r="G15" s="41">
        <f t="shared" si="0"/>
        <v>0</v>
      </c>
      <c r="H15" s="34"/>
      <c r="I15" s="34"/>
    </row>
    <row r="16" spans="1:9" ht="24.75" customHeight="1" x14ac:dyDescent="0.25">
      <c r="A16" s="24">
        <v>7</v>
      </c>
      <c r="B16" s="34"/>
      <c r="C16" s="34"/>
      <c r="D16" s="34"/>
      <c r="E16" s="41"/>
      <c r="F16" s="41"/>
      <c r="G16" s="41">
        <f t="shared" si="0"/>
        <v>0</v>
      </c>
      <c r="H16" s="34"/>
      <c r="I16" s="34"/>
    </row>
    <row r="17" spans="1:9" ht="24.75" customHeight="1" x14ac:dyDescent="0.25">
      <c r="A17" s="24">
        <v>8</v>
      </c>
      <c r="B17" s="34"/>
      <c r="C17" s="34"/>
      <c r="D17" s="34"/>
      <c r="E17" s="41"/>
      <c r="F17" s="41"/>
      <c r="G17" s="41">
        <f t="shared" si="0"/>
        <v>0</v>
      </c>
      <c r="H17" s="34"/>
      <c r="I17" s="34"/>
    </row>
    <row r="18" spans="1:9" ht="24.75" customHeight="1" x14ac:dyDescent="0.25">
      <c r="A18" s="24">
        <v>9</v>
      </c>
      <c r="B18" s="34"/>
      <c r="C18" s="34"/>
      <c r="D18" s="34"/>
      <c r="E18" s="41"/>
      <c r="F18" s="41"/>
      <c r="G18" s="41">
        <f t="shared" si="0"/>
        <v>0</v>
      </c>
      <c r="H18" s="34"/>
      <c r="I18" s="34"/>
    </row>
    <row r="19" spans="1:9" ht="24.75" customHeight="1" x14ac:dyDescent="0.25">
      <c r="A19" s="24">
        <v>10</v>
      </c>
      <c r="B19" s="34"/>
      <c r="C19" s="34"/>
      <c r="D19" s="34"/>
      <c r="E19" s="41"/>
      <c r="F19" s="41"/>
      <c r="G19" s="41">
        <f t="shared" si="0"/>
        <v>0</v>
      </c>
      <c r="H19" s="34"/>
      <c r="I19" s="34"/>
    </row>
    <row r="20" spans="1:9" ht="15" customHeight="1" x14ac:dyDescent="0.25">
      <c r="A20" s="3" t="s">
        <v>70</v>
      </c>
      <c r="B20" s="3"/>
      <c r="C20" s="3"/>
      <c r="D20" s="40"/>
      <c r="E20" s="32">
        <f>SUM(E10:E19)</f>
        <v>0</v>
      </c>
      <c r="F20" s="32">
        <f>SUM(F10:F19)</f>
        <v>0</v>
      </c>
      <c r="G20" s="32">
        <f>SUM(G10:G19)</f>
        <v>0</v>
      </c>
      <c r="H20" s="40"/>
      <c r="I20" s="40"/>
    </row>
    <row r="22" spans="1:9" ht="17.25" x14ac:dyDescent="0.3">
      <c r="A22" s="51" t="s">
        <v>253</v>
      </c>
      <c r="B22" s="51"/>
      <c r="C22" s="51"/>
      <c r="D22" s="51"/>
      <c r="E22" s="51"/>
      <c r="F22" s="51"/>
      <c r="G22" s="51"/>
      <c r="H22" s="51"/>
      <c r="I22" s="51"/>
    </row>
    <row r="23" spans="1:9" ht="25.5" x14ac:dyDescent="0.25">
      <c r="B23" s="15" t="s">
        <v>55</v>
      </c>
      <c r="C23" s="15" t="s">
        <v>92</v>
      </c>
      <c r="D23" s="16"/>
      <c r="E23" s="15" t="s">
        <v>93</v>
      </c>
      <c r="F23" s="16"/>
      <c r="G23" s="15" t="s">
        <v>94</v>
      </c>
      <c r="H23" s="16"/>
      <c r="I23" s="16"/>
    </row>
    <row r="24" spans="1:9" ht="24.75" customHeight="1" x14ac:dyDescent="0.25">
      <c r="B24" s="33" t="s">
        <v>95</v>
      </c>
      <c r="C24" s="27" t="s">
        <v>255</v>
      </c>
      <c r="D24" s="16"/>
      <c r="E24" s="16"/>
      <c r="F24" s="16"/>
      <c r="G24" s="16"/>
      <c r="H24" s="16"/>
      <c r="I24" s="16"/>
    </row>
    <row r="25" spans="1:9" ht="24.75" customHeight="1" x14ac:dyDescent="0.25">
      <c r="B25" s="17"/>
      <c r="C25" s="27" t="s">
        <v>256</v>
      </c>
      <c r="D25" s="16"/>
      <c r="E25" s="16"/>
      <c r="F25" s="16"/>
      <c r="G25" s="16"/>
      <c r="H25" s="16"/>
      <c r="I25" s="16"/>
    </row>
    <row r="26" spans="1:9" ht="24.75" customHeight="1" x14ac:dyDescent="0.25">
      <c r="B26" s="17"/>
      <c r="C26" s="27" t="s">
        <v>257</v>
      </c>
      <c r="D26" s="16"/>
      <c r="E26" s="16"/>
      <c r="F26" s="16"/>
      <c r="G26" s="16"/>
      <c r="H26" s="16"/>
      <c r="I26" s="16"/>
    </row>
    <row r="28" spans="1:9" ht="25.5" x14ac:dyDescent="0.25">
      <c r="B28" s="15" t="s">
        <v>55</v>
      </c>
      <c r="C28" s="15" t="s">
        <v>150</v>
      </c>
      <c r="D28" s="15" t="s">
        <v>151</v>
      </c>
      <c r="E28" s="15" t="s">
        <v>152</v>
      </c>
    </row>
    <row r="29" spans="1:9" ht="27.75" customHeight="1" x14ac:dyDescent="0.25">
      <c r="B29" s="20" t="s">
        <v>153</v>
      </c>
      <c r="C29" s="34"/>
      <c r="D29" s="34"/>
      <c r="E29" s="34"/>
    </row>
    <row r="30" spans="1:9" ht="27.75" customHeight="1" x14ac:dyDescent="0.25">
      <c r="B30" s="20" t="s">
        <v>96</v>
      </c>
      <c r="C30" s="34"/>
      <c r="D30" s="34"/>
      <c r="E30" s="34"/>
    </row>
    <row r="31" spans="1:9" ht="27.75" customHeight="1" x14ac:dyDescent="0.25">
      <c r="B31" s="20" t="s">
        <v>97</v>
      </c>
      <c r="C31" s="34"/>
      <c r="D31" s="34"/>
      <c r="E31" s="34"/>
    </row>
    <row r="32" spans="1:9" ht="27.75" customHeight="1" x14ac:dyDescent="0.25">
      <c r="B32" s="20" t="s">
        <v>98</v>
      </c>
      <c r="C32" s="34"/>
      <c r="D32" s="34"/>
      <c r="E32" s="34"/>
    </row>
  </sheetData>
  <mergeCells count="5">
    <mergeCell ref="A1:I1"/>
    <mergeCell ref="C5:I6"/>
    <mergeCell ref="A8:I8"/>
    <mergeCell ref="A20:C20"/>
    <mergeCell ref="A22:I22"/>
  </mergeCells>
  <phoneticPr fontId="20" type="noConversion"/>
  <dataValidations count="1">
    <dataValidation type="list" allowBlank="1" sqref="C4" xr:uid="{00000000-0002-0000-0600-000000000000}">
      <formula1>"폐기처분,손망실처리(분실),손망실처리(파손),기타"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4"/>
  <sheetViews>
    <sheetView showGridLines="0" zoomScaleNormal="100" workbookViewId="0">
      <selection activeCell="N20" sqref="N20"/>
    </sheetView>
  </sheetViews>
  <sheetFormatPr defaultColWidth="8.7109375" defaultRowHeight="15" x14ac:dyDescent="0.25"/>
  <cols>
    <col min="1" max="1" width="3" customWidth="1"/>
    <col min="2" max="2" width="18" customWidth="1"/>
    <col min="3" max="3" width="22" customWidth="1"/>
    <col min="4" max="4" width="3" customWidth="1"/>
    <col min="5" max="5" width="18" customWidth="1"/>
    <col min="6" max="6" width="22" customWidth="1"/>
  </cols>
  <sheetData>
    <row r="1" spans="1:6" ht="34.5" customHeight="1" x14ac:dyDescent="0.25">
      <c r="A1" s="6" t="s">
        <v>99</v>
      </c>
      <c r="B1" s="6"/>
      <c r="C1" s="6"/>
      <c r="D1" s="6"/>
      <c r="E1" s="6"/>
      <c r="F1" s="6"/>
    </row>
    <row r="2" spans="1:6" ht="15" customHeight="1" x14ac:dyDescent="0.25">
      <c r="A2" s="54" t="s">
        <v>261</v>
      </c>
      <c r="B2" s="54"/>
      <c r="C2" s="54"/>
      <c r="D2" s="54"/>
      <c r="E2" s="54"/>
      <c r="F2" s="54"/>
    </row>
    <row r="4" spans="1:6" ht="15" customHeight="1" x14ac:dyDescent="0.25">
      <c r="B4" s="55" t="s">
        <v>100</v>
      </c>
      <c r="C4" s="55"/>
      <c r="E4" s="55" t="s">
        <v>100</v>
      </c>
      <c r="F4" s="55"/>
    </row>
    <row r="5" spans="1:6" ht="15.75" customHeight="1" x14ac:dyDescent="0.25">
      <c r="B5" s="42" t="s">
        <v>54</v>
      </c>
      <c r="C5" s="43"/>
      <c r="E5" s="42" t="s">
        <v>54</v>
      </c>
      <c r="F5" s="43"/>
    </row>
    <row r="6" spans="1:6" ht="15.75" customHeight="1" x14ac:dyDescent="0.25">
      <c r="B6" s="42" t="s">
        <v>56</v>
      </c>
      <c r="C6" s="43"/>
      <c r="E6" s="42" t="s">
        <v>56</v>
      </c>
      <c r="F6" s="43"/>
    </row>
    <row r="7" spans="1:6" ht="15.75" customHeight="1" x14ac:dyDescent="0.25">
      <c r="B7" s="42" t="s">
        <v>57</v>
      </c>
      <c r="C7" s="43"/>
      <c r="E7" s="42" t="s">
        <v>57</v>
      </c>
      <c r="F7" s="43"/>
    </row>
    <row r="8" spans="1:6" ht="15.75" customHeight="1" x14ac:dyDescent="0.25">
      <c r="B8" s="42" t="s">
        <v>60</v>
      </c>
      <c r="C8" s="43"/>
      <c r="E8" s="42" t="s">
        <v>60</v>
      </c>
      <c r="F8" s="43"/>
    </row>
    <row r="9" spans="1:6" ht="15.75" customHeight="1" x14ac:dyDescent="0.25">
      <c r="B9" s="42" t="s">
        <v>244</v>
      </c>
      <c r="C9" s="43"/>
      <c r="E9" s="42" t="s">
        <v>244</v>
      </c>
      <c r="F9" s="43"/>
    </row>
    <row r="10" spans="1:6" ht="15.75" customHeight="1" x14ac:dyDescent="0.25">
      <c r="B10" s="42" t="s">
        <v>85</v>
      </c>
      <c r="C10" s="43"/>
      <c r="E10" s="42" t="s">
        <v>85</v>
      </c>
      <c r="F10" s="43"/>
    </row>
    <row r="12" spans="1:6" ht="15" customHeight="1" x14ac:dyDescent="0.25">
      <c r="B12" s="55" t="s">
        <v>100</v>
      </c>
      <c r="C12" s="55"/>
      <c r="E12" s="55" t="s">
        <v>100</v>
      </c>
      <c r="F12" s="55"/>
    </row>
    <row r="13" spans="1:6" ht="15.75" customHeight="1" x14ac:dyDescent="0.25">
      <c r="B13" s="42" t="s">
        <v>54</v>
      </c>
      <c r="C13" s="43"/>
      <c r="E13" s="42" t="s">
        <v>54</v>
      </c>
      <c r="F13" s="43"/>
    </row>
    <row r="14" spans="1:6" ht="15.75" customHeight="1" x14ac:dyDescent="0.25">
      <c r="B14" s="42" t="s">
        <v>56</v>
      </c>
      <c r="C14" s="43"/>
      <c r="E14" s="42" t="s">
        <v>56</v>
      </c>
      <c r="F14" s="43"/>
    </row>
    <row r="15" spans="1:6" ht="15.75" customHeight="1" x14ac:dyDescent="0.25">
      <c r="B15" s="42" t="s">
        <v>57</v>
      </c>
      <c r="C15" s="43"/>
      <c r="E15" s="42" t="s">
        <v>57</v>
      </c>
      <c r="F15" s="43"/>
    </row>
    <row r="16" spans="1:6" ht="15.75" customHeight="1" x14ac:dyDescent="0.25">
      <c r="B16" s="42" t="s">
        <v>60</v>
      </c>
      <c r="C16" s="43"/>
      <c r="E16" s="42" t="s">
        <v>60</v>
      </c>
      <c r="F16" s="43"/>
    </row>
    <row r="17" spans="2:6" ht="15.75" customHeight="1" x14ac:dyDescent="0.25">
      <c r="B17" s="42" t="s">
        <v>244</v>
      </c>
      <c r="C17" s="43"/>
      <c r="E17" s="42" t="s">
        <v>244</v>
      </c>
      <c r="F17" s="43"/>
    </row>
    <row r="18" spans="2:6" ht="15.75" customHeight="1" x14ac:dyDescent="0.25">
      <c r="B18" s="42" t="s">
        <v>85</v>
      </c>
      <c r="C18" s="43"/>
      <c r="E18" s="42" t="s">
        <v>85</v>
      </c>
      <c r="F18" s="43"/>
    </row>
    <row r="20" spans="2:6" ht="15" customHeight="1" x14ac:dyDescent="0.25">
      <c r="B20" s="55" t="s">
        <v>100</v>
      </c>
      <c r="C20" s="55"/>
      <c r="E20" s="55" t="s">
        <v>100</v>
      </c>
      <c r="F20" s="55"/>
    </row>
    <row r="21" spans="2:6" ht="15.75" customHeight="1" x14ac:dyDescent="0.25">
      <c r="B21" s="42" t="s">
        <v>54</v>
      </c>
      <c r="C21" s="43"/>
      <c r="E21" s="42" t="s">
        <v>54</v>
      </c>
      <c r="F21" s="43"/>
    </row>
    <row r="22" spans="2:6" ht="15.75" customHeight="1" x14ac:dyDescent="0.25">
      <c r="B22" s="42" t="s">
        <v>56</v>
      </c>
      <c r="C22" s="43"/>
      <c r="E22" s="42" t="s">
        <v>56</v>
      </c>
      <c r="F22" s="43"/>
    </row>
    <row r="23" spans="2:6" ht="15.75" customHeight="1" x14ac:dyDescent="0.25">
      <c r="B23" s="42" t="s">
        <v>57</v>
      </c>
      <c r="C23" s="43"/>
      <c r="E23" s="42" t="s">
        <v>57</v>
      </c>
      <c r="F23" s="43"/>
    </row>
    <row r="24" spans="2:6" ht="15.75" customHeight="1" x14ac:dyDescent="0.25">
      <c r="B24" s="42" t="s">
        <v>60</v>
      </c>
      <c r="C24" s="43"/>
      <c r="E24" s="42" t="s">
        <v>60</v>
      </c>
      <c r="F24" s="43"/>
    </row>
    <row r="25" spans="2:6" ht="15.75" customHeight="1" x14ac:dyDescent="0.25">
      <c r="B25" s="42" t="s">
        <v>244</v>
      </c>
      <c r="C25" s="43"/>
      <c r="E25" s="42" t="s">
        <v>244</v>
      </c>
      <c r="F25" s="43"/>
    </row>
    <row r="26" spans="2:6" ht="15.75" customHeight="1" x14ac:dyDescent="0.25">
      <c r="B26" s="42" t="s">
        <v>85</v>
      </c>
      <c r="C26" s="43"/>
      <c r="E26" s="42" t="s">
        <v>85</v>
      </c>
      <c r="F26" s="43"/>
    </row>
    <row r="28" spans="2:6" ht="15" customHeight="1" x14ac:dyDescent="0.25">
      <c r="B28" s="55" t="s">
        <v>100</v>
      </c>
      <c r="C28" s="55"/>
      <c r="E28" s="55" t="s">
        <v>100</v>
      </c>
      <c r="F28" s="55"/>
    </row>
    <row r="29" spans="2:6" ht="15.75" customHeight="1" x14ac:dyDescent="0.25">
      <c r="B29" s="42" t="s">
        <v>54</v>
      </c>
      <c r="C29" s="43"/>
      <c r="E29" s="42" t="s">
        <v>54</v>
      </c>
      <c r="F29" s="43"/>
    </row>
    <row r="30" spans="2:6" ht="15.75" customHeight="1" x14ac:dyDescent="0.25">
      <c r="B30" s="42" t="s">
        <v>56</v>
      </c>
      <c r="C30" s="43"/>
      <c r="E30" s="42" t="s">
        <v>56</v>
      </c>
      <c r="F30" s="43"/>
    </row>
    <row r="31" spans="2:6" ht="15.75" customHeight="1" x14ac:dyDescent="0.25">
      <c r="B31" s="42" t="s">
        <v>57</v>
      </c>
      <c r="C31" s="43"/>
      <c r="E31" s="42" t="s">
        <v>57</v>
      </c>
      <c r="F31" s="43"/>
    </row>
    <row r="32" spans="2:6" ht="15.75" customHeight="1" x14ac:dyDescent="0.25">
      <c r="B32" s="42" t="s">
        <v>60</v>
      </c>
      <c r="C32" s="43"/>
      <c r="E32" s="42" t="s">
        <v>60</v>
      </c>
      <c r="F32" s="43"/>
    </row>
    <row r="33" spans="2:6" ht="15.75" customHeight="1" x14ac:dyDescent="0.25">
      <c r="B33" s="42" t="s">
        <v>244</v>
      </c>
      <c r="C33" s="43"/>
      <c r="E33" s="42" t="s">
        <v>244</v>
      </c>
      <c r="F33" s="43"/>
    </row>
    <row r="34" spans="2:6" ht="15.75" customHeight="1" x14ac:dyDescent="0.25">
      <c r="B34" s="42" t="s">
        <v>85</v>
      </c>
      <c r="C34" s="43"/>
      <c r="E34" s="42" t="s">
        <v>85</v>
      </c>
      <c r="F34" s="43"/>
    </row>
  </sheetData>
  <mergeCells count="10">
    <mergeCell ref="B20:C20"/>
    <mergeCell ref="E20:F20"/>
    <mergeCell ref="B28:C28"/>
    <mergeCell ref="E28:F28"/>
    <mergeCell ref="A1:F1"/>
    <mergeCell ref="A2:F2"/>
    <mergeCell ref="B4:C4"/>
    <mergeCell ref="E4:F4"/>
    <mergeCell ref="B12:C12"/>
    <mergeCell ref="E12:F12"/>
  </mergeCells>
  <phoneticPr fontId="20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48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" customWidth="1"/>
    <col min="2" max="2" width="18" customWidth="1"/>
    <col min="3" max="7" width="16" customWidth="1"/>
    <col min="8" max="8" width="18" customWidth="1"/>
  </cols>
  <sheetData>
    <row r="1" spans="1:8" ht="42" customHeight="1" x14ac:dyDescent="0.25">
      <c r="A1" s="6" t="s">
        <v>101</v>
      </c>
      <c r="B1" s="6"/>
      <c r="C1" s="6"/>
      <c r="D1" s="6"/>
      <c r="E1" s="6"/>
      <c r="F1" s="6"/>
      <c r="G1" s="6"/>
      <c r="H1" s="6"/>
    </row>
    <row r="2" spans="1:8" x14ac:dyDescent="0.25">
      <c r="A2" s="56" t="s">
        <v>102</v>
      </c>
      <c r="B2" s="56"/>
      <c r="C2" s="56"/>
      <c r="D2" s="56"/>
      <c r="E2" s="56"/>
      <c r="F2" s="56"/>
      <c r="G2" s="56"/>
      <c r="H2" s="56"/>
    </row>
    <row r="4" spans="1:8" ht="17.25" x14ac:dyDescent="0.3">
      <c r="B4" s="12" t="s">
        <v>103</v>
      </c>
      <c r="C4" s="12"/>
      <c r="D4" s="12"/>
      <c r="E4" s="12"/>
      <c r="F4" s="12"/>
      <c r="G4" s="12"/>
      <c r="H4" s="12"/>
    </row>
    <row r="5" spans="1:8" ht="25.5" customHeight="1" x14ac:dyDescent="0.25">
      <c r="B5" s="26" t="s">
        <v>104</v>
      </c>
      <c r="C5" s="57"/>
      <c r="D5" s="57"/>
      <c r="E5" s="57"/>
      <c r="F5" s="57"/>
      <c r="G5" s="57"/>
      <c r="H5" s="57"/>
    </row>
    <row r="6" spans="1:8" ht="25.5" customHeight="1" x14ac:dyDescent="0.25">
      <c r="B6" s="26" t="s">
        <v>105</v>
      </c>
      <c r="C6" s="58" t="s">
        <v>109</v>
      </c>
      <c r="D6" s="58"/>
      <c r="E6" s="58"/>
      <c r="F6" s="58"/>
      <c r="G6" s="58"/>
      <c r="H6" s="58"/>
    </row>
    <row r="7" spans="1:8" ht="25.5" customHeight="1" x14ac:dyDescent="0.25">
      <c r="B7" s="26" t="s">
        <v>106</v>
      </c>
      <c r="C7" s="58" t="s">
        <v>110</v>
      </c>
      <c r="D7" s="58"/>
      <c r="E7" s="58"/>
      <c r="F7" s="58"/>
      <c r="G7" s="58"/>
      <c r="H7" s="58"/>
    </row>
    <row r="8" spans="1:8" ht="25.5" customHeight="1" x14ac:dyDescent="0.25">
      <c r="B8" s="26" t="s">
        <v>107</v>
      </c>
      <c r="C8" s="58"/>
      <c r="D8" s="58"/>
      <c r="E8" s="58"/>
      <c r="F8" s="58"/>
      <c r="G8" s="58"/>
      <c r="H8" s="58"/>
    </row>
    <row r="9" spans="1:8" ht="25.5" customHeight="1" x14ac:dyDescent="0.25">
      <c r="B9" s="26" t="s">
        <v>108</v>
      </c>
      <c r="C9" s="58" t="s">
        <v>111</v>
      </c>
      <c r="D9" s="58"/>
      <c r="E9" s="58"/>
      <c r="F9" s="58"/>
      <c r="G9" s="58"/>
      <c r="H9" s="58"/>
    </row>
    <row r="11" spans="1:8" ht="17.25" x14ac:dyDescent="0.3">
      <c r="B11" s="12" t="s">
        <v>112</v>
      </c>
      <c r="C11" s="12"/>
      <c r="D11" s="12"/>
      <c r="E11" s="12"/>
      <c r="F11" s="12"/>
      <c r="G11" s="12"/>
      <c r="H11" s="12"/>
    </row>
    <row r="12" spans="1:8" ht="25.5" x14ac:dyDescent="0.25">
      <c r="B12" s="15" t="s">
        <v>113</v>
      </c>
      <c r="C12" s="15" t="s">
        <v>114</v>
      </c>
      <c r="D12" s="15" t="s">
        <v>62</v>
      </c>
      <c r="E12" s="15" t="s">
        <v>115</v>
      </c>
      <c r="F12" s="15" t="s">
        <v>116</v>
      </c>
      <c r="G12" s="15" t="s">
        <v>117</v>
      </c>
      <c r="H12" s="15" t="s">
        <v>91</v>
      </c>
    </row>
    <row r="13" spans="1:8" ht="24.75" customHeight="1" x14ac:dyDescent="0.25">
      <c r="B13" s="44" t="s">
        <v>64</v>
      </c>
      <c r="C13" s="34"/>
      <c r="D13" s="41"/>
      <c r="E13" s="34"/>
      <c r="F13" s="34"/>
      <c r="G13" s="34"/>
      <c r="H13" s="34"/>
    </row>
    <row r="14" spans="1:8" ht="24.75" customHeight="1" x14ac:dyDescent="0.25">
      <c r="B14" s="44" t="s">
        <v>118</v>
      </c>
      <c r="C14" s="34"/>
      <c r="D14" s="41"/>
      <c r="E14" s="34"/>
      <c r="F14" s="34"/>
      <c r="G14" s="34"/>
      <c r="H14" s="34"/>
    </row>
    <row r="15" spans="1:8" ht="24.75" customHeight="1" x14ac:dyDescent="0.25">
      <c r="B15" s="44" t="s">
        <v>119</v>
      </c>
      <c r="C15" s="34"/>
      <c r="D15" s="41"/>
      <c r="E15" s="34"/>
      <c r="F15" s="34"/>
      <c r="G15" s="34"/>
      <c r="H15" s="34"/>
    </row>
    <row r="16" spans="1:8" ht="24.75" customHeight="1" x14ac:dyDescent="0.25">
      <c r="B16" s="44" t="s">
        <v>120</v>
      </c>
      <c r="C16" s="34"/>
      <c r="D16" s="41"/>
      <c r="E16" s="34"/>
      <c r="F16" s="34"/>
      <c r="G16" s="34"/>
      <c r="H16" s="34"/>
    </row>
    <row r="17" spans="2:8" ht="24.75" customHeight="1" x14ac:dyDescent="0.25">
      <c r="B17" s="44" t="s">
        <v>121</v>
      </c>
      <c r="C17" s="34"/>
      <c r="D17" s="41"/>
      <c r="E17" s="34"/>
      <c r="F17" s="34"/>
      <c r="G17" s="34"/>
      <c r="H17" s="34"/>
    </row>
    <row r="18" spans="2:8" x14ac:dyDescent="0.25">
      <c r="B18" s="30" t="s">
        <v>70</v>
      </c>
      <c r="C18" s="30">
        <f>SUM(C13:C17)</f>
        <v>0</v>
      </c>
      <c r="D18" s="45">
        <f>SUM(D13:D17)</f>
        <v>0</v>
      </c>
      <c r="E18" s="30">
        <f>SUM(E13:E17)</f>
        <v>0</v>
      </c>
      <c r="F18" s="30">
        <f>SUM(F13:F17)</f>
        <v>0</v>
      </c>
      <c r="G18" s="30">
        <f>SUM(G13:G17)</f>
        <v>0</v>
      </c>
      <c r="H18" s="46"/>
    </row>
    <row r="19" spans="2:8" ht="20.25" x14ac:dyDescent="0.25">
      <c r="B19" s="47" t="s">
        <v>122</v>
      </c>
      <c r="C19" s="48" t="str">
        <f>IF(C18=0,"-",E18/C18)</f>
        <v>-</v>
      </c>
    </row>
    <row r="21" spans="2:8" ht="17.25" x14ac:dyDescent="0.3">
      <c r="B21" s="12" t="s">
        <v>123</v>
      </c>
      <c r="C21" s="12"/>
      <c r="D21" s="12"/>
      <c r="E21" s="12"/>
      <c r="F21" s="12"/>
      <c r="G21" s="12"/>
      <c r="H21" s="12"/>
    </row>
    <row r="22" spans="2:8" ht="25.5" x14ac:dyDescent="0.25">
      <c r="B22" s="15" t="s">
        <v>77</v>
      </c>
      <c r="C22" s="15" t="s">
        <v>75</v>
      </c>
      <c r="D22" s="15" t="s">
        <v>124</v>
      </c>
      <c r="E22" s="15" t="s">
        <v>125</v>
      </c>
      <c r="F22" s="15" t="s">
        <v>126</v>
      </c>
      <c r="G22" s="16"/>
      <c r="H22" s="16"/>
    </row>
    <row r="23" spans="2:8" ht="24.75" customHeight="1" x14ac:dyDescent="0.25">
      <c r="B23" s="19" t="s">
        <v>127</v>
      </c>
      <c r="C23" s="38"/>
      <c r="D23" s="49"/>
      <c r="E23" s="19" t="s">
        <v>132</v>
      </c>
      <c r="F23" s="38"/>
      <c r="G23" s="38"/>
      <c r="H23" s="38"/>
    </row>
    <row r="24" spans="2:8" ht="24.75" customHeight="1" x14ac:dyDescent="0.25">
      <c r="B24" s="19" t="s">
        <v>128</v>
      </c>
      <c r="C24" s="38"/>
      <c r="D24" s="49"/>
      <c r="E24" s="19" t="s">
        <v>133</v>
      </c>
      <c r="F24" s="38"/>
      <c r="G24" s="38"/>
      <c r="H24" s="38"/>
    </row>
    <row r="25" spans="2:8" ht="24.75" customHeight="1" x14ac:dyDescent="0.25">
      <c r="B25" s="19" t="s">
        <v>129</v>
      </c>
      <c r="C25" s="38"/>
      <c r="D25" s="49"/>
      <c r="E25" s="19" t="s">
        <v>134</v>
      </c>
      <c r="F25" s="38"/>
      <c r="G25" s="38"/>
      <c r="H25" s="38"/>
    </row>
    <row r="26" spans="2:8" ht="24.75" customHeight="1" x14ac:dyDescent="0.25">
      <c r="B26" s="19" t="s">
        <v>130</v>
      </c>
      <c r="C26" s="38"/>
      <c r="D26" s="49"/>
      <c r="E26" s="19" t="s">
        <v>135</v>
      </c>
      <c r="F26" s="38"/>
      <c r="G26" s="38"/>
      <c r="H26" s="38"/>
    </row>
    <row r="27" spans="2:8" ht="24.75" customHeight="1" x14ac:dyDescent="0.25">
      <c r="B27" s="19" t="s">
        <v>131</v>
      </c>
      <c r="C27" s="38"/>
      <c r="D27" s="49"/>
      <c r="E27" s="19" t="s">
        <v>136</v>
      </c>
      <c r="F27" s="38"/>
      <c r="G27" s="38"/>
      <c r="H27" s="38"/>
    </row>
    <row r="29" spans="2:8" ht="17.25" x14ac:dyDescent="0.3">
      <c r="B29" s="12" t="s">
        <v>137</v>
      </c>
      <c r="C29" s="12"/>
      <c r="D29" s="12"/>
      <c r="E29" s="12"/>
      <c r="F29" s="12"/>
      <c r="G29" s="12"/>
      <c r="H29" s="12"/>
    </row>
    <row r="30" spans="2:8" ht="25.5" customHeight="1" x14ac:dyDescent="0.25">
      <c r="B30" s="50" t="s">
        <v>138</v>
      </c>
      <c r="C30" s="59" t="s">
        <v>142</v>
      </c>
      <c r="D30" s="59"/>
      <c r="E30" s="59"/>
    </row>
    <row r="31" spans="2:8" ht="25.5" customHeight="1" x14ac:dyDescent="0.25">
      <c r="B31" s="50" t="s">
        <v>139</v>
      </c>
      <c r="C31" s="59" t="s">
        <v>142</v>
      </c>
      <c r="D31" s="59"/>
      <c r="E31" s="59"/>
    </row>
    <row r="32" spans="2:8" ht="25.5" customHeight="1" x14ac:dyDescent="0.25">
      <c r="B32" s="50" t="s">
        <v>140</v>
      </c>
      <c r="C32" s="59" t="s">
        <v>142</v>
      </c>
      <c r="D32" s="59"/>
      <c r="E32" s="59"/>
    </row>
    <row r="33" spans="2:8" ht="25.5" customHeight="1" x14ac:dyDescent="0.25">
      <c r="B33" s="50" t="s">
        <v>141</v>
      </c>
      <c r="C33" s="59" t="s">
        <v>142</v>
      </c>
      <c r="D33" s="59"/>
      <c r="E33" s="59"/>
    </row>
    <row r="35" spans="2:8" ht="17.25" x14ac:dyDescent="0.3">
      <c r="B35" s="12" t="s">
        <v>143</v>
      </c>
      <c r="C35" s="12"/>
      <c r="D35" s="12"/>
      <c r="E35" s="12"/>
      <c r="F35" s="12"/>
      <c r="G35" s="12"/>
      <c r="H35" s="12"/>
    </row>
    <row r="36" spans="2:8" ht="21.75" customHeight="1" x14ac:dyDescent="0.25">
      <c r="C36" s="11" t="s">
        <v>144</v>
      </c>
      <c r="D36" s="11"/>
      <c r="E36" s="11"/>
      <c r="F36" s="11"/>
      <c r="G36" s="11"/>
      <c r="H36" s="11"/>
    </row>
    <row r="37" spans="2:8" ht="21.75" customHeight="1" x14ac:dyDescent="0.25">
      <c r="C37" s="11" t="s">
        <v>145</v>
      </c>
      <c r="D37" s="11"/>
      <c r="E37" s="11"/>
      <c r="F37" s="11"/>
      <c r="G37" s="11"/>
      <c r="H37" s="11"/>
    </row>
    <row r="38" spans="2:8" ht="21.75" customHeight="1" x14ac:dyDescent="0.25">
      <c r="C38" s="11" t="s">
        <v>146</v>
      </c>
      <c r="D38" s="11"/>
      <c r="E38" s="11"/>
      <c r="F38" s="11"/>
      <c r="G38" s="11"/>
      <c r="H38" s="11"/>
    </row>
    <row r="39" spans="2:8" ht="21.75" customHeight="1" x14ac:dyDescent="0.25">
      <c r="C39" s="11" t="s">
        <v>147</v>
      </c>
      <c r="D39" s="11"/>
      <c r="E39" s="11"/>
      <c r="F39" s="11"/>
      <c r="G39" s="11"/>
      <c r="H39" s="11"/>
    </row>
    <row r="40" spans="2:8" ht="21.75" customHeight="1" x14ac:dyDescent="0.25">
      <c r="C40" s="10" t="s">
        <v>148</v>
      </c>
      <c r="D40" s="10"/>
      <c r="E40" s="10"/>
      <c r="F40" s="10"/>
      <c r="G40" s="10"/>
      <c r="H40" s="10"/>
    </row>
    <row r="41" spans="2:8" ht="21.75" customHeight="1" x14ac:dyDescent="0.25">
      <c r="C41" s="11" t="s">
        <v>149</v>
      </c>
      <c r="D41" s="11"/>
      <c r="E41" s="11"/>
      <c r="F41" s="11"/>
      <c r="G41" s="11"/>
      <c r="H41" s="11"/>
    </row>
    <row r="44" spans="2:8" x14ac:dyDescent="0.25">
      <c r="B44" s="15" t="s">
        <v>55</v>
      </c>
      <c r="C44" s="15" t="s">
        <v>150</v>
      </c>
      <c r="D44" s="15" t="s">
        <v>151</v>
      </c>
      <c r="E44" s="15" t="s">
        <v>152</v>
      </c>
    </row>
    <row r="45" spans="2:8" ht="27.75" customHeight="1" x14ac:dyDescent="0.25">
      <c r="B45" s="20" t="s">
        <v>153</v>
      </c>
      <c r="C45" s="34"/>
      <c r="D45" s="34"/>
      <c r="E45" s="34"/>
    </row>
    <row r="46" spans="2:8" ht="27.75" customHeight="1" x14ac:dyDescent="0.25">
      <c r="B46" s="20" t="s">
        <v>96</v>
      </c>
      <c r="C46" s="34"/>
      <c r="D46" s="34"/>
      <c r="E46" s="34"/>
    </row>
    <row r="47" spans="2:8" ht="27.75" customHeight="1" x14ac:dyDescent="0.25">
      <c r="B47" s="20" t="s">
        <v>97</v>
      </c>
      <c r="C47" s="34"/>
      <c r="D47" s="34"/>
      <c r="E47" s="34"/>
    </row>
    <row r="48" spans="2:8" ht="27.75" customHeight="1" x14ac:dyDescent="0.25">
      <c r="B48" s="20" t="s">
        <v>98</v>
      </c>
      <c r="C48" s="34"/>
      <c r="D48" s="34"/>
      <c r="E48" s="34"/>
    </row>
  </sheetData>
  <mergeCells count="22">
    <mergeCell ref="C40:H40"/>
    <mergeCell ref="C41:H41"/>
    <mergeCell ref="B35:H35"/>
    <mergeCell ref="C36:H36"/>
    <mergeCell ref="C37:H37"/>
    <mergeCell ref="C38:H38"/>
    <mergeCell ref="C39:H39"/>
    <mergeCell ref="B29:H29"/>
    <mergeCell ref="C30:E30"/>
    <mergeCell ref="C31:E31"/>
    <mergeCell ref="C32:E32"/>
    <mergeCell ref="C33:E33"/>
    <mergeCell ref="C7:H7"/>
    <mergeCell ref="C8:H8"/>
    <mergeCell ref="C9:H9"/>
    <mergeCell ref="B11:H11"/>
    <mergeCell ref="B21:H21"/>
    <mergeCell ref="A1:H1"/>
    <mergeCell ref="A2:H2"/>
    <mergeCell ref="B4:H4"/>
    <mergeCell ref="C5:H5"/>
    <mergeCell ref="C6:H6"/>
  </mergeCells>
  <phoneticPr fontId="20" type="noConversion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①Inspection Guide</vt:lpstr>
      <vt:lpstr>②Schedule &amp; Progress</vt:lpstr>
      <vt:lpstr>③Dept Asset Distribution</vt:lpstr>
      <vt:lpstr>④Dept Inspection Report</vt:lpstr>
      <vt:lpstr>⑤Discrepancy Analysis</vt:lpstr>
      <vt:lpstr>⑥Unregistered Asset Report</vt:lpstr>
      <vt:lpstr>⑦Disposal &amp; Loss Request</vt:lpstr>
      <vt:lpstr>⑧Asset Label</vt:lpstr>
      <vt:lpstr>⑨Final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2026-04-09T05:19:32Z</dcterms:created>
  <dcterms:modified xsi:type="dcterms:W3CDTF">2026-04-09T06:41:47Z</dcterms:modified>
  <dc:language>en-US</dc:language>
</cp:coreProperties>
</file>