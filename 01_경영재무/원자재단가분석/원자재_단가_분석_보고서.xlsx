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단가 데이터" sheetId="2" state="visible" r:id="rId4"/>
    <sheet name="변동률 분석" sheetId="3" state="visible" r:id="rId5"/>
    <sheet name="통계 분석" sheetId="4" state="visible" r:id="rId6"/>
    <sheet name="시장 전망" sheetId="5" state="visible" r:id="rId7"/>
    <sheet name="업체별 비교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<sst xmlns="http://schemas.openxmlformats.org/spreadsheetml/2006/main" count="314" uniqueCount="185">
  <si>
    <t xml:space="preserve">원자재 단가 변화 추이 분석 보고서</t>
  </si>
  <si>
    <r>
      <rPr>
        <sz val="11"/>
        <color rgb="FF666666"/>
        <rFont val="DejaVu Sans"/>
        <family val="2"/>
      </rPr>
      <t xml:space="preserve">알루미늄 합금 </t>
    </r>
    <r>
      <rPr>
        <sz val="11"/>
        <color rgb="FF666666"/>
        <rFont val="Arial"/>
        <family val="0"/>
        <charset val="1"/>
      </rPr>
      <t xml:space="preserve">(ADC12 / S3Y / S36)  |  </t>
    </r>
    <r>
      <rPr>
        <sz val="11"/>
        <color rgb="FF666666"/>
        <rFont val="DejaVu Sans"/>
        <family val="2"/>
      </rPr>
      <t xml:space="preserve">분석 기간</t>
    </r>
    <r>
      <rPr>
        <sz val="11"/>
        <color rgb="FF666666"/>
        <rFont val="Arial"/>
        <family val="0"/>
        <charset val="1"/>
      </rPr>
      <t xml:space="preserve">: 2025.1 ~ 2026.3  |  </t>
    </r>
    <r>
      <rPr>
        <sz val="11"/>
        <color rgb="FF666666"/>
        <rFont val="DejaVu Sans"/>
        <family val="2"/>
      </rPr>
      <t xml:space="preserve">작성일</t>
    </r>
    <r>
      <rPr>
        <sz val="11"/>
        <color rgb="FF666666"/>
        <rFont val="Arial"/>
        <family val="0"/>
        <charset val="1"/>
      </rPr>
      <t xml:space="preserve">: 2026.04.03</t>
    </r>
  </si>
  <si>
    <t xml:space="preserve">핵심 현황 요약</t>
  </si>
  <si>
    <t xml:space="preserve">전체 추세</t>
  </si>
  <si>
    <r>
      <rPr>
        <sz val="10"/>
        <color rgb="FF333333"/>
        <rFont val="Arial"/>
        <family val="0"/>
        <charset val="1"/>
      </rPr>
      <t xml:space="preserve">2025.Q2 </t>
    </r>
    <r>
      <rPr>
        <sz val="10"/>
        <color rgb="FF333333"/>
        <rFont val="DejaVu Sans"/>
        <family val="2"/>
      </rPr>
      <t xml:space="preserve">저점 → </t>
    </r>
    <r>
      <rPr>
        <sz val="10"/>
        <color rgb="FF333333"/>
        <rFont val="Arial"/>
        <family val="0"/>
        <charset val="1"/>
      </rPr>
      <t xml:space="preserve">2026.Q1 </t>
    </r>
    <r>
      <rPr>
        <sz val="10"/>
        <color rgb="FF333333"/>
        <rFont val="DejaVu Sans"/>
        <family val="2"/>
      </rPr>
      <t xml:space="preserve">최고점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전 품목 상승 추세 지속</t>
    </r>
  </si>
  <si>
    <t xml:space="preserve">ADC12 YoY</t>
  </si>
  <si>
    <r>
      <rPr>
        <sz val="10"/>
        <color rgb="FF333333"/>
        <rFont val="Arial"/>
        <family val="0"/>
        <charset val="1"/>
      </rPr>
      <t xml:space="preserve">Jan +4.2%, Feb +5.5%, Mar +5.3% </t>
    </r>
    <r>
      <rPr>
        <sz val="10"/>
        <color rgb="FF333333"/>
        <rFont val="DejaVu Sans"/>
        <family val="2"/>
      </rPr>
      <t xml:space="preserve">상승</t>
    </r>
  </si>
  <si>
    <t xml:space="preserve">S3Y YoY</t>
  </si>
  <si>
    <r>
      <rPr>
        <sz val="10"/>
        <color rgb="FF333333"/>
        <rFont val="Arial"/>
        <family val="0"/>
        <charset val="1"/>
      </rPr>
      <t xml:space="preserve">Jan +6.2%, Feb +10.7%, Mar +10.2% </t>
    </r>
    <r>
      <rPr>
        <sz val="10"/>
        <color rgb="FF333333"/>
        <rFont val="DejaVu Sans"/>
        <family val="2"/>
      </rPr>
      <t xml:space="preserve">상승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최대 상승폭</t>
    </r>
    <r>
      <rPr>
        <sz val="10"/>
        <color rgb="FF333333"/>
        <rFont val="Arial"/>
        <family val="0"/>
        <charset val="1"/>
      </rPr>
      <t xml:space="preserve">)</t>
    </r>
  </si>
  <si>
    <t xml:space="preserve">S36 YoY</t>
  </si>
  <si>
    <r>
      <rPr>
        <sz val="10"/>
        <color rgb="FF333333"/>
        <rFont val="Arial"/>
        <family val="0"/>
        <charset val="1"/>
      </rPr>
      <t xml:space="preserve">Jan +6.3%, Feb +10.9%, Mar +9.3% </t>
    </r>
    <r>
      <rPr>
        <sz val="10"/>
        <color rgb="FF333333"/>
        <rFont val="DejaVu Sans"/>
        <family val="2"/>
      </rPr>
      <t xml:space="preserve">상승</t>
    </r>
  </si>
  <si>
    <t xml:space="preserve">품목 동조화</t>
  </si>
  <si>
    <r>
      <rPr>
        <sz val="10"/>
        <color rgb="FF333333"/>
        <rFont val="DejaVu Sans"/>
        <family val="2"/>
      </rPr>
      <t xml:space="preserve">상관계수 </t>
    </r>
    <r>
      <rPr>
        <sz val="10"/>
        <color rgb="FF333333"/>
        <rFont val="Arial"/>
        <family val="0"/>
        <charset val="1"/>
      </rPr>
      <t xml:space="preserve">0.94~0.99 — </t>
    </r>
    <r>
      <rPr>
        <sz val="10"/>
        <color rgb="FF333333"/>
        <rFont val="DejaVu Sans"/>
        <family val="2"/>
      </rPr>
      <t xml:space="preserve">세 품목 동반 상승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하락 확인</t>
    </r>
  </si>
  <si>
    <t xml:space="preserve">시장 전망</t>
  </si>
  <si>
    <r>
      <rPr>
        <sz val="10"/>
        <color rgb="FF333333"/>
        <rFont val="DejaVu Sans"/>
        <family val="2"/>
      </rPr>
      <t xml:space="preserve">상반기 상승 지속 </t>
    </r>
    <r>
      <rPr>
        <sz val="10"/>
        <color rgb="FF333333"/>
        <rFont val="Arial"/>
        <family val="0"/>
        <charset val="1"/>
      </rPr>
      <t xml:space="preserve">(GS $3,150/</t>
    </r>
    <r>
      <rPr>
        <sz val="10"/>
        <color rgb="FF333333"/>
        <rFont val="DejaVu Sans"/>
        <family val="2"/>
      </rPr>
      <t xml:space="preserve">톤</t>
    </r>
    <r>
      <rPr>
        <sz val="10"/>
        <color rgb="FF333333"/>
        <rFont val="Arial"/>
        <family val="0"/>
        <charset val="1"/>
      </rPr>
      <t xml:space="preserve">), </t>
    </r>
    <r>
      <rPr>
        <sz val="10"/>
        <color rgb="FF333333"/>
        <rFont val="DejaVu Sans"/>
        <family val="2"/>
      </rPr>
      <t xml:space="preserve">하반기 </t>
    </r>
    <r>
      <rPr>
        <sz val="10"/>
        <color rgb="FF333333"/>
        <rFont val="Arial"/>
        <family val="0"/>
        <charset val="1"/>
      </rPr>
      <t xml:space="preserve">$2,700~$2,800 </t>
    </r>
    <r>
      <rPr>
        <sz val="10"/>
        <color rgb="FF333333"/>
        <rFont val="DejaVu Sans"/>
        <family val="2"/>
      </rPr>
      <t xml:space="preserve">수렴 가능</t>
    </r>
  </si>
  <si>
    <t xml:space="preserve">구매 전략 제언</t>
  </si>
  <si>
    <r>
      <rPr>
        <b val="true"/>
        <sz val="10"/>
        <color rgb="FF333333"/>
        <rFont val="Arial"/>
        <family val="0"/>
        <charset val="1"/>
      </rPr>
      <t xml:space="preserve">1. </t>
    </r>
    <r>
      <rPr>
        <b val="true"/>
        <sz val="10"/>
        <color rgb="FF333333"/>
        <rFont val="DejaVu Sans"/>
        <family val="2"/>
      </rPr>
      <t xml:space="preserve">장기계약 전환</t>
    </r>
  </si>
  <si>
    <r>
      <rPr>
        <sz val="10"/>
        <color rgb="FF333333"/>
        <rFont val="Arial"/>
        <family val="0"/>
        <charset val="1"/>
      </rPr>
      <t xml:space="preserve">CHIEN THANG </t>
    </r>
    <r>
      <rPr>
        <sz val="10"/>
        <color rgb="FF333333"/>
        <rFont val="DejaVu Sans"/>
        <family val="2"/>
      </rPr>
      <t xml:space="preserve">등 주요 업체와 </t>
    </r>
    <r>
      <rPr>
        <sz val="10"/>
        <color rgb="FF333333"/>
        <rFont val="Arial"/>
        <family val="0"/>
        <charset val="1"/>
      </rPr>
      <t xml:space="preserve">6~12</t>
    </r>
    <r>
      <rPr>
        <sz val="10"/>
        <color rgb="FF333333"/>
        <rFont val="DejaVu Sans"/>
        <family val="2"/>
      </rPr>
      <t xml:space="preserve">개월 고정가 계약 → 추가 상승 리스크 헤지</t>
    </r>
  </si>
  <si>
    <r>
      <rPr>
        <b val="true"/>
        <sz val="10"/>
        <color rgb="FF333333"/>
        <rFont val="Arial"/>
        <family val="0"/>
        <charset val="1"/>
      </rPr>
      <t xml:space="preserve">2. </t>
    </r>
    <r>
      <rPr>
        <b val="true"/>
        <sz val="10"/>
        <color rgb="FF333333"/>
        <rFont val="DejaVu Sans"/>
        <family val="2"/>
      </rPr>
      <t xml:space="preserve">공급선 다변화</t>
    </r>
  </si>
  <si>
    <r>
      <rPr>
        <sz val="10"/>
        <color rgb="FF333333"/>
        <rFont val="Arial"/>
        <family val="0"/>
        <charset val="1"/>
      </rPr>
      <t xml:space="preserve">TONKIN(S36 $3.23, CT </t>
    </r>
    <r>
      <rPr>
        <sz val="10"/>
        <color rgb="FF333333"/>
        <rFont val="DejaVu Sans"/>
        <family val="2"/>
      </rPr>
      <t xml:space="preserve">대비 </t>
    </r>
    <r>
      <rPr>
        <sz val="10"/>
        <color rgb="FF333333"/>
        <rFont val="Arial"/>
        <family val="0"/>
        <charset val="1"/>
      </rPr>
      <t xml:space="preserve">-10.6%) </t>
    </r>
    <r>
      <rPr>
        <sz val="10"/>
        <color rgb="FF333333"/>
        <rFont val="DejaVu Sans"/>
        <family val="2"/>
      </rPr>
      <t xml:space="preserve">물량 확대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내부 재생</t>
    </r>
    <r>
      <rPr>
        <sz val="10"/>
        <color rgb="FF333333"/>
        <rFont val="Arial"/>
        <family val="0"/>
        <charset val="1"/>
      </rPr>
      <t xml:space="preserve">(Recycling) </t>
    </r>
    <r>
      <rPr>
        <sz val="10"/>
        <color rgb="FF333333"/>
        <rFont val="DejaVu Sans"/>
        <family val="2"/>
      </rPr>
      <t xml:space="preserve">비율 확충</t>
    </r>
  </si>
  <si>
    <r>
      <rPr>
        <b val="true"/>
        <sz val="10"/>
        <color rgb="FF333333"/>
        <rFont val="Arial"/>
        <family val="0"/>
        <charset val="1"/>
      </rPr>
      <t xml:space="preserve">3. </t>
    </r>
    <r>
      <rPr>
        <b val="true"/>
        <sz val="10"/>
        <color rgb="FF333333"/>
        <rFont val="DejaVu Sans"/>
        <family val="2"/>
      </rPr>
      <t xml:space="preserve">안전재고 확충</t>
    </r>
  </si>
  <si>
    <r>
      <rPr>
        <sz val="10"/>
        <color rgb="FF333333"/>
        <rFont val="Arial"/>
        <family val="0"/>
        <charset val="1"/>
      </rPr>
      <t xml:space="preserve">1.5~2</t>
    </r>
    <r>
      <rPr>
        <sz val="10"/>
        <color rgb="FF333333"/>
        <rFont val="DejaVu Sans"/>
        <family val="2"/>
      </rPr>
      <t xml:space="preserve">개월분 비축 </t>
    </r>
    <r>
      <rPr>
        <sz val="10"/>
        <color rgb="FF333333"/>
        <rFont val="Arial"/>
        <family val="0"/>
        <charset val="1"/>
      </rPr>
      <t xml:space="preserve">(ADC12 ~360</t>
    </r>
    <r>
      <rPr>
        <sz val="10"/>
        <color rgb="FF333333"/>
        <rFont val="DejaVu Sans"/>
        <family val="2"/>
      </rPr>
      <t xml:space="preserve">톤</t>
    </r>
    <r>
      <rPr>
        <sz val="10"/>
        <color rgb="FF333333"/>
        <rFont val="Arial"/>
        <family val="0"/>
        <charset val="1"/>
      </rPr>
      <t xml:space="preserve">, S36 ~160</t>
    </r>
    <r>
      <rPr>
        <sz val="10"/>
        <color rgb="FF333333"/>
        <rFont val="DejaVu Sans"/>
        <family val="2"/>
      </rPr>
      <t xml:space="preserve">톤</t>
    </r>
    <r>
      <rPr>
        <sz val="10"/>
        <color rgb="FF333333"/>
        <rFont val="Arial"/>
        <family val="0"/>
        <charset val="1"/>
      </rPr>
      <t xml:space="preserve">, S3Y ~60</t>
    </r>
    <r>
      <rPr>
        <sz val="10"/>
        <color rgb="FF333333"/>
        <rFont val="DejaVu Sans"/>
        <family val="2"/>
      </rPr>
      <t xml:space="preserve">톤</t>
    </r>
    <r>
      <rPr>
        <sz val="10"/>
        <color rgb="FF333333"/>
        <rFont val="Arial"/>
        <family val="0"/>
        <charset val="1"/>
      </rPr>
      <t xml:space="preserve">)</t>
    </r>
  </si>
  <si>
    <r>
      <rPr>
        <b val="true"/>
        <sz val="10"/>
        <color rgb="FF333333"/>
        <rFont val="Arial"/>
        <family val="0"/>
        <charset val="1"/>
      </rPr>
      <t xml:space="preserve">4. </t>
    </r>
    <r>
      <rPr>
        <b val="true"/>
        <sz val="10"/>
        <color rgb="FF333333"/>
        <rFont val="DejaVu Sans"/>
        <family val="2"/>
      </rPr>
      <t xml:space="preserve">환율 헤징</t>
    </r>
  </si>
  <si>
    <r>
      <rPr>
        <sz val="10"/>
        <color rgb="FF333333"/>
        <rFont val="DejaVu Sans"/>
        <family val="2"/>
      </rPr>
      <t xml:space="preserve">선물환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통화옵션으로 </t>
    </r>
    <r>
      <rPr>
        <sz val="10"/>
        <color rgb="FF333333"/>
        <rFont val="Arial"/>
        <family val="0"/>
        <charset val="1"/>
      </rPr>
      <t xml:space="preserve">VND/USD </t>
    </r>
    <r>
      <rPr>
        <sz val="10"/>
        <color rgb="FF333333"/>
        <rFont val="DejaVu Sans"/>
        <family val="2"/>
      </rPr>
      <t xml:space="preserve">변동 관리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가능 시 </t>
    </r>
    <r>
      <rPr>
        <sz val="10"/>
        <color rgb="FF333333"/>
        <rFont val="Arial"/>
        <family val="0"/>
        <charset val="1"/>
      </rPr>
      <t xml:space="preserve">VND </t>
    </r>
    <r>
      <rPr>
        <sz val="10"/>
        <color rgb="FF333333"/>
        <rFont val="DejaVu Sans"/>
        <family val="2"/>
      </rPr>
      <t xml:space="preserve">결제 비율 확대</t>
    </r>
  </si>
  <si>
    <r>
      <rPr>
        <b val="true"/>
        <sz val="10"/>
        <color rgb="FF333333"/>
        <rFont val="Arial"/>
        <family val="0"/>
        <charset val="1"/>
      </rPr>
      <t xml:space="preserve">5. </t>
    </r>
    <r>
      <rPr>
        <b val="true"/>
        <sz val="10"/>
        <color rgb="FF333333"/>
        <rFont val="DejaVu Sans"/>
        <family val="2"/>
      </rPr>
      <t xml:space="preserve">가격연동 조항</t>
    </r>
  </si>
  <si>
    <r>
      <rPr>
        <sz val="10"/>
        <color rgb="FF333333"/>
        <rFont val="Arial"/>
        <family val="0"/>
        <charset val="1"/>
      </rPr>
      <t xml:space="preserve">LME/SHFE </t>
    </r>
    <r>
      <rPr>
        <sz val="10"/>
        <color rgb="FF333333"/>
        <rFont val="DejaVu Sans"/>
        <family val="2"/>
      </rPr>
      <t xml:space="preserve">지수 연동 </t>
    </r>
    <r>
      <rPr>
        <sz val="10"/>
        <color rgb="FF333333"/>
        <rFont val="Arial"/>
        <family val="0"/>
        <charset val="1"/>
      </rPr>
      <t xml:space="preserve">Price Adjustment Clause (Cap/Floor </t>
    </r>
    <r>
      <rPr>
        <sz val="10"/>
        <color rgb="FF333333"/>
        <rFont val="DejaVu Sans"/>
        <family val="2"/>
      </rPr>
      <t xml:space="preserve">설정</t>
    </r>
    <r>
      <rPr>
        <sz val="10"/>
        <color rgb="FF333333"/>
        <rFont val="Arial"/>
        <family val="0"/>
        <charset val="1"/>
      </rPr>
      <t xml:space="preserve">)</t>
    </r>
  </si>
  <si>
    <t xml:space="preserve">주요 리스크 요인</t>
  </si>
  <si>
    <r>
      <rPr>
        <sz val="10"/>
        <color rgb="FFCC0000"/>
        <rFont val="DejaVu Sans"/>
        <family val="2"/>
      </rPr>
      <t xml:space="preserve">  ▸  중국 생산 용량 상한</t>
    </r>
    <r>
      <rPr>
        <sz val="10"/>
        <color rgb="FFCC0000"/>
        <rFont val="Arial"/>
        <family val="0"/>
        <charset val="1"/>
      </rPr>
      <t xml:space="preserve">(4,550</t>
    </r>
    <r>
      <rPr>
        <sz val="10"/>
        <color rgb="FFCC0000"/>
        <rFont val="DejaVu Sans"/>
        <family val="2"/>
      </rPr>
      <t xml:space="preserve">만 톤</t>
    </r>
    <r>
      <rPr>
        <sz val="10"/>
        <color rgb="FFCC0000"/>
        <rFont val="Arial"/>
        <family val="0"/>
        <charset val="1"/>
      </rPr>
      <t xml:space="preserve">) Q2 </t>
    </r>
    <r>
      <rPr>
        <sz val="10"/>
        <color rgb="FFCC0000"/>
        <rFont val="DejaVu Sans"/>
        <family val="2"/>
      </rPr>
      <t xml:space="preserve">도달 → 글로벌 공급 긴축 심화</t>
    </r>
  </si>
  <si>
    <t xml:space="preserve">  ▸  기니 보크사이트 수출 쿼터 검토 → 원료 공급 제한 가능성</t>
  </si>
  <si>
    <r>
      <rPr>
        <sz val="10"/>
        <color rgb="FFCC0000"/>
        <rFont val="DejaVu Sans"/>
        <family val="2"/>
      </rPr>
      <t xml:space="preserve">  ▸  중동 지정학 리스크 </t>
    </r>
    <r>
      <rPr>
        <sz val="10"/>
        <color rgb="FFCC0000"/>
        <rFont val="Arial"/>
        <family val="0"/>
        <charset val="1"/>
      </rPr>
      <t xml:space="preserve">(</t>
    </r>
    <r>
      <rPr>
        <sz val="10"/>
        <color rgb="FFCC0000"/>
        <rFont val="DejaVu Sans"/>
        <family val="2"/>
      </rPr>
      <t xml:space="preserve">걸프 지역 </t>
    </r>
    <r>
      <rPr>
        <sz val="10"/>
        <color rgb="FFCC0000"/>
        <rFont val="Arial"/>
        <family val="0"/>
        <charset val="1"/>
      </rPr>
      <t xml:space="preserve">= </t>
    </r>
    <r>
      <rPr>
        <sz val="10"/>
        <color rgb="FFCC0000"/>
        <rFont val="DejaVu Sans"/>
        <family val="2"/>
      </rPr>
      <t xml:space="preserve">글로벌 생산의 </t>
    </r>
    <r>
      <rPr>
        <sz val="10"/>
        <color rgb="FFCC0000"/>
        <rFont val="Arial"/>
        <family val="0"/>
        <charset val="1"/>
      </rPr>
      <t xml:space="preserve">~10%)</t>
    </r>
  </si>
  <si>
    <r>
      <rPr>
        <sz val="10"/>
        <color rgb="FFCC0000"/>
        <rFont val="Arial"/>
        <family val="0"/>
        <charset val="1"/>
      </rPr>
      <t xml:space="preserve">  ▸  LME </t>
    </r>
    <r>
      <rPr>
        <sz val="10"/>
        <color rgb="FFCC0000"/>
        <rFont val="DejaVu Sans"/>
        <family val="2"/>
      </rPr>
      <t xml:space="preserve">창고 재고 </t>
    </r>
    <r>
      <rPr>
        <sz val="10"/>
        <color rgb="FFCC0000"/>
        <rFont val="Arial"/>
        <family val="0"/>
        <charset val="1"/>
      </rPr>
      <t xml:space="preserve">418,675</t>
    </r>
    <r>
      <rPr>
        <sz val="10"/>
        <color rgb="FFCC0000"/>
        <rFont val="DejaVu Sans"/>
        <family val="2"/>
      </rPr>
      <t xml:space="preserve">톤 </t>
    </r>
    <r>
      <rPr>
        <sz val="10"/>
        <color rgb="FFCC0000"/>
        <rFont val="Arial"/>
        <family val="0"/>
        <charset val="1"/>
      </rPr>
      <t xml:space="preserve">(2025.7 </t>
    </r>
    <r>
      <rPr>
        <sz val="10"/>
        <color rgb="FFCC0000"/>
        <rFont val="DejaVu Sans"/>
        <family val="2"/>
      </rPr>
      <t xml:space="preserve">이후 최저</t>
    </r>
    <r>
      <rPr>
        <sz val="10"/>
        <color rgb="FFCC0000"/>
        <rFont val="Arial"/>
        <family val="0"/>
        <charset val="1"/>
      </rPr>
      <t xml:space="preserve">) → </t>
    </r>
    <r>
      <rPr>
        <sz val="10"/>
        <color rgb="FFCC0000"/>
        <rFont val="DejaVu Sans"/>
        <family val="2"/>
      </rPr>
      <t xml:space="preserve">현물 긴축</t>
    </r>
  </si>
  <si>
    <r>
      <rPr>
        <sz val="10"/>
        <color rgb="FFCC0000"/>
        <rFont val="Arial"/>
        <family val="0"/>
        <charset val="1"/>
      </rPr>
      <t xml:space="preserve">  ▸  REGAL </t>
    </r>
    <r>
      <rPr>
        <sz val="10"/>
        <color rgb="FFCC0000"/>
        <rFont val="DejaVu Sans"/>
        <family val="2"/>
      </rPr>
      <t xml:space="preserve">가격 프리미엄 </t>
    </r>
    <r>
      <rPr>
        <sz val="10"/>
        <color rgb="FFCC0000"/>
        <rFont val="Arial"/>
        <family val="0"/>
        <charset val="1"/>
      </rPr>
      <t xml:space="preserve">+21% (ADC12 </t>
    </r>
    <r>
      <rPr>
        <sz val="10"/>
        <color rgb="FFCC0000"/>
        <rFont val="DejaVu Sans"/>
        <family val="2"/>
      </rPr>
      <t xml:space="preserve">기준</t>
    </r>
    <r>
      <rPr>
        <sz val="10"/>
        <color rgb="FFCC0000"/>
        <rFont val="Arial"/>
        <family val="0"/>
        <charset val="1"/>
      </rPr>
      <t xml:space="preserve">) → </t>
    </r>
    <r>
      <rPr>
        <sz val="10"/>
        <color rgb="FFCC0000"/>
        <rFont val="DejaVu Sans"/>
        <family val="2"/>
      </rPr>
      <t xml:space="preserve">공급업체 교섭력 약화 우려</t>
    </r>
  </si>
  <si>
    <r>
      <rPr>
        <b val="true"/>
        <sz val="16"/>
        <color rgb="FF2E4057"/>
        <rFont val="DejaVu Sans"/>
        <family val="2"/>
      </rPr>
      <t xml:space="preserve">품목별 월별 단가 </t>
    </r>
    <r>
      <rPr>
        <b val="true"/>
        <sz val="16"/>
        <color rgb="FF2E4057"/>
        <rFont val="Arial"/>
        <family val="0"/>
        <charset val="1"/>
      </rPr>
      <t xml:space="preserve">(USD/KG) — </t>
    </r>
    <r>
      <rPr>
        <b val="true"/>
        <sz val="16"/>
        <color rgb="FF2E4057"/>
        <rFont val="DejaVu Sans"/>
        <family val="2"/>
      </rPr>
      <t xml:space="preserve">기준 업체</t>
    </r>
    <r>
      <rPr>
        <b val="true"/>
        <sz val="16"/>
        <color rgb="FF2E4057"/>
        <rFont val="Arial"/>
        <family val="0"/>
        <charset val="1"/>
      </rPr>
      <t xml:space="preserve">: CHIEN THANG</t>
    </r>
  </si>
  <si>
    <t xml:space="preserve">품목</t>
  </si>
  <si>
    <t xml:space="preserve">'25.1</t>
  </si>
  <si>
    <t xml:space="preserve">'25.2</t>
  </si>
  <si>
    <t xml:space="preserve">'25.3</t>
  </si>
  <si>
    <t xml:space="preserve">'25.4</t>
  </si>
  <si>
    <t xml:space="preserve">'25.5</t>
  </si>
  <si>
    <t xml:space="preserve">'25.6</t>
  </si>
  <si>
    <t xml:space="preserve">'25.7</t>
  </si>
  <si>
    <t xml:space="preserve">'25.8</t>
  </si>
  <si>
    <t xml:space="preserve">'25.9</t>
  </si>
  <si>
    <t xml:space="preserve">'25.10</t>
  </si>
  <si>
    <t xml:space="preserve">'25.11</t>
  </si>
  <si>
    <t xml:space="preserve">'25.12</t>
  </si>
  <si>
    <t xml:space="preserve">'26.1</t>
  </si>
  <si>
    <t xml:space="preserve">'26.2</t>
  </si>
  <si>
    <t xml:space="preserve">'26.3</t>
  </si>
  <si>
    <t xml:space="preserve">ADC12</t>
  </si>
  <si>
    <t xml:space="preserve">S3Y</t>
  </si>
  <si>
    <t xml:space="preserve">S36</t>
  </si>
  <si>
    <r>
      <rPr>
        <b val="true"/>
        <sz val="16"/>
        <color rgb="FF2E4057"/>
        <rFont val="DejaVu Sans"/>
        <family val="2"/>
      </rPr>
      <t xml:space="preserve">품목별 월별 단가 </t>
    </r>
    <r>
      <rPr>
        <b val="true"/>
        <sz val="16"/>
        <color rgb="FF2E4057"/>
        <rFont val="Arial"/>
        <family val="0"/>
        <charset val="1"/>
      </rPr>
      <t xml:space="preserve">(VND/KG) — </t>
    </r>
    <r>
      <rPr>
        <b val="true"/>
        <sz val="16"/>
        <color rgb="FF2E4057"/>
        <rFont val="DejaVu Sans"/>
        <family val="2"/>
      </rPr>
      <t xml:space="preserve">기준 업체</t>
    </r>
    <r>
      <rPr>
        <b val="true"/>
        <sz val="16"/>
        <color rgb="FF2E4057"/>
        <rFont val="Arial"/>
        <family val="0"/>
        <charset val="1"/>
      </rPr>
      <t xml:space="preserve">: CHIEN THANG</t>
    </r>
  </si>
  <si>
    <r>
      <rPr>
        <b val="true"/>
        <sz val="16"/>
        <color rgb="FF2E4057"/>
        <rFont val="Arial"/>
        <family val="0"/>
        <charset val="1"/>
      </rPr>
      <t xml:space="preserve">MoM </t>
    </r>
    <r>
      <rPr>
        <b val="true"/>
        <sz val="16"/>
        <color rgb="FF2E4057"/>
        <rFont val="DejaVu Sans"/>
        <family val="2"/>
      </rPr>
      <t xml:space="preserve">전월 대비 변동률 </t>
    </r>
    <r>
      <rPr>
        <b val="true"/>
        <sz val="16"/>
        <color rgb="FF2E4057"/>
        <rFont val="Arial"/>
        <family val="0"/>
        <charset val="1"/>
      </rPr>
      <t xml:space="preserve">(%)</t>
    </r>
  </si>
  <si>
    <t xml:space="preserve">-</t>
  </si>
  <si>
    <r>
      <rPr>
        <b val="true"/>
        <sz val="16"/>
        <color rgb="FF2E4057"/>
        <rFont val="Arial"/>
        <family val="0"/>
        <charset val="1"/>
      </rPr>
      <t xml:space="preserve">QoQ </t>
    </r>
    <r>
      <rPr>
        <b val="true"/>
        <sz val="16"/>
        <color rgb="FF2E4057"/>
        <rFont val="DejaVu Sans"/>
        <family val="2"/>
      </rPr>
      <t xml:space="preserve">분기 대비 평균 단가 및 변동률</t>
    </r>
  </si>
  <si>
    <t xml:space="preserve">분기</t>
  </si>
  <si>
    <r>
      <rPr>
        <b val="true"/>
        <sz val="10"/>
        <color rgb="FFFFFFFF"/>
        <rFont val="Arial"/>
        <family val="0"/>
        <charset val="1"/>
      </rPr>
      <t xml:space="preserve">ADC12 </t>
    </r>
    <r>
      <rPr>
        <b val="true"/>
        <sz val="10"/>
        <color rgb="FFFFFFFF"/>
        <rFont val="DejaVu Sans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</si>
  <si>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S3Y </t>
    </r>
    <r>
      <rPr>
        <b val="true"/>
        <sz val="10"/>
        <color rgb="FFFFFFFF"/>
        <rFont val="DejaVu Sans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</si>
  <si>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S36 </t>
    </r>
    <r>
      <rPr>
        <b val="true"/>
        <sz val="10"/>
        <color rgb="FFFFFFFF"/>
        <rFont val="DejaVu Sans"/>
        <family val="2"/>
      </rPr>
      <t xml:space="preserve">평균</t>
    </r>
  </si>
  <si>
    <t xml:space="preserve">ADC12 QoQ</t>
  </si>
  <si>
    <t xml:space="preserve">S3Y QoQ</t>
  </si>
  <si>
    <t xml:space="preserve">S36 QoQ</t>
  </si>
  <si>
    <t xml:space="preserve">Q1-25</t>
  </si>
  <si>
    <t xml:space="preserve">Q2-25</t>
  </si>
  <si>
    <t xml:space="preserve">Q3-25</t>
  </si>
  <si>
    <t xml:space="preserve">Q4-25</t>
  </si>
  <si>
    <t xml:space="preserve">Q1-26</t>
  </si>
  <si>
    <r>
      <rPr>
        <b val="true"/>
        <sz val="16"/>
        <color rgb="FF2E4057"/>
        <rFont val="Arial"/>
        <family val="0"/>
        <charset val="1"/>
      </rPr>
      <t xml:space="preserve">YoY </t>
    </r>
    <r>
      <rPr>
        <b val="true"/>
        <sz val="16"/>
        <color rgb="FF2E4057"/>
        <rFont val="DejaVu Sans"/>
        <family val="2"/>
      </rPr>
      <t xml:space="preserve">전년 동기 대비 변동률</t>
    </r>
  </si>
  <si>
    <t xml:space="preserve">월</t>
  </si>
  <si>
    <t xml:space="preserve">2025</t>
  </si>
  <si>
    <t xml:space="preserve">2026</t>
  </si>
  <si>
    <r>
      <rPr>
        <b val="true"/>
        <sz val="10"/>
        <color rgb="FFFFFFFF"/>
        <rFont val="Arial"/>
        <family val="0"/>
        <charset val="1"/>
      </rPr>
      <t xml:space="preserve">YoY </t>
    </r>
    <r>
      <rPr>
        <b val="true"/>
        <sz val="10"/>
        <color rgb="FFFFFFFF"/>
        <rFont val="DejaVu Sans"/>
        <family val="2"/>
      </rPr>
      <t xml:space="preserve">변동률</t>
    </r>
  </si>
  <si>
    <t xml:space="preserve">Jan</t>
  </si>
  <si>
    <t xml:space="preserve">Feb</t>
  </si>
  <si>
    <t xml:space="preserve">Mar</t>
  </si>
  <si>
    <r>
      <rPr>
        <b val="true"/>
        <sz val="16"/>
        <color rgb="FF2E4057"/>
        <rFont val="DejaVu Sans"/>
        <family val="2"/>
      </rPr>
      <t xml:space="preserve">구간 통계 및 변동성 분석 </t>
    </r>
    <r>
      <rPr>
        <b val="true"/>
        <sz val="16"/>
        <color rgb="FF2E4057"/>
        <rFont val="Arial"/>
        <family val="0"/>
        <charset val="1"/>
      </rPr>
      <t xml:space="preserve">(</t>
    </r>
    <r>
      <rPr>
        <b val="true"/>
        <sz val="16"/>
        <color rgb="FF2E4057"/>
        <rFont val="DejaVu Sans"/>
        <family val="2"/>
      </rPr>
      <t xml:space="preserve">분석 기간 전체</t>
    </r>
    <r>
      <rPr>
        <b val="true"/>
        <sz val="16"/>
        <color rgb="FF2E4057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</si>
  <si>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최저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시점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</si>
  <si>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최고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시점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</si>
  <si>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평균</t>
  </si>
  <si>
    <t xml:space="preserve">표준편차</t>
  </si>
  <si>
    <r>
      <rPr>
        <b val="true"/>
        <sz val="10"/>
        <color rgb="FFFFFFFF"/>
        <rFont val="DejaVu Sans"/>
        <family val="2"/>
      </rPr>
      <t xml:space="preserve">변동계수</t>
    </r>
    <r>
      <rPr>
        <b val="true"/>
        <sz val="10"/>
        <color rgb="FFFFFFFF"/>
        <rFont val="Arial"/>
        <family val="0"/>
        <charset val="1"/>
      </rPr>
      <t xml:space="preserve">(CV)</t>
    </r>
  </si>
  <si>
    <t xml:space="preserve">2.706 (Jun-25)</t>
  </si>
  <si>
    <t xml:space="preserve">3.115 (Mar-26)</t>
  </si>
  <si>
    <t xml:space="preserve">2.876</t>
  </si>
  <si>
    <t xml:space="preserve">0.117</t>
  </si>
  <si>
    <t xml:space="preserve">4.08%</t>
  </si>
  <si>
    <t xml:space="preserve">3.333 (May-25)</t>
  </si>
  <si>
    <t xml:space="preserve">3.923 (Mar-26)</t>
  </si>
  <si>
    <t xml:space="preserve">3.528</t>
  </si>
  <si>
    <t xml:space="preserve">0.173</t>
  </si>
  <si>
    <t xml:space="preserve">4.90%</t>
  </si>
  <si>
    <t xml:space="preserve">3.294 (May-25)</t>
  </si>
  <si>
    <t xml:space="preserve">3.846 (Mar-26)</t>
  </si>
  <si>
    <t xml:space="preserve">3.486</t>
  </si>
  <si>
    <t xml:space="preserve">0.167</t>
  </si>
  <si>
    <t xml:space="preserve">4.79%</t>
  </si>
  <si>
    <r>
      <rPr>
        <b val="true"/>
        <sz val="16"/>
        <color rgb="FF2E4057"/>
        <rFont val="DejaVu Sans"/>
        <family val="2"/>
      </rPr>
      <t xml:space="preserve">품목 간 가격 상관관계 </t>
    </r>
    <r>
      <rPr>
        <b val="true"/>
        <sz val="16"/>
        <color rgb="FF2E4057"/>
        <rFont val="Arial"/>
        <family val="0"/>
        <charset val="1"/>
      </rPr>
      <t xml:space="preserve">(</t>
    </r>
    <r>
      <rPr>
        <b val="true"/>
        <sz val="16"/>
        <color rgb="FF2E4057"/>
        <rFont val="DejaVu Sans"/>
        <family val="2"/>
      </rPr>
      <t xml:space="preserve">동조화 분석</t>
    </r>
    <r>
      <rPr>
        <b val="true"/>
        <sz val="16"/>
        <color rgb="FF2E4057"/>
        <rFont val="Arial"/>
        <family val="0"/>
        <charset val="1"/>
      </rPr>
      <t xml:space="preserve">)</t>
    </r>
  </si>
  <si>
    <r>
      <rPr>
        <b val="true"/>
        <sz val="16"/>
        <color rgb="FF2E4057"/>
        <rFont val="DejaVu Sans"/>
        <family val="2"/>
      </rPr>
      <t xml:space="preserve">이동평균 </t>
    </r>
    <r>
      <rPr>
        <b val="true"/>
        <sz val="16"/>
        <color rgb="FF2E4057"/>
        <rFont val="Arial"/>
        <family val="0"/>
        <charset val="1"/>
      </rPr>
      <t xml:space="preserve">(3</t>
    </r>
    <r>
      <rPr>
        <b val="true"/>
        <sz val="16"/>
        <color rgb="FF2E4057"/>
        <rFont val="DejaVu Sans"/>
        <family val="2"/>
      </rPr>
      <t xml:space="preserve">개월</t>
    </r>
    <r>
      <rPr>
        <b val="true"/>
        <sz val="16"/>
        <color rgb="FF2E4057"/>
        <rFont val="Arial"/>
        <family val="0"/>
        <charset val="1"/>
      </rPr>
      <t xml:space="preserve">/6</t>
    </r>
    <r>
      <rPr>
        <b val="true"/>
        <sz val="16"/>
        <color rgb="FF2E4057"/>
        <rFont val="DejaVu Sans"/>
        <family val="2"/>
      </rPr>
      <t xml:space="preserve">개월</t>
    </r>
    <r>
      <rPr>
        <b val="true"/>
        <sz val="16"/>
        <color rgb="FF2E4057"/>
        <rFont val="Arial"/>
        <family val="0"/>
        <charset val="1"/>
      </rPr>
      <t xml:space="preserve">) — ADC12 </t>
    </r>
    <r>
      <rPr>
        <b val="true"/>
        <sz val="16"/>
        <color rgb="FF2E4057"/>
        <rFont val="DejaVu Sans"/>
        <family val="2"/>
      </rPr>
      <t xml:space="preserve">예시</t>
    </r>
  </si>
  <si>
    <t xml:space="preserve">단가</t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</si>
  <si>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개월 </t>
    </r>
    <r>
      <rPr>
        <b val="true"/>
        <sz val="10"/>
        <color rgb="FFFFFFFF"/>
        <rFont val="Arial"/>
        <family val="0"/>
        <charset val="1"/>
      </rPr>
      <t xml:space="preserve">MA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</si>
  <si>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DejaVu Sans"/>
        <family val="2"/>
      </rPr>
      <t xml:space="preserve">개월 </t>
    </r>
    <r>
      <rPr>
        <b val="true"/>
        <sz val="10"/>
        <color rgb="FFFFFFFF"/>
        <rFont val="Arial"/>
        <family val="0"/>
        <charset val="1"/>
      </rPr>
      <t xml:space="preserve">MA</t>
    </r>
  </si>
  <si>
    <t xml:space="preserve">시장 전망 및 주요 변동 구간 분석</t>
  </si>
  <si>
    <t xml:space="preserve">주요 변동 구간</t>
  </si>
  <si>
    <t xml:space="preserve">구간</t>
  </si>
  <si>
    <t xml:space="preserve">기간</t>
  </si>
  <si>
    <t xml:space="preserve">변동률</t>
  </si>
  <si>
    <t xml:space="preserve">주요 원인</t>
  </si>
  <si>
    <t xml:space="preserve">급락</t>
  </si>
  <si>
    <t xml:space="preserve">25.3→25.6</t>
  </si>
  <si>
    <t xml:space="preserve">2.96→2.71</t>
  </si>
  <si>
    <t xml:space="preserve">3.56→3.33</t>
  </si>
  <si>
    <t xml:space="preserve">3.52→3.29</t>
  </si>
  <si>
    <t xml:space="preserve">-6~9%</t>
  </si>
  <si>
    <r>
      <rPr>
        <sz val="10"/>
        <color rgb="FF333333"/>
        <rFont val="DejaVu Sans"/>
        <family val="2"/>
      </rPr>
      <t xml:space="preserve">글로벌 경기 둔화 우려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중국 수출 증가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달러 강세</t>
    </r>
  </si>
  <si>
    <t xml:space="preserve">보합</t>
  </si>
  <si>
    <t xml:space="preserve">25.6→25.9</t>
  </si>
  <si>
    <t xml:space="preserve">2.71→2.77</t>
  </si>
  <si>
    <t xml:space="preserve">3.33→3.42</t>
  </si>
  <si>
    <t xml:space="preserve">3.29→3.38</t>
  </si>
  <si>
    <t xml:space="preserve">+1~3%</t>
  </si>
  <si>
    <r>
      <rPr>
        <sz val="10"/>
        <color rgb="FF333333"/>
        <rFont val="DejaVu Sans"/>
        <family val="2"/>
      </rPr>
      <t xml:space="preserve">수요 바닥 확인</t>
    </r>
    <r>
      <rPr>
        <sz val="10"/>
        <color rgb="FF333333"/>
        <rFont val="Arial"/>
        <family val="0"/>
        <charset val="1"/>
      </rPr>
      <t xml:space="preserve">, LME </t>
    </r>
    <r>
      <rPr>
        <sz val="10"/>
        <color rgb="FF333333"/>
        <rFont val="DejaVu Sans"/>
        <family val="2"/>
      </rPr>
      <t xml:space="preserve">재고 감소 시작</t>
    </r>
  </si>
  <si>
    <t xml:space="preserve">급등</t>
  </si>
  <si>
    <t xml:space="preserve">25.9→26.3</t>
  </si>
  <si>
    <t xml:space="preserve">2.77→3.12</t>
  </si>
  <si>
    <t xml:space="preserve">3.42→3.92</t>
  </si>
  <si>
    <t xml:space="preserve">3.38→3.85</t>
  </si>
  <si>
    <t xml:space="preserve">+12~15%</t>
  </si>
  <si>
    <r>
      <rPr>
        <sz val="10"/>
        <color rgb="FF333333"/>
        <rFont val="DejaVu Sans"/>
        <family val="2"/>
      </rPr>
      <t xml:space="preserve">중국 생산 상한 도달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중동 공급 차질</t>
    </r>
    <r>
      <rPr>
        <sz val="10"/>
        <color rgb="FF333333"/>
        <rFont val="Arial"/>
        <family val="0"/>
        <charset val="1"/>
      </rPr>
      <t xml:space="preserve">, LME $3,340/</t>
    </r>
    <r>
      <rPr>
        <sz val="10"/>
        <color rgb="FF333333"/>
        <rFont val="DejaVu Sans"/>
        <family val="2"/>
      </rPr>
      <t xml:space="preserve">톤</t>
    </r>
  </si>
  <si>
    <r>
      <rPr>
        <b val="true"/>
        <sz val="13"/>
        <color rgb="FF2E4057"/>
        <rFont val="DejaVu Sans"/>
        <family val="2"/>
      </rPr>
      <t xml:space="preserve">향후 </t>
    </r>
    <r>
      <rPr>
        <b val="true"/>
        <sz val="13"/>
        <color rgb="FF2E4057"/>
        <rFont val="Arial"/>
        <family val="0"/>
        <charset val="1"/>
      </rPr>
      <t xml:space="preserve">3~6</t>
    </r>
    <r>
      <rPr>
        <b val="true"/>
        <sz val="13"/>
        <color rgb="FF2E4057"/>
        <rFont val="DejaVu Sans"/>
        <family val="2"/>
      </rPr>
      <t xml:space="preserve">개월 전망</t>
    </r>
  </si>
  <si>
    <r>
      <rPr>
        <b val="true"/>
        <sz val="10"/>
        <color rgb="FFFFFFFF"/>
        <rFont val="DejaVu Sans"/>
        <family val="2"/>
      </rPr>
      <t xml:space="preserve">기관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출처</t>
    </r>
  </si>
  <si>
    <r>
      <rPr>
        <b val="true"/>
        <sz val="10"/>
        <color rgb="FFFFFFFF"/>
        <rFont val="DejaVu Sans"/>
        <family val="2"/>
      </rPr>
      <t xml:space="preserve">전망가 </t>
    </r>
    <r>
      <rPr>
        <b val="true"/>
        <sz val="10"/>
        <color rgb="FFFFFFFF"/>
        <rFont val="Arial"/>
        <family val="0"/>
        <charset val="1"/>
      </rPr>
      <t xml:space="preserve">($/</t>
    </r>
    <r>
      <rPr>
        <b val="true"/>
        <sz val="10"/>
        <color rgb="FFFFFFFF"/>
        <rFont val="DejaVu Sans"/>
        <family val="2"/>
      </rPr>
      <t xml:space="preserve">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</si>
  <si>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시기</t>
  </si>
  <si>
    <t xml:space="preserve">방향</t>
  </si>
  <si>
    <t xml:space="preserve">근거</t>
  </si>
  <si>
    <t xml:space="preserve">Goldman Sachs</t>
  </si>
  <si>
    <t xml:space="preserve">$3,150</t>
  </si>
  <si>
    <r>
      <rPr>
        <sz val="10"/>
        <color rgb="FF333333"/>
        <rFont val="Arial"/>
        <family val="0"/>
        <charset val="1"/>
      </rPr>
      <t xml:space="preserve">2026 </t>
    </r>
    <r>
      <rPr>
        <sz val="10"/>
        <color rgb="FF333333"/>
        <rFont val="DejaVu Sans"/>
        <family val="2"/>
      </rPr>
      <t xml:space="preserve">상반기</t>
    </r>
  </si>
  <si>
    <t xml:space="preserve">상승</t>
  </si>
  <si>
    <r>
      <rPr>
        <sz val="10"/>
        <color rgb="FF333333"/>
        <rFont val="DejaVu Sans"/>
        <family val="2"/>
      </rPr>
      <t xml:space="preserve">저재고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인도네시아 전력 불안</t>
    </r>
    <r>
      <rPr>
        <sz val="10"/>
        <color rgb="FF333333"/>
        <rFont val="Arial"/>
        <family val="0"/>
        <charset val="1"/>
      </rPr>
      <t xml:space="preserve">, EV </t>
    </r>
    <r>
      <rPr>
        <sz val="10"/>
        <color rgb="FF333333"/>
        <rFont val="DejaVu Sans"/>
        <family val="2"/>
      </rPr>
      <t xml:space="preserve">수요</t>
    </r>
  </si>
  <si>
    <t xml:space="preserve">BMI</t>
  </si>
  <si>
    <t xml:space="preserve">$3,100</t>
  </si>
  <si>
    <r>
      <rPr>
        <sz val="10"/>
        <color rgb="FF333333"/>
        <rFont val="Arial"/>
        <family val="0"/>
        <charset val="1"/>
      </rPr>
      <t xml:space="preserve">2026 </t>
    </r>
    <r>
      <rPr>
        <sz val="10"/>
        <color rgb="FF333333"/>
        <rFont val="DejaVu Sans"/>
        <family val="2"/>
      </rPr>
      <t xml:space="preserve">평균</t>
    </r>
  </si>
  <si>
    <r>
      <rPr>
        <sz val="10"/>
        <color rgb="FF333333"/>
        <rFont val="DejaVu Sans"/>
        <family val="2"/>
      </rPr>
      <t xml:space="preserve">공급 </t>
    </r>
    <r>
      <rPr>
        <sz val="10"/>
        <color rgb="FF333333"/>
        <rFont val="Arial"/>
        <family val="0"/>
        <charset val="1"/>
      </rPr>
      <t xml:space="preserve">squeeze </t>
    </r>
    <r>
      <rPr>
        <sz val="10"/>
        <color rgb="FF333333"/>
        <rFont val="DejaVu Sans"/>
        <family val="2"/>
      </rPr>
      <t xml:space="preserve">심화 전망</t>
    </r>
  </si>
  <si>
    <t xml:space="preserve">SMM</t>
  </si>
  <si>
    <t xml:space="preserve">$2,700~$2,800</t>
  </si>
  <si>
    <r>
      <rPr>
        <sz val="10"/>
        <color rgb="FF333333"/>
        <rFont val="Arial"/>
        <family val="0"/>
        <charset val="1"/>
      </rPr>
      <t xml:space="preserve">2026 </t>
    </r>
    <r>
      <rPr>
        <sz val="10"/>
        <color rgb="FF333333"/>
        <rFont val="DejaVu Sans"/>
        <family val="2"/>
      </rPr>
      <t xml:space="preserve">하반기</t>
    </r>
  </si>
  <si>
    <t xml:space="preserve">하락 수렴</t>
  </si>
  <si>
    <r>
      <rPr>
        <sz val="10"/>
        <color rgb="FF333333"/>
        <rFont val="DejaVu Sans"/>
        <family val="2"/>
      </rPr>
      <t xml:space="preserve">선고후저 패턴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수급 균형 회복</t>
    </r>
  </si>
  <si>
    <t xml:space="preserve">Trading Economics</t>
  </si>
  <si>
    <t xml:space="preserve">$2,600</t>
  </si>
  <si>
    <r>
      <rPr>
        <b val="true"/>
        <sz val="10"/>
        <color rgb="FF006600"/>
        <rFont val="DejaVu Sans"/>
        <family val="2"/>
      </rPr>
      <t xml:space="preserve">보합</t>
    </r>
    <r>
      <rPr>
        <b val="true"/>
        <sz val="10"/>
        <color rgb="FF006600"/>
        <rFont val="Arial"/>
        <family val="0"/>
        <charset val="1"/>
      </rPr>
      <t xml:space="preserve">~</t>
    </r>
    <r>
      <rPr>
        <b val="true"/>
        <sz val="10"/>
        <color rgb="FF006600"/>
        <rFont val="DejaVu Sans"/>
        <family val="2"/>
      </rPr>
      <t xml:space="preserve">하락</t>
    </r>
  </si>
  <si>
    <t xml:space="preserve">장기 균형가 회귀</t>
  </si>
  <si>
    <r>
      <rPr>
        <b val="true"/>
        <sz val="13"/>
        <color rgb="FF2E4057"/>
        <rFont val="DejaVu Sans"/>
        <family val="2"/>
      </rPr>
      <t xml:space="preserve">공급</t>
    </r>
    <r>
      <rPr>
        <b val="true"/>
        <sz val="13"/>
        <color rgb="FF2E4057"/>
        <rFont val="Arial"/>
        <family val="0"/>
        <charset val="1"/>
      </rPr>
      <t xml:space="preserve">·</t>
    </r>
    <r>
      <rPr>
        <b val="true"/>
        <sz val="13"/>
        <color rgb="FF2E4057"/>
        <rFont val="DejaVu Sans"/>
        <family val="2"/>
      </rPr>
      <t xml:space="preserve">수요 주요 요인 정리</t>
    </r>
  </si>
  <si>
    <t xml:space="preserve">구분</t>
  </si>
  <si>
    <t xml:space="preserve">요인</t>
  </si>
  <si>
    <t xml:space="preserve">영향</t>
  </si>
  <si>
    <t xml:space="preserve">강도</t>
  </si>
  <si>
    <r>
      <rPr>
        <b val="true"/>
        <sz val="10"/>
        <color rgb="FF333333"/>
        <rFont val="DejaVu Sans"/>
        <family val="2"/>
      </rPr>
      <t xml:space="preserve">공급 </t>
    </r>
    <r>
      <rPr>
        <b val="true"/>
        <sz val="10"/>
        <color rgb="FF333333"/>
        <rFont val="Arial"/>
        <family val="0"/>
        <charset val="1"/>
      </rPr>
      <t xml:space="preserve">(</t>
    </r>
    <r>
      <rPr>
        <b val="true"/>
        <sz val="10"/>
        <color rgb="FF333333"/>
        <rFont val="DejaVu Sans"/>
        <family val="2"/>
      </rPr>
      <t xml:space="preserve">상승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</si>
  <si>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중국 생산 상한 </t>
    </r>
    <r>
      <rPr>
        <sz val="10"/>
        <color rgb="FF333333"/>
        <rFont val="Arial"/>
        <family val="0"/>
        <charset val="1"/>
      </rPr>
      <t xml:space="preserve">4,550</t>
    </r>
    <r>
      <rPr>
        <sz val="10"/>
        <color rgb="FF333333"/>
        <rFont val="DejaVu Sans"/>
        <family val="2"/>
      </rPr>
      <t xml:space="preserve">만 톤 </t>
    </r>
    <r>
      <rPr>
        <sz val="10"/>
        <color rgb="FF333333"/>
        <rFont val="Arial"/>
        <family val="0"/>
        <charset val="1"/>
      </rPr>
      <t xml:space="preserve">(Q2 </t>
    </r>
    <r>
      <rPr>
        <sz val="10"/>
        <color rgb="FF333333"/>
        <rFont val="DejaVu Sans"/>
        <family val="2"/>
      </rPr>
      <t xml:space="preserve">도달</t>
    </r>
    <r>
      <rPr>
        <sz val="10"/>
        <color rgb="FF333333"/>
        <rFont val="Arial"/>
        <family val="0"/>
        <charset val="1"/>
      </rPr>
      <t xml:space="preserve">)</t>
    </r>
  </si>
  <si>
    <t xml:space="preserve">공급 제한</t>
  </si>
  <si>
    <t xml:space="preserve">★★★★★</t>
  </si>
  <si>
    <t xml:space="preserve">기니 보크사이트 수출 쿼터 검토</t>
  </si>
  <si>
    <t xml:space="preserve">원료 공급 축소</t>
  </si>
  <si>
    <t xml:space="preserve">★★★★</t>
  </si>
  <si>
    <t xml:space="preserve">중동 분쟁 → 걸프 제련소 차질</t>
  </si>
  <si>
    <r>
      <rPr>
        <sz val="10"/>
        <color rgb="FF333333"/>
        <rFont val="DejaVu Sans"/>
        <family val="2"/>
      </rPr>
      <t xml:space="preserve">생산 </t>
    </r>
    <r>
      <rPr>
        <sz val="10"/>
        <color rgb="FF333333"/>
        <rFont val="Arial"/>
        <family val="0"/>
        <charset val="1"/>
      </rPr>
      <t xml:space="preserve">10% </t>
    </r>
    <r>
      <rPr>
        <sz val="10"/>
        <color rgb="FF333333"/>
        <rFont val="DejaVu Sans"/>
        <family val="2"/>
      </rPr>
      <t xml:space="preserve">리스크</t>
    </r>
  </si>
  <si>
    <r>
      <rPr>
        <sz val="10"/>
        <color rgb="FF333333"/>
        <rFont val="Arial"/>
        <family val="0"/>
        <charset val="1"/>
      </rPr>
      <t xml:space="preserve">LME </t>
    </r>
    <r>
      <rPr>
        <sz val="10"/>
        <color rgb="FF333333"/>
        <rFont val="DejaVu Sans"/>
        <family val="2"/>
      </rPr>
      <t xml:space="preserve">재고 최저 </t>
    </r>
    <r>
      <rPr>
        <sz val="10"/>
        <color rgb="FF333333"/>
        <rFont val="Arial"/>
        <family val="0"/>
        <charset val="1"/>
      </rPr>
      <t xml:space="preserve">(418K</t>
    </r>
    <r>
      <rPr>
        <sz val="10"/>
        <color rgb="FF333333"/>
        <rFont val="DejaVu Sans"/>
        <family val="2"/>
      </rPr>
      <t xml:space="preserve">톤</t>
    </r>
    <r>
      <rPr>
        <sz val="10"/>
        <color rgb="FF333333"/>
        <rFont val="Arial"/>
        <family val="0"/>
        <charset val="1"/>
      </rPr>
      <t xml:space="preserve">)</t>
    </r>
  </si>
  <si>
    <t xml:space="preserve">현물 긴축</t>
  </si>
  <si>
    <t xml:space="preserve">★★★</t>
  </si>
  <si>
    <r>
      <rPr>
        <b val="true"/>
        <sz val="10"/>
        <color rgb="FF333333"/>
        <rFont val="DejaVu Sans"/>
        <family val="2"/>
      </rPr>
      <t xml:space="preserve">수요 </t>
    </r>
    <r>
      <rPr>
        <b val="true"/>
        <sz val="10"/>
        <color rgb="FF333333"/>
        <rFont val="Arial"/>
        <family val="0"/>
        <charset val="1"/>
      </rPr>
      <t xml:space="preserve">(</t>
    </r>
    <r>
      <rPr>
        <b val="true"/>
        <sz val="10"/>
        <color rgb="FF333333"/>
        <rFont val="DejaVu Sans"/>
        <family val="2"/>
      </rPr>
      <t xml:space="preserve">상승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</si>
  <si>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Arial"/>
        <family val="0"/>
        <charset val="1"/>
      </rPr>
      <t xml:space="preserve">EV·</t>
    </r>
    <r>
      <rPr>
        <sz val="10"/>
        <color rgb="FF333333"/>
        <rFont val="DejaVu Sans"/>
        <family val="2"/>
      </rPr>
      <t xml:space="preserve">전력망 수요 성장</t>
    </r>
  </si>
  <si>
    <t xml:space="preserve">구조적 수요 증가</t>
  </si>
  <si>
    <r>
      <rPr>
        <b val="true"/>
        <sz val="10"/>
        <color rgb="FF333333"/>
        <rFont val="DejaVu Sans"/>
        <family val="2"/>
      </rPr>
      <t xml:space="preserve">수요 </t>
    </r>
    <r>
      <rPr>
        <b val="true"/>
        <sz val="10"/>
        <color rgb="FF333333"/>
        <rFont val="Arial"/>
        <family val="0"/>
        <charset val="1"/>
      </rPr>
      <t xml:space="preserve">(</t>
    </r>
    <r>
      <rPr>
        <b val="true"/>
        <sz val="10"/>
        <color rgb="FF333333"/>
        <rFont val="DejaVu Sans"/>
        <family val="2"/>
      </rPr>
      <t xml:space="preserve">하락</t>
    </r>
    <r>
      <rPr>
        <b val="true"/>
        <sz val="10"/>
        <color rgb="FF333333"/>
        <rFont val="Arial"/>
        <family val="0"/>
        <charset val="1"/>
      </rPr>
      <t xml:space="preserve">)</t>
    </r>
  </si>
  <si>
    <t xml:space="preserve">글로벌 경기 둔화 우려</t>
  </si>
  <si>
    <t xml:space="preserve">수요 위축 가능</t>
  </si>
  <si>
    <r>
      <rPr>
        <b val="true"/>
        <sz val="10"/>
        <color rgb="FF333333"/>
        <rFont val="DejaVu Sans"/>
        <family val="2"/>
      </rPr>
      <t xml:space="preserve">가격 </t>
    </r>
    <r>
      <rPr>
        <b val="true"/>
        <sz val="10"/>
        <color rgb="FF333333"/>
        <rFont val="Arial"/>
        <family val="0"/>
        <charset val="1"/>
      </rPr>
      <t xml:space="preserve">(</t>
    </r>
    <r>
      <rPr>
        <b val="true"/>
        <sz val="10"/>
        <color rgb="FF333333"/>
        <rFont val="DejaVu Sans"/>
        <family val="2"/>
      </rPr>
      <t xml:space="preserve">하락</t>
    </r>
    <r>
      <rPr>
        <b val="true"/>
        <sz val="10"/>
        <color rgb="FF333333"/>
        <rFont val="Arial"/>
        <family val="0"/>
        <charset val="1"/>
      </rPr>
      <t xml:space="preserve">)</t>
    </r>
  </si>
  <si>
    <t xml:space="preserve">달러 약세 전환 시</t>
  </si>
  <si>
    <t xml:space="preserve">원자재 가격 하방</t>
  </si>
  <si>
    <t xml:space="preserve">★★</t>
  </si>
  <si>
    <r>
      <rPr>
        <b val="true"/>
        <sz val="16"/>
        <color rgb="FF2E4057"/>
        <rFont val="Arial"/>
        <family val="0"/>
        <charset val="1"/>
      </rPr>
      <t xml:space="preserve">ADC12 </t>
    </r>
    <r>
      <rPr>
        <b val="true"/>
        <sz val="16"/>
        <color rgb="FF2E4057"/>
        <rFont val="DejaVu Sans"/>
        <family val="2"/>
      </rPr>
      <t xml:space="preserve">업체별 단가 비교 </t>
    </r>
    <r>
      <rPr>
        <b val="true"/>
        <sz val="16"/>
        <color rgb="FF2E4057"/>
        <rFont val="Arial"/>
        <family val="0"/>
        <charset val="1"/>
      </rPr>
      <t xml:space="preserve">(USD/KG)</t>
    </r>
  </si>
  <si>
    <t xml:space="preserve">업체</t>
  </si>
  <si>
    <t xml:space="preserve">CHIEN THANG</t>
  </si>
  <si>
    <t xml:space="preserve">TANQUANG</t>
  </si>
  <si>
    <t xml:space="preserve">REGAL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</si>
</sst>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#,##0"/>
    <numFmt numFmtId="167" formatCode="0.00%"/>
    <numFmt numFmtId="168" formatCode="0.0000"/>
    <numFmt numFmtId="169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4057"/>
      <name val="DejaVu Sans"/>
      <family val="2"/>
    </font>
    <font>
      <sz val="11"/>
      <color rgb="FF666666"/>
      <name val="DejaVu Sans"/>
      <family val="2"/>
    </font>
    <font>
      <sz val="11"/>
      <color rgb="FF666666"/>
      <name val="Arial"/>
      <family val="0"/>
      <charset val="1"/>
    </font>
    <font>
      <b val="true"/>
      <sz val="13"/>
      <color rgb="FF2E4057"/>
      <name val="DejaVu Sans"/>
      <family val="2"/>
    </font>
    <font>
      <b val="true"/>
      <sz val="10"/>
      <color rgb="FF333333"/>
      <name val="DejaVu Sans"/>
      <family val="2"/>
    </font>
    <font>
      <sz val="10"/>
      <color rgb="FF333333"/>
      <name val="Arial"/>
      <family val="0"/>
      <charset val="1"/>
    </font>
    <font>
      <sz val="10"/>
      <color rgb="FF333333"/>
      <name val="DejaVu Sans"/>
      <family val="2"/>
    </font>
    <font>
      <b val="true"/>
      <sz val="10"/>
      <color rgb="FF333333"/>
      <name val="Arial"/>
      <family val="0"/>
      <charset val="1"/>
    </font>
    <font>
      <b val="true"/>
      <sz val="13"/>
      <color rgb="FFCC0000"/>
      <name val="DejaVu Sans"/>
      <family val="2"/>
    </font>
    <font>
      <sz val="10"/>
      <color rgb="FFCC0000"/>
      <name val="DejaVu Sans"/>
      <family val="2"/>
    </font>
    <font>
      <sz val="10"/>
      <color rgb="FFCC0000"/>
      <name val="Arial"/>
      <family val="0"/>
      <charset val="1"/>
    </font>
    <font>
      <b val="true"/>
      <sz val="16"/>
      <color rgb="FF2E4057"/>
      <name val="DejaVu Sans"/>
      <family val="2"/>
    </font>
    <font>
      <b val="true"/>
      <sz val="16"/>
      <color rgb="FF2E4057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  <font>
      <sz val="9"/>
      <color rgb="FF666666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3"/>
      <color rgb="FF2E4057"/>
      <name val="Arial"/>
      <family val="0"/>
      <charset val="1"/>
    </font>
    <font>
      <b val="true"/>
      <sz val="10"/>
      <color rgb="FFCC0000"/>
      <name val="DejaVu Sans"/>
      <family val="2"/>
    </font>
    <font>
      <b val="true"/>
      <sz val="10"/>
      <color rgb="FF006600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F3CD"/>
        <bgColor rgb="FFF9F9F9"/>
      </patternFill>
    </fill>
    <fill>
      <patternFill patternType="solid">
        <fgColor rgb="FFD4EDDA"/>
        <bgColor rgb="FFE8EEF5"/>
      </patternFill>
    </fill>
    <fill>
      <patternFill patternType="solid">
        <fgColor rgb="FFF8D7DA"/>
        <bgColor rgb="FFD9D9D9"/>
      </patternFill>
    </fill>
    <fill>
      <patternFill patternType="solid">
        <fgColor rgb="FFF0F4F8"/>
        <bgColor rgb="FFF9F9F9"/>
      </patternFill>
    </fill>
    <fill>
      <patternFill patternType="solid">
        <fgColor rgb="FFE8EEF5"/>
        <bgColor rgb="FFF0F4F8"/>
      </patternFill>
    </fill>
    <fill>
      <patternFill patternType="solid">
        <fgColor rgb="FF2E4057"/>
        <bgColor rgb="FF3D405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3CD"/>
      <rgbColor rgb="FFE8EEF5"/>
      <rgbColor rgb="FF660066"/>
      <rgbColor rgb="FFE07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D4EDDA"/>
      <rgbColor rgb="FFF9F9F9"/>
      <rgbColor rgb="FF99CCFF"/>
      <rgbColor rgb="FFF8D7DA"/>
      <rgbColor rgb="FFCC99FF"/>
      <rgbColor rgb="FFF2CC8F"/>
      <rgbColor rgb="FF4A6FA5"/>
      <rgbColor rgb="FF33CCCC"/>
      <rgbColor rgb="FF99CC00"/>
      <rgbColor rgb="FFFFCC00"/>
      <rgbColor rgb="FFFF9900"/>
      <rgbColor rgb="FFFF6600"/>
      <rgbColor rgb="FF666666"/>
      <rgbColor rgb="FF81B29A"/>
      <rgbColor rgb="FF2E4057"/>
      <rgbColor rgb="FF339966"/>
      <rgbColor rgb="FF003300"/>
      <rgbColor rgb="FF333300"/>
      <rgbColor rgb="FF993300"/>
      <rgbColor rgb="FF993366"/>
      <rgbColor rgb="FF3D40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품목별 단가 추이 (USD/KG)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"ADC12"</c:f>
              <c:strCache>
                <c:ptCount val="1"/>
                <c:pt idx="0">
                  <c:v>ADC12</c:v>
                </c:pt>
              </c:strCache>
            </c:strRef>
          </c:tx>
          <c:spPr>
            <a:solidFill>
              <a:srgbClr val="2E4057"/>
            </a:solidFill>
            <a:ln w="24840">
              <a:solidFill>
                <a:srgbClr val="2E40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'단가 데이터'!$B$2:$P$2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'단가 데이터'!$B$3:$P$3</c:f>
              <c:numCache>
                <c:formatCode>0.000</c:formatCode>
                <c:ptCount val="15"/>
                <c:pt idx="0">
                  <c:v>2.88</c:v>
                </c:pt>
                <c:pt idx="1">
                  <c:v>2.88</c:v>
                </c:pt>
                <c:pt idx="2">
                  <c:v>2.96</c:v>
                </c:pt>
                <c:pt idx="3">
                  <c:v>2.824</c:v>
                </c:pt>
                <c:pt idx="4">
                  <c:v>2.745</c:v>
                </c:pt>
                <c:pt idx="5">
                  <c:v>2.706</c:v>
                </c:pt>
                <c:pt idx="6">
                  <c:v>2.784</c:v>
                </c:pt>
                <c:pt idx="7">
                  <c:v>2.784</c:v>
                </c:pt>
                <c:pt idx="8">
                  <c:v>2.769</c:v>
                </c:pt>
                <c:pt idx="9">
                  <c:v>2.808</c:v>
                </c:pt>
                <c:pt idx="10">
                  <c:v>2.923</c:v>
                </c:pt>
                <c:pt idx="11">
                  <c:v>2.923</c:v>
                </c:pt>
                <c:pt idx="12">
                  <c:v>3</c:v>
                </c:pt>
                <c:pt idx="13">
                  <c:v>3.038</c:v>
                </c:pt>
                <c:pt idx="14">
                  <c:v>3.115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"S3Y"</c:f>
              <c:strCache>
                <c:ptCount val="1"/>
                <c:pt idx="0">
                  <c:v>S3Y</c:v>
                </c:pt>
              </c:strCache>
            </c:strRef>
          </c:tx>
          <c:spPr>
            <a:solidFill>
              <a:srgbClr val="E07A5F"/>
            </a:solidFill>
            <a:ln w="24840">
              <a:solidFill>
                <a:srgbClr val="E07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'단가 데이터'!$B$2:$P$2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'단가 데이터'!$B$4:$P$4</c:f>
              <c:numCache>
                <c:formatCode>0.000</c:formatCode>
                <c:ptCount val="15"/>
                <c:pt idx="0">
                  <c:v>3.44</c:v>
                </c:pt>
                <c:pt idx="1">
                  <c:v>3.44</c:v>
                </c:pt>
                <c:pt idx="2">
                  <c:v>3.56</c:v>
                </c:pt>
                <c:pt idx="3">
                  <c:v>3.412</c:v>
                </c:pt>
                <c:pt idx="4">
                  <c:v>3.333</c:v>
                </c:pt>
                <c:pt idx="5">
                  <c:v>3.333</c:v>
                </c:pt>
                <c:pt idx="6">
                  <c:v>3.412</c:v>
                </c:pt>
                <c:pt idx="7">
                  <c:v>3.412</c:v>
                </c:pt>
                <c:pt idx="8">
                  <c:v>3.423</c:v>
                </c:pt>
                <c:pt idx="9">
                  <c:v>3.5</c:v>
                </c:pt>
                <c:pt idx="10">
                  <c:v>3.615</c:v>
                </c:pt>
                <c:pt idx="11">
                  <c:v>3.654</c:v>
                </c:pt>
                <c:pt idx="12">
                  <c:v>3.654</c:v>
                </c:pt>
                <c:pt idx="13">
                  <c:v>3.808</c:v>
                </c:pt>
                <c:pt idx="14">
                  <c:v>3.923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"S36"</c:f>
              <c:strCache>
                <c:ptCount val="1"/>
                <c:pt idx="0">
                  <c:v>S36</c:v>
                </c:pt>
              </c:strCache>
            </c:strRef>
          </c:tx>
          <c:spPr>
            <a:solidFill>
              <a:srgbClr val="4A6FA5"/>
            </a:solidFill>
            <a:ln w="24840">
              <a:solidFill>
                <a:srgbClr val="4A6F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'단가 데이터'!$B$2:$P$2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'단가 데이터'!$B$5:$P$5</c:f>
              <c:numCache>
                <c:formatCode>0.000</c:formatCode>
                <c:ptCount val="15"/>
                <c:pt idx="0">
                  <c:v>3.4</c:v>
                </c:pt>
                <c:pt idx="1">
                  <c:v>3.4</c:v>
                </c:pt>
                <c:pt idx="2">
                  <c:v>3.52</c:v>
                </c:pt>
                <c:pt idx="3">
                  <c:v>3.373</c:v>
                </c:pt>
                <c:pt idx="4">
                  <c:v>3.294</c:v>
                </c:pt>
                <c:pt idx="5">
                  <c:v>3.294</c:v>
                </c:pt>
                <c:pt idx="6">
                  <c:v>3.373</c:v>
                </c:pt>
                <c:pt idx="7">
                  <c:v>3.373</c:v>
                </c:pt>
                <c:pt idx="8">
                  <c:v>3.385</c:v>
                </c:pt>
                <c:pt idx="9">
                  <c:v>3.462</c:v>
                </c:pt>
                <c:pt idx="10">
                  <c:v>3.577</c:v>
                </c:pt>
                <c:pt idx="11">
                  <c:v>3.615</c:v>
                </c:pt>
                <c:pt idx="12">
                  <c:v>3.615</c:v>
                </c:pt>
                <c:pt idx="13">
                  <c:v>3.769</c:v>
                </c:pt>
                <c:pt idx="14">
                  <c:v>3.846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159521"/>
        <c:axId val="70631108"/>
      </c:lineChart>
      <c:catAx>
        <c:axId val="541595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631108"/>
        <c:crosses val="autoZero"/>
        <c:auto val="1"/>
        <c:lblAlgn val="ctr"/>
        <c:lblOffset val="100"/>
        <c:noMultiLvlLbl val="0"/>
      </c:catAx>
      <c:valAx>
        <c:axId val="70631108"/>
        <c:scaling>
          <c:orientation val="minMax"/>
          <c:max val="4.1"/>
          <c:min val="2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USD/KG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1595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품목별 단가 추이 (VND/KG)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"ADC12"</c:f>
              <c:strCache>
                <c:ptCount val="1"/>
                <c:pt idx="0">
                  <c:v>ADC12</c:v>
                </c:pt>
              </c:strCache>
            </c:strRef>
          </c:tx>
          <c:spPr>
            <a:solidFill>
              <a:srgbClr val="2E4057"/>
            </a:solidFill>
            <a:ln w="24840">
              <a:solidFill>
                <a:srgbClr val="2E40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'단가 데이터'!$B$25:$P$25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'단가 데이터'!$B$26:$P$26</c:f>
              <c:numCache>
                <c:formatCode>#,##0</c:formatCode>
                <c:ptCount val="15"/>
                <c:pt idx="0">
                  <c:v>72000</c:v>
                </c:pt>
                <c:pt idx="1">
                  <c:v>72000</c:v>
                </c:pt>
                <c:pt idx="2">
                  <c:v>74000</c:v>
                </c:pt>
                <c:pt idx="3">
                  <c:v>72000</c:v>
                </c:pt>
                <c:pt idx="4">
                  <c:v>70000</c:v>
                </c:pt>
                <c:pt idx="5">
                  <c:v>69000</c:v>
                </c:pt>
                <c:pt idx="6">
                  <c:v>71000</c:v>
                </c:pt>
                <c:pt idx="7">
                  <c:v>71000</c:v>
                </c:pt>
                <c:pt idx="8">
                  <c:v>72000</c:v>
                </c:pt>
                <c:pt idx="9">
                  <c:v>73000</c:v>
                </c:pt>
                <c:pt idx="10">
                  <c:v>76000</c:v>
                </c:pt>
                <c:pt idx="11">
                  <c:v>76000</c:v>
                </c:pt>
                <c:pt idx="12">
                  <c:v>78000</c:v>
                </c:pt>
                <c:pt idx="13">
                  <c:v>79000</c:v>
                </c:pt>
                <c:pt idx="14">
                  <c:v>81000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"S3Y"</c:f>
              <c:strCache>
                <c:ptCount val="1"/>
                <c:pt idx="0">
                  <c:v>S3Y</c:v>
                </c:pt>
              </c:strCache>
            </c:strRef>
          </c:tx>
          <c:spPr>
            <a:solidFill>
              <a:srgbClr val="E07A5F"/>
            </a:solidFill>
            <a:ln w="24840">
              <a:solidFill>
                <a:srgbClr val="E07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'단가 데이터'!$B$25:$P$25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'단가 데이터'!$B$27:$P$27</c:f>
              <c:numCache>
                <c:formatCode>#,##0</c:formatCode>
                <c:ptCount val="15"/>
                <c:pt idx="0">
                  <c:v>86000</c:v>
                </c:pt>
                <c:pt idx="1">
                  <c:v>86000</c:v>
                </c:pt>
                <c:pt idx="2">
                  <c:v>89000</c:v>
                </c:pt>
                <c:pt idx="3">
                  <c:v>87000</c:v>
                </c:pt>
                <c:pt idx="4">
                  <c:v>85000</c:v>
                </c:pt>
                <c:pt idx="5">
                  <c:v>85000</c:v>
                </c:pt>
                <c:pt idx="6">
                  <c:v>87000</c:v>
                </c:pt>
                <c:pt idx="7">
                  <c:v>87000</c:v>
                </c:pt>
                <c:pt idx="8">
                  <c:v>89000</c:v>
                </c:pt>
                <c:pt idx="9">
                  <c:v>91000</c:v>
                </c:pt>
                <c:pt idx="10">
                  <c:v>94000</c:v>
                </c:pt>
                <c:pt idx="11">
                  <c:v>95000</c:v>
                </c:pt>
                <c:pt idx="12">
                  <c:v>95000</c:v>
                </c:pt>
                <c:pt idx="13">
                  <c:v>99000</c:v>
                </c:pt>
                <c:pt idx="14">
                  <c:v>102000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"S36"</c:f>
              <c:strCache>
                <c:ptCount val="1"/>
                <c:pt idx="0">
                  <c:v>S36</c:v>
                </c:pt>
              </c:strCache>
            </c:strRef>
          </c:tx>
          <c:spPr>
            <a:solidFill>
              <a:srgbClr val="4A6FA5"/>
            </a:solidFill>
            <a:ln w="24840">
              <a:solidFill>
                <a:srgbClr val="4A6F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'단가 데이터'!$B$25:$P$25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'단가 데이터'!$B$28:$P$28</c:f>
              <c:numCache>
                <c:formatCode>#,##0</c:formatCode>
                <c:ptCount val="15"/>
                <c:pt idx="0">
                  <c:v>85000</c:v>
                </c:pt>
                <c:pt idx="1">
                  <c:v>85000</c:v>
                </c:pt>
                <c:pt idx="2">
                  <c:v>88000</c:v>
                </c:pt>
                <c:pt idx="3">
                  <c:v>86000</c:v>
                </c:pt>
                <c:pt idx="4">
                  <c:v>84000</c:v>
                </c:pt>
                <c:pt idx="5">
                  <c:v>84000</c:v>
                </c:pt>
                <c:pt idx="6">
                  <c:v>86000</c:v>
                </c:pt>
                <c:pt idx="7">
                  <c:v>86000</c:v>
                </c:pt>
                <c:pt idx="8">
                  <c:v>88000</c:v>
                </c:pt>
                <c:pt idx="9">
                  <c:v>90000</c:v>
                </c:pt>
                <c:pt idx="10">
                  <c:v>93000</c:v>
                </c:pt>
                <c:pt idx="11">
                  <c:v>94000</c:v>
                </c:pt>
                <c:pt idx="12">
                  <c:v>94000</c:v>
                </c:pt>
                <c:pt idx="13">
                  <c:v>98000</c:v>
                </c:pt>
                <c:pt idx="14">
                  <c:v>100000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450749"/>
        <c:axId val="34659001"/>
      </c:lineChart>
      <c:catAx>
        <c:axId val="764507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59001"/>
        <c:crosses val="autoZero"/>
        <c:auto val="1"/>
        <c:lblAlgn val="ctr"/>
        <c:lblOffset val="100"/>
        <c:noMultiLvlLbl val="0"/>
      </c:catAx>
      <c:valAx>
        <c:axId val="34659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VND/KG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4507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MoM 전월 대비 변동률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"ADC12"</c:f>
              <c:strCache>
                <c:ptCount val="1"/>
                <c:pt idx="0">
                  <c:v>ADC12</c:v>
                </c:pt>
              </c:strCache>
            </c:strRef>
          </c:tx>
          <c:spPr>
            <a:solidFill>
              <a:srgbClr val="2E405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'변동률 분석'!$C$2:$P$2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</c:multiLvlStrCache>
            </c:multiLvlStrRef>
          </c:cat>
          <c:val>
            <c:numRef>
              <c:f>'변동률 분석'!$C$3:$P$3</c:f>
              <c:numCache>
                <c:formatCode>0.00%</c:formatCode>
                <c:ptCount val="14"/>
                <c:pt idx="0">
                  <c:v>0</c:v>
                </c:pt>
                <c:pt idx="1">
                  <c:v>0.0277777777777778</c:v>
                </c:pt>
                <c:pt idx="2">
                  <c:v>-0.045945945945946</c:v>
                </c:pt>
                <c:pt idx="3">
                  <c:v>-0.0279745042492917</c:v>
                </c:pt>
                <c:pt idx="4">
                  <c:v>-0.0142076502732241</c:v>
                </c:pt>
                <c:pt idx="5">
                  <c:v>0.0288248337028824</c:v>
                </c:pt>
                <c:pt idx="6">
                  <c:v>0</c:v>
                </c:pt>
                <c:pt idx="7">
                  <c:v>-0.00538793103448264</c:v>
                </c:pt>
                <c:pt idx="8">
                  <c:v>0.0140845070422534</c:v>
                </c:pt>
                <c:pt idx="9">
                  <c:v>0.040954415954416</c:v>
                </c:pt>
                <c:pt idx="10">
                  <c:v>0</c:v>
                </c:pt>
                <c:pt idx="11">
                  <c:v>0.0263427984946972</c:v>
                </c:pt>
                <c:pt idx="12">
                  <c:v>0.0126666666666666</c:v>
                </c:pt>
                <c:pt idx="13">
                  <c:v>0.0253456221198158</c:v>
                </c:pt>
              </c:numCache>
            </c:numRef>
          </c:val>
        </c:ser>
        <c:ser>
          <c:idx val="1"/>
          <c:order val="1"/>
          <c:tx>
            <c:strRef>
              <c:f>"S3Y"</c:f>
              <c:strCache>
                <c:ptCount val="1"/>
                <c:pt idx="0">
                  <c:v>S3Y</c:v>
                </c:pt>
              </c:strCache>
            </c:strRef>
          </c:tx>
          <c:spPr>
            <a:solidFill>
              <a:srgbClr val="E07A5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'변동률 분석'!$C$2:$P$2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</c:multiLvlStrCache>
            </c:multiLvlStrRef>
          </c:cat>
          <c:val>
            <c:numRef>
              <c:f>'변동률 분석'!$C$4:$P$4</c:f>
              <c:numCache>
                <c:formatCode>0.00%</c:formatCode>
                <c:ptCount val="14"/>
                <c:pt idx="0">
                  <c:v>0</c:v>
                </c:pt>
                <c:pt idx="1">
                  <c:v>0.0348837209302326</c:v>
                </c:pt>
                <c:pt idx="2">
                  <c:v>-0.0415730337078652</c:v>
                </c:pt>
                <c:pt idx="3">
                  <c:v>-0.0231535756154747</c:v>
                </c:pt>
                <c:pt idx="4">
                  <c:v>0</c:v>
                </c:pt>
                <c:pt idx="5">
                  <c:v>0.0237023702370236</c:v>
                </c:pt>
                <c:pt idx="6">
                  <c:v>0</c:v>
                </c:pt>
                <c:pt idx="7">
                  <c:v>0.00322391559202817</c:v>
                </c:pt>
                <c:pt idx="8">
                  <c:v>0.0224948875255624</c:v>
                </c:pt>
                <c:pt idx="9">
                  <c:v>0.0328571428571429</c:v>
                </c:pt>
                <c:pt idx="10">
                  <c:v>0.0107883817427385</c:v>
                </c:pt>
                <c:pt idx="11">
                  <c:v>0</c:v>
                </c:pt>
                <c:pt idx="12">
                  <c:v>0.0421455938697318</c:v>
                </c:pt>
                <c:pt idx="13">
                  <c:v>0.0301995798319328</c:v>
                </c:pt>
              </c:numCache>
            </c:numRef>
          </c:val>
        </c:ser>
        <c:ser>
          <c:idx val="2"/>
          <c:order val="2"/>
          <c:tx>
            <c:strRef>
              <c:f>"S36"</c:f>
              <c:strCache>
                <c:ptCount val="1"/>
                <c:pt idx="0">
                  <c:v>S36</c:v>
                </c:pt>
              </c:strCache>
            </c:strRef>
          </c:tx>
          <c:spPr>
            <a:solidFill>
              <a:srgbClr val="4A6FA5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'변동률 분석'!$C$2:$P$2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</c:multiLvlStrCache>
            </c:multiLvlStrRef>
          </c:cat>
          <c:val>
            <c:numRef>
              <c:f>'변동률 분석'!$C$5:$P$5</c:f>
              <c:numCache>
                <c:formatCode>0.00%</c:formatCode>
                <c:ptCount val="14"/>
                <c:pt idx="0">
                  <c:v>0</c:v>
                </c:pt>
                <c:pt idx="1">
                  <c:v>0.0352941176470589</c:v>
                </c:pt>
                <c:pt idx="2">
                  <c:v>-0.0417613636363636</c:v>
                </c:pt>
                <c:pt idx="3">
                  <c:v>-0.023421286688408</c:v>
                </c:pt>
                <c:pt idx="4">
                  <c:v>0</c:v>
                </c:pt>
                <c:pt idx="5">
                  <c:v>0.0239829993928355</c:v>
                </c:pt>
                <c:pt idx="6">
                  <c:v>0</c:v>
                </c:pt>
                <c:pt idx="7">
                  <c:v>0.0035576638007707</c:v>
                </c:pt>
                <c:pt idx="8">
                  <c:v>0.0227474150664698</c:v>
                </c:pt>
                <c:pt idx="9">
                  <c:v>0.0332177931831311</c:v>
                </c:pt>
                <c:pt idx="10">
                  <c:v>0.0106234274531731</c:v>
                </c:pt>
                <c:pt idx="11">
                  <c:v>0</c:v>
                </c:pt>
                <c:pt idx="12">
                  <c:v>0.0426002766251729</c:v>
                </c:pt>
                <c:pt idx="13">
                  <c:v>0.0204298222340143</c:v>
                </c:pt>
              </c:numCache>
            </c:numRef>
          </c:val>
        </c:ser>
        <c:gapWidth val="150"/>
        <c:overlap val="0"/>
        <c:axId val="93519525"/>
        <c:axId val="67927291"/>
      </c:barChart>
      <c:catAx>
        <c:axId val="93519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27291"/>
        <c:crosses val="autoZero"/>
        <c:auto val="1"/>
        <c:lblAlgn val="ctr"/>
        <c:lblOffset val="100"/>
        <c:noMultiLvlLbl val="0"/>
      </c:catAx>
      <c:valAx>
        <c:axId val="67927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5195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ADC12 단가 및 이동평균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'통계 분석'!B14</c:f>
              <c:strCache>
                <c:ptCount val="1"/>
                <c:pt idx="0">
                  <c:v>단가</c:v>
                </c:pt>
              </c:strCache>
            </c:strRef>
          </c:tx>
          <c:spPr>
            <a:solidFill>
              <a:srgbClr val="2E4057"/>
            </a:solidFill>
            <a:ln w="20160">
              <a:solidFill>
                <a:srgbClr val="2E40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'통계 분석'!$A$15:$A$29</c:f>
              <c:strCache>
                <c:ptCount val="15"/>
                <c:pt idx="0">
                  <c:v>'25.1</c:v>
                </c:pt>
                <c:pt idx="1">
                  <c:v>'25.2</c:v>
                </c:pt>
                <c:pt idx="2">
                  <c:v>'25.3</c:v>
                </c:pt>
                <c:pt idx="3">
                  <c:v>'25.4</c:v>
                </c:pt>
                <c:pt idx="4">
                  <c:v>'25.5</c:v>
                </c:pt>
                <c:pt idx="5">
                  <c:v>'25.6</c:v>
                </c:pt>
                <c:pt idx="6">
                  <c:v>'25.7</c:v>
                </c:pt>
                <c:pt idx="7">
                  <c:v>'25.8</c:v>
                </c:pt>
                <c:pt idx="8">
                  <c:v>'25.9</c:v>
                </c:pt>
                <c:pt idx="9">
                  <c:v>'25.10</c:v>
                </c:pt>
                <c:pt idx="10">
                  <c:v>'25.11</c:v>
                </c:pt>
                <c:pt idx="11">
                  <c:v>'25.12</c:v>
                </c:pt>
                <c:pt idx="12">
                  <c:v>'26.1</c:v>
                </c:pt>
                <c:pt idx="13">
                  <c:v>'26.2</c:v>
                </c:pt>
                <c:pt idx="14">
                  <c:v>'26.3</c:v>
                </c:pt>
              </c:strCache>
            </c:strRef>
          </c:cat>
          <c:val>
            <c:numRef>
              <c:f>'통계 분석'!$B$15:$B$29</c:f>
              <c:numCache>
                <c:formatCode>0.000</c:formatCode>
                <c:ptCount val="15"/>
                <c:pt idx="0">
                  <c:v>2.88</c:v>
                </c:pt>
                <c:pt idx="1">
                  <c:v>2.88</c:v>
                </c:pt>
                <c:pt idx="2">
                  <c:v>2.96</c:v>
                </c:pt>
                <c:pt idx="3">
                  <c:v>2.824</c:v>
                </c:pt>
                <c:pt idx="4">
                  <c:v>2.745</c:v>
                </c:pt>
                <c:pt idx="5">
                  <c:v>2.706</c:v>
                </c:pt>
                <c:pt idx="6">
                  <c:v>2.784</c:v>
                </c:pt>
                <c:pt idx="7">
                  <c:v>2.784</c:v>
                </c:pt>
                <c:pt idx="8">
                  <c:v>2.769</c:v>
                </c:pt>
                <c:pt idx="9">
                  <c:v>2.808</c:v>
                </c:pt>
                <c:pt idx="10">
                  <c:v>2.923</c:v>
                </c:pt>
                <c:pt idx="11">
                  <c:v>2.923</c:v>
                </c:pt>
                <c:pt idx="12">
                  <c:v>3</c:v>
                </c:pt>
                <c:pt idx="13">
                  <c:v>3.038</c:v>
                </c:pt>
                <c:pt idx="14">
                  <c:v>3.115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'통계 분석'!C14</c:f>
              <c:strCache>
                <c:ptCount val="1"/>
                <c:pt idx="0">
                  <c:v>3개월 MA</c:v>
                </c:pt>
              </c:strCache>
            </c:strRef>
          </c:tx>
          <c:spPr>
            <a:solidFill>
              <a:srgbClr val="E07A5F"/>
            </a:solidFill>
            <a:ln w="18000">
              <a:solidFill>
                <a:srgbClr val="E07A5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'통계 분석'!$A$15:$A$29</c:f>
              <c:strCache>
                <c:ptCount val="15"/>
                <c:pt idx="0">
                  <c:v>'25.1</c:v>
                </c:pt>
                <c:pt idx="1">
                  <c:v>'25.2</c:v>
                </c:pt>
                <c:pt idx="2">
                  <c:v>'25.3</c:v>
                </c:pt>
                <c:pt idx="3">
                  <c:v>'25.4</c:v>
                </c:pt>
                <c:pt idx="4">
                  <c:v>'25.5</c:v>
                </c:pt>
                <c:pt idx="5">
                  <c:v>'25.6</c:v>
                </c:pt>
                <c:pt idx="6">
                  <c:v>'25.7</c:v>
                </c:pt>
                <c:pt idx="7">
                  <c:v>'25.8</c:v>
                </c:pt>
                <c:pt idx="8">
                  <c:v>'25.9</c:v>
                </c:pt>
                <c:pt idx="9">
                  <c:v>'25.10</c:v>
                </c:pt>
                <c:pt idx="10">
                  <c:v>'25.11</c:v>
                </c:pt>
                <c:pt idx="11">
                  <c:v>'25.12</c:v>
                </c:pt>
                <c:pt idx="12">
                  <c:v>'26.1</c:v>
                </c:pt>
                <c:pt idx="13">
                  <c:v>'26.2</c:v>
                </c:pt>
                <c:pt idx="14">
                  <c:v>'26.3</c:v>
                </c:pt>
              </c:strCache>
            </c:strRef>
          </c:cat>
          <c:val>
            <c:numRef>
              <c:f>'통계 분석'!$C$15:$C$29</c:f>
              <c:numCache>
                <c:formatCode>0.0000</c:formatCode>
                <c:ptCount val="15"/>
                <c:pt idx="2">
                  <c:v>2.90666666666667</c:v>
                </c:pt>
                <c:pt idx="3">
                  <c:v>2.888</c:v>
                </c:pt>
                <c:pt idx="4">
                  <c:v>2.843</c:v>
                </c:pt>
                <c:pt idx="5">
                  <c:v>2.75833333333333</c:v>
                </c:pt>
                <c:pt idx="6">
                  <c:v>2.745</c:v>
                </c:pt>
                <c:pt idx="7">
                  <c:v>2.758</c:v>
                </c:pt>
                <c:pt idx="8">
                  <c:v>2.779</c:v>
                </c:pt>
                <c:pt idx="9">
                  <c:v>2.787</c:v>
                </c:pt>
                <c:pt idx="10">
                  <c:v>2.83333333333333</c:v>
                </c:pt>
                <c:pt idx="11">
                  <c:v>2.88466666666667</c:v>
                </c:pt>
                <c:pt idx="12">
                  <c:v>2.94866666666667</c:v>
                </c:pt>
                <c:pt idx="13">
                  <c:v>2.987</c:v>
                </c:pt>
                <c:pt idx="14">
                  <c:v>3.051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'통계 분석'!D14</c:f>
              <c:strCache>
                <c:ptCount val="1"/>
                <c:pt idx="0">
                  <c:v>6개월 MA</c:v>
                </c:pt>
              </c:strCache>
            </c:strRef>
          </c:tx>
          <c:spPr>
            <a:solidFill>
              <a:srgbClr val="81B29A"/>
            </a:solidFill>
            <a:ln w="18000">
              <a:solidFill>
                <a:srgbClr val="81B29A"/>
              </a:solidFill>
              <a:prstDash val="lg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  <a:prstDash val="lg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'통계 분석'!$A$15:$A$29</c:f>
              <c:strCache>
                <c:ptCount val="15"/>
                <c:pt idx="0">
                  <c:v>'25.1</c:v>
                </c:pt>
                <c:pt idx="1">
                  <c:v>'25.2</c:v>
                </c:pt>
                <c:pt idx="2">
                  <c:v>'25.3</c:v>
                </c:pt>
                <c:pt idx="3">
                  <c:v>'25.4</c:v>
                </c:pt>
                <c:pt idx="4">
                  <c:v>'25.5</c:v>
                </c:pt>
                <c:pt idx="5">
                  <c:v>'25.6</c:v>
                </c:pt>
                <c:pt idx="6">
                  <c:v>'25.7</c:v>
                </c:pt>
                <c:pt idx="7">
                  <c:v>'25.8</c:v>
                </c:pt>
                <c:pt idx="8">
                  <c:v>'25.9</c:v>
                </c:pt>
                <c:pt idx="9">
                  <c:v>'25.10</c:v>
                </c:pt>
                <c:pt idx="10">
                  <c:v>'25.11</c:v>
                </c:pt>
                <c:pt idx="11">
                  <c:v>'25.12</c:v>
                </c:pt>
                <c:pt idx="12">
                  <c:v>'26.1</c:v>
                </c:pt>
                <c:pt idx="13">
                  <c:v>'26.2</c:v>
                </c:pt>
                <c:pt idx="14">
                  <c:v>'26.3</c:v>
                </c:pt>
              </c:strCache>
            </c:strRef>
          </c:cat>
          <c:val>
            <c:numRef>
              <c:f>'통계 분석'!$D$15:$D$29</c:f>
              <c:numCache>
                <c:formatCode>0.0000</c:formatCode>
                <c:ptCount val="15"/>
                <c:pt idx="5">
                  <c:v>2.8325</c:v>
                </c:pt>
                <c:pt idx="6">
                  <c:v>2.8165</c:v>
                </c:pt>
                <c:pt idx="7">
                  <c:v>2.8005</c:v>
                </c:pt>
                <c:pt idx="8">
                  <c:v>2.76866666666667</c:v>
                </c:pt>
                <c:pt idx="9">
                  <c:v>2.766</c:v>
                </c:pt>
                <c:pt idx="10">
                  <c:v>2.79566666666667</c:v>
                </c:pt>
                <c:pt idx="11">
                  <c:v>2.83183333333333</c:v>
                </c:pt>
                <c:pt idx="12">
                  <c:v>2.86783333333333</c:v>
                </c:pt>
                <c:pt idx="13">
                  <c:v>2.91016666666667</c:v>
                </c:pt>
                <c:pt idx="14">
                  <c:v>2.96783333333333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758950"/>
        <c:axId val="70892136"/>
      </c:lineChart>
      <c:catAx>
        <c:axId val="91758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892136"/>
        <c:crosses val="autoZero"/>
        <c:auto val="1"/>
        <c:lblAlgn val="ctr"/>
        <c:lblOffset val="100"/>
        <c:noMultiLvlLbl val="0"/>
      </c:catAx>
      <c:valAx>
        <c:axId val="70892136"/>
        <c:scaling>
          <c:orientation val="minMax"/>
          <c:max val="3.2"/>
          <c:min val="2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USD/KG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7589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ADC12 업체별 단가 추이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"CHIEN THANG"</c:f>
              <c:strCache>
                <c:ptCount val="1"/>
                <c:pt idx="0">
                  <c:v>CHIEN THANG</c:v>
                </c:pt>
              </c:strCache>
            </c:strRef>
          </c:tx>
          <c:spPr>
            <a:solidFill>
              <a:srgbClr val="2E4057"/>
            </a:solidFill>
            <a:ln w="24840">
              <a:solidFill>
                <a:srgbClr val="2E40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'업체별 비교'!$B$2:$P$2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'업체별 비교'!$B$3:$P$3</c:f>
              <c:numCache>
                <c:formatCode>0.000</c:formatCode>
                <c:ptCount val="15"/>
                <c:pt idx="0">
                  <c:v>2.88</c:v>
                </c:pt>
                <c:pt idx="1">
                  <c:v>2.88</c:v>
                </c:pt>
                <c:pt idx="2">
                  <c:v>2.96</c:v>
                </c:pt>
                <c:pt idx="3">
                  <c:v>2.824</c:v>
                </c:pt>
                <c:pt idx="4">
                  <c:v>2.745</c:v>
                </c:pt>
                <c:pt idx="5">
                  <c:v>2.706</c:v>
                </c:pt>
                <c:pt idx="6">
                  <c:v>2.784</c:v>
                </c:pt>
                <c:pt idx="7">
                  <c:v>2.784</c:v>
                </c:pt>
                <c:pt idx="8">
                  <c:v>2.769</c:v>
                </c:pt>
                <c:pt idx="9">
                  <c:v>2.808</c:v>
                </c:pt>
                <c:pt idx="10">
                  <c:v>2.923</c:v>
                </c:pt>
                <c:pt idx="11">
                  <c:v>2.923</c:v>
                </c:pt>
                <c:pt idx="12">
                  <c:v>3</c:v>
                </c:pt>
                <c:pt idx="13">
                  <c:v>3.038</c:v>
                </c:pt>
                <c:pt idx="14">
                  <c:v>3.115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"TANQUANG"</c:f>
              <c:strCache>
                <c:ptCount val="1"/>
                <c:pt idx="0">
                  <c:v>TANQUANG</c:v>
                </c:pt>
              </c:strCache>
            </c:strRef>
          </c:tx>
          <c:spPr>
            <a:solidFill>
              <a:srgbClr val="E07A5F"/>
            </a:solidFill>
            <a:ln w="24840">
              <a:solidFill>
                <a:srgbClr val="E07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'업체별 비교'!$B$2:$P$2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'업체별 비교'!$B$4:$P$4</c:f>
              <c:numCache>
                <c:formatCode>0.000</c:formatCode>
                <c:ptCount val="15"/>
                <c:pt idx="0">
                  <c:v>2.668</c:v>
                </c:pt>
                <c:pt idx="1">
                  <c:v>2.704</c:v>
                </c:pt>
                <c:pt idx="2">
                  <c:v>2.8</c:v>
                </c:pt>
                <c:pt idx="3">
                  <c:v>2.737</c:v>
                </c:pt>
                <c:pt idx="4">
                  <c:v>2.686</c:v>
                </c:pt>
                <c:pt idx="5">
                  <c:v>2.686</c:v>
                </c:pt>
                <c:pt idx="6">
                  <c:v>2.69</c:v>
                </c:pt>
                <c:pt idx="7">
                  <c:v>2.722</c:v>
                </c:pt>
                <c:pt idx="8">
                  <c:v>2.669</c:v>
                </c:pt>
                <c:pt idx="9">
                  <c:v>2.754</c:v>
                </c:pt>
                <c:pt idx="10">
                  <c:v>2.792</c:v>
                </c:pt>
                <c:pt idx="11">
                  <c:v>2.842</c:v>
                </c:pt>
                <c:pt idx="12">
                  <c:v>2.885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"REGAL"</c:f>
              <c:strCache>
                <c:ptCount val="1"/>
                <c:pt idx="0">
                  <c:v>REGAL</c:v>
                </c:pt>
              </c:strCache>
            </c:strRef>
          </c:tx>
          <c:spPr>
            <a:solidFill>
              <a:srgbClr val="81B29A"/>
            </a:solidFill>
            <a:ln w="24840">
              <a:solidFill>
                <a:srgbClr val="81B2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'업체별 비교'!$B$2:$P$2</c:f>
              <c:multiLvlStrCache>
                <c:ptCount val="1"/>
                <c:lvl>
                  <c:pt idx="0">
                    <c:v>'26.3</c:v>
                  </c:pt>
                </c:lvl>
                <c:lvl>
                  <c:pt idx="0">
                    <c:v>'26.2</c:v>
                  </c:pt>
                </c:lvl>
                <c:lvl>
                  <c:pt idx="0">
                    <c:v>'26.1</c:v>
                  </c:pt>
                </c:lvl>
                <c:lvl>
                  <c:pt idx="0">
                    <c:v>'25.12</c:v>
                  </c:pt>
                </c:lvl>
                <c:lvl>
                  <c:pt idx="0">
                    <c:v>'25.11</c:v>
                  </c:pt>
                </c:lvl>
                <c:lvl>
                  <c:pt idx="0">
                    <c:v>'25.10</c:v>
                  </c:pt>
                </c:lvl>
                <c:lvl>
                  <c:pt idx="0">
                    <c:v>'25.9</c:v>
                  </c:pt>
                </c:lvl>
                <c:lvl>
                  <c:pt idx="0">
                    <c:v>'25.8</c:v>
                  </c:pt>
                </c:lvl>
                <c:lvl>
                  <c:pt idx="0">
                    <c:v>'25.7</c:v>
                  </c:pt>
                </c:lvl>
                <c:lvl>
                  <c:pt idx="0">
                    <c:v>'25.6</c:v>
                  </c:pt>
                </c:lvl>
                <c:lvl>
                  <c:pt idx="0">
                    <c:v>'25.5</c:v>
                  </c:pt>
                </c:lvl>
                <c:lvl>
                  <c:pt idx="0">
                    <c:v>'25.4</c:v>
                  </c:pt>
                </c:lvl>
                <c:lvl>
                  <c:pt idx="0">
                    <c:v>'25.3</c:v>
                  </c:pt>
                </c:lvl>
                <c:lvl>
                  <c:pt idx="0">
                    <c:v>'25.2</c:v>
                  </c:pt>
                </c:lvl>
                <c:lvl>
                  <c:pt idx="0">
                    <c:v>'25.1</c:v>
                  </c:pt>
                </c:lvl>
              </c:multiLvlStrCache>
            </c:multiLvlStrRef>
          </c:cat>
          <c:val>
            <c:numRef>
              <c:f>'업체별 비교'!$B$5:$P$5</c:f>
              <c:numCache>
                <c:formatCode>0.000</c:formatCode>
                <c:ptCount val="15"/>
                <c:pt idx="1">
                  <c:v>2.631</c:v>
                </c:pt>
                <c:pt idx="2">
                  <c:v>2.673</c:v>
                </c:pt>
                <c:pt idx="5">
                  <c:v>3.212</c:v>
                </c:pt>
                <c:pt idx="6">
                  <c:v>3.283</c:v>
                </c:pt>
                <c:pt idx="12">
                  <c:v>3.638</c:v>
                </c:pt>
                <c:pt idx="13">
                  <c:v>3.755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796398"/>
        <c:axId val="54444512"/>
      </c:lineChart>
      <c:catAx>
        <c:axId val="15796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444512"/>
        <c:crosses val="autoZero"/>
        <c:auto val="1"/>
        <c:lblAlgn val="ctr"/>
        <c:lblOffset val="100"/>
        <c:noMultiLvlLbl val="0"/>
      </c:catAx>
      <c:valAx>
        <c:axId val="54444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USD/KG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7963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15</xdr:col>
      <xdr:colOff>352800</xdr:colOff>
      <xdr:row>32</xdr:row>
      <xdr:rowOff>30600</xdr:rowOff>
    </xdr:to>
    <xdr:graphicFrame>
      <xdr:nvGraphicFramePr>
        <xdr:cNvPr id="1" name="Chart 1"/>
        <xdr:cNvGraphicFramePr/>
      </xdr:nvGraphicFramePr>
      <xdr:xfrm>
        <a:off x="0" y="119880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15</xdr:col>
      <xdr:colOff>352800</xdr:colOff>
      <xdr:row>55</xdr:row>
      <xdr:rowOff>86400</xdr:rowOff>
    </xdr:to>
    <xdr:graphicFrame>
      <xdr:nvGraphicFramePr>
        <xdr:cNvPr id="2" name="Chart 2"/>
        <xdr:cNvGraphicFramePr/>
      </xdr:nvGraphicFramePr>
      <xdr:xfrm>
        <a:off x="0" y="563616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14</xdr:col>
      <xdr:colOff>70920</xdr:colOff>
      <xdr:row>29</xdr:row>
      <xdr:rowOff>129960</xdr:rowOff>
    </xdr:to>
    <xdr:graphicFrame>
      <xdr:nvGraphicFramePr>
        <xdr:cNvPr id="3" name="Chart 1"/>
        <xdr:cNvGraphicFramePr/>
      </xdr:nvGraphicFramePr>
      <xdr:xfrm>
        <a:off x="0" y="1198800"/>
        <a:ext cx="100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0</xdr:rowOff>
    </xdr:from>
    <xdr:to>
      <xdr:col>16</xdr:col>
      <xdr:colOff>97560</xdr:colOff>
      <xdr:row>34</xdr:row>
      <xdr:rowOff>72720</xdr:rowOff>
    </xdr:to>
    <xdr:graphicFrame>
      <xdr:nvGraphicFramePr>
        <xdr:cNvPr id="4" name="Chart 1"/>
        <xdr:cNvGraphicFramePr/>
      </xdr:nvGraphicFramePr>
      <xdr:xfrm>
        <a:off x="5638680" y="23976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15</xdr:col>
      <xdr:colOff>70920</xdr:colOff>
      <xdr:row>32</xdr:row>
      <xdr:rowOff>86400</xdr:rowOff>
    </xdr:to>
    <xdr:graphicFrame>
      <xdr:nvGraphicFramePr>
        <xdr:cNvPr id="5" name="Chart 1"/>
        <xdr:cNvGraphicFramePr/>
      </xdr:nvGraphicFramePr>
      <xdr:xfrm>
        <a:off x="0" y="119880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6.15" hidden="false" customHeight="false" outlineLevel="0" collapsed="false">
      <c r="A4" s="3" t="s">
        <v>2</v>
      </c>
      <c r="B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6" t="s">
        <v>5</v>
      </c>
      <c r="B6" s="7" t="s">
        <v>6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A7" s="8" t="s">
        <v>7</v>
      </c>
      <c r="B7" s="9" t="s">
        <v>8</v>
      </c>
      <c r="C7" s="9"/>
      <c r="D7" s="9"/>
      <c r="E7" s="9"/>
      <c r="F7" s="9"/>
      <c r="G7" s="9"/>
      <c r="H7" s="9"/>
    </row>
    <row r="8" customFormat="false" ht="15" hidden="false" customHeight="true" outlineLevel="0" collapsed="false">
      <c r="A8" s="8" t="s">
        <v>9</v>
      </c>
      <c r="B8" s="9" t="s">
        <v>10</v>
      </c>
      <c r="C8" s="9"/>
      <c r="D8" s="9"/>
      <c r="E8" s="9"/>
      <c r="F8" s="9"/>
      <c r="G8" s="9"/>
      <c r="H8" s="9"/>
    </row>
    <row r="9" customFormat="false" ht="15" hidden="false" customHeight="true" outlineLevel="0" collapsed="false">
      <c r="A9" s="10" t="s">
        <v>11</v>
      </c>
      <c r="B9" s="11" t="s">
        <v>12</v>
      </c>
      <c r="C9" s="11"/>
      <c r="D9" s="11"/>
      <c r="E9" s="11"/>
      <c r="F9" s="11"/>
      <c r="G9" s="11"/>
      <c r="H9" s="11"/>
    </row>
    <row r="10" customFormat="false" ht="15" hidden="false" customHeight="true" outlineLevel="0" collapsed="false">
      <c r="A10" s="4" t="s">
        <v>13</v>
      </c>
      <c r="B10" s="12" t="s">
        <v>14</v>
      </c>
      <c r="C10" s="12"/>
      <c r="D10" s="12"/>
      <c r="E10" s="12"/>
      <c r="F10" s="12"/>
      <c r="G10" s="12"/>
      <c r="H10" s="12"/>
    </row>
    <row r="12" customFormat="false" ht="16.15" hidden="false" customHeight="false" outlineLevel="0" collapsed="false">
      <c r="A12" s="3" t="s">
        <v>15</v>
      </c>
      <c r="B12" s="3"/>
    </row>
    <row r="13" customFormat="false" ht="15" hidden="false" customHeight="true" outlineLevel="0" collapsed="false">
      <c r="A13" s="13" t="s">
        <v>16</v>
      </c>
      <c r="B13" s="14" t="s">
        <v>17</v>
      </c>
      <c r="C13" s="14"/>
      <c r="D13" s="14"/>
      <c r="E13" s="14"/>
      <c r="F13" s="14"/>
      <c r="G13" s="14"/>
      <c r="H13" s="14"/>
    </row>
    <row r="14" customFormat="false" ht="15" hidden="false" customHeight="true" outlineLevel="0" collapsed="false">
      <c r="A14" s="13" t="s">
        <v>18</v>
      </c>
      <c r="B14" s="14" t="s">
        <v>19</v>
      </c>
      <c r="C14" s="14"/>
      <c r="D14" s="14"/>
      <c r="E14" s="14"/>
      <c r="F14" s="14"/>
      <c r="G14" s="14"/>
      <c r="H14" s="14"/>
    </row>
    <row r="15" customFormat="false" ht="15" hidden="false" customHeight="true" outlineLevel="0" collapsed="false">
      <c r="A15" s="13" t="s">
        <v>20</v>
      </c>
      <c r="B15" s="14" t="s">
        <v>21</v>
      </c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3" t="s">
        <v>22</v>
      </c>
      <c r="B16" s="15" t="s">
        <v>23</v>
      </c>
      <c r="C16" s="15"/>
      <c r="D16" s="15"/>
      <c r="E16" s="15"/>
      <c r="F16" s="15"/>
      <c r="G16" s="15"/>
      <c r="H16" s="15"/>
    </row>
    <row r="17" customFormat="false" ht="15" hidden="false" customHeight="true" outlineLevel="0" collapsed="false">
      <c r="A17" s="13" t="s">
        <v>24</v>
      </c>
      <c r="B17" s="14" t="s">
        <v>25</v>
      </c>
      <c r="C17" s="14"/>
      <c r="D17" s="14"/>
      <c r="E17" s="14"/>
      <c r="F17" s="14"/>
      <c r="G17" s="14"/>
      <c r="H17" s="14"/>
    </row>
    <row r="19" customFormat="false" ht="16.15" hidden="false" customHeight="false" outlineLevel="0" collapsed="false">
      <c r="A19" s="16" t="s">
        <v>26</v>
      </c>
      <c r="B19" s="16"/>
    </row>
    <row r="20" customFormat="false" ht="15" hidden="false" customHeight="true" outlineLevel="0" collapsed="false">
      <c r="A20" s="17" t="s">
        <v>27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true" outlineLevel="0" collapsed="false">
      <c r="A21" s="17" t="s">
        <v>28</v>
      </c>
      <c r="B21" s="17"/>
      <c r="C21" s="17"/>
      <c r="D21" s="17"/>
      <c r="E21" s="17"/>
      <c r="F21" s="17"/>
      <c r="G21" s="17"/>
      <c r="H21" s="17"/>
    </row>
    <row r="22" customFormat="false" ht="15" hidden="false" customHeight="true" outlineLevel="0" collapsed="false">
      <c r="A22" s="17" t="s">
        <v>29</v>
      </c>
      <c r="B22" s="17"/>
      <c r="C22" s="17"/>
      <c r="D22" s="17"/>
      <c r="E22" s="17"/>
      <c r="F22" s="17"/>
      <c r="G22" s="17"/>
      <c r="H22" s="17"/>
    </row>
    <row r="23" customFormat="false" ht="15" hidden="false" customHeight="true" outlineLevel="0" collapsed="false">
      <c r="A23" s="18" t="s">
        <v>30</v>
      </c>
      <c r="B23" s="18"/>
      <c r="C23" s="18"/>
      <c r="D23" s="18"/>
      <c r="E23" s="18"/>
      <c r="F23" s="18"/>
      <c r="G23" s="18"/>
      <c r="H23" s="18"/>
    </row>
    <row r="24" customFormat="false" ht="15" hidden="false" customHeight="true" outlineLevel="0" collapsed="false">
      <c r="A24" s="18" t="s">
        <v>31</v>
      </c>
      <c r="B24" s="18"/>
      <c r="C24" s="18"/>
      <c r="D24" s="18"/>
      <c r="E24" s="18"/>
      <c r="F24" s="18"/>
      <c r="G24" s="18"/>
      <c r="H24" s="18"/>
    </row>
  </sheetData>
  <mergeCells count="21">
    <mergeCell ref="A1:H1"/>
    <mergeCell ref="A2:H2"/>
    <mergeCell ref="A4:B4"/>
    <mergeCell ref="B5:H5"/>
    <mergeCell ref="B6:H6"/>
    <mergeCell ref="B7:H7"/>
    <mergeCell ref="B8:H8"/>
    <mergeCell ref="B9:H9"/>
    <mergeCell ref="B10:H10"/>
    <mergeCell ref="A12:B12"/>
    <mergeCell ref="B13:H13"/>
    <mergeCell ref="B14:H14"/>
    <mergeCell ref="B15:H15"/>
    <mergeCell ref="B16:H16"/>
    <mergeCell ref="B17:H17"/>
    <mergeCell ref="A19:B19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FA5"/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9"/>
  </cols>
  <sheetData>
    <row r="1" customFormat="false" ht="19.4" hidden="false" customHeight="false" outlineLevel="0" collapsed="false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15" hidden="false" customHeight="false" outlineLevel="0" collapsed="false">
      <c r="A2" s="20" t="s">
        <v>33</v>
      </c>
      <c r="B2" s="21" t="s">
        <v>34</v>
      </c>
      <c r="C2" s="21" t="s">
        <v>35</v>
      </c>
      <c r="D2" s="21" t="s">
        <v>36</v>
      </c>
      <c r="E2" s="21" t="s">
        <v>37</v>
      </c>
      <c r="F2" s="21" t="s">
        <v>38</v>
      </c>
      <c r="G2" s="21" t="s">
        <v>39</v>
      </c>
      <c r="H2" s="21" t="s">
        <v>40</v>
      </c>
      <c r="I2" s="21" t="s">
        <v>41</v>
      </c>
      <c r="J2" s="21" t="s">
        <v>42</v>
      </c>
      <c r="K2" s="21" t="s">
        <v>43</v>
      </c>
      <c r="L2" s="21" t="s">
        <v>44</v>
      </c>
      <c r="M2" s="21" t="s">
        <v>45</v>
      </c>
      <c r="N2" s="21" t="s">
        <v>46</v>
      </c>
      <c r="O2" s="21" t="s">
        <v>47</v>
      </c>
      <c r="P2" s="21" t="s">
        <v>48</v>
      </c>
    </row>
    <row r="3" customFormat="false" ht="15" hidden="false" customHeight="false" outlineLevel="0" collapsed="false">
      <c r="A3" s="22" t="s">
        <v>49</v>
      </c>
      <c r="B3" s="23" t="n">
        <v>2.88</v>
      </c>
      <c r="C3" s="23" t="n">
        <v>2.88</v>
      </c>
      <c r="D3" s="23" t="n">
        <v>2.96</v>
      </c>
      <c r="E3" s="23" t="n">
        <v>2.824</v>
      </c>
      <c r="F3" s="23" t="n">
        <v>2.745</v>
      </c>
      <c r="G3" s="23" t="n">
        <v>2.706</v>
      </c>
      <c r="H3" s="23" t="n">
        <v>2.784</v>
      </c>
      <c r="I3" s="23" t="n">
        <v>2.784</v>
      </c>
      <c r="J3" s="23" t="n">
        <v>2.769</v>
      </c>
      <c r="K3" s="23" t="n">
        <v>2.808</v>
      </c>
      <c r="L3" s="23" t="n">
        <v>2.923</v>
      </c>
      <c r="M3" s="23" t="n">
        <v>2.923</v>
      </c>
      <c r="N3" s="23" t="n">
        <v>3</v>
      </c>
      <c r="O3" s="23" t="n">
        <v>3.038</v>
      </c>
      <c r="P3" s="23" t="n">
        <v>3.115</v>
      </c>
    </row>
    <row r="4" customFormat="false" ht="15" hidden="false" customHeight="false" outlineLevel="0" collapsed="false">
      <c r="A4" s="24" t="s">
        <v>50</v>
      </c>
      <c r="B4" s="25" t="n">
        <v>3.44</v>
      </c>
      <c r="C4" s="25" t="n">
        <v>3.44</v>
      </c>
      <c r="D4" s="25" t="n">
        <v>3.56</v>
      </c>
      <c r="E4" s="25" t="n">
        <v>3.412</v>
      </c>
      <c r="F4" s="25" t="n">
        <v>3.333</v>
      </c>
      <c r="G4" s="25" t="n">
        <v>3.333</v>
      </c>
      <c r="H4" s="25" t="n">
        <v>3.412</v>
      </c>
      <c r="I4" s="25" t="n">
        <v>3.412</v>
      </c>
      <c r="J4" s="25" t="n">
        <v>3.423</v>
      </c>
      <c r="K4" s="25" t="n">
        <v>3.5</v>
      </c>
      <c r="L4" s="25" t="n">
        <v>3.615</v>
      </c>
      <c r="M4" s="25" t="n">
        <v>3.654</v>
      </c>
      <c r="N4" s="25" t="n">
        <v>3.654</v>
      </c>
      <c r="O4" s="25" t="n">
        <v>3.808</v>
      </c>
      <c r="P4" s="25" t="n">
        <v>3.923</v>
      </c>
    </row>
    <row r="5" customFormat="false" ht="15" hidden="false" customHeight="false" outlineLevel="0" collapsed="false">
      <c r="A5" s="22" t="s">
        <v>51</v>
      </c>
      <c r="B5" s="23" t="n">
        <v>3.4</v>
      </c>
      <c r="C5" s="23" t="n">
        <v>3.4</v>
      </c>
      <c r="D5" s="23" t="n">
        <v>3.52</v>
      </c>
      <c r="E5" s="23" t="n">
        <v>3.373</v>
      </c>
      <c r="F5" s="23" t="n">
        <v>3.294</v>
      </c>
      <c r="G5" s="23" t="n">
        <v>3.294</v>
      </c>
      <c r="H5" s="23" t="n">
        <v>3.373</v>
      </c>
      <c r="I5" s="23" t="n">
        <v>3.373</v>
      </c>
      <c r="J5" s="23" t="n">
        <v>3.385</v>
      </c>
      <c r="K5" s="23" t="n">
        <v>3.462</v>
      </c>
      <c r="L5" s="23" t="n">
        <v>3.577</v>
      </c>
      <c r="M5" s="23" t="n">
        <v>3.615</v>
      </c>
      <c r="N5" s="23" t="n">
        <v>3.615</v>
      </c>
      <c r="O5" s="23" t="n">
        <v>3.769</v>
      </c>
      <c r="P5" s="23" t="n">
        <v>3.846</v>
      </c>
    </row>
    <row r="24" customFormat="false" ht="19.4" hidden="false" customHeight="false" outlineLevel="0" collapsed="false">
      <c r="A24" s="19" t="s">
        <v>52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customFormat="false" ht="15" hidden="false" customHeight="false" outlineLevel="0" collapsed="false">
      <c r="A25" s="20" t="s">
        <v>33</v>
      </c>
      <c r="B25" s="21" t="s">
        <v>34</v>
      </c>
      <c r="C25" s="21" t="s">
        <v>35</v>
      </c>
      <c r="D25" s="21" t="s">
        <v>36</v>
      </c>
      <c r="E25" s="21" t="s">
        <v>37</v>
      </c>
      <c r="F25" s="21" t="s">
        <v>38</v>
      </c>
      <c r="G25" s="21" t="s">
        <v>39</v>
      </c>
      <c r="H25" s="21" t="s">
        <v>40</v>
      </c>
      <c r="I25" s="21" t="s">
        <v>41</v>
      </c>
      <c r="J25" s="21" t="s">
        <v>42</v>
      </c>
      <c r="K25" s="21" t="s">
        <v>43</v>
      </c>
      <c r="L25" s="21" t="s">
        <v>44</v>
      </c>
      <c r="M25" s="21" t="s">
        <v>45</v>
      </c>
      <c r="N25" s="21" t="s">
        <v>46</v>
      </c>
      <c r="O25" s="21" t="s">
        <v>47</v>
      </c>
      <c r="P25" s="21" t="s">
        <v>48</v>
      </c>
    </row>
    <row r="26" customFormat="false" ht="15" hidden="false" customHeight="false" outlineLevel="0" collapsed="false">
      <c r="A26" s="24" t="s">
        <v>49</v>
      </c>
      <c r="B26" s="26" t="n">
        <v>72000</v>
      </c>
      <c r="C26" s="26" t="n">
        <v>72000</v>
      </c>
      <c r="D26" s="26" t="n">
        <v>74000</v>
      </c>
      <c r="E26" s="26" t="n">
        <v>72000</v>
      </c>
      <c r="F26" s="26" t="n">
        <v>70000</v>
      </c>
      <c r="G26" s="26" t="n">
        <v>69000</v>
      </c>
      <c r="H26" s="26" t="n">
        <v>71000</v>
      </c>
      <c r="I26" s="26" t="n">
        <v>71000</v>
      </c>
      <c r="J26" s="26" t="n">
        <v>72000</v>
      </c>
      <c r="K26" s="26" t="n">
        <v>73000</v>
      </c>
      <c r="L26" s="26" t="n">
        <v>76000</v>
      </c>
      <c r="M26" s="26" t="n">
        <v>76000</v>
      </c>
      <c r="N26" s="26" t="n">
        <v>78000</v>
      </c>
      <c r="O26" s="26" t="n">
        <v>79000</v>
      </c>
      <c r="P26" s="26" t="n">
        <v>81000</v>
      </c>
    </row>
    <row r="27" customFormat="false" ht="15" hidden="false" customHeight="false" outlineLevel="0" collapsed="false">
      <c r="A27" s="22" t="s">
        <v>50</v>
      </c>
      <c r="B27" s="27" t="n">
        <v>86000</v>
      </c>
      <c r="C27" s="27" t="n">
        <v>86000</v>
      </c>
      <c r="D27" s="27" t="n">
        <v>89000</v>
      </c>
      <c r="E27" s="27" t="n">
        <v>87000</v>
      </c>
      <c r="F27" s="27" t="n">
        <v>85000</v>
      </c>
      <c r="G27" s="27" t="n">
        <v>85000</v>
      </c>
      <c r="H27" s="27" t="n">
        <v>87000</v>
      </c>
      <c r="I27" s="27" t="n">
        <v>87000</v>
      </c>
      <c r="J27" s="27" t="n">
        <v>89000</v>
      </c>
      <c r="K27" s="27" t="n">
        <v>91000</v>
      </c>
      <c r="L27" s="27" t="n">
        <v>94000</v>
      </c>
      <c r="M27" s="27" t="n">
        <v>95000</v>
      </c>
      <c r="N27" s="27" t="n">
        <v>95000</v>
      </c>
      <c r="O27" s="27" t="n">
        <v>99000</v>
      </c>
      <c r="P27" s="27" t="n">
        <v>102000</v>
      </c>
    </row>
    <row r="28" customFormat="false" ht="15" hidden="false" customHeight="false" outlineLevel="0" collapsed="false">
      <c r="A28" s="24" t="s">
        <v>51</v>
      </c>
      <c r="B28" s="26" t="n">
        <v>85000</v>
      </c>
      <c r="C28" s="26" t="n">
        <v>85000</v>
      </c>
      <c r="D28" s="26" t="n">
        <v>88000</v>
      </c>
      <c r="E28" s="26" t="n">
        <v>86000</v>
      </c>
      <c r="F28" s="26" t="n">
        <v>84000</v>
      </c>
      <c r="G28" s="26" t="n">
        <v>84000</v>
      </c>
      <c r="H28" s="26" t="n">
        <v>86000</v>
      </c>
      <c r="I28" s="26" t="n">
        <v>86000</v>
      </c>
      <c r="J28" s="26" t="n">
        <v>88000</v>
      </c>
      <c r="K28" s="26" t="n">
        <v>90000</v>
      </c>
      <c r="L28" s="26" t="n">
        <v>93000</v>
      </c>
      <c r="M28" s="26" t="n">
        <v>94000</v>
      </c>
      <c r="N28" s="26" t="n">
        <v>94000</v>
      </c>
      <c r="O28" s="26" t="n">
        <v>98000</v>
      </c>
      <c r="P28" s="26" t="n">
        <v>100000</v>
      </c>
    </row>
  </sheetData>
  <mergeCells count="2">
    <mergeCell ref="A1:P1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A5F"/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10"/>
  </cols>
  <sheetData>
    <row r="1" customFormat="false" ht="19.4" hidden="false" customHeight="false" outlineLevel="0" collapsed="false">
      <c r="A1" s="28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customFormat="false" ht="15" hidden="false" customHeight="false" outlineLevel="0" collapsed="false">
      <c r="A2" s="20" t="s">
        <v>33</v>
      </c>
      <c r="B2" s="21" t="s">
        <v>34</v>
      </c>
      <c r="C2" s="21" t="s">
        <v>35</v>
      </c>
      <c r="D2" s="21" t="s">
        <v>36</v>
      </c>
      <c r="E2" s="21" t="s">
        <v>37</v>
      </c>
      <c r="F2" s="21" t="s">
        <v>38</v>
      </c>
      <c r="G2" s="21" t="s">
        <v>39</v>
      </c>
      <c r="H2" s="21" t="s">
        <v>40</v>
      </c>
      <c r="I2" s="21" t="s">
        <v>41</v>
      </c>
      <c r="J2" s="21" t="s">
        <v>42</v>
      </c>
      <c r="K2" s="21" t="s">
        <v>43</v>
      </c>
      <c r="L2" s="21" t="s">
        <v>44</v>
      </c>
      <c r="M2" s="21" t="s">
        <v>45</v>
      </c>
      <c r="N2" s="21" t="s">
        <v>46</v>
      </c>
      <c r="O2" s="21" t="s">
        <v>47</v>
      </c>
      <c r="P2" s="21" t="s">
        <v>48</v>
      </c>
    </row>
    <row r="3" customFormat="false" ht="15" hidden="false" customHeight="false" outlineLevel="0" collapsed="false">
      <c r="A3" s="22" t="s">
        <v>49</v>
      </c>
      <c r="B3" s="29" t="s">
        <v>54</v>
      </c>
      <c r="C3" s="30" t="n">
        <v>0</v>
      </c>
      <c r="D3" s="30" t="n">
        <v>0.0277777777777778</v>
      </c>
      <c r="E3" s="31" t="n">
        <v>-0.045945945945946</v>
      </c>
      <c r="F3" s="30" t="n">
        <v>-0.0279745042492917</v>
      </c>
      <c r="G3" s="30" t="n">
        <v>-0.0142076502732241</v>
      </c>
      <c r="H3" s="30" t="n">
        <v>0.0288248337028824</v>
      </c>
      <c r="I3" s="30" t="n">
        <v>0</v>
      </c>
      <c r="J3" s="30" t="n">
        <v>-0.00538793103448264</v>
      </c>
      <c r="K3" s="30" t="n">
        <v>0.0140845070422534</v>
      </c>
      <c r="L3" s="32" t="n">
        <v>0.040954415954416</v>
      </c>
      <c r="M3" s="30" t="n">
        <v>0</v>
      </c>
      <c r="N3" s="30" t="n">
        <v>0.0263427984946972</v>
      </c>
      <c r="O3" s="30" t="n">
        <v>0.0126666666666666</v>
      </c>
      <c r="P3" s="30" t="n">
        <v>0.0253456221198158</v>
      </c>
    </row>
    <row r="4" customFormat="false" ht="15" hidden="false" customHeight="false" outlineLevel="0" collapsed="false">
      <c r="A4" s="24" t="s">
        <v>50</v>
      </c>
      <c r="B4" s="33" t="s">
        <v>54</v>
      </c>
      <c r="C4" s="34" t="n">
        <v>0</v>
      </c>
      <c r="D4" s="35" t="n">
        <v>0.0348837209302326</v>
      </c>
      <c r="E4" s="36" t="n">
        <v>-0.0415730337078652</v>
      </c>
      <c r="F4" s="34" t="n">
        <v>-0.0231535756154747</v>
      </c>
      <c r="G4" s="34" t="n">
        <v>0</v>
      </c>
      <c r="H4" s="34" t="n">
        <v>0.0237023702370236</v>
      </c>
      <c r="I4" s="34" t="n">
        <v>0</v>
      </c>
      <c r="J4" s="34" t="n">
        <v>0.00322391559202817</v>
      </c>
      <c r="K4" s="34" t="n">
        <v>0.0224948875255624</v>
      </c>
      <c r="L4" s="35" t="n">
        <v>0.0328571428571429</v>
      </c>
      <c r="M4" s="34" t="n">
        <v>0.0107883817427385</v>
      </c>
      <c r="N4" s="34" t="n">
        <v>0</v>
      </c>
      <c r="O4" s="35" t="n">
        <v>0.0421455938697318</v>
      </c>
      <c r="P4" s="35" t="n">
        <v>0.0301995798319328</v>
      </c>
    </row>
    <row r="5" customFormat="false" ht="15" hidden="false" customHeight="false" outlineLevel="0" collapsed="false">
      <c r="A5" s="22" t="s">
        <v>51</v>
      </c>
      <c r="B5" s="29" t="s">
        <v>54</v>
      </c>
      <c r="C5" s="30" t="n">
        <v>0</v>
      </c>
      <c r="D5" s="32" t="n">
        <v>0.0352941176470589</v>
      </c>
      <c r="E5" s="31" t="n">
        <v>-0.0417613636363636</v>
      </c>
      <c r="F5" s="30" t="n">
        <v>-0.023421286688408</v>
      </c>
      <c r="G5" s="30" t="n">
        <v>0</v>
      </c>
      <c r="H5" s="30" t="n">
        <v>0.0239829993928355</v>
      </c>
      <c r="I5" s="30" t="n">
        <v>0</v>
      </c>
      <c r="J5" s="30" t="n">
        <v>0.0035576638007707</v>
      </c>
      <c r="K5" s="30" t="n">
        <v>0.0227474150664698</v>
      </c>
      <c r="L5" s="32" t="n">
        <v>0.0332177931831311</v>
      </c>
      <c r="M5" s="30" t="n">
        <v>0.0106234274531731</v>
      </c>
      <c r="N5" s="30" t="n">
        <v>0</v>
      </c>
      <c r="O5" s="32" t="n">
        <v>0.0426002766251729</v>
      </c>
      <c r="P5" s="30" t="n">
        <v>0.0204298222340143</v>
      </c>
    </row>
    <row r="24" customFormat="false" ht="19.4" hidden="false" customHeight="false" outlineLevel="0" collapsed="false">
      <c r="A24" s="28" t="s">
        <v>55</v>
      </c>
      <c r="B24" s="28"/>
      <c r="C24" s="28"/>
      <c r="D24" s="28"/>
      <c r="E24" s="28"/>
      <c r="F24" s="28"/>
      <c r="G24" s="28"/>
    </row>
    <row r="25" customFormat="false" ht="23.85" hidden="false" customHeight="false" outlineLevel="0" collapsed="false">
      <c r="A25" s="20" t="s">
        <v>56</v>
      </c>
      <c r="B25" s="21" t="s">
        <v>57</v>
      </c>
      <c r="C25" s="21" t="s">
        <v>58</v>
      </c>
      <c r="D25" s="21" t="s">
        <v>59</v>
      </c>
      <c r="E25" s="21" t="s">
        <v>60</v>
      </c>
      <c r="F25" s="21" t="s">
        <v>61</v>
      </c>
      <c r="G25" s="21" t="s">
        <v>62</v>
      </c>
    </row>
    <row r="26" customFormat="false" ht="15" hidden="false" customHeight="false" outlineLevel="0" collapsed="false">
      <c r="A26" s="37" t="s">
        <v>63</v>
      </c>
      <c r="B26" s="38" t="n">
        <v>2.9067</v>
      </c>
      <c r="C26" s="38" t="n">
        <v>3.48</v>
      </c>
      <c r="D26" s="38" t="n">
        <v>3.44</v>
      </c>
      <c r="E26" s="39" t="s">
        <v>54</v>
      </c>
      <c r="F26" s="39" t="s">
        <v>54</v>
      </c>
      <c r="G26" s="39" t="s">
        <v>54</v>
      </c>
    </row>
    <row r="27" customFormat="false" ht="15" hidden="false" customHeight="false" outlineLevel="0" collapsed="false">
      <c r="A27" s="40" t="s">
        <v>64</v>
      </c>
      <c r="B27" s="41" t="n">
        <v>2.7582</v>
      </c>
      <c r="C27" s="41" t="n">
        <v>3.3595</v>
      </c>
      <c r="D27" s="41" t="n">
        <v>3.3203</v>
      </c>
      <c r="E27" s="42" t="n">
        <f aca="false">(B27-B26)/B26</f>
        <v>-0.0510888636598204</v>
      </c>
      <c r="F27" s="42" t="n">
        <f aca="false">(C27-C26)/C26</f>
        <v>-0.0346264367816092</v>
      </c>
      <c r="G27" s="42" t="n">
        <f aca="false">(D27-D26)/D26</f>
        <v>-0.034796511627907</v>
      </c>
    </row>
    <row r="28" customFormat="false" ht="15" hidden="false" customHeight="false" outlineLevel="0" collapsed="false">
      <c r="A28" s="37" t="s">
        <v>65</v>
      </c>
      <c r="B28" s="38" t="n">
        <v>2.7793</v>
      </c>
      <c r="C28" s="38" t="n">
        <v>3.4155</v>
      </c>
      <c r="D28" s="38" t="n">
        <v>3.3766</v>
      </c>
      <c r="E28" s="43" t="n">
        <f aca="false">(B28-B27)/B27</f>
        <v>0.00764991661228342</v>
      </c>
      <c r="F28" s="43" t="n">
        <f aca="false">(C28-C27)/C27</f>
        <v>0.016669147194523</v>
      </c>
      <c r="G28" s="43" t="n">
        <f aca="false">(D28-D27)/D27</f>
        <v>0.0169562991295967</v>
      </c>
    </row>
    <row r="29" customFormat="false" ht="15" hidden="false" customHeight="false" outlineLevel="0" collapsed="false">
      <c r="A29" s="40" t="s">
        <v>66</v>
      </c>
      <c r="B29" s="41" t="n">
        <v>2.8846</v>
      </c>
      <c r="C29" s="41" t="n">
        <v>3.5897</v>
      </c>
      <c r="D29" s="41" t="n">
        <v>3.5513</v>
      </c>
      <c r="E29" s="42" t="n">
        <f aca="false">(B29-B28)/B28</f>
        <v>0.037887237793689</v>
      </c>
      <c r="F29" s="42" t="n">
        <f aca="false">(C29-C28)/C28</f>
        <v>0.051002781437564</v>
      </c>
      <c r="G29" s="42" t="n">
        <f aca="false">(D29-D28)/D28</f>
        <v>0.0517384351122431</v>
      </c>
    </row>
    <row r="30" customFormat="false" ht="15" hidden="false" customHeight="false" outlineLevel="0" collapsed="false">
      <c r="A30" s="37" t="s">
        <v>67</v>
      </c>
      <c r="B30" s="38" t="n">
        <v>3.0513</v>
      </c>
      <c r="C30" s="38" t="n">
        <v>3.7949</v>
      </c>
      <c r="D30" s="38" t="n">
        <v>3.7436</v>
      </c>
      <c r="E30" s="43" t="n">
        <f aca="false">(B30-B29)/B29</f>
        <v>0.0577896415447549</v>
      </c>
      <c r="F30" s="43" t="n">
        <f aca="false">(C30-C29)/C29</f>
        <v>0.057163551271694</v>
      </c>
      <c r="G30" s="43" t="n">
        <f aca="false">(D30-D29)/D29</f>
        <v>0.0541491848055641</v>
      </c>
    </row>
    <row r="33" customFormat="false" ht="19.4" hidden="false" customHeight="false" outlineLevel="0" collapsed="false">
      <c r="A33" s="28" t="s">
        <v>68</v>
      </c>
      <c r="B33" s="28"/>
      <c r="C33" s="28"/>
      <c r="D33" s="28"/>
      <c r="E33" s="28"/>
    </row>
    <row r="34" customFormat="false" ht="15" hidden="false" customHeight="false" outlineLevel="0" collapsed="false">
      <c r="A34" s="20" t="s">
        <v>69</v>
      </c>
      <c r="B34" s="20" t="s">
        <v>33</v>
      </c>
      <c r="C34" s="21" t="s">
        <v>70</v>
      </c>
      <c r="D34" s="21" t="s">
        <v>71</v>
      </c>
      <c r="E34" s="21" t="s">
        <v>72</v>
      </c>
    </row>
    <row r="35" customFormat="false" ht="15" hidden="false" customHeight="false" outlineLevel="0" collapsed="false">
      <c r="A35" s="40" t="s">
        <v>73</v>
      </c>
      <c r="B35" s="40" t="s">
        <v>49</v>
      </c>
      <c r="C35" s="23" t="n">
        <v>2.88</v>
      </c>
      <c r="D35" s="23" t="n">
        <v>3</v>
      </c>
      <c r="E35" s="32" t="n">
        <f aca="false">(D35-C35)/C35</f>
        <v>0.0416666666666667</v>
      </c>
    </row>
    <row r="36" customFormat="false" ht="15" hidden="false" customHeight="false" outlineLevel="0" collapsed="false">
      <c r="A36" s="37" t="s">
        <v>73</v>
      </c>
      <c r="B36" s="37" t="s">
        <v>50</v>
      </c>
      <c r="C36" s="25" t="n">
        <v>3.44</v>
      </c>
      <c r="D36" s="25" t="n">
        <v>3.654</v>
      </c>
      <c r="E36" s="35" t="n">
        <f aca="false">(D36-C36)/C36</f>
        <v>0.0622093023255814</v>
      </c>
    </row>
    <row r="37" customFormat="false" ht="15" hidden="false" customHeight="false" outlineLevel="0" collapsed="false">
      <c r="A37" s="40" t="s">
        <v>73</v>
      </c>
      <c r="B37" s="40" t="s">
        <v>51</v>
      </c>
      <c r="C37" s="23" t="n">
        <v>3.4</v>
      </c>
      <c r="D37" s="23" t="n">
        <v>3.615</v>
      </c>
      <c r="E37" s="32" t="n">
        <f aca="false">(D37-C37)/C37</f>
        <v>0.0632352941176472</v>
      </c>
    </row>
    <row r="38" customFormat="false" ht="15" hidden="false" customHeight="false" outlineLevel="0" collapsed="false">
      <c r="A38" s="37" t="s">
        <v>74</v>
      </c>
      <c r="B38" s="37" t="s">
        <v>49</v>
      </c>
      <c r="C38" s="25" t="n">
        <v>2.88</v>
      </c>
      <c r="D38" s="25" t="n">
        <v>3.038</v>
      </c>
      <c r="E38" s="35" t="n">
        <f aca="false">(D38-C38)/C38</f>
        <v>0.0548611111111111</v>
      </c>
    </row>
    <row r="39" customFormat="false" ht="15" hidden="false" customHeight="false" outlineLevel="0" collapsed="false">
      <c r="A39" s="40" t="s">
        <v>74</v>
      </c>
      <c r="B39" s="40" t="s">
        <v>50</v>
      </c>
      <c r="C39" s="23" t="n">
        <v>3.44</v>
      </c>
      <c r="D39" s="23" t="n">
        <v>3.808</v>
      </c>
      <c r="E39" s="32" t="n">
        <f aca="false">(D39-C39)/C39</f>
        <v>0.106976744186046</v>
      </c>
    </row>
    <row r="40" customFormat="false" ht="15" hidden="false" customHeight="false" outlineLevel="0" collapsed="false">
      <c r="A40" s="37" t="s">
        <v>74</v>
      </c>
      <c r="B40" s="37" t="s">
        <v>51</v>
      </c>
      <c r="C40" s="25" t="n">
        <v>3.4</v>
      </c>
      <c r="D40" s="25" t="n">
        <v>3.769</v>
      </c>
      <c r="E40" s="35" t="n">
        <f aca="false">(D40-C40)/C40</f>
        <v>0.108529411764706</v>
      </c>
    </row>
    <row r="41" customFormat="false" ht="15" hidden="false" customHeight="false" outlineLevel="0" collapsed="false">
      <c r="A41" s="40" t="s">
        <v>75</v>
      </c>
      <c r="B41" s="40" t="s">
        <v>49</v>
      </c>
      <c r="C41" s="23" t="n">
        <v>2.96</v>
      </c>
      <c r="D41" s="23" t="n">
        <v>3.115</v>
      </c>
      <c r="E41" s="32" t="n">
        <f aca="false">(D41-C41)/C41</f>
        <v>0.052364864864865</v>
      </c>
    </row>
    <row r="42" customFormat="false" ht="15" hidden="false" customHeight="false" outlineLevel="0" collapsed="false">
      <c r="A42" s="37" t="s">
        <v>75</v>
      </c>
      <c r="B42" s="37" t="s">
        <v>50</v>
      </c>
      <c r="C42" s="25" t="n">
        <v>3.56</v>
      </c>
      <c r="D42" s="25" t="n">
        <v>3.923</v>
      </c>
      <c r="E42" s="35" t="n">
        <f aca="false">(D42-C42)/C42</f>
        <v>0.101966292134831</v>
      </c>
    </row>
    <row r="43" customFormat="false" ht="15" hidden="false" customHeight="false" outlineLevel="0" collapsed="false">
      <c r="A43" s="40" t="s">
        <v>75</v>
      </c>
      <c r="B43" s="40" t="s">
        <v>51</v>
      </c>
      <c r="C43" s="23" t="n">
        <v>3.52</v>
      </c>
      <c r="D43" s="23" t="n">
        <v>3.846</v>
      </c>
      <c r="E43" s="32" t="n">
        <f aca="false">(D43-C43)/C43</f>
        <v>0.0926136363636364</v>
      </c>
    </row>
  </sheetData>
  <mergeCells count="3">
    <mergeCell ref="A1:P1"/>
    <mergeCell ref="A24:G24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B29A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6" min="4" style="0" width="14"/>
  </cols>
  <sheetData>
    <row r="1" customFormat="false" ht="19.4" hidden="false" customHeight="false" outlineLevel="0" collapsed="false">
      <c r="A1" s="19" t="s">
        <v>76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20" t="s">
        <v>33</v>
      </c>
      <c r="B2" s="20" t="s">
        <v>77</v>
      </c>
      <c r="C2" s="20" t="s">
        <v>78</v>
      </c>
      <c r="D2" s="20" t="s">
        <v>79</v>
      </c>
      <c r="E2" s="20" t="s">
        <v>80</v>
      </c>
      <c r="F2" s="20" t="s">
        <v>81</v>
      </c>
    </row>
    <row r="3" customFormat="false" ht="15" hidden="false" customHeight="false" outlineLevel="0" collapsed="false">
      <c r="A3" s="40" t="s">
        <v>49</v>
      </c>
      <c r="B3" s="44" t="s">
        <v>82</v>
      </c>
      <c r="C3" s="44" t="s">
        <v>83</v>
      </c>
      <c r="D3" s="44" t="s">
        <v>84</v>
      </c>
      <c r="E3" s="44" t="s">
        <v>85</v>
      </c>
      <c r="F3" s="44" t="s">
        <v>86</v>
      </c>
    </row>
    <row r="4" customFormat="false" ht="15" hidden="false" customHeight="false" outlineLevel="0" collapsed="false">
      <c r="A4" s="37" t="s">
        <v>50</v>
      </c>
      <c r="B4" s="39" t="s">
        <v>87</v>
      </c>
      <c r="C4" s="39" t="s">
        <v>88</v>
      </c>
      <c r="D4" s="39" t="s">
        <v>89</v>
      </c>
      <c r="E4" s="39" t="s">
        <v>90</v>
      </c>
      <c r="F4" s="39" t="s">
        <v>91</v>
      </c>
    </row>
    <row r="5" customFormat="false" ht="15" hidden="false" customHeight="false" outlineLevel="0" collapsed="false">
      <c r="A5" s="40" t="s">
        <v>51</v>
      </c>
      <c r="B5" s="44" t="s">
        <v>92</v>
      </c>
      <c r="C5" s="44" t="s">
        <v>93</v>
      </c>
      <c r="D5" s="44" t="s">
        <v>94</v>
      </c>
      <c r="E5" s="44" t="s">
        <v>95</v>
      </c>
      <c r="F5" s="44" t="s">
        <v>96</v>
      </c>
    </row>
    <row r="7" customFormat="false" ht="19.4" hidden="false" customHeight="false" outlineLevel="0" collapsed="false">
      <c r="A7" s="19" t="s">
        <v>97</v>
      </c>
      <c r="B7" s="19"/>
      <c r="C7" s="19"/>
      <c r="D7" s="19"/>
    </row>
    <row r="8" customFormat="false" ht="15" hidden="false" customHeight="false" outlineLevel="0" collapsed="false">
      <c r="A8" s="20"/>
      <c r="B8" s="21" t="s">
        <v>49</v>
      </c>
      <c r="C8" s="21" t="s">
        <v>50</v>
      </c>
      <c r="D8" s="21" t="s">
        <v>51</v>
      </c>
    </row>
    <row r="9" customFormat="false" ht="15" hidden="false" customHeight="false" outlineLevel="0" collapsed="false">
      <c r="A9" s="40" t="s">
        <v>49</v>
      </c>
      <c r="B9" s="45" t="n">
        <v>1</v>
      </c>
      <c r="C9" s="46" t="n">
        <v>0.941</v>
      </c>
      <c r="D9" s="46" t="n">
        <v>0.941</v>
      </c>
    </row>
    <row r="10" customFormat="false" ht="15" hidden="false" customHeight="false" outlineLevel="0" collapsed="false">
      <c r="A10" s="37" t="s">
        <v>50</v>
      </c>
      <c r="B10" s="47" t="n">
        <v>0.941</v>
      </c>
      <c r="C10" s="48" t="n">
        <v>1</v>
      </c>
      <c r="D10" s="49" t="n">
        <v>0.999</v>
      </c>
    </row>
    <row r="11" customFormat="false" ht="15" hidden="false" customHeight="false" outlineLevel="0" collapsed="false">
      <c r="A11" s="40" t="s">
        <v>51</v>
      </c>
      <c r="B11" s="46" t="n">
        <v>0.941</v>
      </c>
      <c r="C11" s="50" t="n">
        <v>0.999</v>
      </c>
      <c r="D11" s="45" t="n">
        <v>1</v>
      </c>
    </row>
    <row r="13" customFormat="false" ht="19.4" hidden="false" customHeight="false" outlineLevel="0" collapsed="false">
      <c r="A13" s="19" t="s">
        <v>98</v>
      </c>
      <c r="B13" s="19"/>
      <c r="C13" s="19"/>
      <c r="D13" s="19"/>
    </row>
    <row r="14" customFormat="false" ht="15" hidden="false" customHeight="false" outlineLevel="0" collapsed="false">
      <c r="A14" s="20" t="s">
        <v>69</v>
      </c>
      <c r="B14" s="20" t="s">
        <v>99</v>
      </c>
      <c r="C14" s="21" t="s">
        <v>100</v>
      </c>
      <c r="D14" s="21" t="s">
        <v>101</v>
      </c>
    </row>
    <row r="15" customFormat="false" ht="15" hidden="false" customHeight="false" outlineLevel="0" collapsed="false">
      <c r="A15" s="44" t="s">
        <v>34</v>
      </c>
      <c r="B15" s="23" t="n">
        <v>2.88</v>
      </c>
      <c r="C15" s="41" t="s">
        <v>54</v>
      </c>
      <c r="D15" s="41" t="s">
        <v>54</v>
      </c>
    </row>
    <row r="16" customFormat="false" ht="15" hidden="false" customHeight="false" outlineLevel="0" collapsed="false">
      <c r="A16" s="39" t="s">
        <v>35</v>
      </c>
      <c r="B16" s="25" t="n">
        <v>2.88</v>
      </c>
      <c r="C16" s="38" t="s">
        <v>54</v>
      </c>
      <c r="D16" s="38" t="s">
        <v>54</v>
      </c>
    </row>
    <row r="17" customFormat="false" ht="15" hidden="false" customHeight="false" outlineLevel="0" collapsed="false">
      <c r="A17" s="44" t="s">
        <v>36</v>
      </c>
      <c r="B17" s="23" t="n">
        <v>2.96</v>
      </c>
      <c r="C17" s="41" t="n">
        <f aca="false">AVERAGE(B15:B17)</f>
        <v>2.90666666666667</v>
      </c>
      <c r="D17" s="41" t="s">
        <v>54</v>
      </c>
    </row>
    <row r="18" customFormat="false" ht="15" hidden="false" customHeight="false" outlineLevel="0" collapsed="false">
      <c r="A18" s="39" t="s">
        <v>37</v>
      </c>
      <c r="B18" s="25" t="n">
        <v>2.824</v>
      </c>
      <c r="C18" s="38" t="n">
        <f aca="false">AVERAGE(B16:B18)</f>
        <v>2.888</v>
      </c>
      <c r="D18" s="38" t="s">
        <v>54</v>
      </c>
    </row>
    <row r="19" customFormat="false" ht="15" hidden="false" customHeight="false" outlineLevel="0" collapsed="false">
      <c r="A19" s="44" t="s">
        <v>38</v>
      </c>
      <c r="B19" s="23" t="n">
        <v>2.745</v>
      </c>
      <c r="C19" s="41" t="n">
        <f aca="false">AVERAGE(B17:B19)</f>
        <v>2.843</v>
      </c>
      <c r="D19" s="41" t="s">
        <v>54</v>
      </c>
    </row>
    <row r="20" customFormat="false" ht="15" hidden="false" customHeight="false" outlineLevel="0" collapsed="false">
      <c r="A20" s="39" t="s">
        <v>39</v>
      </c>
      <c r="B20" s="25" t="n">
        <v>2.706</v>
      </c>
      <c r="C20" s="38" t="n">
        <f aca="false">AVERAGE(B18:B20)</f>
        <v>2.75833333333333</v>
      </c>
      <c r="D20" s="38" t="n">
        <f aca="false">AVERAGE(B15:B20)</f>
        <v>2.8325</v>
      </c>
    </row>
    <row r="21" customFormat="false" ht="15" hidden="false" customHeight="false" outlineLevel="0" collapsed="false">
      <c r="A21" s="44" t="s">
        <v>40</v>
      </c>
      <c r="B21" s="23" t="n">
        <v>2.784</v>
      </c>
      <c r="C21" s="41" t="n">
        <f aca="false">AVERAGE(B19:B21)</f>
        <v>2.745</v>
      </c>
      <c r="D21" s="41" t="n">
        <f aca="false">AVERAGE(B16:B21)</f>
        <v>2.8165</v>
      </c>
    </row>
    <row r="22" customFormat="false" ht="15" hidden="false" customHeight="false" outlineLevel="0" collapsed="false">
      <c r="A22" s="39" t="s">
        <v>41</v>
      </c>
      <c r="B22" s="25" t="n">
        <v>2.784</v>
      </c>
      <c r="C22" s="38" t="n">
        <f aca="false">AVERAGE(B20:B22)</f>
        <v>2.758</v>
      </c>
      <c r="D22" s="38" t="n">
        <f aca="false">AVERAGE(B17:B22)</f>
        <v>2.8005</v>
      </c>
    </row>
    <row r="23" customFormat="false" ht="15" hidden="false" customHeight="false" outlineLevel="0" collapsed="false">
      <c r="A23" s="44" t="s">
        <v>42</v>
      </c>
      <c r="B23" s="23" t="n">
        <v>2.769</v>
      </c>
      <c r="C23" s="41" t="n">
        <f aca="false">AVERAGE(B21:B23)</f>
        <v>2.779</v>
      </c>
      <c r="D23" s="41" t="n">
        <f aca="false">AVERAGE(B18:B23)</f>
        <v>2.76866666666667</v>
      </c>
    </row>
    <row r="24" customFormat="false" ht="15" hidden="false" customHeight="false" outlineLevel="0" collapsed="false">
      <c r="A24" s="39" t="s">
        <v>43</v>
      </c>
      <c r="B24" s="25" t="n">
        <v>2.808</v>
      </c>
      <c r="C24" s="38" t="n">
        <f aca="false">AVERAGE(B22:B24)</f>
        <v>2.787</v>
      </c>
      <c r="D24" s="38" t="n">
        <f aca="false">AVERAGE(B19:B24)</f>
        <v>2.766</v>
      </c>
    </row>
    <row r="25" customFormat="false" ht="15" hidden="false" customHeight="false" outlineLevel="0" collapsed="false">
      <c r="A25" s="44" t="s">
        <v>44</v>
      </c>
      <c r="B25" s="23" t="n">
        <v>2.923</v>
      </c>
      <c r="C25" s="41" t="n">
        <f aca="false">AVERAGE(B23:B25)</f>
        <v>2.83333333333333</v>
      </c>
      <c r="D25" s="41" t="n">
        <f aca="false">AVERAGE(B20:B25)</f>
        <v>2.79566666666667</v>
      </c>
    </row>
    <row r="26" customFormat="false" ht="15" hidden="false" customHeight="false" outlineLevel="0" collapsed="false">
      <c r="A26" s="39" t="s">
        <v>45</v>
      </c>
      <c r="B26" s="25" t="n">
        <v>2.923</v>
      </c>
      <c r="C26" s="38" t="n">
        <f aca="false">AVERAGE(B24:B26)</f>
        <v>2.88466666666667</v>
      </c>
      <c r="D26" s="38" t="n">
        <f aca="false">AVERAGE(B21:B26)</f>
        <v>2.83183333333333</v>
      </c>
    </row>
    <row r="27" customFormat="false" ht="15" hidden="false" customHeight="false" outlineLevel="0" collapsed="false">
      <c r="A27" s="44" t="s">
        <v>46</v>
      </c>
      <c r="B27" s="23" t="n">
        <v>3</v>
      </c>
      <c r="C27" s="41" t="n">
        <f aca="false">AVERAGE(B25:B27)</f>
        <v>2.94866666666667</v>
      </c>
      <c r="D27" s="41" t="n">
        <f aca="false">AVERAGE(B22:B27)</f>
        <v>2.86783333333333</v>
      </c>
    </row>
    <row r="28" customFormat="false" ht="15" hidden="false" customHeight="false" outlineLevel="0" collapsed="false">
      <c r="A28" s="39" t="s">
        <v>47</v>
      </c>
      <c r="B28" s="25" t="n">
        <v>3.038</v>
      </c>
      <c r="C28" s="38" t="n">
        <f aca="false">AVERAGE(B26:B28)</f>
        <v>2.987</v>
      </c>
      <c r="D28" s="38" t="n">
        <f aca="false">AVERAGE(B23:B28)</f>
        <v>2.91016666666667</v>
      </c>
    </row>
    <row r="29" customFormat="false" ht="15" hidden="false" customHeight="false" outlineLevel="0" collapsed="false">
      <c r="A29" s="44" t="s">
        <v>48</v>
      </c>
      <c r="B29" s="23" t="n">
        <v>3.115</v>
      </c>
      <c r="C29" s="41" t="n">
        <f aca="false">AVERAGE(B27:B29)</f>
        <v>3.051</v>
      </c>
      <c r="D29" s="41" t="n">
        <f aca="false">AVERAGE(B24:B29)</f>
        <v>2.96783333333333</v>
      </c>
    </row>
  </sheetData>
  <mergeCells count="3">
    <mergeCell ref="A1:F1"/>
    <mergeCell ref="A7:D7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C8F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9" t="s">
        <v>102</v>
      </c>
      <c r="B1" s="19"/>
      <c r="C1" s="19"/>
      <c r="D1" s="19"/>
      <c r="E1" s="19"/>
      <c r="F1" s="19"/>
      <c r="G1" s="19"/>
    </row>
    <row r="3" customFormat="false" ht="16.15" hidden="false" customHeight="false" outlineLevel="0" collapsed="false">
      <c r="A3" s="3" t="s">
        <v>103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20" t="s">
        <v>104</v>
      </c>
      <c r="B4" s="20" t="s">
        <v>105</v>
      </c>
      <c r="C4" s="21" t="s">
        <v>49</v>
      </c>
      <c r="D4" s="21" t="s">
        <v>50</v>
      </c>
      <c r="E4" s="21" t="s">
        <v>51</v>
      </c>
      <c r="F4" s="20" t="s">
        <v>106</v>
      </c>
      <c r="G4" s="20" t="s">
        <v>107</v>
      </c>
    </row>
    <row r="5" customFormat="false" ht="15" hidden="false" customHeight="false" outlineLevel="0" collapsed="false">
      <c r="A5" s="51" t="s">
        <v>108</v>
      </c>
      <c r="B5" s="44" t="s">
        <v>109</v>
      </c>
      <c r="C5" s="44" t="s">
        <v>110</v>
      </c>
      <c r="D5" s="44" t="s">
        <v>111</v>
      </c>
      <c r="E5" s="44" t="s">
        <v>112</v>
      </c>
      <c r="F5" s="44" t="s">
        <v>113</v>
      </c>
      <c r="G5" s="52" t="s">
        <v>114</v>
      </c>
    </row>
    <row r="6" customFormat="false" ht="15" hidden="false" customHeight="false" outlineLevel="0" collapsed="false">
      <c r="A6" s="53" t="s">
        <v>115</v>
      </c>
      <c r="B6" s="44" t="s">
        <v>116</v>
      </c>
      <c r="C6" s="44" t="s">
        <v>117</v>
      </c>
      <c r="D6" s="44" t="s">
        <v>118</v>
      </c>
      <c r="E6" s="44" t="s">
        <v>119</v>
      </c>
      <c r="F6" s="44" t="s">
        <v>120</v>
      </c>
      <c r="G6" s="52" t="s">
        <v>121</v>
      </c>
    </row>
    <row r="7" customFormat="false" ht="15" hidden="false" customHeight="false" outlineLevel="0" collapsed="false">
      <c r="A7" s="54" t="s">
        <v>122</v>
      </c>
      <c r="B7" s="44" t="s">
        <v>123</v>
      </c>
      <c r="C7" s="44" t="s">
        <v>124</v>
      </c>
      <c r="D7" s="44" t="s">
        <v>125</v>
      </c>
      <c r="E7" s="44" t="s">
        <v>126</v>
      </c>
      <c r="F7" s="44" t="s">
        <v>127</v>
      </c>
      <c r="G7" s="52" t="s">
        <v>128</v>
      </c>
    </row>
    <row r="9" customFormat="false" ht="16.4" hidden="false" customHeight="false" outlineLevel="0" collapsed="false">
      <c r="A9" s="3" t="s">
        <v>129</v>
      </c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20" t="s">
        <v>130</v>
      </c>
      <c r="B10" s="20" t="s">
        <v>131</v>
      </c>
      <c r="C10" s="20" t="s">
        <v>132</v>
      </c>
      <c r="D10" s="20" t="s">
        <v>133</v>
      </c>
      <c r="E10" s="20" t="s">
        <v>134</v>
      </c>
    </row>
    <row r="11" customFormat="false" ht="15" hidden="false" customHeight="false" outlineLevel="0" collapsed="false">
      <c r="A11" s="40" t="s">
        <v>135</v>
      </c>
      <c r="B11" s="44" t="s">
        <v>136</v>
      </c>
      <c r="C11" s="44" t="s">
        <v>137</v>
      </c>
      <c r="D11" s="55" t="s">
        <v>138</v>
      </c>
      <c r="E11" s="52" t="s">
        <v>139</v>
      </c>
    </row>
    <row r="12" customFormat="false" ht="15" hidden="false" customHeight="false" outlineLevel="0" collapsed="false">
      <c r="A12" s="37" t="s">
        <v>140</v>
      </c>
      <c r="B12" s="39" t="s">
        <v>141</v>
      </c>
      <c r="C12" s="39" t="s">
        <v>142</v>
      </c>
      <c r="D12" s="56" t="s">
        <v>138</v>
      </c>
      <c r="E12" s="57" t="s">
        <v>143</v>
      </c>
    </row>
    <row r="13" customFormat="false" ht="15" hidden="false" customHeight="false" outlineLevel="0" collapsed="false">
      <c r="A13" s="40" t="s">
        <v>144</v>
      </c>
      <c r="B13" s="44" t="s">
        <v>145</v>
      </c>
      <c r="C13" s="44" t="s">
        <v>146</v>
      </c>
      <c r="D13" s="58" t="s">
        <v>147</v>
      </c>
      <c r="E13" s="52" t="s">
        <v>148</v>
      </c>
    </row>
    <row r="14" customFormat="false" ht="15" hidden="false" customHeight="false" outlineLevel="0" collapsed="false">
      <c r="A14" s="37" t="s">
        <v>149</v>
      </c>
      <c r="B14" s="39" t="s">
        <v>150</v>
      </c>
      <c r="C14" s="39" t="s">
        <v>142</v>
      </c>
      <c r="D14" s="59" t="s">
        <v>151</v>
      </c>
      <c r="E14" s="57" t="s">
        <v>152</v>
      </c>
    </row>
    <row r="17" customFormat="false" ht="16.4" hidden="false" customHeight="false" outlineLevel="0" collapsed="false">
      <c r="A17" s="3" t="s">
        <v>153</v>
      </c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20" t="s">
        <v>154</v>
      </c>
      <c r="B18" s="20" t="s">
        <v>155</v>
      </c>
      <c r="C18" s="20" t="s">
        <v>156</v>
      </c>
      <c r="D18" s="20" t="s">
        <v>157</v>
      </c>
    </row>
    <row r="19" customFormat="false" ht="15" hidden="false" customHeight="false" outlineLevel="0" collapsed="false">
      <c r="A19" s="54" t="s">
        <v>158</v>
      </c>
      <c r="B19" s="52" t="s">
        <v>159</v>
      </c>
      <c r="C19" s="52" t="s">
        <v>160</v>
      </c>
      <c r="D19" s="44" t="s">
        <v>161</v>
      </c>
    </row>
    <row r="20" customFormat="false" ht="15" hidden="false" customHeight="false" outlineLevel="0" collapsed="false">
      <c r="A20" s="60" t="s">
        <v>158</v>
      </c>
      <c r="B20" s="57" t="s">
        <v>162</v>
      </c>
      <c r="C20" s="57" t="s">
        <v>163</v>
      </c>
      <c r="D20" s="39" t="s">
        <v>164</v>
      </c>
    </row>
    <row r="21" customFormat="false" ht="15" hidden="false" customHeight="false" outlineLevel="0" collapsed="false">
      <c r="A21" s="54" t="s">
        <v>158</v>
      </c>
      <c r="B21" s="52" t="s">
        <v>165</v>
      </c>
      <c r="C21" s="52" t="s">
        <v>166</v>
      </c>
      <c r="D21" s="44" t="s">
        <v>164</v>
      </c>
    </row>
    <row r="22" customFormat="false" ht="15" hidden="false" customHeight="false" outlineLevel="0" collapsed="false">
      <c r="A22" s="60" t="s">
        <v>158</v>
      </c>
      <c r="B22" s="39" t="s">
        <v>167</v>
      </c>
      <c r="C22" s="57" t="s">
        <v>168</v>
      </c>
      <c r="D22" s="39" t="s">
        <v>169</v>
      </c>
    </row>
    <row r="23" customFormat="false" ht="15" hidden="false" customHeight="false" outlineLevel="0" collapsed="false">
      <c r="A23" s="54" t="s">
        <v>170</v>
      </c>
      <c r="B23" s="44" t="s">
        <v>171</v>
      </c>
      <c r="C23" s="52" t="s">
        <v>172</v>
      </c>
      <c r="D23" s="44" t="s">
        <v>164</v>
      </c>
    </row>
    <row r="24" customFormat="false" ht="15" hidden="false" customHeight="false" outlineLevel="0" collapsed="false">
      <c r="A24" s="60" t="s">
        <v>173</v>
      </c>
      <c r="B24" s="57" t="s">
        <v>174</v>
      </c>
      <c r="C24" s="57" t="s">
        <v>175</v>
      </c>
      <c r="D24" s="39" t="s">
        <v>169</v>
      </c>
    </row>
    <row r="25" customFormat="false" ht="15" hidden="false" customHeight="false" outlineLevel="0" collapsed="false">
      <c r="A25" s="51" t="s">
        <v>176</v>
      </c>
      <c r="B25" s="52" t="s">
        <v>177</v>
      </c>
      <c r="C25" s="52" t="s">
        <v>178</v>
      </c>
      <c r="D25" s="44" t="s">
        <v>179</v>
      </c>
    </row>
  </sheetData>
  <mergeCells count="4">
    <mergeCell ref="A1:G1"/>
    <mergeCell ref="A3:G3"/>
    <mergeCell ref="A9:G9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405B"/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6" min="2" style="0" width="9"/>
  </cols>
  <sheetData>
    <row r="1" customFormat="false" ht="19.4" hidden="false" customHeight="false" outlineLevel="0" collapsed="false">
      <c r="A1" s="28" t="s">
        <v>180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customFormat="false" ht="15" hidden="false" customHeight="false" outlineLevel="0" collapsed="false">
      <c r="A2" s="20" t="s">
        <v>181</v>
      </c>
      <c r="B2" s="21" t="s">
        <v>34</v>
      </c>
      <c r="C2" s="21" t="s">
        <v>35</v>
      </c>
      <c r="D2" s="21" t="s">
        <v>36</v>
      </c>
      <c r="E2" s="21" t="s">
        <v>37</v>
      </c>
      <c r="F2" s="21" t="s">
        <v>38</v>
      </c>
      <c r="G2" s="21" t="s">
        <v>39</v>
      </c>
      <c r="H2" s="21" t="s">
        <v>40</v>
      </c>
      <c r="I2" s="21" t="s">
        <v>41</v>
      </c>
      <c r="J2" s="21" t="s">
        <v>42</v>
      </c>
      <c r="K2" s="21" t="s">
        <v>43</v>
      </c>
      <c r="L2" s="21" t="s">
        <v>44</v>
      </c>
      <c r="M2" s="21" t="s">
        <v>45</v>
      </c>
      <c r="N2" s="21" t="s">
        <v>46</v>
      </c>
      <c r="O2" s="21" t="s">
        <v>47</v>
      </c>
      <c r="P2" s="21" t="s">
        <v>48</v>
      </c>
    </row>
    <row r="3" customFormat="false" ht="15" hidden="false" customHeight="false" outlineLevel="0" collapsed="false">
      <c r="A3" s="22" t="s">
        <v>182</v>
      </c>
      <c r="B3" s="23" t="n">
        <v>2.88</v>
      </c>
      <c r="C3" s="23" t="n">
        <v>2.88</v>
      </c>
      <c r="D3" s="23" t="n">
        <v>2.96</v>
      </c>
      <c r="E3" s="23" t="n">
        <v>2.824</v>
      </c>
      <c r="F3" s="23" t="n">
        <v>2.745</v>
      </c>
      <c r="G3" s="23" t="n">
        <v>2.706</v>
      </c>
      <c r="H3" s="23" t="n">
        <v>2.784</v>
      </c>
      <c r="I3" s="23" t="n">
        <v>2.784</v>
      </c>
      <c r="J3" s="23" t="n">
        <v>2.769</v>
      </c>
      <c r="K3" s="23" t="n">
        <v>2.808</v>
      </c>
      <c r="L3" s="23" t="n">
        <v>2.923</v>
      </c>
      <c r="M3" s="23" t="n">
        <v>2.923</v>
      </c>
      <c r="N3" s="23" t="n">
        <v>3</v>
      </c>
      <c r="O3" s="23" t="n">
        <v>3.038</v>
      </c>
      <c r="P3" s="23" t="n">
        <v>3.115</v>
      </c>
    </row>
    <row r="4" customFormat="false" ht="15" hidden="false" customHeight="false" outlineLevel="0" collapsed="false">
      <c r="A4" s="24" t="s">
        <v>183</v>
      </c>
      <c r="B4" s="25" t="n">
        <v>2.668</v>
      </c>
      <c r="C4" s="25" t="n">
        <v>2.704</v>
      </c>
      <c r="D4" s="25" t="n">
        <v>2.8</v>
      </c>
      <c r="E4" s="25" t="n">
        <v>2.737</v>
      </c>
      <c r="F4" s="25" t="n">
        <v>2.686</v>
      </c>
      <c r="G4" s="25" t="n">
        <v>2.686</v>
      </c>
      <c r="H4" s="25" t="n">
        <v>2.69</v>
      </c>
      <c r="I4" s="25" t="n">
        <v>2.722</v>
      </c>
      <c r="J4" s="25" t="n">
        <v>2.669</v>
      </c>
      <c r="K4" s="25" t="n">
        <v>2.754</v>
      </c>
      <c r="L4" s="25" t="n">
        <v>2.792</v>
      </c>
      <c r="M4" s="25" t="n">
        <v>2.842</v>
      </c>
      <c r="N4" s="25" t="n">
        <v>2.885</v>
      </c>
      <c r="O4" s="39" t="s">
        <v>54</v>
      </c>
      <c r="P4" s="39" t="s">
        <v>54</v>
      </c>
    </row>
    <row r="5" customFormat="false" ht="15" hidden="false" customHeight="false" outlineLevel="0" collapsed="false">
      <c r="A5" s="22" t="s">
        <v>184</v>
      </c>
      <c r="B5" s="44" t="s">
        <v>54</v>
      </c>
      <c r="C5" s="23" t="n">
        <v>2.631</v>
      </c>
      <c r="D5" s="23" t="n">
        <v>2.673</v>
      </c>
      <c r="E5" s="44" t="s">
        <v>54</v>
      </c>
      <c r="F5" s="44" t="s">
        <v>54</v>
      </c>
      <c r="G5" s="23" t="n">
        <v>3.212</v>
      </c>
      <c r="H5" s="23" t="n">
        <v>3.283</v>
      </c>
      <c r="I5" s="44" t="s">
        <v>54</v>
      </c>
      <c r="J5" s="44" t="s">
        <v>54</v>
      </c>
      <c r="K5" s="44" t="s">
        <v>54</v>
      </c>
      <c r="L5" s="44" t="s">
        <v>54</v>
      </c>
      <c r="M5" s="44" t="s">
        <v>54</v>
      </c>
      <c r="N5" s="23" t="n">
        <v>3.638</v>
      </c>
      <c r="O5" s="23" t="n">
        <v>3.755</v>
      </c>
      <c r="P5" s="44" t="s">
        <v>54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2026-04-03T08:11:56Z</dcterms:created>
  <dc:creator>openpyxl</dc:creator>
  <dc:description/>
  <dc:language>en-US</dc:language>
  <cp:lastModifiedBy/>
  <dcterms:modified xsi:type="dcterms:W3CDTF">2026-04-03T15:12:09Z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