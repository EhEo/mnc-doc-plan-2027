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20260403-원자재단가(2025년도 포함)\"/>
    </mc:Choice>
  </mc:AlternateContent>
  <xr:revisionPtr revIDLastSave="0" documentId="13_ncr:1_{91A02312-1228-40A8-8475-07EC6D64831C}" xr6:coauthVersionLast="47" xr6:coauthVersionMax="47" xr10:uidLastSave="{00000000-0000-0000-0000-000000000000}"/>
  <bookViews>
    <workbookView xWindow="28680" yWindow="-120" windowWidth="29040" windowHeight="15720" xr2:uid="{8F7EC9F6-A433-47A0-AA27-A9E4C29183D7}"/>
  </bookViews>
  <sheets>
    <sheet name="Alumium Summary_2025" sheetId="1" r:id="rId1"/>
    <sheet name="Alumium Summary_2026" sheetId="2" r:id="rId2"/>
  </sheets>
  <externalReferences>
    <externalReference r:id="rId3"/>
    <externalReference r:id="rId4"/>
  </externalReferences>
  <definedNames>
    <definedName name="_xlnm.Print_Area" localSheetId="0">'Alumium Summary_2025'!$A$1:$U$66</definedName>
    <definedName name="_xlnm.Print_Area" localSheetId="1">'Alumium Summary_2026'!$A$1:$T$64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2" l="1"/>
  <c r="P46" i="2"/>
  <c r="O46" i="2"/>
  <c r="N46" i="2"/>
  <c r="M46" i="2"/>
  <c r="L46" i="2"/>
  <c r="K46" i="2"/>
  <c r="J46" i="2"/>
  <c r="I46" i="2"/>
  <c r="H46" i="2"/>
  <c r="G46" i="2"/>
  <c r="F46" i="2"/>
  <c r="Q45" i="2"/>
  <c r="P45" i="2"/>
  <c r="O45" i="2"/>
  <c r="N45" i="2"/>
  <c r="M45" i="2"/>
  <c r="L45" i="2"/>
  <c r="K45" i="2"/>
  <c r="J45" i="2"/>
  <c r="I45" i="2"/>
  <c r="H45" i="2"/>
  <c r="G45" i="2"/>
  <c r="F45" i="2"/>
  <c r="Q44" i="2"/>
  <c r="P44" i="2"/>
  <c r="O44" i="2"/>
  <c r="N44" i="2"/>
  <c r="M44" i="2"/>
  <c r="L44" i="2"/>
  <c r="K44" i="2"/>
  <c r="J44" i="2"/>
  <c r="I44" i="2"/>
  <c r="H44" i="2"/>
  <c r="G44" i="2"/>
  <c r="F44" i="2"/>
  <c r="Q43" i="2"/>
  <c r="P43" i="2"/>
  <c r="O43" i="2"/>
  <c r="N43" i="2"/>
  <c r="M43" i="2"/>
  <c r="L43" i="2"/>
  <c r="K43" i="2"/>
  <c r="J43" i="2"/>
  <c r="I43" i="2"/>
  <c r="H43" i="2"/>
  <c r="G43" i="2"/>
  <c r="F43" i="2"/>
  <c r="Q42" i="2"/>
  <c r="P42" i="2"/>
  <c r="O42" i="2"/>
  <c r="N42" i="2"/>
  <c r="M42" i="2"/>
  <c r="L42" i="2"/>
  <c r="K42" i="2"/>
  <c r="J42" i="2"/>
  <c r="I42" i="2"/>
  <c r="H42" i="2"/>
  <c r="G42" i="2"/>
  <c r="F42" i="2"/>
  <c r="Q41" i="2"/>
  <c r="P41" i="2"/>
  <c r="O41" i="2"/>
  <c r="N41" i="2"/>
  <c r="M41" i="2"/>
  <c r="L41" i="2"/>
  <c r="K41" i="2"/>
  <c r="J41" i="2"/>
  <c r="I41" i="2"/>
  <c r="H41" i="2"/>
  <c r="G41" i="2"/>
  <c r="F41" i="2"/>
  <c r="Q40" i="2"/>
  <c r="P40" i="2"/>
  <c r="O40" i="2"/>
  <c r="N40" i="2"/>
  <c r="M40" i="2"/>
  <c r="L40" i="2"/>
  <c r="K40" i="2"/>
  <c r="J40" i="2"/>
  <c r="I40" i="2"/>
  <c r="H40" i="2"/>
  <c r="G40" i="2"/>
  <c r="F40" i="2"/>
  <c r="Q39" i="2"/>
  <c r="P39" i="2"/>
  <c r="O39" i="2"/>
  <c r="N39" i="2"/>
  <c r="M39" i="2"/>
  <c r="L39" i="2"/>
  <c r="K39" i="2"/>
  <c r="J39" i="2"/>
  <c r="I39" i="2"/>
  <c r="H39" i="2"/>
  <c r="G39" i="2"/>
  <c r="F39" i="2"/>
  <c r="Q23" i="2"/>
  <c r="R23" i="2" s="1"/>
  <c r="P23" i="2"/>
  <c r="O23" i="2"/>
  <c r="N23" i="2"/>
  <c r="M23" i="2"/>
  <c r="L23" i="2"/>
  <c r="K23" i="2"/>
  <c r="J23" i="2"/>
  <c r="I23" i="2"/>
  <c r="H23" i="2"/>
  <c r="G23" i="2"/>
  <c r="F23" i="2"/>
  <c r="Q22" i="2"/>
  <c r="P22" i="2"/>
  <c r="O22" i="2"/>
  <c r="N22" i="2"/>
  <c r="M22" i="2"/>
  <c r="L22" i="2"/>
  <c r="K22" i="2"/>
  <c r="J22" i="2"/>
  <c r="I22" i="2"/>
  <c r="H22" i="2"/>
  <c r="G22" i="2"/>
  <c r="F22" i="2"/>
  <c r="R22" i="2" s="1"/>
  <c r="Q21" i="2"/>
  <c r="R21" i="2" s="1"/>
  <c r="P21" i="2"/>
  <c r="O21" i="2"/>
  <c r="N21" i="2"/>
  <c r="M21" i="2"/>
  <c r="L21" i="2"/>
  <c r="K21" i="2"/>
  <c r="J21" i="2"/>
  <c r="I21" i="2"/>
  <c r="H21" i="2"/>
  <c r="G21" i="2"/>
  <c r="F21" i="2"/>
  <c r="Q20" i="2"/>
  <c r="P20" i="2"/>
  <c r="O20" i="2"/>
  <c r="N20" i="2"/>
  <c r="M20" i="2"/>
  <c r="L20" i="2"/>
  <c r="K20" i="2"/>
  <c r="J20" i="2"/>
  <c r="I20" i="2"/>
  <c r="H20" i="2"/>
  <c r="G20" i="2"/>
  <c r="F20" i="2"/>
  <c r="R20" i="2" s="1"/>
  <c r="Q19" i="2"/>
  <c r="R19" i="2" s="1"/>
  <c r="P19" i="2"/>
  <c r="O19" i="2"/>
  <c r="N19" i="2"/>
  <c r="M19" i="2"/>
  <c r="L19" i="2"/>
  <c r="K19" i="2"/>
  <c r="J19" i="2"/>
  <c r="I19" i="2"/>
  <c r="H19" i="2"/>
  <c r="G19" i="2"/>
  <c r="F19" i="2"/>
  <c r="Q18" i="2"/>
  <c r="P18" i="2"/>
  <c r="O18" i="2"/>
  <c r="N18" i="2"/>
  <c r="M18" i="2"/>
  <c r="L18" i="2"/>
  <c r="K18" i="2"/>
  <c r="J18" i="2"/>
  <c r="I18" i="2"/>
  <c r="H18" i="2"/>
  <c r="G18" i="2"/>
  <c r="F18" i="2"/>
  <c r="R18" i="2" s="1"/>
  <c r="Q17" i="2"/>
  <c r="R17" i="2" s="1"/>
  <c r="P17" i="2"/>
  <c r="O17" i="2"/>
  <c r="N17" i="2"/>
  <c r="M17" i="2"/>
  <c r="L17" i="2"/>
  <c r="K17" i="2"/>
  <c r="J17" i="2"/>
  <c r="I17" i="2"/>
  <c r="H17" i="2"/>
  <c r="G17" i="2"/>
  <c r="F17" i="2"/>
  <c r="Q16" i="2"/>
  <c r="Q24" i="2" s="1"/>
  <c r="P16" i="2"/>
  <c r="P24" i="2" s="1"/>
  <c r="O16" i="2"/>
  <c r="O24" i="2" s="1"/>
  <c r="N16" i="2"/>
  <c r="N24" i="2" s="1"/>
  <c r="M16" i="2"/>
  <c r="M24" i="2" s="1"/>
  <c r="L16" i="2"/>
  <c r="L24" i="2" s="1"/>
  <c r="K16" i="2"/>
  <c r="K24" i="2" s="1"/>
  <c r="J16" i="2"/>
  <c r="J24" i="2" s="1"/>
  <c r="I16" i="2"/>
  <c r="I24" i="2" s="1"/>
  <c r="H16" i="2"/>
  <c r="H24" i="2" s="1"/>
  <c r="G16" i="2"/>
  <c r="G24" i="2" s="1"/>
  <c r="F16" i="2"/>
  <c r="R16" i="2" s="1"/>
  <c r="Q11" i="2"/>
  <c r="P11" i="2"/>
  <c r="O11" i="2"/>
  <c r="N11" i="2"/>
  <c r="M11" i="2"/>
  <c r="L11" i="2"/>
  <c r="K11" i="2"/>
  <c r="J11" i="2"/>
  <c r="I11" i="2"/>
  <c r="H11" i="2"/>
  <c r="G11" i="2"/>
  <c r="F11" i="2"/>
  <c r="R11" i="2" s="1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Q9" i="2"/>
  <c r="P9" i="2"/>
  <c r="O9" i="2"/>
  <c r="N9" i="2"/>
  <c r="M9" i="2"/>
  <c r="L9" i="2"/>
  <c r="K9" i="2"/>
  <c r="J9" i="2"/>
  <c r="I9" i="2"/>
  <c r="H9" i="2"/>
  <c r="G9" i="2"/>
  <c r="F9" i="2"/>
  <c r="R9" i="2" s="1"/>
  <c r="R8" i="2"/>
  <c r="Q8" i="2"/>
  <c r="P8" i="2"/>
  <c r="O8" i="2"/>
  <c r="N8" i="2"/>
  <c r="M8" i="2"/>
  <c r="L8" i="2"/>
  <c r="K8" i="2"/>
  <c r="J8" i="2"/>
  <c r="I8" i="2"/>
  <c r="H8" i="2"/>
  <c r="G8" i="2"/>
  <c r="F8" i="2"/>
  <c r="Q7" i="2"/>
  <c r="P7" i="2"/>
  <c r="O7" i="2"/>
  <c r="N7" i="2"/>
  <c r="M7" i="2"/>
  <c r="L7" i="2"/>
  <c r="K7" i="2"/>
  <c r="J7" i="2"/>
  <c r="I7" i="2"/>
  <c r="H7" i="2"/>
  <c r="G7" i="2"/>
  <c r="F7" i="2"/>
  <c r="R7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Q5" i="2"/>
  <c r="P5" i="2"/>
  <c r="O5" i="2"/>
  <c r="N5" i="2"/>
  <c r="M5" i="2"/>
  <c r="L5" i="2"/>
  <c r="K5" i="2"/>
  <c r="J5" i="2"/>
  <c r="I5" i="2"/>
  <c r="H5" i="2"/>
  <c r="G5" i="2"/>
  <c r="F5" i="2"/>
  <c r="R5" i="2" s="1"/>
  <c r="C5" i="2" s="1"/>
  <c r="R4" i="2"/>
  <c r="C4" i="2" s="1"/>
  <c r="Q4" i="2"/>
  <c r="Q12" i="2" s="1"/>
  <c r="P4" i="2"/>
  <c r="P12" i="2" s="1"/>
  <c r="O4" i="2"/>
  <c r="O12" i="2" s="1"/>
  <c r="N4" i="2"/>
  <c r="N12" i="2" s="1"/>
  <c r="M4" i="2"/>
  <c r="M12" i="2" s="1"/>
  <c r="L4" i="2"/>
  <c r="L12" i="2" s="1"/>
  <c r="K4" i="2"/>
  <c r="K12" i="2" s="1"/>
  <c r="J4" i="2"/>
  <c r="J12" i="2" s="1"/>
  <c r="I4" i="2"/>
  <c r="I12" i="2" s="1"/>
  <c r="H4" i="2"/>
  <c r="H12" i="2" s="1"/>
  <c r="G4" i="2"/>
  <c r="G12" i="2" s="1"/>
  <c r="F4" i="2"/>
  <c r="F12" i="2" s="1"/>
  <c r="R12" i="2" s="1"/>
  <c r="C12" i="2" s="1"/>
  <c r="C11" i="2" l="1"/>
  <c r="C10" i="2"/>
  <c r="C6" i="2"/>
  <c r="C8" i="2"/>
  <c r="C9" i="2"/>
  <c r="C7" i="2"/>
  <c r="F24" i="2"/>
  <c r="R24" i="2" s="1"/>
  <c r="C24" i="2" s="1"/>
  <c r="C16" i="2" l="1"/>
  <c r="C23" i="2"/>
  <c r="C19" i="2"/>
  <c r="C17" i="2"/>
  <c r="C20" i="2"/>
  <c r="C22" i="2"/>
  <c r="C21" i="2"/>
  <c r="C18" i="2"/>
  <c r="R48" i="1" l="1"/>
  <c r="Q48" i="1"/>
  <c r="P48" i="1"/>
  <c r="O48" i="1"/>
  <c r="N48" i="1"/>
  <c r="M48" i="1"/>
  <c r="L48" i="1"/>
  <c r="K48" i="1"/>
  <c r="J48" i="1"/>
  <c r="I48" i="1"/>
  <c r="H48" i="1"/>
  <c r="G48" i="1"/>
  <c r="F48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R23" i="1"/>
  <c r="Q23" i="1"/>
  <c r="P23" i="1"/>
  <c r="O23" i="1"/>
  <c r="N23" i="1"/>
  <c r="M23" i="1"/>
  <c r="L23" i="1"/>
  <c r="S23" i="1" s="1"/>
  <c r="K23" i="1"/>
  <c r="J23" i="1"/>
  <c r="I23" i="1"/>
  <c r="H23" i="1"/>
  <c r="G23" i="1"/>
  <c r="F23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S22" i="1" s="1"/>
  <c r="R21" i="1"/>
  <c r="Q21" i="1"/>
  <c r="P21" i="1"/>
  <c r="O21" i="1"/>
  <c r="N21" i="1"/>
  <c r="S21" i="1" s="1"/>
  <c r="M21" i="1"/>
  <c r="L21" i="1"/>
  <c r="K21" i="1"/>
  <c r="J21" i="1"/>
  <c r="I21" i="1"/>
  <c r="H21" i="1"/>
  <c r="G21" i="1"/>
  <c r="F21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S20" i="1" s="1"/>
  <c r="R19" i="1"/>
  <c r="Q19" i="1"/>
  <c r="P19" i="1"/>
  <c r="S19" i="1" s="1"/>
  <c r="O19" i="1"/>
  <c r="N19" i="1"/>
  <c r="M19" i="1"/>
  <c r="L19" i="1"/>
  <c r="K19" i="1"/>
  <c r="J19" i="1"/>
  <c r="I19" i="1"/>
  <c r="H19" i="1"/>
  <c r="G19" i="1"/>
  <c r="F19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S18" i="1" s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R24" i="1" s="1"/>
  <c r="Q16" i="1"/>
  <c r="Q24" i="1" s="1"/>
  <c r="P16" i="1"/>
  <c r="P24" i="1" s="1"/>
  <c r="O16" i="1"/>
  <c r="O24" i="1" s="1"/>
  <c r="N16" i="1"/>
  <c r="N24" i="1" s="1"/>
  <c r="M16" i="1"/>
  <c r="M24" i="1" s="1"/>
  <c r="L16" i="1"/>
  <c r="L24" i="1" s="1"/>
  <c r="K16" i="1"/>
  <c r="K24" i="1" s="1"/>
  <c r="J16" i="1"/>
  <c r="J24" i="1" s="1"/>
  <c r="I16" i="1"/>
  <c r="I24" i="1" s="1"/>
  <c r="H16" i="1"/>
  <c r="H24" i="1" s="1"/>
  <c r="G16" i="1"/>
  <c r="G24" i="1" s="1"/>
  <c r="F16" i="1"/>
  <c r="S16" i="1" s="1"/>
  <c r="R11" i="1"/>
  <c r="Q11" i="1"/>
  <c r="P11" i="1"/>
  <c r="O11" i="1"/>
  <c r="N11" i="1"/>
  <c r="M11" i="1"/>
  <c r="L11" i="1"/>
  <c r="K11" i="1"/>
  <c r="J11" i="1"/>
  <c r="I11" i="1"/>
  <c r="H11" i="1"/>
  <c r="G11" i="1"/>
  <c r="S11" i="1" s="1"/>
  <c r="F11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S10" i="1" s="1"/>
  <c r="R9" i="1"/>
  <c r="Q9" i="1"/>
  <c r="P9" i="1"/>
  <c r="O9" i="1"/>
  <c r="N9" i="1"/>
  <c r="M9" i="1"/>
  <c r="L9" i="1"/>
  <c r="K9" i="1"/>
  <c r="J9" i="1"/>
  <c r="I9" i="1"/>
  <c r="S9" i="1" s="1"/>
  <c r="H9" i="1"/>
  <c r="G9" i="1"/>
  <c r="F9" i="1"/>
  <c r="R8" i="1"/>
  <c r="Q8" i="1"/>
  <c r="P8" i="1"/>
  <c r="O8" i="1"/>
  <c r="N8" i="1"/>
  <c r="M8" i="1"/>
  <c r="L8" i="1"/>
  <c r="K8" i="1"/>
  <c r="J8" i="1"/>
  <c r="I8" i="1"/>
  <c r="H8" i="1"/>
  <c r="G8" i="1"/>
  <c r="F8" i="1"/>
  <c r="S8" i="1" s="1"/>
  <c r="R7" i="1"/>
  <c r="Q7" i="1"/>
  <c r="P7" i="1"/>
  <c r="O7" i="1"/>
  <c r="N7" i="1"/>
  <c r="M7" i="1"/>
  <c r="L7" i="1"/>
  <c r="K7" i="1"/>
  <c r="S7" i="1" s="1"/>
  <c r="J7" i="1"/>
  <c r="I7" i="1"/>
  <c r="H7" i="1"/>
  <c r="G7" i="1"/>
  <c r="F7" i="1"/>
  <c r="R6" i="1"/>
  <c r="Q6" i="1"/>
  <c r="P6" i="1"/>
  <c r="O6" i="1"/>
  <c r="N6" i="1"/>
  <c r="M6" i="1"/>
  <c r="L6" i="1"/>
  <c r="K6" i="1"/>
  <c r="J6" i="1"/>
  <c r="I6" i="1"/>
  <c r="H6" i="1"/>
  <c r="G6" i="1"/>
  <c r="F6" i="1"/>
  <c r="S6" i="1" s="1"/>
  <c r="R5" i="1"/>
  <c r="Q5" i="1"/>
  <c r="P5" i="1"/>
  <c r="O5" i="1"/>
  <c r="N5" i="1"/>
  <c r="M5" i="1"/>
  <c r="S5" i="1" s="1"/>
  <c r="L5" i="1"/>
  <c r="K5" i="1"/>
  <c r="J5" i="1"/>
  <c r="I5" i="1"/>
  <c r="H5" i="1"/>
  <c r="G5" i="1"/>
  <c r="F5" i="1"/>
  <c r="R4" i="1"/>
  <c r="R12" i="1" s="1"/>
  <c r="Q4" i="1"/>
  <c r="Q12" i="1" s="1"/>
  <c r="P4" i="1"/>
  <c r="P12" i="1" s="1"/>
  <c r="O4" i="1"/>
  <c r="O12" i="1" s="1"/>
  <c r="N4" i="1"/>
  <c r="N12" i="1" s="1"/>
  <c r="M4" i="1"/>
  <c r="M12" i="1" s="1"/>
  <c r="L4" i="1"/>
  <c r="L12" i="1" s="1"/>
  <c r="K4" i="1"/>
  <c r="K12" i="1" s="1"/>
  <c r="J4" i="1"/>
  <c r="J12" i="1" s="1"/>
  <c r="I4" i="1"/>
  <c r="I12" i="1" s="1"/>
  <c r="H4" i="1"/>
  <c r="H12" i="1" s="1"/>
  <c r="G4" i="1"/>
  <c r="G12" i="1" s="1"/>
  <c r="F4" i="1"/>
  <c r="S4" i="1" s="1"/>
  <c r="F24" i="1" l="1"/>
  <c r="S24" i="1" s="1"/>
  <c r="C24" i="1" s="1"/>
  <c r="F12" i="1"/>
  <c r="S12" i="1" s="1"/>
  <c r="C12" i="1" s="1"/>
  <c r="C20" i="1" l="1"/>
  <c r="C7" i="1"/>
  <c r="C22" i="1"/>
  <c r="C19" i="1"/>
  <c r="C9" i="1"/>
  <c r="C21" i="1"/>
  <c r="C11" i="1"/>
  <c r="C23" i="1"/>
  <c r="C4" i="1"/>
  <c r="C6" i="1"/>
  <c r="C8" i="1"/>
  <c r="C18" i="1"/>
  <c r="C10" i="1"/>
  <c r="C16" i="1"/>
  <c r="C5" i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D11" authorId="0" shapeId="0" xr:uid="{1C0E8201-C088-4063-B077-1AF03E4D06E2}">
      <text>
        <r>
          <rPr>
            <b/>
            <sz val="9"/>
            <color indexed="81"/>
            <rFont val="Tahoma"/>
            <family val="2"/>
          </rPr>
          <t>ADC3, A380, A3413, A413</t>
        </r>
      </text>
    </comment>
    <comment ref="D23" authorId="0" shapeId="0" xr:uid="{FD0EDD42-1DA1-4F9A-BEB6-27D48576A7BD}">
      <text>
        <r>
          <rPr>
            <b/>
            <sz val="9"/>
            <color indexed="81"/>
            <rFont val="Tahoma"/>
            <family val="2"/>
          </rPr>
          <t>ADC3, A380, A3413, A413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D11" authorId="0" shapeId="0" xr:uid="{5FFC7794-BD4E-485F-AD67-55AC677685FD}">
      <text>
        <r>
          <rPr>
            <b/>
            <sz val="9"/>
            <color indexed="81"/>
            <rFont val="Tahoma"/>
            <family val="2"/>
          </rPr>
          <t>ADC3, A380, A3413, A413</t>
        </r>
      </text>
    </comment>
    <comment ref="D23" authorId="0" shapeId="0" xr:uid="{0BA85A96-8D8A-412C-ABFA-2042F5F41532}">
      <text>
        <r>
          <rPr>
            <b/>
            <sz val="9"/>
            <color indexed="81"/>
            <rFont val="Tahoma"/>
            <family val="2"/>
          </rPr>
          <t>ADC3, A380, A3413, A413</t>
        </r>
      </text>
    </comment>
  </commentList>
</comments>
</file>

<file path=xl/sharedStrings.xml><?xml version="1.0" encoding="utf-8"?>
<sst xmlns="http://schemas.openxmlformats.org/spreadsheetml/2006/main" count="348" uniqueCount="72">
  <si>
    <t>원재료 소재 Quantity /KG</t>
  </si>
  <si>
    <t>Material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</si>
  <si>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</si>
  <si>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</si>
  <si>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</si>
  <si>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</si>
  <si>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</si>
  <si>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</si>
  <si>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</si>
  <si>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</si>
  <si>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</si>
  <si>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</si>
  <si>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</si>
  <si>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</si>
  <si>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Jan-26</t>
  </si>
  <si>
    <t>Total</t>
    <phoneticPr fontId="4" type="noConversion"/>
  </si>
  <si>
    <t>12월 Remarks</t>
  </si>
  <si>
    <t>26년 1월 Remarks</t>
  </si>
  <si>
    <t>ADC12</t>
    <phoneticPr fontId="4" type="noConversion"/>
  </si>
  <si>
    <r>
      <t xml:space="preserve">SOP 수량 계획 대비 </t>
    </r>
    <r>
      <rPr>
        <b/>
        <sz val="10"/>
        <rFont val="Arial"/>
        <family val="2"/>
      </rPr>
      <t xml:space="preserve"> 346 Ton</t>
    </r>
    <r>
      <rPr>
        <sz val="10"/>
        <rFont val="Arial"/>
        <family val="2"/>
      </rPr>
      <t xml:space="preserve"> 입고 : 신재 49% 사용 </t>
    </r>
    <r>
      <rPr>
        <b/>
        <sz val="10"/>
        <rFont val="Arial"/>
        <family val="2"/>
      </rPr>
      <t xml:space="preserve"> 169Ton,</t>
    </r>
    <r>
      <rPr>
        <sz val="10"/>
        <rFont val="Arial"/>
        <family val="2"/>
      </rPr>
      <t xml:space="preserve"> 내부 재생 51% </t>
    </r>
    <r>
      <rPr>
        <b/>
        <sz val="10"/>
        <rFont val="Arial"/>
        <family val="2"/>
      </rPr>
      <t>177Ton</t>
    </r>
  </si>
  <si>
    <r>
      <t xml:space="preserve">SOP 수량 계획 대비 약 </t>
    </r>
    <r>
      <rPr>
        <b/>
        <sz val="10"/>
        <rFont val="Arial"/>
        <family val="2"/>
      </rPr>
      <t xml:space="preserve"> 373Ton</t>
    </r>
    <r>
      <rPr>
        <sz val="10"/>
        <rFont val="Arial"/>
        <family val="2"/>
      </rPr>
      <t xml:space="preserve"> 필요 : 신재 47% 사용 </t>
    </r>
    <r>
      <rPr>
        <b/>
        <sz val="10"/>
        <rFont val="Arial"/>
        <family val="2"/>
      </rPr>
      <t xml:space="preserve"> 176Ton,</t>
    </r>
    <r>
      <rPr>
        <sz val="10"/>
        <rFont val="Arial"/>
        <family val="2"/>
      </rPr>
      <t xml:space="preserve"> 내부 재생 53%</t>
    </r>
    <r>
      <rPr>
        <b/>
        <sz val="10"/>
        <rFont val="Arial"/>
        <family val="2"/>
      </rPr>
      <t xml:space="preserve"> 197Ton</t>
    </r>
  </si>
  <si>
    <t>ADC12-RC</t>
  </si>
  <si>
    <t>내부 재생으로 비용 포함 없음</t>
  </si>
  <si>
    <t>S3Y</t>
    <phoneticPr fontId="4" type="noConversion"/>
  </si>
  <si>
    <r>
      <t xml:space="preserve">SOP 수량 계획 대비 약 </t>
    </r>
    <r>
      <rPr>
        <b/>
        <sz val="10"/>
        <rFont val="Arial"/>
        <family val="2"/>
      </rPr>
      <t xml:space="preserve"> 90Ton</t>
    </r>
    <r>
      <rPr>
        <sz val="10"/>
        <rFont val="Arial"/>
        <family val="2"/>
      </rPr>
      <t xml:space="preserve"> 입고 : 신재 39% 사용</t>
    </r>
    <r>
      <rPr>
        <b/>
        <sz val="10"/>
        <rFont val="Arial"/>
        <family val="2"/>
      </rPr>
      <t xml:space="preserve"> 35Ton </t>
    </r>
    <r>
      <rPr>
        <sz val="10"/>
        <rFont val="Arial"/>
        <family val="2"/>
      </rPr>
      <t>, 내부 재생 61%</t>
    </r>
    <r>
      <rPr>
        <b/>
        <sz val="10"/>
        <rFont val="Arial"/>
        <family val="2"/>
      </rPr>
      <t xml:space="preserve"> 55Ton</t>
    </r>
  </si>
  <si>
    <r>
      <t xml:space="preserve">SOP 수량 계획 대비 약 </t>
    </r>
    <r>
      <rPr>
        <b/>
        <sz val="10"/>
        <rFont val="Arial"/>
        <family val="2"/>
      </rPr>
      <t xml:space="preserve"> 90Ton</t>
    </r>
    <r>
      <rPr>
        <sz val="10"/>
        <rFont val="Arial"/>
        <family val="2"/>
      </rPr>
      <t xml:space="preserve"> 필요 : 신재 33% 사용</t>
    </r>
    <r>
      <rPr>
        <b/>
        <sz val="10"/>
        <rFont val="Arial"/>
        <family val="2"/>
      </rPr>
      <t xml:space="preserve"> 30Ton, </t>
    </r>
    <r>
      <rPr>
        <sz val="10"/>
        <rFont val="Arial"/>
        <family val="2"/>
      </rPr>
      <t xml:space="preserve"> 내부 재생 67%</t>
    </r>
    <r>
      <rPr>
        <b/>
        <sz val="10"/>
        <rFont val="Arial"/>
        <family val="2"/>
      </rPr>
      <t xml:space="preserve"> 60Ton</t>
    </r>
  </si>
  <si>
    <t>S3Y-RC</t>
  </si>
  <si>
    <t>S36</t>
  </si>
  <si>
    <r>
      <t xml:space="preserve">SOP 수량 계획 대비 </t>
    </r>
    <r>
      <rPr>
        <b/>
        <sz val="10"/>
        <rFont val="Arial"/>
        <family val="2"/>
      </rPr>
      <t xml:space="preserve"> 151Ton</t>
    </r>
    <r>
      <rPr>
        <sz val="10"/>
        <rFont val="Arial"/>
        <family val="2"/>
      </rPr>
      <t xml:space="preserve"> 입고 : 신재 44% 사용</t>
    </r>
    <r>
      <rPr>
        <b/>
        <sz val="10"/>
        <rFont val="Arial"/>
        <family val="2"/>
      </rPr>
      <t xml:space="preserve"> 66Ton</t>
    </r>
    <r>
      <rPr>
        <sz val="10"/>
        <rFont val="Arial"/>
        <family val="2"/>
      </rPr>
      <t xml:space="preserve"> , 내부 재생 56%</t>
    </r>
    <r>
      <rPr>
        <b/>
        <sz val="10"/>
        <rFont val="Arial"/>
        <family val="2"/>
      </rPr>
      <t xml:space="preserve"> 85Ton</t>
    </r>
  </si>
  <si>
    <r>
      <t xml:space="preserve">SOP 수량 계획 대비 약  </t>
    </r>
    <r>
      <rPr>
        <b/>
        <sz val="10"/>
        <rFont val="Arial"/>
        <family val="2"/>
      </rPr>
      <t xml:space="preserve">185Ton </t>
    </r>
    <r>
      <rPr>
        <sz val="10"/>
        <rFont val="Arial"/>
        <family val="2"/>
      </rPr>
      <t>필요 : 신재 32% 사용</t>
    </r>
    <r>
      <rPr>
        <b/>
        <sz val="10"/>
        <rFont val="Arial"/>
        <family val="2"/>
      </rPr>
      <t xml:space="preserve"> 60Ton, </t>
    </r>
    <r>
      <rPr>
        <sz val="10"/>
        <rFont val="Arial"/>
        <family val="2"/>
      </rPr>
      <t xml:space="preserve"> 내부 재생 68%</t>
    </r>
    <r>
      <rPr>
        <b/>
        <sz val="10"/>
        <rFont val="Arial"/>
        <family val="2"/>
      </rPr>
      <t xml:space="preserve"> 125Ton
</t>
    </r>
    <r>
      <rPr>
        <sz val="10"/>
        <rFont val="Arial"/>
        <family val="2"/>
      </rPr>
      <t>2월 단가 상승 대응:</t>
    </r>
    <r>
      <rPr>
        <b/>
        <sz val="10"/>
        <rFont val="Arial"/>
        <family val="2"/>
      </rPr>
      <t xml:space="preserve"> 20Ton </t>
    </r>
    <r>
      <rPr>
        <sz val="10"/>
        <rFont val="Arial"/>
        <family val="2"/>
      </rPr>
      <t>(~$65K)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추가 납품 예정</t>
    </r>
  </si>
  <si>
    <t>S36-RC</t>
  </si>
  <si>
    <t>MG-RC</t>
  </si>
  <si>
    <t>Others</t>
  </si>
  <si>
    <t>ADC3, A413, A380 Alumium</t>
  </si>
  <si>
    <t>ADC3, A413, A380 Alumium</t>
    <phoneticPr fontId="4" type="noConversion"/>
  </si>
  <si>
    <t>원재료 소재 / Amount</t>
  </si>
  <si>
    <t>USD</t>
  </si>
  <si>
    <t>Remarks</t>
    <phoneticPr fontId="4" type="noConversion"/>
  </si>
  <si>
    <t>ADC12 내부 재사용 비용 제외</t>
    <phoneticPr fontId="4" type="noConversion"/>
  </si>
  <si>
    <t>VND 월별 신규 원재료 Ingot Price / KG</t>
    <phoneticPr fontId="4" type="noConversion"/>
  </si>
  <si>
    <t>Vendor</t>
  </si>
  <si>
    <t>May</t>
    <phoneticPr fontId="4" type="noConversion"/>
  </si>
  <si>
    <t>Sep</t>
    <phoneticPr fontId="4" type="noConversion"/>
  </si>
  <si>
    <t>NEW ERA</t>
  </si>
  <si>
    <t>ADC12</t>
  </si>
  <si>
    <t>CHIEN THANG</t>
  </si>
  <si>
    <t>TANQUANG</t>
  </si>
  <si>
    <t>REGAL</t>
  </si>
  <si>
    <t>CHIEN THANG</t>
    <phoneticPr fontId="4" type="noConversion"/>
  </si>
  <si>
    <t>S3Y</t>
  </si>
  <si>
    <t>TONKIN</t>
  </si>
  <si>
    <t>USD 월별 신규 원재료 Ingot Price / KG</t>
    <phoneticPr fontId="4" type="noConversion"/>
  </si>
  <si>
    <t>*</t>
    <phoneticPr fontId="4" type="noConversion"/>
  </si>
  <si>
    <t>Aluminum prices in Q1 2026 are expected to remain elevated around or above $3,000/ton due to tight global supply caused by China’s capacity controls, declining exports, and production disruptions in major smelting regions.</t>
  </si>
  <si>
    <t>https://tradingeconomics.com/commodity/aluminum</t>
  </si>
  <si>
    <t xml:space="preserve">원재료 소재 / Recycling Price </t>
  </si>
  <si>
    <t xml:space="preserve">HAN VIET </t>
  </si>
  <si>
    <t>TONKIN</t>
    <phoneticPr fontId="4" type="noConversion"/>
  </si>
  <si>
    <t xml:space="preserve">DONG TAI </t>
  </si>
  <si>
    <t xml:space="preserve">MGTEC </t>
  </si>
  <si>
    <t>Mg-RC</t>
  </si>
  <si>
    <t>Mar-Plan</t>
  </si>
  <si>
    <t>2월 Remarks</t>
  </si>
  <si>
    <t>3월 Remarks</t>
  </si>
  <si>
    <r>
      <t xml:space="preserve">SOP 수량 계획 대비 </t>
    </r>
    <r>
      <rPr>
        <b/>
        <sz val="10"/>
        <rFont val="Arial"/>
        <family val="2"/>
      </rPr>
      <t xml:space="preserve"> 155Ton</t>
    </r>
    <r>
      <rPr>
        <sz val="10"/>
        <rFont val="Arial"/>
        <family val="2"/>
      </rPr>
      <t xml:space="preserve"> 입고 : 신재 50% 사용 </t>
    </r>
    <r>
      <rPr>
        <b/>
        <sz val="10"/>
        <rFont val="Arial"/>
        <family val="2"/>
      </rPr>
      <t xml:space="preserve"> 78Ton,</t>
    </r>
    <r>
      <rPr>
        <sz val="10"/>
        <rFont val="Arial"/>
        <family val="2"/>
      </rPr>
      <t xml:space="preserve"> 내부 재생 50% 77</t>
    </r>
    <r>
      <rPr>
        <b/>
        <sz val="10"/>
        <rFont val="Arial"/>
        <family val="2"/>
      </rPr>
      <t>Ton</t>
    </r>
  </si>
  <si>
    <r>
      <t xml:space="preserve">SOP 수량 계획 대비 약 </t>
    </r>
    <r>
      <rPr>
        <b/>
        <sz val="10"/>
        <rFont val="Arial"/>
        <family val="2"/>
      </rPr>
      <t xml:space="preserve"> 365Ton</t>
    </r>
    <r>
      <rPr>
        <sz val="10"/>
        <rFont val="Arial"/>
        <family val="2"/>
      </rPr>
      <t xml:space="preserve"> 필요 : 신재 49% 사용 </t>
    </r>
    <r>
      <rPr>
        <b/>
        <sz val="10"/>
        <rFont val="Arial"/>
        <family val="2"/>
      </rPr>
      <t xml:space="preserve"> 180Ton,</t>
    </r>
    <r>
      <rPr>
        <sz val="10"/>
        <rFont val="Arial"/>
        <family val="2"/>
      </rPr>
      <t xml:space="preserve"> 내부 재생 51%</t>
    </r>
    <r>
      <rPr>
        <b/>
        <sz val="10"/>
        <rFont val="Arial"/>
        <family val="2"/>
      </rPr>
      <t xml:space="preserve"> 185Ton</t>
    </r>
  </si>
  <si>
    <r>
      <t xml:space="preserve">SOP 수량 계획 대비 약 </t>
    </r>
    <r>
      <rPr>
        <b/>
        <sz val="10"/>
        <rFont val="Arial"/>
        <family val="2"/>
      </rPr>
      <t xml:space="preserve"> 57Ton</t>
    </r>
    <r>
      <rPr>
        <sz val="10"/>
        <rFont val="Arial"/>
        <family val="2"/>
      </rPr>
      <t xml:space="preserve"> 입고 : 신재 29% 사용</t>
    </r>
    <r>
      <rPr>
        <b/>
        <sz val="10"/>
        <rFont val="Arial"/>
        <family val="2"/>
      </rPr>
      <t xml:space="preserve"> 16Ton </t>
    </r>
    <r>
      <rPr>
        <sz val="10"/>
        <rFont val="Arial"/>
        <family val="2"/>
      </rPr>
      <t>, 내부 재생 71%</t>
    </r>
    <r>
      <rPr>
        <b/>
        <sz val="10"/>
        <rFont val="Arial"/>
        <family val="2"/>
      </rPr>
      <t xml:space="preserve"> 41Ton</t>
    </r>
  </si>
  <si>
    <r>
      <t xml:space="preserve">SOP 수량 계획 대비 약 </t>
    </r>
    <r>
      <rPr>
        <b/>
        <sz val="10"/>
        <rFont val="Arial"/>
        <family val="2"/>
      </rPr>
      <t xml:space="preserve"> 115Ton</t>
    </r>
    <r>
      <rPr>
        <sz val="10"/>
        <rFont val="Arial"/>
        <family val="2"/>
      </rPr>
      <t xml:space="preserve"> 필요 : 신재 37% 사용</t>
    </r>
    <r>
      <rPr>
        <b/>
        <sz val="10"/>
        <rFont val="Arial"/>
        <family val="2"/>
      </rPr>
      <t xml:space="preserve"> 42Ton, </t>
    </r>
    <r>
      <rPr>
        <sz val="10"/>
        <rFont val="Arial"/>
        <family val="2"/>
      </rPr>
      <t xml:space="preserve"> 내부 재생 63%</t>
    </r>
    <r>
      <rPr>
        <b/>
        <sz val="10"/>
        <rFont val="Arial"/>
        <family val="2"/>
      </rPr>
      <t xml:space="preserve"> 73Ton</t>
    </r>
  </si>
  <si>
    <r>
      <t xml:space="preserve">SOP 수량 계획 대비 </t>
    </r>
    <r>
      <rPr>
        <b/>
        <sz val="10"/>
        <rFont val="Arial"/>
        <family val="2"/>
      </rPr>
      <t xml:space="preserve"> 106Ton</t>
    </r>
    <r>
      <rPr>
        <sz val="10"/>
        <rFont val="Arial"/>
        <family val="2"/>
      </rPr>
      <t xml:space="preserve"> 입고 : 신재 56% 사용</t>
    </r>
    <r>
      <rPr>
        <b/>
        <sz val="10"/>
        <rFont val="Arial"/>
        <family val="2"/>
      </rPr>
      <t xml:space="preserve"> 59Ton</t>
    </r>
    <r>
      <rPr>
        <sz val="10"/>
        <rFont val="Arial"/>
        <family val="2"/>
      </rPr>
      <t xml:space="preserve"> , 내부 재생 44%</t>
    </r>
    <r>
      <rPr>
        <b/>
        <sz val="10"/>
        <rFont val="Arial"/>
        <family val="2"/>
      </rPr>
      <t xml:space="preserve"> 47Ton</t>
    </r>
  </si>
  <si>
    <r>
      <t xml:space="preserve">SOP 수량 계획 대비 약  </t>
    </r>
    <r>
      <rPr>
        <b/>
        <sz val="10"/>
        <rFont val="Arial"/>
        <family val="2"/>
      </rPr>
      <t xml:space="preserve">234Ton </t>
    </r>
    <r>
      <rPr>
        <sz val="10"/>
        <rFont val="Arial"/>
        <family val="2"/>
      </rPr>
      <t>필요 : 신재 37% 사용</t>
    </r>
    <r>
      <rPr>
        <b/>
        <sz val="10"/>
        <rFont val="Arial"/>
        <family val="2"/>
      </rPr>
      <t xml:space="preserve"> 87Ton, </t>
    </r>
    <r>
      <rPr>
        <sz val="10"/>
        <rFont val="Arial"/>
        <family val="2"/>
      </rPr>
      <t xml:space="preserve"> 내부 재생 63%</t>
    </r>
    <r>
      <rPr>
        <b/>
        <sz val="10"/>
        <rFont val="Arial"/>
        <family val="2"/>
      </rPr>
      <t xml:space="preserve"> 147Ton</t>
    </r>
    <r>
      <rPr>
        <sz val="10"/>
        <rFont val="Arial"/>
        <family val="2"/>
      </rPr>
      <t/>
    </r>
  </si>
  <si>
    <t>UK aluminum prices rose to $3,340 per tonne, the highest in nearly four years, due to Middle East conflicts disrupting supply from the Gulf region (about 10% of global output), while China’s production cap and difficulties expanding capacity further tightened supply</t>
  </si>
  <si>
    <t>https://tradingeconomics.com/commodity/aluminum/news/529374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</si>
</sst>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&quot;$&quot;* #,##0.00_);_(&quot;$&quot;* \(#,##0.00\);_(&quot;$&quot;* &quot;-&quot;??_);_(@_)"/>
    <numFmt numFmtId="177" formatCode="_(* #,##0_);_(* \(#,##0\);_(* &quot;-&quot;??_);_(@_)"/>
    <numFmt numFmtId="178" formatCode="0.0%"/>
    <numFmt numFmtId="179" formatCode="_-* #,##0.00_-;\-* #,##0.00_-;_-* &quot;-&quot;_-;_-@_-"/>
    <numFmt numFmtId="180" formatCode="_-* #,##0.0_-;\-* #,##0.0_-;_-* &quot;-&quot;_-;_-@_-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sz val="10"/>
      <color theme="2" tint="-0.249977111117893"/>
      <name val="Arial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</cellStyleXfs>
  <cellXfs count="94">
    <xf numFmtId="0" fontId="0" fillId="0" borderId="0" xfId="0"/>
    <xf numFmtId="0" fontId="3" fillId="2" borderId="0" xfId="0" applyFont="1" applyFill="1" applyAlignment="1">
      <alignment vertical="center"/>
    </xf>
    <xf numFmtId="41" fontId="3" fillId="2" borderId="0" xfId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41" fontId="7" fillId="3" borderId="3" xfId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9" fontId="3" fillId="2" borderId="0" xfId="2" applyFont="1" applyFill="1" applyAlignment="1">
      <alignment vertical="center"/>
    </xf>
    <xf numFmtId="41" fontId="9" fillId="2" borderId="3" xfId="1" applyFont="1" applyFill="1" applyBorder="1" applyAlignment="1">
      <alignment vertical="center"/>
    </xf>
    <xf numFmtId="177" fontId="5" fillId="2" borderId="3" xfId="4" applyNumberFormat="1" applyFont="1" applyFill="1" applyBorder="1" applyAlignment="1">
      <alignment vertical="center"/>
    </xf>
    <xf numFmtId="0" fontId="8" fillId="2" borderId="3" xfId="4" applyNumberFormat="1" applyFont="1" applyFill="1" applyBorder="1" applyAlignment="1">
      <alignment vertical="center"/>
    </xf>
    <xf numFmtId="0" fontId="8" fillId="2" borderId="3" xfId="4" applyNumberFormat="1" applyFont="1" applyFill="1" applyBorder="1" applyAlignment="1">
      <alignment vertical="center" wrapText="1"/>
    </xf>
    <xf numFmtId="0" fontId="3" fillId="2" borderId="3" xfId="3" applyFont="1" applyFill="1" applyBorder="1">
      <alignment vertical="center"/>
    </xf>
    <xf numFmtId="41" fontId="7" fillId="2" borderId="3" xfId="1" applyFont="1" applyFill="1" applyBorder="1" applyAlignment="1">
      <alignment vertical="center"/>
    </xf>
    <xf numFmtId="0" fontId="5" fillId="2" borderId="3" xfId="3" applyFont="1" applyFill="1" applyBorder="1">
      <alignment vertical="center"/>
    </xf>
    <xf numFmtId="0" fontId="8" fillId="2" borderId="0" xfId="3" applyFont="1" applyFill="1">
      <alignment vertical="center"/>
    </xf>
    <xf numFmtId="41" fontId="9" fillId="2" borderId="0" xfId="1" applyFont="1" applyFill="1" applyAlignment="1">
      <alignment vertical="center"/>
    </xf>
    <xf numFmtId="176" fontId="3" fillId="2" borderId="0" xfId="3" applyNumberFormat="1" applyFont="1" applyFill="1">
      <alignment vertical="center"/>
    </xf>
    <xf numFmtId="0" fontId="6" fillId="2" borderId="0" xfId="3" applyFont="1" applyFill="1">
      <alignment vertical="center"/>
    </xf>
    <xf numFmtId="0" fontId="5" fillId="3" borderId="3" xfId="3" applyFont="1" applyFill="1" applyBorder="1" applyAlignment="1">
      <alignment horizontal="center" vertical="center"/>
    </xf>
    <xf numFmtId="177" fontId="3" fillId="2" borderId="3" xfId="3" applyNumberFormat="1" applyFont="1" applyFill="1" applyBorder="1">
      <alignment vertical="center"/>
    </xf>
    <xf numFmtId="177" fontId="5" fillId="2" borderId="3" xfId="3" applyNumberFormat="1" applyFont="1" applyFill="1" applyBorder="1">
      <alignment vertical="center"/>
    </xf>
    <xf numFmtId="41" fontId="5" fillId="2" borderId="0" xfId="1" applyFont="1" applyFill="1" applyBorder="1" applyAlignment="1">
      <alignment vertical="center"/>
    </xf>
    <xf numFmtId="41" fontId="7" fillId="2" borderId="0" xfId="1" applyFont="1" applyFill="1" applyBorder="1" applyAlignment="1">
      <alignment vertical="center"/>
    </xf>
    <xf numFmtId="41" fontId="7" fillId="2" borderId="0" xfId="1" applyFont="1" applyFill="1" applyAlignment="1">
      <alignment vertical="center"/>
    </xf>
    <xf numFmtId="177" fontId="5" fillId="2" borderId="0" xfId="3" applyNumberFormat="1" applyFont="1" applyFill="1">
      <alignment vertical="center"/>
    </xf>
    <xf numFmtId="178" fontId="5" fillId="2" borderId="0" xfId="3" applyNumberFormat="1" applyFont="1" applyFill="1">
      <alignment vertical="center"/>
    </xf>
    <xf numFmtId="41" fontId="5" fillId="2" borderId="0" xfId="1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3" borderId="3" xfId="3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41" fontId="9" fillId="0" borderId="3" xfId="1" applyFont="1" applyBorder="1" applyAlignment="1">
      <alignment vertical="center"/>
    </xf>
    <xf numFmtId="41" fontId="9" fillId="0" borderId="1" xfId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179" fontId="9" fillId="0" borderId="3" xfId="1" applyNumberFormat="1" applyFont="1" applyBorder="1" applyAlignment="1">
      <alignment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5" fillId="2" borderId="4" xfId="0" applyNumberFormat="1" applyFont="1" applyFill="1" applyBorder="1" applyAlignment="1">
      <alignment horizontal="center" vertical="center"/>
    </xf>
    <xf numFmtId="179" fontId="5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79" fontId="9" fillId="2" borderId="0" xfId="1" applyNumberFormat="1" applyFont="1" applyFill="1" applyBorder="1" applyAlignment="1">
      <alignment vertical="center"/>
    </xf>
    <xf numFmtId="179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1" fontId="5" fillId="3" borderId="3" xfId="1" applyFont="1" applyFill="1" applyBorder="1" applyAlignment="1">
      <alignment horizontal="center" vertical="center"/>
    </xf>
    <xf numFmtId="0" fontId="5" fillId="3" borderId="0" xfId="3" applyFont="1" applyFill="1" applyAlignment="1">
      <alignment horizontal="center" vertical="center"/>
    </xf>
    <xf numFmtId="41" fontId="3" fillId="8" borderId="3" xfId="1" applyFont="1" applyFill="1" applyBorder="1" applyAlignment="1">
      <alignment horizontal="center" vertical="center"/>
    </xf>
    <xf numFmtId="41" fontId="3" fillId="2" borderId="3" xfId="1" applyFont="1" applyFill="1" applyBorder="1" applyAlignment="1">
      <alignment vertical="center"/>
    </xf>
    <xf numFmtId="41" fontId="5" fillId="2" borderId="3" xfId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8" fillId="2" borderId="3" xfId="3" applyFont="1" applyFill="1" applyBorder="1" applyAlignment="1">
      <alignment horizontal="center" vertical="center"/>
    </xf>
    <xf numFmtId="178" fontId="5" fillId="2" borderId="3" xfId="3" applyNumberFormat="1" applyFont="1" applyFill="1" applyBorder="1">
      <alignment vertical="center"/>
    </xf>
    <xf numFmtId="41" fontId="3" fillId="9" borderId="3" xfId="1" applyFont="1" applyFill="1" applyBorder="1" applyAlignment="1">
      <alignment horizontal="center" vertical="center"/>
    </xf>
    <xf numFmtId="41" fontId="3" fillId="10" borderId="3" xfId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41" fontId="3" fillId="7" borderId="3" xfId="1" applyFont="1" applyFill="1" applyBorder="1" applyAlignment="1">
      <alignment horizontal="center" vertical="center"/>
    </xf>
    <xf numFmtId="180" fontId="3" fillId="2" borderId="0" xfId="1" applyNumberFormat="1" applyFont="1" applyFill="1" applyAlignment="1">
      <alignment horizontal="left" vertical="center"/>
    </xf>
    <xf numFmtId="180" fontId="3" fillId="2" borderId="0" xfId="1" applyNumberFormat="1" applyFont="1" applyFill="1" applyAlignment="1">
      <alignment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5" fillId="2" borderId="4" xfId="0" applyNumberFormat="1" applyFont="1" applyFill="1" applyBorder="1" applyAlignment="1">
      <alignment horizontal="center" vertical="center"/>
    </xf>
    <xf numFmtId="179" fontId="5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177" fontId="3" fillId="2" borderId="1" xfId="3" applyNumberFormat="1" applyFont="1" applyFill="1" applyBorder="1" applyAlignment="1">
      <alignment horizontal="left" vertical="center"/>
    </xf>
    <xf numFmtId="177" fontId="3" fillId="2" borderId="2" xfId="3" applyNumberFormat="1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left" vertical="center" wrapText="1"/>
    </xf>
    <xf numFmtId="0" fontId="3" fillId="2" borderId="2" xfId="3" applyFont="1" applyFill="1" applyBorder="1" applyAlignment="1">
      <alignment horizontal="left" vertical="center" wrapText="1"/>
    </xf>
    <xf numFmtId="0" fontId="8" fillId="5" borderId="1" xfId="3" applyFont="1" applyFill="1" applyBorder="1" applyAlignment="1">
      <alignment horizontal="center" vertical="center"/>
    </xf>
    <xf numFmtId="0" fontId="8" fillId="5" borderId="4" xfId="3" applyFont="1" applyFill="1" applyBorder="1" applyAlignment="1">
      <alignment horizontal="center" vertical="center"/>
    </xf>
    <xf numFmtId="0" fontId="8" fillId="6" borderId="1" xfId="3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0" fontId="8" fillId="4" borderId="2" xfId="3" applyFont="1" applyFill="1" applyBorder="1" applyAlignment="1">
      <alignment horizontal="center" vertical="center"/>
    </xf>
    <xf numFmtId="0" fontId="8" fillId="5" borderId="2" xfId="3" applyFont="1" applyFill="1" applyBorder="1" applyAlignment="1">
      <alignment horizontal="center" vertical="center"/>
    </xf>
  </cellXfs>
  <cellStyles count="5">
    <cellStyle name="Currency 2 2" xfId="4" xr:uid="{D0BEBC7D-5288-43E8-B833-827D092DCCA9}"/>
    <cellStyle name="Normal 2 2" xfId="3" xr:uid="{3E8DBC6B-8BF7-4C97-9E1C-1319F13C162F}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6.%20PUR\03.%20REPORT\Monthly%20report\26.03.05%20&#50896;&#51116;&#47308;%2026&#45380;%202&#50900;%20&#47560;&#44048;%20&#48372;&#44256;&#51032;%20&#44148;.xlsx" TargetMode="External"/><Relationship Id="rId1" Type="http://schemas.openxmlformats.org/officeDocument/2006/relationships/externalLinkPath" Target="file:///M:\6.%20PUR\03.%20REPORT\Monthly%20report\26.03.05%20&#50896;&#51116;&#47308;%2026&#45380;%202&#50900;%20&#47560;&#44048;%20&#48372;&#44256;&#51032;%20&#4414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6.%20PUR\03.%20REPORT\Monthly%20report\26.01.03%20&#50896;&#51116;&#47308;%2025&#45380;%2012&#50900;%20&#47560;&#44048;%20&#48372;&#44256;&#51032;%20&#44148;.xlsx" TargetMode="External"/><Relationship Id="rId1" Type="http://schemas.openxmlformats.org/officeDocument/2006/relationships/externalLinkPath" Target="file:///M:\6.%20PUR\03.%20REPORT\Monthly%20report\26.01.03%20&#50896;&#51116;&#47308;%2025&#45380;%2012&#50900;%20&#47560;&#44048;%20&#48372;&#44256;&#51032;%20&#441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umium Summary_2026"/>
      <sheetName val="Rawdata_2026"/>
      <sheetName val="Alumium Summary_2025"/>
      <sheetName val="Rawdata_2025"/>
      <sheetName val="Alumium Summary_2024"/>
      <sheetName val="Rawdata_2024"/>
    </sheetNames>
    <sheetDataSet>
      <sheetData sheetId="0"/>
      <sheetData sheetId="1">
        <row r="69">
          <cell r="C69" t="str">
            <v>Type</v>
          </cell>
          <cell r="F69" t="str">
            <v>Q'TY</v>
          </cell>
          <cell r="G69" t="str">
            <v>USD</v>
          </cell>
          <cell r="H69" t="str">
            <v>Q'TY</v>
          </cell>
          <cell r="I69" t="str">
            <v>USD</v>
          </cell>
          <cell r="J69" t="str">
            <v>Q'TY</v>
          </cell>
          <cell r="K69" t="str">
            <v>USD</v>
          </cell>
          <cell r="L69" t="str">
            <v>Q'TY</v>
          </cell>
          <cell r="M69" t="str">
            <v>USD</v>
          </cell>
          <cell r="N69" t="str">
            <v>Q'TY</v>
          </cell>
          <cell r="O69" t="str">
            <v>USD</v>
          </cell>
          <cell r="P69" t="str">
            <v>Q'TY</v>
          </cell>
          <cell r="Q69" t="str">
            <v>USD</v>
          </cell>
          <cell r="R69" t="str">
            <v>Q'TY</v>
          </cell>
          <cell r="S69" t="str">
            <v>USD</v>
          </cell>
          <cell r="T69" t="str">
            <v>Q'TY</v>
          </cell>
          <cell r="U69" t="str">
            <v>USD</v>
          </cell>
          <cell r="V69" t="str">
            <v>Q'TY</v>
          </cell>
          <cell r="W69" t="str">
            <v>USD</v>
          </cell>
          <cell r="X69" t="str">
            <v>Q'TY</v>
          </cell>
          <cell r="Y69" t="str">
            <v>USD</v>
          </cell>
          <cell r="Z69" t="str">
            <v>Q'TY</v>
          </cell>
          <cell r="AA69" t="str">
            <v>USD</v>
          </cell>
          <cell r="AB69" t="str">
            <v>Q'TY</v>
          </cell>
          <cell r="AC69" t="str">
            <v>USD</v>
          </cell>
        </row>
        <row r="70">
          <cell r="C70" t="str">
            <v>S36</v>
          </cell>
          <cell r="F70">
            <v>82475</v>
          </cell>
          <cell r="G70">
            <v>282870.7912538462</v>
          </cell>
          <cell r="H70">
            <v>59130</v>
          </cell>
          <cell r="I70">
            <v>216925.79014999999</v>
          </cell>
          <cell r="J70">
            <v>87000</v>
          </cell>
          <cell r="K70">
            <v>321376.38846153842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C71" t="str">
            <v>S36-RC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C72" t="str">
            <v>ADC12</v>
          </cell>
          <cell r="F72">
            <v>182112</v>
          </cell>
          <cell r="G72">
            <v>525323.07692307688</v>
          </cell>
          <cell r="H72">
            <v>78333</v>
          </cell>
          <cell r="I72">
            <v>238011.80769230769</v>
          </cell>
          <cell r="J72">
            <v>180000</v>
          </cell>
          <cell r="K72">
            <v>560769.23076923075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C73" t="str">
            <v>ADC12-RC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C74" t="str">
            <v>S3Y</v>
          </cell>
          <cell r="F74">
            <v>33598</v>
          </cell>
          <cell r="G74">
            <v>117648.26923076923</v>
          </cell>
          <cell r="H74">
            <v>16466</v>
          </cell>
          <cell r="I74">
            <v>62697.461538461539</v>
          </cell>
          <cell r="J74">
            <v>42000</v>
          </cell>
          <cell r="K74">
            <v>150820.38461538462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C75" t="str">
            <v>S3Y-RC</v>
          </cell>
          <cell r="F75">
            <v>0</v>
          </cell>
          <cell r="G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C76" t="str">
            <v>MG-RC</v>
          </cell>
          <cell r="F76">
            <v>0</v>
          </cell>
          <cell r="G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C77" t="str">
            <v>A380</v>
          </cell>
          <cell r="F77">
            <v>0</v>
          </cell>
          <cell r="G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</row>
        <row r="78">
          <cell r="C78" t="str">
            <v>A380-RC</v>
          </cell>
          <cell r="F78">
            <v>0</v>
          </cell>
          <cell r="G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C79" t="str">
            <v>A413</v>
          </cell>
          <cell r="F79">
            <v>0</v>
          </cell>
          <cell r="G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C80" t="str">
            <v>A413-RC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C81" t="str">
            <v>ADC3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C82" t="str">
            <v>ADC3-RC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C83" t="str">
            <v>Others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C84" t="str">
            <v>Total</v>
          </cell>
          <cell r="F84">
            <v>298185</v>
          </cell>
          <cell r="G84">
            <v>925842.13740769238</v>
          </cell>
          <cell r="H84">
            <v>153929</v>
          </cell>
          <cell r="I84">
            <v>517635.05938076921</v>
          </cell>
          <cell r="J84">
            <v>309000</v>
          </cell>
          <cell r="K84">
            <v>1032966.0038461537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umium Summary_2025"/>
      <sheetName val="Rawdata_2025"/>
      <sheetName val="Alumium Summary_2024"/>
      <sheetName val="Rawdata_2024"/>
    </sheetNames>
    <sheetDataSet>
      <sheetData sheetId="0"/>
      <sheetData sheetId="1">
        <row r="95">
          <cell r="C95" t="str">
            <v>Type</v>
          </cell>
          <cell r="F95" t="str">
            <v>Q'TY</v>
          </cell>
          <cell r="G95" t="str">
            <v>USD</v>
          </cell>
          <cell r="H95" t="str">
            <v>Q'TY</v>
          </cell>
          <cell r="I95" t="str">
            <v>USD</v>
          </cell>
          <cell r="J95" t="str">
            <v>Q'TY</v>
          </cell>
          <cell r="K95" t="str">
            <v>USD</v>
          </cell>
          <cell r="L95" t="str">
            <v>Q'TY</v>
          </cell>
          <cell r="M95" t="str">
            <v>USD</v>
          </cell>
          <cell r="N95" t="str">
            <v>Q'TY</v>
          </cell>
          <cell r="O95" t="str">
            <v>USD</v>
          </cell>
          <cell r="P95" t="str">
            <v>Q'TY</v>
          </cell>
          <cell r="Q95" t="str">
            <v>USD</v>
          </cell>
          <cell r="R95" t="str">
            <v>Q'TY</v>
          </cell>
          <cell r="S95" t="str">
            <v>USD</v>
          </cell>
          <cell r="T95" t="str">
            <v>Q'TY</v>
          </cell>
          <cell r="U95" t="str">
            <v>USD</v>
          </cell>
          <cell r="V95" t="str">
            <v>Q'TY</v>
          </cell>
          <cell r="W95" t="str">
            <v>USD</v>
          </cell>
          <cell r="X95" t="str">
            <v>Q'TY</v>
          </cell>
          <cell r="Y95" t="str">
            <v>USD</v>
          </cell>
          <cell r="Z95" t="str">
            <v>Q'TY</v>
          </cell>
          <cell r="AA95" t="str">
            <v>USD</v>
          </cell>
          <cell r="AB95" t="str">
            <v>Q'TY</v>
          </cell>
          <cell r="AC95" t="str">
            <v>USD</v>
          </cell>
          <cell r="AD95" t="str">
            <v>Q'TY</v>
          </cell>
          <cell r="AE95" t="str">
            <v>USD</v>
          </cell>
        </row>
        <row r="96">
          <cell r="C96" t="str">
            <v>S36</v>
          </cell>
          <cell r="F96">
            <v>61949</v>
          </cell>
          <cell r="G96">
            <v>210626.6</v>
          </cell>
          <cell r="H96">
            <v>53305</v>
          </cell>
          <cell r="I96">
            <v>181237</v>
          </cell>
          <cell r="J96">
            <v>89282</v>
          </cell>
          <cell r="K96">
            <v>314272.64000000001</v>
          </cell>
          <cell r="L96">
            <v>71499</v>
          </cell>
          <cell r="M96">
            <v>241133.88235294117</v>
          </cell>
          <cell r="N96">
            <v>20012</v>
          </cell>
          <cell r="O96">
            <v>63691.525333333331</v>
          </cell>
          <cell r="P96">
            <v>0</v>
          </cell>
          <cell r="Q96">
            <v>0</v>
          </cell>
          <cell r="R96">
            <v>50456</v>
          </cell>
          <cell r="S96">
            <v>160768.64533333332</v>
          </cell>
          <cell r="T96">
            <v>71179</v>
          </cell>
          <cell r="U96">
            <v>235438.23076923078</v>
          </cell>
          <cell r="V96">
            <v>40745</v>
          </cell>
          <cell r="W96">
            <v>133363.23076923078</v>
          </cell>
          <cell r="X96">
            <v>58760</v>
          </cell>
          <cell r="Y96">
            <v>203400</v>
          </cell>
          <cell r="Z96">
            <v>89773</v>
          </cell>
          <cell r="AA96">
            <v>316135.47729230771</v>
          </cell>
          <cell r="AB96">
            <v>65592</v>
          </cell>
          <cell r="AC96">
            <v>213205.87590230774</v>
          </cell>
          <cell r="AD96">
            <v>80000</v>
          </cell>
          <cell r="AE96">
            <v>259327.40769230769</v>
          </cell>
        </row>
        <row r="97">
          <cell r="C97" t="str">
            <v>S36-RC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114</v>
          </cell>
          <cell r="U97">
            <v>35.07692307692308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C98" t="str">
            <v>ADC12</v>
          </cell>
          <cell r="F98">
            <v>149494</v>
          </cell>
          <cell r="G98">
            <v>408568.07199999999</v>
          </cell>
          <cell r="H98">
            <v>159365</v>
          </cell>
          <cell r="I98">
            <v>436329.85600000003</v>
          </cell>
          <cell r="J98">
            <v>175049</v>
          </cell>
          <cell r="K98">
            <v>493442</v>
          </cell>
          <cell r="L98">
            <v>181793</v>
          </cell>
          <cell r="M98">
            <v>502383.73333333334</v>
          </cell>
          <cell r="N98">
            <v>187891</v>
          </cell>
          <cell r="O98">
            <v>506951.56862745096</v>
          </cell>
          <cell r="P98">
            <v>179441</v>
          </cell>
          <cell r="Q98">
            <v>483242.5882352941</v>
          </cell>
          <cell r="R98">
            <v>181381</v>
          </cell>
          <cell r="S98">
            <v>487899.67843137257</v>
          </cell>
          <cell r="T98">
            <v>205618</v>
          </cell>
          <cell r="U98">
            <v>548841.89230769232</v>
          </cell>
          <cell r="V98">
            <v>180298</v>
          </cell>
          <cell r="W98">
            <v>481256.9692307692</v>
          </cell>
          <cell r="X98">
            <v>166305</v>
          </cell>
          <cell r="Y98">
            <v>458337.18461538461</v>
          </cell>
          <cell r="Z98">
            <v>180635</v>
          </cell>
          <cell r="AA98">
            <v>504388.5</v>
          </cell>
          <cell r="AB98">
            <v>168613</v>
          </cell>
          <cell r="AC98">
            <v>479250.02692307695</v>
          </cell>
          <cell r="AD98">
            <v>176000</v>
          </cell>
          <cell r="AE98">
            <v>507692.30769230769</v>
          </cell>
        </row>
        <row r="99">
          <cell r="C99" t="str">
            <v>ADC12-RC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288</v>
          </cell>
          <cell r="Y99">
            <v>88.615384615384613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C100" t="str">
            <v>S3Y</v>
          </cell>
          <cell r="F100">
            <v>30901</v>
          </cell>
          <cell r="G100">
            <v>106299.44</v>
          </cell>
          <cell r="H100">
            <v>41559</v>
          </cell>
          <cell r="I100">
            <v>142962.96</v>
          </cell>
          <cell r="J100">
            <v>35951</v>
          </cell>
          <cell r="K100">
            <v>127985.56</v>
          </cell>
          <cell r="L100">
            <v>30174</v>
          </cell>
          <cell r="M100">
            <v>102946.58823529411</v>
          </cell>
          <cell r="N100">
            <v>20255</v>
          </cell>
          <cell r="O100">
            <v>67516.666666666672</v>
          </cell>
          <cell r="P100">
            <v>10472</v>
          </cell>
          <cell r="Q100">
            <v>34906.666666666664</v>
          </cell>
          <cell r="R100">
            <v>30795</v>
          </cell>
          <cell r="S100">
            <v>105065.29411764706</v>
          </cell>
          <cell r="T100">
            <v>40709</v>
          </cell>
          <cell r="U100">
            <v>133898.42307692306</v>
          </cell>
          <cell r="V100">
            <v>20000</v>
          </cell>
          <cell r="W100">
            <v>65169.230769230766</v>
          </cell>
          <cell r="X100">
            <v>15343</v>
          </cell>
          <cell r="Y100">
            <v>50192.482381153837</v>
          </cell>
          <cell r="Z100">
            <v>19848</v>
          </cell>
          <cell r="AA100">
            <v>68435.911849615382</v>
          </cell>
          <cell r="AB100">
            <v>35224</v>
          </cell>
          <cell r="AC100">
            <v>122100.39807692308</v>
          </cell>
          <cell r="AD100">
            <v>30000</v>
          </cell>
          <cell r="AE100">
            <v>104501.73076923077</v>
          </cell>
        </row>
        <row r="101">
          <cell r="C101" t="str">
            <v>S3Y-RC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96</v>
          </cell>
          <cell r="S101">
            <v>49.176470588235297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C102" t="str">
            <v>MG-RC</v>
          </cell>
          <cell r="F102">
            <v>0</v>
          </cell>
          <cell r="G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C103" t="str">
            <v>A380</v>
          </cell>
          <cell r="F103">
            <v>0</v>
          </cell>
          <cell r="G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C104" t="str">
            <v>A380-RC</v>
          </cell>
          <cell r="F104">
            <v>0</v>
          </cell>
          <cell r="G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C105" t="str">
            <v>A413</v>
          </cell>
          <cell r="F105">
            <v>0</v>
          </cell>
          <cell r="G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C106" t="str">
            <v>A413-RC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C107" t="str">
            <v>ADC3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2980</v>
          </cell>
          <cell r="K107">
            <v>9118.7999999999993</v>
          </cell>
          <cell r="L107">
            <v>3545</v>
          </cell>
          <cell r="M107">
            <v>10635</v>
          </cell>
          <cell r="N107">
            <v>2134</v>
          </cell>
          <cell r="O107">
            <v>6276.4705882352937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1938</v>
          </cell>
          <cell r="Y107">
            <v>5814</v>
          </cell>
          <cell r="Z107">
            <v>0</v>
          </cell>
          <cell r="AA107">
            <v>0</v>
          </cell>
          <cell r="AB107">
            <v>2272</v>
          </cell>
          <cell r="AC107">
            <v>6990.7692307692305</v>
          </cell>
          <cell r="AD107">
            <v>0</v>
          </cell>
          <cell r="AE107">
            <v>0</v>
          </cell>
        </row>
        <row r="108">
          <cell r="C108" t="str">
            <v>ADC3-RC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C109" t="str">
            <v>Others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2980</v>
          </cell>
          <cell r="K109">
            <v>9118.7999999999993</v>
          </cell>
          <cell r="L109">
            <v>3545</v>
          </cell>
          <cell r="M109">
            <v>10635</v>
          </cell>
          <cell r="N109">
            <v>2134</v>
          </cell>
          <cell r="O109">
            <v>6276.4705882352937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1938</v>
          </cell>
          <cell r="Y109">
            <v>5814</v>
          </cell>
          <cell r="Z109">
            <v>0</v>
          </cell>
          <cell r="AA109">
            <v>0</v>
          </cell>
          <cell r="AB109">
            <v>2272</v>
          </cell>
          <cell r="AC109">
            <v>6990.7692307692305</v>
          </cell>
          <cell r="AD109">
            <v>0</v>
          </cell>
          <cell r="AE109">
            <v>0</v>
          </cell>
        </row>
        <row r="110">
          <cell r="C110" t="str">
            <v>Total</v>
          </cell>
          <cell r="F110">
            <v>242344</v>
          </cell>
          <cell r="G110">
            <v>725494.11199999996</v>
          </cell>
          <cell r="H110">
            <v>254229</v>
          </cell>
          <cell r="I110">
            <v>760529.81599999999</v>
          </cell>
          <cell r="J110">
            <v>303262</v>
          </cell>
          <cell r="K110">
            <v>944819</v>
          </cell>
          <cell r="L110">
            <v>287011</v>
          </cell>
          <cell r="M110">
            <v>857099.20392156858</v>
          </cell>
          <cell r="N110">
            <v>230292</v>
          </cell>
          <cell r="O110">
            <v>644436.23121568619</v>
          </cell>
          <cell r="P110">
            <v>189913</v>
          </cell>
          <cell r="Q110">
            <v>518149.25490196078</v>
          </cell>
          <cell r="R110">
            <v>262728</v>
          </cell>
          <cell r="S110">
            <v>753782.79435294122</v>
          </cell>
          <cell r="T110">
            <v>317620</v>
          </cell>
          <cell r="U110">
            <v>918213.62307692319</v>
          </cell>
          <cell r="V110">
            <v>241043</v>
          </cell>
          <cell r="W110">
            <v>679789.4307692307</v>
          </cell>
          <cell r="X110">
            <v>242634</v>
          </cell>
          <cell r="Y110">
            <v>717832.28238115378</v>
          </cell>
          <cell r="Z110">
            <v>290256</v>
          </cell>
          <cell r="AA110">
            <v>888959.88914192305</v>
          </cell>
          <cell r="AB110">
            <v>271701</v>
          </cell>
          <cell r="AC110">
            <v>821547.07013307698</v>
          </cell>
          <cell r="AD110">
            <v>286000</v>
          </cell>
          <cell r="AE110">
            <v>871521.4461538461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8366-D780-4016-A5CB-D0557A390A96}">
  <sheetPr>
    <pageSetUpPr fitToPage="1"/>
  </sheetPr>
  <dimension ref="B1:X66"/>
  <sheetViews>
    <sheetView tabSelected="1" view="pageBreakPreview" zoomScale="75" zoomScaleNormal="75" zoomScaleSheetLayoutView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1" sqref="S1:S1048576"/>
    </sheetView>
  </sheetViews>
  <sheetFormatPr defaultColWidth="9" defaultRowHeight="19.5" customHeight="1" x14ac:dyDescent="0.3"/>
  <cols>
    <col min="1" max="1" width="1.625" style="1" customWidth="1"/>
    <col min="2" max="2" width="2.375" style="1" customWidth="1"/>
    <col min="3" max="3" width="1.25" style="1" customWidth="1"/>
    <col min="4" max="4" width="15.75" style="1" customWidth="1"/>
    <col min="5" max="5" width="23.75" style="2" customWidth="1"/>
    <col min="6" max="7" width="10.125" style="2" customWidth="1"/>
    <col min="8" max="8" width="11.875" style="2" customWidth="1"/>
    <col min="9" max="16" width="10.125" style="2" customWidth="1"/>
    <col min="17" max="17" width="10.125" style="1" customWidth="1"/>
    <col min="18" max="18" width="11.75" style="1" customWidth="1"/>
    <col min="19" max="19" width="13.125" style="1" customWidth="1"/>
    <col min="20" max="20" width="73.375" style="1" customWidth="1"/>
    <col min="21" max="21" width="75.125" style="3" customWidth="1"/>
    <col min="22" max="16384" width="9" style="1"/>
  </cols>
  <sheetData>
    <row r="1" spans="2:24" ht="3.75" customHeight="1" x14ac:dyDescent="0.3"/>
    <row r="2" spans="2:24" ht="19.5" customHeight="1" x14ac:dyDescent="0.3">
      <c r="B2" s="4">
        <v>1</v>
      </c>
      <c r="C2" s="4"/>
      <c r="D2" s="4" t="s">
        <v>0</v>
      </c>
      <c r="S2" s="5"/>
      <c r="T2" s="5"/>
    </row>
    <row r="3" spans="2:24" s="4" customFormat="1" ht="20.25" customHeight="1" x14ac:dyDescent="0.3">
      <c r="D3" s="82" t="s">
        <v>1</v>
      </c>
      <c r="E3" s="83"/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7" t="s">
        <v>15</v>
      </c>
      <c r="T3" s="7" t="s">
        <v>16</v>
      </c>
      <c r="U3" s="8" t="s">
        <v>17</v>
      </c>
    </row>
    <row r="4" spans="2:24" ht="20.25" customHeight="1" x14ac:dyDescent="0.3">
      <c r="C4" s="9">
        <f>S4/$S$12</f>
        <v>0.62152872312548257</v>
      </c>
      <c r="D4" s="91" t="s">
        <v>18</v>
      </c>
      <c r="E4" s="92"/>
      <c r="F4" s="10">
        <f>VLOOKUP(D4,[2]Rawdata_2025!$C$95:$W$109,4,0)</f>
        <v>149494</v>
      </c>
      <c r="G4" s="10">
        <f>VLOOKUP(D4,[2]Rawdata_2025!$C$95:$W$109,6,0)</f>
        <v>159365</v>
      </c>
      <c r="H4" s="10">
        <f>VLOOKUP(D4,[2]Rawdata_2025!$C$95:$W$109,8,0)</f>
        <v>175049</v>
      </c>
      <c r="I4" s="10">
        <f>VLOOKUP(D4,[2]Rawdata_2025!$C$95:$W$109,10,0)</f>
        <v>181793</v>
      </c>
      <c r="J4" s="10">
        <f>VLOOKUP(D4,[2]Rawdata_2025!$C$95:$W$109,12,0)</f>
        <v>187891</v>
      </c>
      <c r="K4" s="10">
        <f>VLOOKUP(D4,[2]Rawdata_2025!$C$95:$W$109,14,0)</f>
        <v>179441</v>
      </c>
      <c r="L4" s="10">
        <f>VLOOKUP(D4,[2]Rawdata_2025!$C$95:$W$109,16,0)</f>
        <v>181381</v>
      </c>
      <c r="M4" s="10">
        <f>VLOOKUP(D4,[2]Rawdata_2025!$C$95:$W$109,18,0)</f>
        <v>205618</v>
      </c>
      <c r="N4" s="10">
        <f>VLOOKUP(D4,[2]Rawdata_2025!$C$95:$W$109,20,0)</f>
        <v>180298</v>
      </c>
      <c r="O4" s="10">
        <f>VLOOKUP(D4,[2]Rawdata_2025!$C$95:$Y$109,22,0)</f>
        <v>166305</v>
      </c>
      <c r="P4" s="10">
        <f>VLOOKUP(D4,[2]Rawdata_2025!$C$95:$AC$110,24,0)</f>
        <v>180635</v>
      </c>
      <c r="Q4" s="10">
        <f>VLOOKUP(D4,[2]Rawdata_2025!$C$95:$AC$110,26,0)</f>
        <v>168613</v>
      </c>
      <c r="R4" s="10">
        <f>VLOOKUP(D4,[2]Rawdata_2025!$C$95:$AE$110,28,0)</f>
        <v>176000</v>
      </c>
      <c r="S4" s="11">
        <f>SUM(F4:P4)</f>
        <v>1947270</v>
      </c>
      <c r="T4" s="12" t="s">
        <v>19</v>
      </c>
      <c r="U4" s="12" t="s">
        <v>20</v>
      </c>
    </row>
    <row r="5" spans="2:24" ht="20.25" customHeight="1" x14ac:dyDescent="0.3">
      <c r="C5" s="9">
        <f t="shared" ref="C5:C10" si="0">S5/$S$12</f>
        <v>9.1923704601898549E-5</v>
      </c>
      <c r="D5" s="91" t="s">
        <v>21</v>
      </c>
      <c r="E5" s="92"/>
      <c r="F5" s="10">
        <f>VLOOKUP(D5,[2]Rawdata_2025!$C$95:$W$109,4,0)</f>
        <v>0</v>
      </c>
      <c r="G5" s="10">
        <f>VLOOKUP(D5,[2]Rawdata_2025!$C$95:$W$109,6,0)</f>
        <v>0</v>
      </c>
      <c r="H5" s="10">
        <f>VLOOKUP(D5,[2]Rawdata_2025!$C$95:$W$109,8,0)</f>
        <v>0</v>
      </c>
      <c r="I5" s="10">
        <f>VLOOKUP(D5,[2]Rawdata_2025!$C$95:$W$109,10,0)</f>
        <v>0</v>
      </c>
      <c r="J5" s="10">
        <f>VLOOKUP(D5,[2]Rawdata_2025!$C$95:$W$109,12,0)</f>
        <v>0</v>
      </c>
      <c r="K5" s="10">
        <f>VLOOKUP(D5,[2]Rawdata_2025!$C$95:$W$109,14,0)</f>
        <v>0</v>
      </c>
      <c r="L5" s="10">
        <f>VLOOKUP(D5,[2]Rawdata_2025!$C$95:$W$109,16,0)</f>
        <v>0</v>
      </c>
      <c r="M5" s="10">
        <f>VLOOKUP(D5,[2]Rawdata_2025!$C$95:$W$109,18,0)</f>
        <v>0</v>
      </c>
      <c r="N5" s="10">
        <f>VLOOKUP(D5,[2]Rawdata_2025!$C$95:$W$109,20,0)</f>
        <v>0</v>
      </c>
      <c r="O5" s="10">
        <f>VLOOKUP(D5,[2]Rawdata_2025!$C$95:$Y$109,22,0)</f>
        <v>288</v>
      </c>
      <c r="P5" s="10">
        <f>VLOOKUP(D5,[2]Rawdata_2025!$C$95:$AC$110,24,0)</f>
        <v>0</v>
      </c>
      <c r="Q5" s="10">
        <f>VLOOKUP(D5,[2]Rawdata_2025!$C$95:$AC$110,26,0)</f>
        <v>0</v>
      </c>
      <c r="R5" s="10">
        <f>VLOOKUP(D5,[2]Rawdata_2025!$C$95:$AE$110,28,0)</f>
        <v>0</v>
      </c>
      <c r="S5" s="11">
        <f t="shared" ref="S5:S11" si="1">SUM(F5:P5)</f>
        <v>288</v>
      </c>
      <c r="T5" s="12" t="s">
        <v>22</v>
      </c>
      <c r="U5" s="12" t="s">
        <v>22</v>
      </c>
    </row>
    <row r="6" spans="2:24" ht="20.25" customHeight="1" x14ac:dyDescent="0.3">
      <c r="C6" s="9">
        <f t="shared" si="0"/>
        <v>9.4479375097549237E-2</v>
      </c>
      <c r="D6" s="86" t="s">
        <v>23</v>
      </c>
      <c r="E6" s="93"/>
      <c r="F6" s="10">
        <f>VLOOKUP(D6,[2]Rawdata_2025!$C$95:$W$109,4,0)</f>
        <v>30901</v>
      </c>
      <c r="G6" s="10">
        <f>VLOOKUP(D6,[2]Rawdata_2025!$C$95:$W$109,6,0)</f>
        <v>41559</v>
      </c>
      <c r="H6" s="10">
        <f>VLOOKUP(D6,[2]Rawdata_2025!$C$95:$W$109,8,0)</f>
        <v>35951</v>
      </c>
      <c r="I6" s="10">
        <f>VLOOKUP(D6,[2]Rawdata_2025!$C$95:$W$109,10,0)</f>
        <v>30174</v>
      </c>
      <c r="J6" s="10">
        <f>VLOOKUP(D6,[2]Rawdata_2025!$C$95:$W$109,12,0)</f>
        <v>20255</v>
      </c>
      <c r="K6" s="10">
        <f>VLOOKUP(D6,[2]Rawdata_2025!$C$95:$W$109,14,0)</f>
        <v>10472</v>
      </c>
      <c r="L6" s="10">
        <f>VLOOKUP(D6,[2]Rawdata_2025!$C$95:$W$109,16,0)</f>
        <v>30795</v>
      </c>
      <c r="M6" s="10">
        <f>VLOOKUP(D6,[2]Rawdata_2025!$C$95:$W$109,18,0)</f>
        <v>40709</v>
      </c>
      <c r="N6" s="10">
        <f>VLOOKUP(D6,[2]Rawdata_2025!$C$95:$W$109,20,0)</f>
        <v>20000</v>
      </c>
      <c r="O6" s="10">
        <f>VLOOKUP(D6,[2]Rawdata_2025!$C$95:$Y$109,22,0)</f>
        <v>15343</v>
      </c>
      <c r="P6" s="10">
        <f>VLOOKUP(D6,[2]Rawdata_2025!$C$95:$AC$110,24,0)</f>
        <v>19848</v>
      </c>
      <c r="Q6" s="10">
        <f>VLOOKUP(D6,[2]Rawdata_2025!$C$95:$AC$110,26,0)</f>
        <v>35224</v>
      </c>
      <c r="R6" s="10">
        <f>VLOOKUP(D6,[2]Rawdata_2025!$C$95:$AE$110,28,0)</f>
        <v>30000</v>
      </c>
      <c r="S6" s="11">
        <f t="shared" si="1"/>
        <v>296007</v>
      </c>
      <c r="T6" s="12" t="s">
        <v>24</v>
      </c>
      <c r="U6" s="12" t="s">
        <v>25</v>
      </c>
    </row>
    <row r="7" spans="2:24" ht="20.25" customHeight="1" x14ac:dyDescent="0.3">
      <c r="C7" s="9">
        <f t="shared" si="0"/>
        <v>3.0641234867299512E-5</v>
      </c>
      <c r="D7" s="86" t="s">
        <v>26</v>
      </c>
      <c r="E7" s="93"/>
      <c r="F7" s="10">
        <f>VLOOKUP(D7,[2]Rawdata_2025!$C$95:$W$109,4,0)</f>
        <v>0</v>
      </c>
      <c r="G7" s="10">
        <f>VLOOKUP(D7,[2]Rawdata_2025!$C$95:$W$109,6,0)</f>
        <v>0</v>
      </c>
      <c r="H7" s="10">
        <f>VLOOKUP(D7,[2]Rawdata_2025!$C$95:$W$109,8,0)</f>
        <v>0</v>
      </c>
      <c r="I7" s="10">
        <f>VLOOKUP(D7,[2]Rawdata_2025!$C$95:$W$109,10,0)</f>
        <v>0</v>
      </c>
      <c r="J7" s="10">
        <f>VLOOKUP(D7,[2]Rawdata_2025!$C$95:$W$109,12,0)</f>
        <v>0</v>
      </c>
      <c r="K7" s="10">
        <f>VLOOKUP(D7,[2]Rawdata_2025!$C$95:$AC$109,14,0)</f>
        <v>0</v>
      </c>
      <c r="L7" s="10">
        <f>VLOOKUP(D7,[2]Rawdata_2025!$C$95:$W$109,16,0)</f>
        <v>96</v>
      </c>
      <c r="M7" s="10">
        <f>VLOOKUP(D7,[2]Rawdata_2025!$C$95:$W$109,18,0)</f>
        <v>0</v>
      </c>
      <c r="N7" s="10">
        <f>VLOOKUP(D7,[2]Rawdata_2025!$C$95:$W$109,20,0)</f>
        <v>0</v>
      </c>
      <c r="O7" s="10">
        <f>VLOOKUP(D7,[2]Rawdata_2025!$C$95:$Y$109,22,0)</f>
        <v>0</v>
      </c>
      <c r="P7" s="10">
        <f>VLOOKUP(D7,[2]Rawdata_2025!$C$95:$AC$110,24,0)</f>
        <v>0</v>
      </c>
      <c r="Q7" s="10">
        <f>VLOOKUP(D7,[2]Rawdata_2025!$C$95:$AC$110,26,0)</f>
        <v>0</v>
      </c>
      <c r="R7" s="10">
        <f>VLOOKUP(D7,[2]Rawdata_2025!$C$95:$AE$110,28,0)</f>
        <v>0</v>
      </c>
      <c r="S7" s="11">
        <f t="shared" si="1"/>
        <v>96</v>
      </c>
      <c r="T7" s="12" t="s">
        <v>22</v>
      </c>
      <c r="U7" s="12" t="s">
        <v>22</v>
      </c>
    </row>
    <row r="8" spans="2:24" ht="25.5" x14ac:dyDescent="0.3">
      <c r="C8" s="9">
        <f t="shared" si="0"/>
        <v>0.19372920744850117</v>
      </c>
      <c r="D8" s="88" t="s">
        <v>27</v>
      </c>
      <c r="E8" s="89"/>
      <c r="F8" s="10">
        <f>VLOOKUP(D8,[2]Rawdata_2025!$C$95:$W$109,4,0)</f>
        <v>61949</v>
      </c>
      <c r="G8" s="10">
        <f>VLOOKUP(D8,[2]Rawdata_2025!$C$95:$W$109,6,0)</f>
        <v>53305</v>
      </c>
      <c r="H8" s="10">
        <f>VLOOKUP(D8,[2]Rawdata_2025!$C$95:$W$109,8,0)</f>
        <v>89282</v>
      </c>
      <c r="I8" s="10">
        <f>VLOOKUP(D8,[2]Rawdata_2025!$C$95:$W$109,10,0)</f>
        <v>71499</v>
      </c>
      <c r="J8" s="10">
        <f>VLOOKUP(D8,[2]Rawdata_2025!$C$95:$W$109,12,0)</f>
        <v>20012</v>
      </c>
      <c r="K8" s="10">
        <f>VLOOKUP(D8,[2]Rawdata_2025!$C$95:$W$109,14,0)</f>
        <v>0</v>
      </c>
      <c r="L8" s="10">
        <f>VLOOKUP(D8,[2]Rawdata_2025!$C$95:$W$109,16,0)</f>
        <v>50456</v>
      </c>
      <c r="M8" s="10">
        <f>VLOOKUP(D8,[2]Rawdata_2025!$C$95:$W$109,18,0)</f>
        <v>71179</v>
      </c>
      <c r="N8" s="10">
        <f>VLOOKUP(D8,[2]Rawdata_2025!$C$95:$W$109,20,0)</f>
        <v>40745</v>
      </c>
      <c r="O8" s="10">
        <f>VLOOKUP(D8,[2]Rawdata_2025!$C$95:$Y$109,22,0)</f>
        <v>58760</v>
      </c>
      <c r="P8" s="10">
        <f>VLOOKUP(D8,[2]Rawdata_2025!$C$95:$AC$110,24,0)</f>
        <v>89773</v>
      </c>
      <c r="Q8" s="10">
        <f>VLOOKUP(D8,[2]Rawdata_2025!$C$95:$AC$110,26,0)</f>
        <v>65592</v>
      </c>
      <c r="R8" s="10">
        <f>VLOOKUP(D8,[2]Rawdata_2025!$C$95:$AE$110,28,0)</f>
        <v>80000</v>
      </c>
      <c r="S8" s="11">
        <f t="shared" si="1"/>
        <v>606960</v>
      </c>
      <c r="T8" s="12" t="s">
        <v>28</v>
      </c>
      <c r="U8" s="13" t="s">
        <v>29</v>
      </c>
    </row>
    <row r="9" spans="2:24" ht="20.25" customHeight="1" x14ac:dyDescent="0.3">
      <c r="C9" s="9">
        <f t="shared" si="0"/>
        <v>3.6386466404918173E-5</v>
      </c>
      <c r="D9" s="88" t="s">
        <v>30</v>
      </c>
      <c r="E9" s="89"/>
      <c r="F9" s="10">
        <f>VLOOKUP(D9,[2]Rawdata_2025!$C$95:$W$109,4,0)</f>
        <v>0</v>
      </c>
      <c r="G9" s="10">
        <f>VLOOKUP(D9,[2]Rawdata_2025!$C$95:$W$109,6,0)</f>
        <v>0</v>
      </c>
      <c r="H9" s="10">
        <f>VLOOKUP(D9,[2]Rawdata_2025!$C$95:$W$109,8,0)</f>
        <v>0</v>
      </c>
      <c r="I9" s="10">
        <f>VLOOKUP(D9,[2]Rawdata_2025!$C$95:$W$109,10,0)</f>
        <v>0</v>
      </c>
      <c r="J9" s="10">
        <f>VLOOKUP(D9,[2]Rawdata_2025!$C$95:$W$109,12,0)</f>
        <v>0</v>
      </c>
      <c r="K9" s="10">
        <f>VLOOKUP(D9,[2]Rawdata_2025!$C$95:$W$109,14,0)</f>
        <v>0</v>
      </c>
      <c r="L9" s="10">
        <f>VLOOKUP(D9,[2]Rawdata_2025!$C$95:$W$109,16,0)</f>
        <v>0</v>
      </c>
      <c r="M9" s="10">
        <f>VLOOKUP(D9,[2]Rawdata_2025!$C$95:$W$109,18,0)</f>
        <v>114</v>
      </c>
      <c r="N9" s="10">
        <f>VLOOKUP(D9,[2]Rawdata_2025!$C$95:$W$109,20,0)</f>
        <v>0</v>
      </c>
      <c r="O9" s="10">
        <f>VLOOKUP(D9,[2]Rawdata_2025!$C$95:$Y$109,22,0)</f>
        <v>0</v>
      </c>
      <c r="P9" s="10">
        <f>VLOOKUP(D9,[2]Rawdata_2025!$C$95:$AC$110,24,0)</f>
        <v>0</v>
      </c>
      <c r="Q9" s="10">
        <f>VLOOKUP(D9,[2]Rawdata_2025!$C$95:$AC$110,26,0)</f>
        <v>0</v>
      </c>
      <c r="R9" s="10">
        <f>VLOOKUP(D9,[2]Rawdata_2025!$C$95:$AE$110,28,0)</f>
        <v>0</v>
      </c>
      <c r="S9" s="11">
        <f t="shared" si="1"/>
        <v>114</v>
      </c>
      <c r="T9" s="12" t="s">
        <v>22</v>
      </c>
      <c r="U9" s="12" t="s">
        <v>22</v>
      </c>
    </row>
    <row r="10" spans="2:24" ht="20.25" hidden="1" customHeight="1" x14ac:dyDescent="0.3">
      <c r="C10" s="9">
        <f t="shared" si="0"/>
        <v>0</v>
      </c>
      <c r="D10" s="76" t="s">
        <v>31</v>
      </c>
      <c r="E10" s="77"/>
      <c r="F10" s="10">
        <f>VLOOKUP(D10,[2]Rawdata_2025!$C$95:$W$109,4,0)</f>
        <v>0</v>
      </c>
      <c r="G10" s="10">
        <f>VLOOKUP(D10,[2]Rawdata_2025!$C$95:$W$109,6,0)</f>
        <v>0</v>
      </c>
      <c r="H10" s="10">
        <f>VLOOKUP(D10,[2]Rawdata_2025!$C$95:$W$109,8,0)</f>
        <v>0</v>
      </c>
      <c r="I10" s="10">
        <f>VLOOKUP(D10,[2]Rawdata_2025!$C$95:$W$109,10,0)</f>
        <v>0</v>
      </c>
      <c r="J10" s="10">
        <f>VLOOKUP(D10,[2]Rawdata_2025!$C$95:$W$109,12,0)</f>
        <v>0</v>
      </c>
      <c r="K10" s="10">
        <f>VLOOKUP(D10,[2]Rawdata_2025!$C$95:$W$109,14,0)</f>
        <v>0</v>
      </c>
      <c r="L10" s="10">
        <f>VLOOKUP(D10,[2]Rawdata_2025!$C$95:$W$109,16,0)</f>
        <v>0</v>
      </c>
      <c r="M10" s="10">
        <f>VLOOKUP(D10,[2]Rawdata_2025!$C$95:$W$109,18,0)</f>
        <v>0</v>
      </c>
      <c r="N10" s="10">
        <f>VLOOKUP(D10,[2]Rawdata_2025!$C$95:$W$109,20,0)</f>
        <v>0</v>
      </c>
      <c r="O10" s="10">
        <f>VLOOKUP(D10,[2]Rawdata_2025!$C$95:$Y$109,22,0)</f>
        <v>0</v>
      </c>
      <c r="P10" s="10">
        <f>VLOOKUP(D10,[2]Rawdata_2025!$C$95:$AC$110,24,0)</f>
        <v>0</v>
      </c>
      <c r="Q10" s="10">
        <f>VLOOKUP(D10,[2]Rawdata_2025!$C$95:$AC$110,26,0)</f>
        <v>0</v>
      </c>
      <c r="R10" s="10">
        <f>VLOOKUP(D10,[2]Rawdata_2025!$C$95:$AE$110,28,0)</f>
        <v>0</v>
      </c>
      <c r="S10" s="11">
        <f t="shared" si="1"/>
        <v>0</v>
      </c>
      <c r="T10" s="12"/>
      <c r="U10" s="12"/>
    </row>
    <row r="11" spans="2:24" ht="20.25" customHeight="1" x14ac:dyDescent="0.3">
      <c r="C11" s="9">
        <f>S11/$S$12</f>
        <v>3.3823454780080517E-3</v>
      </c>
      <c r="D11" s="80" t="s">
        <v>32</v>
      </c>
      <c r="E11" s="81"/>
      <c r="F11" s="10">
        <f>VLOOKUP(D11,[2]Rawdata_2025!$C$95:$W$109,4,0)</f>
        <v>0</v>
      </c>
      <c r="G11" s="10">
        <f>VLOOKUP(D11,[2]Rawdata_2025!$C$95:$W$109,6,0)</f>
        <v>0</v>
      </c>
      <c r="H11" s="10">
        <f>VLOOKUP(D11,[2]Rawdata_2025!$C$95:$W$109,8,0)</f>
        <v>2980</v>
      </c>
      <c r="I11" s="10">
        <f>VLOOKUP(D11,[2]Rawdata_2025!$C$95:$W$109,10,0)</f>
        <v>3545</v>
      </c>
      <c r="J11" s="10">
        <f>VLOOKUP(D11,[2]Rawdata_2025!$C$95:$W$109,12,0)</f>
        <v>2134</v>
      </c>
      <c r="K11" s="10">
        <f>VLOOKUP(D11,[2]Rawdata_2025!$C$95:$W$109,14,0)</f>
        <v>0</v>
      </c>
      <c r="L11" s="10">
        <f>VLOOKUP(D11,[2]Rawdata_2025!$C$95:$W$109,16,0)</f>
        <v>0</v>
      </c>
      <c r="M11" s="10">
        <f>VLOOKUP(D11,[2]Rawdata_2025!$C$95:$W$109,18,0)</f>
        <v>0</v>
      </c>
      <c r="N11" s="10">
        <f>VLOOKUP(D11,[2]Rawdata_2025!$C$95:$W$109,20,0)</f>
        <v>0</v>
      </c>
      <c r="O11" s="10">
        <f>VLOOKUP(D11,[2]Rawdata_2025!$C$95:$Y$109,22,0)</f>
        <v>1938</v>
      </c>
      <c r="P11" s="10">
        <f>VLOOKUP(D11,[2]Rawdata_2025!$C$95:$AC$110,24,0)</f>
        <v>0</v>
      </c>
      <c r="Q11" s="10">
        <f>VLOOKUP(D11,[2]Rawdata_2025!$C$95:$AC$110,26,0)</f>
        <v>2272</v>
      </c>
      <c r="R11" s="10">
        <f>VLOOKUP(D11,[2]Rawdata_2025!$C$95:$AE$110,28,0)</f>
        <v>0</v>
      </c>
      <c r="S11" s="11">
        <f t="shared" si="1"/>
        <v>10597</v>
      </c>
      <c r="T11" s="14" t="s">
        <v>33</v>
      </c>
      <c r="U11" s="14" t="s">
        <v>34</v>
      </c>
      <c r="X11" s="9"/>
    </row>
    <row r="12" spans="2:24" ht="20.25" customHeight="1" x14ac:dyDescent="0.3">
      <c r="C12" s="9">
        <f>S12/$S$12</f>
        <v>1</v>
      </c>
      <c r="D12" s="82" t="s">
        <v>15</v>
      </c>
      <c r="E12" s="83"/>
      <c r="F12" s="15">
        <f>SUM(F4:F11)</f>
        <v>242344</v>
      </c>
      <c r="G12" s="15">
        <f>SUM(G4:G11)</f>
        <v>254229</v>
      </c>
      <c r="H12" s="15">
        <f t="shared" ref="H12:R12" si="2">SUM(H4:H11)</f>
        <v>303262</v>
      </c>
      <c r="I12" s="15">
        <f t="shared" si="2"/>
        <v>287011</v>
      </c>
      <c r="J12" s="15">
        <f t="shared" si="2"/>
        <v>230292</v>
      </c>
      <c r="K12" s="15">
        <f>SUM(K4:K11)</f>
        <v>189913</v>
      </c>
      <c r="L12" s="15">
        <f t="shared" si="2"/>
        <v>262728</v>
      </c>
      <c r="M12" s="15">
        <f t="shared" si="2"/>
        <v>317620</v>
      </c>
      <c r="N12" s="15">
        <f t="shared" si="2"/>
        <v>241043</v>
      </c>
      <c r="O12" s="15">
        <f t="shared" si="2"/>
        <v>242634</v>
      </c>
      <c r="P12" s="15">
        <f t="shared" si="2"/>
        <v>290256</v>
      </c>
      <c r="Q12" s="15">
        <f t="shared" si="2"/>
        <v>271701</v>
      </c>
      <c r="R12" s="15">
        <f t="shared" si="2"/>
        <v>286000</v>
      </c>
      <c r="S12" s="11">
        <f>SUM(F12:Q12)</f>
        <v>3133033</v>
      </c>
      <c r="T12" s="11"/>
      <c r="U12" s="16"/>
      <c r="X12" s="9"/>
    </row>
    <row r="13" spans="2:24" ht="19.5" customHeight="1" x14ac:dyDescent="0.3">
      <c r="D13" s="17"/>
      <c r="F13" s="18"/>
      <c r="G13" s="18"/>
      <c r="H13" s="18"/>
      <c r="I13" s="18"/>
      <c r="J13" s="18"/>
      <c r="K13" s="18"/>
      <c r="L13" s="18"/>
      <c r="M13" s="18"/>
      <c r="N13" s="18"/>
      <c r="Q13" s="19"/>
      <c r="R13" s="19"/>
      <c r="X13" s="9"/>
    </row>
    <row r="14" spans="2:24" ht="19.5" customHeight="1" x14ac:dyDescent="0.3">
      <c r="B14" s="4">
        <v>2</v>
      </c>
      <c r="C14" s="4"/>
      <c r="D14" s="20" t="s">
        <v>35</v>
      </c>
      <c r="F14" s="18"/>
      <c r="G14" s="18"/>
      <c r="H14" s="18"/>
      <c r="I14" s="18"/>
      <c r="J14" s="18"/>
      <c r="K14" s="18"/>
      <c r="L14" s="18"/>
      <c r="M14" s="18"/>
      <c r="N14" s="18"/>
      <c r="S14" s="5" t="s">
        <v>36</v>
      </c>
      <c r="T14" s="5"/>
    </row>
    <row r="15" spans="2:24" s="4" customFormat="1" ht="19.5" customHeight="1" x14ac:dyDescent="0.3">
      <c r="D15" s="82" t="s">
        <v>1</v>
      </c>
      <c r="E15" s="83"/>
      <c r="F15" s="6" t="s">
        <v>2</v>
      </c>
      <c r="G15" s="6" t="s">
        <v>3</v>
      </c>
      <c r="H15" s="6" t="s">
        <v>4</v>
      </c>
      <c r="I15" s="6" t="s">
        <v>5</v>
      </c>
      <c r="J15" s="6" t="s">
        <v>6</v>
      </c>
      <c r="K15" s="6" t="s">
        <v>7</v>
      </c>
      <c r="L15" s="6" t="s">
        <v>8</v>
      </c>
      <c r="M15" s="6" t="s">
        <v>9</v>
      </c>
      <c r="N15" s="6" t="s">
        <v>10</v>
      </c>
      <c r="O15" s="6" t="s">
        <v>11</v>
      </c>
      <c r="P15" s="6" t="s">
        <v>12</v>
      </c>
      <c r="Q15" s="6" t="s">
        <v>13</v>
      </c>
      <c r="R15" s="6" t="s">
        <v>14</v>
      </c>
      <c r="S15" s="21" t="s">
        <v>15</v>
      </c>
      <c r="T15" s="73" t="s">
        <v>37</v>
      </c>
      <c r="U15" s="75"/>
    </row>
    <row r="16" spans="2:24" ht="19.5" customHeight="1" x14ac:dyDescent="0.3">
      <c r="C16" s="9">
        <f>S16/$S$24</f>
        <v>0.6273545601766326</v>
      </c>
      <c r="D16" s="91" t="s">
        <v>18</v>
      </c>
      <c r="E16" s="92"/>
      <c r="F16" s="10">
        <f>VLOOKUP(D16,[2]Rawdata_2025!$C$95:$W$109,5,0)</f>
        <v>408568.07199999999</v>
      </c>
      <c r="G16" s="10">
        <f>VLOOKUP(D16,[2]Rawdata_2025!$C$95:$W$109,7,0)</f>
        <v>436329.85600000003</v>
      </c>
      <c r="H16" s="10">
        <f>VLOOKUP(D16,[2]Rawdata_2025!$C$95:$W$109,9,0)</f>
        <v>493442</v>
      </c>
      <c r="I16" s="10">
        <f>VLOOKUP(D16,[2]Rawdata_2025!$C$95:$W$109,11,0)</f>
        <v>502383.73333333334</v>
      </c>
      <c r="J16" s="10">
        <f>VLOOKUP(D16,[2]Rawdata_2025!$C$95:$W$109,13,0)</f>
        <v>506951.56862745096</v>
      </c>
      <c r="K16" s="10">
        <f>VLOOKUP(D16,[2]Rawdata_2025!$C$95:$W$109,15,0)</f>
        <v>483242.5882352941</v>
      </c>
      <c r="L16" s="10">
        <f>VLOOKUP(D16,[2]Rawdata_2025!$C$95:$W$109,17,0)</f>
        <v>487899.67843137257</v>
      </c>
      <c r="M16" s="10">
        <f>VLOOKUP(D16,[2]Rawdata_2025!$C$95:$W$109,19,0)</f>
        <v>548841.89230769232</v>
      </c>
      <c r="N16" s="10">
        <f>VLOOKUP(D16,[2]Rawdata_2025!$C$95:$W$109,21,0)</f>
        <v>481256.9692307692</v>
      </c>
      <c r="O16" s="10">
        <f>VLOOKUP(D16,[2]Rawdata_2025!$C$95:$Y$109,23,0)</f>
        <v>458337.18461538461</v>
      </c>
      <c r="P16" s="10">
        <f>VLOOKUP(D16,[2]Rawdata_2025!$C$95:$AC$110,25,0)</f>
        <v>504388.5</v>
      </c>
      <c r="Q16" s="10">
        <f>VLOOKUP(D16,[2]Rawdata_2025!$C$95:$AC$110,27,0)</f>
        <v>479250.02692307695</v>
      </c>
      <c r="R16" s="10">
        <f>VLOOKUP(D16,[2]Rawdata_2025!$C$95:$AE$110,29,0)</f>
        <v>507692.30769230769</v>
      </c>
      <c r="S16" s="22">
        <f>SUM(F16:Q16)</f>
        <v>5790892.0697043743</v>
      </c>
      <c r="T16" s="78"/>
      <c r="U16" s="79"/>
    </row>
    <row r="17" spans="2:21" ht="19.5" customHeight="1" x14ac:dyDescent="0.3">
      <c r="C17" s="9">
        <f t="shared" ref="C17:C23" si="3">S17/$S$24</f>
        <v>9.6001211853195168E-6</v>
      </c>
      <c r="D17" s="91" t="s">
        <v>21</v>
      </c>
      <c r="E17" s="92"/>
      <c r="F17" s="10">
        <f>VLOOKUP(D17,[2]Rawdata_2025!$C$95:$W$109,5,0)</f>
        <v>0</v>
      </c>
      <c r="G17" s="10">
        <f>VLOOKUP(D17,[2]Rawdata_2025!$C$95:$W$109,7,0)</f>
        <v>0</v>
      </c>
      <c r="H17" s="10">
        <f>VLOOKUP(D17,[2]Rawdata_2025!$C$95:$W$109,9,0)</f>
        <v>0</v>
      </c>
      <c r="I17" s="10">
        <f>VLOOKUP(D17,[2]Rawdata_2025!$C$95:$W$109,11,0)</f>
        <v>0</v>
      </c>
      <c r="J17" s="10">
        <f>VLOOKUP(D17,[2]Rawdata_2025!$C$95:$W$109,13,0)</f>
        <v>0</v>
      </c>
      <c r="K17" s="10">
        <f>VLOOKUP(D17,[2]Rawdata_2025!$C$95:$W$109,15,0)</f>
        <v>0</v>
      </c>
      <c r="L17" s="10">
        <f>VLOOKUP(D17,[2]Rawdata_2025!$C$95:$W$109,17,0)</f>
        <v>0</v>
      </c>
      <c r="M17" s="10">
        <f>VLOOKUP(D17,[2]Rawdata_2025!$C$95:$W$109,19,0)</f>
        <v>0</v>
      </c>
      <c r="N17" s="10">
        <f>VLOOKUP(D17,[2]Rawdata_2025!$C$95:$W$109,21,0)</f>
        <v>0</v>
      </c>
      <c r="O17" s="10">
        <f>VLOOKUP(D17,[2]Rawdata_2025!$C$95:$Y$109,23,0)</f>
        <v>88.615384615384613</v>
      </c>
      <c r="P17" s="10">
        <f>VLOOKUP(D17,[2]Rawdata_2025!$C$95:$AC$110,25,0)</f>
        <v>0</v>
      </c>
      <c r="Q17" s="10">
        <f>VLOOKUP(D17,[2]Rawdata_2025!$C$95:$AC$110,27,0)</f>
        <v>0</v>
      </c>
      <c r="R17" s="10">
        <f>VLOOKUP(D17,[2]Rawdata_2025!$C$95:$AE$110,29,0)</f>
        <v>0</v>
      </c>
      <c r="S17" s="22">
        <f t="shared" ref="S17:S23" si="4">SUM(F17:Q17)</f>
        <v>88.615384615384613</v>
      </c>
      <c r="T17" s="78"/>
      <c r="U17" s="79"/>
    </row>
    <row r="18" spans="2:21" ht="19.5" customHeight="1" x14ac:dyDescent="0.3">
      <c r="C18" s="9">
        <f t="shared" si="3"/>
        <v>0.12214516757583674</v>
      </c>
      <c r="D18" s="86" t="s">
        <v>23</v>
      </c>
      <c r="E18" s="93"/>
      <c r="F18" s="10">
        <f>VLOOKUP(D18,[2]Rawdata_2025!$C$95:$W$109,5,0)</f>
        <v>106299.44</v>
      </c>
      <c r="G18" s="10">
        <f>VLOOKUP(D18,[2]Rawdata_2025!$C$95:$W$109,7,0)</f>
        <v>142962.96</v>
      </c>
      <c r="H18" s="10">
        <f>VLOOKUP(D18,[2]Rawdata_2025!$C$95:$W$109,9,0)</f>
        <v>127985.56</v>
      </c>
      <c r="I18" s="10">
        <f>VLOOKUP(D18,[2]Rawdata_2025!$C$95:$W$109,11,0)</f>
        <v>102946.58823529411</v>
      </c>
      <c r="J18" s="10">
        <f>VLOOKUP(D18,[2]Rawdata_2025!$C$95:$W$109,13,0)</f>
        <v>67516.666666666672</v>
      </c>
      <c r="K18" s="10">
        <f>VLOOKUP(D18,[2]Rawdata_2025!$C$95:$W$109,15,0)</f>
        <v>34906.666666666664</v>
      </c>
      <c r="L18" s="10">
        <f>VLOOKUP(D18,[2]Rawdata_2025!$C$95:$W$109,17,0)</f>
        <v>105065.29411764706</v>
      </c>
      <c r="M18" s="10">
        <f>VLOOKUP(D18,[2]Rawdata_2025!$C$95:$W$109,19,0)</f>
        <v>133898.42307692306</v>
      </c>
      <c r="N18" s="10">
        <f>VLOOKUP(D18,[2]Rawdata_2025!$C$95:$W$109,21,0)</f>
        <v>65169.230769230766</v>
      </c>
      <c r="O18" s="10">
        <f>VLOOKUP(D18,[2]Rawdata_2025!$C$95:$Y$109,23,0)</f>
        <v>50192.482381153837</v>
      </c>
      <c r="P18" s="10">
        <f>VLOOKUP(D18,[2]Rawdata_2025!$C$95:$AC$110,25,0)</f>
        <v>68435.911849615382</v>
      </c>
      <c r="Q18" s="10">
        <f>VLOOKUP(D18,[2]Rawdata_2025!$C$95:$AC$110,27,0)</f>
        <v>122100.39807692308</v>
      </c>
      <c r="R18" s="10">
        <f>VLOOKUP(D18,[2]Rawdata_2025!$C$95:$AE$110,29,0)</f>
        <v>104501.73076923077</v>
      </c>
      <c r="S18" s="22">
        <f t="shared" si="4"/>
        <v>1127479.6218401205</v>
      </c>
      <c r="T18" s="78"/>
      <c r="U18" s="79"/>
    </row>
    <row r="19" spans="2:21" ht="19.5" customHeight="1" x14ac:dyDescent="0.3">
      <c r="C19" s="9">
        <f t="shared" si="3"/>
        <v>5.3275182313139561E-6</v>
      </c>
      <c r="D19" s="86" t="s">
        <v>26</v>
      </c>
      <c r="E19" s="87"/>
      <c r="F19" s="10">
        <f>VLOOKUP(D19,[2]Rawdata_2025!$C$95:$W$109,5,0)</f>
        <v>0</v>
      </c>
      <c r="G19" s="10">
        <f>VLOOKUP(D19,[2]Rawdata_2025!$C$95:$W$109,7,0)</f>
        <v>0</v>
      </c>
      <c r="H19" s="10">
        <f>VLOOKUP(D19,[2]Rawdata_2025!$C$95:$W$109,9,0)</f>
        <v>0</v>
      </c>
      <c r="I19" s="10">
        <f>VLOOKUP(D19,[2]Rawdata_2025!$C$95:$W$109,11,0)</f>
        <v>0</v>
      </c>
      <c r="J19" s="10">
        <f>VLOOKUP(D19,[2]Rawdata_2025!$C$95:$W$109,13,0)</f>
        <v>0</v>
      </c>
      <c r="K19" s="10">
        <f>VLOOKUP(D19,[2]Rawdata_2025!$C$95:$W$109,15,0)</f>
        <v>0</v>
      </c>
      <c r="L19" s="10">
        <f>VLOOKUP(D19,[2]Rawdata_2025!$C$95:$W$109,17,0)</f>
        <v>49.176470588235297</v>
      </c>
      <c r="M19" s="10">
        <f>VLOOKUP(D19,[2]Rawdata_2025!$C$95:$W$109,19,0)</f>
        <v>0</v>
      </c>
      <c r="N19" s="10">
        <f>VLOOKUP(D19,[2]Rawdata_2025!$C$95:$W$109,21,0)</f>
        <v>0</v>
      </c>
      <c r="O19" s="10">
        <f>VLOOKUP(D19,[2]Rawdata_2025!$C$95:$Y$109,23,0)</f>
        <v>0</v>
      </c>
      <c r="P19" s="10">
        <f>VLOOKUP(D19,[2]Rawdata_2025!$C$95:$AC$110,25,0)</f>
        <v>0</v>
      </c>
      <c r="Q19" s="10">
        <f>VLOOKUP(D19,[2]Rawdata_2025!$C$95:$AC$110,27,0)</f>
        <v>0</v>
      </c>
      <c r="R19" s="10">
        <f>VLOOKUP(D19,[2]Rawdata_2025!$C$95:$AE$110,29,0)</f>
        <v>0</v>
      </c>
      <c r="S19" s="22">
        <f t="shared" si="4"/>
        <v>49.176470588235297</v>
      </c>
      <c r="T19" s="78"/>
      <c r="U19" s="79"/>
    </row>
    <row r="20" spans="2:21" ht="19.5" customHeight="1" x14ac:dyDescent="0.3">
      <c r="C20" s="9">
        <f t="shared" si="3"/>
        <v>0.24627436213784543</v>
      </c>
      <c r="D20" s="88" t="s">
        <v>27</v>
      </c>
      <c r="E20" s="89"/>
      <c r="F20" s="10">
        <f>VLOOKUP(D20,[2]Rawdata_2025!$C$95:$W$109,5,0)</f>
        <v>210626.6</v>
      </c>
      <c r="G20" s="10">
        <f>VLOOKUP(D20,[2]Rawdata_2025!$C$95:$W$109,7,0)</f>
        <v>181237</v>
      </c>
      <c r="H20" s="10">
        <f>VLOOKUP(D20,[2]Rawdata_2025!$C$95:$W$109,9,0)</f>
        <v>314272.64000000001</v>
      </c>
      <c r="I20" s="10">
        <f>VLOOKUP(D20,[2]Rawdata_2025!$C$95:$W$109,11,0)</f>
        <v>241133.88235294117</v>
      </c>
      <c r="J20" s="10">
        <f>VLOOKUP(D20,[2]Rawdata_2025!$C$95:$W$109,13,0)</f>
        <v>63691.525333333331</v>
      </c>
      <c r="K20" s="10">
        <f>VLOOKUP(D20,[2]Rawdata_2025!$C$95:$W$109,15,0)</f>
        <v>0</v>
      </c>
      <c r="L20" s="10">
        <f>VLOOKUP(D20,[2]Rawdata_2025!$C$95:$W$109,17,0)</f>
        <v>160768.64533333332</v>
      </c>
      <c r="M20" s="10">
        <f>VLOOKUP(D20,[2]Rawdata_2025!$C$95:$W$109,19,0)</f>
        <v>235438.23076923078</v>
      </c>
      <c r="N20" s="10">
        <f>VLOOKUP(D20,[2]Rawdata_2025!$C$95:$W$109,21,0)</f>
        <v>133363.23076923078</v>
      </c>
      <c r="O20" s="10">
        <f>VLOOKUP(D20,[2]Rawdata_2025!$C$95:$Y$109,23,0)</f>
        <v>203400</v>
      </c>
      <c r="P20" s="10">
        <f>VLOOKUP(D20,[2]Rawdata_2025!$C$95:$AC$110,25,0)</f>
        <v>316135.47729230771</v>
      </c>
      <c r="Q20" s="10">
        <f>VLOOKUP(D20,[2]Rawdata_2025!$C$95:$AC$110,27,0)</f>
        <v>213205.87590230774</v>
      </c>
      <c r="R20" s="10">
        <f>VLOOKUP(D20,[2]Rawdata_2025!$C$95:$AE$110,29,0)</f>
        <v>259327.40769230769</v>
      </c>
      <c r="S20" s="22">
        <f t="shared" si="4"/>
        <v>2273273.107752685</v>
      </c>
      <c r="T20" s="78"/>
      <c r="U20" s="79"/>
    </row>
    <row r="21" spans="2:21" ht="19.5" customHeight="1" x14ac:dyDescent="0.3">
      <c r="C21" s="9">
        <f t="shared" si="3"/>
        <v>3.8000479691889755E-6</v>
      </c>
      <c r="D21" s="88" t="s">
        <v>30</v>
      </c>
      <c r="E21" s="90"/>
      <c r="F21" s="10">
        <f>VLOOKUP(D21,[2]Rawdata_2025!$C$95:$W$109,5,0)</f>
        <v>0</v>
      </c>
      <c r="G21" s="10">
        <f>VLOOKUP(D21,[2]Rawdata_2025!$C$95:$W$109,7,0)</f>
        <v>0</v>
      </c>
      <c r="H21" s="10">
        <f>VLOOKUP(D21,[2]Rawdata_2025!$C$95:$W$109,9,0)</f>
        <v>0</v>
      </c>
      <c r="I21" s="10">
        <f>VLOOKUP(D21,[2]Rawdata_2025!$C$95:$W$109,11,0)</f>
        <v>0</v>
      </c>
      <c r="J21" s="10">
        <f>VLOOKUP(D21,[2]Rawdata_2025!$C$95:$W$109,13,0)</f>
        <v>0</v>
      </c>
      <c r="K21" s="10">
        <f>VLOOKUP(D21,[2]Rawdata_2025!$C$95:$W$109,15,0)</f>
        <v>0</v>
      </c>
      <c r="L21" s="10">
        <f>VLOOKUP(D21,[2]Rawdata_2025!$C$95:$W$109,17,0)</f>
        <v>0</v>
      </c>
      <c r="M21" s="10">
        <f>VLOOKUP(D21,[2]Rawdata_2025!$C$95:$W$109,19,0)</f>
        <v>35.07692307692308</v>
      </c>
      <c r="N21" s="10">
        <f>VLOOKUP(D21,[2]Rawdata_2025!$C$95:$W$109,21,0)</f>
        <v>0</v>
      </c>
      <c r="O21" s="10">
        <f>VLOOKUP(D21,[2]Rawdata_2025!$C$95:$Y$109,23,0)</f>
        <v>0</v>
      </c>
      <c r="P21" s="10">
        <f>VLOOKUP(D21,[2]Rawdata_2025!$C$95:$AC$110,25,0)</f>
        <v>0</v>
      </c>
      <c r="Q21" s="10">
        <f>VLOOKUP(D21,[2]Rawdata_2025!$C$95:$AC$110,27,0)</f>
        <v>0</v>
      </c>
      <c r="R21" s="10">
        <f>VLOOKUP(D21,[2]Rawdata_2025!$C$95:$AE$110,29,0)</f>
        <v>0</v>
      </c>
      <c r="S21" s="22">
        <f t="shared" si="4"/>
        <v>35.07692307692308</v>
      </c>
      <c r="T21" s="78"/>
      <c r="U21" s="79"/>
    </row>
    <row r="22" spans="2:21" ht="19.5" hidden="1" customHeight="1" x14ac:dyDescent="0.3">
      <c r="C22" s="9">
        <f t="shared" si="3"/>
        <v>0</v>
      </c>
      <c r="D22" s="76" t="s">
        <v>31</v>
      </c>
      <c r="E22" s="77"/>
      <c r="F22" s="10">
        <f>VLOOKUP(D22,[2]Rawdata_2025!$C$95:$W$109,5,0)</f>
        <v>0</v>
      </c>
      <c r="G22" s="10">
        <f>VLOOKUP(D22,[2]Rawdata_2025!$C$95:$W$109,7,0)</f>
        <v>0</v>
      </c>
      <c r="H22" s="10">
        <f>VLOOKUP(D22,[2]Rawdata_2025!$C$95:$W$109,9,0)</f>
        <v>0</v>
      </c>
      <c r="I22" s="10">
        <f>VLOOKUP(D22,[2]Rawdata_2025!$C$95:$W$109,11,0)</f>
        <v>0</v>
      </c>
      <c r="J22" s="10">
        <f>VLOOKUP(D22,[2]Rawdata_2025!$C$95:$W$109,13,0)</f>
        <v>0</v>
      </c>
      <c r="K22" s="10">
        <f>VLOOKUP(D22,[2]Rawdata_2025!$C$95:$W$109,15,0)</f>
        <v>0</v>
      </c>
      <c r="L22" s="10">
        <f>VLOOKUP(D22,[2]Rawdata_2025!$C$95:$W$109,17,0)</f>
        <v>0</v>
      </c>
      <c r="M22" s="10">
        <f>VLOOKUP(D22,[2]Rawdata_2025!$C$95:$W$109,19,0)</f>
        <v>0</v>
      </c>
      <c r="N22" s="10">
        <f>VLOOKUP(D22,[2]Rawdata_2025!$C$95:$W$109,21,0)</f>
        <v>0</v>
      </c>
      <c r="O22" s="10">
        <f>VLOOKUP(D22,[2]Rawdata_2025!$C$95:$Y$109,23,0)</f>
        <v>0</v>
      </c>
      <c r="P22" s="10">
        <f>VLOOKUP(D22,[2]Rawdata_2025!$C$95:$AC$110,25,0)</f>
        <v>0</v>
      </c>
      <c r="Q22" s="10">
        <f>VLOOKUP(D22,[2]Rawdata_2025!$C$95:$AC$110,27,0)</f>
        <v>0</v>
      </c>
      <c r="R22" s="10">
        <f>VLOOKUP(D22,[2]Rawdata_2025!$C$95:$AE$110,29,0)</f>
        <v>0</v>
      </c>
      <c r="S22" s="22">
        <f t="shared" si="4"/>
        <v>0</v>
      </c>
      <c r="T22" s="78"/>
      <c r="U22" s="79"/>
    </row>
    <row r="23" spans="2:21" ht="19.5" customHeight="1" x14ac:dyDescent="0.3">
      <c r="C23" s="9">
        <f t="shared" si="3"/>
        <v>4.2071824222994622E-3</v>
      </c>
      <c r="D23" s="80" t="s">
        <v>32</v>
      </c>
      <c r="E23" s="81"/>
      <c r="F23" s="10">
        <f>VLOOKUP(D23,[2]Rawdata_2025!$C$95:$W$109,5,0)</f>
        <v>0</v>
      </c>
      <c r="G23" s="10">
        <f>VLOOKUP(D23,[2]Rawdata_2025!$C$95:$W$109,7,0)</f>
        <v>0</v>
      </c>
      <c r="H23" s="10">
        <f>VLOOKUP(D23,[2]Rawdata_2025!$C$95:$W$109,9,0)</f>
        <v>9118.7999999999993</v>
      </c>
      <c r="I23" s="10">
        <f>VLOOKUP(D23,[2]Rawdata_2025!$C$95:$W$109,11,0)</f>
        <v>10635</v>
      </c>
      <c r="J23" s="10">
        <f>VLOOKUP(D23,[2]Rawdata_2025!$C$95:$W$109,13,0)</f>
        <v>6276.4705882352937</v>
      </c>
      <c r="K23" s="10">
        <f>VLOOKUP(D23,[2]Rawdata_2025!$C$95:$W$109,15,0)</f>
        <v>0</v>
      </c>
      <c r="L23" s="10">
        <f>VLOOKUP(D23,[2]Rawdata_2025!$C$95:$W$109,17,0)</f>
        <v>0</v>
      </c>
      <c r="M23" s="10">
        <f>VLOOKUP(D23,[2]Rawdata_2025!$C$95:$W$109,19,0)</f>
        <v>0</v>
      </c>
      <c r="N23" s="10">
        <f>VLOOKUP(D23,[2]Rawdata_2025!$C$95:$W$109,21,0)</f>
        <v>0</v>
      </c>
      <c r="O23" s="10">
        <f>VLOOKUP(D23,[2]Rawdata_2025!$C$95:$Y$109,23,0)</f>
        <v>5814</v>
      </c>
      <c r="P23" s="10">
        <f>VLOOKUP(D23,[2]Rawdata_2025!$C$95:$AC$110,25,0)</f>
        <v>0</v>
      </c>
      <c r="Q23" s="10">
        <f>VLOOKUP(D23,[2]Rawdata_2025!$C$95:$AC$110,27,0)</f>
        <v>6990.7692307692305</v>
      </c>
      <c r="R23" s="10">
        <f>VLOOKUP(D23,[2]Rawdata_2025!$C$95:$AE$110,29,0)</f>
        <v>0</v>
      </c>
      <c r="S23" s="22">
        <f t="shared" si="4"/>
        <v>38835.039819004523</v>
      </c>
      <c r="T23" s="78"/>
      <c r="U23" s="79"/>
    </row>
    <row r="24" spans="2:21" ht="19.5" customHeight="1" x14ac:dyDescent="0.3">
      <c r="C24" s="9">
        <f>S24/$S$24</f>
        <v>1</v>
      </c>
      <c r="D24" s="82" t="s">
        <v>15</v>
      </c>
      <c r="E24" s="83"/>
      <c r="F24" s="15">
        <f>SUM(F16:F23)</f>
        <v>725494.11199999996</v>
      </c>
      <c r="G24" s="15">
        <f>SUM(G16:G23)</f>
        <v>760529.81599999999</v>
      </c>
      <c r="H24" s="15">
        <f t="shared" ref="H24:R24" si="5">SUM(H16:H23)</f>
        <v>944819.00000000012</v>
      </c>
      <c r="I24" s="15">
        <f t="shared" si="5"/>
        <v>857099.2039215687</v>
      </c>
      <c r="J24" s="15">
        <f t="shared" si="5"/>
        <v>644436.23121568619</v>
      </c>
      <c r="K24" s="15">
        <f t="shared" si="5"/>
        <v>518149.25490196078</v>
      </c>
      <c r="L24" s="15">
        <f t="shared" si="5"/>
        <v>753782.7943529411</v>
      </c>
      <c r="M24" s="15">
        <f t="shared" si="5"/>
        <v>918213.62307692308</v>
      </c>
      <c r="N24" s="15">
        <f t="shared" si="5"/>
        <v>679789.4307692307</v>
      </c>
      <c r="O24" s="15">
        <f t="shared" si="5"/>
        <v>717832.2823811539</v>
      </c>
      <c r="P24" s="15">
        <f t="shared" si="5"/>
        <v>888959.88914192305</v>
      </c>
      <c r="Q24" s="15">
        <f t="shared" si="5"/>
        <v>821547.07013307698</v>
      </c>
      <c r="R24" s="15">
        <f t="shared" si="5"/>
        <v>871521.44615384622</v>
      </c>
      <c r="S24" s="23">
        <f>SUM(F24:Q24)</f>
        <v>9230652.707894465</v>
      </c>
      <c r="T24" s="84" t="s">
        <v>38</v>
      </c>
      <c r="U24" s="85"/>
    </row>
    <row r="25" spans="2:21" ht="19.5" customHeight="1" x14ac:dyDescent="0.3">
      <c r="D25" s="24"/>
      <c r="E25" s="24"/>
      <c r="F25" s="25"/>
      <c r="G25" s="25"/>
      <c r="H25" s="25"/>
      <c r="I25" s="25"/>
      <c r="J25" s="25"/>
      <c r="K25" s="25"/>
      <c r="L25" s="25"/>
      <c r="M25" s="25"/>
      <c r="N25" s="26"/>
      <c r="O25" s="24"/>
      <c r="P25" s="24"/>
      <c r="Q25" s="27"/>
      <c r="R25" s="27"/>
      <c r="S25" s="28"/>
      <c r="T25" s="28"/>
    </row>
    <row r="26" spans="2:21" s="4" customFormat="1" ht="19.5" customHeight="1" x14ac:dyDescent="0.3">
      <c r="B26" s="4">
        <v>3</v>
      </c>
      <c r="D26" s="20" t="s">
        <v>39</v>
      </c>
      <c r="E26" s="29"/>
      <c r="F26" s="26"/>
      <c r="G26" s="26"/>
      <c r="H26" s="26"/>
      <c r="I26" s="26"/>
      <c r="J26" s="26"/>
      <c r="K26" s="26"/>
      <c r="L26" s="26"/>
      <c r="M26" s="26"/>
      <c r="O26" s="29"/>
      <c r="P26" s="29"/>
      <c r="S26" s="5"/>
      <c r="T26" s="5"/>
      <c r="U26" s="30"/>
    </row>
    <row r="27" spans="2:21" s="4" customFormat="1" ht="22.5" customHeight="1" x14ac:dyDescent="0.3">
      <c r="D27" s="31" t="s">
        <v>40</v>
      </c>
      <c r="E27" s="31" t="s">
        <v>1</v>
      </c>
      <c r="F27" s="6" t="s">
        <v>2</v>
      </c>
      <c r="G27" s="6" t="s">
        <v>3</v>
      </c>
      <c r="H27" s="6" t="s">
        <v>4</v>
      </c>
      <c r="I27" s="6" t="s">
        <v>5</v>
      </c>
      <c r="J27" s="6" t="s">
        <v>41</v>
      </c>
      <c r="K27" s="6" t="s">
        <v>7</v>
      </c>
      <c r="L27" s="6" t="s">
        <v>8</v>
      </c>
      <c r="M27" s="6" t="s">
        <v>9</v>
      </c>
      <c r="N27" s="6" t="s">
        <v>42</v>
      </c>
      <c r="O27" s="6" t="s">
        <v>11</v>
      </c>
      <c r="P27" s="6" t="s">
        <v>12</v>
      </c>
      <c r="Q27" s="6" t="s">
        <v>13</v>
      </c>
      <c r="R27" s="6" t="s">
        <v>14</v>
      </c>
      <c r="S27" s="73" t="s">
        <v>37</v>
      </c>
      <c r="T27" s="74"/>
      <c r="U27" s="75"/>
    </row>
    <row r="28" spans="2:21" s="4" customFormat="1" ht="22.5" customHeight="1" x14ac:dyDescent="0.3">
      <c r="D28" s="32" t="s">
        <v>43</v>
      </c>
      <c r="E28" s="33" t="s">
        <v>44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5"/>
      <c r="S28" s="70"/>
      <c r="T28" s="71"/>
      <c r="U28" s="72"/>
    </row>
    <row r="29" spans="2:21" s="4" customFormat="1" ht="22.5" customHeight="1" x14ac:dyDescent="0.3">
      <c r="D29" s="32" t="s">
        <v>45</v>
      </c>
      <c r="E29" s="33" t="s">
        <v>44</v>
      </c>
      <c r="F29" s="34">
        <v>72000</v>
      </c>
      <c r="G29" s="34">
        <v>72000</v>
      </c>
      <c r="H29" s="34">
        <v>74000</v>
      </c>
      <c r="I29" s="34">
        <v>72000</v>
      </c>
      <c r="J29" s="34">
        <v>70000</v>
      </c>
      <c r="K29" s="34">
        <v>69000</v>
      </c>
      <c r="L29" s="34">
        <v>71000</v>
      </c>
      <c r="M29" s="34">
        <v>71000</v>
      </c>
      <c r="N29" s="34">
        <v>72000</v>
      </c>
      <c r="O29" s="34">
        <v>73000</v>
      </c>
      <c r="P29" s="34">
        <v>76000</v>
      </c>
      <c r="Q29" s="34">
        <v>76000</v>
      </c>
      <c r="R29" s="35">
        <v>76000</v>
      </c>
      <c r="S29" s="70"/>
      <c r="T29" s="71"/>
      <c r="U29" s="72"/>
    </row>
    <row r="30" spans="2:21" s="4" customFormat="1" ht="22.5" customHeight="1" x14ac:dyDescent="0.3">
      <c r="D30" s="32" t="s">
        <v>46</v>
      </c>
      <c r="E30" s="33" t="s">
        <v>44</v>
      </c>
      <c r="F30" s="34">
        <v>66700</v>
      </c>
      <c r="G30" s="34">
        <v>67600</v>
      </c>
      <c r="H30" s="34">
        <v>70000</v>
      </c>
      <c r="I30" s="34">
        <v>69800</v>
      </c>
      <c r="J30" s="34">
        <v>68500</v>
      </c>
      <c r="K30" s="34">
        <v>68500</v>
      </c>
      <c r="L30" s="34">
        <v>68600</v>
      </c>
      <c r="M30" s="34">
        <v>69400</v>
      </c>
      <c r="N30" s="34">
        <v>69400</v>
      </c>
      <c r="O30" s="34">
        <v>71600</v>
      </c>
      <c r="P30" s="34">
        <v>72600</v>
      </c>
      <c r="Q30" s="34">
        <v>73900</v>
      </c>
      <c r="R30" s="35">
        <v>75000</v>
      </c>
      <c r="S30" s="70"/>
      <c r="T30" s="71"/>
      <c r="U30" s="72"/>
    </row>
    <row r="31" spans="2:21" s="4" customFormat="1" ht="22.5" customHeight="1" x14ac:dyDescent="0.3">
      <c r="D31" s="32" t="s">
        <v>47</v>
      </c>
      <c r="E31" s="33" t="s">
        <v>44</v>
      </c>
      <c r="F31" s="34"/>
      <c r="G31" s="34">
        <v>65780</v>
      </c>
      <c r="H31" s="34">
        <v>66820</v>
      </c>
      <c r="I31" s="34"/>
      <c r="J31" s="34"/>
      <c r="K31" s="34">
        <v>81901</v>
      </c>
      <c r="L31" s="34">
        <v>83704</v>
      </c>
      <c r="M31" s="34"/>
      <c r="N31" s="34"/>
      <c r="O31" s="34"/>
      <c r="P31" s="34"/>
      <c r="Q31" s="34"/>
      <c r="R31" s="35"/>
      <c r="S31" s="70"/>
      <c r="T31" s="71"/>
      <c r="U31" s="72"/>
    </row>
    <row r="32" spans="2:21" s="4" customFormat="1" ht="22.5" customHeight="1" x14ac:dyDescent="0.3">
      <c r="D32" s="32" t="s">
        <v>48</v>
      </c>
      <c r="E32" s="39" t="s">
        <v>49</v>
      </c>
      <c r="F32" s="34">
        <v>86000</v>
      </c>
      <c r="G32" s="34">
        <v>86000</v>
      </c>
      <c r="H32" s="34">
        <v>89000</v>
      </c>
      <c r="I32" s="34">
        <v>87000</v>
      </c>
      <c r="J32" s="34">
        <v>85000</v>
      </c>
      <c r="K32" s="34">
        <v>85000</v>
      </c>
      <c r="L32" s="34">
        <v>87000</v>
      </c>
      <c r="M32" s="34">
        <v>87000</v>
      </c>
      <c r="N32" s="34">
        <v>89000</v>
      </c>
      <c r="O32" s="34">
        <v>91000</v>
      </c>
      <c r="P32" s="34">
        <v>94000</v>
      </c>
      <c r="Q32" s="34">
        <v>95000</v>
      </c>
      <c r="R32" s="35">
        <v>95000</v>
      </c>
      <c r="S32" s="70"/>
      <c r="T32" s="71"/>
      <c r="U32" s="72"/>
    </row>
    <row r="33" spans="2:21" s="4" customFormat="1" ht="22.5" customHeight="1" x14ac:dyDescent="0.3">
      <c r="D33" s="32" t="s">
        <v>47</v>
      </c>
      <c r="E33" s="39" t="s">
        <v>49</v>
      </c>
      <c r="F33" s="34"/>
      <c r="G33" s="34">
        <v>80600</v>
      </c>
      <c r="H33" s="34">
        <v>80600</v>
      </c>
      <c r="I33" s="34">
        <v>81997</v>
      </c>
      <c r="J33" s="34">
        <v>81901</v>
      </c>
      <c r="K33" s="34">
        <v>81901</v>
      </c>
      <c r="L33" s="34">
        <v>83704</v>
      </c>
      <c r="M33" s="34">
        <v>83704</v>
      </c>
      <c r="N33" s="34">
        <v>88692</v>
      </c>
      <c r="O33" s="34">
        <v>88435</v>
      </c>
      <c r="P33" s="34">
        <v>89691</v>
      </c>
      <c r="Q33" s="34">
        <v>90503</v>
      </c>
      <c r="R33" s="35">
        <v>94600</v>
      </c>
      <c r="S33" s="36"/>
      <c r="T33" s="37"/>
      <c r="U33" s="38"/>
    </row>
    <row r="34" spans="2:21" s="4" customFormat="1" ht="22.5" customHeight="1" x14ac:dyDescent="0.3">
      <c r="D34" s="32" t="s">
        <v>48</v>
      </c>
      <c r="E34" s="40" t="s">
        <v>27</v>
      </c>
      <c r="F34" s="34">
        <v>85000</v>
      </c>
      <c r="G34" s="34">
        <v>85000</v>
      </c>
      <c r="H34" s="34">
        <v>88000</v>
      </c>
      <c r="I34" s="34">
        <v>86000</v>
      </c>
      <c r="J34" s="34">
        <v>84000</v>
      </c>
      <c r="K34" s="34">
        <v>84000</v>
      </c>
      <c r="L34" s="34">
        <v>86000</v>
      </c>
      <c r="M34" s="34">
        <v>86000</v>
      </c>
      <c r="N34" s="34">
        <v>88000</v>
      </c>
      <c r="O34" s="34">
        <v>90000</v>
      </c>
      <c r="P34" s="34">
        <v>93000</v>
      </c>
      <c r="Q34" s="34">
        <v>94000</v>
      </c>
      <c r="R34" s="35">
        <v>94000</v>
      </c>
      <c r="S34" s="70"/>
      <c r="T34" s="71"/>
      <c r="U34" s="72"/>
    </row>
    <row r="35" spans="2:21" s="4" customFormat="1" ht="22.5" customHeight="1" x14ac:dyDescent="0.3">
      <c r="D35" s="32" t="s">
        <v>47</v>
      </c>
      <c r="E35" s="40" t="s">
        <v>27</v>
      </c>
      <c r="F35" s="34"/>
      <c r="G35" s="34">
        <v>80600</v>
      </c>
      <c r="H35" s="34">
        <v>80600</v>
      </c>
      <c r="I35" s="34">
        <v>81997</v>
      </c>
      <c r="J35" s="34">
        <v>81901</v>
      </c>
      <c r="K35" s="34">
        <v>81901</v>
      </c>
      <c r="L35" s="34">
        <v>83704</v>
      </c>
      <c r="M35" s="34">
        <v>83704</v>
      </c>
      <c r="N35" s="34">
        <v>88692</v>
      </c>
      <c r="O35" s="34">
        <v>88435</v>
      </c>
      <c r="P35" s="34">
        <v>89691</v>
      </c>
      <c r="Q35" s="34">
        <v>90503</v>
      </c>
      <c r="R35" s="35">
        <v>94600</v>
      </c>
      <c r="S35" s="70"/>
      <c r="T35" s="71"/>
      <c r="U35" s="72"/>
    </row>
    <row r="36" spans="2:21" s="4" customFormat="1" ht="22.5" customHeight="1" x14ac:dyDescent="0.3">
      <c r="D36" s="32" t="s">
        <v>50</v>
      </c>
      <c r="E36" s="40" t="s">
        <v>27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5">
        <v>84000</v>
      </c>
      <c r="S36" s="70"/>
      <c r="T36" s="71"/>
      <c r="U36" s="72"/>
    </row>
    <row r="37" spans="2:21" ht="19.5" customHeight="1" x14ac:dyDescent="0.3">
      <c r="D37" s="24"/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4"/>
      <c r="P37" s="24"/>
      <c r="Q37" s="27"/>
      <c r="R37" s="27"/>
      <c r="S37" s="28"/>
      <c r="T37" s="28"/>
    </row>
    <row r="38" spans="2:21" s="4" customFormat="1" ht="19.5" customHeight="1" x14ac:dyDescent="0.3">
      <c r="B38" s="4">
        <v>3</v>
      </c>
      <c r="D38" s="20" t="s">
        <v>51</v>
      </c>
      <c r="E38" s="29"/>
      <c r="F38" s="26"/>
      <c r="G38" s="26"/>
      <c r="H38" s="26"/>
      <c r="I38" s="26"/>
      <c r="J38" s="26"/>
      <c r="K38" s="26"/>
      <c r="L38" s="26"/>
      <c r="M38" s="26"/>
      <c r="N38" s="26"/>
      <c r="O38" s="29"/>
      <c r="S38" s="41">
        <v>25000</v>
      </c>
      <c r="T38" s="41"/>
      <c r="U38" s="30"/>
    </row>
    <row r="39" spans="2:21" s="4" customFormat="1" ht="22.5" customHeight="1" x14ac:dyDescent="0.3">
      <c r="D39" s="31" t="s">
        <v>40</v>
      </c>
      <c r="E39" s="31" t="s">
        <v>1</v>
      </c>
      <c r="F39" s="6" t="s">
        <v>2</v>
      </c>
      <c r="G39" s="6" t="s">
        <v>3</v>
      </c>
      <c r="H39" s="6" t="s">
        <v>4</v>
      </c>
      <c r="I39" s="6" t="s">
        <v>5</v>
      </c>
      <c r="J39" s="6" t="s">
        <v>41</v>
      </c>
      <c r="K39" s="6" t="s">
        <v>7</v>
      </c>
      <c r="L39" s="6" t="s">
        <v>8</v>
      </c>
      <c r="M39" s="6" t="s">
        <v>9</v>
      </c>
      <c r="N39" s="6" t="s">
        <v>42</v>
      </c>
      <c r="O39" s="6" t="s">
        <v>11</v>
      </c>
      <c r="P39" s="6" t="s">
        <v>12</v>
      </c>
      <c r="Q39" s="6" t="s">
        <v>13</v>
      </c>
      <c r="R39" s="6" t="s">
        <v>14</v>
      </c>
      <c r="S39" s="73" t="s">
        <v>37</v>
      </c>
      <c r="T39" s="74"/>
      <c r="U39" s="75"/>
    </row>
    <row r="40" spans="2:21" s="4" customFormat="1" ht="22.5" customHeight="1" x14ac:dyDescent="0.3">
      <c r="D40" s="32" t="s">
        <v>43</v>
      </c>
      <c r="E40" s="33" t="s">
        <v>44</v>
      </c>
      <c r="F40" s="42">
        <f>F28/$S$38</f>
        <v>0</v>
      </c>
      <c r="G40" s="42">
        <f>G28/$S$38</f>
        <v>0</v>
      </c>
      <c r="H40" s="42">
        <f t="shared" ref="H40" si="6">H28/$S$38</f>
        <v>0</v>
      </c>
      <c r="I40" s="42">
        <f>I28/25500</f>
        <v>0</v>
      </c>
      <c r="J40" s="42">
        <f>J28/25500</f>
        <v>0</v>
      </c>
      <c r="K40" s="42">
        <f t="shared" ref="K40:M40" si="7">K28/25500</f>
        <v>0</v>
      </c>
      <c r="L40" s="42">
        <f t="shared" si="7"/>
        <v>0</v>
      </c>
      <c r="M40" s="42">
        <f t="shared" si="7"/>
        <v>0</v>
      </c>
      <c r="N40" s="42">
        <f>N28/26000</f>
        <v>0</v>
      </c>
      <c r="O40" s="42">
        <f>O28/26000</f>
        <v>0</v>
      </c>
      <c r="P40" s="42">
        <f>P28/26000</f>
        <v>0</v>
      </c>
      <c r="Q40" s="42">
        <f>Q28/26000</f>
        <v>0</v>
      </c>
      <c r="R40" s="42">
        <f>R28/26000</f>
        <v>0</v>
      </c>
      <c r="S40" s="67"/>
      <c r="T40" s="68"/>
      <c r="U40" s="69"/>
    </row>
    <row r="41" spans="2:21" s="4" customFormat="1" ht="22.5" customHeight="1" x14ac:dyDescent="0.3">
      <c r="D41" s="32" t="s">
        <v>45</v>
      </c>
      <c r="E41" s="33" t="s">
        <v>44</v>
      </c>
      <c r="F41" s="42">
        <f t="shared" ref="F41:H48" si="8">F29/$S$38</f>
        <v>2.88</v>
      </c>
      <c r="G41" s="42">
        <f t="shared" si="8"/>
        <v>2.88</v>
      </c>
      <c r="H41" s="42">
        <f t="shared" si="8"/>
        <v>2.96</v>
      </c>
      <c r="I41" s="42">
        <f t="shared" ref="I41:M48" si="9">I29/25500</f>
        <v>2.8235294117647061</v>
      </c>
      <c r="J41" s="42">
        <f t="shared" si="9"/>
        <v>2.7450980392156863</v>
      </c>
      <c r="K41" s="42">
        <f t="shared" si="9"/>
        <v>2.7058823529411766</v>
      </c>
      <c r="L41" s="42">
        <f t="shared" si="9"/>
        <v>2.784313725490196</v>
      </c>
      <c r="M41" s="42">
        <f t="shared" si="9"/>
        <v>2.784313725490196</v>
      </c>
      <c r="N41" s="42">
        <f t="shared" ref="N41:R48" si="10">N29/26000</f>
        <v>2.7692307692307692</v>
      </c>
      <c r="O41" s="42">
        <f t="shared" si="10"/>
        <v>2.8076923076923075</v>
      </c>
      <c r="P41" s="42">
        <f t="shared" si="10"/>
        <v>2.9230769230769229</v>
      </c>
      <c r="Q41" s="42">
        <f t="shared" si="10"/>
        <v>2.9230769230769229</v>
      </c>
      <c r="R41" s="42">
        <f t="shared" si="10"/>
        <v>2.9230769230769229</v>
      </c>
      <c r="S41" s="67"/>
      <c r="T41" s="68"/>
      <c r="U41" s="69"/>
    </row>
    <row r="42" spans="2:21" s="4" customFormat="1" ht="22.5" customHeight="1" x14ac:dyDescent="0.3">
      <c r="D42" s="32" t="s">
        <v>46</v>
      </c>
      <c r="E42" s="33" t="s">
        <v>44</v>
      </c>
      <c r="F42" s="42">
        <f t="shared" si="8"/>
        <v>2.6680000000000001</v>
      </c>
      <c r="G42" s="42">
        <f t="shared" si="8"/>
        <v>2.7040000000000002</v>
      </c>
      <c r="H42" s="42">
        <f t="shared" si="8"/>
        <v>2.8</v>
      </c>
      <c r="I42" s="42">
        <f t="shared" si="9"/>
        <v>2.7372549019607844</v>
      </c>
      <c r="J42" s="42">
        <f t="shared" si="9"/>
        <v>2.6862745098039214</v>
      </c>
      <c r="K42" s="42">
        <f t="shared" si="9"/>
        <v>2.6862745098039214</v>
      </c>
      <c r="L42" s="42">
        <f t="shared" si="9"/>
        <v>2.6901960784313728</v>
      </c>
      <c r="M42" s="42">
        <f t="shared" si="9"/>
        <v>2.7215686274509805</v>
      </c>
      <c r="N42" s="42">
        <f t="shared" si="10"/>
        <v>2.6692307692307691</v>
      </c>
      <c r="O42" s="42">
        <f t="shared" si="10"/>
        <v>2.7538461538461538</v>
      </c>
      <c r="P42" s="42">
        <f t="shared" si="10"/>
        <v>2.7923076923076922</v>
      </c>
      <c r="Q42" s="42">
        <f t="shared" si="10"/>
        <v>2.8423076923076924</v>
      </c>
      <c r="R42" s="42">
        <f t="shared" si="10"/>
        <v>2.8846153846153846</v>
      </c>
      <c r="S42" s="67"/>
      <c r="T42" s="68"/>
      <c r="U42" s="69"/>
    </row>
    <row r="43" spans="2:21" s="4" customFormat="1" ht="22.5" customHeight="1" x14ac:dyDescent="0.3">
      <c r="D43" s="32" t="s">
        <v>47</v>
      </c>
      <c r="E43" s="33" t="s">
        <v>44</v>
      </c>
      <c r="F43" s="42">
        <f t="shared" si="8"/>
        <v>0</v>
      </c>
      <c r="G43" s="42">
        <f t="shared" si="8"/>
        <v>2.6312000000000002</v>
      </c>
      <c r="H43" s="42">
        <f t="shared" si="8"/>
        <v>2.6728000000000001</v>
      </c>
      <c r="I43" s="42">
        <f t="shared" si="9"/>
        <v>0</v>
      </c>
      <c r="J43" s="42">
        <f t="shared" si="9"/>
        <v>0</v>
      </c>
      <c r="K43" s="42">
        <f t="shared" si="9"/>
        <v>3.2118039215686274</v>
      </c>
      <c r="L43" s="42">
        <f t="shared" si="9"/>
        <v>3.2825098039215685</v>
      </c>
      <c r="M43" s="42">
        <f t="shared" si="9"/>
        <v>0</v>
      </c>
      <c r="N43" s="42">
        <f t="shared" si="10"/>
        <v>0</v>
      </c>
      <c r="O43" s="42">
        <f t="shared" si="10"/>
        <v>0</v>
      </c>
      <c r="P43" s="42">
        <f t="shared" si="10"/>
        <v>0</v>
      </c>
      <c r="Q43" s="42">
        <f t="shared" si="10"/>
        <v>0</v>
      </c>
      <c r="R43" s="42">
        <f t="shared" si="10"/>
        <v>0</v>
      </c>
      <c r="S43" s="67"/>
      <c r="T43" s="68"/>
      <c r="U43" s="69"/>
    </row>
    <row r="44" spans="2:21" s="4" customFormat="1" ht="22.5" customHeight="1" x14ac:dyDescent="0.3">
      <c r="D44" s="32" t="s">
        <v>48</v>
      </c>
      <c r="E44" s="39" t="s">
        <v>49</v>
      </c>
      <c r="F44" s="42">
        <f t="shared" si="8"/>
        <v>3.44</v>
      </c>
      <c r="G44" s="42">
        <f t="shared" si="8"/>
        <v>3.44</v>
      </c>
      <c r="H44" s="42">
        <f t="shared" si="8"/>
        <v>3.56</v>
      </c>
      <c r="I44" s="42">
        <f t="shared" si="9"/>
        <v>3.4117647058823528</v>
      </c>
      <c r="J44" s="42">
        <f t="shared" si="9"/>
        <v>3.3333333333333335</v>
      </c>
      <c r="K44" s="42">
        <f t="shared" si="9"/>
        <v>3.3333333333333335</v>
      </c>
      <c r="L44" s="42">
        <f t="shared" si="9"/>
        <v>3.4117647058823528</v>
      </c>
      <c r="M44" s="42">
        <f t="shared" si="9"/>
        <v>3.4117647058823528</v>
      </c>
      <c r="N44" s="42">
        <f t="shared" si="10"/>
        <v>3.4230769230769229</v>
      </c>
      <c r="O44" s="42">
        <f t="shared" si="10"/>
        <v>3.5</v>
      </c>
      <c r="P44" s="42">
        <f t="shared" si="10"/>
        <v>3.6153846153846154</v>
      </c>
      <c r="Q44" s="42">
        <f t="shared" si="10"/>
        <v>3.6538461538461537</v>
      </c>
      <c r="R44" s="42">
        <f t="shared" si="10"/>
        <v>3.6538461538461537</v>
      </c>
      <c r="S44" s="67"/>
      <c r="T44" s="68"/>
      <c r="U44" s="69"/>
    </row>
    <row r="45" spans="2:21" s="4" customFormat="1" ht="22.5" customHeight="1" x14ac:dyDescent="0.3">
      <c r="D45" s="32" t="s">
        <v>47</v>
      </c>
      <c r="E45" s="39" t="s">
        <v>49</v>
      </c>
      <c r="F45" s="42">
        <f t="shared" si="8"/>
        <v>0</v>
      </c>
      <c r="G45" s="42">
        <f t="shared" si="8"/>
        <v>3.2240000000000002</v>
      </c>
      <c r="H45" s="42">
        <f t="shared" si="8"/>
        <v>3.2240000000000002</v>
      </c>
      <c r="I45" s="42">
        <f t="shared" si="9"/>
        <v>3.2155686274509803</v>
      </c>
      <c r="J45" s="42">
        <f t="shared" si="9"/>
        <v>3.2118039215686274</v>
      </c>
      <c r="K45" s="42">
        <f t="shared" si="9"/>
        <v>3.2118039215686274</v>
      </c>
      <c r="L45" s="42">
        <f t="shared" si="9"/>
        <v>3.2825098039215685</v>
      </c>
      <c r="M45" s="42">
        <f t="shared" si="9"/>
        <v>3.2825098039215685</v>
      </c>
      <c r="N45" s="42">
        <f t="shared" si="10"/>
        <v>3.4112307692307691</v>
      </c>
      <c r="O45" s="42">
        <f t="shared" si="10"/>
        <v>3.4013461538461538</v>
      </c>
      <c r="P45" s="42">
        <f t="shared" si="10"/>
        <v>3.4496538461538462</v>
      </c>
      <c r="Q45" s="42">
        <f t="shared" si="10"/>
        <v>3.4808846153846154</v>
      </c>
      <c r="R45" s="42">
        <f t="shared" si="10"/>
        <v>3.6384615384615384</v>
      </c>
      <c r="S45" s="43"/>
      <c r="T45" s="44"/>
      <c r="U45" s="45"/>
    </row>
    <row r="46" spans="2:21" s="4" customFormat="1" ht="22.5" customHeight="1" x14ac:dyDescent="0.3">
      <c r="D46" s="32" t="s">
        <v>48</v>
      </c>
      <c r="E46" s="40" t="s">
        <v>27</v>
      </c>
      <c r="F46" s="42">
        <f t="shared" si="8"/>
        <v>3.4</v>
      </c>
      <c r="G46" s="42">
        <f t="shared" si="8"/>
        <v>3.4</v>
      </c>
      <c r="H46" s="42">
        <f t="shared" si="8"/>
        <v>3.52</v>
      </c>
      <c r="I46" s="42">
        <f t="shared" si="9"/>
        <v>3.3725490196078431</v>
      </c>
      <c r="J46" s="42">
        <f t="shared" si="9"/>
        <v>3.2941176470588234</v>
      </c>
      <c r="K46" s="42">
        <f t="shared" si="9"/>
        <v>3.2941176470588234</v>
      </c>
      <c r="L46" s="42">
        <f t="shared" si="9"/>
        <v>3.3725490196078431</v>
      </c>
      <c r="M46" s="42">
        <f t="shared" si="9"/>
        <v>3.3725490196078431</v>
      </c>
      <c r="N46" s="42">
        <f t="shared" si="10"/>
        <v>3.3846153846153846</v>
      </c>
      <c r="O46" s="42">
        <f t="shared" si="10"/>
        <v>3.4615384615384617</v>
      </c>
      <c r="P46" s="42">
        <f t="shared" si="10"/>
        <v>3.5769230769230771</v>
      </c>
      <c r="Q46" s="42">
        <f t="shared" si="10"/>
        <v>3.6153846153846154</v>
      </c>
      <c r="R46" s="42">
        <f t="shared" si="10"/>
        <v>3.6153846153846154</v>
      </c>
      <c r="S46" s="67"/>
      <c r="T46" s="68"/>
      <c r="U46" s="69"/>
    </row>
    <row r="47" spans="2:21" s="4" customFormat="1" ht="22.5" customHeight="1" x14ac:dyDescent="0.3">
      <c r="D47" s="32" t="s">
        <v>47</v>
      </c>
      <c r="E47" s="40" t="s">
        <v>27</v>
      </c>
      <c r="F47" s="42">
        <f t="shared" si="8"/>
        <v>0</v>
      </c>
      <c r="G47" s="42">
        <f t="shared" si="8"/>
        <v>3.2240000000000002</v>
      </c>
      <c r="H47" s="42">
        <f t="shared" si="8"/>
        <v>3.2240000000000002</v>
      </c>
      <c r="I47" s="42">
        <f t="shared" si="9"/>
        <v>3.2155686274509803</v>
      </c>
      <c r="J47" s="42">
        <f t="shared" si="9"/>
        <v>3.2118039215686274</v>
      </c>
      <c r="K47" s="42">
        <f t="shared" si="9"/>
        <v>3.2118039215686274</v>
      </c>
      <c r="L47" s="42">
        <f t="shared" si="9"/>
        <v>3.2825098039215685</v>
      </c>
      <c r="M47" s="42">
        <f t="shared" si="9"/>
        <v>3.2825098039215685</v>
      </c>
      <c r="N47" s="42">
        <f t="shared" si="10"/>
        <v>3.4112307692307691</v>
      </c>
      <c r="O47" s="42">
        <f t="shared" si="10"/>
        <v>3.4013461538461538</v>
      </c>
      <c r="P47" s="42">
        <f t="shared" si="10"/>
        <v>3.4496538461538462</v>
      </c>
      <c r="Q47" s="42">
        <f t="shared" si="10"/>
        <v>3.4808846153846154</v>
      </c>
      <c r="R47" s="42">
        <f t="shared" si="10"/>
        <v>3.6384615384615384</v>
      </c>
      <c r="S47" s="67"/>
      <c r="T47" s="68"/>
      <c r="U47" s="69"/>
    </row>
    <row r="48" spans="2:21" s="4" customFormat="1" ht="22.5" customHeight="1" x14ac:dyDescent="0.3">
      <c r="D48" s="32" t="s">
        <v>50</v>
      </c>
      <c r="E48" s="40" t="s">
        <v>27</v>
      </c>
      <c r="F48" s="42">
        <f t="shared" si="8"/>
        <v>0</v>
      </c>
      <c r="G48" s="42">
        <f t="shared" si="8"/>
        <v>0</v>
      </c>
      <c r="H48" s="42">
        <f t="shared" si="8"/>
        <v>0</v>
      </c>
      <c r="I48" s="42">
        <f t="shared" si="9"/>
        <v>0</v>
      </c>
      <c r="J48" s="42">
        <f t="shared" si="9"/>
        <v>0</v>
      </c>
      <c r="K48" s="42">
        <f t="shared" si="9"/>
        <v>0</v>
      </c>
      <c r="L48" s="42">
        <f t="shared" si="9"/>
        <v>0</v>
      </c>
      <c r="M48" s="42">
        <f t="shared" si="9"/>
        <v>0</v>
      </c>
      <c r="N48" s="42">
        <f t="shared" si="10"/>
        <v>0</v>
      </c>
      <c r="O48" s="42">
        <f t="shared" si="10"/>
        <v>0</v>
      </c>
      <c r="P48" s="42">
        <f t="shared" si="10"/>
        <v>0</v>
      </c>
      <c r="Q48" s="42">
        <f t="shared" si="10"/>
        <v>0</v>
      </c>
      <c r="R48" s="42">
        <f t="shared" si="10"/>
        <v>3.2307692307692308</v>
      </c>
      <c r="S48" s="67"/>
      <c r="T48" s="68"/>
      <c r="U48" s="69"/>
    </row>
    <row r="49" spans="2:21" s="4" customFormat="1" ht="22.5" customHeight="1" x14ac:dyDescent="0.3">
      <c r="D49" s="46"/>
      <c r="E49" s="4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49"/>
      <c r="U49" s="49"/>
    </row>
    <row r="50" spans="2:21" s="4" customFormat="1" ht="19.5" customHeight="1" x14ac:dyDescent="0.3">
      <c r="D50" s="5" t="s">
        <v>52</v>
      </c>
      <c r="E50" s="50" t="s">
        <v>53</v>
      </c>
      <c r="F50" s="26"/>
      <c r="G50" s="26"/>
      <c r="H50" s="26"/>
      <c r="I50" s="26"/>
      <c r="J50" s="26"/>
      <c r="K50" s="26"/>
      <c r="L50" s="26"/>
      <c r="M50" s="26"/>
      <c r="N50" s="26"/>
      <c r="O50" s="29"/>
      <c r="P50" s="29"/>
      <c r="S50" s="5"/>
      <c r="T50" s="5"/>
      <c r="U50" s="30"/>
    </row>
    <row r="51" spans="2:21" s="4" customFormat="1" ht="19.5" customHeight="1" x14ac:dyDescent="0.3">
      <c r="D51" s="20"/>
      <c r="E51" s="2" t="s">
        <v>54</v>
      </c>
      <c r="F51" s="26"/>
      <c r="G51" s="26"/>
      <c r="H51" s="26"/>
      <c r="I51" s="26"/>
      <c r="J51" s="26"/>
      <c r="K51" s="26"/>
      <c r="L51" s="26"/>
      <c r="M51" s="26"/>
      <c r="N51" s="26"/>
      <c r="O51" s="29"/>
      <c r="P51" s="29"/>
      <c r="S51" s="5"/>
      <c r="T51" s="5"/>
      <c r="U51" s="30"/>
    </row>
    <row r="52" spans="2:21" s="4" customFormat="1" ht="27.75" hidden="1" customHeight="1" x14ac:dyDescent="0.3">
      <c r="B52" s="4">
        <v>4</v>
      </c>
      <c r="D52" s="20" t="s">
        <v>55</v>
      </c>
      <c r="E52" s="29"/>
      <c r="F52" s="26"/>
      <c r="G52" s="26"/>
      <c r="H52" s="26"/>
      <c r="I52" s="26"/>
      <c r="J52" s="26"/>
      <c r="K52" s="26"/>
      <c r="L52" s="26"/>
      <c r="M52" s="26"/>
      <c r="N52" s="26"/>
      <c r="O52" s="29"/>
      <c r="P52" s="29"/>
      <c r="S52" s="5"/>
      <c r="T52" s="5"/>
      <c r="U52" s="30"/>
    </row>
    <row r="53" spans="2:21" s="4" customFormat="1" ht="19.5" hidden="1" customHeight="1" x14ac:dyDescent="0.3">
      <c r="D53" s="31" t="s">
        <v>40</v>
      </c>
      <c r="E53" s="31" t="s">
        <v>1</v>
      </c>
      <c r="F53" s="6" t="s">
        <v>2</v>
      </c>
      <c r="G53" s="6" t="s">
        <v>3</v>
      </c>
      <c r="H53" s="6" t="s">
        <v>4</v>
      </c>
      <c r="I53" s="6" t="s">
        <v>5</v>
      </c>
      <c r="J53" s="6" t="s">
        <v>41</v>
      </c>
      <c r="K53" s="6" t="s">
        <v>7</v>
      </c>
      <c r="L53" s="6" t="s">
        <v>8</v>
      </c>
      <c r="M53" s="6" t="s">
        <v>9</v>
      </c>
      <c r="N53" s="6" t="s">
        <v>42</v>
      </c>
      <c r="O53" s="51" t="s">
        <v>11</v>
      </c>
      <c r="P53" s="51"/>
      <c r="Q53" s="51"/>
      <c r="R53" s="51"/>
      <c r="S53" s="21" t="s">
        <v>37</v>
      </c>
      <c r="T53" s="52"/>
      <c r="U53" s="30"/>
    </row>
    <row r="54" spans="2:21" s="4" customFormat="1" ht="19.5" hidden="1" customHeight="1" x14ac:dyDescent="0.3">
      <c r="D54" s="32" t="s">
        <v>43</v>
      </c>
      <c r="E54" s="53" t="s">
        <v>21</v>
      </c>
      <c r="F54" s="10"/>
      <c r="G54" s="10"/>
      <c r="H54" s="10"/>
      <c r="I54" s="10">
        <v>5000</v>
      </c>
      <c r="J54" s="10">
        <v>5000</v>
      </c>
      <c r="K54" s="10"/>
      <c r="L54" s="10"/>
      <c r="M54" s="10"/>
      <c r="N54" s="10"/>
      <c r="O54" s="54"/>
      <c r="P54" s="55"/>
      <c r="Q54" s="56"/>
      <c r="R54" s="56"/>
      <c r="S54" s="57"/>
      <c r="T54" s="1"/>
      <c r="U54" s="30"/>
    </row>
    <row r="55" spans="2:21" s="4" customFormat="1" ht="19.5" hidden="1" customHeight="1" x14ac:dyDescent="0.3">
      <c r="D55" s="58" t="s">
        <v>45</v>
      </c>
      <c r="E55" s="53" t="s">
        <v>21</v>
      </c>
      <c r="F55" s="10"/>
      <c r="G55" s="10"/>
      <c r="H55" s="10"/>
      <c r="I55" s="10"/>
      <c r="J55" s="10">
        <v>8000</v>
      </c>
      <c r="K55" s="10">
        <v>8000</v>
      </c>
      <c r="L55" s="10">
        <v>8000</v>
      </c>
      <c r="M55" s="10">
        <v>8000</v>
      </c>
      <c r="N55" s="10"/>
      <c r="O55" s="54"/>
      <c r="P55" s="55"/>
      <c r="Q55" s="56"/>
      <c r="R55" s="56"/>
      <c r="S55" s="57"/>
      <c r="T55" s="1"/>
      <c r="U55" s="30"/>
    </row>
    <row r="56" spans="2:21" s="4" customFormat="1" ht="19.5" hidden="1" customHeight="1" x14ac:dyDescent="0.3">
      <c r="D56" s="58" t="s">
        <v>56</v>
      </c>
      <c r="E56" s="53" t="s">
        <v>21</v>
      </c>
      <c r="F56" s="10"/>
      <c r="G56" s="10"/>
      <c r="H56" s="10"/>
      <c r="I56" s="10"/>
      <c r="J56" s="10"/>
      <c r="K56" s="10"/>
      <c r="L56" s="10">
        <v>6700</v>
      </c>
      <c r="M56" s="10">
        <v>6700</v>
      </c>
      <c r="N56" s="10">
        <v>6700</v>
      </c>
      <c r="O56" s="54"/>
      <c r="P56" s="55"/>
      <c r="Q56" s="56"/>
      <c r="R56" s="56"/>
      <c r="S56" s="59"/>
      <c r="T56" s="28"/>
      <c r="U56" s="30"/>
    </row>
    <row r="57" spans="2:21" s="4" customFormat="1" ht="19.5" hidden="1" customHeight="1" x14ac:dyDescent="0.3">
      <c r="D57" s="58" t="s">
        <v>50</v>
      </c>
      <c r="E57" s="53" t="s">
        <v>21</v>
      </c>
      <c r="F57" s="10">
        <v>5500</v>
      </c>
      <c r="G57" s="10">
        <v>5500</v>
      </c>
      <c r="H57" s="10">
        <v>5500</v>
      </c>
      <c r="I57" s="10">
        <v>5500</v>
      </c>
      <c r="J57" s="10">
        <v>5500</v>
      </c>
      <c r="K57" s="10"/>
      <c r="L57" s="10">
        <v>5500</v>
      </c>
      <c r="M57" s="10">
        <v>5500</v>
      </c>
      <c r="N57" s="10">
        <v>5500</v>
      </c>
      <c r="O57" s="54"/>
      <c r="P57" s="55"/>
      <c r="Q57" s="56"/>
      <c r="R57" s="56"/>
      <c r="S57" s="59"/>
      <c r="T57" s="28"/>
      <c r="U57" s="30"/>
    </row>
    <row r="58" spans="2:21" s="4" customFormat="1" ht="19.5" hidden="1" customHeight="1" x14ac:dyDescent="0.3">
      <c r="D58" s="58" t="s">
        <v>57</v>
      </c>
      <c r="E58" s="60" t="s">
        <v>26</v>
      </c>
      <c r="F58" s="10">
        <v>6500</v>
      </c>
      <c r="G58" s="10">
        <v>6500</v>
      </c>
      <c r="H58" s="10">
        <v>6500</v>
      </c>
      <c r="I58" s="10">
        <v>6500</v>
      </c>
      <c r="J58" s="10">
        <v>6500</v>
      </c>
      <c r="K58" s="10">
        <v>6500</v>
      </c>
      <c r="L58" s="10">
        <v>6500</v>
      </c>
      <c r="M58" s="10"/>
      <c r="N58" s="10"/>
      <c r="O58" s="54"/>
      <c r="P58" s="55"/>
      <c r="Q58" s="56"/>
      <c r="R58" s="56"/>
      <c r="S58" s="59"/>
      <c r="T58" s="28"/>
      <c r="U58" s="30"/>
    </row>
    <row r="59" spans="2:21" s="4" customFormat="1" ht="19.5" hidden="1" customHeight="1" x14ac:dyDescent="0.3">
      <c r="D59" s="58" t="s">
        <v>48</v>
      </c>
      <c r="E59" s="60" t="s">
        <v>26</v>
      </c>
      <c r="F59" s="10"/>
      <c r="G59" s="10">
        <v>11000</v>
      </c>
      <c r="H59" s="10"/>
      <c r="I59" s="10"/>
      <c r="J59" s="10">
        <v>14000</v>
      </c>
      <c r="K59" s="10">
        <v>12200</v>
      </c>
      <c r="L59" s="10">
        <v>11000</v>
      </c>
      <c r="M59" s="10">
        <v>11428.571428571429</v>
      </c>
      <c r="N59" s="10">
        <v>11000</v>
      </c>
      <c r="O59" s="54"/>
      <c r="P59" s="55"/>
      <c r="Q59" s="56"/>
      <c r="R59" s="56"/>
      <c r="S59" s="57"/>
      <c r="T59" s="1"/>
      <c r="U59" s="30"/>
    </row>
    <row r="60" spans="2:21" s="4" customFormat="1" ht="19.5" hidden="1" customHeight="1" x14ac:dyDescent="0.3">
      <c r="D60" s="58" t="s">
        <v>48</v>
      </c>
      <c r="E60" s="61" t="s">
        <v>30</v>
      </c>
      <c r="F60" s="10">
        <v>8000</v>
      </c>
      <c r="G60" s="10">
        <v>8000</v>
      </c>
      <c r="H60" s="10">
        <v>8000</v>
      </c>
      <c r="I60" s="10"/>
      <c r="J60" s="10"/>
      <c r="K60" s="10">
        <v>8000</v>
      </c>
      <c r="L60" s="10"/>
      <c r="M60" s="10"/>
      <c r="N60" s="10"/>
      <c r="O60" s="54"/>
      <c r="P60" s="55"/>
      <c r="Q60" s="56"/>
      <c r="R60" s="56"/>
      <c r="S60" s="62"/>
      <c r="T60" s="63"/>
      <c r="U60" s="30"/>
    </row>
    <row r="61" spans="2:21" s="4" customFormat="1" ht="19.5" hidden="1" customHeight="1" x14ac:dyDescent="0.3">
      <c r="D61" s="58" t="s">
        <v>58</v>
      </c>
      <c r="E61" s="61" t="s">
        <v>30</v>
      </c>
      <c r="F61" s="10"/>
      <c r="G61" s="10">
        <v>8000</v>
      </c>
      <c r="H61" s="10">
        <v>8000</v>
      </c>
      <c r="I61" s="10">
        <v>8000</v>
      </c>
      <c r="J61" s="10">
        <v>9000</v>
      </c>
      <c r="K61" s="10">
        <v>9000</v>
      </c>
      <c r="L61" s="10">
        <v>9000</v>
      </c>
      <c r="M61" s="10">
        <v>9000</v>
      </c>
      <c r="N61" s="10"/>
      <c r="O61" s="54"/>
      <c r="P61" s="55"/>
      <c r="Q61" s="56"/>
      <c r="R61" s="56"/>
      <c r="S61" s="59"/>
      <c r="T61" s="28"/>
      <c r="U61" s="30"/>
    </row>
    <row r="62" spans="2:21" s="4" customFormat="1" ht="19.5" hidden="1" customHeight="1" x14ac:dyDescent="0.3">
      <c r="D62" s="58" t="s">
        <v>57</v>
      </c>
      <c r="E62" s="61" t="s">
        <v>30</v>
      </c>
      <c r="F62" s="10">
        <v>6500</v>
      </c>
      <c r="G62" s="10"/>
      <c r="H62" s="10">
        <v>6500</v>
      </c>
      <c r="I62" s="10"/>
      <c r="J62" s="10">
        <v>6500</v>
      </c>
      <c r="K62" s="10"/>
      <c r="L62" s="10"/>
      <c r="M62" s="10">
        <v>6500</v>
      </c>
      <c r="N62" s="10"/>
      <c r="O62" s="54"/>
      <c r="P62" s="55"/>
      <c r="Q62" s="56"/>
      <c r="R62" s="56"/>
      <c r="S62" s="59"/>
      <c r="T62" s="28"/>
      <c r="U62" s="30"/>
    </row>
    <row r="63" spans="2:21" s="4" customFormat="1" ht="19.5" hidden="1" customHeight="1" x14ac:dyDescent="0.3">
      <c r="D63" s="58" t="s">
        <v>59</v>
      </c>
      <c r="E63" s="64" t="s">
        <v>60</v>
      </c>
      <c r="F63" s="10"/>
      <c r="G63" s="10"/>
      <c r="H63" s="10"/>
      <c r="I63" s="10"/>
      <c r="J63" s="10"/>
      <c r="K63" s="10"/>
      <c r="L63" s="10"/>
      <c r="M63" s="10">
        <v>16000</v>
      </c>
      <c r="N63" s="10">
        <v>16000</v>
      </c>
      <c r="O63" s="54"/>
      <c r="P63" s="55"/>
      <c r="Q63" s="56"/>
      <c r="R63" s="56"/>
      <c r="S63" s="59"/>
      <c r="T63" s="28"/>
      <c r="U63" s="30"/>
    </row>
    <row r="64" spans="2:21" s="4" customFormat="1" ht="19.5" hidden="1" customHeight="1" x14ac:dyDescent="0.3">
      <c r="D64" s="58" t="s">
        <v>57</v>
      </c>
      <c r="E64" s="64" t="s">
        <v>60</v>
      </c>
      <c r="F64" s="10">
        <v>16000</v>
      </c>
      <c r="G64" s="10">
        <v>16000</v>
      </c>
      <c r="H64" s="10">
        <v>16000</v>
      </c>
      <c r="I64" s="10">
        <v>16000</v>
      </c>
      <c r="J64" s="10">
        <v>16000</v>
      </c>
      <c r="K64" s="10">
        <v>16000</v>
      </c>
      <c r="L64" s="10">
        <v>16000</v>
      </c>
      <c r="M64" s="10">
        <v>16000</v>
      </c>
      <c r="N64" s="10">
        <v>16000</v>
      </c>
      <c r="O64" s="54"/>
      <c r="P64" s="55"/>
      <c r="Q64" s="56"/>
      <c r="R64" s="56"/>
      <c r="S64" s="59"/>
      <c r="T64" s="28"/>
      <c r="U64" s="30"/>
    </row>
    <row r="65" spans="4:21" s="4" customFormat="1" ht="19.5" hidden="1" customHeight="1" x14ac:dyDescent="0.3">
      <c r="D65" s="2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S65" s="5"/>
      <c r="T65" s="5"/>
      <c r="U65" s="30"/>
    </row>
    <row r="66" spans="4:21" ht="19.5" customHeight="1" x14ac:dyDescent="0.3">
      <c r="D66" s="5"/>
      <c r="E66" s="65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</row>
  </sheetData>
  <mergeCells count="48">
    <mergeCell ref="T15:U15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5:E15"/>
    <mergeCell ref="D16:E16"/>
    <mergeCell ref="T16:U16"/>
    <mergeCell ref="D17:E17"/>
    <mergeCell ref="T17:U17"/>
    <mergeCell ref="D18:E18"/>
    <mergeCell ref="T18:U18"/>
    <mergeCell ref="D19:E19"/>
    <mergeCell ref="T19:U19"/>
    <mergeCell ref="D20:E20"/>
    <mergeCell ref="T20:U20"/>
    <mergeCell ref="D21:E21"/>
    <mergeCell ref="T21:U21"/>
    <mergeCell ref="S32:U32"/>
    <mergeCell ref="D22:E22"/>
    <mergeCell ref="T22:U22"/>
    <mergeCell ref="D23:E23"/>
    <mergeCell ref="T23:U23"/>
    <mergeCell ref="D24:E24"/>
    <mergeCell ref="T24:U24"/>
    <mergeCell ref="S27:U27"/>
    <mergeCell ref="S28:U28"/>
    <mergeCell ref="S29:U29"/>
    <mergeCell ref="S30:U30"/>
    <mergeCell ref="S31:U31"/>
    <mergeCell ref="S48:U48"/>
    <mergeCell ref="S34:U34"/>
    <mergeCell ref="S35:U35"/>
    <mergeCell ref="S36:U36"/>
    <mergeCell ref="S39:U39"/>
    <mergeCell ref="S40:U40"/>
    <mergeCell ref="S41:U41"/>
    <mergeCell ref="S42:U42"/>
    <mergeCell ref="S43:U43"/>
    <mergeCell ref="S44:U44"/>
    <mergeCell ref="S46:U46"/>
    <mergeCell ref="S47:U47"/>
  </mergeCells>
  <phoneticPr fontId="4" type="noConversion"/>
  <pageMargins left="0.25" right="0.25" top="0.75" bottom="0.75" header="0.3" footer="0.3"/>
  <pageSetup paperSize="9" scale="3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38E3-0070-416A-8C8B-9F4515404C1E}">
  <sheetPr>
    <tabColor rgb="FFC00000"/>
    <pageSetUpPr fitToPage="1"/>
  </sheetPr>
  <dimension ref="B1:W64"/>
  <sheetViews>
    <sheetView view="pageBreakPreview" zoomScale="75" zoomScaleNormal="75" zoomScaleSheetLayoutView="75" workbookViewId="0">
      <pane xSplit="5" ySplit="3" topLeftCell="F27" activePane="bottomRight" state="frozen"/>
      <selection pane="topRight" activeCell="F1" sqref="F1"/>
      <selection pane="bottomLeft" activeCell="A4" sqref="A4"/>
      <selection pane="bottomRight" activeCell="E49" sqref="E49"/>
    </sheetView>
  </sheetViews>
  <sheetFormatPr defaultColWidth="9" defaultRowHeight="19.5" customHeight="1" x14ac:dyDescent="0.3"/>
  <cols>
    <col min="1" max="1" width="1.625" style="1" customWidth="1"/>
    <col min="2" max="2" width="2.375" style="1" customWidth="1"/>
    <col min="3" max="3" width="1.25" style="1" customWidth="1"/>
    <col min="4" max="4" width="15.75" style="1" customWidth="1"/>
    <col min="5" max="5" width="23.75" style="2" customWidth="1"/>
    <col min="6" max="7" width="10.125" style="2" customWidth="1"/>
    <col min="8" max="8" width="11.875" style="2" customWidth="1"/>
    <col min="9" max="16" width="10.125" style="2" customWidth="1"/>
    <col min="17" max="17" width="10.125" style="1" customWidth="1"/>
    <col min="18" max="18" width="13.125" style="1" customWidth="1"/>
    <col min="19" max="19" width="73.375" style="1" customWidth="1"/>
    <col min="20" max="20" width="75.125" style="3" customWidth="1"/>
    <col min="21" max="16384" width="9" style="1"/>
  </cols>
  <sheetData>
    <row r="1" spans="2:23" ht="3.75" customHeight="1" x14ac:dyDescent="0.3"/>
    <row r="2" spans="2:23" ht="19.5" customHeight="1" x14ac:dyDescent="0.3">
      <c r="B2" s="4">
        <v>1</v>
      </c>
      <c r="C2" s="4"/>
      <c r="D2" s="4" t="s">
        <v>0</v>
      </c>
      <c r="R2" s="5"/>
      <c r="S2" s="5"/>
    </row>
    <row r="3" spans="2:23" s="4" customFormat="1" ht="20.25" customHeight="1" x14ac:dyDescent="0.3">
      <c r="D3" s="82" t="s">
        <v>1</v>
      </c>
      <c r="E3" s="83"/>
      <c r="F3" s="6" t="s">
        <v>2</v>
      </c>
      <c r="G3" s="6" t="s">
        <v>3</v>
      </c>
      <c r="H3" s="6" t="s">
        <v>61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7" t="s">
        <v>15</v>
      </c>
      <c r="S3" s="7" t="s">
        <v>62</v>
      </c>
      <c r="T3" s="8" t="s">
        <v>63</v>
      </c>
    </row>
    <row r="4" spans="2:23" ht="20.25" customHeight="1" x14ac:dyDescent="0.3">
      <c r="C4" s="9">
        <f>R4/$R$12</f>
        <v>0.57868466484652759</v>
      </c>
      <c r="D4" s="91" t="s">
        <v>18</v>
      </c>
      <c r="E4" s="92"/>
      <c r="F4" s="10">
        <f>VLOOKUP(D4,[1]Rawdata_2026!$C$69:$W$83,4,0)</f>
        <v>182112</v>
      </c>
      <c r="G4" s="10">
        <f>VLOOKUP(D4,[1]Rawdata_2026!$C$69:$W$83,6,0)</f>
        <v>78333</v>
      </c>
      <c r="H4" s="10">
        <f>VLOOKUP(D4,[1]Rawdata_2026!$C$69:$W$83,8,0)</f>
        <v>180000</v>
      </c>
      <c r="I4" s="10">
        <f>VLOOKUP(D4,[1]Rawdata_2026!$C$69:$W$83,10,0)</f>
        <v>0</v>
      </c>
      <c r="J4" s="10">
        <f>VLOOKUP(D4,[1]Rawdata_2026!$C$69:$W$83,12,0)</f>
        <v>0</v>
      </c>
      <c r="K4" s="10">
        <f>VLOOKUP(D4,[1]Rawdata_2026!$C$69:$W$83,14,0)</f>
        <v>0</v>
      </c>
      <c r="L4" s="10">
        <f>VLOOKUP(D4,[1]Rawdata_2026!$C$69:$W$83,16,0)</f>
        <v>0</v>
      </c>
      <c r="M4" s="10">
        <f>VLOOKUP(D4,[1]Rawdata_2026!$C$69:$W$83,18,0)</f>
        <v>0</v>
      </c>
      <c r="N4" s="10">
        <f>VLOOKUP(D4,[1]Rawdata_2026!$C$69:$W$83,20,0)</f>
        <v>0</v>
      </c>
      <c r="O4" s="10">
        <f>VLOOKUP(D4,[1]Rawdata_2026!$C$69:$Y$83,22,0)</f>
        <v>0</v>
      </c>
      <c r="P4" s="10">
        <f>VLOOKUP(D4,[1]Rawdata_2026!$C$69:$AC$84,24,0)</f>
        <v>0</v>
      </c>
      <c r="Q4" s="10">
        <f>VLOOKUP(D4,[1]Rawdata_2026!$C$69:$AC$84,26,0)</f>
        <v>0</v>
      </c>
      <c r="R4" s="11">
        <f t="shared" ref="R4:R11" si="0">SUM(F4:P4)</f>
        <v>440445</v>
      </c>
      <c r="S4" s="12" t="s">
        <v>64</v>
      </c>
      <c r="T4" s="12" t="s">
        <v>65</v>
      </c>
    </row>
    <row r="5" spans="2:23" ht="20.25" customHeight="1" x14ac:dyDescent="0.3">
      <c r="C5" s="9">
        <f t="shared" ref="C5:C10" si="1">R5/$R$12</f>
        <v>0</v>
      </c>
      <c r="D5" s="91" t="s">
        <v>21</v>
      </c>
      <c r="E5" s="92"/>
      <c r="F5" s="10">
        <f>VLOOKUP(D5,[1]Rawdata_2026!$C$69:$W$83,4,0)</f>
        <v>0</v>
      </c>
      <c r="G5" s="10">
        <f>VLOOKUP(D5,[1]Rawdata_2026!$C$69:$W$83,6,0)</f>
        <v>0</v>
      </c>
      <c r="H5" s="10">
        <f>VLOOKUP(D5,[1]Rawdata_2026!$C$69:$W$83,8,0)</f>
        <v>0</v>
      </c>
      <c r="I5" s="10">
        <f>VLOOKUP(D5,[1]Rawdata_2026!$C$69:$W$83,10,0)</f>
        <v>0</v>
      </c>
      <c r="J5" s="10">
        <f>VLOOKUP(D5,[1]Rawdata_2026!$C$69:$W$83,12,0)</f>
        <v>0</v>
      </c>
      <c r="K5" s="10">
        <f>VLOOKUP(D5,[1]Rawdata_2026!$C$69:$W$83,14,0)</f>
        <v>0</v>
      </c>
      <c r="L5" s="10">
        <f>VLOOKUP(D5,[1]Rawdata_2026!$C$69:$W$83,16,0)</f>
        <v>0</v>
      </c>
      <c r="M5" s="10">
        <f>VLOOKUP(D5,[1]Rawdata_2026!$C$69:$W$83,18,0)</f>
        <v>0</v>
      </c>
      <c r="N5" s="10">
        <f>VLOOKUP(D5,[1]Rawdata_2026!$C$69:$W$83,20,0)</f>
        <v>0</v>
      </c>
      <c r="O5" s="10">
        <f>VLOOKUP(D5,[1]Rawdata_2026!$C$69:$Y$83,22,0)</f>
        <v>0</v>
      </c>
      <c r="P5" s="10">
        <f>VLOOKUP(D5,[1]Rawdata_2026!$C$69:$AC$84,24,0)</f>
        <v>0</v>
      </c>
      <c r="Q5" s="10">
        <f>VLOOKUP(D5,[1]Rawdata_2026!$C$69:$AC$84,26,0)</f>
        <v>0</v>
      </c>
      <c r="R5" s="11">
        <f t="shared" si="0"/>
        <v>0</v>
      </c>
      <c r="S5" s="12" t="s">
        <v>22</v>
      </c>
      <c r="T5" s="12" t="s">
        <v>22</v>
      </c>
    </row>
    <row r="6" spans="2:23" ht="20.25" customHeight="1" x14ac:dyDescent="0.3">
      <c r="C6" s="9">
        <f t="shared" si="1"/>
        <v>0.12095954088349446</v>
      </c>
      <c r="D6" s="86" t="s">
        <v>23</v>
      </c>
      <c r="E6" s="93"/>
      <c r="F6" s="10">
        <f>VLOOKUP(D6,[1]Rawdata_2026!$C$69:$W$83,4,0)</f>
        <v>33598</v>
      </c>
      <c r="G6" s="10">
        <f>VLOOKUP(D6,[1]Rawdata_2026!$C$69:$W$83,6,0)</f>
        <v>16466</v>
      </c>
      <c r="H6" s="10">
        <f>VLOOKUP(D6,[1]Rawdata_2026!$C$69:$W$83,8,0)</f>
        <v>42000</v>
      </c>
      <c r="I6" s="10">
        <f>VLOOKUP(D6,[1]Rawdata_2026!$C$69:$W$83,10,0)</f>
        <v>0</v>
      </c>
      <c r="J6" s="10">
        <f>VLOOKUP(D6,[1]Rawdata_2026!$C$69:$W$83,12,0)</f>
        <v>0</v>
      </c>
      <c r="K6" s="10">
        <f>VLOOKUP(D6,[1]Rawdata_2026!$C$69:$W$83,14,0)</f>
        <v>0</v>
      </c>
      <c r="L6" s="10">
        <f>VLOOKUP(D6,[1]Rawdata_2026!$C$69:$W$83,16,0)</f>
        <v>0</v>
      </c>
      <c r="M6" s="10">
        <f>VLOOKUP(D6,[1]Rawdata_2026!$C$69:$W$83,18,0)</f>
        <v>0</v>
      </c>
      <c r="N6" s="10">
        <f>VLOOKUP(D6,[1]Rawdata_2026!$C$69:$W$83,20,0)</f>
        <v>0</v>
      </c>
      <c r="O6" s="10">
        <f>VLOOKUP(D6,[1]Rawdata_2026!$C$69:$Y$83,22,0)</f>
        <v>0</v>
      </c>
      <c r="P6" s="10">
        <f>VLOOKUP(D6,[1]Rawdata_2026!$C$69:$AC$84,24,0)</f>
        <v>0</v>
      </c>
      <c r="Q6" s="10">
        <f>VLOOKUP(D6,[1]Rawdata_2026!$C$69:$AC$84,26,0)</f>
        <v>0</v>
      </c>
      <c r="R6" s="11">
        <f t="shared" si="0"/>
        <v>92064</v>
      </c>
      <c r="S6" s="12" t="s">
        <v>66</v>
      </c>
      <c r="T6" s="12" t="s">
        <v>67</v>
      </c>
    </row>
    <row r="7" spans="2:23" ht="20.25" customHeight="1" x14ac:dyDescent="0.3">
      <c r="C7" s="9">
        <f t="shared" si="1"/>
        <v>0</v>
      </c>
      <c r="D7" s="86" t="s">
        <v>26</v>
      </c>
      <c r="E7" s="93"/>
      <c r="F7" s="10">
        <f>VLOOKUP(D7,[1]Rawdata_2026!$C$69:$W$83,4,0)</f>
        <v>0</v>
      </c>
      <c r="G7" s="10">
        <f>VLOOKUP(D7,[1]Rawdata_2026!$C$69:$W$83,6,0)</f>
        <v>0</v>
      </c>
      <c r="H7" s="10">
        <f>VLOOKUP(D7,[1]Rawdata_2026!$C$69:$W$83,8,0)</f>
        <v>0</v>
      </c>
      <c r="I7" s="10">
        <f>VLOOKUP(D7,[1]Rawdata_2026!$C$69:$W$83,10,0)</f>
        <v>0</v>
      </c>
      <c r="J7" s="10">
        <f>VLOOKUP(D7,[1]Rawdata_2026!$C$69:$W$83,12,0)</f>
        <v>0</v>
      </c>
      <c r="K7" s="10">
        <f>VLOOKUP(D7,[1]Rawdata_2026!$C$69:$AC$83,14,0)</f>
        <v>0</v>
      </c>
      <c r="L7" s="10">
        <f>VLOOKUP(D7,[1]Rawdata_2026!$C$69:$W$83,16,0)</f>
        <v>0</v>
      </c>
      <c r="M7" s="10">
        <f>VLOOKUP(D7,[1]Rawdata_2026!$C$69:$W$83,18,0)</f>
        <v>0</v>
      </c>
      <c r="N7" s="10">
        <f>VLOOKUP(D7,[1]Rawdata_2026!$C$69:$W$83,20,0)</f>
        <v>0</v>
      </c>
      <c r="O7" s="10">
        <f>VLOOKUP(D7,[1]Rawdata_2026!$C$69:$Y$83,22,0)</f>
        <v>0</v>
      </c>
      <c r="P7" s="10">
        <f>VLOOKUP(D7,[1]Rawdata_2026!$C$69:$AC$84,24,0)</f>
        <v>0</v>
      </c>
      <c r="Q7" s="10">
        <f>VLOOKUP(D7,[1]Rawdata_2026!$C$69:$AC$84,26,0)</f>
        <v>0</v>
      </c>
      <c r="R7" s="11">
        <f t="shared" si="0"/>
        <v>0</v>
      </c>
      <c r="S7" s="12" t="s">
        <v>22</v>
      </c>
      <c r="T7" s="12" t="s">
        <v>22</v>
      </c>
    </row>
    <row r="8" spans="2:23" ht="28.5" customHeight="1" x14ac:dyDescent="0.3">
      <c r="C8" s="9">
        <f t="shared" si="1"/>
        <v>0.30035579426997794</v>
      </c>
      <c r="D8" s="88" t="s">
        <v>27</v>
      </c>
      <c r="E8" s="89"/>
      <c r="F8" s="10">
        <f>VLOOKUP(D8,[1]Rawdata_2026!$C$69:$W$83,4,0)</f>
        <v>82475</v>
      </c>
      <c r="G8" s="10">
        <f>VLOOKUP(D8,[1]Rawdata_2026!$C$69:$W$83,6,0)</f>
        <v>59130</v>
      </c>
      <c r="H8" s="10">
        <f>VLOOKUP(D8,[1]Rawdata_2026!$C$69:$W$83,8,0)</f>
        <v>87000</v>
      </c>
      <c r="I8" s="10">
        <f>VLOOKUP(D8,[1]Rawdata_2026!$C$69:$W$83,10,0)</f>
        <v>0</v>
      </c>
      <c r="J8" s="10">
        <f>VLOOKUP(D8,[1]Rawdata_2026!$C$69:$W$83,12,0)</f>
        <v>0</v>
      </c>
      <c r="K8" s="10">
        <f>VLOOKUP(D8,[1]Rawdata_2026!$C$69:$W$83,14,0)</f>
        <v>0</v>
      </c>
      <c r="L8" s="10">
        <f>VLOOKUP(D8,[1]Rawdata_2026!$C$69:$W$83,16,0)</f>
        <v>0</v>
      </c>
      <c r="M8" s="10">
        <f>VLOOKUP(D8,[1]Rawdata_2026!$C$69:$W$83,18,0)</f>
        <v>0</v>
      </c>
      <c r="N8" s="10">
        <f>VLOOKUP(D8,[1]Rawdata_2026!$C$69:$W$83,20,0)</f>
        <v>0</v>
      </c>
      <c r="O8" s="10">
        <f>VLOOKUP(D8,[1]Rawdata_2026!$C$69:$Y$83,22,0)</f>
        <v>0</v>
      </c>
      <c r="P8" s="10">
        <f>VLOOKUP(D8,[1]Rawdata_2026!$C$69:$AC$84,24,0)</f>
        <v>0</v>
      </c>
      <c r="Q8" s="10">
        <f>VLOOKUP(D8,[1]Rawdata_2026!$C$69:$AC$84,26,0)</f>
        <v>0</v>
      </c>
      <c r="R8" s="11">
        <f t="shared" si="0"/>
        <v>228605</v>
      </c>
      <c r="S8" s="12" t="s">
        <v>68</v>
      </c>
      <c r="T8" s="13" t="s">
        <v>69</v>
      </c>
    </row>
    <row r="9" spans="2:23" ht="20.25" customHeight="1" x14ac:dyDescent="0.3">
      <c r="C9" s="9">
        <f t="shared" si="1"/>
        <v>0</v>
      </c>
      <c r="D9" s="88" t="s">
        <v>30</v>
      </c>
      <c r="E9" s="89"/>
      <c r="F9" s="10">
        <f>VLOOKUP(D9,[1]Rawdata_2026!$C$69:$W$83,4,0)</f>
        <v>0</v>
      </c>
      <c r="G9" s="10">
        <f>VLOOKUP(D9,[1]Rawdata_2026!$C$69:$W$83,6,0)</f>
        <v>0</v>
      </c>
      <c r="H9" s="10">
        <f>VLOOKUP(D9,[1]Rawdata_2026!$C$69:$W$83,8,0)</f>
        <v>0</v>
      </c>
      <c r="I9" s="10">
        <f>VLOOKUP(D9,[1]Rawdata_2026!$C$69:$W$83,10,0)</f>
        <v>0</v>
      </c>
      <c r="J9" s="10">
        <f>VLOOKUP(D9,[1]Rawdata_2026!$C$69:$W$83,12,0)</f>
        <v>0</v>
      </c>
      <c r="K9" s="10">
        <f>VLOOKUP(D9,[1]Rawdata_2026!$C$69:$W$83,14,0)</f>
        <v>0</v>
      </c>
      <c r="L9" s="10">
        <f>VLOOKUP(D9,[1]Rawdata_2026!$C$69:$W$83,16,0)</f>
        <v>0</v>
      </c>
      <c r="M9" s="10">
        <f>VLOOKUP(D9,[1]Rawdata_2026!$C$69:$W$83,18,0)</f>
        <v>0</v>
      </c>
      <c r="N9" s="10">
        <f>VLOOKUP(D9,[1]Rawdata_2026!$C$69:$W$83,20,0)</f>
        <v>0</v>
      </c>
      <c r="O9" s="10">
        <f>VLOOKUP(D9,[1]Rawdata_2026!$C$69:$Y$83,22,0)</f>
        <v>0</v>
      </c>
      <c r="P9" s="10">
        <f>VLOOKUP(D9,[1]Rawdata_2026!$C$69:$AC$84,24,0)</f>
        <v>0</v>
      </c>
      <c r="Q9" s="10">
        <f>VLOOKUP(D9,[1]Rawdata_2026!$C$69:$AC$84,26,0)</f>
        <v>0</v>
      </c>
      <c r="R9" s="11">
        <f t="shared" si="0"/>
        <v>0</v>
      </c>
      <c r="S9" s="12" t="s">
        <v>22</v>
      </c>
      <c r="T9" s="12" t="s">
        <v>22</v>
      </c>
    </row>
    <row r="10" spans="2:23" ht="20.25" hidden="1" customHeight="1" x14ac:dyDescent="0.3">
      <c r="C10" s="9">
        <f t="shared" si="1"/>
        <v>0</v>
      </c>
      <c r="D10" s="76" t="s">
        <v>31</v>
      </c>
      <c r="E10" s="77"/>
      <c r="F10" s="10">
        <f>VLOOKUP(D10,[1]Rawdata_2026!$C$69:$W$83,4,0)</f>
        <v>0</v>
      </c>
      <c r="G10" s="10">
        <f>VLOOKUP(D10,[1]Rawdata_2026!$C$69:$W$83,6,0)</f>
        <v>0</v>
      </c>
      <c r="H10" s="10">
        <f>VLOOKUP(D10,[1]Rawdata_2026!$C$69:$W$83,8,0)</f>
        <v>0</v>
      </c>
      <c r="I10" s="10">
        <f>VLOOKUP(D10,[1]Rawdata_2026!$C$69:$W$83,10,0)</f>
        <v>0</v>
      </c>
      <c r="J10" s="10">
        <f>VLOOKUP(D10,[1]Rawdata_2026!$C$69:$W$83,12,0)</f>
        <v>0</v>
      </c>
      <c r="K10" s="10">
        <f>VLOOKUP(D10,[1]Rawdata_2026!$C$69:$W$83,14,0)</f>
        <v>0</v>
      </c>
      <c r="L10" s="10">
        <f>VLOOKUP(D10,[1]Rawdata_2026!$C$69:$W$83,16,0)</f>
        <v>0</v>
      </c>
      <c r="M10" s="10">
        <f>VLOOKUP(D10,[1]Rawdata_2026!$C$69:$W$83,18,0)</f>
        <v>0</v>
      </c>
      <c r="N10" s="10">
        <f>VLOOKUP(D10,[1]Rawdata_2026!$C$69:$W$83,20,0)</f>
        <v>0</v>
      </c>
      <c r="O10" s="10">
        <f>VLOOKUP(D10,[1]Rawdata_2026!$C$69:$Y$83,22,0)</f>
        <v>0</v>
      </c>
      <c r="P10" s="10">
        <f>VLOOKUP(D10,[1]Rawdata_2026!$C$69:$AC$84,24,0)</f>
        <v>0</v>
      </c>
      <c r="Q10" s="10">
        <f>VLOOKUP(D10,[1]Rawdata_2026!$C$69:$AC$84,26,0)</f>
        <v>0</v>
      </c>
      <c r="R10" s="11">
        <f t="shared" si="0"/>
        <v>0</v>
      </c>
      <c r="S10" s="12"/>
      <c r="T10" s="12"/>
    </row>
    <row r="11" spans="2:23" ht="20.25" customHeight="1" x14ac:dyDescent="0.3">
      <c r="C11" s="9">
        <f>R11/$R$12</f>
        <v>0</v>
      </c>
      <c r="D11" s="80" t="s">
        <v>32</v>
      </c>
      <c r="E11" s="81"/>
      <c r="F11" s="10">
        <f>VLOOKUP(D11,[1]Rawdata_2026!$C$69:$W$83,4,0)</f>
        <v>0</v>
      </c>
      <c r="G11" s="10">
        <f>VLOOKUP(D11,[1]Rawdata_2026!$C$69:$W$83,6,0)</f>
        <v>0</v>
      </c>
      <c r="H11" s="10">
        <f>VLOOKUP(D11,[1]Rawdata_2026!$C$69:$W$83,8,0)</f>
        <v>0</v>
      </c>
      <c r="I11" s="10">
        <f>VLOOKUP(D11,[1]Rawdata_2026!$C$69:$W$83,10,0)</f>
        <v>0</v>
      </c>
      <c r="J11" s="10">
        <f>VLOOKUP(D11,[1]Rawdata_2026!$C$69:$W$83,12,0)</f>
        <v>0</v>
      </c>
      <c r="K11" s="10">
        <f>VLOOKUP(D11,[1]Rawdata_2026!$C$69:$W$83,14,0)</f>
        <v>0</v>
      </c>
      <c r="L11" s="10">
        <f>VLOOKUP(D11,[1]Rawdata_2026!$C$69:$W$83,16,0)</f>
        <v>0</v>
      </c>
      <c r="M11" s="10">
        <f>VLOOKUP(D11,[1]Rawdata_2026!$C$69:$W$83,18,0)</f>
        <v>0</v>
      </c>
      <c r="N11" s="10">
        <f>VLOOKUP(D11,[1]Rawdata_2026!$C$69:$W$83,20,0)</f>
        <v>0</v>
      </c>
      <c r="O11" s="10">
        <f>VLOOKUP(D11,[1]Rawdata_2026!$C$69:$Y$83,22,0)</f>
        <v>0</v>
      </c>
      <c r="P11" s="10">
        <f>VLOOKUP(D11,[1]Rawdata_2026!$C$69:$AC$84,24,0)</f>
        <v>0</v>
      </c>
      <c r="Q11" s="10">
        <f>VLOOKUP(D11,[1]Rawdata_2026!$C$69:$AC$84,26,0)</f>
        <v>0</v>
      </c>
      <c r="R11" s="11">
        <f t="shared" si="0"/>
        <v>0</v>
      </c>
      <c r="S11" s="14" t="s">
        <v>33</v>
      </c>
      <c r="T11" s="14" t="s">
        <v>34</v>
      </c>
      <c r="W11" s="9"/>
    </row>
    <row r="12" spans="2:23" ht="20.25" customHeight="1" x14ac:dyDescent="0.3">
      <c r="C12" s="9">
        <f>R12/$R$12</f>
        <v>1</v>
      </c>
      <c r="D12" s="82" t="s">
        <v>15</v>
      </c>
      <c r="E12" s="83"/>
      <c r="F12" s="15">
        <f>SUM(F4:F11)</f>
        <v>298185</v>
      </c>
      <c r="G12" s="15">
        <f>SUM(G4:G11)</f>
        <v>153929</v>
      </c>
      <c r="H12" s="15">
        <f t="shared" ref="H12:Q12" si="2">SUM(H4:H11)</f>
        <v>309000</v>
      </c>
      <c r="I12" s="15">
        <f t="shared" si="2"/>
        <v>0</v>
      </c>
      <c r="J12" s="15">
        <f t="shared" si="2"/>
        <v>0</v>
      </c>
      <c r="K12" s="15">
        <f>SUM(K4:K11)</f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</v>
      </c>
      <c r="P12" s="15">
        <f t="shared" si="2"/>
        <v>0</v>
      </c>
      <c r="Q12" s="15">
        <f t="shared" si="2"/>
        <v>0</v>
      </c>
      <c r="R12" s="11">
        <f>SUM(F12:Q12)</f>
        <v>761114</v>
      </c>
      <c r="S12" s="11"/>
      <c r="T12" s="16"/>
      <c r="W12" s="9"/>
    </row>
    <row r="13" spans="2:23" ht="19.5" customHeight="1" x14ac:dyDescent="0.3">
      <c r="D13" s="17"/>
      <c r="F13" s="18"/>
      <c r="G13" s="18"/>
      <c r="H13" s="18"/>
      <c r="I13" s="18"/>
      <c r="J13" s="18"/>
      <c r="K13" s="18"/>
      <c r="L13" s="18"/>
      <c r="M13" s="18"/>
      <c r="N13" s="18"/>
      <c r="Q13" s="19"/>
      <c r="W13" s="9"/>
    </row>
    <row r="14" spans="2:23" ht="19.5" customHeight="1" x14ac:dyDescent="0.3">
      <c r="B14" s="4">
        <v>2</v>
      </c>
      <c r="C14" s="4"/>
      <c r="D14" s="20" t="s">
        <v>35</v>
      </c>
      <c r="F14" s="18"/>
      <c r="G14" s="18"/>
      <c r="H14" s="18"/>
      <c r="I14" s="18"/>
      <c r="J14" s="18"/>
      <c r="K14" s="18"/>
      <c r="L14" s="18"/>
      <c r="M14" s="18"/>
      <c r="N14" s="18"/>
      <c r="R14" s="5" t="s">
        <v>36</v>
      </c>
      <c r="S14" s="5"/>
    </row>
    <row r="15" spans="2:23" s="4" customFormat="1" ht="19.5" customHeight="1" x14ac:dyDescent="0.3">
      <c r="D15" s="82" t="s">
        <v>1</v>
      </c>
      <c r="E15" s="83"/>
      <c r="F15" s="6" t="s">
        <v>2</v>
      </c>
      <c r="G15" s="6" t="s">
        <v>3</v>
      </c>
      <c r="H15" s="6" t="s">
        <v>61</v>
      </c>
      <c r="I15" s="6" t="s">
        <v>5</v>
      </c>
      <c r="J15" s="6" t="s">
        <v>6</v>
      </c>
      <c r="K15" s="6" t="s">
        <v>7</v>
      </c>
      <c r="L15" s="6" t="s">
        <v>8</v>
      </c>
      <c r="M15" s="6" t="s">
        <v>9</v>
      </c>
      <c r="N15" s="6" t="s">
        <v>10</v>
      </c>
      <c r="O15" s="6" t="s">
        <v>11</v>
      </c>
      <c r="P15" s="6" t="s">
        <v>12</v>
      </c>
      <c r="Q15" s="6" t="s">
        <v>13</v>
      </c>
      <c r="R15" s="21" t="s">
        <v>15</v>
      </c>
      <c r="S15" s="73" t="s">
        <v>37</v>
      </c>
      <c r="T15" s="75"/>
    </row>
    <row r="16" spans="2:23" ht="19.5" customHeight="1" x14ac:dyDescent="0.3">
      <c r="C16" s="9">
        <f>R16/$R$24</f>
        <v>0.534679783911579</v>
      </c>
      <c r="D16" s="91" t="s">
        <v>18</v>
      </c>
      <c r="E16" s="92"/>
      <c r="F16" s="10">
        <f>VLOOKUP(D16,[1]Rawdata_2026!$C$69:$W$83,5,0)</f>
        <v>525323.07692307688</v>
      </c>
      <c r="G16" s="10">
        <f>VLOOKUP(D16,[1]Rawdata_2026!$C$69:$W$83,7,0)</f>
        <v>238011.80769230769</v>
      </c>
      <c r="H16" s="10">
        <f>VLOOKUP(D16,[1]Rawdata_2026!$C$69:$W$83,9,0)</f>
        <v>560769.23076923075</v>
      </c>
      <c r="I16" s="10">
        <f>VLOOKUP(D16,[1]Rawdata_2026!$C$69:$W$83,11,0)</f>
        <v>0</v>
      </c>
      <c r="J16" s="10">
        <f>VLOOKUP(D16,[1]Rawdata_2026!$C$69:$W$83,13,0)</f>
        <v>0</v>
      </c>
      <c r="K16" s="10">
        <f>VLOOKUP(D16,[1]Rawdata_2026!$C$69:$W$83,15,0)</f>
        <v>0</v>
      </c>
      <c r="L16" s="10">
        <f>VLOOKUP(D16,[1]Rawdata_2026!$C$69:$W$83,17,0)</f>
        <v>0</v>
      </c>
      <c r="M16" s="10">
        <f>VLOOKUP(D16,[1]Rawdata_2026!$C$69:$W$83,19,0)</f>
        <v>0</v>
      </c>
      <c r="N16" s="10">
        <f>VLOOKUP(D16,[1]Rawdata_2026!$C$69:$W$83,21,0)</f>
        <v>0</v>
      </c>
      <c r="O16" s="10">
        <f>VLOOKUP(D16,[1]Rawdata_2026!$C$69:$Y$83,23,0)</f>
        <v>0</v>
      </c>
      <c r="P16" s="10">
        <f>VLOOKUP(D16,[1]Rawdata_2026!$C$69:$AC$84,25,0)</f>
        <v>0</v>
      </c>
      <c r="Q16" s="10">
        <f>VLOOKUP(D16,[1]Rawdata_2026!$C$69:$AC$84,27,0)</f>
        <v>0</v>
      </c>
      <c r="R16" s="22">
        <f t="shared" ref="R16:R24" si="3">SUM(F16:Q16)</f>
        <v>1324104.1153846153</v>
      </c>
      <c r="S16" s="78"/>
      <c r="T16" s="79"/>
    </row>
    <row r="17" spans="2:20" ht="19.5" customHeight="1" x14ac:dyDescent="0.3">
      <c r="C17" s="9">
        <f t="shared" ref="C17:C23" si="4">R17/$R$24</f>
        <v>0</v>
      </c>
      <c r="D17" s="91" t="s">
        <v>21</v>
      </c>
      <c r="E17" s="92"/>
      <c r="F17" s="10">
        <f>VLOOKUP(D17,[1]Rawdata_2026!$C$69:$W$83,5,0)</f>
        <v>0</v>
      </c>
      <c r="G17" s="10">
        <f>VLOOKUP(D17,[1]Rawdata_2026!$C$69:$W$83,7,0)</f>
        <v>0</v>
      </c>
      <c r="H17" s="10">
        <f>VLOOKUP(D17,[1]Rawdata_2026!$C$69:$W$83,9,0)</f>
        <v>0</v>
      </c>
      <c r="I17" s="10">
        <f>VLOOKUP(D17,[1]Rawdata_2026!$C$69:$W$83,11,0)</f>
        <v>0</v>
      </c>
      <c r="J17" s="10">
        <f>VLOOKUP(D17,[1]Rawdata_2026!$C$69:$W$83,13,0)</f>
        <v>0</v>
      </c>
      <c r="K17" s="10">
        <f>VLOOKUP(D17,[1]Rawdata_2026!$C$69:$W$83,15,0)</f>
        <v>0</v>
      </c>
      <c r="L17" s="10">
        <f>VLOOKUP(D17,[1]Rawdata_2026!$C$69:$W$83,17,0)</f>
        <v>0</v>
      </c>
      <c r="M17" s="10">
        <f>VLOOKUP(D17,[1]Rawdata_2026!$C$69:$W$83,19,0)</f>
        <v>0</v>
      </c>
      <c r="N17" s="10">
        <f>VLOOKUP(D17,[1]Rawdata_2026!$C$69:$W$83,21,0)</f>
        <v>0</v>
      </c>
      <c r="O17" s="10">
        <f>VLOOKUP(D17,[1]Rawdata_2026!$C$69:$Y$83,23,0)</f>
        <v>0</v>
      </c>
      <c r="P17" s="10">
        <f>VLOOKUP(D17,[1]Rawdata_2026!$C$69:$AC$84,25,0)</f>
        <v>0</v>
      </c>
      <c r="Q17" s="10">
        <f>VLOOKUP(D17,[1]Rawdata_2026!$C$69:$AC$84,27,0)</f>
        <v>0</v>
      </c>
      <c r="R17" s="22">
        <f t="shared" si="3"/>
        <v>0</v>
      </c>
      <c r="S17" s="78"/>
      <c r="T17" s="79"/>
    </row>
    <row r="18" spans="2:20" ht="19.5" customHeight="1" x14ac:dyDescent="0.3">
      <c r="C18" s="9">
        <f t="shared" si="4"/>
        <v>0.13372651361426358</v>
      </c>
      <c r="D18" s="86" t="s">
        <v>23</v>
      </c>
      <c r="E18" s="93"/>
      <c r="F18" s="10">
        <f>VLOOKUP(D18,[1]Rawdata_2026!$C$69:$W$83,5,0)</f>
        <v>117648.26923076923</v>
      </c>
      <c r="G18" s="10">
        <f>VLOOKUP(D18,[1]Rawdata_2026!$C$69:$W$83,7,0)</f>
        <v>62697.461538461539</v>
      </c>
      <c r="H18" s="10">
        <f>VLOOKUP(D18,[1]Rawdata_2026!$C$69:$W$83,9,0)</f>
        <v>150820.38461538462</v>
      </c>
      <c r="I18" s="10">
        <f>VLOOKUP(D18,[1]Rawdata_2026!$C$69:$W$83,11,0)</f>
        <v>0</v>
      </c>
      <c r="J18" s="10">
        <f>VLOOKUP(D18,[1]Rawdata_2026!$C$69:$W$83,13,0)</f>
        <v>0</v>
      </c>
      <c r="K18" s="10">
        <f>VLOOKUP(D18,[1]Rawdata_2026!$C$69:$W$83,15,0)</f>
        <v>0</v>
      </c>
      <c r="L18" s="10">
        <f>VLOOKUP(D18,[1]Rawdata_2026!$C$69:$W$83,17,0)</f>
        <v>0</v>
      </c>
      <c r="M18" s="10">
        <f>VLOOKUP(D18,[1]Rawdata_2026!$C$69:$W$83,19,0)</f>
        <v>0</v>
      </c>
      <c r="N18" s="10">
        <f>VLOOKUP(D18,[1]Rawdata_2026!$C$69:$W$83,21,0)</f>
        <v>0</v>
      </c>
      <c r="O18" s="10">
        <f>VLOOKUP(D18,[1]Rawdata_2026!$C$69:$Y$83,23,0)</f>
        <v>0</v>
      </c>
      <c r="P18" s="10">
        <f>VLOOKUP(D18,[1]Rawdata_2026!$C$69:$AC$84,25,0)</f>
        <v>0</v>
      </c>
      <c r="Q18" s="10">
        <f>VLOOKUP(D18,[1]Rawdata_2026!$C$69:$AC$84,27,0)</f>
        <v>0</v>
      </c>
      <c r="R18" s="22">
        <f t="shared" si="3"/>
        <v>331166.11538461538</v>
      </c>
      <c r="S18" s="78"/>
      <c r="T18" s="79"/>
    </row>
    <row r="19" spans="2:20" ht="19.5" customHeight="1" x14ac:dyDescent="0.3">
      <c r="C19" s="9">
        <f t="shared" si="4"/>
        <v>0</v>
      </c>
      <c r="D19" s="86" t="s">
        <v>26</v>
      </c>
      <c r="E19" s="87"/>
      <c r="F19" s="10">
        <f>VLOOKUP(D19,[1]Rawdata_2026!$C$69:$W$83,5,0)</f>
        <v>0</v>
      </c>
      <c r="G19" s="10">
        <f>VLOOKUP(D19,[1]Rawdata_2026!$C$69:$W$83,7,0)</f>
        <v>0</v>
      </c>
      <c r="H19" s="10">
        <f>VLOOKUP(D19,[1]Rawdata_2026!$C$69:$W$83,9,0)</f>
        <v>0</v>
      </c>
      <c r="I19" s="10">
        <f>VLOOKUP(D19,[1]Rawdata_2026!$C$69:$W$83,11,0)</f>
        <v>0</v>
      </c>
      <c r="J19" s="10">
        <f>VLOOKUP(D19,[1]Rawdata_2026!$C$69:$W$83,13,0)</f>
        <v>0</v>
      </c>
      <c r="K19" s="10">
        <f>VLOOKUP(D19,[1]Rawdata_2026!$C$69:$W$83,15,0)</f>
        <v>0</v>
      </c>
      <c r="L19" s="10">
        <f>VLOOKUP(D19,[1]Rawdata_2026!$C$69:$W$83,17,0)</f>
        <v>0</v>
      </c>
      <c r="M19" s="10">
        <f>VLOOKUP(D19,[1]Rawdata_2026!$C$69:$W$83,19,0)</f>
        <v>0</v>
      </c>
      <c r="N19" s="10">
        <f>VLOOKUP(D19,[1]Rawdata_2026!$C$69:$W$83,21,0)</f>
        <v>0</v>
      </c>
      <c r="O19" s="10">
        <f>VLOOKUP(D19,[1]Rawdata_2026!$C$69:$Y$83,23,0)</f>
        <v>0</v>
      </c>
      <c r="P19" s="10">
        <f>VLOOKUP(D19,[1]Rawdata_2026!$C$69:$AC$84,25,0)</f>
        <v>0</v>
      </c>
      <c r="Q19" s="10">
        <f>VLOOKUP(D19,[1]Rawdata_2026!$C$69:$AC$84,27,0)</f>
        <v>0</v>
      </c>
      <c r="R19" s="22">
        <f t="shared" si="3"/>
        <v>0</v>
      </c>
      <c r="S19" s="78"/>
      <c r="T19" s="79"/>
    </row>
    <row r="20" spans="2:20" ht="19.5" customHeight="1" x14ac:dyDescent="0.3">
      <c r="C20" s="9">
        <f t="shared" si="4"/>
        <v>0.33159370247415731</v>
      </c>
      <c r="D20" s="88" t="s">
        <v>27</v>
      </c>
      <c r="E20" s="89"/>
      <c r="F20" s="10">
        <f>VLOOKUP(D20,[1]Rawdata_2026!$C$69:$W$83,5,0)</f>
        <v>282870.7912538462</v>
      </c>
      <c r="G20" s="10">
        <f>VLOOKUP(D20,[1]Rawdata_2026!$C$69:$W$83,7,0)</f>
        <v>216925.79014999999</v>
      </c>
      <c r="H20" s="10">
        <f>VLOOKUP(D20,[1]Rawdata_2026!$C$69:$W$83,9,0)</f>
        <v>321376.38846153842</v>
      </c>
      <c r="I20" s="10">
        <f>VLOOKUP(D20,[1]Rawdata_2026!$C$69:$W$83,11,0)</f>
        <v>0</v>
      </c>
      <c r="J20" s="10">
        <f>VLOOKUP(D20,[1]Rawdata_2026!$C$69:$W$83,13,0)</f>
        <v>0</v>
      </c>
      <c r="K20" s="10">
        <f>VLOOKUP(D20,[1]Rawdata_2026!$C$69:$W$83,15,0)</f>
        <v>0</v>
      </c>
      <c r="L20" s="10">
        <f>VLOOKUP(D20,[1]Rawdata_2026!$C$69:$W$83,17,0)</f>
        <v>0</v>
      </c>
      <c r="M20" s="10">
        <f>VLOOKUP(D20,[1]Rawdata_2026!$C$69:$W$83,19,0)</f>
        <v>0</v>
      </c>
      <c r="N20" s="10">
        <f>VLOOKUP(D20,[1]Rawdata_2026!$C$69:$W$83,21,0)</f>
        <v>0</v>
      </c>
      <c r="O20" s="10">
        <f>VLOOKUP(D20,[1]Rawdata_2026!$C$69:$Y$83,23,0)</f>
        <v>0</v>
      </c>
      <c r="P20" s="10">
        <f>VLOOKUP(D20,[1]Rawdata_2026!$C$69:$AC$84,25,0)</f>
        <v>0</v>
      </c>
      <c r="Q20" s="10">
        <f>VLOOKUP(D20,[1]Rawdata_2026!$C$69:$AC$84,27,0)</f>
        <v>0</v>
      </c>
      <c r="R20" s="22">
        <f t="shared" si="3"/>
        <v>821172.96986538451</v>
      </c>
      <c r="S20" s="78"/>
      <c r="T20" s="79"/>
    </row>
    <row r="21" spans="2:20" ht="19.5" customHeight="1" x14ac:dyDescent="0.3">
      <c r="C21" s="9">
        <f t="shared" si="4"/>
        <v>0</v>
      </c>
      <c r="D21" s="88" t="s">
        <v>30</v>
      </c>
      <c r="E21" s="90"/>
      <c r="F21" s="10">
        <f>VLOOKUP(D21,[1]Rawdata_2026!$C$69:$W$83,5,0)</f>
        <v>0</v>
      </c>
      <c r="G21" s="10">
        <f>VLOOKUP(D21,[1]Rawdata_2026!$C$69:$W$83,7,0)</f>
        <v>0</v>
      </c>
      <c r="H21" s="10">
        <f>VLOOKUP(D21,[1]Rawdata_2026!$C$69:$W$83,9,0)</f>
        <v>0</v>
      </c>
      <c r="I21" s="10">
        <f>VLOOKUP(D21,[1]Rawdata_2026!$C$69:$W$83,11,0)</f>
        <v>0</v>
      </c>
      <c r="J21" s="10">
        <f>VLOOKUP(D21,[1]Rawdata_2026!$C$69:$W$83,13,0)</f>
        <v>0</v>
      </c>
      <c r="K21" s="10">
        <f>VLOOKUP(D21,[1]Rawdata_2026!$C$69:$W$83,15,0)</f>
        <v>0</v>
      </c>
      <c r="L21" s="10">
        <f>VLOOKUP(D21,[1]Rawdata_2026!$C$69:$W$83,17,0)</f>
        <v>0</v>
      </c>
      <c r="M21" s="10">
        <f>VLOOKUP(D21,[1]Rawdata_2026!$C$69:$W$83,19,0)</f>
        <v>0</v>
      </c>
      <c r="N21" s="10">
        <f>VLOOKUP(D21,[1]Rawdata_2026!$C$69:$W$83,21,0)</f>
        <v>0</v>
      </c>
      <c r="O21" s="10">
        <f>VLOOKUP(D21,[1]Rawdata_2026!$C$69:$Y$83,23,0)</f>
        <v>0</v>
      </c>
      <c r="P21" s="10">
        <f>VLOOKUP(D21,[1]Rawdata_2026!$C$69:$AC$84,25,0)</f>
        <v>0</v>
      </c>
      <c r="Q21" s="10">
        <f>VLOOKUP(D21,[1]Rawdata_2026!$C$69:$AC$84,27,0)</f>
        <v>0</v>
      </c>
      <c r="R21" s="22">
        <f t="shared" si="3"/>
        <v>0</v>
      </c>
      <c r="S21" s="78"/>
      <c r="T21" s="79"/>
    </row>
    <row r="22" spans="2:20" ht="19.5" hidden="1" customHeight="1" x14ac:dyDescent="0.3">
      <c r="C22" s="9">
        <f t="shared" si="4"/>
        <v>0</v>
      </c>
      <c r="D22" s="76" t="s">
        <v>31</v>
      </c>
      <c r="E22" s="77"/>
      <c r="F22" s="10">
        <f>VLOOKUP(D22,[1]Rawdata_2026!$C$69:$W$83,5,0)</f>
        <v>0</v>
      </c>
      <c r="G22" s="10">
        <f>VLOOKUP(D22,[1]Rawdata_2026!$C$69:$W$83,7,0)</f>
        <v>0</v>
      </c>
      <c r="H22" s="10">
        <f>VLOOKUP(D22,[1]Rawdata_2026!$C$69:$W$83,9,0)</f>
        <v>0</v>
      </c>
      <c r="I22" s="10">
        <f>VLOOKUP(D22,[1]Rawdata_2026!$C$69:$W$83,11,0)</f>
        <v>0</v>
      </c>
      <c r="J22" s="10">
        <f>VLOOKUP(D22,[1]Rawdata_2026!$C$69:$W$83,13,0)</f>
        <v>0</v>
      </c>
      <c r="K22" s="10">
        <f>VLOOKUP(D22,[1]Rawdata_2026!$C$69:$W$83,15,0)</f>
        <v>0</v>
      </c>
      <c r="L22" s="10">
        <f>VLOOKUP(D22,[1]Rawdata_2026!$C$69:$W$83,17,0)</f>
        <v>0</v>
      </c>
      <c r="M22" s="10">
        <f>VLOOKUP(D22,[1]Rawdata_2026!$C$69:$W$83,19,0)</f>
        <v>0</v>
      </c>
      <c r="N22" s="10">
        <f>VLOOKUP(D22,[1]Rawdata_2026!$C$69:$W$83,21,0)</f>
        <v>0</v>
      </c>
      <c r="O22" s="10">
        <f>VLOOKUP(D22,[1]Rawdata_2026!$C$69:$Y$83,23,0)</f>
        <v>0</v>
      </c>
      <c r="P22" s="10">
        <f>VLOOKUP(D22,[1]Rawdata_2026!$C$69:$AC$84,25,0)</f>
        <v>0</v>
      </c>
      <c r="Q22" s="10">
        <f>VLOOKUP(D22,[1]Rawdata_2026!$C$69:$AC$84,27,0)</f>
        <v>0</v>
      </c>
      <c r="R22" s="22">
        <f t="shared" si="3"/>
        <v>0</v>
      </c>
      <c r="S22" s="78"/>
      <c r="T22" s="79"/>
    </row>
    <row r="23" spans="2:20" ht="19.5" customHeight="1" x14ac:dyDescent="0.3">
      <c r="C23" s="9">
        <f t="shared" si="4"/>
        <v>0</v>
      </c>
      <c r="D23" s="80" t="s">
        <v>32</v>
      </c>
      <c r="E23" s="81"/>
      <c r="F23" s="10">
        <f>VLOOKUP(D23,[1]Rawdata_2026!$C$69:$W$83,5,0)</f>
        <v>0</v>
      </c>
      <c r="G23" s="10">
        <f>VLOOKUP(D23,[1]Rawdata_2026!$C$69:$W$83,7,0)</f>
        <v>0</v>
      </c>
      <c r="H23" s="10">
        <f>VLOOKUP(D23,[1]Rawdata_2026!$C$69:$W$83,9,0)</f>
        <v>0</v>
      </c>
      <c r="I23" s="10">
        <f>VLOOKUP(D23,[1]Rawdata_2026!$C$69:$W$83,11,0)</f>
        <v>0</v>
      </c>
      <c r="J23" s="10">
        <f>VLOOKUP(D23,[1]Rawdata_2026!$C$69:$W$83,13,0)</f>
        <v>0</v>
      </c>
      <c r="K23" s="10">
        <f>VLOOKUP(D23,[1]Rawdata_2026!$C$69:$W$83,15,0)</f>
        <v>0</v>
      </c>
      <c r="L23" s="10">
        <f>VLOOKUP(D23,[1]Rawdata_2026!$C$69:$W$83,17,0)</f>
        <v>0</v>
      </c>
      <c r="M23" s="10">
        <f>VLOOKUP(D23,[1]Rawdata_2026!$C$69:$W$83,19,0)</f>
        <v>0</v>
      </c>
      <c r="N23" s="10">
        <f>VLOOKUP(D23,[1]Rawdata_2026!$C$69:$W$83,21,0)</f>
        <v>0</v>
      </c>
      <c r="O23" s="10">
        <f>VLOOKUP(D23,[1]Rawdata_2026!$C$69:$Y$83,23,0)</f>
        <v>0</v>
      </c>
      <c r="P23" s="10">
        <f>VLOOKUP(D23,[1]Rawdata_2026!$C$69:$AC$84,25,0)</f>
        <v>0</v>
      </c>
      <c r="Q23" s="10">
        <f>VLOOKUP(D23,[1]Rawdata_2026!$C$69:$AC$84,27,0)</f>
        <v>0</v>
      </c>
      <c r="R23" s="22">
        <f t="shared" si="3"/>
        <v>0</v>
      </c>
      <c r="S23" s="78"/>
      <c r="T23" s="79"/>
    </row>
    <row r="24" spans="2:20" ht="19.5" customHeight="1" x14ac:dyDescent="0.3">
      <c r="C24" s="9">
        <f>R24/$R$24</f>
        <v>1</v>
      </c>
      <c r="D24" s="82" t="s">
        <v>15</v>
      </c>
      <c r="E24" s="83"/>
      <c r="F24" s="15">
        <f>SUM(F16:F23)</f>
        <v>925842.13740769238</v>
      </c>
      <c r="G24" s="15">
        <f>SUM(G16:G23)</f>
        <v>517635.05938076926</v>
      </c>
      <c r="H24" s="15">
        <f t="shared" ref="H24:Q24" si="5">SUM(H16:H23)</f>
        <v>1032966.0038461538</v>
      </c>
      <c r="I24" s="15">
        <f t="shared" si="5"/>
        <v>0</v>
      </c>
      <c r="J24" s="15">
        <f t="shared" si="5"/>
        <v>0</v>
      </c>
      <c r="K24" s="15">
        <f t="shared" si="5"/>
        <v>0</v>
      </c>
      <c r="L24" s="15">
        <f t="shared" si="5"/>
        <v>0</v>
      </c>
      <c r="M24" s="15">
        <f t="shared" si="5"/>
        <v>0</v>
      </c>
      <c r="N24" s="15">
        <f t="shared" si="5"/>
        <v>0</v>
      </c>
      <c r="O24" s="15">
        <f t="shared" si="5"/>
        <v>0</v>
      </c>
      <c r="P24" s="15">
        <f t="shared" si="5"/>
        <v>0</v>
      </c>
      <c r="Q24" s="15">
        <f t="shared" si="5"/>
        <v>0</v>
      </c>
      <c r="R24" s="23">
        <f t="shared" si="3"/>
        <v>2476443.2006346155</v>
      </c>
      <c r="S24" s="84" t="s">
        <v>38</v>
      </c>
      <c r="T24" s="85"/>
    </row>
    <row r="25" spans="2:20" ht="19.5" customHeight="1" x14ac:dyDescent="0.3">
      <c r="D25" s="24"/>
      <c r="E25" s="24"/>
      <c r="F25" s="25"/>
      <c r="G25" s="25"/>
      <c r="H25" s="25"/>
      <c r="I25" s="25"/>
      <c r="J25" s="25"/>
      <c r="K25" s="25"/>
      <c r="L25" s="25"/>
      <c r="M25" s="25"/>
      <c r="N25" s="26"/>
      <c r="O25" s="24"/>
      <c r="P25" s="24"/>
      <c r="Q25" s="27"/>
      <c r="R25" s="28"/>
      <c r="S25" s="28"/>
    </row>
    <row r="26" spans="2:20" s="4" customFormat="1" ht="19.5" customHeight="1" x14ac:dyDescent="0.3">
      <c r="B26" s="4">
        <v>3</v>
      </c>
      <c r="D26" s="20" t="s">
        <v>39</v>
      </c>
      <c r="E26" s="29"/>
      <c r="F26" s="26"/>
      <c r="G26" s="26"/>
      <c r="H26" s="26"/>
      <c r="I26" s="26"/>
      <c r="J26" s="26"/>
      <c r="K26" s="26"/>
      <c r="L26" s="26"/>
      <c r="M26" s="26"/>
      <c r="O26" s="29"/>
      <c r="P26" s="29"/>
      <c r="R26" s="5"/>
      <c r="S26" s="5"/>
      <c r="T26" s="30"/>
    </row>
    <row r="27" spans="2:20" s="4" customFormat="1" ht="22.5" customHeight="1" x14ac:dyDescent="0.3">
      <c r="D27" s="31" t="s">
        <v>40</v>
      </c>
      <c r="E27" s="31" t="s">
        <v>1</v>
      </c>
      <c r="F27" s="6" t="s">
        <v>2</v>
      </c>
      <c r="G27" s="6" t="s">
        <v>3</v>
      </c>
      <c r="H27" s="6" t="s">
        <v>4</v>
      </c>
      <c r="I27" s="6" t="s">
        <v>5</v>
      </c>
      <c r="J27" s="6" t="s">
        <v>41</v>
      </c>
      <c r="K27" s="6" t="s">
        <v>7</v>
      </c>
      <c r="L27" s="6" t="s">
        <v>8</v>
      </c>
      <c r="M27" s="6" t="s">
        <v>9</v>
      </c>
      <c r="N27" s="6" t="s">
        <v>42</v>
      </c>
      <c r="O27" s="6" t="s">
        <v>11</v>
      </c>
      <c r="P27" s="6" t="s">
        <v>12</v>
      </c>
      <c r="Q27" s="6" t="s">
        <v>13</v>
      </c>
      <c r="R27" s="73" t="s">
        <v>37</v>
      </c>
      <c r="S27" s="74"/>
      <c r="T27" s="75"/>
    </row>
    <row r="28" spans="2:20" s="4" customFormat="1" ht="22.5" customHeight="1" x14ac:dyDescent="0.3">
      <c r="D28" s="32" t="s">
        <v>45</v>
      </c>
      <c r="E28" s="33" t="s">
        <v>44</v>
      </c>
      <c r="F28" s="34">
        <v>78000</v>
      </c>
      <c r="G28" s="34">
        <v>79000</v>
      </c>
      <c r="H28" s="34">
        <v>81000</v>
      </c>
      <c r="I28" s="34"/>
      <c r="J28" s="34"/>
      <c r="K28" s="34"/>
      <c r="L28" s="34"/>
      <c r="M28" s="34"/>
      <c r="N28" s="34"/>
      <c r="O28" s="34"/>
      <c r="P28" s="34"/>
      <c r="Q28" s="34"/>
      <c r="R28" s="70"/>
      <c r="S28" s="71"/>
      <c r="T28" s="72"/>
    </row>
    <row r="29" spans="2:20" s="4" customFormat="1" ht="22.5" customHeight="1" x14ac:dyDescent="0.3">
      <c r="D29" s="32" t="s">
        <v>46</v>
      </c>
      <c r="E29" s="33" t="s">
        <v>44</v>
      </c>
      <c r="F29" s="34">
        <v>75000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70"/>
      <c r="S29" s="71"/>
      <c r="T29" s="72"/>
    </row>
    <row r="30" spans="2:20" s="4" customFormat="1" ht="22.5" customHeight="1" x14ac:dyDescent="0.3">
      <c r="D30" s="32" t="s">
        <v>47</v>
      </c>
      <c r="E30" s="33" t="s">
        <v>44</v>
      </c>
      <c r="F30" s="34">
        <v>94600</v>
      </c>
      <c r="G30" s="34">
        <v>97642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70"/>
      <c r="S30" s="71"/>
      <c r="T30" s="72"/>
    </row>
    <row r="31" spans="2:20" s="4" customFormat="1" ht="22.5" customHeight="1" x14ac:dyDescent="0.3">
      <c r="D31" s="32" t="s">
        <v>48</v>
      </c>
      <c r="E31" s="39" t="s">
        <v>49</v>
      </c>
      <c r="F31" s="34">
        <v>95000</v>
      </c>
      <c r="G31" s="34">
        <v>99000</v>
      </c>
      <c r="H31" s="34">
        <v>102000</v>
      </c>
      <c r="I31" s="34"/>
      <c r="J31" s="34"/>
      <c r="K31" s="34"/>
      <c r="L31" s="34"/>
      <c r="M31" s="34"/>
      <c r="N31" s="34"/>
      <c r="O31" s="34"/>
      <c r="P31" s="34"/>
      <c r="Q31" s="34"/>
      <c r="R31" s="70"/>
      <c r="S31" s="71"/>
      <c r="T31" s="72"/>
    </row>
    <row r="32" spans="2:20" s="4" customFormat="1" ht="22.5" customHeight="1" x14ac:dyDescent="0.3">
      <c r="D32" s="32" t="s">
        <v>47</v>
      </c>
      <c r="E32" s="39" t="s">
        <v>49</v>
      </c>
      <c r="F32" s="34"/>
      <c r="G32" s="34"/>
      <c r="H32" s="34">
        <v>97338</v>
      </c>
      <c r="I32" s="34"/>
      <c r="J32" s="34"/>
      <c r="K32" s="34"/>
      <c r="L32" s="34"/>
      <c r="M32" s="34"/>
      <c r="N32" s="34"/>
      <c r="O32" s="34"/>
      <c r="P32" s="34"/>
      <c r="Q32" s="34"/>
      <c r="R32" s="36"/>
      <c r="S32" s="37"/>
      <c r="T32" s="38"/>
    </row>
    <row r="33" spans="2:20" s="4" customFormat="1" ht="22.5" customHeight="1" x14ac:dyDescent="0.3">
      <c r="D33" s="32" t="s">
        <v>48</v>
      </c>
      <c r="E33" s="40" t="s">
        <v>27</v>
      </c>
      <c r="F33" s="34">
        <v>94000</v>
      </c>
      <c r="G33" s="34">
        <v>98000</v>
      </c>
      <c r="H33" s="34">
        <v>100000</v>
      </c>
      <c r="I33" s="34"/>
      <c r="J33" s="34"/>
      <c r="K33" s="34"/>
      <c r="L33" s="34"/>
      <c r="M33" s="34"/>
      <c r="N33" s="34"/>
      <c r="O33" s="34"/>
      <c r="P33" s="34"/>
      <c r="Q33" s="34"/>
      <c r="R33" s="70"/>
      <c r="S33" s="71"/>
      <c r="T33" s="72"/>
    </row>
    <row r="34" spans="2:20" s="4" customFormat="1" ht="22.5" customHeight="1" x14ac:dyDescent="0.3">
      <c r="D34" s="32" t="s">
        <v>47</v>
      </c>
      <c r="E34" s="40" t="s">
        <v>27</v>
      </c>
      <c r="F34" s="34">
        <v>94600</v>
      </c>
      <c r="G34" s="34">
        <v>97642</v>
      </c>
      <c r="H34" s="34">
        <v>97338</v>
      </c>
      <c r="I34" s="34"/>
      <c r="J34" s="34"/>
      <c r="K34" s="34"/>
      <c r="L34" s="34"/>
      <c r="M34" s="34"/>
      <c r="N34" s="34"/>
      <c r="O34" s="34"/>
      <c r="P34" s="34"/>
      <c r="Q34" s="34"/>
      <c r="R34" s="70"/>
      <c r="S34" s="71"/>
      <c r="T34" s="72"/>
    </row>
    <row r="35" spans="2:20" s="4" customFormat="1" ht="22.5" customHeight="1" x14ac:dyDescent="0.3">
      <c r="D35" s="32" t="s">
        <v>50</v>
      </c>
      <c r="E35" s="40" t="s">
        <v>27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70"/>
      <c r="S35" s="71"/>
      <c r="T35" s="72"/>
    </row>
    <row r="36" spans="2:20" ht="19.5" customHeight="1" x14ac:dyDescent="0.3">
      <c r="D36" s="24"/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4"/>
      <c r="P36" s="24"/>
      <c r="Q36" s="27"/>
      <c r="R36" s="28"/>
      <c r="S36" s="28"/>
    </row>
    <row r="37" spans="2:20" s="4" customFormat="1" ht="19.5" customHeight="1" x14ac:dyDescent="0.3">
      <c r="B37" s="4">
        <v>3</v>
      </c>
      <c r="D37" s="20" t="s">
        <v>51</v>
      </c>
      <c r="E37" s="29"/>
      <c r="F37" s="26"/>
      <c r="G37" s="26"/>
      <c r="H37" s="26"/>
      <c r="I37" s="26"/>
      <c r="J37" s="26"/>
      <c r="K37" s="26"/>
      <c r="L37" s="26"/>
      <c r="M37" s="26"/>
      <c r="N37" s="26"/>
      <c r="O37" s="29"/>
      <c r="R37" s="41">
        <v>26000</v>
      </c>
      <c r="S37" s="41"/>
      <c r="T37" s="30"/>
    </row>
    <row r="38" spans="2:20" s="4" customFormat="1" ht="22.5" customHeight="1" x14ac:dyDescent="0.3">
      <c r="D38" s="31" t="s">
        <v>40</v>
      </c>
      <c r="E38" s="31" t="s">
        <v>1</v>
      </c>
      <c r="F38" s="6" t="s">
        <v>2</v>
      </c>
      <c r="G38" s="6" t="s">
        <v>3</v>
      </c>
      <c r="H38" s="6" t="s">
        <v>4</v>
      </c>
      <c r="I38" s="6" t="s">
        <v>5</v>
      </c>
      <c r="J38" s="6" t="s">
        <v>41</v>
      </c>
      <c r="K38" s="6" t="s">
        <v>7</v>
      </c>
      <c r="L38" s="6" t="s">
        <v>8</v>
      </c>
      <c r="M38" s="6" t="s">
        <v>9</v>
      </c>
      <c r="N38" s="6" t="s">
        <v>42</v>
      </c>
      <c r="O38" s="6" t="s">
        <v>11</v>
      </c>
      <c r="P38" s="6" t="s">
        <v>12</v>
      </c>
      <c r="Q38" s="6" t="s">
        <v>13</v>
      </c>
      <c r="R38" s="73" t="s">
        <v>37</v>
      </c>
      <c r="S38" s="74"/>
      <c r="T38" s="75"/>
    </row>
    <row r="39" spans="2:20" s="4" customFormat="1" ht="22.5" customHeight="1" x14ac:dyDescent="0.3">
      <c r="D39" s="32" t="s">
        <v>45</v>
      </c>
      <c r="E39" s="33" t="s">
        <v>44</v>
      </c>
      <c r="F39" s="42">
        <f t="shared" ref="F39:H46" si="6">F28/$R$37</f>
        <v>3</v>
      </c>
      <c r="G39" s="42">
        <f t="shared" si="6"/>
        <v>3.0384615384615383</v>
      </c>
      <c r="H39" s="42">
        <f t="shared" si="6"/>
        <v>3.1153846153846154</v>
      </c>
      <c r="I39" s="42">
        <f t="shared" ref="I39:M46" si="7">I28/25500</f>
        <v>0</v>
      </c>
      <c r="J39" s="42">
        <f t="shared" si="7"/>
        <v>0</v>
      </c>
      <c r="K39" s="42">
        <f t="shared" si="7"/>
        <v>0</v>
      </c>
      <c r="L39" s="42">
        <f t="shared" si="7"/>
        <v>0</v>
      </c>
      <c r="M39" s="42">
        <f t="shared" si="7"/>
        <v>0</v>
      </c>
      <c r="N39" s="42">
        <f t="shared" ref="N39:Q46" si="8">N28/26000</f>
        <v>0</v>
      </c>
      <c r="O39" s="42">
        <f t="shared" si="8"/>
        <v>0</v>
      </c>
      <c r="P39" s="42">
        <f t="shared" si="8"/>
        <v>0</v>
      </c>
      <c r="Q39" s="42">
        <f t="shared" si="8"/>
        <v>0</v>
      </c>
      <c r="R39" s="67"/>
      <c r="S39" s="68"/>
      <c r="T39" s="69"/>
    </row>
    <row r="40" spans="2:20" s="4" customFormat="1" ht="22.5" customHeight="1" x14ac:dyDescent="0.3">
      <c r="D40" s="32" t="s">
        <v>46</v>
      </c>
      <c r="E40" s="33" t="s">
        <v>44</v>
      </c>
      <c r="F40" s="42">
        <f t="shared" si="6"/>
        <v>2.8846153846153846</v>
      </c>
      <c r="G40" s="42">
        <f t="shared" si="6"/>
        <v>0</v>
      </c>
      <c r="H40" s="42">
        <f t="shared" si="6"/>
        <v>0</v>
      </c>
      <c r="I40" s="42">
        <f t="shared" si="7"/>
        <v>0</v>
      </c>
      <c r="J40" s="42">
        <f t="shared" si="7"/>
        <v>0</v>
      </c>
      <c r="K40" s="42">
        <f t="shared" si="7"/>
        <v>0</v>
      </c>
      <c r="L40" s="42">
        <f t="shared" si="7"/>
        <v>0</v>
      </c>
      <c r="M40" s="42">
        <f t="shared" si="7"/>
        <v>0</v>
      </c>
      <c r="N40" s="42">
        <f t="shared" si="8"/>
        <v>0</v>
      </c>
      <c r="O40" s="42">
        <f t="shared" si="8"/>
        <v>0</v>
      </c>
      <c r="P40" s="42">
        <f t="shared" si="8"/>
        <v>0</v>
      </c>
      <c r="Q40" s="42">
        <f t="shared" si="8"/>
        <v>0</v>
      </c>
      <c r="R40" s="67"/>
      <c r="S40" s="68"/>
      <c r="T40" s="69"/>
    </row>
    <row r="41" spans="2:20" s="4" customFormat="1" ht="22.5" customHeight="1" x14ac:dyDescent="0.3">
      <c r="D41" s="32" t="s">
        <v>47</v>
      </c>
      <c r="E41" s="33" t="s">
        <v>44</v>
      </c>
      <c r="F41" s="42">
        <f t="shared" si="6"/>
        <v>3.6384615384615384</v>
      </c>
      <c r="G41" s="42">
        <f t="shared" si="6"/>
        <v>3.7554615384615384</v>
      </c>
      <c r="H41" s="42">
        <f t="shared" si="6"/>
        <v>0</v>
      </c>
      <c r="I41" s="42">
        <f t="shared" si="7"/>
        <v>0</v>
      </c>
      <c r="J41" s="42">
        <f t="shared" si="7"/>
        <v>0</v>
      </c>
      <c r="K41" s="42">
        <f t="shared" si="7"/>
        <v>0</v>
      </c>
      <c r="L41" s="42">
        <f t="shared" si="7"/>
        <v>0</v>
      </c>
      <c r="M41" s="42">
        <f t="shared" si="7"/>
        <v>0</v>
      </c>
      <c r="N41" s="42">
        <f t="shared" si="8"/>
        <v>0</v>
      </c>
      <c r="O41" s="42">
        <f t="shared" si="8"/>
        <v>0</v>
      </c>
      <c r="P41" s="42">
        <f t="shared" si="8"/>
        <v>0</v>
      </c>
      <c r="Q41" s="42">
        <f t="shared" si="8"/>
        <v>0</v>
      </c>
      <c r="R41" s="67"/>
      <c r="S41" s="68"/>
      <c r="T41" s="69"/>
    </row>
    <row r="42" spans="2:20" s="4" customFormat="1" ht="22.5" customHeight="1" x14ac:dyDescent="0.3">
      <c r="D42" s="32" t="s">
        <v>48</v>
      </c>
      <c r="E42" s="39" t="s">
        <v>49</v>
      </c>
      <c r="F42" s="42">
        <f t="shared" si="6"/>
        <v>3.6538461538461537</v>
      </c>
      <c r="G42" s="42">
        <f t="shared" si="6"/>
        <v>3.8076923076923075</v>
      </c>
      <c r="H42" s="42">
        <f t="shared" si="6"/>
        <v>3.9230769230769229</v>
      </c>
      <c r="I42" s="42">
        <f t="shared" si="7"/>
        <v>0</v>
      </c>
      <c r="J42" s="42">
        <f t="shared" si="7"/>
        <v>0</v>
      </c>
      <c r="K42" s="42">
        <f t="shared" si="7"/>
        <v>0</v>
      </c>
      <c r="L42" s="42">
        <f t="shared" si="7"/>
        <v>0</v>
      </c>
      <c r="M42" s="42">
        <f t="shared" si="7"/>
        <v>0</v>
      </c>
      <c r="N42" s="42">
        <f t="shared" si="8"/>
        <v>0</v>
      </c>
      <c r="O42" s="42">
        <f t="shared" si="8"/>
        <v>0</v>
      </c>
      <c r="P42" s="42">
        <f t="shared" si="8"/>
        <v>0</v>
      </c>
      <c r="Q42" s="42">
        <f t="shared" si="8"/>
        <v>0</v>
      </c>
      <c r="R42" s="67"/>
      <c r="S42" s="68"/>
      <c r="T42" s="69"/>
    </row>
    <row r="43" spans="2:20" s="4" customFormat="1" ht="22.5" customHeight="1" x14ac:dyDescent="0.3">
      <c r="D43" s="32" t="s">
        <v>47</v>
      </c>
      <c r="E43" s="39" t="s">
        <v>49</v>
      </c>
      <c r="F43" s="42">
        <f t="shared" si="6"/>
        <v>0</v>
      </c>
      <c r="G43" s="42">
        <f t="shared" si="6"/>
        <v>0</v>
      </c>
      <c r="H43" s="42">
        <f>H32/$R$37</f>
        <v>3.7437692307692307</v>
      </c>
      <c r="I43" s="42">
        <f t="shared" si="7"/>
        <v>0</v>
      </c>
      <c r="J43" s="42">
        <f t="shared" si="7"/>
        <v>0</v>
      </c>
      <c r="K43" s="42">
        <f t="shared" si="7"/>
        <v>0</v>
      </c>
      <c r="L43" s="42">
        <f t="shared" si="7"/>
        <v>0</v>
      </c>
      <c r="M43" s="42">
        <f t="shared" si="7"/>
        <v>0</v>
      </c>
      <c r="N43" s="42">
        <f t="shared" si="8"/>
        <v>0</v>
      </c>
      <c r="O43" s="42">
        <f t="shared" si="8"/>
        <v>0</v>
      </c>
      <c r="P43" s="42">
        <f t="shared" si="8"/>
        <v>0</v>
      </c>
      <c r="Q43" s="42">
        <f t="shared" si="8"/>
        <v>0</v>
      </c>
      <c r="R43" s="43"/>
      <c r="S43" s="44"/>
      <c r="T43" s="45"/>
    </row>
    <row r="44" spans="2:20" s="4" customFormat="1" ht="22.5" customHeight="1" x14ac:dyDescent="0.3">
      <c r="D44" s="32" t="s">
        <v>48</v>
      </c>
      <c r="E44" s="40" t="s">
        <v>27</v>
      </c>
      <c r="F44" s="42">
        <f t="shared" si="6"/>
        <v>3.6153846153846154</v>
      </c>
      <c r="G44" s="42">
        <f t="shared" si="6"/>
        <v>3.7692307692307692</v>
      </c>
      <c r="H44" s="42">
        <f t="shared" si="6"/>
        <v>3.8461538461538463</v>
      </c>
      <c r="I44" s="42">
        <f t="shared" si="7"/>
        <v>0</v>
      </c>
      <c r="J44" s="42">
        <f t="shared" si="7"/>
        <v>0</v>
      </c>
      <c r="K44" s="42">
        <f t="shared" si="7"/>
        <v>0</v>
      </c>
      <c r="L44" s="42">
        <f t="shared" si="7"/>
        <v>0</v>
      </c>
      <c r="M44" s="42">
        <f t="shared" si="7"/>
        <v>0</v>
      </c>
      <c r="N44" s="42">
        <f t="shared" si="8"/>
        <v>0</v>
      </c>
      <c r="O44" s="42">
        <f t="shared" si="8"/>
        <v>0</v>
      </c>
      <c r="P44" s="42">
        <f t="shared" si="8"/>
        <v>0</v>
      </c>
      <c r="Q44" s="42">
        <f t="shared" si="8"/>
        <v>0</v>
      </c>
      <c r="R44" s="67"/>
      <c r="S44" s="68"/>
      <c r="T44" s="69"/>
    </row>
    <row r="45" spans="2:20" s="4" customFormat="1" ht="22.5" customHeight="1" x14ac:dyDescent="0.3">
      <c r="D45" s="32" t="s">
        <v>47</v>
      </c>
      <c r="E45" s="40" t="s">
        <v>27</v>
      </c>
      <c r="F45" s="42">
        <f t="shared" si="6"/>
        <v>3.6384615384615384</v>
      </c>
      <c r="G45" s="42">
        <f t="shared" si="6"/>
        <v>3.7554615384615384</v>
      </c>
      <c r="H45" s="42">
        <f t="shared" si="6"/>
        <v>3.7437692307692307</v>
      </c>
      <c r="I45" s="42">
        <f t="shared" si="7"/>
        <v>0</v>
      </c>
      <c r="J45" s="42">
        <f t="shared" si="7"/>
        <v>0</v>
      </c>
      <c r="K45" s="42">
        <f t="shared" si="7"/>
        <v>0</v>
      </c>
      <c r="L45" s="42">
        <f t="shared" si="7"/>
        <v>0</v>
      </c>
      <c r="M45" s="42">
        <f t="shared" si="7"/>
        <v>0</v>
      </c>
      <c r="N45" s="42">
        <f t="shared" si="8"/>
        <v>0</v>
      </c>
      <c r="O45" s="42">
        <f t="shared" si="8"/>
        <v>0</v>
      </c>
      <c r="P45" s="42">
        <f t="shared" si="8"/>
        <v>0</v>
      </c>
      <c r="Q45" s="42">
        <f t="shared" si="8"/>
        <v>0</v>
      </c>
      <c r="R45" s="67"/>
      <c r="S45" s="68"/>
      <c r="T45" s="69"/>
    </row>
    <row r="46" spans="2:20" s="4" customFormat="1" ht="22.5" customHeight="1" x14ac:dyDescent="0.3">
      <c r="D46" s="32" t="s">
        <v>50</v>
      </c>
      <c r="E46" s="40" t="s">
        <v>27</v>
      </c>
      <c r="F46" s="42">
        <f t="shared" si="6"/>
        <v>0</v>
      </c>
      <c r="G46" s="42">
        <f t="shared" si="6"/>
        <v>0</v>
      </c>
      <c r="H46" s="42">
        <f t="shared" si="6"/>
        <v>0</v>
      </c>
      <c r="I46" s="42">
        <f t="shared" si="7"/>
        <v>0</v>
      </c>
      <c r="J46" s="42">
        <f t="shared" si="7"/>
        <v>0</v>
      </c>
      <c r="K46" s="42">
        <f t="shared" si="7"/>
        <v>0</v>
      </c>
      <c r="L46" s="42">
        <f t="shared" si="7"/>
        <v>0</v>
      </c>
      <c r="M46" s="42">
        <f t="shared" si="7"/>
        <v>0</v>
      </c>
      <c r="N46" s="42">
        <f t="shared" si="8"/>
        <v>0</v>
      </c>
      <c r="O46" s="42">
        <f t="shared" si="8"/>
        <v>0</v>
      </c>
      <c r="P46" s="42">
        <f t="shared" si="8"/>
        <v>0</v>
      </c>
      <c r="Q46" s="42">
        <f t="shared" si="8"/>
        <v>0</v>
      </c>
      <c r="R46" s="67"/>
      <c r="S46" s="68"/>
      <c r="T46" s="69"/>
    </row>
    <row r="47" spans="2:20" s="4" customFormat="1" ht="22.5" customHeight="1" x14ac:dyDescent="0.3">
      <c r="D47" s="46"/>
      <c r="E47" s="4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9"/>
      <c r="S47" s="49"/>
      <c r="T47" s="49"/>
    </row>
    <row r="48" spans="2:20" s="4" customFormat="1" ht="19.5" customHeight="1" x14ac:dyDescent="0.3">
      <c r="D48" s="5" t="s">
        <v>52</v>
      </c>
      <c r="E48" s="50" t="s">
        <v>70</v>
      </c>
      <c r="F48" s="26"/>
      <c r="G48" s="26"/>
      <c r="H48" s="26"/>
      <c r="I48" s="26"/>
      <c r="J48" s="26"/>
      <c r="K48" s="26"/>
      <c r="L48" s="26"/>
      <c r="M48" s="26"/>
      <c r="N48" s="26"/>
      <c r="O48" s="29"/>
      <c r="P48" s="29"/>
      <c r="R48" s="5"/>
      <c r="S48" s="5"/>
      <c r="T48" s="30"/>
    </row>
    <row r="49" spans="2:20" s="4" customFormat="1" ht="19.5" customHeight="1" x14ac:dyDescent="0.3">
      <c r="D49" s="20"/>
      <c r="E49" s="2" t="s">
        <v>71</v>
      </c>
      <c r="F49" s="26"/>
      <c r="G49" s="26"/>
      <c r="H49" s="26"/>
      <c r="I49" s="26"/>
      <c r="J49" s="26"/>
      <c r="K49" s="26"/>
      <c r="L49" s="26"/>
      <c r="M49" s="26"/>
      <c r="N49" s="26"/>
      <c r="O49" s="29"/>
      <c r="P49" s="29"/>
      <c r="R49" s="5"/>
      <c r="S49" s="5"/>
      <c r="T49" s="30"/>
    </row>
    <row r="50" spans="2:20" s="4" customFormat="1" ht="27.75" hidden="1" customHeight="1" x14ac:dyDescent="0.3">
      <c r="B50" s="4">
        <v>4</v>
      </c>
      <c r="D50" s="20" t="s">
        <v>55</v>
      </c>
      <c r="E50" s="29"/>
      <c r="F50" s="26"/>
      <c r="G50" s="26"/>
      <c r="H50" s="26"/>
      <c r="I50" s="26"/>
      <c r="J50" s="26"/>
      <c r="K50" s="26"/>
      <c r="L50" s="26"/>
      <c r="M50" s="26"/>
      <c r="N50" s="26"/>
      <c r="O50" s="29"/>
      <c r="P50" s="29"/>
      <c r="R50" s="5"/>
      <c r="S50" s="5"/>
      <c r="T50" s="30"/>
    </row>
    <row r="51" spans="2:20" s="4" customFormat="1" ht="19.5" hidden="1" customHeight="1" x14ac:dyDescent="0.3">
      <c r="D51" s="31" t="s">
        <v>40</v>
      </c>
      <c r="E51" s="31" t="s">
        <v>1</v>
      </c>
      <c r="F51" s="6" t="s">
        <v>2</v>
      </c>
      <c r="G51" s="6" t="s">
        <v>3</v>
      </c>
      <c r="H51" s="6" t="s">
        <v>4</v>
      </c>
      <c r="I51" s="6" t="s">
        <v>5</v>
      </c>
      <c r="J51" s="6" t="s">
        <v>41</v>
      </c>
      <c r="K51" s="6" t="s">
        <v>7</v>
      </c>
      <c r="L51" s="6" t="s">
        <v>8</v>
      </c>
      <c r="M51" s="6" t="s">
        <v>9</v>
      </c>
      <c r="N51" s="6" t="s">
        <v>42</v>
      </c>
      <c r="O51" s="51" t="s">
        <v>11</v>
      </c>
      <c r="P51" s="51"/>
      <c r="Q51" s="51"/>
      <c r="R51" s="21" t="s">
        <v>37</v>
      </c>
      <c r="S51" s="52"/>
      <c r="T51" s="30"/>
    </row>
    <row r="52" spans="2:20" s="4" customFormat="1" ht="19.5" hidden="1" customHeight="1" x14ac:dyDescent="0.3">
      <c r="D52" s="32" t="s">
        <v>43</v>
      </c>
      <c r="E52" s="53" t="s">
        <v>21</v>
      </c>
      <c r="F52" s="10"/>
      <c r="G52" s="10"/>
      <c r="H52" s="10"/>
      <c r="I52" s="10">
        <v>5000</v>
      </c>
      <c r="J52" s="10">
        <v>5000</v>
      </c>
      <c r="K52" s="10"/>
      <c r="L52" s="10"/>
      <c r="M52" s="10"/>
      <c r="N52" s="10"/>
      <c r="O52" s="54"/>
      <c r="P52" s="55"/>
      <c r="Q52" s="56"/>
      <c r="R52" s="57"/>
      <c r="S52" s="1"/>
      <c r="T52" s="30"/>
    </row>
    <row r="53" spans="2:20" s="4" customFormat="1" ht="19.5" hidden="1" customHeight="1" x14ac:dyDescent="0.3">
      <c r="D53" s="58" t="s">
        <v>45</v>
      </c>
      <c r="E53" s="53" t="s">
        <v>21</v>
      </c>
      <c r="F53" s="10"/>
      <c r="G53" s="10"/>
      <c r="H53" s="10"/>
      <c r="I53" s="10"/>
      <c r="J53" s="10">
        <v>8000</v>
      </c>
      <c r="K53" s="10">
        <v>8000</v>
      </c>
      <c r="L53" s="10">
        <v>8000</v>
      </c>
      <c r="M53" s="10">
        <v>8000</v>
      </c>
      <c r="N53" s="10"/>
      <c r="O53" s="54"/>
      <c r="P53" s="55"/>
      <c r="Q53" s="56"/>
      <c r="R53" s="57"/>
      <c r="S53" s="1"/>
      <c r="T53" s="30"/>
    </row>
    <row r="54" spans="2:20" s="4" customFormat="1" ht="19.5" hidden="1" customHeight="1" x14ac:dyDescent="0.3">
      <c r="D54" s="58" t="s">
        <v>56</v>
      </c>
      <c r="E54" s="53" t="s">
        <v>21</v>
      </c>
      <c r="F54" s="10"/>
      <c r="G54" s="10"/>
      <c r="H54" s="10"/>
      <c r="I54" s="10"/>
      <c r="J54" s="10"/>
      <c r="K54" s="10"/>
      <c r="L54" s="10">
        <v>6700</v>
      </c>
      <c r="M54" s="10">
        <v>6700</v>
      </c>
      <c r="N54" s="10">
        <v>6700</v>
      </c>
      <c r="O54" s="54"/>
      <c r="P54" s="55"/>
      <c r="Q54" s="56"/>
      <c r="R54" s="59"/>
      <c r="S54" s="28"/>
      <c r="T54" s="30"/>
    </row>
    <row r="55" spans="2:20" s="4" customFormat="1" ht="19.5" hidden="1" customHeight="1" x14ac:dyDescent="0.3">
      <c r="D55" s="58" t="s">
        <v>50</v>
      </c>
      <c r="E55" s="53" t="s">
        <v>21</v>
      </c>
      <c r="F55" s="10">
        <v>5500</v>
      </c>
      <c r="G55" s="10">
        <v>5500</v>
      </c>
      <c r="H55" s="10">
        <v>5500</v>
      </c>
      <c r="I55" s="10">
        <v>5500</v>
      </c>
      <c r="J55" s="10">
        <v>5500</v>
      </c>
      <c r="K55" s="10"/>
      <c r="L55" s="10">
        <v>5500</v>
      </c>
      <c r="M55" s="10">
        <v>5500</v>
      </c>
      <c r="N55" s="10">
        <v>5500</v>
      </c>
      <c r="O55" s="54"/>
      <c r="P55" s="55"/>
      <c r="Q55" s="56"/>
      <c r="R55" s="59"/>
      <c r="S55" s="28"/>
      <c r="T55" s="30"/>
    </row>
    <row r="56" spans="2:20" s="4" customFormat="1" ht="19.5" hidden="1" customHeight="1" x14ac:dyDescent="0.3">
      <c r="D56" s="58" t="s">
        <v>57</v>
      </c>
      <c r="E56" s="60" t="s">
        <v>26</v>
      </c>
      <c r="F56" s="10">
        <v>6500</v>
      </c>
      <c r="G56" s="10">
        <v>6500</v>
      </c>
      <c r="H56" s="10">
        <v>6500</v>
      </c>
      <c r="I56" s="10">
        <v>6500</v>
      </c>
      <c r="J56" s="10">
        <v>6500</v>
      </c>
      <c r="K56" s="10">
        <v>6500</v>
      </c>
      <c r="L56" s="10">
        <v>6500</v>
      </c>
      <c r="M56" s="10"/>
      <c r="N56" s="10"/>
      <c r="O56" s="54"/>
      <c r="P56" s="55"/>
      <c r="Q56" s="56"/>
      <c r="R56" s="59"/>
      <c r="S56" s="28"/>
      <c r="T56" s="30"/>
    </row>
    <row r="57" spans="2:20" s="4" customFormat="1" ht="19.5" hidden="1" customHeight="1" x14ac:dyDescent="0.3">
      <c r="D57" s="58" t="s">
        <v>48</v>
      </c>
      <c r="E57" s="60" t="s">
        <v>26</v>
      </c>
      <c r="F57" s="10"/>
      <c r="G57" s="10">
        <v>11000</v>
      </c>
      <c r="H57" s="10"/>
      <c r="I57" s="10"/>
      <c r="J57" s="10">
        <v>14000</v>
      </c>
      <c r="K57" s="10">
        <v>12200</v>
      </c>
      <c r="L57" s="10">
        <v>11000</v>
      </c>
      <c r="M57" s="10">
        <v>11428.571428571429</v>
      </c>
      <c r="N57" s="10">
        <v>11000</v>
      </c>
      <c r="O57" s="54"/>
      <c r="P57" s="55"/>
      <c r="Q57" s="56"/>
      <c r="R57" s="57"/>
      <c r="S57" s="1"/>
      <c r="T57" s="30"/>
    </row>
    <row r="58" spans="2:20" s="4" customFormat="1" ht="19.5" hidden="1" customHeight="1" x14ac:dyDescent="0.3">
      <c r="D58" s="58" t="s">
        <v>48</v>
      </c>
      <c r="E58" s="61" t="s">
        <v>30</v>
      </c>
      <c r="F58" s="10">
        <v>8000</v>
      </c>
      <c r="G58" s="10">
        <v>8000</v>
      </c>
      <c r="H58" s="10">
        <v>8000</v>
      </c>
      <c r="I58" s="10"/>
      <c r="J58" s="10"/>
      <c r="K58" s="10">
        <v>8000</v>
      </c>
      <c r="L58" s="10"/>
      <c r="M58" s="10"/>
      <c r="N58" s="10"/>
      <c r="O58" s="54"/>
      <c r="P58" s="55"/>
      <c r="Q58" s="56"/>
      <c r="R58" s="62"/>
      <c r="S58" s="63"/>
      <c r="T58" s="30"/>
    </row>
    <row r="59" spans="2:20" s="4" customFormat="1" ht="19.5" hidden="1" customHeight="1" x14ac:dyDescent="0.3">
      <c r="D59" s="58" t="s">
        <v>58</v>
      </c>
      <c r="E59" s="61" t="s">
        <v>30</v>
      </c>
      <c r="F59" s="10"/>
      <c r="G59" s="10">
        <v>8000</v>
      </c>
      <c r="H59" s="10">
        <v>8000</v>
      </c>
      <c r="I59" s="10">
        <v>8000</v>
      </c>
      <c r="J59" s="10">
        <v>9000</v>
      </c>
      <c r="K59" s="10">
        <v>9000</v>
      </c>
      <c r="L59" s="10">
        <v>9000</v>
      </c>
      <c r="M59" s="10">
        <v>9000</v>
      </c>
      <c r="N59" s="10"/>
      <c r="O59" s="54"/>
      <c r="P59" s="55"/>
      <c r="Q59" s="56"/>
      <c r="R59" s="59"/>
      <c r="S59" s="28"/>
      <c r="T59" s="30"/>
    </row>
    <row r="60" spans="2:20" s="4" customFormat="1" ht="19.5" hidden="1" customHeight="1" x14ac:dyDescent="0.3">
      <c r="D60" s="58" t="s">
        <v>57</v>
      </c>
      <c r="E60" s="61" t="s">
        <v>30</v>
      </c>
      <c r="F60" s="10">
        <v>6500</v>
      </c>
      <c r="G60" s="10"/>
      <c r="H60" s="10">
        <v>6500</v>
      </c>
      <c r="I60" s="10"/>
      <c r="J60" s="10">
        <v>6500</v>
      </c>
      <c r="K60" s="10"/>
      <c r="L60" s="10"/>
      <c r="M60" s="10">
        <v>6500</v>
      </c>
      <c r="N60" s="10"/>
      <c r="O60" s="54"/>
      <c r="P60" s="55"/>
      <c r="Q60" s="56"/>
      <c r="R60" s="59"/>
      <c r="S60" s="28"/>
      <c r="T60" s="30"/>
    </row>
    <row r="61" spans="2:20" s="4" customFormat="1" ht="19.5" hidden="1" customHeight="1" x14ac:dyDescent="0.3">
      <c r="D61" s="58" t="s">
        <v>59</v>
      </c>
      <c r="E61" s="64" t="s">
        <v>60</v>
      </c>
      <c r="F61" s="10"/>
      <c r="G61" s="10"/>
      <c r="H61" s="10"/>
      <c r="I61" s="10"/>
      <c r="J61" s="10"/>
      <c r="K61" s="10"/>
      <c r="L61" s="10"/>
      <c r="M61" s="10">
        <v>16000</v>
      </c>
      <c r="N61" s="10">
        <v>16000</v>
      </c>
      <c r="O61" s="54"/>
      <c r="P61" s="55"/>
      <c r="Q61" s="56"/>
      <c r="R61" s="59"/>
      <c r="S61" s="28"/>
      <c r="T61" s="30"/>
    </row>
    <row r="62" spans="2:20" s="4" customFormat="1" ht="19.5" hidden="1" customHeight="1" x14ac:dyDescent="0.3">
      <c r="D62" s="58" t="s">
        <v>57</v>
      </c>
      <c r="E62" s="64" t="s">
        <v>60</v>
      </c>
      <c r="F62" s="10">
        <v>16000</v>
      </c>
      <c r="G62" s="10">
        <v>16000</v>
      </c>
      <c r="H62" s="10">
        <v>16000</v>
      </c>
      <c r="I62" s="10">
        <v>16000</v>
      </c>
      <c r="J62" s="10">
        <v>16000</v>
      </c>
      <c r="K62" s="10">
        <v>16000</v>
      </c>
      <c r="L62" s="10">
        <v>16000</v>
      </c>
      <c r="M62" s="10">
        <v>16000</v>
      </c>
      <c r="N62" s="10">
        <v>16000</v>
      </c>
      <c r="O62" s="54"/>
      <c r="P62" s="55"/>
      <c r="Q62" s="56"/>
      <c r="R62" s="59"/>
      <c r="S62" s="28"/>
      <c r="T62" s="30"/>
    </row>
    <row r="63" spans="2:20" s="4" customFormat="1" ht="19.5" hidden="1" customHeight="1" x14ac:dyDescent="0.3">
      <c r="D63" s="2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R63" s="5"/>
      <c r="S63" s="5"/>
      <c r="T63" s="30"/>
    </row>
    <row r="64" spans="2:20" ht="19.5" customHeight="1" x14ac:dyDescent="0.3">
      <c r="D64" s="5"/>
      <c r="E64" s="65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</row>
  </sheetData>
  <mergeCells count="46">
    <mergeCell ref="S15:T15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5:E15"/>
    <mergeCell ref="D16:E16"/>
    <mergeCell ref="S16:T16"/>
    <mergeCell ref="D17:E17"/>
    <mergeCell ref="S17:T17"/>
    <mergeCell ref="D18:E18"/>
    <mergeCell ref="S18:T18"/>
    <mergeCell ref="D19:E19"/>
    <mergeCell ref="S19:T19"/>
    <mergeCell ref="D20:E20"/>
    <mergeCell ref="S20:T20"/>
    <mergeCell ref="D21:E21"/>
    <mergeCell ref="S21:T21"/>
    <mergeCell ref="R33:T33"/>
    <mergeCell ref="D22:E22"/>
    <mergeCell ref="S22:T22"/>
    <mergeCell ref="D23:E23"/>
    <mergeCell ref="S23:T23"/>
    <mergeCell ref="D24:E24"/>
    <mergeCell ref="S24:T24"/>
    <mergeCell ref="R27:T27"/>
    <mergeCell ref="R28:T28"/>
    <mergeCell ref="R29:T29"/>
    <mergeCell ref="R30:T30"/>
    <mergeCell ref="R31:T31"/>
    <mergeCell ref="R42:T42"/>
    <mergeCell ref="R44:T44"/>
    <mergeCell ref="R45:T45"/>
    <mergeCell ref="R46:T46"/>
    <mergeCell ref="R34:T34"/>
    <mergeCell ref="R35:T35"/>
    <mergeCell ref="R38:T38"/>
    <mergeCell ref="R39:T39"/>
    <mergeCell ref="R40:T40"/>
    <mergeCell ref="R41:T41"/>
  </mergeCells>
  <phoneticPr fontId="4" type="noConversion"/>
  <pageMargins left="0.25" right="0.25" top="0.75" bottom="0.75" header="0.3" footer="0.3"/>
  <pageSetup paperSize="9" scale="3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Alumium Summary_2025</vt:lpstr>
      <vt:lpstr>Alumium Summary_2026</vt:lpstr>
      <vt:lpstr>'Alumium Summary_2025'!Print_Area</vt:lpstr>
      <vt:lpstr>'Alumium Summary_2026'!Print_Area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임재홍</dc:creator>
  <cp:lastModifiedBy>임재홍</cp:lastModifiedBy>
  <dcterms:created xsi:type="dcterms:W3CDTF">2026-04-03T06:56:54Z</dcterms:created>
  <dcterms:modified xsi:type="dcterms:W3CDTF">2026-04-03T07:59:27Z</dcterms:modified>
</cp:coreProperties>
</file>