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ClaudeCowork/01_경영재무/사업계획/2027년도계획/"/>
    </mc:Choice>
  </mc:AlternateContent>
  <xr:revisionPtr revIDLastSave="9" documentId="8_{4A3ABA4C-491F-413A-97F5-71DE960FCFEE}" xr6:coauthVersionLast="47" xr6:coauthVersionMax="47" xr10:uidLastSave="{11492826-0A62-4E41-A552-D448529D8CA0}"/>
  <bookViews>
    <workbookView xWindow="-108" yWindow="-108" windowWidth="23256" windowHeight="12456" tabRatio="500" activeTab="2" xr2:uid="{00000000-000D-0000-FFFF-FFFF00000000}"/>
  </bookViews>
  <sheets>
    <sheet name="통합사업계획" sheetId="1" r:id="rId1"/>
    <sheet name="핵심가정" sheetId="2" r:id="rId2"/>
    <sheet name="AI서버CNC_계산근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3" i="2" l="1"/>
  <c r="F13" i="2"/>
  <c r="E13" i="2"/>
  <c r="D13" i="2"/>
  <c r="C13" i="2"/>
  <c r="B13" i="2"/>
  <c r="G9" i="2"/>
  <c r="G6" i="1" s="1"/>
  <c r="G15" i="1" s="1"/>
  <c r="F9" i="2"/>
  <c r="F6" i="1" s="1"/>
  <c r="F15" i="1" s="1"/>
  <c r="E9" i="2"/>
  <c r="D9" i="2"/>
  <c r="D6" i="1" s="1"/>
  <c r="C9" i="2"/>
  <c r="C6" i="1" s="1"/>
  <c r="C15" i="1" s="1"/>
  <c r="B9" i="2"/>
  <c r="B6" i="1" s="1"/>
  <c r="C4" i="2"/>
  <c r="D4" i="2" s="1"/>
  <c r="H18" i="1"/>
  <c r="G9" i="1"/>
  <c r="G17" i="1" s="1"/>
  <c r="F9" i="1"/>
  <c r="F17" i="1" s="1"/>
  <c r="E9" i="1"/>
  <c r="E17" i="1" s="1"/>
  <c r="D9" i="1"/>
  <c r="D17" i="1" s="1"/>
  <c r="C9" i="1"/>
  <c r="C17" i="1" s="1"/>
  <c r="B9" i="1"/>
  <c r="G8" i="1"/>
  <c r="F8" i="1"/>
  <c r="E8" i="1"/>
  <c r="D8" i="1"/>
  <c r="C8" i="1"/>
  <c r="B8" i="1"/>
  <c r="G7" i="1"/>
  <c r="F7" i="1"/>
  <c r="E7" i="1"/>
  <c r="D7" i="1"/>
  <c r="C7" i="1"/>
  <c r="B7" i="1"/>
  <c r="E6" i="1"/>
  <c r="B5" i="1"/>
  <c r="B12" i="1" s="1"/>
  <c r="C5" i="1" l="1"/>
  <c r="C12" i="1" s="1"/>
  <c r="G16" i="1"/>
  <c r="E4" i="2"/>
  <c r="D5" i="1"/>
  <c r="D12" i="1" s="1"/>
  <c r="H7" i="1"/>
  <c r="D10" i="1"/>
  <c r="D14" i="1"/>
  <c r="H8" i="1"/>
  <c r="H9" i="1"/>
  <c r="B17" i="1"/>
  <c r="H17" i="1" s="1"/>
  <c r="B10" i="1"/>
  <c r="B16" i="1"/>
  <c r="C10" i="1"/>
  <c r="B15" i="1"/>
  <c r="C16" i="1"/>
  <c r="C13" i="1" s="1"/>
  <c r="H6" i="1"/>
  <c r="B14" i="1"/>
  <c r="D16" i="1"/>
  <c r="C14" i="1"/>
  <c r="D15" i="1"/>
  <c r="D13" i="1" s="1"/>
  <c r="E16" i="1"/>
  <c r="E15" i="1"/>
  <c r="F16" i="1"/>
  <c r="F4" i="2" l="1"/>
  <c r="E5" i="1"/>
  <c r="H15" i="1"/>
  <c r="C11" i="1"/>
  <c r="B13" i="1"/>
  <c r="H16" i="1"/>
  <c r="D11" i="1"/>
  <c r="E12" i="1" l="1"/>
  <c r="E10" i="1"/>
  <c r="E11" i="1" s="1"/>
  <c r="G4" i="2"/>
  <c r="G5" i="1" s="1"/>
  <c r="F5" i="1"/>
  <c r="F10" i="1" l="1"/>
  <c r="F11" i="1" s="1"/>
  <c r="F12" i="1"/>
  <c r="H5" i="1"/>
  <c r="H10" i="1" s="1"/>
  <c r="G10" i="1"/>
  <c r="G12" i="1"/>
  <c r="F14" i="1"/>
  <c r="E14" i="1"/>
  <c r="E13" i="1"/>
  <c r="G11" i="1" l="1"/>
  <c r="G13" i="1"/>
  <c r="G14" i="1"/>
  <c r="H14" i="1" s="1"/>
  <c r="F13" i="1"/>
  <c r="H13" i="1" s="1"/>
  <c r="H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5" authorId="0" shapeId="0" xr:uid="{00000000-0006-0000-0000-000001000000}">
      <text>
        <r>
          <rPr>
            <sz val="10"/>
            <rFont val="Arial"/>
            <family val="2"/>
          </rPr>
          <t>A</t>
        </r>
        <r>
          <rPr>
            <sz val="10"/>
            <rFont val="Noto Sans CJK SC"/>
            <family val="2"/>
          </rPr>
          <t xml:space="preserve">사 프로젝트 영업이익률 가정 </t>
        </r>
        <r>
          <rPr>
            <sz val="10"/>
            <rFont val="Arial"/>
            <family val="2"/>
          </rPr>
          <t>50% (</t>
        </r>
        <r>
          <rPr>
            <sz val="10"/>
            <rFont val="Noto Sans CJK SC"/>
            <family val="2"/>
          </rPr>
          <t xml:space="preserve">양산 단가 </t>
        </r>
        <r>
          <rPr>
            <sz val="10"/>
            <rFont val="Arial"/>
            <family val="2"/>
          </rPr>
          <t xml:space="preserve">$1,600 </t>
        </r>
        <r>
          <rPr>
            <sz val="10"/>
            <rFont val="Noto Sans CJK SC"/>
            <family val="2"/>
          </rPr>
          <t>기준</t>
        </r>
        <r>
          <rPr>
            <sz val="10"/>
            <rFont val="Arial"/>
            <family val="2"/>
          </rPr>
          <t>)</t>
        </r>
      </text>
    </comment>
    <comment ref="B16" authorId="0" shapeId="0" xr:uid="{00000000-0006-0000-0000-000002000000}">
      <text>
        <r>
          <rPr>
            <sz val="10"/>
            <rFont val="Noto Sans CJK SC"/>
            <family val="2"/>
          </rPr>
          <t>삼성</t>
        </r>
        <r>
          <rPr>
            <sz val="10"/>
            <rFont val="Arial"/>
            <family val="2"/>
          </rPr>
          <t xml:space="preserve">DX </t>
        </r>
        <r>
          <rPr>
            <sz val="10"/>
            <rFont val="Noto Sans CJK SC"/>
            <family val="2"/>
          </rPr>
          <t xml:space="preserve">영업이익률 가정 </t>
        </r>
        <r>
          <rPr>
            <sz val="10"/>
            <rFont val="Arial"/>
            <family val="2"/>
          </rPr>
          <t>10%</t>
        </r>
      </text>
    </comment>
    <comment ref="B17" authorId="0" shapeId="0" xr:uid="{00000000-0006-0000-0000-000003000000}">
      <text>
        <r>
          <rPr>
            <sz val="10"/>
            <rFont val="Arial"/>
            <family val="2"/>
          </rPr>
          <t>AI</t>
        </r>
        <r>
          <rPr>
            <sz val="10"/>
            <rFont val="Noto Sans CJK SC"/>
            <family val="2"/>
          </rPr>
          <t xml:space="preserve">서버 </t>
        </r>
        <r>
          <rPr>
            <sz val="10"/>
            <rFont val="Arial"/>
            <family val="2"/>
          </rPr>
          <t xml:space="preserve">CNC </t>
        </r>
        <r>
          <rPr>
            <sz val="10"/>
            <rFont val="Noto Sans CJK SC"/>
            <family val="2"/>
          </rPr>
          <t xml:space="preserve">영업이익률 가정 </t>
        </r>
        <r>
          <rPr>
            <sz val="10"/>
            <rFont val="Arial"/>
            <family val="2"/>
          </rPr>
          <t>15%</t>
        </r>
      </text>
    </comment>
  </commentList>
</comments>
</file>

<file path=xl/sharedStrings.xml><?xml version="1.0" encoding="utf-8"?>
<sst xmlns="http://schemas.openxmlformats.org/spreadsheetml/2006/main" count="109" uniqueCount="102">
  <si>
    <r>
      <rPr>
        <b/>
        <sz val="11"/>
        <color rgb="FFFFFFFF"/>
        <rFont val="Arial"/>
        <family val="2"/>
        <charset val="1"/>
      </rPr>
      <t xml:space="preserve">MNC Group 2026–2031 </t>
    </r>
    <r>
      <rPr>
        <b/>
        <sz val="11"/>
        <color rgb="FFFFFFFF"/>
        <rFont val="Noto Sans CJK SC"/>
        <family val="2"/>
      </rPr>
      <t xml:space="preserve">중장기 사업계획 </t>
    </r>
    <r>
      <rPr>
        <b/>
        <sz val="11"/>
        <color rgb="FFFFFFFF"/>
        <rFont val="Arial"/>
        <family val="2"/>
        <charset val="1"/>
      </rPr>
      <t>(</t>
    </r>
    <r>
      <rPr>
        <b/>
        <sz val="11"/>
        <color rgb="FFFFFFFF"/>
        <rFont val="Noto Sans CJK SC"/>
        <family val="2"/>
      </rPr>
      <t xml:space="preserve">통합 — 확정 기준안 </t>
    </r>
    <r>
      <rPr>
        <b/>
        <sz val="11"/>
        <color rgb="FFFFFFFF"/>
        <rFont val="Arial"/>
        <family val="2"/>
        <charset val="1"/>
      </rPr>
      <t>v9)</t>
    </r>
  </si>
  <si>
    <t>단위: USD 천 | v9 변경: 판관비율 12.6%→매년 1%p 개선 / 순이자비용 유예기간 flat 재계산($687K, 2031 상환반영) | 투자분할(한국1단계 27·28 $3M·$2M / 서버공장 28 $5.05M / 한국2단계 29·30 $10M·$5M) | 삼성DX·AI서버 반영, 추가방산·DC·지연 미적용</t>
  </si>
  <si>
    <t>구분</t>
  </si>
  <si>
    <t>2026</t>
  </si>
  <si>
    <t>2027</t>
  </si>
  <si>
    <t>2028</t>
  </si>
  <si>
    <t>2029</t>
  </si>
  <si>
    <t>2030</t>
  </si>
  <si>
    <t>2031</t>
  </si>
  <si>
    <r>
      <rPr>
        <b/>
        <sz val="10"/>
        <color rgb="FFFFFFFF"/>
        <rFont val="Arial"/>
        <family val="2"/>
        <charset val="1"/>
      </rPr>
      <t xml:space="preserve">'26–'31 </t>
    </r>
    <r>
      <rPr>
        <b/>
        <sz val="10"/>
        <color rgb="FFFFFFFF"/>
        <rFont val="Noto Sans CJK SC"/>
        <family val="2"/>
      </rPr>
      <t>합계</t>
    </r>
  </si>
  <si>
    <r>
      <rPr>
        <b/>
        <sz val="10"/>
        <color rgb="FF1F3864"/>
        <rFont val="Arial"/>
        <family val="2"/>
        <charset val="1"/>
      </rPr>
      <t xml:space="preserve">I. </t>
    </r>
    <r>
      <rPr>
        <b/>
        <sz val="10"/>
        <color rgb="FF1F3864"/>
        <rFont val="Noto Sans CJK SC"/>
        <family val="2"/>
      </rPr>
      <t xml:space="preserve">연결 손익계산서 </t>
    </r>
    <r>
      <rPr>
        <b/>
        <sz val="10"/>
        <color rgb="FF1F3864"/>
        <rFont val="Arial"/>
        <family val="2"/>
        <charset val="1"/>
      </rPr>
      <t>(P&amp;L)  [</t>
    </r>
    <r>
      <rPr>
        <b/>
        <sz val="10"/>
        <color rgb="FF1F3864"/>
        <rFont val="Noto Sans CJK SC"/>
        <family val="2"/>
      </rPr>
      <t>단위</t>
    </r>
    <r>
      <rPr>
        <b/>
        <sz val="10"/>
        <color rgb="FF1F3864"/>
        <rFont val="Arial"/>
        <family val="2"/>
        <charset val="1"/>
      </rPr>
      <t>: $</t>
    </r>
    <r>
      <rPr>
        <b/>
        <sz val="10"/>
        <color rgb="FF1F3864"/>
        <rFont val="Noto Sans CJK SC"/>
        <family val="2"/>
      </rPr>
      <t>천</t>
    </r>
    <r>
      <rPr>
        <b/>
        <sz val="10"/>
        <color rgb="FF1F3864"/>
        <rFont val="Arial"/>
        <family val="2"/>
        <charset val="1"/>
      </rPr>
      <t>]</t>
    </r>
  </si>
  <si>
    <t xml:space="preserve">  매출액 — 기존사업</t>
  </si>
  <si>
    <t xml:space="preserve">  매출액 — A사 프로젝트</t>
  </si>
  <si>
    <t xml:space="preserve">  매출액 — 삼성DX (ZN캐스팅)</t>
  </si>
  <si>
    <t xml:space="preserve">  매출액 — 삼성DX (갤럭시탭)</t>
  </si>
  <si>
    <t xml:space="preserve">  매출액 — AI서버 CNC (베트남)</t>
  </si>
  <si>
    <t>매출액 합계</t>
  </si>
  <si>
    <t xml:space="preserve">  매출 성장률 (YoY)</t>
  </si>
  <si>
    <t>—</t>
  </si>
  <si>
    <t xml:space="preserve">  기존사업 매출원가</t>
  </si>
  <si>
    <t>매출총이익 (합산)</t>
  </si>
  <si>
    <t xml:space="preserve">  기존사업 영업이익</t>
  </si>
  <si>
    <r>
      <rPr>
        <sz val="10"/>
        <color rgb="FF000000"/>
        <rFont val="Arial"/>
        <family val="2"/>
        <charset val="1"/>
      </rPr>
      <t xml:space="preserve">  A</t>
    </r>
    <r>
      <rPr>
        <sz val="10"/>
        <color rgb="FF000000"/>
        <rFont val="Noto Sans CJK SC"/>
        <family val="2"/>
      </rPr>
      <t xml:space="preserve">사 프로젝트 영업이익 </t>
    </r>
    <r>
      <rPr>
        <sz val="10"/>
        <color rgb="FF000000"/>
        <rFont val="Arial"/>
        <family val="2"/>
        <charset val="1"/>
      </rPr>
      <t>(50%)</t>
    </r>
  </si>
  <si>
    <t xml:space="preserve">  삼성DX 영업이익 (10%)</t>
  </si>
  <si>
    <r>
      <rPr>
        <sz val="10"/>
        <color rgb="FF000000"/>
        <rFont val="Arial"/>
        <family val="2"/>
        <charset val="1"/>
      </rPr>
      <t xml:space="preserve">  AI</t>
    </r>
    <r>
      <rPr>
        <sz val="10"/>
        <color rgb="FF000000"/>
        <rFont val="Noto Sans CJK SC"/>
        <family val="2"/>
      </rPr>
      <t>서버</t>
    </r>
    <r>
      <rPr>
        <sz val="10"/>
        <color rgb="FF000000"/>
        <rFont val="Arial"/>
        <family val="2"/>
        <charset val="1"/>
      </rPr>
      <t xml:space="preserve">CNC </t>
    </r>
    <r>
      <rPr>
        <sz val="10"/>
        <color rgb="FF000000"/>
        <rFont val="Noto Sans CJK SC"/>
        <family val="2"/>
      </rPr>
      <t xml:space="preserve">영업이익 </t>
    </r>
    <r>
      <rPr>
        <sz val="10"/>
        <color rgb="FF000000"/>
        <rFont val="Arial"/>
        <family val="2"/>
        <charset val="1"/>
      </rPr>
      <t>(15%)</t>
    </r>
  </si>
  <si>
    <t xml:space="preserve">  한국법인 운영비</t>
  </si>
  <si>
    <r>
      <rPr>
        <b/>
        <sz val="10"/>
        <color rgb="FF1F3864"/>
        <rFont val="Arial"/>
        <family val="2"/>
        <charset val="1"/>
      </rPr>
      <t xml:space="preserve">VII. </t>
    </r>
    <r>
      <rPr>
        <b/>
        <sz val="10"/>
        <color rgb="FF1F3864"/>
        <rFont val="Noto Sans CJK SC"/>
        <family val="2"/>
      </rPr>
      <t>주요 가정 및 유의사항</t>
    </r>
  </si>
  <si>
    <r>
      <rPr>
        <sz val="9"/>
        <color rgb="FF333333"/>
        <rFont val="Arial"/>
        <family val="2"/>
        <charset val="1"/>
      </rPr>
      <t xml:space="preserve">1. </t>
    </r>
    <r>
      <rPr>
        <sz val="9"/>
        <color rgb="FF333333"/>
        <rFont val="Noto Sans CJK SC"/>
        <family val="2"/>
      </rPr>
      <t>기존사업</t>
    </r>
    <r>
      <rPr>
        <sz val="9"/>
        <color rgb="FF333333"/>
        <rFont val="Arial"/>
        <family val="2"/>
        <charset val="1"/>
      </rPr>
      <t>: 2026</t>
    </r>
    <r>
      <rPr>
        <sz val="9"/>
        <color rgb="FF333333"/>
        <rFont val="Noto Sans CJK SC"/>
        <family val="2"/>
      </rPr>
      <t xml:space="preserve">년 매출 </t>
    </r>
    <r>
      <rPr>
        <sz val="9"/>
        <color rgb="FF333333"/>
        <rFont val="Arial"/>
        <family val="2"/>
        <charset val="1"/>
      </rPr>
      <t>$44.6M (2025</t>
    </r>
    <r>
      <rPr>
        <sz val="9"/>
        <color rgb="FF333333"/>
        <rFont val="Noto Sans CJK SC"/>
        <family val="2"/>
      </rPr>
      <t>년 베트남 법인 실적 기준</t>
    </r>
    <r>
      <rPr>
        <sz val="9"/>
        <color rgb="FF333333"/>
        <rFont val="Arial"/>
        <family val="2"/>
        <charset val="1"/>
      </rPr>
      <t xml:space="preserve">). </t>
    </r>
    <r>
      <rPr>
        <sz val="9"/>
        <color rgb="FF333333"/>
        <rFont val="Noto Sans CJK SC"/>
        <family val="2"/>
      </rPr>
      <t xml:space="preserve">원가율 </t>
    </r>
    <r>
      <rPr>
        <sz val="9"/>
        <color rgb="FF333333"/>
        <rFont val="Arial"/>
        <family val="2"/>
        <charset val="1"/>
      </rPr>
      <t>75.6%</t>
    </r>
    <r>
      <rPr>
        <sz val="9"/>
        <color rgb="FF333333"/>
        <rFont val="Noto Sans CJK SC"/>
        <family val="2"/>
      </rPr>
      <t>에서 출발</t>
    </r>
    <r>
      <rPr>
        <sz val="9"/>
        <color rgb="FF333333"/>
        <rFont val="Arial"/>
        <family val="2"/>
        <charset val="1"/>
      </rPr>
      <t xml:space="preserve">, </t>
    </r>
    <r>
      <rPr>
        <sz val="9"/>
        <color rgb="FF333333"/>
        <rFont val="Noto Sans CJK SC"/>
        <family val="2"/>
      </rPr>
      <t xml:space="preserve">매년 </t>
    </r>
    <r>
      <rPr>
        <sz val="9"/>
        <color rgb="FF333333"/>
        <rFont val="Arial"/>
        <family val="2"/>
        <charset val="1"/>
      </rPr>
      <t xml:space="preserve">1.05%p </t>
    </r>
    <r>
      <rPr>
        <sz val="9"/>
        <color rgb="FF333333"/>
        <rFont val="Noto Sans CJK SC"/>
        <family val="2"/>
      </rPr>
      <t>개선</t>
    </r>
    <r>
      <rPr>
        <sz val="9"/>
        <color rgb="FF333333"/>
        <rFont val="Arial"/>
        <family val="2"/>
        <charset val="1"/>
      </rPr>
      <t xml:space="preserve">. </t>
    </r>
    <r>
      <rPr>
        <sz val="9"/>
        <color rgb="FF333333"/>
        <rFont val="Noto Sans CJK SC"/>
        <family val="2"/>
      </rPr>
      <t xml:space="preserve">판관비율 </t>
    </r>
    <r>
      <rPr>
        <sz val="9"/>
        <color rgb="FF333333"/>
        <rFont val="Arial"/>
        <family val="2"/>
        <charset val="1"/>
      </rPr>
      <t xml:space="preserve">12.6% </t>
    </r>
    <r>
      <rPr>
        <sz val="9"/>
        <color rgb="FF333333"/>
        <rFont val="Noto Sans CJK SC"/>
        <family val="2"/>
      </rPr>
      <t>유지</t>
    </r>
    <r>
      <rPr>
        <sz val="9"/>
        <color rgb="FF333333"/>
        <rFont val="Arial"/>
        <family val="2"/>
        <charset val="1"/>
      </rPr>
      <t>.</t>
    </r>
  </si>
  <si>
    <r>
      <rPr>
        <sz val="9"/>
        <color rgb="FF333333"/>
        <rFont val="Arial"/>
        <family val="2"/>
        <charset val="1"/>
      </rPr>
      <t>2. A</t>
    </r>
    <r>
      <rPr>
        <sz val="9"/>
        <color rgb="FF333333"/>
        <rFont val="Noto Sans CJK SC"/>
        <family val="2"/>
      </rPr>
      <t>사 프로젝트</t>
    </r>
    <r>
      <rPr>
        <sz val="9"/>
        <color rgb="FF333333"/>
        <rFont val="Arial"/>
        <family val="2"/>
        <charset val="1"/>
      </rPr>
      <t>: 2026</t>
    </r>
    <r>
      <rPr>
        <sz val="9"/>
        <color rgb="FF333333"/>
        <rFont val="Noto Sans CJK SC"/>
        <family val="2"/>
      </rPr>
      <t xml:space="preserve">년 </t>
    </r>
    <r>
      <rPr>
        <sz val="9"/>
        <color rgb="FF333333"/>
        <rFont val="Arial"/>
        <family val="2"/>
        <charset val="1"/>
      </rPr>
      <t>600</t>
    </r>
    <r>
      <rPr>
        <sz val="9"/>
        <color rgb="FF333333"/>
        <rFont val="Noto Sans CJK SC"/>
        <family val="2"/>
      </rPr>
      <t>세트</t>
    </r>
    <r>
      <rPr>
        <sz val="9"/>
        <color rgb="FF333333"/>
        <rFont val="Arial"/>
        <family val="2"/>
        <charset val="1"/>
      </rPr>
      <t>($2,000/</t>
    </r>
    <r>
      <rPr>
        <sz val="9"/>
        <color rgb="FF333333"/>
        <rFont val="Noto Sans CJK SC"/>
        <family val="2"/>
      </rPr>
      <t>세트</t>
    </r>
    <r>
      <rPr>
        <sz val="9"/>
        <color rgb="FF333333"/>
        <rFont val="Arial"/>
        <family val="2"/>
        <charset val="1"/>
      </rPr>
      <t>) → 2028</t>
    </r>
    <r>
      <rPr>
        <sz val="9"/>
        <color rgb="FF333333"/>
        <rFont val="Noto Sans CJK SC"/>
        <family val="2"/>
      </rPr>
      <t xml:space="preserve">년 이후 양산단가 </t>
    </r>
    <r>
      <rPr>
        <sz val="9"/>
        <color rgb="FF333333"/>
        <rFont val="Arial"/>
        <family val="2"/>
        <charset val="1"/>
      </rPr>
      <t>$1,600/</t>
    </r>
    <r>
      <rPr>
        <sz val="9"/>
        <color rgb="FF333333"/>
        <rFont val="Noto Sans CJK SC"/>
        <family val="2"/>
      </rPr>
      <t>세트</t>
    </r>
    <r>
      <rPr>
        <sz val="9"/>
        <color rgb="FF333333"/>
        <rFont val="Arial"/>
        <family val="2"/>
        <charset val="1"/>
      </rPr>
      <t xml:space="preserve">, </t>
    </r>
    <r>
      <rPr>
        <sz val="9"/>
        <color rgb="FF333333"/>
        <rFont val="Noto Sans CJK SC"/>
        <family val="2"/>
      </rPr>
      <t xml:space="preserve">영업이익률 </t>
    </r>
    <r>
      <rPr>
        <sz val="9"/>
        <color rgb="FF333333"/>
        <rFont val="Arial"/>
        <family val="2"/>
        <charset val="1"/>
      </rPr>
      <t>50%.</t>
    </r>
  </si>
  <si>
    <r>
      <rPr>
        <sz val="9"/>
        <color rgb="FF333333"/>
        <rFont val="Arial"/>
        <family val="2"/>
        <charset val="1"/>
      </rPr>
      <t xml:space="preserve">3. </t>
    </r>
    <r>
      <rPr>
        <sz val="9"/>
        <color rgb="FF333333"/>
        <rFont val="Noto Sans CJK SC"/>
        <family val="2"/>
      </rPr>
      <t xml:space="preserve">삼성전자 </t>
    </r>
    <r>
      <rPr>
        <sz val="9"/>
        <color rgb="FF333333"/>
        <rFont val="Arial"/>
        <family val="2"/>
        <charset val="1"/>
      </rPr>
      <t>DX — ZN</t>
    </r>
    <r>
      <rPr>
        <sz val="9"/>
        <color rgb="FF333333"/>
        <rFont val="Noto Sans CJK SC"/>
        <family val="2"/>
      </rPr>
      <t>캐스팅</t>
    </r>
    <r>
      <rPr>
        <sz val="9"/>
        <color rgb="FF333333"/>
        <rFont val="Arial"/>
        <family val="2"/>
        <charset val="1"/>
      </rPr>
      <t>: 2027</t>
    </r>
    <r>
      <rPr>
        <sz val="9"/>
        <color rgb="FF333333"/>
        <rFont val="Noto Sans CJK SC"/>
        <family val="2"/>
      </rPr>
      <t xml:space="preserve">년 </t>
    </r>
    <r>
      <rPr>
        <sz val="9"/>
        <color rgb="FF333333"/>
        <rFont val="Arial"/>
        <family val="2"/>
        <charset val="1"/>
      </rPr>
      <t>$4.8M(</t>
    </r>
    <r>
      <rPr>
        <sz val="9"/>
        <color rgb="FF333333"/>
        <rFont val="Noto Sans CJK SC"/>
        <family val="2"/>
      </rPr>
      <t>월</t>
    </r>
    <r>
      <rPr>
        <sz val="9"/>
        <color rgb="FF333333"/>
        <rFont val="Arial"/>
        <family val="2"/>
        <charset val="1"/>
      </rPr>
      <t>100</t>
    </r>
    <r>
      <rPr>
        <sz val="9"/>
        <color rgb="FF333333"/>
        <rFont val="Noto Sans CJK SC"/>
        <family val="2"/>
      </rPr>
      <t>만개</t>
    </r>
    <r>
      <rPr>
        <sz val="9"/>
        <color rgb="FF333333"/>
        <rFont val="Arial"/>
        <family val="2"/>
        <charset val="1"/>
      </rPr>
      <t>×$0.40), 2028</t>
    </r>
    <r>
      <rPr>
        <sz val="9"/>
        <color rgb="FF333333"/>
        <rFont val="Noto Sans CJK SC"/>
        <family val="2"/>
      </rPr>
      <t xml:space="preserve">년 </t>
    </r>
    <r>
      <rPr>
        <sz val="9"/>
        <color rgb="FF333333"/>
        <rFont val="Arial"/>
        <family val="2"/>
        <charset val="1"/>
      </rPr>
      <t>$9.6M, 2029~2031</t>
    </r>
    <r>
      <rPr>
        <sz val="9"/>
        <color rgb="FF333333"/>
        <rFont val="Noto Sans CJK SC"/>
        <family val="2"/>
      </rPr>
      <t xml:space="preserve">년 </t>
    </r>
    <r>
      <rPr>
        <sz val="9"/>
        <color rgb="FF333333"/>
        <rFont val="Arial"/>
        <family val="2"/>
        <charset val="1"/>
      </rPr>
      <t>$12M/</t>
    </r>
    <r>
      <rPr>
        <sz val="9"/>
        <color rgb="FF333333"/>
        <rFont val="Noto Sans CJK SC"/>
        <family val="2"/>
      </rPr>
      <t>년</t>
    </r>
    <r>
      <rPr>
        <sz val="9"/>
        <color rgb="FF333333"/>
        <rFont val="Arial"/>
        <family val="2"/>
        <charset val="1"/>
      </rPr>
      <t xml:space="preserve">. </t>
    </r>
    <r>
      <rPr>
        <sz val="9"/>
        <color rgb="FF333333"/>
        <rFont val="Noto Sans CJK SC"/>
        <family val="2"/>
      </rPr>
      <t xml:space="preserve">영업이익률 </t>
    </r>
    <r>
      <rPr>
        <sz val="9"/>
        <color rgb="FF333333"/>
        <rFont val="Arial"/>
        <family val="2"/>
        <charset val="1"/>
      </rPr>
      <t>10%.</t>
    </r>
  </si>
  <si>
    <r>
      <rPr>
        <sz val="9"/>
        <color rgb="FF333333"/>
        <rFont val="Arial"/>
        <family val="2"/>
        <charset val="1"/>
      </rPr>
      <t xml:space="preserve">4. </t>
    </r>
    <r>
      <rPr>
        <sz val="9"/>
        <color rgb="FF333333"/>
        <rFont val="Noto Sans CJK SC"/>
        <family val="2"/>
      </rPr>
      <t xml:space="preserve">삼성전자 </t>
    </r>
    <r>
      <rPr>
        <sz val="9"/>
        <color rgb="FF333333"/>
        <rFont val="Arial"/>
        <family val="2"/>
        <charset val="1"/>
      </rPr>
      <t xml:space="preserve">DX — </t>
    </r>
    <r>
      <rPr>
        <sz val="9"/>
        <color rgb="FF333333"/>
        <rFont val="Noto Sans CJK SC"/>
        <family val="2"/>
      </rPr>
      <t>갤럭시탭</t>
    </r>
    <r>
      <rPr>
        <sz val="9"/>
        <color rgb="FF333333"/>
        <rFont val="Arial"/>
        <family val="2"/>
        <charset val="1"/>
      </rPr>
      <t>: 2027~2031</t>
    </r>
    <r>
      <rPr>
        <sz val="9"/>
        <color rgb="FF333333"/>
        <rFont val="Noto Sans CJK SC"/>
        <family val="2"/>
      </rPr>
      <t xml:space="preserve">년 </t>
    </r>
    <r>
      <rPr>
        <sz val="9"/>
        <color rgb="FF333333"/>
        <rFont val="Arial"/>
        <family val="2"/>
        <charset val="1"/>
      </rPr>
      <t>$2.2M/</t>
    </r>
    <r>
      <rPr>
        <sz val="9"/>
        <color rgb="FF333333"/>
        <rFont val="Noto Sans CJK SC"/>
        <family val="2"/>
      </rPr>
      <t xml:space="preserve">년 </t>
    </r>
    <r>
      <rPr>
        <sz val="9"/>
        <color rgb="FF333333"/>
        <rFont val="Arial"/>
        <family val="2"/>
        <charset val="1"/>
      </rPr>
      <t>(</t>
    </r>
    <r>
      <rPr>
        <sz val="9"/>
        <color rgb="FF333333"/>
        <rFont val="Noto Sans CJK SC"/>
        <family val="2"/>
      </rPr>
      <t>월</t>
    </r>
    <r>
      <rPr>
        <sz val="9"/>
        <color rgb="FF333333"/>
        <rFont val="Arial"/>
        <family val="2"/>
        <charset val="1"/>
      </rPr>
      <t>8</t>
    </r>
    <r>
      <rPr>
        <sz val="9"/>
        <color rgb="FF333333"/>
        <rFont val="Noto Sans CJK SC"/>
        <family val="2"/>
      </rPr>
      <t>만개</t>
    </r>
    <r>
      <rPr>
        <sz val="9"/>
        <color rgb="FF333333"/>
        <rFont val="Arial"/>
        <family val="2"/>
        <charset val="1"/>
      </rPr>
      <t xml:space="preserve">×$2.2). </t>
    </r>
    <r>
      <rPr>
        <sz val="9"/>
        <color rgb="FF333333"/>
        <rFont val="Noto Sans CJK SC"/>
        <family val="2"/>
      </rPr>
      <t xml:space="preserve">영업이익률 </t>
    </r>
    <r>
      <rPr>
        <sz val="9"/>
        <color rgb="FF333333"/>
        <rFont val="Arial"/>
        <family val="2"/>
        <charset val="1"/>
      </rPr>
      <t>10%.</t>
    </r>
  </si>
  <si>
    <r>
      <rPr>
        <b/>
        <sz val="11"/>
        <color rgb="FFFFFFFF"/>
        <rFont val="Arial"/>
        <family val="2"/>
        <charset val="1"/>
      </rPr>
      <t xml:space="preserve">MNC Group — </t>
    </r>
    <r>
      <rPr>
        <b/>
        <sz val="11"/>
        <color rgb="FFFFFFFF"/>
        <rFont val="Noto Sans CJK SC"/>
        <family val="2"/>
      </rPr>
      <t xml:space="preserve">핵심 가정 </t>
    </r>
    <r>
      <rPr>
        <b/>
        <sz val="11"/>
        <color rgb="FFFFFFFF"/>
        <rFont val="Arial"/>
        <family val="2"/>
        <charset val="1"/>
      </rPr>
      <t>(Assumptions)</t>
    </r>
  </si>
  <si>
    <t>항목</t>
  </si>
  <si>
    <t>비고</t>
  </si>
  <si>
    <r>
      <rPr>
        <b/>
        <sz val="10"/>
        <color rgb="FF1F3864"/>
        <rFont val="Arial"/>
        <family val="2"/>
        <charset val="1"/>
      </rPr>
      <t xml:space="preserve">A. </t>
    </r>
    <r>
      <rPr>
        <b/>
        <sz val="10"/>
        <color rgb="FF1F3864"/>
        <rFont val="Noto Sans CJK SC"/>
        <family val="2"/>
      </rPr>
      <t>기존사업 가정</t>
    </r>
  </si>
  <si>
    <t>기존사업 매출 ($K)</t>
  </si>
  <si>
    <r>
      <rPr>
        <i/>
        <sz val="9"/>
        <color rgb="FF555555"/>
        <rFont val="Arial"/>
        <family val="2"/>
        <charset val="1"/>
      </rPr>
      <t>2027</t>
    </r>
    <r>
      <rPr>
        <i/>
        <sz val="9"/>
        <color rgb="FF555555"/>
        <rFont val="Noto Sans CJK SC"/>
        <family val="2"/>
      </rPr>
      <t xml:space="preserve">년부터 연  </t>
    </r>
    <r>
      <rPr>
        <i/>
        <sz val="9"/>
        <color rgb="FF555555"/>
        <rFont val="Arial"/>
        <family val="2"/>
        <charset val="1"/>
      </rPr>
      <t>5%</t>
    </r>
    <r>
      <rPr>
        <i/>
        <sz val="9"/>
        <color rgb="FF555555"/>
        <rFont val="Noto Sans CJK SC"/>
        <family val="2"/>
      </rPr>
      <t>성장</t>
    </r>
  </si>
  <si>
    <t>기존사업 매출원가율</t>
  </si>
  <si>
    <r>
      <rPr>
        <i/>
        <sz val="9"/>
        <color rgb="FF555555"/>
        <rFont val="Arial"/>
        <family val="2"/>
        <charset val="1"/>
      </rPr>
      <t>75.6%</t>
    </r>
    <r>
      <rPr>
        <i/>
        <sz val="9"/>
        <color rgb="FF555555"/>
        <rFont val="Noto Sans CJK SC"/>
        <family val="2"/>
      </rPr>
      <t>에서 출발</t>
    </r>
    <r>
      <rPr>
        <i/>
        <sz val="9"/>
        <color rgb="FF555555"/>
        <rFont val="Arial"/>
        <family val="2"/>
        <charset val="1"/>
      </rPr>
      <t xml:space="preserve">, </t>
    </r>
    <r>
      <rPr>
        <i/>
        <sz val="9"/>
        <color rgb="FF555555"/>
        <rFont val="Noto Sans CJK SC"/>
        <family val="2"/>
      </rPr>
      <t xml:space="preserve">매년 </t>
    </r>
    <r>
      <rPr>
        <i/>
        <sz val="9"/>
        <color rgb="FF555555"/>
        <rFont val="Arial"/>
        <family val="2"/>
        <charset val="1"/>
      </rPr>
      <t xml:space="preserve">1.05%p </t>
    </r>
    <r>
      <rPr>
        <i/>
        <sz val="9"/>
        <color rgb="FF555555"/>
        <rFont val="Noto Sans CJK SC"/>
        <family val="2"/>
      </rPr>
      <t>개선</t>
    </r>
  </si>
  <si>
    <r>
      <rPr>
        <b/>
        <sz val="10"/>
        <color rgb="FF1F3864"/>
        <rFont val="Arial"/>
        <family val="2"/>
        <charset val="1"/>
      </rPr>
      <t>B. A</t>
    </r>
    <r>
      <rPr>
        <b/>
        <sz val="10"/>
        <color rgb="FF1F3864"/>
        <rFont val="Noto Sans CJK SC"/>
        <family val="2"/>
      </rPr>
      <t>사 프로젝트 가정</t>
    </r>
  </si>
  <si>
    <r>
      <rPr>
        <sz val="10"/>
        <rFont val="Arial"/>
        <family val="2"/>
        <charset val="1"/>
      </rPr>
      <t>A</t>
    </r>
    <r>
      <rPr>
        <sz val="10"/>
        <rFont val="Noto Sans CJK SC"/>
        <family val="2"/>
      </rPr>
      <t xml:space="preserve">사 수량 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세트</t>
    </r>
    <r>
      <rPr>
        <sz val="10"/>
        <rFont val="Arial"/>
        <family val="2"/>
        <charset val="1"/>
      </rPr>
      <t>)</t>
    </r>
  </si>
  <si>
    <t>양산단계 15,000세트</t>
  </si>
  <si>
    <r>
      <rPr>
        <sz val="10"/>
        <rFont val="Arial"/>
        <family val="2"/>
        <charset val="1"/>
      </rPr>
      <t>A</t>
    </r>
    <r>
      <rPr>
        <sz val="10"/>
        <rFont val="Noto Sans CJK SC"/>
        <family val="2"/>
      </rPr>
      <t xml:space="preserve">사 단가 </t>
    </r>
    <r>
      <rPr>
        <sz val="10"/>
        <rFont val="Arial"/>
        <family val="2"/>
        <charset val="1"/>
      </rPr>
      <t>($/</t>
    </r>
    <r>
      <rPr>
        <sz val="10"/>
        <rFont val="Noto Sans CJK SC"/>
        <family val="2"/>
      </rPr>
      <t>세트</t>
    </r>
    <r>
      <rPr>
        <sz val="10"/>
        <rFont val="Arial"/>
        <family val="2"/>
        <charset val="1"/>
      </rPr>
      <t>)</t>
    </r>
  </si>
  <si>
    <t>양산 $1,600 (20%볼륨할인)</t>
  </si>
  <si>
    <r>
      <rPr>
        <sz val="10"/>
        <rFont val="Arial"/>
        <family val="2"/>
        <charset val="1"/>
      </rPr>
      <t>A</t>
    </r>
    <r>
      <rPr>
        <sz val="10"/>
        <rFont val="Noto Sans CJK SC"/>
        <family val="2"/>
      </rPr>
      <t xml:space="preserve">사 매출 </t>
    </r>
    <r>
      <rPr>
        <sz val="10"/>
        <rFont val="Arial"/>
        <family val="2"/>
        <charset val="1"/>
      </rPr>
      <t>($K)</t>
    </r>
  </si>
  <si>
    <t>영업이익률 50%</t>
  </si>
  <si>
    <r>
      <rPr>
        <b/>
        <sz val="10"/>
        <color rgb="FF1F3864"/>
        <rFont val="Arial"/>
        <family val="2"/>
        <charset val="1"/>
      </rPr>
      <t xml:space="preserve">C. </t>
    </r>
    <r>
      <rPr>
        <b/>
        <sz val="10"/>
        <color rgb="FF1F3864"/>
        <rFont val="Noto Sans CJK SC"/>
        <family val="2"/>
      </rPr>
      <t xml:space="preserve">삼성전자 </t>
    </r>
    <r>
      <rPr>
        <b/>
        <sz val="10"/>
        <color rgb="FF1F3864"/>
        <rFont val="Arial"/>
        <family val="2"/>
        <charset val="1"/>
      </rPr>
      <t xml:space="preserve">DX </t>
    </r>
    <r>
      <rPr>
        <b/>
        <sz val="10"/>
        <color rgb="FF1F3864"/>
        <rFont val="Noto Sans CJK SC"/>
        <family val="2"/>
      </rPr>
      <t>가정</t>
    </r>
  </si>
  <si>
    <r>
      <rPr>
        <sz val="10"/>
        <rFont val="Arial"/>
        <family val="2"/>
        <charset val="1"/>
      </rPr>
      <t>ZN</t>
    </r>
    <r>
      <rPr>
        <sz val="10"/>
        <rFont val="Noto Sans CJK SC"/>
        <family val="2"/>
      </rPr>
      <t xml:space="preserve">캐스팅 매출 </t>
    </r>
    <r>
      <rPr>
        <sz val="10"/>
        <rFont val="Arial"/>
        <family val="2"/>
        <charset val="1"/>
      </rPr>
      <t>($K)</t>
    </r>
  </si>
  <si>
    <r>
      <rPr>
        <i/>
        <sz val="9"/>
        <color rgb="FF555555"/>
        <rFont val="Arial"/>
        <family val="2"/>
        <charset val="1"/>
      </rPr>
      <t>$0.40/</t>
    </r>
    <r>
      <rPr>
        <i/>
        <sz val="9"/>
        <color rgb="FF555555"/>
        <rFont val="Noto Sans CJK SC"/>
        <family val="2"/>
      </rPr>
      <t>개</t>
    </r>
    <r>
      <rPr>
        <i/>
        <sz val="9"/>
        <color rgb="FF555555"/>
        <rFont val="Arial"/>
        <family val="2"/>
        <charset val="1"/>
      </rPr>
      <t xml:space="preserve">, </t>
    </r>
    <r>
      <rPr>
        <i/>
        <sz val="9"/>
        <color rgb="FF555555"/>
        <rFont val="Noto Sans CJK SC"/>
        <family val="2"/>
      </rPr>
      <t>월</t>
    </r>
    <r>
      <rPr>
        <i/>
        <sz val="9"/>
        <color rgb="FF555555"/>
        <rFont val="Arial"/>
        <family val="2"/>
        <charset val="1"/>
      </rPr>
      <t>100</t>
    </r>
    <r>
      <rPr>
        <i/>
        <sz val="9"/>
        <color rgb="FF555555"/>
        <rFont val="Noto Sans CJK SC"/>
        <family val="2"/>
      </rPr>
      <t>만개→연</t>
    </r>
    <r>
      <rPr>
        <i/>
        <sz val="9"/>
        <color rgb="FF555555"/>
        <rFont val="Arial"/>
        <family val="2"/>
        <charset val="1"/>
      </rPr>
      <t>$4.8M</t>
    </r>
  </si>
  <si>
    <t>갤럭시탭 매출 ($K)</t>
  </si>
  <si>
    <r>
      <rPr>
        <i/>
        <sz val="9"/>
        <color rgb="FF555555"/>
        <rFont val="Arial"/>
        <family val="2"/>
        <charset val="1"/>
      </rPr>
      <t>$2.2/</t>
    </r>
    <r>
      <rPr>
        <i/>
        <sz val="9"/>
        <color rgb="FF555555"/>
        <rFont val="Noto Sans CJK SC"/>
        <family val="2"/>
      </rPr>
      <t>개</t>
    </r>
    <r>
      <rPr>
        <i/>
        <sz val="9"/>
        <color rgb="FF555555"/>
        <rFont val="Arial"/>
        <family val="2"/>
        <charset val="1"/>
      </rPr>
      <t xml:space="preserve">, </t>
    </r>
    <r>
      <rPr>
        <i/>
        <sz val="9"/>
        <color rgb="FF555555"/>
        <rFont val="Noto Sans CJK SC"/>
        <family val="2"/>
      </rPr>
      <t>월</t>
    </r>
    <r>
      <rPr>
        <i/>
        <sz val="9"/>
        <color rgb="FF555555"/>
        <rFont val="Arial"/>
        <family val="2"/>
        <charset val="1"/>
      </rPr>
      <t>8</t>
    </r>
    <r>
      <rPr>
        <i/>
        <sz val="9"/>
        <color rgb="FF555555"/>
        <rFont val="Noto Sans CJK SC"/>
        <family val="2"/>
      </rPr>
      <t>만개→연</t>
    </r>
    <r>
      <rPr>
        <i/>
        <sz val="9"/>
        <color rgb="FF555555"/>
        <rFont val="Arial"/>
        <family val="2"/>
        <charset val="1"/>
      </rPr>
      <t>$2.2M</t>
    </r>
  </si>
  <si>
    <t>삼성DX 합계 ($K)</t>
  </si>
  <si>
    <t>영업이익률 10%</t>
  </si>
  <si>
    <r>
      <rPr>
        <b/>
        <sz val="10"/>
        <color rgb="FF1F3864"/>
        <rFont val="Arial"/>
        <family val="2"/>
        <charset val="1"/>
      </rPr>
      <t>D. AI</t>
    </r>
    <r>
      <rPr>
        <b/>
        <sz val="10"/>
        <color rgb="FF1F3864"/>
        <rFont val="Noto Sans CJK SC"/>
        <family val="2"/>
      </rPr>
      <t xml:space="preserve">서버 </t>
    </r>
    <r>
      <rPr>
        <b/>
        <sz val="10"/>
        <color rgb="FF1F3864"/>
        <rFont val="Arial"/>
        <family val="2"/>
        <charset val="1"/>
      </rPr>
      <t xml:space="preserve">CNC </t>
    </r>
    <r>
      <rPr>
        <b/>
        <sz val="10"/>
        <color rgb="FF1F3864"/>
        <rFont val="Noto Sans CJK SC"/>
        <family val="2"/>
      </rPr>
      <t>가정</t>
    </r>
  </si>
  <si>
    <r>
      <rPr>
        <sz val="10"/>
        <rFont val="Arial"/>
        <family val="2"/>
        <charset val="1"/>
      </rPr>
      <t>AI</t>
    </r>
    <r>
      <rPr>
        <sz val="10"/>
        <rFont val="Noto Sans CJK SC"/>
        <family val="2"/>
      </rPr>
      <t>서버</t>
    </r>
    <r>
      <rPr>
        <sz val="10"/>
        <rFont val="Arial"/>
        <family val="2"/>
        <charset val="1"/>
      </rPr>
      <t xml:space="preserve">CNC </t>
    </r>
    <r>
      <rPr>
        <sz val="10"/>
        <rFont val="Noto Sans CJK SC"/>
        <family val="2"/>
      </rPr>
      <t xml:space="preserve">매출 </t>
    </r>
    <r>
      <rPr>
        <sz val="10"/>
        <rFont val="Arial"/>
        <family val="2"/>
        <charset val="1"/>
      </rPr>
      <t>($K)</t>
    </r>
  </si>
  <si>
    <t>임율 60동/초, 100대→200대, 환율 26,500동/$</t>
  </si>
  <si>
    <t>기계대수 (대)</t>
  </si>
  <si>
    <r>
      <rPr>
        <i/>
        <sz val="9"/>
        <color rgb="FF555555"/>
        <rFont val="Arial"/>
        <family val="2"/>
        <charset val="1"/>
      </rPr>
      <t>2029</t>
    </r>
    <r>
      <rPr>
        <i/>
        <sz val="9"/>
        <color rgb="FF555555"/>
        <rFont val="Noto Sans CJK SC"/>
        <family val="2"/>
      </rPr>
      <t xml:space="preserve">년 신공장 </t>
    </r>
    <r>
      <rPr>
        <i/>
        <sz val="9"/>
        <color rgb="FF555555"/>
        <rFont val="Arial"/>
        <family val="2"/>
        <charset val="1"/>
      </rPr>
      <t>200</t>
    </r>
    <r>
      <rPr>
        <i/>
        <sz val="9"/>
        <color rgb="FF555555"/>
        <rFont val="Noto Sans CJK SC"/>
        <family val="2"/>
      </rPr>
      <t>대</t>
    </r>
  </si>
  <si>
    <r>
      <rPr>
        <b/>
        <sz val="11"/>
        <color rgb="FFFFFFFF"/>
        <rFont val="Arial"/>
        <family val="2"/>
        <charset val="1"/>
      </rPr>
      <t>AI</t>
    </r>
    <r>
      <rPr>
        <b/>
        <sz val="11"/>
        <color rgb="FFFFFFFF"/>
        <rFont val="Noto Sans CJK SC"/>
        <family val="2"/>
      </rPr>
      <t xml:space="preserve">서버 </t>
    </r>
    <r>
      <rPr>
        <b/>
        <sz val="11"/>
        <color rgb="FFFFFFFF"/>
        <rFont val="Arial"/>
        <family val="2"/>
        <charset val="1"/>
      </rPr>
      <t xml:space="preserve">CNC </t>
    </r>
    <r>
      <rPr>
        <b/>
        <sz val="11"/>
        <color rgb="FFFFFFFF"/>
        <rFont val="Noto Sans CJK SC"/>
        <family val="2"/>
      </rPr>
      <t>사업 — 월별 매출 계산 근거</t>
    </r>
  </si>
  <si>
    <t>기계대수 (1단계)</t>
  </si>
  <si>
    <r>
      <rPr>
        <b/>
        <sz val="10"/>
        <rFont val="Arial"/>
        <family val="2"/>
        <charset val="1"/>
      </rPr>
      <t>100</t>
    </r>
    <r>
      <rPr>
        <b/>
        <sz val="10"/>
        <rFont val="Noto Sans CJK SC"/>
        <family val="2"/>
      </rPr>
      <t>대</t>
    </r>
  </si>
  <si>
    <t>선반20+밀링80</t>
  </si>
  <si>
    <t>선반 20대 + 밀링 80대</t>
  </si>
  <si>
    <t>기계대수 (2단계, 2029~)</t>
  </si>
  <si>
    <r>
      <rPr>
        <b/>
        <sz val="10"/>
        <rFont val="Arial"/>
        <family val="2"/>
        <charset val="1"/>
      </rPr>
      <t>200</t>
    </r>
    <r>
      <rPr>
        <b/>
        <sz val="10"/>
        <rFont val="Noto Sans CJK SC"/>
        <family val="2"/>
      </rPr>
      <t>대</t>
    </r>
  </si>
  <si>
    <t>기존100대 이전+신규100대</t>
  </si>
  <si>
    <t>기존 100대 이전 + 신규 100대</t>
  </si>
  <si>
    <t>월 가동일</t>
  </si>
  <si>
    <r>
      <rPr>
        <b/>
        <sz val="10"/>
        <rFont val="Arial"/>
        <family val="2"/>
        <charset val="1"/>
      </rPr>
      <t>24</t>
    </r>
    <r>
      <rPr>
        <b/>
        <sz val="10"/>
        <rFont val="Noto Sans CJK SC"/>
        <family val="2"/>
      </rPr>
      <t>일</t>
    </r>
  </si>
  <si>
    <t>격주 토요일 근무</t>
  </si>
  <si>
    <t>일 가동시간</t>
  </si>
  <si>
    <r>
      <rPr>
        <b/>
        <sz val="10"/>
        <rFont val="Arial"/>
        <family val="2"/>
        <charset val="1"/>
      </rPr>
      <t>20</t>
    </r>
    <r>
      <rPr>
        <b/>
        <sz val="10"/>
        <rFont val="Noto Sans CJK SC"/>
        <family val="2"/>
      </rPr>
      <t>시간</t>
    </r>
  </si>
  <si>
    <t>기계당 시간당 임율</t>
  </si>
  <si>
    <t>216,000 VND</t>
  </si>
  <si>
    <r>
      <rPr>
        <i/>
        <sz val="9"/>
        <color rgb="FF555555"/>
        <rFont val="Arial"/>
        <family val="2"/>
        <charset val="1"/>
      </rPr>
      <t>60</t>
    </r>
    <r>
      <rPr>
        <i/>
        <sz val="9"/>
        <color rgb="FF555555"/>
        <rFont val="Noto Sans CJK SC"/>
        <family val="2"/>
      </rPr>
      <t>동</t>
    </r>
    <r>
      <rPr>
        <i/>
        <sz val="9"/>
        <color rgb="FF555555"/>
        <rFont val="Arial"/>
        <family val="2"/>
        <charset val="1"/>
      </rPr>
      <t>/</t>
    </r>
    <r>
      <rPr>
        <i/>
        <sz val="9"/>
        <color rgb="FF555555"/>
        <rFont val="Noto Sans CJK SC"/>
        <family val="2"/>
      </rPr>
      <t xml:space="preserve">초 </t>
    </r>
    <r>
      <rPr>
        <i/>
        <sz val="9"/>
        <color rgb="FF555555"/>
        <rFont val="Arial"/>
        <family val="2"/>
        <charset val="1"/>
      </rPr>
      <t>× 3,600</t>
    </r>
    <r>
      <rPr>
        <i/>
        <sz val="9"/>
        <color rgb="FF555555"/>
        <rFont val="Noto Sans CJK SC"/>
        <family val="2"/>
      </rPr>
      <t>초</t>
    </r>
  </si>
  <si>
    <t>기계당 월 가동시간</t>
  </si>
  <si>
    <r>
      <rPr>
        <b/>
        <sz val="10"/>
        <rFont val="Arial"/>
        <family val="2"/>
        <charset val="1"/>
      </rPr>
      <t>480</t>
    </r>
    <r>
      <rPr>
        <b/>
        <sz val="10"/>
        <rFont val="Noto Sans CJK SC"/>
        <family val="2"/>
      </rPr>
      <t>시간</t>
    </r>
  </si>
  <si>
    <r>
      <rPr>
        <i/>
        <sz val="9"/>
        <color rgb="FF555555"/>
        <rFont val="Arial"/>
        <family val="2"/>
        <charset val="1"/>
      </rPr>
      <t>20</t>
    </r>
    <r>
      <rPr>
        <i/>
        <sz val="9"/>
        <color rgb="FF555555"/>
        <rFont val="Noto Sans CJK SC"/>
        <family val="2"/>
      </rPr>
      <t xml:space="preserve">시간 </t>
    </r>
    <r>
      <rPr>
        <i/>
        <sz val="9"/>
        <color rgb="FF555555"/>
        <rFont val="Arial"/>
        <family val="2"/>
        <charset val="1"/>
      </rPr>
      <t>× 24</t>
    </r>
    <r>
      <rPr>
        <i/>
        <sz val="9"/>
        <color rgb="FF555555"/>
        <rFont val="Noto Sans CJK SC"/>
        <family val="2"/>
      </rPr>
      <t>일</t>
    </r>
  </si>
  <si>
    <t>기계당 월 매출 (VND)</t>
  </si>
  <si>
    <r>
      <rPr>
        <b/>
        <sz val="10"/>
        <rFont val="Arial"/>
        <family val="2"/>
        <charset val="1"/>
      </rPr>
      <t xml:space="preserve">103,680,000 </t>
    </r>
    <r>
      <rPr>
        <b/>
        <sz val="10"/>
        <rFont val="Noto Sans CJK SC"/>
        <family val="2"/>
      </rPr>
      <t>동</t>
    </r>
  </si>
  <si>
    <t>216,000 × 480</t>
  </si>
  <si>
    <t>적용 환율</t>
  </si>
  <si>
    <r>
      <rPr>
        <b/>
        <sz val="10"/>
        <rFont val="Arial"/>
        <family val="2"/>
        <charset val="1"/>
      </rPr>
      <t xml:space="preserve">26,500 </t>
    </r>
    <r>
      <rPr>
        <b/>
        <sz val="10"/>
        <rFont val="Noto Sans CJK SC"/>
        <family val="2"/>
      </rPr>
      <t>동</t>
    </r>
    <r>
      <rPr>
        <b/>
        <sz val="10"/>
        <rFont val="Arial"/>
        <family val="2"/>
        <charset val="1"/>
      </rPr>
      <t>/</t>
    </r>
    <r>
      <rPr>
        <b/>
        <sz val="10"/>
        <rFont val="Noto Sans CJK SC"/>
        <family val="2"/>
      </rPr>
      <t>달러</t>
    </r>
  </si>
  <si>
    <t>기계 1대 월 매출 (USD)</t>
  </si>
  <si>
    <t>$3,912</t>
  </si>
  <si>
    <t>103,680,000 ÷ 26,500</t>
  </si>
  <si>
    <r>
      <rPr>
        <sz val="10"/>
        <rFont val="Arial"/>
        <family val="2"/>
        <charset val="1"/>
      </rPr>
      <t>100</t>
    </r>
    <r>
      <rPr>
        <sz val="10"/>
        <rFont val="Noto Sans CJK SC"/>
        <family val="2"/>
      </rPr>
      <t xml:space="preserve">대 월 매출 </t>
    </r>
    <r>
      <rPr>
        <sz val="10"/>
        <rFont val="Arial"/>
        <family val="2"/>
        <charset val="1"/>
      </rPr>
      <t>(USD)</t>
    </r>
  </si>
  <si>
    <t>$391,245</t>
  </si>
  <si>
    <t>$3,912 × 100</t>
  </si>
  <si>
    <r>
      <rPr>
        <sz val="10"/>
        <rFont val="Arial"/>
        <family val="2"/>
        <charset val="1"/>
      </rPr>
      <t>100</t>
    </r>
    <r>
      <rPr>
        <sz val="10"/>
        <rFont val="Noto Sans CJK SC"/>
        <family val="2"/>
      </rPr>
      <t xml:space="preserve">대 연 매출 </t>
    </r>
    <r>
      <rPr>
        <sz val="10"/>
        <rFont val="Arial"/>
        <family val="2"/>
        <charset val="1"/>
      </rPr>
      <t>(USD)</t>
    </r>
  </si>
  <si>
    <t>$4,694,940</t>
  </si>
  <si>
    <t>$391,245 × 12</t>
  </si>
  <si>
    <r>
      <rPr>
        <sz val="10"/>
        <rFont val="Arial"/>
        <family val="2"/>
        <charset val="1"/>
      </rPr>
      <t>200</t>
    </r>
    <r>
      <rPr>
        <sz val="10"/>
        <rFont val="Noto Sans CJK SC"/>
        <family val="2"/>
      </rPr>
      <t xml:space="preserve">대 연 매출 </t>
    </r>
    <r>
      <rPr>
        <sz val="10"/>
        <rFont val="Arial"/>
        <family val="2"/>
        <charset val="1"/>
      </rPr>
      <t>(USD)</t>
    </r>
  </si>
  <si>
    <t>$9,389,880</t>
  </si>
  <si>
    <t>약 $9,390K 반영</t>
  </si>
  <si>
    <r>
      <rPr>
        <sz val="10"/>
        <rFont val="Arial"/>
        <family val="2"/>
        <charset val="1"/>
      </rPr>
      <t>2027</t>
    </r>
    <r>
      <rPr>
        <sz val="10"/>
        <rFont val="Noto Sans CJK SC"/>
        <family val="2"/>
      </rPr>
      <t xml:space="preserve">년 </t>
    </r>
    <r>
      <rPr>
        <sz val="10"/>
        <rFont val="Arial"/>
        <family val="2"/>
        <charset val="1"/>
      </rPr>
      <t xml:space="preserve">H2 </t>
    </r>
    <r>
      <rPr>
        <sz val="10"/>
        <rFont val="Noto Sans CJK SC"/>
        <family val="2"/>
      </rPr>
      <t xml:space="preserve">매출 </t>
    </r>
    <r>
      <rPr>
        <sz val="10"/>
        <rFont val="Arial"/>
        <family val="2"/>
        <charset val="1"/>
      </rPr>
      <t>(6</t>
    </r>
    <r>
      <rPr>
        <sz val="10"/>
        <rFont val="Noto Sans CJK SC"/>
        <family val="2"/>
      </rPr>
      <t>개월</t>
    </r>
    <r>
      <rPr>
        <sz val="10"/>
        <rFont val="Arial"/>
        <family val="2"/>
        <charset val="1"/>
      </rPr>
      <t>)</t>
    </r>
  </si>
  <si>
    <t>$2,347,470</t>
  </si>
  <si>
    <r>
      <rPr>
        <i/>
        <sz val="9"/>
        <color rgb="FF555555"/>
        <rFont val="Arial"/>
        <family val="2"/>
        <charset val="1"/>
      </rPr>
      <t>$391,245 × 6</t>
    </r>
    <r>
      <rPr>
        <i/>
        <sz val="9"/>
        <color rgb="FF555555"/>
        <rFont val="Noto Sans CJK SC"/>
        <family val="2"/>
      </rPr>
      <t>개월</t>
    </r>
  </si>
  <si>
    <r>
      <rPr>
        <sz val="9"/>
        <color rgb="FF555555"/>
        <rFont val="Arial"/>
        <family val="2"/>
        <charset val="1"/>
      </rPr>
      <t xml:space="preserve">2027H2 </t>
    </r>
    <r>
      <rPr>
        <sz val="9"/>
        <color rgb="FF555555"/>
        <rFont val="Noto Sans CJK SC"/>
        <family val="2"/>
      </rPr>
      <t>시작</t>
    </r>
  </si>
  <si>
    <t>영업이익률</t>
  </si>
  <si>
    <t>15%</t>
  </si>
  <si>
    <t>원가율 포함 전체 이익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</si>
</sst>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#,##0;\(#,##0\);\-"/>
  </numFmts>
  <fonts count="29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  <charset val="1"/>
    </font>
    <font>
      <b/>
      <sz val="11"/>
      <color rgb="FFFFFFFF"/>
      <name val="Noto Sans CJK SC"/>
      <family val="2"/>
    </font>
    <font>
      <i/>
      <sz val="9"/>
      <color rgb="FF444444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FFFFFF"/>
      <name val="Noto Sans CJK SC"/>
      <family val="2"/>
    </font>
    <font>
      <b/>
      <sz val="10"/>
      <color rgb="FF1F3864"/>
      <name val="Arial"/>
      <family val="2"/>
      <charset val="1"/>
    </font>
    <font>
      <b/>
      <sz val="10"/>
      <color rgb="FF1F3864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Noto Sans CJK SC"/>
      <family val="2"/>
      <charset val="1"/>
    </font>
    <font>
      <sz val="10"/>
      <color rgb="FF000000"/>
      <name val="Noto Sans CJK SC"/>
      <family val="2"/>
    </font>
    <font>
      <sz val="10"/>
      <name val="Arial"/>
      <family val="2"/>
      <charset val="1"/>
    </font>
    <font>
      <sz val="10"/>
      <name val="Noto Sans CJK SC"/>
      <family val="2"/>
    </font>
    <font>
      <b/>
      <sz val="10"/>
      <name val="Arial"/>
      <family val="2"/>
      <charset val="1"/>
    </font>
    <font>
      <b/>
      <sz val="10"/>
      <name val="Noto Sans CJK SC"/>
      <family val="2"/>
    </font>
    <font>
      <sz val="9"/>
      <color rgb="FF333333"/>
      <name val="Arial"/>
      <family val="2"/>
      <charset val="1"/>
    </font>
    <font>
      <sz val="9"/>
      <color rgb="FF333333"/>
      <name val="Noto Sans CJK SC"/>
      <family val="2"/>
    </font>
    <font>
      <sz val="10"/>
      <name val="Noto Sans CJK SC"/>
      <family val="2"/>
      <charset val="1"/>
    </font>
    <font>
      <sz val="10"/>
      <color rgb="FF0000FF"/>
      <name val="Arial"/>
      <family val="2"/>
      <charset val="1"/>
    </font>
    <font>
      <i/>
      <sz val="9"/>
      <color rgb="FF555555"/>
      <name val="Arial"/>
      <family val="2"/>
      <charset val="1"/>
    </font>
    <font>
      <i/>
      <sz val="9"/>
      <color rgb="FF555555"/>
      <name val="Noto Sans CJK SC"/>
      <family val="2"/>
    </font>
    <font>
      <i/>
      <sz val="9"/>
      <color rgb="FF555555"/>
      <name val="Noto Sans CJK SC"/>
      <family val="2"/>
      <charset val="1"/>
    </font>
    <font>
      <sz val="9"/>
      <color rgb="FF555555"/>
      <name val="Noto Sans CJK SC"/>
      <family val="2"/>
      <charset val="1"/>
    </font>
    <font>
      <sz val="9"/>
      <color rgb="FF555555"/>
      <name val="Arial"/>
      <family val="2"/>
      <charset val="1"/>
    </font>
    <font>
      <sz val="9"/>
      <color rgb="FF555555"/>
      <name val="Noto Sans CJK SC"/>
      <family val="2"/>
    </font>
    <font>
      <sz val="8"/>
      <name val="돋움체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0" fontId="12" fillId="4" borderId="1" xfId="0" applyFont="1" applyFill="1" applyBorder="1" applyAlignment="1">
      <alignment horizontal="left" vertical="center"/>
    </xf>
    <xf numFmtId="3" fontId="8" fillId="4" borderId="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>
      <alignment horizontal="right" vertical="center"/>
    </xf>
    <xf numFmtId="176" fontId="11" fillId="0" borderId="1" xfId="0" applyNumberFormat="1" applyFont="1" applyBorder="1" applyAlignment="1">
      <alignment horizontal="right" vertical="center"/>
    </xf>
    <xf numFmtId="177" fontId="11" fillId="0" borderId="1" xfId="0" applyNumberFormat="1" applyFont="1" applyBorder="1" applyAlignment="1">
      <alignment horizontal="right" vertical="center"/>
    </xf>
    <xf numFmtId="0" fontId="12" fillId="3" borderId="1" xfId="0" applyFont="1" applyFill="1" applyBorder="1" applyAlignment="1">
      <alignment horizontal="left" vertical="center"/>
    </xf>
    <xf numFmtId="3" fontId="8" fillId="3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indent="1"/>
    </xf>
    <xf numFmtId="3" fontId="21" fillId="5" borderId="1" xfId="0" applyNumberFormat="1" applyFont="1" applyFill="1" applyBorder="1" applyAlignment="1">
      <alignment horizontal="right"/>
    </xf>
    <xf numFmtId="0" fontId="22" fillId="5" borderId="1" xfId="0" applyFont="1" applyFill="1" applyBorder="1" applyAlignment="1">
      <alignment horizontal="left" wrapText="1"/>
    </xf>
    <xf numFmtId="10" fontId="21" fillId="0" borderId="1" xfId="0" applyNumberFormat="1" applyFont="1" applyBorder="1" applyAlignment="1">
      <alignment horizontal="right"/>
    </xf>
    <xf numFmtId="0" fontId="22" fillId="0" borderId="1" xfId="0" applyFont="1" applyBorder="1" applyAlignment="1">
      <alignment horizontal="left" wrapText="1"/>
    </xf>
    <xf numFmtId="0" fontId="24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 indent="1"/>
    </xf>
    <xf numFmtId="3" fontId="21" fillId="0" borderId="1" xfId="0" applyNumberFormat="1" applyFont="1" applyBorder="1" applyAlignment="1">
      <alignment horizontal="right"/>
    </xf>
    <xf numFmtId="0" fontId="16" fillId="0" borderId="1" xfId="0" applyFont="1" applyBorder="1" applyAlignment="1">
      <alignment horizontal="center"/>
    </xf>
    <xf numFmtId="0" fontId="24" fillId="0" borderId="1" xfId="0" applyFont="1" applyBorder="1"/>
    <xf numFmtId="0" fontId="25" fillId="0" borderId="1" xfId="0" applyFont="1" applyBorder="1"/>
    <xf numFmtId="0" fontId="22" fillId="0" borderId="1" xfId="0" applyFont="1" applyBorder="1"/>
    <xf numFmtId="0" fontId="26" fillId="0" borderId="1" xfId="0" applyFont="1" applyBorder="1"/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3" borderId="2" xfId="0" applyFont="1" applyFill="1" applyBorder="1" applyAlignment="1">
      <alignment horizontal="left" vertical="center" indent="1"/>
    </xf>
    <xf numFmtId="0" fontId="18" fillId="0" borderId="2" xfId="0" applyFont="1" applyBorder="1" applyAlignment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444444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opLeftCell="A17" zoomScaleNormal="100" workbookViewId="0">
      <selection activeCell="A27" sqref="A27"/>
    </sheetView>
  </sheetViews>
  <sheetFormatPr defaultColWidth="8.6640625" defaultRowHeight="14.4"/>
  <cols>
    <col min="1" max="1" width="37.44140625" customWidth="1"/>
    <col min="2" max="7" width="16" customWidth="1"/>
    <col min="8" max="8" width="18" customWidth="1"/>
  </cols>
  <sheetData>
    <row r="1" spans="1:8" ht="19.5" customHeight="1">
      <c r="A1" s="26" t="s">
        <v>0</v>
      </c>
      <c r="B1" s="26"/>
      <c r="C1" s="26"/>
      <c r="D1" s="26"/>
      <c r="E1" s="26"/>
      <c r="F1" s="26"/>
      <c r="G1" s="26"/>
      <c r="H1" s="26"/>
    </row>
    <row r="2" spans="1:8" ht="13.5" customHeight="1">
      <c r="A2" s="27" t="s">
        <v>1</v>
      </c>
      <c r="B2" s="27"/>
      <c r="C2" s="27"/>
      <c r="D2" s="27"/>
      <c r="E2" s="27"/>
      <c r="F2" s="27"/>
      <c r="G2" s="27"/>
      <c r="H2" s="27"/>
    </row>
    <row r="3" spans="1:8" ht="18" customHeight="1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 ht="15.75" customHeight="1">
      <c r="A4" s="28" t="s">
        <v>10</v>
      </c>
      <c r="B4" s="28"/>
      <c r="C4" s="28"/>
      <c r="D4" s="28"/>
      <c r="E4" s="28"/>
      <c r="F4" s="28"/>
      <c r="G4" s="28"/>
      <c r="H4" s="28"/>
    </row>
    <row r="5" spans="1:8" ht="14.25" customHeight="1">
      <c r="A5" s="3" t="s">
        <v>11</v>
      </c>
      <c r="B5" s="4">
        <f>핵심가정!B4</f>
        <v>44598</v>
      </c>
      <c r="C5" s="4">
        <f>핵심가정!C4</f>
        <v>46827.9</v>
      </c>
      <c r="D5" s="4">
        <f>핵심가정!D4</f>
        <v>49169.295000000006</v>
      </c>
      <c r="E5" s="4">
        <f>핵심가정!E4</f>
        <v>51627.759750000005</v>
      </c>
      <c r="F5" s="4">
        <f>핵심가정!F4</f>
        <v>54209.14773750001</v>
      </c>
      <c r="G5" s="4">
        <f>핵심가정!G4</f>
        <v>56919.605124375012</v>
      </c>
      <c r="H5" s="4">
        <f>SUM(B5:G5)</f>
        <v>303351.70761187503</v>
      </c>
    </row>
    <row r="6" spans="1:8" ht="15" customHeight="1">
      <c r="A6" s="3" t="s">
        <v>12</v>
      </c>
      <c r="B6" s="4">
        <f>핵심가정!B9</f>
        <v>1200</v>
      </c>
      <c r="C6" s="4">
        <f>핵심가정!C9</f>
        <v>4500</v>
      </c>
      <c r="D6" s="4">
        <f>핵심가정!D9</f>
        <v>8000</v>
      </c>
      <c r="E6" s="4">
        <f>핵심가정!E9</f>
        <v>16000</v>
      </c>
      <c r="F6" s="4">
        <f>핵심가정!F9</f>
        <v>24000</v>
      </c>
      <c r="G6" s="4">
        <f>핵심가정!G9</f>
        <v>24000</v>
      </c>
      <c r="H6" s="4">
        <f>SUM(B6:G6)</f>
        <v>77700</v>
      </c>
    </row>
    <row r="7" spans="1:8" ht="15" customHeight="1">
      <c r="A7" s="3" t="s">
        <v>13</v>
      </c>
      <c r="B7" s="4">
        <f>핵심가정!B11</f>
        <v>0</v>
      </c>
      <c r="C7" s="4">
        <f>핵심가정!C11</f>
        <v>4800</v>
      </c>
      <c r="D7" s="4">
        <f>핵심가정!D11</f>
        <v>9600</v>
      </c>
      <c r="E7" s="4">
        <f>핵심가정!E11</f>
        <v>12000</v>
      </c>
      <c r="F7" s="4">
        <f>핵심가정!F11</f>
        <v>12000</v>
      </c>
      <c r="G7" s="4">
        <f>핵심가정!G11</f>
        <v>12000</v>
      </c>
      <c r="H7" s="4">
        <f>SUM(B7:G7)</f>
        <v>50400</v>
      </c>
    </row>
    <row r="8" spans="1:8" ht="15" customHeight="1">
      <c r="A8" s="3" t="s">
        <v>14</v>
      </c>
      <c r="B8" s="4">
        <f>핵심가정!B12</f>
        <v>0</v>
      </c>
      <c r="C8" s="4">
        <f>핵심가정!C12</f>
        <v>2200</v>
      </c>
      <c r="D8" s="4">
        <f>핵심가정!D12</f>
        <v>2200</v>
      </c>
      <c r="E8" s="4">
        <f>핵심가정!E12</f>
        <v>2200</v>
      </c>
      <c r="F8" s="4">
        <f>핵심가정!F12</f>
        <v>2200</v>
      </c>
      <c r="G8" s="4">
        <f>핵심가정!G12</f>
        <v>2200</v>
      </c>
      <c r="H8" s="4">
        <f>SUM(B8:G8)</f>
        <v>11000</v>
      </c>
    </row>
    <row r="9" spans="1:8" ht="15" customHeight="1">
      <c r="A9" s="3" t="s">
        <v>15</v>
      </c>
      <c r="B9" s="4">
        <f>핵심가정!B15</f>
        <v>0</v>
      </c>
      <c r="C9" s="4">
        <f>핵심가정!C15</f>
        <v>2347</v>
      </c>
      <c r="D9" s="4">
        <f>핵심가정!D15</f>
        <v>4695</v>
      </c>
      <c r="E9" s="4">
        <f>핵심가정!E15</f>
        <v>9390</v>
      </c>
      <c r="F9" s="4">
        <f>핵심가정!F15</f>
        <v>9390</v>
      </c>
      <c r="G9" s="4">
        <f>핵심가정!G15</f>
        <v>9390</v>
      </c>
      <c r="H9" s="4">
        <f>SUM(B9:G9)</f>
        <v>35212</v>
      </c>
    </row>
    <row r="10" spans="1:8" ht="14.25" customHeight="1">
      <c r="A10" s="5" t="s">
        <v>16</v>
      </c>
      <c r="B10" s="6">
        <f t="shared" ref="B10:H10" si="0">SUM(B5:B9)</f>
        <v>45798</v>
      </c>
      <c r="C10" s="6">
        <f t="shared" si="0"/>
        <v>60674.9</v>
      </c>
      <c r="D10" s="6">
        <f t="shared" si="0"/>
        <v>73664.295000000013</v>
      </c>
      <c r="E10" s="6">
        <f t="shared" si="0"/>
        <v>91217.759749999997</v>
      </c>
      <c r="F10" s="6">
        <f t="shared" si="0"/>
        <v>101799.14773750001</v>
      </c>
      <c r="G10" s="6">
        <f t="shared" si="0"/>
        <v>104509.60512437501</v>
      </c>
      <c r="H10" s="6">
        <f t="shared" si="0"/>
        <v>477663.70761187503</v>
      </c>
    </row>
    <row r="11" spans="1:8" ht="15" customHeight="1">
      <c r="A11" s="3" t="s">
        <v>17</v>
      </c>
      <c r="B11" s="7" t="s">
        <v>18</v>
      </c>
      <c r="C11" s="8">
        <f>C10/B10-1</f>
        <v>0.32483732914101049</v>
      </c>
      <c r="D11" s="8">
        <f>D10/C10-1</f>
        <v>0.21408185262769308</v>
      </c>
      <c r="E11" s="8">
        <f>E10/D10-1</f>
        <v>0.23828999856714828</v>
      </c>
      <c r="F11" s="8">
        <f>F10/E10-1</f>
        <v>0.11600140166235562</v>
      </c>
      <c r="G11" s="8">
        <f>G10/F10-1</f>
        <v>2.6625541049363211E-2</v>
      </c>
      <c r="H11" s="7" t="s">
        <v>18</v>
      </c>
    </row>
    <row r="12" spans="1:8" ht="14.25" customHeight="1">
      <c r="A12" s="3" t="s">
        <v>19</v>
      </c>
      <c r="B12" s="9">
        <f>-B5*핵심가정!B5</f>
        <v>-33716.088000000003</v>
      </c>
      <c r="C12" s="9">
        <f>-C5*핵심가정!C5</f>
        <v>-35636.031900000002</v>
      </c>
      <c r="D12" s="9">
        <f>-D5*핵심가정!D5</f>
        <v>-36901.555897500002</v>
      </c>
      <c r="E12" s="9">
        <f>-E5*핵심가정!E5</f>
        <v>-38204.542215000001</v>
      </c>
      <c r="F12" s="9">
        <f>-F5*핵심가정!F5</f>
        <v>-39545.573274506256</v>
      </c>
      <c r="G12" s="9">
        <f>-G5*핵심가정!G5</f>
        <v>-40902.428242375885</v>
      </c>
      <c r="H12" s="9">
        <f t="shared" ref="H12:H18" si="1">SUM(B12:G12)</f>
        <v>-224906.21952938213</v>
      </c>
    </row>
    <row r="13" spans="1:8" ht="15" customHeight="1">
      <c r="A13" s="10" t="s">
        <v>20</v>
      </c>
      <c r="B13" s="11">
        <f t="shared" ref="B13:G13" si="2">(B5+B12)+B15+B16+B17</f>
        <v>11481.911999999997</v>
      </c>
      <c r="C13" s="11">
        <f t="shared" si="2"/>
        <v>14493.918099999999</v>
      </c>
      <c r="D13" s="11">
        <f t="shared" si="2"/>
        <v>18151.989102500003</v>
      </c>
      <c r="E13" s="11">
        <f t="shared" si="2"/>
        <v>24251.717535000003</v>
      </c>
      <c r="F13" s="11">
        <f t="shared" si="2"/>
        <v>29492.074462993754</v>
      </c>
      <c r="G13" s="11">
        <f t="shared" si="2"/>
        <v>30845.676881999127</v>
      </c>
      <c r="H13" s="11">
        <f t="shared" si="1"/>
        <v>128717.28808249289</v>
      </c>
    </row>
    <row r="14" spans="1:8" ht="14.25" customHeight="1">
      <c r="A14" s="3" t="s">
        <v>21</v>
      </c>
      <c r="B14" s="4" t="e">
        <f>(B5+B12)-B5*핵심가정!#REF!</f>
        <v>#REF!</v>
      </c>
      <c r="C14" s="4" t="e">
        <f>(C5+C12)-C5*핵심가정!#REF!</f>
        <v>#REF!</v>
      </c>
      <c r="D14" s="4" t="e">
        <f>(D5+D12)-D5*핵심가정!#REF!</f>
        <v>#REF!</v>
      </c>
      <c r="E14" s="4" t="e">
        <f>(E5+E12)-E5*핵심가정!#REF!</f>
        <v>#REF!</v>
      </c>
      <c r="F14" s="4" t="e">
        <f>(F5+F12)-F5*핵심가정!#REF!</f>
        <v>#REF!</v>
      </c>
      <c r="G14" s="4" t="e">
        <f>(G5+G12)-G5*핵심가정!#REF!</f>
        <v>#REF!</v>
      </c>
      <c r="H14" s="4" t="e">
        <f t="shared" si="1"/>
        <v>#REF!</v>
      </c>
    </row>
    <row r="15" spans="1:8" ht="15" customHeight="1">
      <c r="A15" s="12" t="s">
        <v>22</v>
      </c>
      <c r="B15" s="4">
        <f t="shared" ref="B15:G15" si="3">B6*0.5</f>
        <v>600</v>
      </c>
      <c r="C15" s="4">
        <f t="shared" si="3"/>
        <v>2250</v>
      </c>
      <c r="D15" s="4">
        <f t="shared" si="3"/>
        <v>4000</v>
      </c>
      <c r="E15" s="4">
        <f t="shared" si="3"/>
        <v>8000</v>
      </c>
      <c r="F15" s="4">
        <f t="shared" si="3"/>
        <v>12000</v>
      </c>
      <c r="G15" s="4">
        <f t="shared" si="3"/>
        <v>12000</v>
      </c>
      <c r="H15" s="4">
        <f t="shared" si="1"/>
        <v>38850</v>
      </c>
    </row>
    <row r="16" spans="1:8" ht="15" customHeight="1">
      <c r="A16" s="3" t="s">
        <v>23</v>
      </c>
      <c r="B16" s="4">
        <f t="shared" ref="B16:G16" si="4">(B7+B8)*0.1</f>
        <v>0</v>
      </c>
      <c r="C16" s="4">
        <f t="shared" si="4"/>
        <v>700</v>
      </c>
      <c r="D16" s="4">
        <f t="shared" si="4"/>
        <v>1180</v>
      </c>
      <c r="E16" s="4">
        <f t="shared" si="4"/>
        <v>1420</v>
      </c>
      <c r="F16" s="4">
        <f t="shared" si="4"/>
        <v>1420</v>
      </c>
      <c r="G16" s="4">
        <f t="shared" si="4"/>
        <v>1420</v>
      </c>
      <c r="H16" s="4">
        <f t="shared" si="1"/>
        <v>6140</v>
      </c>
    </row>
    <row r="17" spans="1:8" ht="15" customHeight="1">
      <c r="A17" s="12" t="s">
        <v>24</v>
      </c>
      <c r="B17" s="4">
        <f t="shared" ref="B17:G17" si="5">B9*0.15</f>
        <v>0</v>
      </c>
      <c r="C17" s="4">
        <f t="shared" si="5"/>
        <v>352.05</v>
      </c>
      <c r="D17" s="4">
        <f t="shared" si="5"/>
        <v>704.25</v>
      </c>
      <c r="E17" s="4">
        <f t="shared" si="5"/>
        <v>1408.5</v>
      </c>
      <c r="F17" s="4">
        <f t="shared" si="5"/>
        <v>1408.5</v>
      </c>
      <c r="G17" s="4">
        <f t="shared" si="5"/>
        <v>1408.5</v>
      </c>
      <c r="H17" s="4">
        <f t="shared" si="1"/>
        <v>5281.8</v>
      </c>
    </row>
    <row r="18" spans="1:8" ht="14.25" customHeight="1">
      <c r="A18" s="3" t="s">
        <v>25</v>
      </c>
      <c r="B18" s="9">
        <v>0</v>
      </c>
      <c r="C18" s="9">
        <v>0</v>
      </c>
      <c r="D18" s="9">
        <v>-2000</v>
      </c>
      <c r="E18" s="9">
        <v>-2000</v>
      </c>
      <c r="F18" s="9">
        <v>-2000</v>
      </c>
      <c r="G18" s="9">
        <v>-2000</v>
      </c>
      <c r="H18" s="9">
        <f t="shared" si="1"/>
        <v>-8000</v>
      </c>
    </row>
    <row r="20" spans="1:8" ht="15.75" customHeight="1">
      <c r="A20" s="28" t="s">
        <v>26</v>
      </c>
      <c r="B20" s="28"/>
      <c r="C20" s="28"/>
      <c r="D20" s="28"/>
      <c r="E20" s="28"/>
      <c r="F20" s="28"/>
      <c r="G20" s="28"/>
      <c r="H20" s="28"/>
    </row>
    <row r="21" spans="1:8" ht="26.25" customHeight="1">
      <c r="A21" s="29" t="s">
        <v>27</v>
      </c>
      <c r="B21" s="29"/>
      <c r="C21" s="29"/>
      <c r="D21" s="29"/>
      <c r="E21" s="29"/>
      <c r="F21" s="29"/>
      <c r="G21" s="29"/>
      <c r="H21" s="29"/>
    </row>
    <row r="22" spans="1:8" ht="26.25" customHeight="1">
      <c r="A22" s="29" t="s">
        <v>28</v>
      </c>
      <c r="B22" s="29"/>
      <c r="C22" s="29"/>
      <c r="D22" s="29"/>
      <c r="E22" s="29"/>
      <c r="F22" s="29"/>
      <c r="G22" s="29"/>
      <c r="H22" s="29"/>
    </row>
    <row r="23" spans="1:8" ht="26.25" customHeight="1">
      <c r="A23" s="29" t="s">
        <v>29</v>
      </c>
      <c r="B23" s="29"/>
      <c r="C23" s="29"/>
      <c r="D23" s="29"/>
      <c r="E23" s="29"/>
      <c r="F23" s="29"/>
      <c r="G23" s="29"/>
      <c r="H23" s="29"/>
    </row>
    <row r="24" spans="1:8" ht="26.25" customHeight="1">
      <c r="A24" s="29" t="s">
        <v>30</v>
      </c>
      <c r="B24" s="29"/>
      <c r="C24" s="29"/>
      <c r="D24" s="29"/>
      <c r="E24" s="29"/>
      <c r="F24" s="29"/>
      <c r="G24" s="29"/>
      <c r="H24" s="29"/>
    </row>
  </sheetData>
  <mergeCells count="8">
    <mergeCell ref="A24:H24"/>
    <mergeCell ref="A20:H20"/>
    <mergeCell ref="A21:H21"/>
    <mergeCell ref="A22:H22"/>
    <mergeCell ref="A23:H23"/>
    <mergeCell ref="A1:H1"/>
    <mergeCell ref="A2:H2"/>
    <mergeCell ref="A4:H4"/>
  </mergeCells>
  <phoneticPr fontId="28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Normal="100" workbookViewId="0">
      <selection activeCell="A11" sqref="A11"/>
    </sheetView>
  </sheetViews>
  <sheetFormatPr defaultColWidth="8.6640625" defaultRowHeight="14.4"/>
  <cols>
    <col min="1" max="1" width="36" customWidth="1"/>
    <col min="2" max="7" width="16" customWidth="1"/>
    <col min="8" max="8" width="76.5546875" customWidth="1"/>
  </cols>
  <sheetData>
    <row r="1" spans="1:8" ht="19.5" customHeight="1">
      <c r="A1" s="26" t="s">
        <v>31</v>
      </c>
      <c r="B1" s="26"/>
      <c r="C1" s="26"/>
      <c r="D1" s="26"/>
      <c r="E1" s="26"/>
      <c r="F1" s="26"/>
      <c r="G1" s="26"/>
      <c r="H1" s="26"/>
    </row>
    <row r="2" spans="1:8" ht="18" customHeight="1">
      <c r="A2" s="1" t="s">
        <v>32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1" t="s">
        <v>33</v>
      </c>
    </row>
    <row r="3" spans="1:8" ht="15.75" customHeight="1">
      <c r="A3" s="28" t="s">
        <v>34</v>
      </c>
      <c r="B3" s="28"/>
      <c r="C3" s="28"/>
      <c r="D3" s="28"/>
      <c r="E3" s="28"/>
      <c r="F3" s="28"/>
      <c r="G3" s="28"/>
      <c r="H3" s="28"/>
    </row>
    <row r="4" spans="1:8" ht="24" customHeight="1">
      <c r="A4" s="13" t="s">
        <v>35</v>
      </c>
      <c r="B4" s="14">
        <v>44598</v>
      </c>
      <c r="C4" s="14">
        <f>B4*1.05</f>
        <v>46827.9</v>
      </c>
      <c r="D4" s="14">
        <f>C4*1.05</f>
        <v>49169.295000000006</v>
      </c>
      <c r="E4" s="14">
        <f>D4*1.05</f>
        <v>51627.759750000005</v>
      </c>
      <c r="F4" s="14">
        <f>E4*1.05</f>
        <v>54209.14773750001</v>
      </c>
      <c r="G4" s="14">
        <f>F4*1.05</f>
        <v>56919.605124375012</v>
      </c>
      <c r="H4" s="15" t="s">
        <v>36</v>
      </c>
    </row>
    <row r="5" spans="1:8" ht="24" customHeight="1">
      <c r="A5" s="13" t="s">
        <v>37</v>
      </c>
      <c r="B5" s="16">
        <v>0.75600000000000001</v>
      </c>
      <c r="C5" s="16">
        <v>0.76100000000000001</v>
      </c>
      <c r="D5" s="16">
        <v>0.75049999999999994</v>
      </c>
      <c r="E5" s="16">
        <v>0.74</v>
      </c>
      <c r="F5" s="16">
        <v>0.72950000000000004</v>
      </c>
      <c r="G5" s="16">
        <v>0.71860000000000002</v>
      </c>
      <c r="H5" s="17" t="s">
        <v>38</v>
      </c>
    </row>
    <row r="6" spans="1:8" ht="15.75" customHeight="1">
      <c r="A6" s="28" t="s">
        <v>39</v>
      </c>
      <c r="B6" s="28"/>
      <c r="C6" s="28"/>
      <c r="D6" s="28"/>
      <c r="E6" s="28"/>
      <c r="F6" s="28"/>
      <c r="G6" s="28"/>
      <c r="H6" s="28"/>
    </row>
    <row r="7" spans="1:8" ht="24" customHeight="1">
      <c r="A7" s="19" t="s">
        <v>40</v>
      </c>
      <c r="B7" s="20">
        <v>600</v>
      </c>
      <c r="C7" s="20">
        <v>2500</v>
      </c>
      <c r="D7" s="20">
        <v>5000</v>
      </c>
      <c r="E7" s="20">
        <v>10000</v>
      </c>
      <c r="F7" s="20">
        <v>15000</v>
      </c>
      <c r="G7" s="20">
        <v>15000</v>
      </c>
      <c r="H7" s="18" t="s">
        <v>41</v>
      </c>
    </row>
    <row r="8" spans="1:8" ht="24" customHeight="1">
      <c r="A8" s="19" t="s">
        <v>42</v>
      </c>
      <c r="B8" s="20">
        <v>2000</v>
      </c>
      <c r="C8" s="20">
        <v>1800</v>
      </c>
      <c r="D8" s="20">
        <v>1600</v>
      </c>
      <c r="E8" s="20">
        <v>1600</v>
      </c>
      <c r="F8" s="20">
        <v>1600</v>
      </c>
      <c r="G8" s="20">
        <v>1600</v>
      </c>
      <c r="H8" s="18" t="s">
        <v>43</v>
      </c>
    </row>
    <row r="9" spans="1:8" ht="15" customHeight="1">
      <c r="A9" s="19" t="s">
        <v>44</v>
      </c>
      <c r="B9" s="20">
        <f t="shared" ref="B9:G9" si="0">B7*B8/1000</f>
        <v>1200</v>
      </c>
      <c r="C9" s="20">
        <f t="shared" si="0"/>
        <v>4500</v>
      </c>
      <c r="D9" s="20">
        <f t="shared" si="0"/>
        <v>8000</v>
      </c>
      <c r="E9" s="20">
        <f t="shared" si="0"/>
        <v>16000</v>
      </c>
      <c r="F9" s="20">
        <f t="shared" si="0"/>
        <v>24000</v>
      </c>
      <c r="G9" s="20">
        <f t="shared" si="0"/>
        <v>24000</v>
      </c>
      <c r="H9" s="18" t="s">
        <v>45</v>
      </c>
    </row>
    <row r="10" spans="1:8" ht="15.75" customHeight="1">
      <c r="A10" s="28" t="s">
        <v>46</v>
      </c>
      <c r="B10" s="28"/>
      <c r="C10" s="28"/>
      <c r="D10" s="28"/>
      <c r="E10" s="28"/>
      <c r="F10" s="28"/>
      <c r="G10" s="28"/>
      <c r="H10" s="28"/>
    </row>
    <row r="11" spans="1:8" ht="24" customHeight="1">
      <c r="A11" s="19" t="s">
        <v>47</v>
      </c>
      <c r="B11" s="20">
        <v>0</v>
      </c>
      <c r="C11" s="20">
        <v>4800</v>
      </c>
      <c r="D11" s="20">
        <v>9600</v>
      </c>
      <c r="E11" s="20">
        <v>12000</v>
      </c>
      <c r="F11" s="20">
        <v>12000</v>
      </c>
      <c r="G11" s="20">
        <v>12000</v>
      </c>
      <c r="H11" s="17" t="s">
        <v>48</v>
      </c>
    </row>
    <row r="12" spans="1:8" ht="24" customHeight="1">
      <c r="A12" s="13" t="s">
        <v>49</v>
      </c>
      <c r="B12" s="20">
        <v>0</v>
      </c>
      <c r="C12" s="20">
        <v>2200</v>
      </c>
      <c r="D12" s="20">
        <v>2200</v>
      </c>
      <c r="E12" s="20">
        <v>2200</v>
      </c>
      <c r="F12" s="20">
        <v>2200</v>
      </c>
      <c r="G12" s="20">
        <v>2200</v>
      </c>
      <c r="H12" s="17" t="s">
        <v>50</v>
      </c>
    </row>
    <row r="13" spans="1:8" ht="15" customHeight="1">
      <c r="A13" s="13" t="s">
        <v>51</v>
      </c>
      <c r="B13" s="20">
        <f t="shared" ref="B13:G13" si="1">B11+B12</f>
        <v>0</v>
      </c>
      <c r="C13" s="20">
        <f t="shared" si="1"/>
        <v>7000</v>
      </c>
      <c r="D13" s="20">
        <f t="shared" si="1"/>
        <v>11800</v>
      </c>
      <c r="E13" s="20">
        <f t="shared" si="1"/>
        <v>14200</v>
      </c>
      <c r="F13" s="20">
        <f t="shared" si="1"/>
        <v>14200</v>
      </c>
      <c r="G13" s="20">
        <f t="shared" si="1"/>
        <v>14200</v>
      </c>
      <c r="H13" s="18" t="s">
        <v>52</v>
      </c>
    </row>
    <row r="14" spans="1:8" ht="15.75" customHeight="1">
      <c r="A14" s="28" t="s">
        <v>53</v>
      </c>
      <c r="B14" s="28"/>
      <c r="C14" s="28"/>
      <c r="D14" s="28"/>
      <c r="E14" s="28"/>
      <c r="F14" s="28"/>
      <c r="G14" s="28"/>
      <c r="H14" s="28"/>
    </row>
    <row r="15" spans="1:8" ht="35.25" customHeight="1">
      <c r="A15" s="19" t="s">
        <v>54</v>
      </c>
      <c r="B15" s="20">
        <v>0</v>
      </c>
      <c r="C15" s="20">
        <v>2347</v>
      </c>
      <c r="D15" s="20">
        <v>4695</v>
      </c>
      <c r="E15" s="20">
        <v>9390</v>
      </c>
      <c r="F15" s="20">
        <v>9390</v>
      </c>
      <c r="G15" s="20">
        <v>9390</v>
      </c>
      <c r="H15" s="18" t="s">
        <v>55</v>
      </c>
    </row>
    <row r="16" spans="1:8" ht="24" customHeight="1">
      <c r="A16" s="13" t="s">
        <v>56</v>
      </c>
      <c r="B16" s="20">
        <v>0</v>
      </c>
      <c r="C16" s="20">
        <v>100</v>
      </c>
      <c r="D16" s="20">
        <v>100</v>
      </c>
      <c r="E16" s="20">
        <v>200</v>
      </c>
      <c r="F16" s="20">
        <v>200</v>
      </c>
      <c r="G16" s="20">
        <v>200</v>
      </c>
      <c r="H16" s="17" t="s">
        <v>57</v>
      </c>
    </row>
  </sheetData>
  <mergeCells count="5">
    <mergeCell ref="A1:H1"/>
    <mergeCell ref="A3:H3"/>
    <mergeCell ref="A6:H6"/>
    <mergeCell ref="A10:H10"/>
    <mergeCell ref="A14:H14"/>
  </mergeCells>
  <phoneticPr fontId="2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tabSelected="1" zoomScaleNormal="100" workbookViewId="0">
      <selection activeCell="B16" sqref="B16"/>
    </sheetView>
  </sheetViews>
  <sheetFormatPr defaultColWidth="8.6640625" defaultRowHeight="14.4"/>
  <cols>
    <col min="1" max="1" width="36" customWidth="1"/>
    <col min="2" max="3" width="20" customWidth="1"/>
    <col min="4" max="4" width="24" customWidth="1"/>
  </cols>
  <sheetData>
    <row r="1" spans="1:4" ht="19.5" customHeight="1">
      <c r="A1" s="26" t="s">
        <v>58</v>
      </c>
      <c r="B1" s="26"/>
      <c r="C1" s="26"/>
      <c r="D1" s="26"/>
    </row>
    <row r="2" spans="1:4" ht="15" customHeight="1">
      <c r="A2" s="13" t="s">
        <v>59</v>
      </c>
      <c r="B2" s="21" t="s">
        <v>60</v>
      </c>
      <c r="C2" s="22" t="s">
        <v>61</v>
      </c>
      <c r="D2" s="23" t="s">
        <v>62</v>
      </c>
    </row>
    <row r="3" spans="1:4" ht="15" customHeight="1">
      <c r="A3" s="13" t="s">
        <v>63</v>
      </c>
      <c r="B3" s="21" t="s">
        <v>64</v>
      </c>
      <c r="C3" s="22" t="s">
        <v>65</v>
      </c>
      <c r="D3" s="23" t="s">
        <v>66</v>
      </c>
    </row>
    <row r="4" spans="1:4" ht="15" customHeight="1">
      <c r="A4" s="13" t="s">
        <v>67</v>
      </c>
      <c r="B4" s="21" t="s">
        <v>68</v>
      </c>
      <c r="C4" s="22" t="s">
        <v>69</v>
      </c>
      <c r="D4" s="23"/>
    </row>
    <row r="5" spans="1:4" ht="15" customHeight="1">
      <c r="A5" s="13" t="s">
        <v>70</v>
      </c>
      <c r="B5" s="21" t="s">
        <v>71</v>
      </c>
      <c r="C5" s="22"/>
      <c r="D5" s="23"/>
    </row>
    <row r="6" spans="1:4" ht="14.25" customHeight="1">
      <c r="A6" s="13" t="s">
        <v>72</v>
      </c>
      <c r="B6" s="21" t="s">
        <v>73</v>
      </c>
      <c r="C6" s="24" t="s">
        <v>74</v>
      </c>
      <c r="D6" s="23"/>
    </row>
    <row r="7" spans="1:4" ht="15" customHeight="1">
      <c r="A7" s="13" t="s">
        <v>75</v>
      </c>
      <c r="B7" s="21" t="s">
        <v>76</v>
      </c>
      <c r="C7" s="24" t="s">
        <v>77</v>
      </c>
      <c r="D7" s="23"/>
    </row>
    <row r="8" spans="1:4" ht="15" customHeight="1">
      <c r="A8" s="13" t="s">
        <v>78</v>
      </c>
      <c r="B8" s="21" t="s">
        <v>79</v>
      </c>
      <c r="C8" s="24" t="s">
        <v>80</v>
      </c>
      <c r="D8" s="23"/>
    </row>
    <row r="9" spans="1:4" ht="15" customHeight="1">
      <c r="A9" s="13" t="s">
        <v>81</v>
      </c>
      <c r="B9" s="21" t="s">
        <v>82</v>
      </c>
      <c r="C9" s="24"/>
      <c r="D9" s="23"/>
    </row>
    <row r="10" spans="1:4" ht="15" customHeight="1">
      <c r="A10" s="13" t="s">
        <v>83</v>
      </c>
      <c r="B10" s="21" t="s">
        <v>84</v>
      </c>
      <c r="C10" s="24" t="s">
        <v>85</v>
      </c>
      <c r="D10" s="23"/>
    </row>
    <row r="11" spans="1:4" ht="15" customHeight="1">
      <c r="A11" s="19" t="s">
        <v>86</v>
      </c>
      <c r="B11" s="21" t="s">
        <v>87</v>
      </c>
      <c r="C11" s="24" t="s">
        <v>88</v>
      </c>
      <c r="D11" s="23"/>
    </row>
    <row r="12" spans="1:4" ht="15" customHeight="1">
      <c r="A12" s="19" t="s">
        <v>89</v>
      </c>
      <c r="B12" s="21" t="s">
        <v>90</v>
      </c>
      <c r="C12" s="24" t="s">
        <v>91</v>
      </c>
      <c r="D12" s="23"/>
    </row>
    <row r="13" spans="1:4" ht="15" customHeight="1">
      <c r="A13" s="19" t="s">
        <v>92</v>
      </c>
      <c r="B13" s="21" t="s">
        <v>93</v>
      </c>
      <c r="C13" s="22" t="s">
        <v>94</v>
      </c>
      <c r="D13" s="23"/>
    </row>
    <row r="14" spans="1:4" ht="15" customHeight="1">
      <c r="A14" s="19" t="s">
        <v>95</v>
      </c>
      <c r="B14" s="21" t="s">
        <v>96</v>
      </c>
      <c r="C14" s="24" t="s">
        <v>97</v>
      </c>
      <c r="D14" s="25" t="s">
        <v>98</v>
      </c>
    </row>
    <row r="15" spans="1:4" ht="14.25" customHeight="1">
      <c r="A15" s="13" t="s">
        <v>99</v>
      </c>
      <c r="B15" s="21" t="s">
        <v>100</v>
      </c>
      <c r="C15" s="24"/>
      <c r="D15" s="23" t="s">
        <v>101</v>
      </c>
    </row>
  </sheetData>
  <mergeCells count="1">
    <mergeCell ref="A1:D1"/>
  </mergeCells>
  <phoneticPr fontId="28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통합사업계획</vt:lpstr>
      <vt:lpstr>핵심가정</vt:lpstr>
      <vt:lpstr>AI서버CNC_계산근거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임재홍</cp:lastModifiedBy>
  <cp:revision>0</cp:revision>
  <dcterms:created xsi:type="dcterms:W3CDTF">2026-06-15T11:08:53Z</dcterms:created>
  <dcterms:modified xsi:type="dcterms:W3CDTF">2026-06-19T08:32:10Z</dcterms:modified>
  <dc:language>en-US</dc:language>
</cp:coreProperties>
</file>