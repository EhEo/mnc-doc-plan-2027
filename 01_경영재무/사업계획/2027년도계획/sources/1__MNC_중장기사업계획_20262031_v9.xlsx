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01_경영재무/사업계획/2027년도계획/sources/"/>
    </mc:Choice>
  </mc:AlternateContent>
  <xr:revisionPtr revIDLastSave="7" documentId="8_{562BB73F-7A5A-4F91-8F23-5FC783E144F2}" xr6:coauthVersionLast="47" xr6:coauthVersionMax="47" xr10:uidLastSave="{1C691CD5-C004-482B-9790-15032DA4A099}"/>
  <bookViews>
    <workbookView xWindow="780" yWindow="780" windowWidth="27435" windowHeight="13695" tabRatio="500" xr2:uid="{00000000-000D-0000-FFFF-FFFF00000000}"/>
  </bookViews>
  <sheets>
    <sheet name="통합사업계획" sheetId="1" r:id="rId1"/>
    <sheet name="핵심가정" sheetId="2" r:id="rId2"/>
    <sheet name="AI서버CNC_계산근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" l="1"/>
  <c r="C10" i="1"/>
  <c r="C23" i="3"/>
  <c r="G25" i="2"/>
  <c r="F25" i="2"/>
  <c r="E25" i="2"/>
  <c r="D25" i="2"/>
  <c r="C25" i="2"/>
  <c r="B25" i="2"/>
  <c r="G14" i="2"/>
  <c r="F14" i="2"/>
  <c r="E14" i="2"/>
  <c r="D14" i="2"/>
  <c r="C14" i="2"/>
  <c r="B14" i="2"/>
  <c r="G10" i="2"/>
  <c r="F10" i="2"/>
  <c r="E10" i="2"/>
  <c r="D10" i="2"/>
  <c r="C10" i="2"/>
  <c r="B10" i="2"/>
  <c r="D6" i="2"/>
  <c r="E6" i="2" s="1"/>
  <c r="F6" i="2" s="1"/>
  <c r="G6" i="2" s="1"/>
  <c r="C6" i="2"/>
  <c r="E4" i="2"/>
  <c r="F4" i="2" s="1"/>
  <c r="D4" i="2"/>
  <c r="C4" i="2"/>
  <c r="C56" i="1"/>
  <c r="C23" i="2" s="1"/>
  <c r="B56" i="1"/>
  <c r="B23" i="1" s="1"/>
  <c r="H54" i="1"/>
  <c r="G53" i="1"/>
  <c r="G52" i="1"/>
  <c r="G38" i="1" s="1"/>
  <c r="F52" i="1"/>
  <c r="F38" i="1" s="1"/>
  <c r="E52" i="1"/>
  <c r="D52" i="1"/>
  <c r="C52" i="1"/>
  <c r="C38" i="1" s="1"/>
  <c r="B52" i="1"/>
  <c r="H52" i="1" s="1"/>
  <c r="G51" i="1"/>
  <c r="F51" i="1"/>
  <c r="F37" i="1" s="1"/>
  <c r="E51" i="1"/>
  <c r="E37" i="1" s="1"/>
  <c r="D51" i="1"/>
  <c r="C51" i="1"/>
  <c r="B51" i="1"/>
  <c r="H51" i="1" s="1"/>
  <c r="G50" i="1"/>
  <c r="F50" i="1"/>
  <c r="E50" i="1"/>
  <c r="E36" i="1" s="1"/>
  <c r="E39" i="1" s="1"/>
  <c r="D50" i="1"/>
  <c r="D36" i="1" s="1"/>
  <c r="H36" i="1" s="1"/>
  <c r="C50" i="1"/>
  <c r="G55" i="1" s="1"/>
  <c r="G56" i="1" s="1"/>
  <c r="B50" i="1"/>
  <c r="G49" i="1"/>
  <c r="F49" i="1"/>
  <c r="F53" i="1" s="1"/>
  <c r="E49" i="1"/>
  <c r="E53" i="1" s="1"/>
  <c r="D49" i="1"/>
  <c r="D35" i="1" s="1"/>
  <c r="C49" i="1"/>
  <c r="H49" i="1" s="1"/>
  <c r="B49" i="1"/>
  <c r="B53" i="1" s="1"/>
  <c r="H40" i="1"/>
  <c r="E38" i="1"/>
  <c r="D38" i="1"/>
  <c r="B38" i="1"/>
  <c r="H38" i="1" s="1"/>
  <c r="G37" i="1"/>
  <c r="D37" i="1"/>
  <c r="C37" i="1"/>
  <c r="G36" i="1"/>
  <c r="G39" i="1" s="1"/>
  <c r="F36" i="1"/>
  <c r="C36" i="1"/>
  <c r="B36" i="1"/>
  <c r="G35" i="1"/>
  <c r="F35" i="1"/>
  <c r="E35" i="1"/>
  <c r="B35" i="1"/>
  <c r="H33" i="1"/>
  <c r="H30" i="1"/>
  <c r="H22" i="1"/>
  <c r="G21" i="1"/>
  <c r="F21" i="1"/>
  <c r="E21" i="1"/>
  <c r="D21" i="1"/>
  <c r="C21" i="1"/>
  <c r="H21" i="1" s="1"/>
  <c r="B21" i="1"/>
  <c r="H18" i="1"/>
  <c r="E17" i="1"/>
  <c r="G16" i="1"/>
  <c r="G15" i="1"/>
  <c r="F15" i="1"/>
  <c r="D12" i="1"/>
  <c r="C12" i="1"/>
  <c r="G9" i="1"/>
  <c r="G17" i="1" s="1"/>
  <c r="F9" i="1"/>
  <c r="F17" i="1" s="1"/>
  <c r="E9" i="1"/>
  <c r="E69" i="1" s="1"/>
  <c r="D9" i="1"/>
  <c r="D17" i="1" s="1"/>
  <c r="C9" i="1"/>
  <c r="C17" i="1" s="1"/>
  <c r="B9" i="1"/>
  <c r="G8" i="1"/>
  <c r="F8" i="1"/>
  <c r="E8" i="1"/>
  <c r="D8" i="1"/>
  <c r="C8" i="1"/>
  <c r="B8" i="1"/>
  <c r="H8" i="1" s="1"/>
  <c r="G7" i="1"/>
  <c r="F7" i="1"/>
  <c r="E7" i="1"/>
  <c r="D7" i="1"/>
  <c r="D10" i="1" s="1"/>
  <c r="C7" i="1"/>
  <c r="B7" i="1"/>
  <c r="H7" i="1" s="1"/>
  <c r="G6" i="1"/>
  <c r="F6" i="1"/>
  <c r="E6" i="1"/>
  <c r="E67" i="1" s="1"/>
  <c r="D6" i="1"/>
  <c r="C6" i="1"/>
  <c r="C15" i="1" s="1"/>
  <c r="B6" i="1"/>
  <c r="E5" i="1"/>
  <c r="E10" i="1" s="1"/>
  <c r="D5" i="1"/>
  <c r="D14" i="1" s="1"/>
  <c r="B5" i="1"/>
  <c r="B12" i="1" s="1"/>
  <c r="F5" i="1" l="1"/>
  <c r="G4" i="2"/>
  <c r="G5" i="1" s="1"/>
  <c r="G23" i="1"/>
  <c r="G32" i="1" s="1"/>
  <c r="G23" i="2"/>
  <c r="B67" i="1"/>
  <c r="D62" i="1"/>
  <c r="E68" i="1"/>
  <c r="D39" i="1"/>
  <c r="B32" i="1"/>
  <c r="E62" i="1"/>
  <c r="E11" i="1"/>
  <c r="H53" i="1"/>
  <c r="D67" i="1"/>
  <c r="F39" i="1"/>
  <c r="C23" i="1"/>
  <c r="C32" i="1" s="1"/>
  <c r="H9" i="1"/>
  <c r="E12" i="1"/>
  <c r="B17" i="1"/>
  <c r="H17" i="1" s="1"/>
  <c r="B37" i="1"/>
  <c r="C69" i="1"/>
  <c r="B10" i="1"/>
  <c r="B62" i="1" s="1"/>
  <c r="B16" i="1"/>
  <c r="D55" i="1"/>
  <c r="B68" i="1"/>
  <c r="D69" i="1"/>
  <c r="B15" i="1"/>
  <c r="C16" i="1"/>
  <c r="C13" i="1" s="1"/>
  <c r="H50" i="1"/>
  <c r="C53" i="1"/>
  <c r="E55" i="1"/>
  <c r="E56" i="1" s="1"/>
  <c r="D53" i="1"/>
  <c r="F55" i="1"/>
  <c r="F56" i="1" s="1"/>
  <c r="D68" i="1"/>
  <c r="B23" i="2"/>
  <c r="H6" i="1"/>
  <c r="B14" i="1"/>
  <c r="D16" i="1"/>
  <c r="H5" i="1"/>
  <c r="H10" i="1" s="1"/>
  <c r="H62" i="1" s="1"/>
  <c r="C14" i="1"/>
  <c r="D15" i="1"/>
  <c r="D13" i="1" s="1"/>
  <c r="E16" i="1"/>
  <c r="C35" i="1"/>
  <c r="C39" i="1" s="1"/>
  <c r="E15" i="1"/>
  <c r="F16" i="1"/>
  <c r="H15" i="1" l="1"/>
  <c r="H37" i="1"/>
  <c r="B39" i="1"/>
  <c r="H39" i="1" s="1"/>
  <c r="C62" i="1"/>
  <c r="C11" i="1"/>
  <c r="F23" i="2"/>
  <c r="F23" i="1"/>
  <c r="F32" i="1" s="1"/>
  <c r="E14" i="1"/>
  <c r="E19" i="1" s="1"/>
  <c r="E13" i="1"/>
  <c r="D19" i="1"/>
  <c r="C19" i="1"/>
  <c r="H55" i="1"/>
  <c r="D56" i="1"/>
  <c r="H35" i="1"/>
  <c r="G10" i="1"/>
  <c r="G12" i="1"/>
  <c r="G13" i="1" s="1"/>
  <c r="G14" i="1"/>
  <c r="G19" i="1" s="1"/>
  <c r="C68" i="1"/>
  <c r="C67" i="1"/>
  <c r="B13" i="1"/>
  <c r="E23" i="2"/>
  <c r="E23" i="1"/>
  <c r="E32" i="1" s="1"/>
  <c r="B19" i="1"/>
  <c r="H16" i="1"/>
  <c r="D11" i="1"/>
  <c r="F10" i="1"/>
  <c r="F12" i="1"/>
  <c r="F13" i="1" s="1"/>
  <c r="B69" i="1"/>
  <c r="H13" i="1" l="1"/>
  <c r="H12" i="1"/>
  <c r="D23" i="2"/>
  <c r="D23" i="1"/>
  <c r="H56" i="1"/>
  <c r="E63" i="1"/>
  <c r="E20" i="1"/>
  <c r="E24" i="1"/>
  <c r="E65" i="1" s="1"/>
  <c r="E25" i="1"/>
  <c r="F11" i="1"/>
  <c r="F62" i="1"/>
  <c r="F67" i="1"/>
  <c r="F69" i="1"/>
  <c r="F68" i="1"/>
  <c r="F14" i="1"/>
  <c r="F19" i="1" s="1"/>
  <c r="H19" i="1" s="1"/>
  <c r="H63" i="1" s="1"/>
  <c r="C24" i="1"/>
  <c r="C65" i="1" s="1"/>
  <c r="C25" i="1"/>
  <c r="C63" i="1"/>
  <c r="C20" i="1"/>
  <c r="B63" i="1"/>
  <c r="B24" i="1"/>
  <c r="B25" i="1"/>
  <c r="B20" i="1"/>
  <c r="D25" i="1"/>
  <c r="D63" i="1"/>
  <c r="D20" i="1"/>
  <c r="G62" i="1"/>
  <c r="G11" i="1"/>
  <c r="G69" i="1"/>
  <c r="G68" i="1"/>
  <c r="G67" i="1"/>
  <c r="G63" i="1"/>
  <c r="G20" i="1"/>
  <c r="G24" i="1"/>
  <c r="G65" i="1" s="1"/>
  <c r="G25" i="1"/>
  <c r="H14" i="1" l="1"/>
  <c r="F20" i="1"/>
  <c r="F63" i="1"/>
  <c r="F25" i="1"/>
  <c r="F24" i="1"/>
  <c r="F65" i="1" s="1"/>
  <c r="B26" i="1"/>
  <c r="B27" i="1"/>
  <c r="H25" i="1"/>
  <c r="D32" i="1"/>
  <c r="H32" i="1" s="1"/>
  <c r="H23" i="1"/>
  <c r="G26" i="1"/>
  <c r="G27" i="1" s="1"/>
  <c r="B65" i="1"/>
  <c r="D24" i="1"/>
  <c r="D65" i="1" s="1"/>
  <c r="D26" i="1"/>
  <c r="D27" i="1" s="1"/>
  <c r="C26" i="1"/>
  <c r="C27" i="1" s="1"/>
  <c r="E26" i="1"/>
  <c r="E27" i="1"/>
  <c r="D28" i="1" l="1"/>
  <c r="D31" i="1"/>
  <c r="D34" i="1" s="1"/>
  <c r="D64" i="1"/>
  <c r="B60" i="1"/>
  <c r="B59" i="1"/>
  <c r="B58" i="1"/>
  <c r="G28" i="1"/>
  <c r="G64" i="1"/>
  <c r="G31" i="1"/>
  <c r="G34" i="1" s="1"/>
  <c r="H24" i="1"/>
  <c r="H65" i="1" s="1"/>
  <c r="E28" i="1"/>
  <c r="E64" i="1"/>
  <c r="E31" i="1"/>
  <c r="E34" i="1" s="1"/>
  <c r="F26" i="1"/>
  <c r="H26" i="1" s="1"/>
  <c r="B64" i="1"/>
  <c r="B31" i="1"/>
  <c r="B28" i="1"/>
  <c r="C64" i="1"/>
  <c r="C31" i="1"/>
  <c r="C34" i="1" s="1"/>
  <c r="C28" i="1"/>
  <c r="B34" i="1" l="1"/>
  <c r="F27" i="1"/>
  <c r="B41" i="1" l="1"/>
  <c r="F28" i="1"/>
  <c r="F64" i="1"/>
  <c r="F31" i="1"/>
  <c r="H27" i="1"/>
  <c r="H64" i="1" s="1"/>
  <c r="F34" i="1" l="1"/>
  <c r="H34" i="1" s="1"/>
  <c r="H31" i="1"/>
  <c r="B66" i="1"/>
  <c r="C30" i="1"/>
  <c r="C41" i="1" s="1"/>
  <c r="C66" i="1" l="1"/>
  <c r="D30" i="1"/>
  <c r="D41" i="1" s="1"/>
  <c r="D66" i="1" l="1"/>
  <c r="E30" i="1"/>
  <c r="E41" i="1" s="1"/>
  <c r="E66" i="1" l="1"/>
  <c r="F30" i="1"/>
  <c r="F41" i="1" s="1"/>
  <c r="G30" i="1" l="1"/>
  <c r="G41" i="1" s="1"/>
  <c r="F66" i="1"/>
  <c r="H41" i="1" l="1"/>
  <c r="H66" i="1"/>
  <c r="G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000-000001000000}">
      <text>
        <r>
          <rPr>
            <sz val="10"/>
            <rFont val="Arial"/>
            <family val="2"/>
          </rPr>
          <t>A</t>
        </r>
        <r>
          <rPr>
            <sz val="10"/>
            <rFont val="Noto Sans CJK SC"/>
            <family val="2"/>
          </rPr>
          <t xml:space="preserve">사 프로젝트 영업이익률 가정 </t>
        </r>
        <r>
          <rPr>
            <sz val="10"/>
            <rFont val="Arial"/>
            <family val="2"/>
          </rPr>
          <t>50% (</t>
        </r>
        <r>
          <rPr>
            <sz val="10"/>
            <rFont val="Noto Sans CJK SC"/>
            <family val="2"/>
          </rPr>
          <t xml:space="preserve">양산 단가 </t>
        </r>
        <r>
          <rPr>
            <sz val="10"/>
            <rFont val="Arial"/>
            <family val="2"/>
          </rPr>
          <t xml:space="preserve">$1,600 </t>
        </r>
        <r>
          <rPr>
            <sz val="10"/>
            <rFont val="Noto Sans CJK SC"/>
            <family val="2"/>
          </rPr>
          <t>기준</t>
        </r>
        <r>
          <rPr>
            <sz val="10"/>
            <rFont val="Arial"/>
            <family val="2"/>
          </rPr>
          <t>)</t>
        </r>
      </text>
    </comment>
    <comment ref="B16" authorId="0" shapeId="0" xr:uid="{00000000-0006-0000-0000-000002000000}">
      <text>
        <r>
          <rPr>
            <sz val="10"/>
            <rFont val="Noto Sans CJK SC"/>
            <family val="2"/>
          </rPr>
          <t>삼성</t>
        </r>
        <r>
          <rPr>
            <sz val="10"/>
            <rFont val="Arial"/>
            <family val="2"/>
          </rPr>
          <t xml:space="preserve">DX </t>
        </r>
        <r>
          <rPr>
            <sz val="10"/>
            <rFont val="Noto Sans CJK SC"/>
            <family val="2"/>
          </rPr>
          <t xml:space="preserve">영업이익률 가정 </t>
        </r>
        <r>
          <rPr>
            <sz val="10"/>
            <rFont val="Arial"/>
            <family val="2"/>
          </rPr>
          <t>10%</t>
        </r>
      </text>
    </comment>
    <comment ref="B17" authorId="0" shapeId="0" xr:uid="{00000000-0006-0000-0000-000003000000}">
      <text>
        <r>
          <rPr>
            <sz val="10"/>
            <rFont val="Arial"/>
            <family val="2"/>
          </rPr>
          <t>AI</t>
        </r>
        <r>
          <rPr>
            <sz val="10"/>
            <rFont val="Noto Sans CJK SC"/>
            <family val="2"/>
          </rPr>
          <t xml:space="preserve">서버 </t>
        </r>
        <r>
          <rPr>
            <sz val="10"/>
            <rFont val="Arial"/>
            <family val="2"/>
          </rPr>
          <t xml:space="preserve">CNC </t>
        </r>
        <r>
          <rPr>
            <sz val="10"/>
            <rFont val="Noto Sans CJK SC"/>
            <family val="2"/>
          </rPr>
          <t xml:space="preserve">영업이익률 가정 </t>
        </r>
        <r>
          <rPr>
            <sz val="10"/>
            <rFont val="Arial"/>
            <family val="2"/>
          </rPr>
          <t>15%</t>
        </r>
      </text>
    </comment>
    <comment ref="B30" authorId="0" shapeId="0" xr:uid="{00000000-0006-0000-0000-000004000000}">
      <text>
        <r>
          <rPr>
            <sz val="10"/>
            <rFont val="Arial"/>
            <family val="2"/>
          </rPr>
          <t>Source: 202606152026Y BIZ Plan Rev27, sheet "11. CF-2026", Jan.26 Beginning = $3,063,846.62.
(</t>
        </r>
        <r>
          <rPr>
            <sz val="10"/>
            <rFont val="Noto Sans CJK SC"/>
            <family val="2"/>
          </rPr>
          <t xml:space="preserve">기존 모델 </t>
        </r>
        <r>
          <rPr>
            <sz val="10"/>
            <rFont val="Arial"/>
            <family val="2"/>
          </rPr>
          <t xml:space="preserve">$2,020K -&gt;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$3,063.847K </t>
        </r>
        <r>
          <rPr>
            <sz val="10"/>
            <rFont val="Noto Sans CJK SC"/>
            <family val="2"/>
          </rPr>
          <t>로 수정</t>
        </r>
        <r>
          <rPr>
            <sz val="10"/>
            <rFont val="Arial"/>
            <family val="2"/>
          </rPr>
          <t>)</t>
        </r>
      </text>
    </comment>
    <comment ref="B40" authorId="0" shapeId="0" xr:uid="{00000000-0006-0000-0000-000005000000}">
      <text>
        <r>
          <rPr>
            <sz val="10"/>
            <rFont val="Noto Sans CJK SC"/>
            <family val="2"/>
          </rPr>
          <t>대표님 지시</t>
        </r>
        <r>
          <rPr>
            <sz val="10"/>
            <rFont val="Arial"/>
            <family val="2"/>
          </rPr>
          <t xml:space="preserve">(v6): </t>
        </r>
        <r>
          <rPr>
            <sz val="10"/>
            <rFont val="Noto Sans CJK SC"/>
            <family val="2"/>
          </rPr>
          <t xml:space="preserve">원래 상환액 </t>
        </r>
        <r>
          <rPr>
            <sz val="10"/>
            <rFont val="Arial"/>
            <family val="2"/>
          </rPr>
          <t>~$6.43M(2026 $2M+2027 $2M+2028 $2.43M)</t>
        </r>
        <r>
          <rPr>
            <sz val="10"/>
            <rFont val="Noto Sans CJK SC"/>
            <family val="2"/>
          </rPr>
          <t xml:space="preserve">을 현금이 빠듯한 </t>
        </r>
        <r>
          <rPr>
            <sz val="10"/>
            <rFont val="Arial"/>
            <family val="2"/>
          </rPr>
          <t>2026~2029</t>
        </r>
        <r>
          <rPr>
            <sz val="10"/>
            <rFont val="Noto Sans CJK SC"/>
            <family val="2"/>
          </rPr>
          <t>년 동안 유예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현금이 충분해지는 </t>
        </r>
        <r>
          <rPr>
            <sz val="10"/>
            <rFont val="Arial"/>
            <family val="2"/>
          </rPr>
          <t>2030</t>
        </r>
        <r>
          <rPr>
            <sz val="10"/>
            <rFont val="Noto Sans CJK SC"/>
            <family val="2"/>
          </rPr>
          <t xml:space="preserve">년부터 </t>
        </r>
        <r>
          <rPr>
            <sz val="10"/>
            <rFont val="Arial"/>
            <family val="2"/>
          </rPr>
          <t>$2M/</t>
        </r>
        <r>
          <rPr>
            <sz val="10"/>
            <rFont val="Noto Sans CJK SC"/>
            <family val="2"/>
          </rPr>
          <t>년 분할상환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계획구간 내</t>
        </r>
        <r>
          <rPr>
            <sz val="10"/>
            <rFont val="Arial"/>
            <family val="2"/>
          </rPr>
          <t>: 2030 -$2M, 2031 -$2M (</t>
        </r>
        <r>
          <rPr>
            <sz val="10"/>
            <rFont val="Noto Sans CJK SC"/>
            <family val="2"/>
          </rPr>
          <t xml:space="preserve">계 </t>
        </r>
        <r>
          <rPr>
            <sz val="10"/>
            <rFont val="Arial"/>
            <family val="2"/>
          </rPr>
          <t xml:space="preserve">-$4M). </t>
        </r>
        <r>
          <rPr>
            <sz val="10"/>
            <rFont val="Noto Sans CJK SC"/>
            <family val="2"/>
          </rPr>
          <t xml:space="preserve">잔여 </t>
        </r>
        <r>
          <rPr>
            <sz val="10"/>
            <rFont val="Arial"/>
            <family val="2"/>
          </rPr>
          <t>~$2.43M</t>
        </r>
        <r>
          <rPr>
            <sz val="10"/>
            <rFont val="Noto Sans CJK SC"/>
            <family val="2"/>
          </rPr>
          <t xml:space="preserve">은 </t>
        </r>
        <r>
          <rPr>
            <sz val="10"/>
            <rFont val="Arial"/>
            <family val="2"/>
          </rPr>
          <t>2032</t>
        </r>
        <r>
          <rPr>
            <sz val="10"/>
            <rFont val="Noto Sans CJK SC"/>
            <family val="2"/>
          </rPr>
          <t>년 상환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구간 외</t>
        </r>
        <r>
          <rPr>
            <sz val="10"/>
            <rFont val="Arial"/>
            <family val="2"/>
          </rPr>
          <t xml:space="preserve">).
※ </t>
        </r>
        <r>
          <rPr>
            <sz val="10"/>
            <rFont val="Noto Sans CJK SC"/>
            <family val="2"/>
          </rPr>
          <t xml:space="preserve">유예기간 부채 유지 → 순이자비용 </t>
        </r>
        <r>
          <rPr>
            <sz val="10"/>
            <rFont val="Arial"/>
            <family val="2"/>
          </rPr>
          <t xml:space="preserve">declining </t>
        </r>
        <r>
          <rPr>
            <sz val="10"/>
            <rFont val="Noto Sans CJK SC"/>
            <family val="2"/>
          </rPr>
          <t>가정은 다소 낙관적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재검토 권고</t>
        </r>
        <r>
          <rPr>
            <sz val="10"/>
            <rFont val="Arial"/>
            <family val="2"/>
          </rPr>
          <t>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5" authorId="0" shapeId="0" xr:uid="{00000000-0006-0000-0100-000001000000}">
      <text>
        <r>
          <rPr>
            <sz val="10"/>
            <rFont val="Arial"/>
            <family val="2"/>
          </rPr>
          <t xml:space="preserve">Source: 2025 </t>
        </r>
        <r>
          <rPr>
            <sz val="10"/>
            <rFont val="Noto Sans CJK SC"/>
            <family val="2"/>
          </rPr>
          <t xml:space="preserve">결산 </t>
        </r>
        <r>
          <rPr>
            <sz val="10"/>
            <rFont val="Arial"/>
            <family val="2"/>
          </rPr>
          <t xml:space="preserve">Sch D-Loan($10.56M) × </t>
        </r>
        <r>
          <rPr>
            <sz val="10"/>
            <rFont val="Noto Sans CJK SC"/>
            <family val="2"/>
          </rPr>
          <t xml:space="preserve">블렌디드 </t>
        </r>
        <r>
          <rPr>
            <sz val="10"/>
            <rFont val="Arial"/>
            <family val="2"/>
          </rPr>
          <t>6.5%(=2026</t>
        </r>
        <r>
          <rPr>
            <sz val="10"/>
            <rFont val="Noto Sans CJK SC"/>
            <family val="2"/>
          </rPr>
          <t xml:space="preserve">예산 순이자 </t>
        </r>
        <r>
          <rPr>
            <sz val="10"/>
            <rFont val="Arial"/>
            <family val="2"/>
          </rPr>
          <t xml:space="preserve">$687K </t>
        </r>
        <r>
          <rPr>
            <sz val="10"/>
            <rFont val="Noto Sans CJK SC"/>
            <family val="2"/>
          </rPr>
          <t>역산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<sst xmlns="http://schemas.openxmlformats.org/spreadsheetml/2006/main" count="220" uniqueCount="205">
  <si>
    <r>
      <rPr>
        <b/>
        <sz val="11"/>
        <color rgb="FFFFFFFF"/>
        <rFont val="Arial"/>
        <family val="2"/>
        <charset val="1"/>
      </rPr>
      <t xml:space="preserve">MNC Group 2026–2031 </t>
    </r>
    <r>
      <rPr>
        <b/>
        <sz val="11"/>
        <color rgb="FFFFFFFF"/>
        <rFont val="Noto Sans CJK SC"/>
        <family val="2"/>
      </rPr>
      <t xml:space="preserve">중장기 사업계획 </t>
    </r>
    <r>
      <rPr>
        <b/>
        <sz val="11"/>
        <color rgb="FFFFFFFF"/>
        <rFont val="Arial"/>
        <family val="2"/>
        <charset val="1"/>
      </rPr>
      <t>(</t>
    </r>
    <r>
      <rPr>
        <b/>
        <sz val="11"/>
        <color rgb="FFFFFFFF"/>
        <rFont val="Noto Sans CJK SC"/>
        <family val="2"/>
      </rPr>
      <t xml:space="preserve">통합 — 확정 기준안 </t>
    </r>
    <r>
      <rPr>
        <b/>
        <sz val="11"/>
        <color rgb="FFFFFFFF"/>
        <rFont val="Arial"/>
        <family val="2"/>
        <charset val="1"/>
      </rPr>
      <t>v9)</t>
    </r>
  </si>
  <si>
    <t>단위: USD 천 | v9 변경: 판관비율 12.6%→매년 1%p 개선 / 순이자비용 유예기간 flat 재계산($687K, 2031 상환반영) | 투자분할(한국1단계 27·28 $3M·$2M / 서버공장 28 $5.05M / 한국2단계 29·30 $10M·$5M) | 삼성DX·AI서버 반영, 추가방산·DC·지연 미적용</t>
  </si>
  <si>
    <t>구분</t>
  </si>
  <si>
    <t>2026</t>
  </si>
  <si>
    <t>2027</t>
  </si>
  <si>
    <t>2028</t>
  </si>
  <si>
    <t>2029</t>
  </si>
  <si>
    <t>2030</t>
  </si>
  <si>
    <t>2031</t>
  </si>
  <si>
    <r>
      <rPr>
        <b/>
        <sz val="10"/>
        <color rgb="FFFFFFFF"/>
        <rFont val="Arial"/>
        <family val="2"/>
        <charset val="1"/>
      </rPr>
      <t xml:space="preserve">'26–'31 </t>
    </r>
    <r>
      <rPr>
        <b/>
        <sz val="10"/>
        <color rgb="FFFFFFFF"/>
        <rFont val="Noto Sans CJK SC"/>
        <family val="2"/>
      </rPr>
      <t>합계</t>
    </r>
  </si>
  <si>
    <r>
      <rPr>
        <b/>
        <sz val="10"/>
        <color rgb="FF1F3864"/>
        <rFont val="Arial"/>
        <family val="2"/>
        <charset val="1"/>
      </rPr>
      <t xml:space="preserve">I. </t>
    </r>
    <r>
      <rPr>
        <b/>
        <sz val="10"/>
        <color rgb="FF1F3864"/>
        <rFont val="Noto Sans CJK SC"/>
        <family val="2"/>
      </rPr>
      <t xml:space="preserve">연결 손익계산서 </t>
    </r>
    <r>
      <rPr>
        <b/>
        <sz val="10"/>
        <color rgb="FF1F3864"/>
        <rFont val="Arial"/>
        <family val="2"/>
        <charset val="1"/>
      </rPr>
      <t>(P&amp;L)  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>: $</t>
    </r>
    <r>
      <rPr>
        <b/>
        <sz val="10"/>
        <color rgb="FF1F3864"/>
        <rFont val="Noto Sans CJK SC"/>
        <family val="2"/>
      </rPr>
      <t>천</t>
    </r>
    <r>
      <rPr>
        <b/>
        <sz val="10"/>
        <color rgb="FF1F3864"/>
        <rFont val="Arial"/>
        <family val="2"/>
        <charset val="1"/>
      </rPr>
      <t>]</t>
    </r>
  </si>
  <si>
    <t xml:space="preserve">  매출액 — 기존사업</t>
  </si>
  <si>
    <t xml:space="preserve">  매출액 — A사 프로젝트</t>
  </si>
  <si>
    <t xml:space="preserve">  매출액 — 삼성DX (ZN캐스팅)</t>
  </si>
  <si>
    <t xml:space="preserve">  매출액 — 삼성DX (갤럭시탭)</t>
  </si>
  <si>
    <t xml:space="preserve">  매출액 — AI서버 CNC (베트남)</t>
  </si>
  <si>
    <t>매출액 합계</t>
  </si>
  <si>
    <t xml:space="preserve">  매출 성장률 (YoY)</t>
  </si>
  <si>
    <t>—</t>
  </si>
  <si>
    <t xml:space="preserve">  기존사업 매출원가</t>
  </si>
  <si>
    <t>매출총이익 (합산)</t>
  </si>
  <si>
    <t xml:space="preserve">  기존사업 영업이익</t>
  </si>
  <si>
    <r>
      <rPr>
        <sz val="10"/>
        <color rgb="FF000000"/>
        <rFont val="Arial"/>
        <family val="2"/>
        <charset val="1"/>
      </rPr>
      <t xml:space="preserve">  A</t>
    </r>
    <r>
      <rPr>
        <sz val="10"/>
        <color rgb="FF000000"/>
        <rFont val="Noto Sans CJK SC"/>
        <family val="2"/>
      </rPr>
      <t xml:space="preserve">사 프로젝트 영업이익 </t>
    </r>
    <r>
      <rPr>
        <sz val="10"/>
        <color rgb="FF000000"/>
        <rFont val="Arial"/>
        <family val="2"/>
        <charset val="1"/>
      </rPr>
      <t>(50%)</t>
    </r>
  </si>
  <si>
    <t xml:space="preserve">  삼성DX 영업이익 (10%)</t>
  </si>
  <si>
    <r>
      <rPr>
        <sz val="10"/>
        <color rgb="FF000000"/>
        <rFont val="Arial"/>
        <family val="2"/>
        <charset val="1"/>
      </rPr>
      <t xml:space="preserve">  AI</t>
    </r>
    <r>
      <rPr>
        <sz val="10"/>
        <color rgb="FF000000"/>
        <rFont val="Noto Sans CJK SC"/>
        <family val="2"/>
      </rPr>
      <t>서버</t>
    </r>
    <r>
      <rPr>
        <sz val="10"/>
        <color rgb="FF000000"/>
        <rFont val="Arial"/>
        <family val="2"/>
        <charset val="1"/>
      </rPr>
      <t xml:space="preserve">CNC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Arial"/>
        <family val="2"/>
        <charset val="1"/>
      </rPr>
      <t>(15%)</t>
    </r>
  </si>
  <si>
    <t xml:space="preserve">  한국법인 운영비</t>
  </si>
  <si>
    <t>영업이익</t>
  </si>
  <si>
    <t xml:space="preserve">  영업이익률</t>
  </si>
  <si>
    <t xml:space="preserve">  순이자비용</t>
  </si>
  <si>
    <t xml:space="preserve">  기타영업외손익</t>
  </si>
  <si>
    <t xml:space="preserve">  감가상각비 (D&amp;A, 참고)</t>
  </si>
  <si>
    <t>EBITDA</t>
  </si>
  <si>
    <t xml:space="preserve">  세전이익</t>
  </si>
  <si>
    <t xml:space="preserve">  법인세 (2026: 16.3%, 이후 20%)</t>
  </si>
  <si>
    <t>당기순이익</t>
  </si>
  <si>
    <t xml:space="preserve">  순이익률</t>
  </si>
  <si>
    <r>
      <rPr>
        <b/>
        <sz val="10"/>
        <color rgb="FF1F3864"/>
        <rFont val="Arial"/>
        <family val="2"/>
        <charset val="1"/>
      </rPr>
      <t xml:space="preserve">II. </t>
    </r>
    <r>
      <rPr>
        <b/>
        <sz val="10"/>
        <color rgb="FF1F3864"/>
        <rFont val="Noto Sans CJK SC"/>
        <family val="2"/>
      </rPr>
      <t xml:space="preserve">연결 현금흐름 요약  </t>
    </r>
    <r>
      <rPr>
        <b/>
        <sz val="10"/>
        <color rgb="FF1F3864"/>
        <rFont val="Arial"/>
        <family val="2"/>
        <charset val="1"/>
      </rPr>
      <t>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>: $</t>
    </r>
    <r>
      <rPr>
        <b/>
        <sz val="10"/>
        <color rgb="FF1F3864"/>
        <rFont val="Noto Sans CJK SC"/>
        <family val="2"/>
      </rPr>
      <t>천</t>
    </r>
    <r>
      <rPr>
        <b/>
        <sz val="10"/>
        <color rgb="FF1F3864"/>
        <rFont val="Arial"/>
        <family val="2"/>
        <charset val="1"/>
      </rPr>
      <t>]</t>
    </r>
  </si>
  <si>
    <t xml:space="preserve">  기초현금</t>
  </si>
  <si>
    <t xml:space="preserve">  당기순이익</t>
  </si>
  <si>
    <t xml:space="preserve">  감가상각비 환입 (+)</t>
  </si>
  <si>
    <t xml:space="preserve">  운전자본 변동</t>
  </si>
  <si>
    <t>영업활동현금흐름</t>
  </si>
  <si>
    <t xml:space="preserve">  베트남 설비투자 (Capex)</t>
  </si>
  <si>
    <t xml:space="preserve">  한국공장 1단계 투자 ($5M/2027)</t>
  </si>
  <si>
    <r>
      <rPr>
        <sz val="10"/>
        <color rgb="FF000000"/>
        <rFont val="Arial"/>
        <family val="2"/>
        <charset val="1"/>
      </rPr>
      <t xml:space="preserve">  AI</t>
    </r>
    <r>
      <rPr>
        <sz val="10"/>
        <color rgb="FF000000"/>
        <rFont val="Noto Sans CJK SC"/>
        <family val="2"/>
      </rPr>
      <t xml:space="preserve">서버 공장투자 </t>
    </r>
    <r>
      <rPr>
        <sz val="10"/>
        <color rgb="FF000000"/>
        <rFont val="Arial"/>
        <family val="2"/>
        <charset val="1"/>
      </rPr>
      <t>($5.05M/2028)</t>
    </r>
  </si>
  <si>
    <t xml:space="preserve">  한국공장 2단계 투자 ($15M/2029)</t>
  </si>
  <si>
    <t>투자활동현금흐름</t>
  </si>
  <si>
    <t xml:space="preserve">  차입금 상환 (2026~29 유예 → 2030~ $2M/년 분할상환)</t>
  </si>
  <si>
    <t>기말현금</t>
  </si>
  <si>
    <r>
      <rPr>
        <b/>
        <sz val="10"/>
        <color rgb="FF1F3864"/>
        <rFont val="Arial"/>
        <family val="2"/>
        <charset val="1"/>
      </rPr>
      <t xml:space="preserve">III. </t>
    </r>
    <r>
      <rPr>
        <b/>
        <sz val="10"/>
        <color rgb="FF1F3864"/>
        <rFont val="Noto Sans CJK SC"/>
        <family val="2"/>
      </rPr>
      <t xml:space="preserve">신규사업 매출 상세  </t>
    </r>
    <r>
      <rPr>
        <b/>
        <sz val="10"/>
        <color rgb="FF1F3864"/>
        <rFont val="Arial"/>
        <family val="2"/>
        <charset val="1"/>
      </rPr>
      <t>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>: $</t>
    </r>
    <r>
      <rPr>
        <b/>
        <sz val="10"/>
        <color rgb="FF1F3864"/>
        <rFont val="Noto Sans CJK SC"/>
        <family val="2"/>
      </rPr>
      <t>천</t>
    </r>
    <r>
      <rPr>
        <b/>
        <sz val="10"/>
        <color rgb="FF1F3864"/>
        <rFont val="Arial"/>
        <family val="2"/>
        <charset val="1"/>
      </rPr>
      <t>]</t>
    </r>
  </si>
  <si>
    <t xml:space="preserve">  삼성DX — ZN캐스팅 ($0.40/개, 월100만개)</t>
  </si>
  <si>
    <t xml:space="preserve">  삼성DX — 갤럭시탭 ($2.2/개, 월8만개)</t>
  </si>
  <si>
    <t>삼성DX 합계</t>
  </si>
  <si>
    <r>
      <rPr>
        <sz val="10"/>
        <color rgb="FF000000"/>
        <rFont val="Arial"/>
        <family val="2"/>
        <charset val="1"/>
      </rPr>
      <t xml:space="preserve">  AI</t>
    </r>
    <r>
      <rPr>
        <sz val="10"/>
        <color rgb="FF000000"/>
        <rFont val="Noto Sans CJK SC"/>
        <family val="2"/>
      </rPr>
      <t>서버</t>
    </r>
    <r>
      <rPr>
        <sz val="10"/>
        <color rgb="FF000000"/>
        <rFont val="Arial"/>
        <family val="2"/>
        <charset val="1"/>
      </rPr>
      <t>CNC (100</t>
    </r>
    <r>
      <rPr>
        <sz val="10"/>
        <color rgb="FF000000"/>
        <rFont val="Noto Sans CJK SC"/>
        <family val="2"/>
      </rPr>
      <t>대→</t>
    </r>
    <r>
      <rPr>
        <sz val="10"/>
        <color rgb="FF000000"/>
        <rFont val="Arial"/>
        <family val="2"/>
        <charset val="1"/>
      </rPr>
      <t>200</t>
    </r>
    <r>
      <rPr>
        <sz val="10"/>
        <color rgb="FF000000"/>
        <rFont val="Noto Sans CJK SC"/>
        <family val="2"/>
      </rPr>
      <t>대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</rPr>
      <t>임율</t>
    </r>
    <r>
      <rPr>
        <sz val="10"/>
        <color rgb="FF000000"/>
        <rFont val="Arial"/>
        <family val="2"/>
        <charset val="1"/>
      </rPr>
      <t>60</t>
    </r>
    <r>
      <rPr>
        <sz val="10"/>
        <color rgb="FF000000"/>
        <rFont val="Noto Sans CJK SC"/>
        <family val="2"/>
      </rPr>
      <t>동</t>
    </r>
    <r>
      <rPr>
        <sz val="10"/>
        <color rgb="FF000000"/>
        <rFont val="Arial"/>
        <family val="2"/>
        <charset val="1"/>
      </rPr>
      <t>/</t>
    </r>
    <r>
      <rPr>
        <sz val="10"/>
        <color rgb="FF000000"/>
        <rFont val="Noto Sans CJK SC"/>
        <family val="2"/>
      </rPr>
      <t>초</t>
    </r>
    <r>
      <rPr>
        <sz val="10"/>
        <color rgb="FF000000"/>
        <rFont val="Arial"/>
        <family val="2"/>
        <charset val="1"/>
      </rPr>
      <t>)</t>
    </r>
  </si>
  <si>
    <t>신규사업 영업이익 합계</t>
  </si>
  <si>
    <r>
      <rPr>
        <b/>
        <sz val="10"/>
        <color rgb="FF1F3864"/>
        <rFont val="Arial"/>
        <family val="2"/>
        <charset val="1"/>
      </rPr>
      <t xml:space="preserve">IV. </t>
    </r>
    <r>
      <rPr>
        <b/>
        <sz val="10"/>
        <color rgb="FF1F3864"/>
        <rFont val="Noto Sans CJK SC"/>
        <family val="2"/>
      </rPr>
      <t xml:space="preserve">투자계획 및 감가상각 반영  </t>
    </r>
    <r>
      <rPr>
        <b/>
        <sz val="10"/>
        <color rgb="FF1F3864"/>
        <rFont val="Arial"/>
        <family val="2"/>
        <charset val="1"/>
      </rPr>
      <t>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>: $</t>
    </r>
    <r>
      <rPr>
        <b/>
        <sz val="10"/>
        <color rgb="FF1F3864"/>
        <rFont val="Noto Sans CJK SC"/>
        <family val="2"/>
      </rPr>
      <t>천</t>
    </r>
    <r>
      <rPr>
        <b/>
        <sz val="10"/>
        <color rgb="FF1F3864"/>
        <rFont val="Arial"/>
        <family val="2"/>
        <charset val="1"/>
      </rPr>
      <t>]</t>
    </r>
  </si>
  <si>
    <t xml:space="preserve">  베트남 유지보수 Capex</t>
  </si>
  <si>
    <t xml:space="preserve">  한국공장 1단계 ($5M, 2027, D&amp;A+$500K/년 2028~)</t>
  </si>
  <si>
    <r>
      <rPr>
        <sz val="10"/>
        <color rgb="FF000000"/>
        <rFont val="Arial"/>
        <family val="2"/>
        <charset val="1"/>
      </rPr>
      <t xml:space="preserve">  AI</t>
    </r>
    <r>
      <rPr>
        <sz val="10"/>
        <color rgb="FF000000"/>
        <rFont val="Noto Sans CJK SC"/>
        <family val="2"/>
      </rPr>
      <t xml:space="preserve">서버공장 </t>
    </r>
    <r>
      <rPr>
        <sz val="10"/>
        <color rgb="FF000000"/>
        <rFont val="Arial"/>
        <family val="2"/>
        <charset val="1"/>
      </rPr>
      <t>($5.05M, 2028, D&amp;A+$505K/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Arial"/>
        <family val="2"/>
        <charset val="1"/>
      </rPr>
      <t>2029~)</t>
    </r>
  </si>
  <si>
    <t xml:space="preserve">  한국공장 2단계 ($15M, 2029, D&amp;A+$1,500K/년 2030~)</t>
  </si>
  <si>
    <t>총 투자 합계</t>
  </si>
  <si>
    <t xml:space="preserve">  기존 감가상각 $4M/년</t>
  </si>
  <si>
    <t xml:space="preserve">  신규투자 추가 감가상각</t>
  </si>
  <si>
    <t>총 감가상각 현금환입 (현금흐름)</t>
  </si>
  <si>
    <r>
      <rPr>
        <b/>
        <sz val="10"/>
        <color rgb="FF1F3864"/>
        <rFont val="Arial"/>
        <family val="2"/>
        <charset val="1"/>
      </rPr>
      <t>V. 2031</t>
    </r>
    <r>
      <rPr>
        <b/>
        <sz val="10"/>
        <color rgb="FF1F3864"/>
        <rFont val="Noto Sans CJK SC"/>
        <family val="2"/>
      </rPr>
      <t xml:space="preserve">년 </t>
    </r>
    <r>
      <rPr>
        <b/>
        <sz val="10"/>
        <color rgb="FF1F3864"/>
        <rFont val="Arial"/>
        <family val="2"/>
        <charset val="1"/>
      </rPr>
      <t xml:space="preserve">IPO </t>
    </r>
    <r>
      <rPr>
        <b/>
        <sz val="10"/>
        <color rgb="FF1F3864"/>
        <rFont val="Noto Sans CJK SC"/>
        <family val="2"/>
      </rPr>
      <t xml:space="preserve">밸류에이션 참고  </t>
    </r>
    <r>
      <rPr>
        <b/>
        <sz val="10"/>
        <color rgb="FF1F3864"/>
        <rFont val="Arial"/>
        <family val="2"/>
        <charset val="1"/>
      </rPr>
      <t>[</t>
    </r>
    <r>
      <rPr>
        <b/>
        <sz val="10"/>
        <color rgb="FF1F3864"/>
        <rFont val="Noto Sans CJK SC"/>
        <family val="2"/>
      </rPr>
      <t>단위</t>
    </r>
    <r>
      <rPr>
        <b/>
        <sz val="10"/>
        <color rgb="FF1F3864"/>
        <rFont val="Arial"/>
        <family val="2"/>
        <charset val="1"/>
      </rPr>
      <t xml:space="preserve">: USD </t>
    </r>
    <r>
      <rPr>
        <b/>
        <sz val="10"/>
        <color rgb="FF1F3864"/>
        <rFont val="Noto Sans CJK SC"/>
        <family val="2"/>
      </rPr>
      <t>백만</t>
    </r>
    <r>
      <rPr>
        <b/>
        <sz val="10"/>
        <color rgb="FF1F3864"/>
        <rFont val="Arial"/>
        <family val="2"/>
        <charset val="1"/>
      </rPr>
      <t xml:space="preserve">, 2031 </t>
    </r>
    <r>
      <rPr>
        <b/>
        <sz val="10"/>
        <color rgb="FF1F3864"/>
        <rFont val="Noto Sans CJK SC"/>
        <family val="2"/>
      </rPr>
      <t>순이익 연동</t>
    </r>
    <r>
      <rPr>
        <b/>
        <sz val="10"/>
        <color rgb="FF1F3864"/>
        <rFont val="Arial"/>
        <family val="2"/>
        <charset val="1"/>
      </rPr>
      <t>]</t>
    </r>
  </si>
  <si>
    <r>
      <rPr>
        <sz val="10"/>
        <rFont val="Arial"/>
        <family val="2"/>
        <charset val="1"/>
      </rPr>
      <t>PER 15</t>
    </r>
    <r>
      <rPr>
        <sz val="10"/>
        <rFont val="Noto Sans CJK SC"/>
        <family val="2"/>
      </rPr>
      <t xml:space="preserve">배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보수적</t>
    </r>
    <r>
      <rPr>
        <sz val="10"/>
        <rFont val="Arial"/>
        <family val="2"/>
        <charset val="1"/>
      </rPr>
      <t>)</t>
    </r>
  </si>
  <si>
    <r>
      <rPr>
        <i/>
        <sz val="9"/>
        <color rgb="FF444444"/>
        <rFont val="Arial"/>
        <family val="2"/>
        <charset val="1"/>
      </rPr>
      <t>2031</t>
    </r>
    <r>
      <rPr>
        <i/>
        <sz val="9"/>
        <color rgb="FF444444"/>
        <rFont val="Noto Sans CJK SC"/>
        <family val="2"/>
      </rPr>
      <t>년 순이익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자동연동</t>
    </r>
    <r>
      <rPr>
        <i/>
        <sz val="9"/>
        <color rgb="FF444444"/>
        <rFont val="Arial"/>
        <family val="2"/>
        <charset val="1"/>
      </rPr>
      <t>) × 15</t>
    </r>
    <r>
      <rPr>
        <i/>
        <sz val="9"/>
        <color rgb="FF444444"/>
        <rFont val="Noto Sans CJK SC"/>
        <family val="2"/>
      </rPr>
      <t xml:space="preserve">배 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보수적</t>
    </r>
    <r>
      <rPr>
        <i/>
        <sz val="9"/>
        <color rgb="FF444444"/>
        <rFont val="Arial"/>
        <family val="2"/>
        <charset val="1"/>
      </rPr>
      <t>)</t>
    </r>
  </si>
  <si>
    <r>
      <rPr>
        <b/>
        <sz val="10"/>
        <rFont val="Arial"/>
        <family val="2"/>
        <charset val="1"/>
      </rPr>
      <t>PER 20</t>
    </r>
    <r>
      <rPr>
        <b/>
        <sz val="10"/>
        <rFont val="Noto Sans CJK SC"/>
        <family val="2"/>
      </rPr>
      <t xml:space="preserve">배 </t>
    </r>
    <r>
      <rPr>
        <b/>
        <sz val="10"/>
        <rFont val="Arial"/>
        <family val="2"/>
        <charset val="1"/>
      </rPr>
      <t>(</t>
    </r>
    <r>
      <rPr>
        <b/>
        <sz val="10"/>
        <rFont val="Noto Sans CJK SC"/>
        <family val="2"/>
      </rPr>
      <t>기준</t>
    </r>
    <r>
      <rPr>
        <b/>
        <sz val="10"/>
        <rFont val="Arial"/>
        <family val="2"/>
        <charset val="1"/>
      </rPr>
      <t>)</t>
    </r>
  </si>
  <si>
    <r>
      <rPr>
        <i/>
        <sz val="9"/>
        <color rgb="FF444444"/>
        <rFont val="Arial"/>
        <family val="2"/>
        <charset val="1"/>
      </rPr>
      <t>2031</t>
    </r>
    <r>
      <rPr>
        <i/>
        <sz val="9"/>
        <color rgb="FF444444"/>
        <rFont val="Noto Sans CJK SC"/>
        <family val="2"/>
      </rPr>
      <t>년 순이익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자동연동</t>
    </r>
    <r>
      <rPr>
        <i/>
        <sz val="9"/>
        <color rgb="FF444444"/>
        <rFont val="Arial"/>
        <family val="2"/>
        <charset val="1"/>
      </rPr>
      <t>) × 20</t>
    </r>
    <r>
      <rPr>
        <i/>
        <sz val="9"/>
        <color rgb="FF444444"/>
        <rFont val="Noto Sans CJK SC"/>
        <family val="2"/>
      </rPr>
      <t xml:space="preserve">배 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기준</t>
    </r>
    <r>
      <rPr>
        <i/>
        <sz val="9"/>
        <color rgb="FF444444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</si>
  <si>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PER 25</t>
    </r>
    <r>
      <rPr>
        <sz val="10"/>
        <rFont val="Noto Sans CJK SC"/>
        <family val="2"/>
      </rPr>
      <t xml:space="preserve">배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낙관적</t>
    </r>
    <r>
      <rPr>
        <sz val="10"/>
        <rFont val="Arial"/>
        <family val="2"/>
        <charset val="1"/>
      </rPr>
      <t>)</t>
    </r>
  </si>
  <si>
    <r>
      <rPr>
        <i/>
        <sz val="9"/>
        <color rgb="FF444444"/>
        <rFont val="Arial"/>
        <family val="2"/>
        <charset val="1"/>
      </rPr>
      <t>2031</t>
    </r>
    <r>
      <rPr>
        <i/>
        <sz val="9"/>
        <color rgb="FF444444"/>
        <rFont val="Noto Sans CJK SC"/>
        <family val="2"/>
      </rPr>
      <t>년 순이익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자동연동</t>
    </r>
    <r>
      <rPr>
        <i/>
        <sz val="9"/>
        <color rgb="FF444444"/>
        <rFont val="Arial"/>
        <family val="2"/>
        <charset val="1"/>
      </rPr>
      <t>) × 25</t>
    </r>
    <r>
      <rPr>
        <i/>
        <sz val="9"/>
        <color rgb="FF444444"/>
        <rFont val="Noto Sans CJK SC"/>
        <family val="2"/>
      </rPr>
      <t xml:space="preserve">배 </t>
    </r>
    <r>
      <rPr>
        <i/>
        <sz val="9"/>
        <color rgb="FF444444"/>
        <rFont val="Arial"/>
        <family val="2"/>
        <charset val="1"/>
      </rPr>
      <t>(</t>
    </r>
    <r>
      <rPr>
        <i/>
        <sz val="9"/>
        <color rgb="FF444444"/>
        <rFont val="Noto Sans CJK SC"/>
        <family val="2"/>
      </rPr>
      <t>낙관적</t>
    </r>
    <r>
      <rPr>
        <i/>
        <sz val="9"/>
        <color rgb="FF444444"/>
        <rFont val="Arial"/>
        <family val="2"/>
        <charset val="1"/>
      </rPr>
      <t>)</t>
    </r>
  </si>
  <si>
    <r>
      <rPr>
        <b/>
        <sz val="10"/>
        <color rgb="FF1F3864"/>
        <rFont val="Arial"/>
        <family val="2"/>
        <charset val="1"/>
      </rPr>
      <t xml:space="preserve">VI. </t>
    </r>
    <r>
      <rPr>
        <b/>
        <sz val="10"/>
        <color rgb="FF1F3864"/>
        <rFont val="Noto Sans CJK SC"/>
        <family val="2"/>
      </rPr>
      <t>핵심 지표 요약</t>
    </r>
  </si>
  <si>
    <t>매출액 합계 ($K)</t>
  </si>
  <si>
    <t>영업이익 ($K)</t>
  </si>
  <si>
    <t>당기순이익 ($K)</t>
  </si>
  <si>
    <t>EBITDA ($K)</t>
  </si>
  <si>
    <t>기말현금 ($K)</t>
  </si>
  <si>
    <r>
      <rPr>
        <sz val="10"/>
        <color rgb="FF000000"/>
        <rFont val="Arial"/>
        <family val="2"/>
        <charset val="1"/>
      </rPr>
      <t>A</t>
    </r>
    <r>
      <rPr>
        <sz val="10"/>
        <color rgb="FF000000"/>
        <rFont val="Noto Sans CJK SC"/>
        <family val="2"/>
      </rPr>
      <t>사 매출 비중</t>
    </r>
  </si>
  <si>
    <t>삼성DX 매출 비중</t>
  </si>
  <si>
    <r>
      <rPr>
        <sz val="10"/>
        <color rgb="FF000000"/>
        <rFont val="Arial"/>
        <family val="2"/>
        <charset val="1"/>
      </rPr>
      <t>AI</t>
    </r>
    <r>
      <rPr>
        <sz val="10"/>
        <color rgb="FF000000"/>
        <rFont val="Noto Sans CJK SC"/>
        <family val="2"/>
      </rPr>
      <t>서버 매출 비중</t>
    </r>
  </si>
  <si>
    <r>
      <rPr>
        <b/>
        <sz val="10"/>
        <color rgb="FF1F3864"/>
        <rFont val="Arial"/>
        <family val="2"/>
        <charset val="1"/>
      </rPr>
      <t xml:space="preserve">VII. </t>
    </r>
    <r>
      <rPr>
        <b/>
        <sz val="10"/>
        <color rgb="FF1F3864"/>
        <rFont val="Noto Sans CJK SC"/>
        <family val="2"/>
      </rPr>
      <t>주요 가정 및 유의사항</t>
    </r>
  </si>
  <si>
    <r>
      <rPr>
        <sz val="9"/>
        <color rgb="FF333333"/>
        <rFont val="Arial"/>
        <family val="2"/>
        <charset val="1"/>
      </rPr>
      <t xml:space="preserve">1. </t>
    </r>
    <r>
      <rPr>
        <sz val="9"/>
        <color rgb="FF333333"/>
        <rFont val="Noto Sans CJK SC"/>
        <family val="2"/>
      </rPr>
      <t>기존사업</t>
    </r>
    <r>
      <rPr>
        <sz val="9"/>
        <color rgb="FF333333"/>
        <rFont val="Arial"/>
        <family val="2"/>
        <charset val="1"/>
      </rPr>
      <t>: 2026</t>
    </r>
    <r>
      <rPr>
        <sz val="9"/>
        <color rgb="FF333333"/>
        <rFont val="Noto Sans CJK SC"/>
        <family val="2"/>
      </rPr>
      <t xml:space="preserve">년 매출 </t>
    </r>
    <r>
      <rPr>
        <sz val="9"/>
        <color rgb="FF333333"/>
        <rFont val="Arial"/>
        <family val="2"/>
        <charset val="1"/>
      </rPr>
      <t>$44.6M (2025</t>
    </r>
    <r>
      <rPr>
        <sz val="9"/>
        <color rgb="FF333333"/>
        <rFont val="Noto Sans CJK SC"/>
        <family val="2"/>
      </rPr>
      <t>년 베트남 법인 실적 기준</t>
    </r>
    <r>
      <rPr>
        <sz val="9"/>
        <color rgb="FF333333"/>
        <rFont val="Arial"/>
        <family val="2"/>
        <charset val="1"/>
      </rPr>
      <t xml:space="preserve">). </t>
    </r>
    <r>
      <rPr>
        <sz val="9"/>
        <color rgb="FF333333"/>
        <rFont val="Noto Sans CJK SC"/>
        <family val="2"/>
      </rPr>
      <t xml:space="preserve">원가율 </t>
    </r>
    <r>
      <rPr>
        <sz val="9"/>
        <color rgb="FF333333"/>
        <rFont val="Arial"/>
        <family val="2"/>
        <charset val="1"/>
      </rPr>
      <t>75.6%</t>
    </r>
    <r>
      <rPr>
        <sz val="9"/>
        <color rgb="FF333333"/>
        <rFont val="Noto Sans CJK SC"/>
        <family val="2"/>
      </rPr>
      <t>에서 출발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 xml:space="preserve">매년 </t>
    </r>
    <r>
      <rPr>
        <sz val="9"/>
        <color rgb="FF333333"/>
        <rFont val="Arial"/>
        <family val="2"/>
        <charset val="1"/>
      </rPr>
      <t xml:space="preserve">1.05%p </t>
    </r>
    <r>
      <rPr>
        <sz val="9"/>
        <color rgb="FF333333"/>
        <rFont val="Noto Sans CJK SC"/>
        <family val="2"/>
      </rPr>
      <t>개선</t>
    </r>
    <r>
      <rPr>
        <sz val="9"/>
        <color rgb="FF333333"/>
        <rFont val="Arial"/>
        <family val="2"/>
        <charset val="1"/>
      </rPr>
      <t xml:space="preserve">. </t>
    </r>
    <r>
      <rPr>
        <sz val="9"/>
        <color rgb="FF333333"/>
        <rFont val="Noto Sans CJK SC"/>
        <family val="2"/>
      </rPr>
      <t xml:space="preserve">판관비율 </t>
    </r>
    <r>
      <rPr>
        <sz val="9"/>
        <color rgb="FF333333"/>
        <rFont val="Arial"/>
        <family val="2"/>
        <charset val="1"/>
      </rPr>
      <t xml:space="preserve">12.6% </t>
    </r>
    <r>
      <rPr>
        <sz val="9"/>
        <color rgb="FF333333"/>
        <rFont val="Noto Sans CJK SC"/>
        <family val="2"/>
      </rPr>
      <t>유지</t>
    </r>
    <r>
      <rPr>
        <sz val="9"/>
        <color rgb="FF333333"/>
        <rFont val="Arial"/>
        <family val="2"/>
        <charset val="1"/>
      </rPr>
      <t>.</t>
    </r>
  </si>
  <si>
    <r>
      <rPr>
        <sz val="9"/>
        <color rgb="FF333333"/>
        <rFont val="Arial"/>
        <family val="2"/>
        <charset val="1"/>
      </rPr>
      <t>2. A</t>
    </r>
    <r>
      <rPr>
        <sz val="9"/>
        <color rgb="FF333333"/>
        <rFont val="Noto Sans CJK SC"/>
        <family val="2"/>
      </rPr>
      <t>사 프로젝트</t>
    </r>
    <r>
      <rPr>
        <sz val="9"/>
        <color rgb="FF333333"/>
        <rFont val="Arial"/>
        <family val="2"/>
        <charset val="1"/>
      </rPr>
      <t>: 2026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600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>($2,000/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>) → 2028</t>
    </r>
    <r>
      <rPr>
        <sz val="9"/>
        <color rgb="FF333333"/>
        <rFont val="Noto Sans CJK SC"/>
        <family val="2"/>
      </rPr>
      <t xml:space="preserve">년 이후 양산단가 </t>
    </r>
    <r>
      <rPr>
        <sz val="9"/>
        <color rgb="FF333333"/>
        <rFont val="Arial"/>
        <family val="2"/>
        <charset val="1"/>
      </rPr>
      <t>$1,600/</t>
    </r>
    <r>
      <rPr>
        <sz val="9"/>
        <color rgb="FF333333"/>
        <rFont val="Noto Sans CJK SC"/>
        <family val="2"/>
      </rPr>
      <t>세트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50%.</t>
    </r>
  </si>
  <si>
    <r>
      <rPr>
        <sz val="9"/>
        <color rgb="FF333333"/>
        <rFont val="Arial"/>
        <family val="2"/>
        <charset val="1"/>
      </rPr>
      <t xml:space="preserve">3. </t>
    </r>
    <r>
      <rPr>
        <sz val="9"/>
        <color rgb="FF333333"/>
        <rFont val="Noto Sans CJK SC"/>
        <family val="2"/>
      </rPr>
      <t xml:space="preserve">삼성전자 </t>
    </r>
    <r>
      <rPr>
        <sz val="9"/>
        <color rgb="FF333333"/>
        <rFont val="Arial"/>
        <family val="2"/>
        <charset val="1"/>
      </rPr>
      <t>DX — ZN</t>
    </r>
    <r>
      <rPr>
        <sz val="9"/>
        <color rgb="FF333333"/>
        <rFont val="Noto Sans CJK SC"/>
        <family val="2"/>
      </rPr>
      <t>캐스팅</t>
    </r>
    <r>
      <rPr>
        <sz val="9"/>
        <color rgb="FF333333"/>
        <rFont val="Arial"/>
        <family val="2"/>
        <charset val="1"/>
      </rPr>
      <t>: 2027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$4.8M(</t>
    </r>
    <r>
      <rPr>
        <sz val="9"/>
        <color rgb="FF333333"/>
        <rFont val="Noto Sans CJK SC"/>
        <family val="2"/>
      </rPr>
      <t>월</t>
    </r>
    <r>
      <rPr>
        <sz val="9"/>
        <color rgb="FF333333"/>
        <rFont val="Arial"/>
        <family val="2"/>
        <charset val="1"/>
      </rPr>
      <t>100</t>
    </r>
    <r>
      <rPr>
        <sz val="9"/>
        <color rgb="FF333333"/>
        <rFont val="Noto Sans CJK SC"/>
        <family val="2"/>
      </rPr>
      <t>만개</t>
    </r>
    <r>
      <rPr>
        <sz val="9"/>
        <color rgb="FF333333"/>
        <rFont val="Arial"/>
        <family val="2"/>
        <charset val="1"/>
      </rPr>
      <t>×$0.40), 2028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$9.6M, 2029~2031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$12M/</t>
    </r>
    <r>
      <rPr>
        <sz val="9"/>
        <color rgb="FF333333"/>
        <rFont val="Noto Sans CJK SC"/>
        <family val="2"/>
      </rPr>
      <t>년</t>
    </r>
    <r>
      <rPr>
        <sz val="9"/>
        <color rgb="FF333333"/>
        <rFont val="Arial"/>
        <family val="2"/>
        <charset val="1"/>
      </rPr>
      <t xml:space="preserve">.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10%.</t>
    </r>
  </si>
  <si>
    <r>
      <rPr>
        <sz val="9"/>
        <color rgb="FF333333"/>
        <rFont val="Arial"/>
        <family val="2"/>
        <charset val="1"/>
      </rPr>
      <t xml:space="preserve">4. </t>
    </r>
    <r>
      <rPr>
        <sz val="9"/>
        <color rgb="FF333333"/>
        <rFont val="Noto Sans CJK SC"/>
        <family val="2"/>
      </rPr>
      <t xml:space="preserve">삼성전자 </t>
    </r>
    <r>
      <rPr>
        <sz val="9"/>
        <color rgb="FF333333"/>
        <rFont val="Arial"/>
        <family val="2"/>
        <charset val="1"/>
      </rPr>
      <t xml:space="preserve">DX — </t>
    </r>
    <r>
      <rPr>
        <sz val="9"/>
        <color rgb="FF333333"/>
        <rFont val="Noto Sans CJK SC"/>
        <family val="2"/>
      </rPr>
      <t>갤럭시탭</t>
    </r>
    <r>
      <rPr>
        <sz val="9"/>
        <color rgb="FF333333"/>
        <rFont val="Arial"/>
        <family val="2"/>
        <charset val="1"/>
      </rPr>
      <t>: 2027~2031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$2.2M/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(</t>
    </r>
    <r>
      <rPr>
        <sz val="9"/>
        <color rgb="FF333333"/>
        <rFont val="Noto Sans CJK SC"/>
        <family val="2"/>
      </rPr>
      <t>월</t>
    </r>
    <r>
      <rPr>
        <sz val="9"/>
        <color rgb="FF333333"/>
        <rFont val="Arial"/>
        <family val="2"/>
        <charset val="1"/>
      </rPr>
      <t>8</t>
    </r>
    <r>
      <rPr>
        <sz val="9"/>
        <color rgb="FF333333"/>
        <rFont val="Noto Sans CJK SC"/>
        <family val="2"/>
      </rPr>
      <t>만개</t>
    </r>
    <r>
      <rPr>
        <sz val="9"/>
        <color rgb="FF333333"/>
        <rFont val="Arial"/>
        <family val="2"/>
        <charset val="1"/>
      </rPr>
      <t xml:space="preserve">×$2.2).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10%.</t>
    </r>
  </si>
  <si>
    <r>
      <rPr>
        <sz val="9"/>
        <color rgb="FF333333"/>
        <rFont val="Arial"/>
        <family val="2"/>
        <charset val="1"/>
      </rPr>
      <t>5. AI</t>
    </r>
    <r>
      <rPr>
        <sz val="9"/>
        <color rgb="FF333333"/>
        <rFont val="Noto Sans CJK SC"/>
        <family val="2"/>
      </rPr>
      <t>서버</t>
    </r>
    <r>
      <rPr>
        <sz val="9"/>
        <color rgb="FF333333"/>
        <rFont val="Arial"/>
        <family val="2"/>
        <charset val="1"/>
      </rPr>
      <t>CNC: 2027H2 $2.35M → 2028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$4.7M(100</t>
    </r>
    <r>
      <rPr>
        <sz val="9"/>
        <color rgb="FF333333"/>
        <rFont val="Noto Sans CJK SC"/>
        <family val="2"/>
      </rPr>
      <t>대 풀가동</t>
    </r>
    <r>
      <rPr>
        <sz val="9"/>
        <color rgb="FF333333"/>
        <rFont val="Arial"/>
        <family val="2"/>
        <charset val="1"/>
      </rPr>
      <t>) → 2029</t>
    </r>
    <r>
      <rPr>
        <sz val="9"/>
        <color rgb="FF333333"/>
        <rFont val="Noto Sans CJK SC"/>
        <family val="2"/>
      </rPr>
      <t>년</t>
    </r>
    <r>
      <rPr>
        <sz val="9"/>
        <color rgb="FF333333"/>
        <rFont val="Arial"/>
        <family val="2"/>
        <charset val="1"/>
      </rPr>
      <t>~ $9.39M/</t>
    </r>
    <r>
      <rPr>
        <sz val="9"/>
        <color rgb="FF333333"/>
        <rFont val="Noto Sans CJK SC"/>
        <family val="2"/>
      </rPr>
      <t>년</t>
    </r>
    <r>
      <rPr>
        <sz val="9"/>
        <color rgb="FF333333"/>
        <rFont val="Arial"/>
        <family val="2"/>
        <charset val="1"/>
      </rPr>
      <t>(200</t>
    </r>
    <r>
      <rPr>
        <sz val="9"/>
        <color rgb="FF333333"/>
        <rFont val="Noto Sans CJK SC"/>
        <family val="2"/>
      </rPr>
      <t>대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>신공장</t>
    </r>
    <r>
      <rPr>
        <sz val="9"/>
        <color rgb="FF333333"/>
        <rFont val="Arial"/>
        <family val="2"/>
        <charset val="1"/>
      </rPr>
      <t xml:space="preserve">). </t>
    </r>
    <r>
      <rPr>
        <sz val="9"/>
        <color rgb="FF333333"/>
        <rFont val="Noto Sans CJK SC"/>
        <family val="2"/>
      </rPr>
      <t xml:space="preserve">영업이익률 </t>
    </r>
    <r>
      <rPr>
        <sz val="9"/>
        <color rgb="FF333333"/>
        <rFont val="Arial"/>
        <family val="2"/>
        <charset val="1"/>
      </rPr>
      <t>15%.</t>
    </r>
  </si>
  <si>
    <r>
      <rPr>
        <sz val="9"/>
        <color rgb="FF333333"/>
        <rFont val="Arial"/>
        <family val="2"/>
        <charset val="1"/>
      </rPr>
      <t>6. AI</t>
    </r>
    <r>
      <rPr>
        <sz val="9"/>
        <color rgb="FF333333"/>
        <rFont val="Noto Sans CJK SC"/>
        <family val="2"/>
      </rPr>
      <t>서버 공장투자</t>
    </r>
    <r>
      <rPr>
        <sz val="9"/>
        <color rgb="FF333333"/>
        <rFont val="Arial"/>
        <family val="2"/>
        <charset val="1"/>
      </rPr>
      <t xml:space="preserve">: </t>
    </r>
    <r>
      <rPr>
        <sz val="9"/>
        <color rgb="FF333333"/>
        <rFont val="Noto Sans CJK SC"/>
        <family val="2"/>
      </rPr>
      <t>토지</t>
    </r>
    <r>
      <rPr>
        <sz val="9"/>
        <color rgb="FF333333"/>
        <rFont val="Arial"/>
        <family val="2"/>
        <charset val="1"/>
      </rPr>
      <t>$750K+</t>
    </r>
    <r>
      <rPr>
        <sz val="9"/>
        <color rgb="FF333333"/>
        <rFont val="Noto Sans CJK SC"/>
        <family val="2"/>
      </rPr>
      <t>건축</t>
    </r>
    <r>
      <rPr>
        <sz val="9"/>
        <color rgb="FF333333"/>
        <rFont val="Arial"/>
        <family val="2"/>
        <charset val="1"/>
      </rPr>
      <t>$800K+</t>
    </r>
    <r>
      <rPr>
        <sz val="9"/>
        <color rgb="FF333333"/>
        <rFont val="Noto Sans CJK SC"/>
        <family val="2"/>
      </rPr>
      <t>부대설비</t>
    </r>
    <r>
      <rPr>
        <sz val="9"/>
        <color rgb="FF333333"/>
        <rFont val="Arial"/>
        <family val="2"/>
        <charset val="1"/>
      </rPr>
      <t>$500K+</t>
    </r>
    <r>
      <rPr>
        <sz val="9"/>
        <color rgb="FF333333"/>
        <rFont val="Noto Sans CJK SC"/>
        <family val="2"/>
      </rPr>
      <t>중고</t>
    </r>
    <r>
      <rPr>
        <sz val="9"/>
        <color rgb="FF333333"/>
        <rFont val="Arial"/>
        <family val="2"/>
        <charset val="1"/>
      </rPr>
      <t>CNC 100</t>
    </r>
    <r>
      <rPr>
        <sz val="9"/>
        <color rgb="FF333333"/>
        <rFont val="Noto Sans CJK SC"/>
        <family val="2"/>
      </rPr>
      <t>대</t>
    </r>
    <r>
      <rPr>
        <sz val="9"/>
        <color rgb="FF333333"/>
        <rFont val="Arial"/>
        <family val="2"/>
        <charset val="1"/>
      </rPr>
      <t>($30K×100)$3M = $5.05M (2028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1Q</t>
    </r>
    <r>
      <rPr>
        <sz val="9"/>
        <color rgb="FF333333"/>
        <rFont val="Noto Sans CJK SC"/>
        <family val="2"/>
      </rPr>
      <t>착공</t>
    </r>
    <r>
      <rPr>
        <sz val="9"/>
        <color rgb="FF333333"/>
        <rFont val="Arial"/>
        <family val="2"/>
        <charset val="1"/>
      </rPr>
      <t>, 2029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1</t>
    </r>
    <r>
      <rPr>
        <sz val="9"/>
        <color rgb="FF333333"/>
        <rFont val="Noto Sans CJK SC"/>
        <family val="2"/>
      </rPr>
      <t>월 가동</t>
    </r>
    <r>
      <rPr>
        <sz val="9"/>
        <color rgb="FF333333"/>
        <rFont val="Arial"/>
        <family val="2"/>
        <charset val="1"/>
      </rPr>
      <t xml:space="preserve">). [v7: </t>
    </r>
    <r>
      <rPr>
        <sz val="9"/>
        <color rgb="FF333333"/>
        <rFont val="Noto Sans CJK SC"/>
        <family val="2"/>
      </rPr>
      <t xml:space="preserve">신규 </t>
    </r>
    <r>
      <rPr>
        <sz val="9"/>
        <color rgb="FF333333"/>
        <rFont val="Arial"/>
        <family val="2"/>
        <charset val="1"/>
      </rPr>
      <t>50</t>
    </r>
    <r>
      <rPr>
        <sz val="9"/>
        <color rgb="FF333333"/>
        <rFont val="Noto Sans CJK SC"/>
        <family val="2"/>
      </rPr>
      <t xml:space="preserve">대 → 중고 </t>
    </r>
    <r>
      <rPr>
        <sz val="9"/>
        <color rgb="FF333333"/>
        <rFont val="Arial"/>
        <family val="2"/>
        <charset val="1"/>
      </rPr>
      <t>50</t>
    </r>
    <r>
      <rPr>
        <sz val="9"/>
        <color rgb="FF333333"/>
        <rFont val="Noto Sans CJK SC"/>
        <family val="2"/>
      </rPr>
      <t xml:space="preserve">대 전환으로 </t>
    </r>
    <r>
      <rPr>
        <sz val="9"/>
        <color rgb="FF333333"/>
        <rFont val="Arial"/>
        <family val="2"/>
        <charset val="1"/>
      </rPr>
      <t>$7.55M→$5.05M]</t>
    </r>
  </si>
  <si>
    <r>
      <rPr>
        <sz val="9"/>
        <color rgb="FF333333"/>
        <rFont val="Arial"/>
        <family val="2"/>
        <charset val="1"/>
      </rPr>
      <t xml:space="preserve">7. </t>
    </r>
    <r>
      <rPr>
        <sz val="9"/>
        <color rgb="FF333333"/>
        <rFont val="Noto Sans CJK SC"/>
        <family val="2"/>
      </rPr>
      <t>감가상각</t>
    </r>
    <r>
      <rPr>
        <sz val="9"/>
        <color rgb="FF333333"/>
        <rFont val="Arial"/>
        <family val="2"/>
        <charset val="1"/>
      </rPr>
      <t xml:space="preserve">: </t>
    </r>
    <r>
      <rPr>
        <sz val="9"/>
        <color rgb="FF333333"/>
        <rFont val="Noto Sans CJK SC"/>
        <family val="2"/>
      </rPr>
      <t xml:space="preserve">기존 </t>
    </r>
    <r>
      <rPr>
        <sz val="9"/>
        <color rgb="FF333333"/>
        <rFont val="Arial"/>
        <family val="2"/>
        <charset val="1"/>
      </rPr>
      <t>$4M/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 xml:space="preserve">+ </t>
    </r>
    <r>
      <rPr>
        <sz val="9"/>
        <color rgb="FF333333"/>
        <rFont val="Noto Sans CJK SC"/>
        <family val="2"/>
      </rPr>
      <t>한국</t>
    </r>
    <r>
      <rPr>
        <sz val="9"/>
        <color rgb="FF333333"/>
        <rFont val="Arial"/>
        <family val="2"/>
        <charset val="1"/>
      </rPr>
      <t>1</t>
    </r>
    <r>
      <rPr>
        <sz val="9"/>
        <color rgb="FF333333"/>
        <rFont val="Noto Sans CJK SC"/>
        <family val="2"/>
      </rPr>
      <t xml:space="preserve">단계 </t>
    </r>
    <r>
      <rPr>
        <sz val="9"/>
        <color rgb="FF333333"/>
        <rFont val="Arial"/>
        <family val="2"/>
        <charset val="1"/>
      </rPr>
      <t>$500K(2028~) + AI</t>
    </r>
    <r>
      <rPr>
        <sz val="9"/>
        <color rgb="FF333333"/>
        <rFont val="Noto Sans CJK SC"/>
        <family val="2"/>
      </rPr>
      <t xml:space="preserve">서버공장 </t>
    </r>
    <r>
      <rPr>
        <sz val="9"/>
        <color rgb="FF333333"/>
        <rFont val="Arial"/>
        <family val="2"/>
        <charset val="1"/>
      </rPr>
      <t xml:space="preserve">$505K(2029~) + </t>
    </r>
    <r>
      <rPr>
        <sz val="9"/>
        <color rgb="FF333333"/>
        <rFont val="Noto Sans CJK SC"/>
        <family val="2"/>
      </rPr>
      <t>한국</t>
    </r>
    <r>
      <rPr>
        <sz val="9"/>
        <color rgb="FF333333"/>
        <rFont val="Arial"/>
        <family val="2"/>
        <charset val="1"/>
      </rPr>
      <t>2</t>
    </r>
    <r>
      <rPr>
        <sz val="9"/>
        <color rgb="FF333333"/>
        <rFont val="Noto Sans CJK SC"/>
        <family val="2"/>
      </rPr>
      <t xml:space="preserve">단계 </t>
    </r>
    <r>
      <rPr>
        <sz val="9"/>
        <color rgb="FF333333"/>
        <rFont val="Arial"/>
        <family val="2"/>
        <charset val="1"/>
      </rPr>
      <t>$1,500K(2030~). 10</t>
    </r>
    <r>
      <rPr>
        <sz val="9"/>
        <color rgb="FF333333"/>
        <rFont val="Noto Sans CJK SC"/>
        <family val="2"/>
      </rPr>
      <t>년 정액</t>
    </r>
    <r>
      <rPr>
        <sz val="9"/>
        <color rgb="FF333333"/>
        <rFont val="Arial"/>
        <family val="2"/>
        <charset val="1"/>
      </rPr>
      <t>.</t>
    </r>
  </si>
  <si>
    <r>
      <rPr>
        <sz val="9"/>
        <color rgb="FF333333"/>
        <rFont val="Arial"/>
        <family val="2"/>
        <charset val="1"/>
      </rPr>
      <t xml:space="preserve">8. </t>
    </r>
    <r>
      <rPr>
        <sz val="9"/>
        <color rgb="FF333333"/>
        <rFont val="Noto Sans CJK SC"/>
        <family val="2"/>
      </rPr>
      <t>법인세</t>
    </r>
    <r>
      <rPr>
        <sz val="9"/>
        <color rgb="FF333333"/>
        <rFont val="Arial"/>
        <family val="2"/>
        <charset val="1"/>
      </rPr>
      <t>: 2026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>16.3%, 2027</t>
    </r>
    <r>
      <rPr>
        <sz val="9"/>
        <color rgb="FF333333"/>
        <rFont val="Noto Sans CJK SC"/>
        <family val="2"/>
      </rPr>
      <t>년</t>
    </r>
    <r>
      <rPr>
        <sz val="9"/>
        <color rgb="FF333333"/>
        <rFont val="Arial"/>
        <family val="2"/>
        <charset val="1"/>
      </rPr>
      <t>~ 20%. 2025</t>
    </r>
    <r>
      <rPr>
        <sz val="9"/>
        <color rgb="FF333333"/>
        <rFont val="Noto Sans CJK SC"/>
        <family val="2"/>
      </rPr>
      <t xml:space="preserve">년 실제 </t>
    </r>
    <r>
      <rPr>
        <sz val="9"/>
        <color rgb="FF333333"/>
        <rFont val="Arial"/>
        <family val="2"/>
        <charset val="1"/>
      </rPr>
      <t>CIT $0 (</t>
    </r>
    <r>
      <rPr>
        <sz val="9"/>
        <color rgb="FF333333"/>
        <rFont val="Noto Sans CJK SC"/>
        <family val="2"/>
      </rPr>
      <t>세제혜택</t>
    </r>
    <r>
      <rPr>
        <sz val="9"/>
        <color rgb="FF333333"/>
        <rFont val="Arial"/>
        <family val="2"/>
        <charset val="1"/>
      </rPr>
      <t xml:space="preserve">, EY </t>
    </r>
    <r>
      <rPr>
        <sz val="9"/>
        <color rgb="FF333333"/>
        <rFont val="Noto Sans CJK SC"/>
        <family val="2"/>
      </rPr>
      <t>확인 필요</t>
    </r>
    <r>
      <rPr>
        <sz val="9"/>
        <color rgb="FF333333"/>
        <rFont val="Arial"/>
        <family val="2"/>
        <charset val="1"/>
      </rPr>
      <t>).</t>
    </r>
  </si>
  <si>
    <r>
      <rPr>
        <sz val="9"/>
        <color rgb="FF333333"/>
        <rFont val="Arial"/>
        <family val="2"/>
        <charset val="1"/>
      </rPr>
      <t xml:space="preserve">9. </t>
    </r>
    <r>
      <rPr>
        <sz val="9"/>
        <color rgb="FF333333"/>
        <rFont val="Noto Sans CJK SC"/>
        <family val="2"/>
      </rPr>
      <t>차입금 상환유예</t>
    </r>
    <r>
      <rPr>
        <sz val="9"/>
        <color rgb="FF333333"/>
        <rFont val="Arial"/>
        <family val="2"/>
        <charset val="1"/>
      </rPr>
      <t>(2026~29)·2030~ $2M/</t>
    </r>
    <r>
      <rPr>
        <sz val="9"/>
        <color rgb="FF333333"/>
        <rFont val="Noto Sans CJK SC"/>
        <family val="2"/>
      </rPr>
      <t xml:space="preserve">년 분할상환 </t>
    </r>
    <r>
      <rPr>
        <sz val="9"/>
        <color rgb="FF333333"/>
        <rFont val="Arial"/>
        <family val="2"/>
        <charset val="1"/>
      </rPr>
      <t xml:space="preserve">+ </t>
    </r>
    <r>
      <rPr>
        <sz val="9"/>
        <color rgb="FF333333"/>
        <rFont val="Noto Sans CJK SC"/>
        <family val="2"/>
      </rPr>
      <t>투자축소</t>
    </r>
    <r>
      <rPr>
        <sz val="9"/>
        <color rgb="FF333333"/>
        <rFont val="Arial"/>
        <family val="2"/>
        <charset val="1"/>
      </rPr>
      <t xml:space="preserve">: </t>
    </r>
    <r>
      <rPr>
        <sz val="9"/>
        <color rgb="FF333333"/>
        <rFont val="Noto Sans CJK SC"/>
        <family val="2"/>
      </rPr>
      <t xml:space="preserve">베트남 구공장 </t>
    </r>
    <r>
      <rPr>
        <sz val="9"/>
        <color rgb="FF333333"/>
        <rFont val="Arial"/>
        <family val="2"/>
        <charset val="1"/>
      </rPr>
      <t xml:space="preserve">2028·2029 </t>
    </r>
    <r>
      <rPr>
        <sz val="9"/>
        <color rgb="FF333333"/>
        <rFont val="Noto Sans CJK SC"/>
        <family val="2"/>
      </rPr>
      <t xml:space="preserve">각 </t>
    </r>
    <r>
      <rPr>
        <sz val="9"/>
        <color rgb="FF333333"/>
        <rFont val="Arial"/>
        <family val="2"/>
        <charset val="1"/>
      </rPr>
      <t>$1M(</t>
    </r>
    <r>
      <rPr>
        <sz val="9"/>
        <color rgb="FF333333"/>
        <rFont val="Noto Sans CJK SC"/>
        <family val="2"/>
      </rPr>
      <t>유지보수</t>
    </r>
    <r>
      <rPr>
        <sz val="9"/>
        <color rgb="FF333333"/>
        <rFont val="Arial"/>
        <family val="2"/>
        <charset val="1"/>
      </rPr>
      <t>), AI</t>
    </r>
    <r>
      <rPr>
        <sz val="9"/>
        <color rgb="FF333333"/>
        <rFont val="Noto Sans CJK SC"/>
        <family val="2"/>
      </rPr>
      <t xml:space="preserve">서버공장 </t>
    </r>
    <r>
      <rPr>
        <sz val="9"/>
        <color rgb="FF333333"/>
        <rFont val="Arial"/>
        <family val="2"/>
        <charset val="1"/>
      </rPr>
      <t>$5.05M(</t>
    </r>
    <r>
      <rPr>
        <sz val="9"/>
        <color rgb="FF333333"/>
        <rFont val="Noto Sans CJK SC"/>
        <family val="2"/>
      </rPr>
      <t>중고설비</t>
    </r>
    <r>
      <rPr>
        <sz val="9"/>
        <color rgb="FF333333"/>
        <rFont val="Arial"/>
        <family val="2"/>
        <charset val="1"/>
      </rPr>
      <t xml:space="preserve">). </t>
    </r>
    <r>
      <rPr>
        <sz val="9"/>
        <color rgb="FF333333"/>
        <rFont val="Noto Sans CJK SC"/>
        <family val="2"/>
      </rPr>
      <t>투자 절감으로 전 구간 현금 플러스 유지</t>
    </r>
    <r>
      <rPr>
        <sz val="9"/>
        <color rgb="FF333333"/>
        <rFont val="Arial"/>
        <family val="2"/>
        <charset val="1"/>
      </rPr>
      <t xml:space="preserve">. </t>
    </r>
    <r>
      <rPr>
        <sz val="9"/>
        <color rgb="FF333333"/>
        <rFont val="Noto Sans CJK SC"/>
        <family val="2"/>
      </rPr>
      <t xml:space="preserve">유예기간 부채 유지로 순이자비용 </t>
    </r>
    <r>
      <rPr>
        <sz val="9"/>
        <color rgb="FF333333"/>
        <rFont val="Arial"/>
        <family val="2"/>
        <charset val="1"/>
      </rPr>
      <t xml:space="preserve">declining </t>
    </r>
    <r>
      <rPr>
        <sz val="9"/>
        <color rgb="FF333333"/>
        <rFont val="Noto Sans CJK SC"/>
        <family val="2"/>
      </rPr>
      <t>가정 재검토 권고</t>
    </r>
    <r>
      <rPr>
        <sz val="9"/>
        <color rgb="FF333333"/>
        <rFont val="Arial"/>
        <family val="2"/>
        <charset val="1"/>
      </rPr>
      <t>.</t>
    </r>
  </si>
  <si>
    <r>
      <rPr>
        <sz val="9"/>
        <color rgb="FF333333"/>
        <rFont val="Arial"/>
        <family val="2"/>
        <charset val="1"/>
      </rPr>
      <t xml:space="preserve">10. </t>
    </r>
    <r>
      <rPr>
        <sz val="9"/>
        <color rgb="FF333333"/>
        <rFont val="Noto Sans CJK SC"/>
        <family val="2"/>
      </rPr>
      <t>미반영 항목</t>
    </r>
    <r>
      <rPr>
        <sz val="9"/>
        <color rgb="FF333333"/>
        <rFont val="Arial"/>
        <family val="2"/>
        <charset val="1"/>
      </rPr>
      <t xml:space="preserve">: </t>
    </r>
    <r>
      <rPr>
        <sz val="9"/>
        <color rgb="FF333333"/>
        <rFont val="Noto Sans CJK SC"/>
        <family val="2"/>
      </rPr>
      <t>추가 방산 고객</t>
    </r>
    <r>
      <rPr>
        <sz val="9"/>
        <color rgb="FF333333"/>
        <rFont val="Arial"/>
        <family val="2"/>
        <charset val="1"/>
      </rPr>
      <t xml:space="preserve">, IPO </t>
    </r>
    <r>
      <rPr>
        <sz val="9"/>
        <color rgb="FF333333"/>
        <rFont val="Noto Sans CJK SC"/>
        <family val="2"/>
      </rPr>
      <t>비용</t>
    </r>
    <r>
      <rPr>
        <sz val="9"/>
        <color rgb="FF333333"/>
        <rFont val="Arial"/>
        <family val="2"/>
        <charset val="1"/>
      </rPr>
      <t xml:space="preserve">, ESOP, </t>
    </r>
    <r>
      <rPr>
        <sz val="9"/>
        <color rgb="FF333333"/>
        <rFont val="Noto Sans CJK SC"/>
        <family val="2"/>
      </rPr>
      <t xml:space="preserve">상장 후 하이퐁 신공장 </t>
    </r>
    <r>
      <rPr>
        <sz val="9"/>
        <color rgb="FF333333"/>
        <rFont val="Arial"/>
        <family val="2"/>
        <charset val="1"/>
      </rPr>
      <t>$78M (</t>
    </r>
    <r>
      <rPr>
        <sz val="9"/>
        <color rgb="FF333333"/>
        <rFont val="Noto Sans CJK SC"/>
        <family val="2"/>
      </rPr>
      <t>공모자금 활용</t>
    </r>
    <r>
      <rPr>
        <sz val="9"/>
        <color rgb="FF333333"/>
        <rFont val="Arial"/>
        <family val="2"/>
        <charset val="1"/>
      </rPr>
      <t>).</t>
    </r>
  </si>
  <si>
    <r>
      <rPr>
        <sz val="9"/>
        <color rgb="FF333333"/>
        <rFont val="Arial"/>
        <family val="2"/>
        <charset val="1"/>
      </rPr>
      <t xml:space="preserve">11. [v9 </t>
    </r>
    <r>
      <rPr>
        <sz val="9"/>
        <color rgb="FF333333"/>
        <rFont val="Noto Sans CJK SC"/>
        <family val="2"/>
      </rPr>
      <t>변경 이력</t>
    </r>
    <r>
      <rPr>
        <sz val="9"/>
        <color rgb="FF333333"/>
        <rFont val="Arial"/>
        <family val="2"/>
        <charset val="1"/>
      </rPr>
      <t xml:space="preserve">] (1) </t>
    </r>
    <r>
      <rPr>
        <sz val="9"/>
        <color rgb="FF333333"/>
        <rFont val="Noto Sans CJK SC"/>
        <family val="2"/>
      </rPr>
      <t>판관비율</t>
    </r>
    <r>
      <rPr>
        <sz val="9"/>
        <color rgb="FF333333"/>
        <rFont val="Arial"/>
        <family val="2"/>
        <charset val="1"/>
      </rPr>
      <t>: 12.6%</t>
    </r>
    <r>
      <rPr>
        <sz val="9"/>
        <color rgb="FF333333"/>
        <rFont val="Noto Sans CJK SC"/>
        <family val="2"/>
      </rPr>
      <t xml:space="preserve">에서 매년 </t>
    </r>
    <r>
      <rPr>
        <sz val="9"/>
        <color rgb="FF333333"/>
        <rFont val="Arial"/>
        <family val="2"/>
        <charset val="1"/>
      </rPr>
      <t xml:space="preserve">1.0%p </t>
    </r>
    <r>
      <rPr>
        <sz val="9"/>
        <color rgb="FF333333"/>
        <rFont val="Noto Sans CJK SC"/>
        <family val="2"/>
      </rPr>
      <t>개선</t>
    </r>
    <r>
      <rPr>
        <sz val="9"/>
        <color rgb="FF333333"/>
        <rFont val="Arial"/>
        <family val="2"/>
        <charset val="1"/>
      </rPr>
      <t>(2031</t>
    </r>
    <r>
      <rPr>
        <sz val="9"/>
        <color rgb="FF333333"/>
        <rFont val="Noto Sans CJK SC"/>
        <family val="2"/>
      </rPr>
      <t xml:space="preserve">년 </t>
    </r>
    <r>
      <rPr>
        <sz val="9"/>
        <color rgb="FF333333"/>
        <rFont val="Arial"/>
        <family val="2"/>
        <charset val="1"/>
      </rPr>
      <t xml:space="preserve">7.6%) — operating leverage </t>
    </r>
    <r>
      <rPr>
        <sz val="9"/>
        <color rgb="FF333333"/>
        <rFont val="Noto Sans CJK SC"/>
        <family val="2"/>
      </rPr>
      <t>반영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>기존사업에만 적용</t>
    </r>
    <r>
      <rPr>
        <sz val="9"/>
        <color rgb="FF333333"/>
        <rFont val="Arial"/>
        <family val="2"/>
        <charset val="1"/>
      </rPr>
      <t xml:space="preserve">. (2) </t>
    </r>
    <r>
      <rPr>
        <sz val="9"/>
        <color rgb="FF333333"/>
        <rFont val="Noto Sans CJK SC"/>
        <family val="2"/>
      </rPr>
      <t>순이자비용</t>
    </r>
    <r>
      <rPr>
        <sz val="9"/>
        <color rgb="FF333333"/>
        <rFont val="Arial"/>
        <family val="2"/>
        <charset val="1"/>
      </rPr>
      <t xml:space="preserve">: </t>
    </r>
    <r>
      <rPr>
        <sz val="9"/>
        <color rgb="FF333333"/>
        <rFont val="Noto Sans CJK SC"/>
        <family val="2"/>
      </rPr>
      <t xml:space="preserve">구버전 </t>
    </r>
    <r>
      <rPr>
        <sz val="9"/>
        <color rgb="FF333333"/>
        <rFont val="Arial"/>
        <family val="2"/>
        <charset val="1"/>
      </rPr>
      <t xml:space="preserve">declining(687→300) </t>
    </r>
    <r>
      <rPr>
        <sz val="9"/>
        <color rgb="FF333333"/>
        <rFont val="Noto Sans CJK SC"/>
        <family val="2"/>
      </rPr>
      <t xml:space="preserve">오류 수정 → 유예기간 </t>
    </r>
    <r>
      <rPr>
        <sz val="9"/>
        <color rgb="FF333333"/>
        <rFont val="Arial"/>
        <family val="2"/>
        <charset val="1"/>
      </rPr>
      <t>$687K flat, 2031</t>
    </r>
    <r>
      <rPr>
        <sz val="9"/>
        <color rgb="FF333333"/>
        <rFont val="Noto Sans CJK SC"/>
        <family val="2"/>
      </rPr>
      <t xml:space="preserve">년 상환 반영 </t>
    </r>
    <r>
      <rPr>
        <sz val="9"/>
        <color rgb="FF333333"/>
        <rFont val="Arial"/>
        <family val="2"/>
        <charset val="1"/>
      </rPr>
      <t xml:space="preserve">$557K. </t>
    </r>
    <r>
      <rPr>
        <sz val="9"/>
        <color rgb="FF333333"/>
        <rFont val="Noto Sans CJK SC"/>
        <family val="2"/>
      </rPr>
      <t xml:space="preserve">투자 분할은 </t>
    </r>
    <r>
      <rPr>
        <sz val="9"/>
        <color rgb="FF333333"/>
        <rFont val="Arial"/>
        <family val="2"/>
        <charset val="1"/>
      </rPr>
      <t>v8</t>
    </r>
    <r>
      <rPr>
        <sz val="9"/>
        <color rgb="FF333333"/>
        <rFont val="Noto Sans CJK SC"/>
        <family val="2"/>
      </rPr>
      <t>과 동일</t>
    </r>
    <r>
      <rPr>
        <sz val="9"/>
        <color rgb="FF333333"/>
        <rFont val="Arial"/>
        <family val="2"/>
        <charset val="1"/>
      </rPr>
      <t>(</t>
    </r>
    <r>
      <rPr>
        <sz val="9"/>
        <color rgb="FF333333"/>
        <rFont val="Noto Sans CJK SC"/>
        <family val="2"/>
      </rPr>
      <t>한국</t>
    </r>
    <r>
      <rPr>
        <sz val="9"/>
        <color rgb="FF333333"/>
        <rFont val="Arial"/>
        <family val="2"/>
        <charset val="1"/>
      </rPr>
      <t>1</t>
    </r>
    <r>
      <rPr>
        <sz val="9"/>
        <color rgb="FF333333"/>
        <rFont val="Noto Sans CJK SC"/>
        <family val="2"/>
      </rPr>
      <t xml:space="preserve">단계 </t>
    </r>
    <r>
      <rPr>
        <sz val="9"/>
        <color rgb="FF333333"/>
        <rFont val="Arial"/>
        <family val="2"/>
        <charset val="1"/>
      </rPr>
      <t xml:space="preserve">$3M+$2M, </t>
    </r>
    <r>
      <rPr>
        <sz val="9"/>
        <color rgb="FF333333"/>
        <rFont val="Noto Sans CJK SC"/>
        <family val="2"/>
      </rPr>
      <t xml:space="preserve">서버공장 </t>
    </r>
    <r>
      <rPr>
        <sz val="9"/>
        <color rgb="FF333333"/>
        <rFont val="Arial"/>
        <family val="2"/>
        <charset val="1"/>
      </rPr>
      <t xml:space="preserve">$5.05M </t>
    </r>
    <r>
      <rPr>
        <sz val="9"/>
        <color rgb="FF333333"/>
        <rFont val="Noto Sans CJK SC"/>
        <family val="2"/>
      </rPr>
      <t>단년</t>
    </r>
    <r>
      <rPr>
        <sz val="9"/>
        <color rgb="FF333333"/>
        <rFont val="Arial"/>
        <family val="2"/>
        <charset val="1"/>
      </rPr>
      <t xml:space="preserve">, </t>
    </r>
    <r>
      <rPr>
        <sz val="9"/>
        <color rgb="FF333333"/>
        <rFont val="Noto Sans CJK SC"/>
        <family val="2"/>
      </rPr>
      <t>한국</t>
    </r>
    <r>
      <rPr>
        <sz val="9"/>
        <color rgb="FF333333"/>
        <rFont val="Arial"/>
        <family val="2"/>
        <charset val="1"/>
      </rPr>
      <t>2</t>
    </r>
    <r>
      <rPr>
        <sz val="9"/>
        <color rgb="FF333333"/>
        <rFont val="Noto Sans CJK SC"/>
        <family val="2"/>
      </rPr>
      <t xml:space="preserve">단계 </t>
    </r>
    <r>
      <rPr>
        <sz val="9"/>
        <color rgb="FF333333"/>
        <rFont val="Arial"/>
        <family val="2"/>
        <charset val="1"/>
      </rPr>
      <t>$10M+$5M).</t>
    </r>
  </si>
  <si>
    <r>
      <rPr>
        <sz val="11"/>
        <color theme="1"/>
        <rFont val="Calibri"/>
        <family val="2"/>
        <charset val="1"/>
      </rPr>
      <t>12. [</t>
    </r>
    <r>
      <rPr>
        <sz val="11"/>
        <color theme="1"/>
        <rFont val="Noto Sans CJK SC"/>
        <family val="2"/>
      </rPr>
      <t>유의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운전자본 변동은 </t>
    </r>
    <r>
      <rPr>
        <sz val="11"/>
        <color theme="1"/>
        <rFont val="Calibri"/>
        <family val="2"/>
        <charset val="1"/>
      </rPr>
      <t>V7(</t>
    </r>
    <r>
      <rPr>
        <sz val="11"/>
        <color theme="1"/>
        <rFont val="Noto Sans CJK SC"/>
        <family val="2"/>
      </rPr>
      <t>고매출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기준 하드코딩 유지 — 현금 소폭 보수적</t>
    </r>
    <r>
      <rPr>
        <sz val="11"/>
        <color theme="1"/>
        <rFont val="Calibri"/>
        <family val="2"/>
        <charset val="1"/>
      </rPr>
      <t>. AR87·</t>
    </r>
    <r>
      <rPr>
        <sz val="11"/>
        <color theme="1"/>
        <rFont val="Noto Sans CJK SC"/>
        <family val="2"/>
      </rPr>
      <t>재고</t>
    </r>
    <r>
      <rPr>
        <sz val="11"/>
        <color theme="1"/>
        <rFont val="Calibri"/>
        <family val="2"/>
        <charset val="1"/>
      </rPr>
      <t>34·AP110</t>
    </r>
    <r>
      <rPr>
        <sz val="11"/>
        <color theme="1"/>
        <rFont val="Noto Sans CJK SC"/>
        <family val="2"/>
      </rPr>
      <t>일 기준 재산출 가능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</si>
  <si>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color rgb="FFFFFFFF"/>
        <rFont val="Arial"/>
        <family val="2"/>
        <charset val="1"/>
      </rPr>
      <t xml:space="preserve">MNC Group — </t>
    </r>
    <r>
      <rPr>
        <b/>
        <sz val="11"/>
        <color rgb="FFFFFFFF"/>
        <rFont val="Noto Sans CJK SC"/>
        <family val="2"/>
      </rPr>
      <t xml:space="preserve">핵심 가정 </t>
    </r>
    <r>
      <rPr>
        <b/>
        <sz val="11"/>
        <color rgb="FFFFFFFF"/>
        <rFont val="Arial"/>
        <family val="2"/>
        <charset val="1"/>
      </rPr>
      <t>(Assumptions)</t>
    </r>
  </si>
  <si>
    <t>항목</t>
  </si>
  <si>
    <t>비고</t>
  </si>
  <si>
    <r>
      <rPr>
        <b/>
        <sz val="10"/>
        <color rgb="FF1F3864"/>
        <rFont val="Arial"/>
        <family val="2"/>
        <charset val="1"/>
      </rPr>
      <t xml:space="preserve">A. </t>
    </r>
    <r>
      <rPr>
        <b/>
        <sz val="10"/>
        <color rgb="FF1F3864"/>
        <rFont val="Noto Sans CJK SC"/>
        <family val="2"/>
      </rPr>
      <t>기존사업 가정</t>
    </r>
  </si>
  <si>
    <t>기존사업 매출 ($K)</t>
  </si>
  <si>
    <r>
      <rPr>
        <i/>
        <sz val="9"/>
        <color rgb="FF555555"/>
        <rFont val="Arial"/>
        <family val="2"/>
        <charset val="1"/>
      </rPr>
      <t>2027</t>
    </r>
    <r>
      <rPr>
        <i/>
        <sz val="9"/>
        <color rgb="FF555555"/>
        <rFont val="Noto Sans CJK SC"/>
        <family val="2"/>
      </rPr>
      <t xml:space="preserve">년부터 연  </t>
    </r>
    <r>
      <rPr>
        <i/>
        <sz val="9"/>
        <color rgb="FF555555"/>
        <rFont val="Arial"/>
        <family val="2"/>
        <charset val="1"/>
      </rPr>
      <t>5%</t>
    </r>
    <r>
      <rPr>
        <i/>
        <sz val="9"/>
        <color rgb="FF555555"/>
        <rFont val="Noto Sans CJK SC"/>
        <family val="2"/>
      </rPr>
      <t>성장</t>
    </r>
  </si>
  <si>
    <t>기존사업 매출원가율</t>
  </si>
  <si>
    <r>
      <rPr>
        <i/>
        <sz val="9"/>
        <color rgb="FF555555"/>
        <rFont val="Arial"/>
        <family val="2"/>
        <charset val="1"/>
      </rPr>
      <t>75.6%</t>
    </r>
    <r>
      <rPr>
        <i/>
        <sz val="9"/>
        <color rgb="FF555555"/>
        <rFont val="Noto Sans CJK SC"/>
        <family val="2"/>
      </rPr>
      <t>에서 출발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 xml:space="preserve">매년 </t>
    </r>
    <r>
      <rPr>
        <i/>
        <sz val="9"/>
        <color rgb="FF555555"/>
        <rFont val="Arial"/>
        <family val="2"/>
        <charset val="1"/>
      </rPr>
      <t xml:space="preserve">1.05%p </t>
    </r>
    <r>
      <rPr>
        <i/>
        <sz val="9"/>
        <color rgb="FF555555"/>
        <rFont val="Noto Sans CJK SC"/>
        <family val="2"/>
      </rPr>
      <t>개선</t>
    </r>
  </si>
  <si>
    <t>기존사업 판관비율</t>
  </si>
  <si>
    <t>2026 12.6% → 매년 1.0%p 개선 (개선폭 B31). 적용대상: 기존사업</t>
  </si>
  <si>
    <r>
      <rPr>
        <b/>
        <sz val="10"/>
        <color rgb="FF1F3864"/>
        <rFont val="Arial"/>
        <family val="2"/>
        <charset val="1"/>
      </rPr>
      <t>B. A</t>
    </r>
    <r>
      <rPr>
        <b/>
        <sz val="10"/>
        <color rgb="FF1F3864"/>
        <rFont val="Noto Sans CJK SC"/>
        <family val="2"/>
      </rPr>
      <t>사 프로젝트 가정</t>
    </r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</si>
  <si>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수량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세트</t>
    </r>
    <r>
      <rPr>
        <sz val="10"/>
        <rFont val="Arial"/>
        <family val="2"/>
        <charset val="1"/>
      </rPr>
      <t>)</t>
    </r>
  </si>
  <si>
    <t>양산단계 15,000세트</t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</si>
  <si>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단가 </t>
    </r>
    <r>
      <rPr>
        <sz val="10"/>
        <rFont val="Arial"/>
        <family val="2"/>
        <charset val="1"/>
      </rPr>
      <t>($/</t>
    </r>
    <r>
      <rPr>
        <sz val="10"/>
        <rFont val="Noto Sans CJK SC"/>
        <family val="2"/>
      </rPr>
      <t>세트</t>
    </r>
    <r>
      <rPr>
        <sz val="10"/>
        <rFont val="Arial"/>
        <family val="2"/>
        <charset val="1"/>
      </rPr>
      <t>)</t>
    </r>
  </si>
  <si>
    <t>양산 $1,600 (20%볼륨할인)</t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</si>
  <si>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사 매출 </t>
    </r>
    <r>
      <rPr>
        <sz val="10"/>
        <rFont val="Arial"/>
        <family val="2"/>
        <charset val="1"/>
      </rPr>
      <t>($K)</t>
    </r>
  </si>
  <si>
    <t>영업이익률 50%</t>
  </si>
  <si>
    <r>
      <rPr>
        <b/>
        <sz val="10"/>
        <color rgb="FF1F3864"/>
        <rFont val="Arial"/>
        <family val="2"/>
        <charset val="1"/>
      </rPr>
      <t xml:space="preserve">C. </t>
    </r>
    <r>
      <rPr>
        <b/>
        <sz val="10"/>
        <color rgb="FF1F3864"/>
        <rFont val="Noto Sans CJK SC"/>
        <family val="2"/>
      </rPr>
      <t xml:space="preserve">삼성전자 </t>
    </r>
    <r>
      <rPr>
        <b/>
        <sz val="10"/>
        <color rgb="FF1F3864"/>
        <rFont val="Arial"/>
        <family val="2"/>
        <charset val="1"/>
      </rPr>
      <t xml:space="preserve">DX </t>
    </r>
    <r>
      <rPr>
        <b/>
        <sz val="10"/>
        <color rgb="FF1F3864"/>
        <rFont val="Noto Sans CJK SC"/>
        <family val="2"/>
      </rPr>
      <t>가정</t>
    </r>
  </si>
  <si>
    <r>
      <rPr>
        <sz val="10"/>
        <rFont val="Arial"/>
        <family val="2"/>
        <charset val="1"/>
      </rPr>
      <t>ZN</t>
    </r>
    <r>
      <rPr>
        <sz val="10"/>
        <rFont val="Noto Sans CJK SC"/>
        <family val="2"/>
      </rPr>
      <t xml:space="preserve">캐스팅 매출 </t>
    </r>
    <r>
      <rPr>
        <sz val="10"/>
        <rFont val="Arial"/>
        <family val="2"/>
        <charset val="1"/>
      </rPr>
      <t>($K)</t>
    </r>
  </si>
  <si>
    <r>
      <rPr>
        <i/>
        <sz val="9"/>
        <color rgb="FF555555"/>
        <rFont val="Arial"/>
        <family val="2"/>
        <charset val="1"/>
      </rPr>
      <t>$0.40/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>월</t>
    </r>
    <r>
      <rPr>
        <i/>
        <sz val="9"/>
        <color rgb="FF555555"/>
        <rFont val="Arial"/>
        <family val="2"/>
        <charset val="1"/>
      </rPr>
      <t>100</t>
    </r>
    <r>
      <rPr>
        <i/>
        <sz val="9"/>
        <color rgb="FF555555"/>
        <rFont val="Noto Sans CJK SC"/>
        <family val="2"/>
      </rPr>
      <t>만개→연</t>
    </r>
    <r>
      <rPr>
        <i/>
        <sz val="9"/>
        <color rgb="FF555555"/>
        <rFont val="Arial"/>
        <family val="2"/>
        <charset val="1"/>
      </rPr>
      <t>$4.8M</t>
    </r>
  </si>
  <si>
    <t>갤럭시탭 매출 ($K)</t>
  </si>
  <si>
    <r>
      <rPr>
        <i/>
        <sz val="9"/>
        <color rgb="FF555555"/>
        <rFont val="Arial"/>
        <family val="2"/>
        <charset val="1"/>
      </rPr>
      <t>$2.2/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  <charset val="1"/>
      </rPr>
      <t xml:space="preserve">, </t>
    </r>
    <r>
      <rPr>
        <i/>
        <sz val="9"/>
        <color rgb="FF555555"/>
        <rFont val="Noto Sans CJK SC"/>
        <family val="2"/>
      </rPr>
      <t>월</t>
    </r>
    <r>
      <rPr>
        <i/>
        <sz val="9"/>
        <color rgb="FF555555"/>
        <rFont val="Arial"/>
        <family val="2"/>
        <charset val="1"/>
      </rPr>
      <t>8</t>
    </r>
    <r>
      <rPr>
        <i/>
        <sz val="9"/>
        <color rgb="FF555555"/>
        <rFont val="Noto Sans CJK SC"/>
        <family val="2"/>
      </rPr>
      <t>만개→연</t>
    </r>
    <r>
      <rPr>
        <i/>
        <sz val="9"/>
        <color rgb="FF555555"/>
        <rFont val="Arial"/>
        <family val="2"/>
        <charset val="1"/>
      </rPr>
      <t>$2.2M</t>
    </r>
  </si>
  <si>
    <t>삼성DX 합계 ($K)</t>
  </si>
  <si>
    <t>영업이익률 10%</t>
  </si>
  <si>
    <r>
      <rPr>
        <b/>
        <sz val="10"/>
        <color rgb="FF1F3864"/>
        <rFont val="Arial"/>
        <family val="2"/>
        <charset val="1"/>
      </rPr>
      <t>D. AI</t>
    </r>
    <r>
      <rPr>
        <b/>
        <sz val="10"/>
        <color rgb="FF1F3864"/>
        <rFont val="Noto Sans CJK SC"/>
        <family val="2"/>
      </rPr>
      <t xml:space="preserve">서버 </t>
    </r>
    <r>
      <rPr>
        <b/>
        <sz val="10"/>
        <color rgb="FF1F3864"/>
        <rFont val="Arial"/>
        <family val="2"/>
        <charset val="1"/>
      </rPr>
      <t xml:space="preserve">CNC </t>
    </r>
    <r>
      <rPr>
        <b/>
        <sz val="10"/>
        <color rgb="FF1F3864"/>
        <rFont val="Noto Sans CJK SC"/>
        <family val="2"/>
      </rPr>
      <t>가정</t>
    </r>
  </si>
  <si>
    <r>
      <rPr>
        <sz val="10"/>
        <rFont val="Arial"/>
        <family val="2"/>
        <charset val="1"/>
      </rPr>
      <t>AI</t>
    </r>
    <r>
      <rPr>
        <sz val="10"/>
        <rFont val="Noto Sans CJK SC"/>
        <family val="2"/>
      </rPr>
      <t>서버</t>
    </r>
    <r>
      <rPr>
        <sz val="10"/>
        <rFont val="Arial"/>
        <family val="2"/>
        <charset val="1"/>
      </rPr>
      <t xml:space="preserve">CNC 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2"/>
        <charset val="1"/>
      </rPr>
      <t>($K)</t>
    </r>
  </si>
  <si>
    <t>임율 60동/초, 100대→200대, 환율 26,500동/$</t>
  </si>
  <si>
    <t>기계대수 (대)</t>
  </si>
  <si>
    <r>
      <rPr>
        <i/>
        <sz val="9"/>
        <color rgb="FF555555"/>
        <rFont val="Arial"/>
        <family val="2"/>
        <charset val="1"/>
      </rPr>
      <t>2029</t>
    </r>
    <r>
      <rPr>
        <i/>
        <sz val="9"/>
        <color rgb="FF555555"/>
        <rFont val="Noto Sans CJK SC"/>
        <family val="2"/>
      </rPr>
      <t xml:space="preserve">년 신공장 </t>
    </r>
    <r>
      <rPr>
        <i/>
        <sz val="9"/>
        <color rgb="FF555555"/>
        <rFont val="Arial"/>
        <family val="2"/>
        <charset val="1"/>
      </rPr>
      <t>200</t>
    </r>
    <r>
      <rPr>
        <i/>
        <sz val="9"/>
        <color rgb="FF555555"/>
        <rFont val="Noto Sans CJK SC"/>
        <family val="2"/>
      </rPr>
      <t>대</t>
    </r>
  </si>
  <si>
    <r>
      <rPr>
        <b/>
        <sz val="10"/>
        <color rgb="FF1F3864"/>
        <rFont val="Arial"/>
        <family val="2"/>
        <charset val="1"/>
      </rPr>
      <t xml:space="preserve">E. </t>
    </r>
    <r>
      <rPr>
        <b/>
        <sz val="10"/>
        <color rgb="FF1F3864"/>
        <rFont val="Noto Sans CJK SC"/>
        <family val="2"/>
      </rPr>
      <t>투자계획 가정</t>
    </r>
  </si>
  <si>
    <t>베트남 Capex ($K)</t>
  </si>
  <si>
    <r>
      <rPr>
        <i/>
        <sz val="9"/>
        <color rgb="FF555555"/>
        <rFont val="Arial"/>
        <family val="2"/>
        <charset val="1"/>
      </rPr>
      <t>2026 $5.9M / 2027·2030·2031 $3M / 2028~2029 $1M(2</t>
    </r>
    <r>
      <rPr>
        <i/>
        <sz val="9"/>
        <color rgb="FF555555"/>
        <rFont val="Noto Sans CJK SC"/>
        <family val="2"/>
      </rPr>
      <t>공장 투자로 유지보수만</t>
    </r>
    <r>
      <rPr>
        <i/>
        <sz val="9"/>
        <color rgb="FF555555"/>
        <rFont val="Arial"/>
        <family val="2"/>
        <charset val="1"/>
      </rPr>
      <t>)</t>
    </r>
  </si>
  <si>
    <t>한국공장 1단계 ($K)</t>
  </si>
  <si>
    <r>
      <rPr>
        <i/>
        <sz val="9"/>
        <color rgb="FF555555"/>
        <rFont val="Arial"/>
        <family val="2"/>
        <charset val="1"/>
      </rPr>
      <t>2027</t>
    </r>
    <r>
      <rPr>
        <i/>
        <sz val="9"/>
        <color rgb="FF555555"/>
        <rFont val="Noto Sans CJK SC"/>
        <family val="2"/>
      </rPr>
      <t xml:space="preserve">년 </t>
    </r>
    <r>
      <rPr>
        <i/>
        <sz val="9"/>
        <color rgb="FF555555"/>
        <rFont val="Arial"/>
        <family val="2"/>
        <charset val="1"/>
      </rPr>
      <t>$3M, D&amp;A $500K/</t>
    </r>
    <r>
      <rPr>
        <i/>
        <sz val="9"/>
        <color rgb="FF555555"/>
        <rFont val="Noto Sans CJK SC"/>
        <family val="2"/>
      </rPr>
      <t xml:space="preserve">년 </t>
    </r>
    <r>
      <rPr>
        <i/>
        <sz val="9"/>
        <color rgb="FF555555"/>
        <rFont val="Arial"/>
        <family val="2"/>
        <charset val="1"/>
      </rPr>
      <t>2028~</t>
    </r>
  </si>
  <si>
    <r>
      <rPr>
        <sz val="10"/>
        <rFont val="Arial"/>
        <family val="2"/>
        <charset val="1"/>
      </rPr>
      <t>AI</t>
    </r>
    <r>
      <rPr>
        <sz val="10"/>
        <rFont val="Noto Sans CJK SC"/>
        <family val="2"/>
      </rPr>
      <t xml:space="preserve">서버공장 투자 </t>
    </r>
    <r>
      <rPr>
        <sz val="10"/>
        <rFont val="Arial"/>
        <family val="2"/>
        <charset val="1"/>
      </rPr>
      <t>($K)</t>
    </r>
  </si>
  <si>
    <r>
      <rPr>
        <i/>
        <sz val="9"/>
        <color rgb="FF555555"/>
        <rFont val="Arial"/>
        <family val="2"/>
        <charset val="1"/>
      </rPr>
      <t>2028</t>
    </r>
    <r>
      <rPr>
        <i/>
        <sz val="9"/>
        <color rgb="FF555555"/>
        <rFont val="Noto Sans CJK SC"/>
        <family val="2"/>
      </rPr>
      <t xml:space="preserve">년 </t>
    </r>
    <r>
      <rPr>
        <i/>
        <sz val="9"/>
        <color rgb="FF555555"/>
        <rFont val="Arial"/>
        <family val="2"/>
        <charset val="1"/>
      </rPr>
      <t>$5.05M (</t>
    </r>
    <r>
      <rPr>
        <i/>
        <sz val="9"/>
        <color rgb="FF555555"/>
        <rFont val="Noto Sans CJK SC"/>
        <family val="2"/>
      </rPr>
      <t>토지</t>
    </r>
    <r>
      <rPr>
        <i/>
        <sz val="9"/>
        <color rgb="FF555555"/>
        <rFont val="Arial"/>
        <family val="2"/>
        <charset val="1"/>
      </rPr>
      <t>$750K+</t>
    </r>
    <r>
      <rPr>
        <i/>
        <sz val="9"/>
        <color rgb="FF555555"/>
        <rFont val="Noto Sans CJK SC"/>
        <family val="2"/>
      </rPr>
      <t>건축</t>
    </r>
    <r>
      <rPr>
        <i/>
        <sz val="9"/>
        <color rgb="FF555555"/>
        <rFont val="Arial"/>
        <family val="2"/>
        <charset val="1"/>
      </rPr>
      <t>$800K+</t>
    </r>
    <r>
      <rPr>
        <i/>
        <sz val="9"/>
        <color rgb="FF555555"/>
        <rFont val="Noto Sans CJK SC"/>
        <family val="2"/>
      </rPr>
      <t>부대</t>
    </r>
    <r>
      <rPr>
        <i/>
        <sz val="9"/>
        <color rgb="FF555555"/>
        <rFont val="Arial"/>
        <family val="2"/>
        <charset val="1"/>
      </rPr>
      <t>$500K+</t>
    </r>
    <r>
      <rPr>
        <i/>
        <sz val="9"/>
        <color rgb="FF555555"/>
        <rFont val="Noto Sans CJK SC"/>
        <family val="2"/>
      </rPr>
      <t>중고</t>
    </r>
    <r>
      <rPr>
        <i/>
        <sz val="9"/>
        <color rgb="FF555555"/>
        <rFont val="Arial"/>
        <family val="2"/>
        <charset val="1"/>
      </rPr>
      <t>CNC 100</t>
    </r>
    <r>
      <rPr>
        <i/>
        <sz val="9"/>
        <color rgb="FF555555"/>
        <rFont val="Noto Sans CJK SC"/>
        <family val="2"/>
      </rPr>
      <t>대</t>
    </r>
    <r>
      <rPr>
        <i/>
        <sz val="9"/>
        <color rgb="FF555555"/>
        <rFont val="Arial"/>
        <family val="2"/>
        <charset val="1"/>
      </rPr>
      <t>$3M)</t>
    </r>
  </si>
  <si>
    <t>한국공장 2단계 ($K)</t>
  </si>
  <si>
    <r>
      <rPr>
        <i/>
        <sz val="9"/>
        <color rgb="FF555555"/>
        <rFont val="Arial"/>
        <family val="2"/>
        <charset val="1"/>
      </rPr>
      <t>2029</t>
    </r>
    <r>
      <rPr>
        <i/>
        <sz val="9"/>
        <color rgb="FF555555"/>
        <rFont val="Noto Sans CJK SC"/>
        <family val="2"/>
      </rPr>
      <t xml:space="preserve">년 </t>
    </r>
    <r>
      <rPr>
        <i/>
        <sz val="9"/>
        <color rgb="FF555555"/>
        <rFont val="Arial"/>
        <family val="2"/>
        <charset val="1"/>
      </rPr>
      <t>$15M</t>
    </r>
  </si>
  <si>
    <t>감가상각 합계 ($K)</t>
  </si>
  <si>
    <t>기존$4M + 신규투자 10년 정액(투자 익년부터)</t>
  </si>
  <si>
    <r>
      <rPr>
        <b/>
        <sz val="10"/>
        <color rgb="FF1F3864"/>
        <rFont val="Arial"/>
        <family val="2"/>
        <charset val="1"/>
      </rPr>
      <t xml:space="preserve">F. </t>
    </r>
    <r>
      <rPr>
        <b/>
        <sz val="10"/>
        <color rgb="FF1F3864"/>
        <rFont val="Noto Sans CJK SC"/>
        <family val="2"/>
      </rPr>
      <t>재무 가정</t>
    </r>
  </si>
  <si>
    <t>순이자비용 ($K)</t>
  </si>
  <si>
    <r>
      <rPr>
        <i/>
        <sz val="9"/>
        <color rgb="FF555555"/>
        <rFont val="Noto Sans CJK SC"/>
        <family val="2"/>
      </rPr>
      <t xml:space="preserve">유예기간 부채유지로 </t>
    </r>
    <r>
      <rPr>
        <i/>
        <sz val="9"/>
        <color rgb="FF555555"/>
        <rFont val="Arial"/>
        <family val="2"/>
        <charset val="1"/>
      </rPr>
      <t xml:space="preserve">flat → 2031 </t>
    </r>
    <r>
      <rPr>
        <i/>
        <sz val="9"/>
        <color rgb="FF555555"/>
        <rFont val="Noto Sans CJK SC"/>
        <family val="2"/>
      </rPr>
      <t>상환분</t>
    </r>
    <r>
      <rPr>
        <i/>
        <sz val="9"/>
        <color rgb="FF555555"/>
        <rFont val="Arial"/>
        <family val="2"/>
        <charset val="1"/>
      </rPr>
      <t xml:space="preserve">($2M) </t>
    </r>
    <r>
      <rPr>
        <i/>
        <sz val="9"/>
        <color rgb="FF555555"/>
        <rFont val="Noto Sans CJK SC"/>
        <family val="2"/>
      </rPr>
      <t>반영 감소</t>
    </r>
    <r>
      <rPr>
        <i/>
        <sz val="9"/>
        <color rgb="FF555555"/>
        <rFont val="Arial"/>
        <family val="2"/>
        <charset val="1"/>
      </rPr>
      <t>. (</t>
    </r>
    <r>
      <rPr>
        <i/>
        <sz val="9"/>
        <color rgb="FF555555"/>
        <rFont val="Noto Sans CJK SC"/>
        <family val="2"/>
      </rPr>
      <t xml:space="preserve">구버전 </t>
    </r>
    <r>
      <rPr>
        <i/>
        <sz val="9"/>
        <color rgb="FF555555"/>
        <rFont val="Arial"/>
        <family val="2"/>
        <charset val="1"/>
      </rPr>
      <t xml:space="preserve">declining </t>
    </r>
    <r>
      <rPr>
        <i/>
        <sz val="9"/>
        <color rgb="FF555555"/>
        <rFont val="Noto Sans CJK SC"/>
        <family val="2"/>
      </rPr>
      <t>오류 수정</t>
    </r>
    <r>
      <rPr>
        <i/>
        <sz val="9"/>
        <color rgb="FF555555"/>
        <rFont val="Arial"/>
        <family val="2"/>
        <charset val="1"/>
      </rPr>
      <t>)</t>
    </r>
  </si>
  <si>
    <t>법인세율</t>
  </si>
  <si>
    <r>
      <rPr>
        <i/>
        <sz val="9"/>
        <color rgb="FF555555"/>
        <rFont val="Arial"/>
        <family val="2"/>
        <charset val="1"/>
      </rPr>
      <t xml:space="preserve">2026 </t>
    </r>
    <r>
      <rPr>
        <i/>
        <sz val="9"/>
        <color rgb="FF555555"/>
        <rFont val="Noto Sans CJK SC"/>
        <family val="2"/>
      </rPr>
      <t xml:space="preserve">세제혜택 가능 </t>
    </r>
    <r>
      <rPr>
        <i/>
        <sz val="9"/>
        <color rgb="FF555555"/>
        <rFont val="Arial"/>
        <family val="2"/>
        <charset val="1"/>
      </rPr>
      <t>(EY</t>
    </r>
    <r>
      <rPr>
        <i/>
        <sz val="9"/>
        <color rgb="FF555555"/>
        <rFont val="Noto Sans CJK SC"/>
        <family val="2"/>
      </rPr>
      <t>확인</t>
    </r>
    <r>
      <rPr>
        <i/>
        <sz val="9"/>
        <color rgb="FF555555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</si>
  <si>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 xml:space="preserve">AR </t>
    </r>
    <r>
      <rPr>
        <sz val="10"/>
        <rFont val="Noto Sans CJK SC"/>
        <family val="2"/>
      </rPr>
      <t xml:space="preserve">회전일수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일</t>
    </r>
    <r>
      <rPr>
        <sz val="10"/>
        <rFont val="Arial"/>
        <family val="2"/>
        <charset val="1"/>
      </rPr>
      <t>)</t>
    </r>
  </si>
  <si>
    <r>
      <rPr>
        <i/>
        <sz val="9"/>
        <color rgb="FF555555"/>
        <rFont val="Arial"/>
        <family val="2"/>
        <charset val="1"/>
      </rPr>
      <t>2025</t>
    </r>
    <r>
      <rPr>
        <i/>
        <sz val="9"/>
        <color rgb="FF555555"/>
        <rFont val="Noto Sans CJK SC"/>
        <family val="2"/>
      </rPr>
      <t>년 실적 기준</t>
    </r>
  </si>
  <si>
    <t>재고 회전일수 (일)</t>
  </si>
  <si>
    <r>
      <rPr>
        <sz val="10"/>
        <rFont val="Arial"/>
        <family val="2"/>
        <charset val="1"/>
      </rPr>
      <t xml:space="preserve">AP </t>
    </r>
    <r>
      <rPr>
        <sz val="10"/>
        <rFont val="Noto Sans CJK SC"/>
        <family val="2"/>
      </rPr>
      <t xml:space="preserve">회전일수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일</t>
    </r>
    <r>
      <rPr>
        <sz val="10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</si>
  <si>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G. </t>
    </r>
    <r>
      <rPr>
        <sz val="11"/>
        <color theme="1"/>
        <rFont val="Noto Sans CJK SC"/>
        <family val="2"/>
      </rPr>
      <t xml:space="preserve">추가 가정 </t>
    </r>
    <r>
      <rPr>
        <sz val="11"/>
        <color theme="1"/>
        <rFont val="Calibri"/>
        <family val="2"/>
        <charset val="1"/>
      </rPr>
      <t xml:space="preserve">(v9 </t>
    </r>
    <r>
      <rPr>
        <sz val="11"/>
        <color theme="1"/>
        <rFont val="Noto Sans CJK SC"/>
        <family val="2"/>
      </rPr>
      <t>신규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</si>
  <si>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판관비율 연간 개선 </t>
    </r>
    <r>
      <rPr>
        <sz val="11"/>
        <color theme="1"/>
        <rFont val="Calibri"/>
        <family val="2"/>
        <charset val="1"/>
      </rPr>
      <t>(%p)</t>
    </r>
  </si>
  <si>
    <r>
      <rPr>
        <sz val="11"/>
        <color theme="1"/>
        <rFont val="Calibri"/>
        <family val="2"/>
        <charset val="1"/>
      </rPr>
      <t>12.6%</t>
    </r>
    <r>
      <rPr>
        <sz val="11"/>
        <color theme="1"/>
        <rFont val="Noto Sans CJK SC"/>
        <family val="2"/>
      </rPr>
      <t xml:space="preserve">에서 매년 </t>
    </r>
    <r>
      <rPr>
        <sz val="11"/>
        <color theme="1"/>
        <rFont val="Calibri"/>
        <family val="2"/>
        <charset val="1"/>
      </rPr>
      <t xml:space="preserve">1.0%p </t>
    </r>
    <r>
      <rPr>
        <sz val="11"/>
        <color theme="1"/>
        <rFont val="Noto Sans CJK SC"/>
        <family val="2"/>
      </rPr>
      <t xml:space="preserve">개선 </t>
    </r>
    <r>
      <rPr>
        <sz val="11"/>
        <color theme="1"/>
        <rFont val="Calibri"/>
        <family val="2"/>
        <charset val="1"/>
      </rPr>
      <t xml:space="preserve">(operating leverage). </t>
    </r>
    <r>
      <rPr>
        <sz val="11"/>
        <color theme="1"/>
        <rFont val="Noto Sans CJK SC"/>
        <family val="2"/>
      </rPr>
      <t>상대</t>
    </r>
    <r>
      <rPr>
        <sz val="11"/>
        <color theme="1"/>
        <rFont val="Calibri"/>
        <family val="2"/>
        <charset val="1"/>
      </rPr>
      <t xml:space="preserve">1% </t>
    </r>
    <r>
      <rPr>
        <sz val="11"/>
        <color theme="1"/>
        <rFont val="Noto Sans CJK SC"/>
        <family val="2"/>
      </rPr>
      <t xml:space="preserve">의도면 </t>
    </r>
    <r>
      <rPr>
        <sz val="11"/>
        <color theme="1"/>
        <rFont val="Calibri"/>
        <family val="2"/>
        <charset val="1"/>
      </rPr>
      <t>0.126</t>
    </r>
    <r>
      <rPr>
        <sz val="11"/>
        <color theme="1"/>
        <rFont val="Noto Sans CJK SC"/>
        <family val="2"/>
      </rPr>
      <t>으로 변경</t>
    </r>
  </si>
  <si>
    <r>
      <rPr>
        <sz val="11"/>
        <color theme="1"/>
        <rFont val="Noto Sans CJK SC"/>
        <family val="2"/>
      </rPr>
      <t xml:space="preserve">차입금 기초잔액 </t>
    </r>
    <r>
      <rPr>
        <sz val="11"/>
        <color theme="1"/>
        <rFont val="Calibri"/>
        <family val="2"/>
        <charset val="1"/>
      </rPr>
      <t>($K)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</si>
  <si>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 xml:space="preserve">말 은행차입 실적 </t>
    </r>
    <r>
      <rPr>
        <sz val="11"/>
        <color theme="1"/>
        <rFont val="Calibri"/>
        <family val="2"/>
        <charset val="1"/>
      </rPr>
      <t xml:space="preserve">$10.56M (Sch D-Loan). 2026~29 </t>
    </r>
    <r>
      <rPr>
        <sz val="11"/>
        <color theme="1"/>
        <rFont val="Noto Sans CJK SC"/>
        <family val="2"/>
      </rPr>
      <t>유예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유지</t>
    </r>
    <r>
      <rPr>
        <sz val="11"/>
        <color theme="1"/>
        <rFont val="Calibri"/>
        <family val="2"/>
        <charset val="1"/>
      </rPr>
      <t xml:space="preserve">), 2030·2031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2"/>
        <charset val="1"/>
      </rPr>
      <t xml:space="preserve">$2M </t>
    </r>
    <r>
      <rPr>
        <sz val="11"/>
        <color theme="1"/>
        <rFont val="Noto Sans CJK SC"/>
        <family val="2"/>
      </rPr>
      <t>상환</t>
    </r>
  </si>
  <si>
    <t>블렌디드 유효이자율</t>
  </si>
  <si>
    <r>
      <rPr>
        <sz val="11"/>
        <color theme="1"/>
        <rFont val="Calibri"/>
        <family val="2"/>
        <charset val="1"/>
      </rPr>
      <t>$687K(2026</t>
    </r>
    <r>
      <rPr>
        <sz val="11"/>
        <color theme="1"/>
        <rFont val="Noto Sans CJK SC"/>
        <family val="2"/>
      </rPr>
      <t>예산 순이자</t>
    </r>
    <r>
      <rPr>
        <sz val="11"/>
        <color theme="1"/>
        <rFont val="Calibri"/>
        <family val="2"/>
        <charset val="1"/>
      </rPr>
      <t xml:space="preserve">)÷$10.56M, </t>
    </r>
    <r>
      <rPr>
        <sz val="11"/>
        <color theme="1"/>
        <rFont val="Noto Sans CJK SC"/>
        <family val="2"/>
      </rPr>
      <t xml:space="preserve">설비 </t>
    </r>
    <r>
      <rPr>
        <sz val="11"/>
        <color theme="1"/>
        <rFont val="Calibri"/>
        <family val="2"/>
        <charset val="1"/>
      </rPr>
      <t xml:space="preserve">finance-lease </t>
    </r>
    <r>
      <rPr>
        <sz val="11"/>
        <color theme="1"/>
        <rFont val="Noto Sans CJK SC"/>
        <family val="2"/>
      </rPr>
      <t>이자 포함 환산</t>
    </r>
  </si>
  <si>
    <r>
      <rPr>
        <b/>
        <sz val="11"/>
        <color rgb="FFFFFFFF"/>
        <rFont val="Arial"/>
        <family val="2"/>
        <charset val="1"/>
      </rPr>
      <t>AI</t>
    </r>
    <r>
      <rPr>
        <b/>
        <sz val="11"/>
        <color rgb="FFFFFFFF"/>
        <rFont val="Noto Sans CJK SC"/>
        <family val="2"/>
      </rPr>
      <t xml:space="preserve">서버 </t>
    </r>
    <r>
      <rPr>
        <b/>
        <sz val="11"/>
        <color rgb="FFFFFFFF"/>
        <rFont val="Arial"/>
        <family val="2"/>
        <charset val="1"/>
      </rPr>
      <t xml:space="preserve">CNC </t>
    </r>
    <r>
      <rPr>
        <b/>
        <sz val="11"/>
        <color rgb="FFFFFFFF"/>
        <rFont val="Noto Sans CJK SC"/>
        <family val="2"/>
      </rPr>
      <t>사업 — 월별 매출 계산 근거</t>
    </r>
  </si>
  <si>
    <t>기계대수 (1단계)</t>
  </si>
  <si>
    <r>
      <rPr>
        <b/>
        <sz val="10"/>
        <rFont val="Arial"/>
        <family val="2"/>
        <charset val="1"/>
      </rPr>
      <t>100</t>
    </r>
    <r>
      <rPr>
        <b/>
        <sz val="10"/>
        <rFont val="Noto Sans CJK SC"/>
        <family val="2"/>
      </rPr>
      <t>대</t>
    </r>
  </si>
  <si>
    <t>선반20+밀링80</t>
  </si>
  <si>
    <t>선반 20대 + 밀링 80대</t>
  </si>
  <si>
    <t>기계대수 (2단계, 2029~)</t>
  </si>
  <si>
    <r>
      <rPr>
        <b/>
        <sz val="10"/>
        <rFont val="Arial"/>
        <family val="2"/>
        <charset val="1"/>
      </rPr>
      <t>200</t>
    </r>
    <r>
      <rPr>
        <b/>
        <sz val="10"/>
        <rFont val="Noto Sans CJK SC"/>
        <family val="2"/>
      </rPr>
      <t>대</t>
    </r>
  </si>
  <si>
    <t>기존100대 이전+신규100대</t>
  </si>
  <si>
    <t>기존 100대 이전 + 신규 100대</t>
  </si>
  <si>
    <t>월 가동일</t>
  </si>
  <si>
    <r>
      <rPr>
        <b/>
        <sz val="10"/>
        <rFont val="Arial"/>
        <family val="2"/>
        <charset val="1"/>
      </rPr>
      <t>24</t>
    </r>
    <r>
      <rPr>
        <b/>
        <sz val="10"/>
        <rFont val="Noto Sans CJK SC"/>
        <family val="2"/>
      </rPr>
      <t>일</t>
    </r>
  </si>
  <si>
    <t>격주 토요일 근무</t>
  </si>
  <si>
    <t>일 가동시간</t>
  </si>
  <si>
    <r>
      <rPr>
        <b/>
        <sz val="10"/>
        <rFont val="Arial"/>
        <family val="2"/>
        <charset val="1"/>
      </rPr>
      <t>20</t>
    </r>
    <r>
      <rPr>
        <b/>
        <sz val="10"/>
        <rFont val="Noto Sans CJK SC"/>
        <family val="2"/>
      </rPr>
      <t>시간</t>
    </r>
  </si>
  <si>
    <t>기계당 시간당 임율</t>
  </si>
  <si>
    <t>216,000 VND</t>
  </si>
  <si>
    <r>
      <rPr>
        <i/>
        <sz val="9"/>
        <color rgb="FF555555"/>
        <rFont val="Arial"/>
        <family val="2"/>
        <charset val="1"/>
      </rPr>
      <t>60</t>
    </r>
    <r>
      <rPr>
        <i/>
        <sz val="9"/>
        <color rgb="FF555555"/>
        <rFont val="Noto Sans CJK SC"/>
        <family val="2"/>
      </rPr>
      <t>동</t>
    </r>
    <r>
      <rPr>
        <i/>
        <sz val="9"/>
        <color rgb="FF555555"/>
        <rFont val="Arial"/>
        <family val="2"/>
        <charset val="1"/>
      </rPr>
      <t>/</t>
    </r>
    <r>
      <rPr>
        <i/>
        <sz val="9"/>
        <color rgb="FF555555"/>
        <rFont val="Noto Sans CJK SC"/>
        <family val="2"/>
      </rPr>
      <t xml:space="preserve">초 </t>
    </r>
    <r>
      <rPr>
        <i/>
        <sz val="9"/>
        <color rgb="FF555555"/>
        <rFont val="Arial"/>
        <family val="2"/>
        <charset val="1"/>
      </rPr>
      <t>× 3,600</t>
    </r>
    <r>
      <rPr>
        <i/>
        <sz val="9"/>
        <color rgb="FF555555"/>
        <rFont val="Noto Sans CJK SC"/>
        <family val="2"/>
      </rPr>
      <t>초</t>
    </r>
  </si>
  <si>
    <t>기계당 월 가동시간</t>
  </si>
  <si>
    <r>
      <rPr>
        <b/>
        <sz val="10"/>
        <rFont val="Arial"/>
        <family val="2"/>
        <charset val="1"/>
      </rPr>
      <t>480</t>
    </r>
    <r>
      <rPr>
        <b/>
        <sz val="10"/>
        <rFont val="Noto Sans CJK SC"/>
        <family val="2"/>
      </rPr>
      <t>시간</t>
    </r>
  </si>
  <si>
    <r>
      <rPr>
        <i/>
        <sz val="9"/>
        <color rgb="FF555555"/>
        <rFont val="Arial"/>
        <family val="2"/>
        <charset val="1"/>
      </rPr>
      <t>20</t>
    </r>
    <r>
      <rPr>
        <i/>
        <sz val="9"/>
        <color rgb="FF555555"/>
        <rFont val="Noto Sans CJK SC"/>
        <family val="2"/>
      </rPr>
      <t xml:space="preserve">시간 </t>
    </r>
    <r>
      <rPr>
        <i/>
        <sz val="9"/>
        <color rgb="FF555555"/>
        <rFont val="Arial"/>
        <family val="2"/>
        <charset val="1"/>
      </rPr>
      <t>× 24</t>
    </r>
    <r>
      <rPr>
        <i/>
        <sz val="9"/>
        <color rgb="FF555555"/>
        <rFont val="Noto Sans CJK SC"/>
        <family val="2"/>
      </rPr>
      <t>일</t>
    </r>
  </si>
  <si>
    <t>기계당 월 매출 (VND)</t>
  </si>
  <si>
    <r>
      <rPr>
        <b/>
        <sz val="10"/>
        <rFont val="Arial"/>
        <family val="2"/>
        <charset val="1"/>
      </rPr>
      <t xml:space="preserve">103,680,000 </t>
    </r>
    <r>
      <rPr>
        <b/>
        <sz val="10"/>
        <rFont val="Noto Sans CJK SC"/>
        <family val="2"/>
      </rPr>
      <t>동</t>
    </r>
  </si>
  <si>
    <t>216,000 × 480</t>
  </si>
  <si>
    <t>적용 환율</t>
  </si>
  <si>
    <r>
      <rPr>
        <b/>
        <sz val="10"/>
        <rFont val="Arial"/>
        <family val="2"/>
        <charset val="1"/>
      </rPr>
      <t xml:space="preserve">26,500 </t>
    </r>
    <r>
      <rPr>
        <b/>
        <sz val="10"/>
        <rFont val="Noto Sans CJK SC"/>
        <family val="2"/>
      </rPr>
      <t>동</t>
    </r>
    <r>
      <rPr>
        <b/>
        <sz val="10"/>
        <rFont val="Arial"/>
        <family val="2"/>
        <charset val="1"/>
      </rPr>
      <t>/</t>
    </r>
    <r>
      <rPr>
        <b/>
        <sz val="10"/>
        <rFont val="Noto Sans CJK SC"/>
        <family val="2"/>
      </rPr>
      <t>달러</t>
    </r>
  </si>
  <si>
    <t>기계 1대 월 매출 (USD)</t>
  </si>
  <si>
    <t>$3,912</t>
  </si>
  <si>
    <t>103,680,000 ÷ 26,500</t>
  </si>
  <si>
    <r>
      <rPr>
        <sz val="10"/>
        <rFont val="Arial"/>
        <family val="2"/>
        <charset val="1"/>
      </rPr>
      <t>100</t>
    </r>
    <r>
      <rPr>
        <sz val="10"/>
        <rFont val="Noto Sans CJK SC"/>
        <family val="2"/>
      </rPr>
      <t xml:space="preserve">대 월 매출 </t>
    </r>
    <r>
      <rPr>
        <sz val="10"/>
        <rFont val="Arial"/>
        <family val="2"/>
        <charset val="1"/>
      </rPr>
      <t>(USD)</t>
    </r>
  </si>
  <si>
    <t>$391,245</t>
  </si>
  <si>
    <t>$3,912 × 100</t>
  </si>
  <si>
    <r>
      <rPr>
        <sz val="10"/>
        <rFont val="Arial"/>
        <family val="2"/>
        <charset val="1"/>
      </rPr>
      <t>100</t>
    </r>
    <r>
      <rPr>
        <sz val="10"/>
        <rFont val="Noto Sans CJK SC"/>
        <family val="2"/>
      </rPr>
      <t xml:space="preserve">대 연 매출 </t>
    </r>
    <r>
      <rPr>
        <sz val="10"/>
        <rFont val="Arial"/>
        <family val="2"/>
        <charset val="1"/>
      </rPr>
      <t>(USD)</t>
    </r>
  </si>
  <si>
    <t>$4,694,940</t>
  </si>
  <si>
    <t>$391,245 × 12</t>
  </si>
  <si>
    <r>
      <rPr>
        <sz val="10"/>
        <rFont val="Arial"/>
        <family val="2"/>
        <charset val="1"/>
      </rPr>
      <t>200</t>
    </r>
    <r>
      <rPr>
        <sz val="10"/>
        <rFont val="Noto Sans CJK SC"/>
        <family val="2"/>
      </rPr>
      <t xml:space="preserve">대 연 매출 </t>
    </r>
    <r>
      <rPr>
        <sz val="10"/>
        <rFont val="Arial"/>
        <family val="2"/>
        <charset val="1"/>
      </rPr>
      <t>(USD)</t>
    </r>
  </si>
  <si>
    <t>$9,389,880</t>
  </si>
  <si>
    <t>약 $9,390K 반영</t>
  </si>
  <si>
    <r>
      <rPr>
        <sz val="10"/>
        <rFont val="Arial"/>
        <family val="2"/>
        <charset val="1"/>
      </rPr>
      <t>2027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  <charset val="1"/>
      </rPr>
      <t xml:space="preserve">H2 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2"/>
        <charset val="1"/>
      </rPr>
      <t>(6</t>
    </r>
    <r>
      <rPr>
        <sz val="10"/>
        <rFont val="Noto Sans CJK SC"/>
        <family val="2"/>
      </rPr>
      <t>개월</t>
    </r>
    <r>
      <rPr>
        <sz val="10"/>
        <rFont val="Arial"/>
        <family val="2"/>
        <charset val="1"/>
      </rPr>
      <t>)</t>
    </r>
  </si>
  <si>
    <t>$2,347,470</t>
  </si>
  <si>
    <r>
      <rPr>
        <i/>
        <sz val="9"/>
        <color rgb="FF555555"/>
        <rFont val="Arial"/>
        <family val="2"/>
        <charset val="1"/>
      </rPr>
      <t>$391,245 × 6</t>
    </r>
    <r>
      <rPr>
        <i/>
        <sz val="9"/>
        <color rgb="FF555555"/>
        <rFont val="Noto Sans CJK SC"/>
        <family val="2"/>
      </rPr>
      <t>개월</t>
    </r>
  </si>
  <si>
    <r>
      <rPr>
        <sz val="9"/>
        <color rgb="FF555555"/>
        <rFont val="Arial"/>
        <family val="2"/>
        <charset val="1"/>
      </rPr>
      <t xml:space="preserve">2027H2 </t>
    </r>
    <r>
      <rPr>
        <sz val="9"/>
        <color rgb="FF555555"/>
        <rFont val="Noto Sans CJK SC"/>
        <family val="2"/>
      </rPr>
      <t>시작</t>
    </r>
  </si>
  <si>
    <t>영업이익률</t>
  </si>
  <si>
    <t>15%</t>
  </si>
  <si>
    <t>원가율 포함 전체 이익</t>
  </si>
  <si>
    <r>
      <rPr>
        <b/>
        <sz val="10"/>
        <color rgb="FF1F3864"/>
        <rFont val="Arial"/>
        <family val="2"/>
        <charset val="1"/>
      </rPr>
      <t>AI</t>
    </r>
    <r>
      <rPr>
        <b/>
        <sz val="10"/>
        <color rgb="FF1F3864"/>
        <rFont val="Noto Sans CJK SC"/>
        <family val="2"/>
      </rPr>
      <t xml:space="preserve">서버 공장 투자 내역 </t>
    </r>
    <r>
      <rPr>
        <b/>
        <sz val="10"/>
        <color rgb="FF1F3864"/>
        <rFont val="Arial"/>
        <family val="2"/>
        <charset val="1"/>
      </rPr>
      <t>($K)</t>
    </r>
  </si>
  <si>
    <t>토지</t>
  </si>
  <si>
    <r>
      <rPr>
        <i/>
        <sz val="9"/>
        <rFont val="Arial"/>
        <family val="2"/>
        <charset val="1"/>
      </rPr>
      <t>5,000</t>
    </r>
    <r>
      <rPr>
        <i/>
        <sz val="9"/>
        <rFont val="Noto Sans CJK SC"/>
        <family val="2"/>
      </rPr>
      <t xml:space="preserve">㎡ </t>
    </r>
    <r>
      <rPr>
        <i/>
        <sz val="9"/>
        <rFont val="Arial"/>
        <family val="2"/>
        <charset val="1"/>
      </rPr>
      <t>× $150</t>
    </r>
  </si>
  <si>
    <t>건축</t>
  </si>
  <si>
    <r>
      <rPr>
        <i/>
        <sz val="9"/>
        <rFont val="Arial"/>
        <family val="2"/>
        <charset val="1"/>
      </rPr>
      <t>2,000</t>
    </r>
    <r>
      <rPr>
        <i/>
        <sz val="9"/>
        <rFont val="Noto Sans CJK SC"/>
        <family val="2"/>
      </rPr>
      <t xml:space="preserve">㎡ </t>
    </r>
    <r>
      <rPr>
        <i/>
        <sz val="9"/>
        <rFont val="Arial"/>
        <family val="2"/>
        <charset val="1"/>
      </rPr>
      <t>× $400</t>
    </r>
  </si>
  <si>
    <t>공용설비·변압기 등 부대시설</t>
  </si>
  <si>
    <t>일식</t>
  </si>
  <si>
    <r>
      <rPr>
        <sz val="10"/>
        <rFont val="Arial"/>
        <family val="2"/>
        <charset val="1"/>
      </rPr>
      <t xml:space="preserve">CNC </t>
    </r>
    <r>
      <rPr>
        <sz val="10"/>
        <rFont val="Noto Sans CJK SC"/>
        <family val="2"/>
      </rPr>
      <t>구형</t>
    </r>
    <r>
      <rPr>
        <sz val="10"/>
        <rFont val="Arial"/>
        <family val="2"/>
        <charset val="1"/>
      </rPr>
      <t>/</t>
    </r>
    <r>
      <rPr>
        <sz val="10"/>
        <rFont val="Noto Sans CJK SC"/>
        <family val="2"/>
      </rPr>
      <t xml:space="preserve">중고 </t>
    </r>
    <r>
      <rPr>
        <sz val="10"/>
        <rFont val="Arial"/>
        <family val="2"/>
        <charset val="1"/>
      </rPr>
      <t>(50</t>
    </r>
    <r>
      <rPr>
        <sz val="10"/>
        <rFont val="Noto Sans CJK SC"/>
        <family val="2"/>
      </rPr>
      <t>대</t>
    </r>
    <r>
      <rPr>
        <sz val="10"/>
        <rFont val="Arial"/>
        <family val="2"/>
        <charset val="1"/>
      </rPr>
      <t>)</t>
    </r>
  </si>
  <si>
    <r>
      <rPr>
        <i/>
        <sz val="9"/>
        <rFont val="Arial"/>
        <family val="2"/>
        <charset val="1"/>
      </rPr>
      <t>$30,000 × 50</t>
    </r>
    <r>
      <rPr>
        <i/>
        <sz val="9"/>
        <rFont val="Noto Sans CJK SC"/>
        <family val="2"/>
      </rPr>
      <t>대</t>
    </r>
  </si>
  <si>
    <t>신규 두산 → 중고 50대로 변경 (투자규모 축소)</t>
  </si>
  <si>
    <r>
      <rPr>
        <sz val="10"/>
        <rFont val="Arial"/>
        <family val="2"/>
        <charset val="1"/>
      </rPr>
      <t xml:space="preserve">CNC </t>
    </r>
    <r>
      <rPr>
        <sz val="10"/>
        <rFont val="Noto Sans CJK SC"/>
        <family val="2"/>
      </rPr>
      <t xml:space="preserve">중고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화낙</t>
    </r>
    <r>
      <rPr>
        <sz val="10"/>
        <rFont val="Arial"/>
        <family val="2"/>
        <charset val="1"/>
      </rPr>
      <t>, 50</t>
    </r>
    <r>
      <rPr>
        <sz val="10"/>
        <rFont val="Noto Sans CJK SC"/>
        <family val="2"/>
      </rPr>
      <t>대</t>
    </r>
    <r>
      <rPr>
        <sz val="10"/>
        <rFont val="Arial"/>
        <family val="2"/>
        <charset val="1"/>
      </rPr>
      <t>)</t>
    </r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</si>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</sst>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;\(#,##0\);\-"/>
    <numFmt numFmtId="178" formatCode="\$#,##0.0\M"/>
  </numFmts>
  <fonts count="40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  <charset val="1"/>
    </font>
    <font>
      <b/>
      <sz val="11"/>
      <color rgb="FFFFFFFF"/>
      <name val="Noto Sans CJK SC"/>
      <family val="2"/>
    </font>
    <font>
      <i/>
      <sz val="9"/>
      <color rgb="FF444444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b/>
      <sz val="10"/>
      <color rgb="FF1F3864"/>
      <name val="Arial"/>
      <family val="2"/>
      <charset val="1"/>
    </font>
    <font>
      <b/>
      <sz val="10"/>
      <color rgb="FF1F3864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  <font>
      <b/>
      <sz val="11"/>
      <name val="Arial"/>
      <family val="2"/>
    </font>
    <font>
      <i/>
      <sz val="9"/>
      <color rgb="FF444444"/>
      <name val="Arial"/>
      <family val="2"/>
      <charset val="1"/>
    </font>
    <font>
      <i/>
      <sz val="9"/>
      <color rgb="FF444444"/>
      <name val="Noto Sans CJK SC"/>
      <family val="2"/>
    </font>
    <font>
      <b/>
      <sz val="10"/>
      <name val="Arial"/>
      <family val="2"/>
      <charset val="1"/>
    </font>
    <font>
      <b/>
      <sz val="10"/>
      <name val="Noto Sans CJK SC"/>
      <family val="2"/>
    </font>
    <font>
      <sz val="9"/>
      <color rgb="FF333333"/>
      <name val="Arial"/>
      <family val="2"/>
      <charset val="1"/>
    </font>
    <font>
      <sz val="9"/>
      <color rgb="FF333333"/>
      <name val="Noto Sans CJK SC"/>
      <family val="2"/>
    </font>
    <font>
      <sz val="11"/>
      <color theme="1"/>
      <name val="Noto Sans CJK SC"/>
      <family val="2"/>
    </font>
    <font>
      <sz val="10"/>
      <name val="Noto Sans CJK SC"/>
      <family val="2"/>
      <charset val="1"/>
    </font>
    <font>
      <sz val="10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i/>
      <sz val="9"/>
      <color rgb="FF555555"/>
      <name val="Noto Sans CJK SC"/>
      <family val="2"/>
    </font>
    <font>
      <sz val="11"/>
      <color rgb="FF0000FF"/>
      <name val="Arial"/>
      <family val="2"/>
    </font>
    <font>
      <i/>
      <sz val="9"/>
      <color rgb="FF555555"/>
      <name val="Noto Sans CJK SC"/>
      <family val="2"/>
      <charset val="1"/>
    </font>
    <font>
      <sz val="9"/>
      <color rgb="FF555555"/>
      <name val="Noto Sans CJK SC"/>
      <family val="2"/>
      <charset val="1"/>
    </font>
    <font>
      <sz val="9"/>
      <color rgb="FF555555"/>
      <name val="Arial"/>
      <family val="2"/>
      <charset val="1"/>
    </font>
    <font>
      <sz val="9"/>
      <color rgb="FF555555"/>
      <name val="Noto Sans CJK SC"/>
      <family val="2"/>
    </font>
    <font>
      <i/>
      <sz val="9"/>
      <name val="Arial"/>
      <family val="2"/>
      <charset val="1"/>
    </font>
    <font>
      <i/>
      <sz val="9"/>
      <name val="Noto Sans CJK SC"/>
      <family val="2"/>
    </font>
    <font>
      <i/>
      <sz val="9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0"/>
      <name val="Noto Sans CJK SC"/>
      <family val="2"/>
      <charset val="1"/>
    </font>
    <font>
      <sz val="8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3" fontId="11" fillId="5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/>
    </xf>
    <xf numFmtId="177" fontId="8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15" fillId="0" borderId="1" xfId="0" applyFont="1" applyBorder="1"/>
    <xf numFmtId="178" fontId="17" fillId="0" borderId="1" xfId="0" applyNumberFormat="1" applyFont="1" applyBorder="1"/>
    <xf numFmtId="0" fontId="20" fillId="4" borderId="1" xfId="0" applyFont="1" applyFill="1" applyBorder="1"/>
    <xf numFmtId="178" fontId="17" fillId="4" borderId="1" xfId="0" applyNumberFormat="1" applyFont="1" applyFill="1" applyBorder="1"/>
    <xf numFmtId="0" fontId="25" fillId="0" borderId="1" xfId="0" applyFont="1" applyBorder="1" applyAlignment="1">
      <alignment horizontal="left" indent="1"/>
    </xf>
    <xf numFmtId="3" fontId="26" fillId="7" borderId="1" xfId="0" applyNumberFormat="1" applyFont="1" applyFill="1" applyBorder="1" applyAlignment="1">
      <alignment horizontal="right"/>
    </xf>
    <xf numFmtId="0" fontId="27" fillId="7" borderId="1" xfId="0" applyFont="1" applyFill="1" applyBorder="1" applyAlignment="1">
      <alignment horizontal="left" wrapText="1"/>
    </xf>
    <xf numFmtId="10" fontId="26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left" wrapText="1"/>
    </xf>
    <xf numFmtId="10" fontId="29" fillId="0" borderId="1" xfId="0" applyNumberFormat="1" applyFont="1" applyBorder="1" applyAlignment="1">
      <alignment horizontal="right"/>
    </xf>
    <xf numFmtId="0" fontId="30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indent="1"/>
    </xf>
    <xf numFmtId="3" fontId="26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left" wrapText="1"/>
    </xf>
    <xf numFmtId="176" fontId="26" fillId="0" borderId="1" xfId="0" applyNumberFormat="1" applyFont="1" applyBorder="1" applyAlignment="1">
      <alignment horizontal="right"/>
    </xf>
    <xf numFmtId="0" fontId="24" fillId="0" borderId="0" xfId="0" applyFont="1"/>
    <xf numFmtId="176" fontId="29" fillId="0" borderId="0" xfId="0" applyNumberFormat="1" applyFont="1"/>
    <xf numFmtId="0" fontId="29" fillId="0" borderId="0" xfId="0" applyFont="1"/>
    <xf numFmtId="0" fontId="20" fillId="0" borderId="1" xfId="0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/>
    <xf numFmtId="0" fontId="27" fillId="0" borderId="1" xfId="0" applyFont="1" applyBorder="1"/>
    <xf numFmtId="0" fontId="32" fillId="0" borderId="1" xfId="0" applyFont="1" applyBorder="1"/>
    <xf numFmtId="0" fontId="25" fillId="0" borderId="1" xfId="0" applyFont="1" applyBorder="1"/>
    <xf numFmtId="0" fontId="34" fillId="0" borderId="1" xfId="0" applyFont="1" applyBorder="1"/>
    <xf numFmtId="3" fontId="15" fillId="0" borderId="1" xfId="0" applyNumberFormat="1" applyFont="1" applyBorder="1" applyAlignment="1">
      <alignment horizontal="right"/>
    </xf>
    <xf numFmtId="0" fontId="36" fillId="0" borderId="1" xfId="0" applyFont="1" applyBorder="1"/>
    <xf numFmtId="0" fontId="37" fillId="0" borderId="0" xfId="0" applyFont="1"/>
    <xf numFmtId="0" fontId="38" fillId="4" borderId="1" xfId="0" applyFont="1" applyFill="1" applyBorder="1"/>
    <xf numFmtId="0" fontId="34" fillId="4" borderId="1" xfId="0" applyFont="1" applyFill="1" applyBorder="1"/>
    <xf numFmtId="3" fontId="20" fillId="4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3" borderId="2" xfId="0" applyFont="1" applyFill="1" applyBorder="1" applyAlignment="1">
      <alignment horizontal="left" vertical="center" indent="1"/>
    </xf>
    <xf numFmtId="0" fontId="18" fillId="0" borderId="2" xfId="0" applyFont="1" applyBorder="1"/>
    <xf numFmtId="0" fontId="22" fillId="0" borderId="2" xfId="0" applyFont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3" zoomScaleNormal="100" workbookViewId="0">
      <selection activeCell="C6" sqref="C6"/>
    </sheetView>
  </sheetViews>
  <sheetFormatPr defaultColWidth="8.7109375" defaultRowHeight="15"/>
  <cols>
    <col min="1" max="1" width="37.42578125" customWidth="1"/>
    <col min="2" max="7" width="16" customWidth="1"/>
    <col min="8" max="8" width="18" customWidth="1"/>
  </cols>
  <sheetData>
    <row r="1" spans="1:8" ht="19.5" customHeight="1">
      <c r="A1" s="49" t="s">
        <v>0</v>
      </c>
      <c r="B1" s="49"/>
      <c r="C1" s="49"/>
      <c r="D1" s="49"/>
      <c r="E1" s="49"/>
      <c r="F1" s="49"/>
      <c r="G1" s="49"/>
      <c r="H1" s="49"/>
    </row>
    <row r="2" spans="1:8" ht="13.5" customHeight="1">
      <c r="A2" s="50" t="s">
        <v>1</v>
      </c>
      <c r="B2" s="50"/>
      <c r="C2" s="50"/>
      <c r="D2" s="50"/>
      <c r="E2" s="50"/>
      <c r="F2" s="50"/>
      <c r="G2" s="50"/>
      <c r="H2" s="50"/>
    </row>
    <row r="3" spans="1:8" ht="18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5.75" customHeight="1">
      <c r="A4" s="51" t="s">
        <v>10</v>
      </c>
      <c r="B4" s="51"/>
      <c r="C4" s="51"/>
      <c r="D4" s="51"/>
      <c r="E4" s="51"/>
      <c r="F4" s="51"/>
      <c r="G4" s="51"/>
      <c r="H4" s="51"/>
    </row>
    <row r="5" spans="1:8" ht="14.25" customHeight="1">
      <c r="A5" s="3" t="s">
        <v>11</v>
      </c>
      <c r="B5" s="4">
        <f>핵심가정!B4</f>
        <v>44598</v>
      </c>
      <c r="C5" s="4">
        <f>핵심가정!C4</f>
        <v>46827.9</v>
      </c>
      <c r="D5" s="4">
        <f>핵심가정!D4</f>
        <v>49169.295000000006</v>
      </c>
      <c r="E5" s="4">
        <f>핵심가정!E4</f>
        <v>51627.759750000005</v>
      </c>
      <c r="F5" s="4">
        <f>핵심가정!F4</f>
        <v>54209.14773750001</v>
      </c>
      <c r="G5" s="4">
        <f>핵심가정!G4</f>
        <v>56919.605124375012</v>
      </c>
      <c r="H5" s="4">
        <f>SUM(B5:G5)</f>
        <v>303351.70761187503</v>
      </c>
    </row>
    <row r="6" spans="1:8" ht="15" customHeight="1">
      <c r="A6" s="3" t="s">
        <v>12</v>
      </c>
      <c r="B6" s="4">
        <f>핵심가정!B10</f>
        <v>1200</v>
      </c>
      <c r="C6" s="4">
        <f>핵심가정!C10</f>
        <v>4500</v>
      </c>
      <c r="D6" s="4">
        <f>핵심가정!D10</f>
        <v>8000</v>
      </c>
      <c r="E6" s="4">
        <f>핵심가정!E10</f>
        <v>16000</v>
      </c>
      <c r="F6" s="4">
        <f>핵심가정!F10</f>
        <v>24000</v>
      </c>
      <c r="G6" s="4">
        <f>핵심가정!G10</f>
        <v>24000</v>
      </c>
      <c r="H6" s="4">
        <f>SUM(B6:G6)</f>
        <v>77700</v>
      </c>
    </row>
    <row r="7" spans="1:8" ht="15" customHeight="1">
      <c r="A7" s="3" t="s">
        <v>13</v>
      </c>
      <c r="B7" s="4">
        <f>핵심가정!B12</f>
        <v>0</v>
      </c>
      <c r="C7" s="4">
        <f>핵심가정!C12</f>
        <v>4800</v>
      </c>
      <c r="D7" s="4">
        <f>핵심가정!D12</f>
        <v>9600</v>
      </c>
      <c r="E7" s="4">
        <f>핵심가정!E12</f>
        <v>12000</v>
      </c>
      <c r="F7" s="4">
        <f>핵심가정!F12</f>
        <v>12000</v>
      </c>
      <c r="G7" s="4">
        <f>핵심가정!G12</f>
        <v>12000</v>
      </c>
      <c r="H7" s="4">
        <f>SUM(B7:G7)</f>
        <v>50400</v>
      </c>
    </row>
    <row r="8" spans="1:8" ht="15" customHeight="1">
      <c r="A8" s="3" t="s">
        <v>14</v>
      </c>
      <c r="B8" s="4">
        <f>핵심가정!B13</f>
        <v>0</v>
      </c>
      <c r="C8" s="4">
        <f>핵심가정!C13</f>
        <v>2200</v>
      </c>
      <c r="D8" s="4">
        <f>핵심가정!D13</f>
        <v>2200</v>
      </c>
      <c r="E8" s="4">
        <f>핵심가정!E13</f>
        <v>2200</v>
      </c>
      <c r="F8" s="4">
        <f>핵심가정!F13</f>
        <v>2200</v>
      </c>
      <c r="G8" s="4">
        <f>핵심가정!G13</f>
        <v>2200</v>
      </c>
      <c r="H8" s="4">
        <f>SUM(B8:G8)</f>
        <v>11000</v>
      </c>
    </row>
    <row r="9" spans="1:8" ht="15" customHeight="1">
      <c r="A9" s="3" t="s">
        <v>15</v>
      </c>
      <c r="B9" s="4">
        <f>핵심가정!B16</f>
        <v>0</v>
      </c>
      <c r="C9" s="4">
        <f>핵심가정!C16</f>
        <v>2347</v>
      </c>
      <c r="D9" s="4">
        <f>핵심가정!D16</f>
        <v>4695</v>
      </c>
      <c r="E9" s="4">
        <f>핵심가정!E16</f>
        <v>9390</v>
      </c>
      <c r="F9" s="4">
        <f>핵심가정!F16</f>
        <v>9390</v>
      </c>
      <c r="G9" s="4">
        <f>핵심가정!G16</f>
        <v>9390</v>
      </c>
      <c r="H9" s="4">
        <f>SUM(B9:G9)</f>
        <v>35212</v>
      </c>
    </row>
    <row r="10" spans="1:8" ht="14.25" customHeight="1">
      <c r="A10" s="5" t="s">
        <v>16</v>
      </c>
      <c r="B10" s="6">
        <f t="shared" ref="B10:H10" si="0">SUM(B5:B9)</f>
        <v>45798</v>
      </c>
      <c r="C10" s="6">
        <f>SUM(C5:C9)</f>
        <v>60674.9</v>
      </c>
      <c r="D10" s="6">
        <f t="shared" si="0"/>
        <v>73664.295000000013</v>
      </c>
      <c r="E10" s="6">
        <f t="shared" si="0"/>
        <v>91217.759749999997</v>
      </c>
      <c r="F10" s="6">
        <f t="shared" si="0"/>
        <v>101799.14773750001</v>
      </c>
      <c r="G10" s="6">
        <f t="shared" si="0"/>
        <v>104509.60512437501</v>
      </c>
      <c r="H10" s="6">
        <f t="shared" si="0"/>
        <v>477663.70761187503</v>
      </c>
    </row>
    <row r="11" spans="1:8" ht="15" customHeight="1">
      <c r="A11" s="3" t="s">
        <v>17</v>
      </c>
      <c r="B11" s="7" t="s">
        <v>18</v>
      </c>
      <c r="C11" s="8">
        <f>C10/B10-1</f>
        <v>0.32483732914101049</v>
      </c>
      <c r="D11" s="8">
        <f>D10/C10-1</f>
        <v>0.21408185262769308</v>
      </c>
      <c r="E11" s="8">
        <f>E10/D10-1</f>
        <v>0.23828999856714828</v>
      </c>
      <c r="F11" s="8">
        <f>F10/E10-1</f>
        <v>0.11600140166235562</v>
      </c>
      <c r="G11" s="8">
        <f>G10/F10-1</f>
        <v>2.6625541049363211E-2</v>
      </c>
      <c r="H11" s="7" t="s">
        <v>18</v>
      </c>
    </row>
    <row r="12" spans="1:8" ht="14.25" customHeight="1">
      <c r="A12" s="3" t="s">
        <v>19</v>
      </c>
      <c r="B12" s="9">
        <f>-B5*핵심가정!B5</f>
        <v>-33716.088000000003</v>
      </c>
      <c r="C12" s="9">
        <f>-C5*핵심가정!C5</f>
        <v>-35636.031900000002</v>
      </c>
      <c r="D12" s="9">
        <f>-D5*핵심가정!D5</f>
        <v>-36901.555897500002</v>
      </c>
      <c r="E12" s="9">
        <f>-E5*핵심가정!E5</f>
        <v>-38204.542215000001</v>
      </c>
      <c r="F12" s="9">
        <f>-F5*핵심가정!F5</f>
        <v>-39545.573274506256</v>
      </c>
      <c r="G12" s="9">
        <f>-G5*핵심가정!G5</f>
        <v>-40902.428242375885</v>
      </c>
      <c r="H12" s="9">
        <f t="shared" ref="H12:H19" si="1">SUM(B12:G12)</f>
        <v>-224906.21952938213</v>
      </c>
    </row>
    <row r="13" spans="1:8" ht="15" customHeight="1">
      <c r="A13" s="10" t="s">
        <v>20</v>
      </c>
      <c r="B13" s="11">
        <f t="shared" ref="B13:G13" si="2">(B5+B12)+B15+B16+B17</f>
        <v>11481.911999999997</v>
      </c>
      <c r="C13" s="11">
        <f t="shared" si="2"/>
        <v>14493.918099999999</v>
      </c>
      <c r="D13" s="11">
        <f t="shared" si="2"/>
        <v>18151.989102500003</v>
      </c>
      <c r="E13" s="11">
        <f t="shared" si="2"/>
        <v>24251.717535000003</v>
      </c>
      <c r="F13" s="11">
        <f t="shared" si="2"/>
        <v>29492.074462993754</v>
      </c>
      <c r="G13" s="11">
        <f t="shared" si="2"/>
        <v>30845.676881999127</v>
      </c>
      <c r="H13" s="11">
        <f t="shared" si="1"/>
        <v>128717.28808249289</v>
      </c>
    </row>
    <row r="14" spans="1:8" ht="14.25" customHeight="1">
      <c r="A14" s="3" t="s">
        <v>21</v>
      </c>
      <c r="B14" s="4">
        <f>(B5+B12)-B5*핵심가정!B6</f>
        <v>5262.5639999999967</v>
      </c>
      <c r="C14" s="4">
        <f>(C5+C12)-C5*핵심가정!C6</f>
        <v>5759.8316999999988</v>
      </c>
      <c r="D14" s="4">
        <f>(D5+D12)-D5*핵심가정!D6</f>
        <v>7055.7938325000023</v>
      </c>
      <c r="E14" s="4">
        <f>(E5+E12)-E5*핵심가정!E6</f>
        <v>8466.952599000002</v>
      </c>
      <c r="F14" s="4">
        <f>(F5+F12)-F5*핵심가정!F6</f>
        <v>10001.587757568752</v>
      </c>
      <c r="G14" s="4">
        <f>(G5+G12)-G5*핵심가정!G6</f>
        <v>11691.286892546625</v>
      </c>
      <c r="H14" s="4">
        <f t="shared" si="1"/>
        <v>48238.016781615377</v>
      </c>
    </row>
    <row r="15" spans="1:8" ht="15" customHeight="1">
      <c r="A15" s="12" t="s">
        <v>22</v>
      </c>
      <c r="B15" s="4">
        <f t="shared" ref="B15:G15" si="3">B6*0.5</f>
        <v>600</v>
      </c>
      <c r="C15" s="4">
        <f t="shared" si="3"/>
        <v>2250</v>
      </c>
      <c r="D15" s="4">
        <f t="shared" si="3"/>
        <v>4000</v>
      </c>
      <c r="E15" s="4">
        <f t="shared" si="3"/>
        <v>8000</v>
      </c>
      <c r="F15" s="4">
        <f t="shared" si="3"/>
        <v>12000</v>
      </c>
      <c r="G15" s="4">
        <f t="shared" si="3"/>
        <v>12000</v>
      </c>
      <c r="H15" s="4">
        <f t="shared" si="1"/>
        <v>38850</v>
      </c>
    </row>
    <row r="16" spans="1:8" ht="15" customHeight="1">
      <c r="A16" s="3" t="s">
        <v>23</v>
      </c>
      <c r="B16" s="4">
        <f t="shared" ref="B16:G16" si="4">(B7+B8)*0.1</f>
        <v>0</v>
      </c>
      <c r="C16" s="4">
        <f t="shared" si="4"/>
        <v>700</v>
      </c>
      <c r="D16" s="4">
        <f t="shared" si="4"/>
        <v>1180</v>
      </c>
      <c r="E16" s="4">
        <f t="shared" si="4"/>
        <v>1420</v>
      </c>
      <c r="F16" s="4">
        <f t="shared" si="4"/>
        <v>1420</v>
      </c>
      <c r="G16" s="4">
        <f t="shared" si="4"/>
        <v>1420</v>
      </c>
      <c r="H16" s="4">
        <f t="shared" si="1"/>
        <v>6140</v>
      </c>
    </row>
    <row r="17" spans="1:8" ht="15" customHeight="1">
      <c r="A17" s="12" t="s">
        <v>24</v>
      </c>
      <c r="B17" s="4">
        <f t="shared" ref="B17:G17" si="5">B9*0.15</f>
        <v>0</v>
      </c>
      <c r="C17" s="4">
        <f t="shared" si="5"/>
        <v>352.05</v>
      </c>
      <c r="D17" s="4">
        <f t="shared" si="5"/>
        <v>704.25</v>
      </c>
      <c r="E17" s="4">
        <f t="shared" si="5"/>
        <v>1408.5</v>
      </c>
      <c r="F17" s="4">
        <f t="shared" si="5"/>
        <v>1408.5</v>
      </c>
      <c r="G17" s="4">
        <f t="shared" si="5"/>
        <v>1408.5</v>
      </c>
      <c r="H17" s="4">
        <f t="shared" si="1"/>
        <v>5281.8</v>
      </c>
    </row>
    <row r="18" spans="1:8" ht="14.25" customHeight="1">
      <c r="A18" s="3" t="s">
        <v>25</v>
      </c>
      <c r="B18" s="9">
        <v>0</v>
      </c>
      <c r="C18" s="9">
        <v>0</v>
      </c>
      <c r="D18" s="9">
        <v>-2000</v>
      </c>
      <c r="E18" s="9">
        <v>-2000</v>
      </c>
      <c r="F18" s="9">
        <v>-2000</v>
      </c>
      <c r="G18" s="9">
        <v>-2000</v>
      </c>
      <c r="H18" s="9">
        <f t="shared" si="1"/>
        <v>-8000</v>
      </c>
    </row>
    <row r="19" spans="1:8" ht="14.25" customHeight="1">
      <c r="A19" s="5" t="s">
        <v>26</v>
      </c>
      <c r="B19" s="6">
        <f t="shared" ref="B19:G19" si="6">B14+B15+B16+B17+B18</f>
        <v>5862.5639999999967</v>
      </c>
      <c r="C19" s="6">
        <f t="shared" si="6"/>
        <v>9061.8816999999981</v>
      </c>
      <c r="D19" s="6">
        <f t="shared" si="6"/>
        <v>10940.043832500003</v>
      </c>
      <c r="E19" s="6">
        <f t="shared" si="6"/>
        <v>17295.452599000004</v>
      </c>
      <c r="F19" s="6">
        <f t="shared" si="6"/>
        <v>22830.087757568752</v>
      </c>
      <c r="G19" s="6">
        <f t="shared" si="6"/>
        <v>24519.786892546625</v>
      </c>
      <c r="H19" s="6">
        <f t="shared" si="1"/>
        <v>90509.816781615373</v>
      </c>
    </row>
    <row r="20" spans="1:8" ht="14.25" customHeight="1">
      <c r="A20" s="3" t="s">
        <v>27</v>
      </c>
      <c r="B20" s="8">
        <f t="shared" ref="B20:G20" si="7">B19/B10</f>
        <v>0.12800917070614429</v>
      </c>
      <c r="C20" s="8">
        <f t="shared" si="7"/>
        <v>0.14935140725407042</v>
      </c>
      <c r="D20" s="8">
        <f t="shared" si="7"/>
        <v>0.14851216362689687</v>
      </c>
      <c r="E20" s="8">
        <f t="shared" si="7"/>
        <v>0.18960619781061883</v>
      </c>
      <c r="F20" s="8">
        <f t="shared" si="7"/>
        <v>0.22426600089461038</v>
      </c>
      <c r="G20" s="8">
        <f t="shared" si="7"/>
        <v>0.2346175441325806</v>
      </c>
      <c r="H20" s="7" t="s">
        <v>18</v>
      </c>
    </row>
    <row r="21" spans="1:8" ht="14.25" customHeight="1">
      <c r="A21" s="3" t="s">
        <v>28</v>
      </c>
      <c r="B21" s="9">
        <f>-핵심가정!B25</f>
        <v>-686.53</v>
      </c>
      <c r="C21" s="9">
        <f>-핵심가정!C25</f>
        <v>-686.53</v>
      </c>
      <c r="D21" s="9">
        <f>-핵심가정!D25</f>
        <v>-686.53</v>
      </c>
      <c r="E21" s="9">
        <f>-핵심가정!E25</f>
        <v>-686.53</v>
      </c>
      <c r="F21" s="9">
        <f>-핵심가정!F25</f>
        <v>-686.53</v>
      </c>
      <c r="G21" s="9">
        <f>-핵심가정!G25</f>
        <v>-556.53</v>
      </c>
      <c r="H21" s="9">
        <f t="shared" ref="H21:H27" si="8">SUM(B21:G21)</f>
        <v>-3989.1799999999994</v>
      </c>
    </row>
    <row r="22" spans="1:8" ht="14.25" customHeight="1">
      <c r="A22" s="3" t="s">
        <v>29</v>
      </c>
      <c r="B22" s="9">
        <v>-531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f t="shared" si="8"/>
        <v>-531</v>
      </c>
    </row>
    <row r="23" spans="1:8" ht="15" customHeight="1">
      <c r="A23" s="3" t="s">
        <v>30</v>
      </c>
      <c r="B23" s="4">
        <f t="shared" ref="B23:G23" si="9">B56</f>
        <v>4000</v>
      </c>
      <c r="C23" s="4">
        <f t="shared" si="9"/>
        <v>4000</v>
      </c>
      <c r="D23" s="4">
        <f t="shared" si="9"/>
        <v>4300</v>
      </c>
      <c r="E23" s="4">
        <f t="shared" si="9"/>
        <v>4805</v>
      </c>
      <c r="F23" s="4">
        <f t="shared" si="9"/>
        <v>5805</v>
      </c>
      <c r="G23" s="4">
        <f t="shared" si="9"/>
        <v>5805</v>
      </c>
      <c r="H23" s="4">
        <f t="shared" si="8"/>
        <v>28715</v>
      </c>
    </row>
    <row r="24" spans="1:8" ht="14.25" customHeight="1">
      <c r="A24" s="13" t="s">
        <v>31</v>
      </c>
      <c r="B24" s="11">
        <f t="shared" ref="B24:G24" si="10">B19+B23</f>
        <v>9862.5639999999967</v>
      </c>
      <c r="C24" s="11">
        <f t="shared" si="10"/>
        <v>13061.881699999998</v>
      </c>
      <c r="D24" s="11">
        <f t="shared" si="10"/>
        <v>15240.043832500003</v>
      </c>
      <c r="E24" s="11">
        <f t="shared" si="10"/>
        <v>22100.452599000004</v>
      </c>
      <c r="F24" s="11">
        <f t="shared" si="10"/>
        <v>28635.087757568752</v>
      </c>
      <c r="G24" s="11">
        <f t="shared" si="10"/>
        <v>30324.786892546625</v>
      </c>
      <c r="H24" s="11">
        <f t="shared" si="8"/>
        <v>119224.81678161537</v>
      </c>
    </row>
    <row r="25" spans="1:8" ht="14.25" customHeight="1">
      <c r="A25" s="3" t="s">
        <v>32</v>
      </c>
      <c r="B25" s="4">
        <f t="shared" ref="B25:G25" si="11">B19+B21+B22</f>
        <v>4645.0339999999969</v>
      </c>
      <c r="C25" s="4">
        <f t="shared" si="11"/>
        <v>8375.3516999999974</v>
      </c>
      <c r="D25" s="4">
        <f t="shared" si="11"/>
        <v>10253.513832500003</v>
      </c>
      <c r="E25" s="4">
        <f t="shared" si="11"/>
        <v>16608.922599000005</v>
      </c>
      <c r="F25" s="4">
        <f t="shared" si="11"/>
        <v>22143.557757568753</v>
      </c>
      <c r="G25" s="4">
        <f t="shared" si="11"/>
        <v>23963.256892546626</v>
      </c>
      <c r="H25" s="4">
        <f t="shared" si="8"/>
        <v>85989.63678161538</v>
      </c>
    </row>
    <row r="26" spans="1:8" ht="15" customHeight="1">
      <c r="A26" s="3" t="s">
        <v>33</v>
      </c>
      <c r="B26" s="9">
        <f>-B25*핵심가정!B26</f>
        <v>-757.14054199999953</v>
      </c>
      <c r="C26" s="9">
        <f>-C25*핵심가정!C26</f>
        <v>-1675.0703399999995</v>
      </c>
      <c r="D26" s="9">
        <f>-D25*핵심가정!D26</f>
        <v>-2050.7027665000005</v>
      </c>
      <c r="E26" s="9">
        <f>-E25*핵심가정!E26</f>
        <v>-3321.7845198000014</v>
      </c>
      <c r="F26" s="9">
        <f>-F25*핵심가정!F26</f>
        <v>-4428.7115515137511</v>
      </c>
      <c r="G26" s="9">
        <f>-G25*핵심가정!G26</f>
        <v>-4792.6513785093257</v>
      </c>
      <c r="H26" s="9">
        <f t="shared" si="8"/>
        <v>-17026.06109832308</v>
      </c>
    </row>
    <row r="27" spans="1:8" ht="14.25" customHeight="1">
      <c r="A27" s="5" t="s">
        <v>34</v>
      </c>
      <c r="B27" s="6">
        <f t="shared" ref="B27:G27" si="12">B25+B26</f>
        <v>3887.8934579999973</v>
      </c>
      <c r="C27" s="6">
        <f t="shared" si="12"/>
        <v>6700.2813599999981</v>
      </c>
      <c r="D27" s="6">
        <f t="shared" si="12"/>
        <v>8202.811066000002</v>
      </c>
      <c r="E27" s="6">
        <f t="shared" si="12"/>
        <v>13287.138079200004</v>
      </c>
      <c r="F27" s="6">
        <f t="shared" si="12"/>
        <v>17714.846206055001</v>
      </c>
      <c r="G27" s="6">
        <f t="shared" si="12"/>
        <v>19170.605514037299</v>
      </c>
      <c r="H27" s="6">
        <f t="shared" si="8"/>
        <v>68963.575683292293</v>
      </c>
    </row>
    <row r="28" spans="1:8" ht="14.25" customHeight="1">
      <c r="A28" s="3" t="s">
        <v>35</v>
      </c>
      <c r="B28" s="8">
        <f t="shared" ref="B28:G28" si="13">B27/B10</f>
        <v>8.4892210533210999E-2</v>
      </c>
      <c r="C28" s="8">
        <f t="shared" si="13"/>
        <v>0.11042921142020833</v>
      </c>
      <c r="D28" s="8">
        <f t="shared" si="13"/>
        <v>0.11135396145446042</v>
      </c>
      <c r="E28" s="8">
        <f t="shared" si="13"/>
        <v>0.14566393776404932</v>
      </c>
      <c r="F28" s="8">
        <f t="shared" si="13"/>
        <v>0.17401762784630206</v>
      </c>
      <c r="G28" s="8">
        <f t="shared" si="13"/>
        <v>0.18343391012933888</v>
      </c>
      <c r="H28" s="7" t="s">
        <v>18</v>
      </c>
    </row>
    <row r="29" spans="1:8" ht="15.75" customHeight="1">
      <c r="A29" s="51" t="s">
        <v>36</v>
      </c>
      <c r="B29" s="51"/>
      <c r="C29" s="51"/>
      <c r="D29" s="51"/>
      <c r="E29" s="51"/>
      <c r="F29" s="51"/>
      <c r="G29" s="51"/>
      <c r="H29" s="51"/>
    </row>
    <row r="30" spans="1:8" ht="14.25" customHeight="1">
      <c r="A30" s="3" t="s">
        <v>37</v>
      </c>
      <c r="B30" s="14">
        <v>3063.8470000000002</v>
      </c>
      <c r="C30" s="4">
        <f>B41</f>
        <v>4734.8409730684907</v>
      </c>
      <c r="D30" s="4">
        <f>C41</f>
        <v>5916.2574344383484</v>
      </c>
      <c r="E30" s="4">
        <f>D41</f>
        <v>7635.6958976986207</v>
      </c>
      <c r="F30" s="4">
        <f>E41</f>
        <v>10793.847675528767</v>
      </c>
      <c r="G30" s="4">
        <f>F41</f>
        <v>22048.018573364589</v>
      </c>
      <c r="H30" s="4">
        <f>B30</f>
        <v>3063.8470000000002</v>
      </c>
    </row>
    <row r="31" spans="1:8" ht="14.25" customHeight="1">
      <c r="A31" s="3" t="s">
        <v>38</v>
      </c>
      <c r="B31" s="4">
        <f t="shared" ref="B31:G31" si="14">B27</f>
        <v>3887.8934579999973</v>
      </c>
      <c r="C31" s="4">
        <f t="shared" si="14"/>
        <v>6700.2813599999981</v>
      </c>
      <c r="D31" s="4">
        <f t="shared" si="14"/>
        <v>8202.811066000002</v>
      </c>
      <c r="E31" s="4">
        <f t="shared" si="14"/>
        <v>13287.138079200004</v>
      </c>
      <c r="F31" s="4">
        <f t="shared" si="14"/>
        <v>17714.846206055001</v>
      </c>
      <c r="G31" s="4">
        <f t="shared" si="14"/>
        <v>19170.605514037299</v>
      </c>
      <c r="H31" s="4">
        <f t="shared" ref="H31:H40" si="15">SUM(B31:G31)</f>
        <v>68963.575683292293</v>
      </c>
    </row>
    <row r="32" spans="1:8" ht="15" customHeight="1">
      <c r="A32" s="3" t="s">
        <v>39</v>
      </c>
      <c r="B32" s="4">
        <f t="shared" ref="B32:G32" si="16">B23</f>
        <v>4000</v>
      </c>
      <c r="C32" s="4">
        <f t="shared" si="16"/>
        <v>4000</v>
      </c>
      <c r="D32" s="4">
        <f t="shared" si="16"/>
        <v>4300</v>
      </c>
      <c r="E32" s="4">
        <f t="shared" si="16"/>
        <v>4805</v>
      </c>
      <c r="F32" s="4">
        <f t="shared" si="16"/>
        <v>5805</v>
      </c>
      <c r="G32" s="4">
        <f t="shared" si="16"/>
        <v>5805</v>
      </c>
      <c r="H32" s="4">
        <f t="shared" si="15"/>
        <v>28715</v>
      </c>
    </row>
    <row r="33" spans="1:8" ht="14.25" customHeight="1">
      <c r="A33" s="3" t="s">
        <v>40</v>
      </c>
      <c r="B33" s="9">
        <v>-280.89948493150598</v>
      </c>
      <c r="C33" s="9">
        <v>-3518.86489863014</v>
      </c>
      <c r="D33" s="9">
        <v>-2733.3726027397302</v>
      </c>
      <c r="E33" s="9">
        <v>-3933.98630136986</v>
      </c>
      <c r="F33" s="9">
        <v>-2265.6753082191799</v>
      </c>
      <c r="G33" s="9">
        <v>-388.15641986301603</v>
      </c>
      <c r="H33" s="9">
        <f t="shared" si="15"/>
        <v>-13120.955015753434</v>
      </c>
    </row>
    <row r="34" spans="1:8" ht="14.25" customHeight="1">
      <c r="A34" s="10" t="s">
        <v>41</v>
      </c>
      <c r="B34" s="11">
        <f t="shared" ref="B34:G34" si="17">B31+B32+B33</f>
        <v>7606.993973068491</v>
      </c>
      <c r="C34" s="11">
        <f t="shared" si="17"/>
        <v>7181.4164613698576</v>
      </c>
      <c r="D34" s="11">
        <f t="shared" si="17"/>
        <v>9769.4384632602723</v>
      </c>
      <c r="E34" s="11">
        <f t="shared" si="17"/>
        <v>14158.151777830146</v>
      </c>
      <c r="F34" s="11">
        <f t="shared" si="17"/>
        <v>21254.170897835822</v>
      </c>
      <c r="G34" s="11">
        <f t="shared" si="17"/>
        <v>24587.449094174284</v>
      </c>
      <c r="H34" s="11">
        <f t="shared" si="15"/>
        <v>84557.620667538868</v>
      </c>
    </row>
    <row r="35" spans="1:8" ht="15" customHeight="1">
      <c r="A35" s="3" t="s">
        <v>42</v>
      </c>
      <c r="B35" s="9">
        <f t="shared" ref="B35:G38" si="18">-B49</f>
        <v>-5936</v>
      </c>
      <c r="C35" s="9">
        <f t="shared" si="18"/>
        <v>-3000</v>
      </c>
      <c r="D35" s="9">
        <f t="shared" si="18"/>
        <v>-1000</v>
      </c>
      <c r="E35" s="9">
        <f t="shared" si="18"/>
        <v>-1000</v>
      </c>
      <c r="F35" s="9">
        <f t="shared" si="18"/>
        <v>-3000</v>
      </c>
      <c r="G35" s="9">
        <f t="shared" si="18"/>
        <v>-3000</v>
      </c>
      <c r="H35" s="9">
        <f t="shared" si="15"/>
        <v>-16936</v>
      </c>
    </row>
    <row r="36" spans="1:8" ht="15" customHeight="1">
      <c r="A36" s="3" t="s">
        <v>43</v>
      </c>
      <c r="B36" s="9">
        <f t="shared" si="18"/>
        <v>0</v>
      </c>
      <c r="C36" s="9">
        <f t="shared" si="18"/>
        <v>-3000</v>
      </c>
      <c r="D36" s="9">
        <f t="shared" si="18"/>
        <v>-2000</v>
      </c>
      <c r="E36" s="9">
        <f t="shared" si="18"/>
        <v>0</v>
      </c>
      <c r="F36" s="9">
        <f t="shared" si="18"/>
        <v>0</v>
      </c>
      <c r="G36" s="9">
        <f t="shared" si="18"/>
        <v>0</v>
      </c>
      <c r="H36" s="9">
        <f t="shared" si="15"/>
        <v>-5000</v>
      </c>
    </row>
    <row r="37" spans="1:8" ht="15" customHeight="1">
      <c r="A37" s="12" t="s">
        <v>44</v>
      </c>
      <c r="B37" s="9">
        <f t="shared" si="18"/>
        <v>0</v>
      </c>
      <c r="C37" s="9">
        <f t="shared" si="18"/>
        <v>0</v>
      </c>
      <c r="D37" s="9">
        <f t="shared" si="18"/>
        <v>-5050</v>
      </c>
      <c r="E37" s="9">
        <f t="shared" si="18"/>
        <v>0</v>
      </c>
      <c r="F37" s="9">
        <f t="shared" si="18"/>
        <v>0</v>
      </c>
      <c r="G37" s="9">
        <f t="shared" si="18"/>
        <v>0</v>
      </c>
      <c r="H37" s="9">
        <f t="shared" si="15"/>
        <v>-5050</v>
      </c>
    </row>
    <row r="38" spans="1:8" ht="15" customHeight="1">
      <c r="A38" s="3" t="s">
        <v>45</v>
      </c>
      <c r="B38" s="9">
        <f t="shared" si="18"/>
        <v>0</v>
      </c>
      <c r="C38" s="9">
        <f t="shared" si="18"/>
        <v>0</v>
      </c>
      <c r="D38" s="9">
        <f t="shared" si="18"/>
        <v>0</v>
      </c>
      <c r="E38" s="9">
        <f t="shared" si="18"/>
        <v>-10000</v>
      </c>
      <c r="F38" s="9">
        <f t="shared" si="18"/>
        <v>-5000</v>
      </c>
      <c r="G38" s="9">
        <f t="shared" si="18"/>
        <v>0</v>
      </c>
      <c r="H38" s="9">
        <f t="shared" si="15"/>
        <v>-15000</v>
      </c>
    </row>
    <row r="39" spans="1:8" ht="14.25" customHeight="1">
      <c r="A39" s="15" t="s">
        <v>46</v>
      </c>
      <c r="B39" s="16">
        <f t="shared" ref="B39:G39" si="19">SUM(B35:B38)</f>
        <v>-5936</v>
      </c>
      <c r="C39" s="16">
        <f t="shared" si="19"/>
        <v>-6000</v>
      </c>
      <c r="D39" s="16">
        <f t="shared" si="19"/>
        <v>-8050</v>
      </c>
      <c r="E39" s="16">
        <f t="shared" si="19"/>
        <v>-11000</v>
      </c>
      <c r="F39" s="16">
        <f t="shared" si="19"/>
        <v>-8000</v>
      </c>
      <c r="G39" s="16">
        <f t="shared" si="19"/>
        <v>-3000</v>
      </c>
      <c r="H39" s="16">
        <f t="shared" si="15"/>
        <v>-41986</v>
      </c>
    </row>
    <row r="40" spans="1:8" ht="14.25" customHeight="1">
      <c r="A40" s="3" t="s">
        <v>47</v>
      </c>
      <c r="B40" s="9">
        <v>0</v>
      </c>
      <c r="C40" s="9">
        <v>0</v>
      </c>
      <c r="D40" s="9">
        <v>0</v>
      </c>
      <c r="E40" s="9">
        <v>0</v>
      </c>
      <c r="F40" s="9">
        <v>-2000</v>
      </c>
      <c r="G40" s="9">
        <v>-2000</v>
      </c>
      <c r="H40" s="9">
        <f t="shared" si="15"/>
        <v>-4000</v>
      </c>
    </row>
    <row r="41" spans="1:8" ht="14.25" customHeight="1">
      <c r="A41" s="5" t="s">
        <v>48</v>
      </c>
      <c r="B41" s="6">
        <f t="shared" ref="B41:G41" si="20">B30+B34+B39+B40</f>
        <v>4734.8409730684907</v>
      </c>
      <c r="C41" s="6">
        <f t="shared" si="20"/>
        <v>5916.2574344383484</v>
      </c>
      <c r="D41" s="6">
        <f t="shared" si="20"/>
        <v>7635.6958976986207</v>
      </c>
      <c r="E41" s="6">
        <f t="shared" si="20"/>
        <v>10793.847675528767</v>
      </c>
      <c r="F41" s="6">
        <f t="shared" si="20"/>
        <v>22048.018573364589</v>
      </c>
      <c r="G41" s="6">
        <f t="shared" si="20"/>
        <v>41635.467667538876</v>
      </c>
      <c r="H41" s="6">
        <f>G41</f>
        <v>41635.467667538876</v>
      </c>
    </row>
    <row r="42" spans="1:8" ht="15.75" customHeight="1">
      <c r="A42" s="51" t="s">
        <v>49</v>
      </c>
      <c r="B42" s="51"/>
      <c r="C42" s="51"/>
      <c r="D42" s="51"/>
      <c r="E42" s="51"/>
      <c r="F42" s="51"/>
      <c r="G42" s="51"/>
      <c r="H42" s="51"/>
    </row>
    <row r="43" spans="1:8" ht="15" customHeight="1">
      <c r="A43" s="3" t="s">
        <v>50</v>
      </c>
      <c r="B43" s="4">
        <v>0</v>
      </c>
      <c r="C43" s="4">
        <v>4800</v>
      </c>
      <c r="D43" s="4">
        <v>9600</v>
      </c>
      <c r="E43" s="4">
        <v>12000</v>
      </c>
      <c r="F43" s="4">
        <v>12000</v>
      </c>
      <c r="G43" s="4">
        <v>12000</v>
      </c>
      <c r="H43" s="4">
        <v>50400</v>
      </c>
    </row>
    <row r="44" spans="1:8" ht="15" customHeight="1">
      <c r="A44" s="3" t="s">
        <v>51</v>
      </c>
      <c r="B44" s="4">
        <v>0</v>
      </c>
      <c r="C44" s="4">
        <v>2200</v>
      </c>
      <c r="D44" s="4">
        <v>2200</v>
      </c>
      <c r="E44" s="4">
        <v>2200</v>
      </c>
      <c r="F44" s="4">
        <v>2200</v>
      </c>
      <c r="G44" s="4">
        <v>2200</v>
      </c>
      <c r="H44" s="4">
        <v>11000</v>
      </c>
    </row>
    <row r="45" spans="1:8" ht="15" customHeight="1">
      <c r="A45" s="10" t="s">
        <v>52</v>
      </c>
      <c r="B45" s="11">
        <v>0</v>
      </c>
      <c r="C45" s="11">
        <v>7000</v>
      </c>
      <c r="D45" s="11">
        <v>11800</v>
      </c>
      <c r="E45" s="11">
        <v>14200</v>
      </c>
      <c r="F45" s="11">
        <v>14200</v>
      </c>
      <c r="G45" s="11">
        <v>14200</v>
      </c>
      <c r="H45" s="11">
        <v>61400</v>
      </c>
    </row>
    <row r="46" spans="1:8" ht="15" customHeight="1">
      <c r="A46" s="12" t="s">
        <v>53</v>
      </c>
      <c r="B46" s="4">
        <v>0</v>
      </c>
      <c r="C46" s="4">
        <v>2347</v>
      </c>
      <c r="D46" s="4">
        <v>4695</v>
      </c>
      <c r="E46" s="4">
        <v>9390</v>
      </c>
      <c r="F46" s="4">
        <v>9390</v>
      </c>
      <c r="G46" s="4">
        <v>9390</v>
      </c>
      <c r="H46" s="4">
        <v>35212</v>
      </c>
    </row>
    <row r="47" spans="1:8" ht="14.25" customHeight="1">
      <c r="A47" s="5" t="s">
        <v>54</v>
      </c>
      <c r="B47" s="6">
        <v>0</v>
      </c>
      <c r="C47" s="6">
        <v>1052.05</v>
      </c>
      <c r="D47" s="6">
        <v>1884.25</v>
      </c>
      <c r="E47" s="6">
        <v>2828.5</v>
      </c>
      <c r="F47" s="6">
        <v>2828.5</v>
      </c>
      <c r="G47" s="6">
        <v>2828.5</v>
      </c>
      <c r="H47" s="6">
        <v>11421.8</v>
      </c>
    </row>
    <row r="48" spans="1:8" ht="15.75" customHeight="1">
      <c r="A48" s="51" t="s">
        <v>55</v>
      </c>
      <c r="B48" s="51"/>
      <c r="C48" s="51"/>
      <c r="D48" s="51"/>
      <c r="E48" s="51"/>
      <c r="F48" s="51"/>
      <c r="G48" s="51"/>
      <c r="H48" s="51"/>
    </row>
    <row r="49" spans="1:8" ht="15" customHeight="1">
      <c r="A49" s="3" t="s">
        <v>56</v>
      </c>
      <c r="B49" s="9">
        <f>핵심가정!B19</f>
        <v>5936</v>
      </c>
      <c r="C49" s="9">
        <f>핵심가정!C19</f>
        <v>3000</v>
      </c>
      <c r="D49" s="9">
        <f>핵심가정!D19</f>
        <v>1000</v>
      </c>
      <c r="E49" s="9">
        <f>핵심가정!E19</f>
        <v>1000</v>
      </c>
      <c r="F49" s="9">
        <f>핵심가정!F19</f>
        <v>3000</v>
      </c>
      <c r="G49" s="9">
        <f>핵심가정!G19</f>
        <v>3000</v>
      </c>
      <c r="H49" s="9">
        <f t="shared" ref="H49:H56" si="21">SUM(B49:G49)</f>
        <v>16936</v>
      </c>
    </row>
    <row r="50" spans="1:8" ht="15" customHeight="1">
      <c r="A50" s="3" t="s">
        <v>57</v>
      </c>
      <c r="B50" s="9">
        <f>핵심가정!B20</f>
        <v>0</v>
      </c>
      <c r="C50" s="9">
        <f>핵심가정!C20</f>
        <v>3000</v>
      </c>
      <c r="D50" s="9">
        <f>핵심가정!D20</f>
        <v>2000</v>
      </c>
      <c r="E50" s="9">
        <f>핵심가정!E20</f>
        <v>0</v>
      </c>
      <c r="F50" s="9">
        <f>핵심가정!F20</f>
        <v>0</v>
      </c>
      <c r="G50" s="9">
        <f>핵심가정!G20</f>
        <v>0</v>
      </c>
      <c r="H50" s="9">
        <f t="shared" si="21"/>
        <v>5000</v>
      </c>
    </row>
    <row r="51" spans="1:8" ht="15" customHeight="1">
      <c r="A51" s="12" t="s">
        <v>58</v>
      </c>
      <c r="B51" s="9">
        <f>핵심가정!B21</f>
        <v>0</v>
      </c>
      <c r="C51" s="9">
        <f>핵심가정!C21</f>
        <v>0</v>
      </c>
      <c r="D51" s="9">
        <f>핵심가정!D21</f>
        <v>5050</v>
      </c>
      <c r="E51" s="9">
        <f>핵심가정!E21</f>
        <v>0</v>
      </c>
      <c r="F51" s="9">
        <f>핵심가정!F21</f>
        <v>0</v>
      </c>
      <c r="G51" s="9">
        <f>핵심가정!G21</f>
        <v>0</v>
      </c>
      <c r="H51" s="9">
        <f t="shared" si="21"/>
        <v>5050</v>
      </c>
    </row>
    <row r="52" spans="1:8" ht="15" customHeight="1">
      <c r="A52" s="3" t="s">
        <v>59</v>
      </c>
      <c r="B52" s="9">
        <f>핵심가정!B22</f>
        <v>0</v>
      </c>
      <c r="C52" s="9">
        <f>핵심가정!C22</f>
        <v>0</v>
      </c>
      <c r="D52" s="9">
        <f>핵심가정!D22</f>
        <v>0</v>
      </c>
      <c r="E52" s="9">
        <f>핵심가정!E22</f>
        <v>10000</v>
      </c>
      <c r="F52" s="9">
        <f>핵심가정!F22</f>
        <v>5000</v>
      </c>
      <c r="G52" s="9">
        <f>핵심가정!G22</f>
        <v>0</v>
      </c>
      <c r="H52" s="9">
        <f t="shared" si="21"/>
        <v>15000</v>
      </c>
    </row>
    <row r="53" spans="1:8" ht="14.25" customHeight="1">
      <c r="A53" s="15" t="s">
        <v>60</v>
      </c>
      <c r="B53" s="17">
        <f t="shared" ref="B53:G53" si="22">SUM(B49:B52)</f>
        <v>5936</v>
      </c>
      <c r="C53" s="17">
        <f t="shared" si="22"/>
        <v>6000</v>
      </c>
      <c r="D53" s="17">
        <f t="shared" si="22"/>
        <v>8050</v>
      </c>
      <c r="E53" s="17">
        <f t="shared" si="22"/>
        <v>11000</v>
      </c>
      <c r="F53" s="17">
        <f t="shared" si="22"/>
        <v>8000</v>
      </c>
      <c r="G53" s="17">
        <f t="shared" si="22"/>
        <v>3000</v>
      </c>
      <c r="H53" s="17">
        <f t="shared" si="21"/>
        <v>41986</v>
      </c>
    </row>
    <row r="54" spans="1:8" ht="15" customHeight="1">
      <c r="A54" s="3" t="s">
        <v>61</v>
      </c>
      <c r="B54" s="4">
        <v>4000</v>
      </c>
      <c r="C54" s="4">
        <v>4000</v>
      </c>
      <c r="D54" s="4">
        <v>4000</v>
      </c>
      <c r="E54" s="4">
        <v>4000</v>
      </c>
      <c r="F54" s="4">
        <v>4000</v>
      </c>
      <c r="G54" s="4">
        <v>4000</v>
      </c>
      <c r="H54" s="4">
        <f t="shared" si="21"/>
        <v>24000</v>
      </c>
    </row>
    <row r="55" spans="1:8" ht="14.25" customHeight="1">
      <c r="A55" s="3" t="s">
        <v>62</v>
      </c>
      <c r="B55" s="4">
        <v>0</v>
      </c>
      <c r="C55" s="4">
        <v>0</v>
      </c>
      <c r="D55" s="4">
        <f>C50/10</f>
        <v>300</v>
      </c>
      <c r="E55" s="4">
        <f>C50/10+D51/10</f>
        <v>805</v>
      </c>
      <c r="F55" s="4">
        <f>C50/10+D51/10+E52/10</f>
        <v>1805</v>
      </c>
      <c r="G55" s="4">
        <f>C50/10+D51/10+E52/10</f>
        <v>1805</v>
      </c>
      <c r="H55" s="4">
        <f t="shared" si="21"/>
        <v>4715</v>
      </c>
    </row>
    <row r="56" spans="1:8" ht="15" customHeight="1">
      <c r="A56" s="10" t="s">
        <v>63</v>
      </c>
      <c r="B56" s="11">
        <f t="shared" ref="B56:G56" si="23">B54+B55</f>
        <v>4000</v>
      </c>
      <c r="C56" s="11">
        <f t="shared" si="23"/>
        <v>4000</v>
      </c>
      <c r="D56" s="11">
        <f t="shared" si="23"/>
        <v>4300</v>
      </c>
      <c r="E56" s="11">
        <f t="shared" si="23"/>
        <v>4805</v>
      </c>
      <c r="F56" s="11">
        <f t="shared" si="23"/>
        <v>5805</v>
      </c>
      <c r="G56" s="11">
        <f t="shared" si="23"/>
        <v>5805</v>
      </c>
      <c r="H56" s="11">
        <f t="shared" si="21"/>
        <v>28715</v>
      </c>
    </row>
    <row r="57" spans="1:8" ht="15.75" customHeight="1">
      <c r="A57" s="51" t="s">
        <v>64</v>
      </c>
      <c r="B57" s="51"/>
      <c r="C57" s="51"/>
      <c r="D57" s="51"/>
      <c r="E57" s="51"/>
      <c r="F57" s="51"/>
      <c r="G57" s="51"/>
      <c r="H57" s="51"/>
    </row>
    <row r="58" spans="1:8" ht="15" customHeight="1">
      <c r="A58" s="18" t="s">
        <v>65</v>
      </c>
      <c r="B58" s="19">
        <f>G27*15/1000</f>
        <v>287.55908271055949</v>
      </c>
      <c r="C58" s="52" t="s">
        <v>66</v>
      </c>
      <c r="D58" s="52"/>
      <c r="E58" s="52"/>
      <c r="F58" s="52"/>
      <c r="G58" s="52"/>
      <c r="H58" s="52"/>
    </row>
    <row r="59" spans="1:8" ht="15" customHeight="1">
      <c r="A59" s="20" t="s">
        <v>67</v>
      </c>
      <c r="B59" s="21">
        <f>G27*20/1000</f>
        <v>383.41211028074599</v>
      </c>
      <c r="C59" s="52" t="s">
        <v>68</v>
      </c>
      <c r="D59" s="52"/>
      <c r="E59" s="52"/>
      <c r="F59" s="52"/>
      <c r="G59" s="52"/>
      <c r="H59" s="52"/>
    </row>
    <row r="60" spans="1:8" ht="15" customHeight="1">
      <c r="A60" s="18" t="s">
        <v>69</v>
      </c>
      <c r="B60" s="19">
        <f>G27*25/1000</f>
        <v>479.26513785093249</v>
      </c>
      <c r="C60" s="52" t="s">
        <v>70</v>
      </c>
      <c r="D60" s="52"/>
      <c r="E60" s="52"/>
      <c r="F60" s="52"/>
      <c r="G60" s="52"/>
      <c r="H60" s="52"/>
    </row>
    <row r="61" spans="1:8" ht="15.75" customHeight="1">
      <c r="A61" s="51" t="s">
        <v>71</v>
      </c>
      <c r="B61" s="51"/>
      <c r="C61" s="51"/>
      <c r="D61" s="51"/>
      <c r="E61" s="51"/>
      <c r="F61" s="51"/>
      <c r="G61" s="51"/>
      <c r="H61" s="51"/>
    </row>
    <row r="62" spans="1:8" ht="15" customHeight="1">
      <c r="A62" s="3" t="s">
        <v>72</v>
      </c>
      <c r="B62" s="4">
        <f t="shared" ref="B62:H62" si="24">B10</f>
        <v>45798</v>
      </c>
      <c r="C62" s="4">
        <f t="shared" si="24"/>
        <v>60674.9</v>
      </c>
      <c r="D62" s="4">
        <f t="shared" si="24"/>
        <v>73664.295000000013</v>
      </c>
      <c r="E62" s="4">
        <f t="shared" si="24"/>
        <v>91217.759749999997</v>
      </c>
      <c r="F62" s="4">
        <f t="shared" si="24"/>
        <v>101799.14773750001</v>
      </c>
      <c r="G62" s="4">
        <f t="shared" si="24"/>
        <v>104509.60512437501</v>
      </c>
      <c r="H62" s="4">
        <f t="shared" si="24"/>
        <v>477663.70761187503</v>
      </c>
    </row>
    <row r="63" spans="1:8" ht="15" customHeight="1">
      <c r="A63" s="3" t="s">
        <v>73</v>
      </c>
      <c r="B63" s="4">
        <f t="shared" ref="B63:H63" si="25">B19</f>
        <v>5862.5639999999967</v>
      </c>
      <c r="C63" s="4">
        <f t="shared" si="25"/>
        <v>9061.8816999999981</v>
      </c>
      <c r="D63" s="4">
        <f t="shared" si="25"/>
        <v>10940.043832500003</v>
      </c>
      <c r="E63" s="4">
        <f t="shared" si="25"/>
        <v>17295.452599000004</v>
      </c>
      <c r="F63" s="4">
        <f t="shared" si="25"/>
        <v>22830.087757568752</v>
      </c>
      <c r="G63" s="4">
        <f t="shared" si="25"/>
        <v>24519.786892546625</v>
      </c>
      <c r="H63" s="4">
        <f t="shared" si="25"/>
        <v>90509.816781615373</v>
      </c>
    </row>
    <row r="64" spans="1:8" ht="15" customHeight="1">
      <c r="A64" s="3" t="s">
        <v>74</v>
      </c>
      <c r="B64" s="4">
        <f t="shared" ref="B64:H64" si="26">B27</f>
        <v>3887.8934579999973</v>
      </c>
      <c r="C64" s="4">
        <f t="shared" si="26"/>
        <v>6700.2813599999981</v>
      </c>
      <c r="D64" s="4">
        <f t="shared" si="26"/>
        <v>8202.811066000002</v>
      </c>
      <c r="E64" s="4">
        <f t="shared" si="26"/>
        <v>13287.138079200004</v>
      </c>
      <c r="F64" s="4">
        <f t="shared" si="26"/>
        <v>17714.846206055001</v>
      </c>
      <c r="G64" s="4">
        <f t="shared" si="26"/>
        <v>19170.605514037299</v>
      </c>
      <c r="H64" s="4">
        <f t="shared" si="26"/>
        <v>68963.575683292293</v>
      </c>
    </row>
    <row r="65" spans="1:8" ht="14.25" customHeight="1">
      <c r="A65" s="12" t="s">
        <v>75</v>
      </c>
      <c r="B65" s="4">
        <f t="shared" ref="B65:H65" si="27">B24</f>
        <v>9862.5639999999967</v>
      </c>
      <c r="C65" s="4">
        <f t="shared" si="27"/>
        <v>13061.881699999998</v>
      </c>
      <c r="D65" s="4">
        <f t="shared" si="27"/>
        <v>15240.043832500003</v>
      </c>
      <c r="E65" s="4">
        <f t="shared" si="27"/>
        <v>22100.452599000004</v>
      </c>
      <c r="F65" s="4">
        <f t="shared" si="27"/>
        <v>28635.087757568752</v>
      </c>
      <c r="G65" s="4">
        <f t="shared" si="27"/>
        <v>30324.786892546625</v>
      </c>
      <c r="H65" s="4">
        <f t="shared" si="27"/>
        <v>119224.81678161537</v>
      </c>
    </row>
    <row r="66" spans="1:8" ht="15" customHeight="1">
      <c r="A66" s="3" t="s">
        <v>76</v>
      </c>
      <c r="B66" s="4">
        <f t="shared" ref="B66:G66" si="28">B41</f>
        <v>4734.8409730684907</v>
      </c>
      <c r="C66" s="4">
        <f t="shared" si="28"/>
        <v>5916.2574344383484</v>
      </c>
      <c r="D66" s="4">
        <f t="shared" si="28"/>
        <v>7635.6958976986207</v>
      </c>
      <c r="E66" s="4">
        <f t="shared" si="28"/>
        <v>10793.847675528767</v>
      </c>
      <c r="F66" s="4">
        <f t="shared" si="28"/>
        <v>22048.018573364589</v>
      </c>
      <c r="G66" s="4">
        <f t="shared" si="28"/>
        <v>41635.467667538876</v>
      </c>
      <c r="H66" s="4">
        <f>G41</f>
        <v>41635.467667538876</v>
      </c>
    </row>
    <row r="67" spans="1:8" ht="15" customHeight="1">
      <c r="A67" s="12" t="s">
        <v>77</v>
      </c>
      <c r="B67" s="8">
        <f t="shared" ref="B67:G67" si="29">B6/B10</f>
        <v>2.6202017555351762E-2</v>
      </c>
      <c r="C67" s="8">
        <f t="shared" si="29"/>
        <v>7.4165758822841071E-2</v>
      </c>
      <c r="D67" s="8">
        <f t="shared" si="29"/>
        <v>0.10860078142334761</v>
      </c>
      <c r="E67" s="8">
        <f t="shared" si="29"/>
        <v>0.17540443926545785</v>
      </c>
      <c r="F67" s="8">
        <f t="shared" si="29"/>
        <v>0.23575835882129945</v>
      </c>
      <c r="G67" s="8">
        <f t="shared" si="29"/>
        <v>0.2296439640302729</v>
      </c>
      <c r="H67" s="7" t="s">
        <v>18</v>
      </c>
    </row>
    <row r="68" spans="1:8" ht="15" customHeight="1">
      <c r="A68" s="3" t="s">
        <v>78</v>
      </c>
      <c r="B68" s="8">
        <f t="shared" ref="B68:G68" si="30">(B7+B8)/B10</f>
        <v>0</v>
      </c>
      <c r="C68" s="8">
        <f t="shared" si="30"/>
        <v>0.11536895816886389</v>
      </c>
      <c r="D68" s="8">
        <f t="shared" si="30"/>
        <v>0.16018615259943772</v>
      </c>
      <c r="E68" s="8">
        <f t="shared" si="30"/>
        <v>0.15567143984809384</v>
      </c>
      <c r="F68" s="8">
        <f t="shared" si="30"/>
        <v>0.13949036230260217</v>
      </c>
      <c r="G68" s="8">
        <f t="shared" si="30"/>
        <v>0.13587267871791148</v>
      </c>
      <c r="H68" s="7" t="s">
        <v>18</v>
      </c>
    </row>
    <row r="69" spans="1:8" ht="15" customHeight="1">
      <c r="A69" s="12" t="s">
        <v>79</v>
      </c>
      <c r="B69" s="8">
        <f t="shared" ref="B69:G69" si="31">B9/B10</f>
        <v>0</v>
      </c>
      <c r="C69" s="8">
        <f t="shared" si="31"/>
        <v>3.8681563546046224E-2</v>
      </c>
      <c r="D69" s="8">
        <f t="shared" si="31"/>
        <v>6.3735083597827133E-2</v>
      </c>
      <c r="E69" s="8">
        <f t="shared" si="31"/>
        <v>0.10294048029391557</v>
      </c>
      <c r="F69" s="8">
        <f t="shared" si="31"/>
        <v>9.2240457888833408E-2</v>
      </c>
      <c r="G69" s="8">
        <f t="shared" si="31"/>
        <v>8.9848200926844271E-2</v>
      </c>
      <c r="H69" s="7" t="s">
        <v>18</v>
      </c>
    </row>
    <row r="71" spans="1:8" ht="15.75" customHeight="1">
      <c r="A71" s="51" t="s">
        <v>80</v>
      </c>
      <c r="B71" s="51"/>
      <c r="C71" s="51"/>
      <c r="D71" s="51"/>
      <c r="E71" s="51"/>
      <c r="F71" s="51"/>
      <c r="G71" s="51"/>
      <c r="H71" s="51"/>
    </row>
    <row r="72" spans="1:8" ht="26.25" customHeight="1">
      <c r="A72" s="53" t="s">
        <v>81</v>
      </c>
      <c r="B72" s="53"/>
      <c r="C72" s="53"/>
      <c r="D72" s="53"/>
      <c r="E72" s="53"/>
      <c r="F72" s="53"/>
      <c r="G72" s="53"/>
      <c r="H72" s="53"/>
    </row>
    <row r="73" spans="1:8" ht="26.25" customHeight="1">
      <c r="A73" s="53" t="s">
        <v>82</v>
      </c>
      <c r="B73" s="53"/>
      <c r="C73" s="53"/>
      <c r="D73" s="53"/>
      <c r="E73" s="53"/>
      <c r="F73" s="53"/>
      <c r="G73" s="53"/>
      <c r="H73" s="53"/>
    </row>
    <row r="74" spans="1:8" ht="26.25" customHeight="1">
      <c r="A74" s="53" t="s">
        <v>83</v>
      </c>
      <c r="B74" s="53"/>
      <c r="C74" s="53"/>
      <c r="D74" s="53"/>
      <c r="E74" s="53"/>
      <c r="F74" s="53"/>
      <c r="G74" s="53"/>
      <c r="H74" s="53"/>
    </row>
    <row r="75" spans="1:8" ht="26.25" customHeight="1">
      <c r="A75" s="53" t="s">
        <v>84</v>
      </c>
      <c r="B75" s="53"/>
      <c r="C75" s="53"/>
      <c r="D75" s="53"/>
      <c r="E75" s="53"/>
      <c r="F75" s="53"/>
      <c r="G75" s="53"/>
      <c r="H75" s="53"/>
    </row>
    <row r="76" spans="1:8" ht="26.25" customHeight="1">
      <c r="A76" s="53" t="s">
        <v>85</v>
      </c>
      <c r="B76" s="53"/>
      <c r="C76" s="53"/>
      <c r="D76" s="53"/>
      <c r="E76" s="53"/>
      <c r="F76" s="53"/>
      <c r="G76" s="53"/>
      <c r="H76" s="53"/>
    </row>
    <row r="77" spans="1:8" ht="26.25" customHeight="1">
      <c r="A77" s="53" t="s">
        <v>86</v>
      </c>
      <c r="B77" s="53"/>
      <c r="C77" s="53"/>
      <c r="D77" s="53"/>
      <c r="E77" s="53"/>
      <c r="F77" s="53"/>
      <c r="G77" s="53"/>
      <c r="H77" s="53"/>
    </row>
    <row r="78" spans="1:8" ht="26.25" customHeight="1">
      <c r="A78" s="53" t="s">
        <v>87</v>
      </c>
      <c r="B78" s="53"/>
      <c r="C78" s="53"/>
      <c r="D78" s="53"/>
      <c r="E78" s="53"/>
      <c r="F78" s="53"/>
      <c r="G78" s="53"/>
      <c r="H78" s="53"/>
    </row>
    <row r="79" spans="1:8" ht="26.25" customHeight="1">
      <c r="A79" s="53" t="s">
        <v>88</v>
      </c>
      <c r="B79" s="53"/>
      <c r="C79" s="53"/>
      <c r="D79" s="53"/>
      <c r="E79" s="53"/>
      <c r="F79" s="53"/>
      <c r="G79" s="53"/>
      <c r="H79" s="53"/>
    </row>
    <row r="80" spans="1:8" ht="26.25" customHeight="1">
      <c r="A80" s="53" t="s">
        <v>89</v>
      </c>
      <c r="B80" s="53"/>
      <c r="C80" s="53"/>
      <c r="D80" s="53"/>
      <c r="E80" s="53"/>
      <c r="F80" s="53"/>
      <c r="G80" s="53"/>
      <c r="H80" s="53"/>
    </row>
    <row r="81" spans="1:8" ht="26.25" customHeight="1">
      <c r="A81" s="53" t="s">
        <v>90</v>
      </c>
      <c r="B81" s="53"/>
      <c r="C81" s="53"/>
      <c r="D81" s="53"/>
      <c r="E81" s="53"/>
      <c r="F81" s="53"/>
      <c r="G81" s="53"/>
      <c r="H81" s="53"/>
    </row>
    <row r="82" spans="1:8" ht="26.25" customHeight="1">
      <c r="A82" s="53" t="s">
        <v>91</v>
      </c>
      <c r="B82" s="53"/>
      <c r="C82" s="53"/>
      <c r="D82" s="53"/>
      <c r="E82" s="53"/>
      <c r="F82" s="53"/>
      <c r="G82" s="53"/>
      <c r="H82" s="53"/>
    </row>
    <row r="83" spans="1:8" ht="26.25" customHeight="1">
      <c r="A83" t="s">
        <v>92</v>
      </c>
    </row>
  </sheetData>
  <mergeCells count="23">
    <mergeCell ref="A80:H80"/>
    <mergeCell ref="A81:H81"/>
    <mergeCell ref="A82:H82"/>
    <mergeCell ref="A75:H75"/>
    <mergeCell ref="A76:H76"/>
    <mergeCell ref="A77:H77"/>
    <mergeCell ref="A78:H78"/>
    <mergeCell ref="A79:H79"/>
    <mergeCell ref="A61:H61"/>
    <mergeCell ref="A71:H71"/>
    <mergeCell ref="A72:H72"/>
    <mergeCell ref="A73:H73"/>
    <mergeCell ref="A74:H74"/>
    <mergeCell ref="A48:H48"/>
    <mergeCell ref="A57:H57"/>
    <mergeCell ref="C58:H58"/>
    <mergeCell ref="C59:H59"/>
    <mergeCell ref="C60:H60"/>
    <mergeCell ref="A1:H1"/>
    <mergeCell ref="A2:H2"/>
    <mergeCell ref="A4:H4"/>
    <mergeCell ref="A29:H29"/>
    <mergeCell ref="A42:H42"/>
  </mergeCells>
  <phoneticPr fontId="39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Normal="100" workbookViewId="0">
      <selection activeCell="B4" sqref="A4:H13"/>
    </sheetView>
  </sheetViews>
  <sheetFormatPr defaultColWidth="8.7109375" defaultRowHeight="15"/>
  <cols>
    <col min="1" max="1" width="36" customWidth="1"/>
    <col min="2" max="7" width="16" customWidth="1"/>
    <col min="8" max="8" width="76.5703125" customWidth="1"/>
  </cols>
  <sheetData>
    <row r="1" spans="1:8" ht="19.5" customHeight="1">
      <c r="A1" s="49" t="s">
        <v>93</v>
      </c>
      <c r="B1" s="49"/>
      <c r="C1" s="49"/>
      <c r="D1" s="49"/>
      <c r="E1" s="49"/>
      <c r="F1" s="49"/>
      <c r="G1" s="49"/>
      <c r="H1" s="49"/>
    </row>
    <row r="2" spans="1:8" ht="18" customHeight="1">
      <c r="A2" s="1" t="s">
        <v>94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" t="s">
        <v>95</v>
      </c>
    </row>
    <row r="3" spans="1:8" ht="15.75" customHeight="1">
      <c r="A3" s="51" t="s">
        <v>96</v>
      </c>
      <c r="B3" s="51"/>
      <c r="C3" s="51"/>
      <c r="D3" s="51"/>
      <c r="E3" s="51"/>
      <c r="F3" s="51"/>
      <c r="G3" s="51"/>
      <c r="H3" s="51"/>
    </row>
    <row r="4" spans="1:8" ht="24" customHeight="1">
      <c r="A4" s="22" t="s">
        <v>97</v>
      </c>
      <c r="B4" s="23">
        <v>44598</v>
      </c>
      <c r="C4" s="23">
        <f>B4*1.05</f>
        <v>46827.9</v>
      </c>
      <c r="D4" s="23">
        <f>C4*1.05</f>
        <v>49169.295000000006</v>
      </c>
      <c r="E4" s="23">
        <f>D4*1.05</f>
        <v>51627.759750000005</v>
      </c>
      <c r="F4" s="23">
        <f>E4*1.05</f>
        <v>54209.14773750001</v>
      </c>
      <c r="G4" s="23">
        <f>F4*1.05</f>
        <v>56919.605124375012</v>
      </c>
      <c r="H4" s="24" t="s">
        <v>98</v>
      </c>
    </row>
    <row r="5" spans="1:8" ht="24" customHeight="1">
      <c r="A5" s="22" t="s">
        <v>99</v>
      </c>
      <c r="B5" s="25">
        <v>0.75600000000000001</v>
      </c>
      <c r="C5" s="25">
        <v>0.76100000000000001</v>
      </c>
      <c r="D5" s="25">
        <v>0.75049999999999994</v>
      </c>
      <c r="E5" s="25">
        <v>0.74</v>
      </c>
      <c r="F5" s="25">
        <v>0.72950000000000004</v>
      </c>
      <c r="G5" s="25">
        <v>0.71860000000000002</v>
      </c>
      <c r="H5" s="26" t="s">
        <v>100</v>
      </c>
    </row>
    <row r="6" spans="1:8" ht="14.25" customHeight="1">
      <c r="A6" s="22" t="s">
        <v>101</v>
      </c>
      <c r="B6" s="27">
        <v>0.126</v>
      </c>
      <c r="C6" s="25">
        <f>B6-$B$31</f>
        <v>0.11600000000000001</v>
      </c>
      <c r="D6" s="25">
        <f>C6-$B$31</f>
        <v>0.10600000000000001</v>
      </c>
      <c r="E6" s="25">
        <f>D6-$B$31</f>
        <v>9.6000000000000016E-2</v>
      </c>
      <c r="F6" s="25">
        <f>E6-$B$31</f>
        <v>8.6000000000000021E-2</v>
      </c>
      <c r="G6" s="25">
        <f>F6-$B$31</f>
        <v>7.6000000000000026E-2</v>
      </c>
      <c r="H6" s="28" t="s">
        <v>102</v>
      </c>
    </row>
    <row r="7" spans="1:8" ht="15.75" customHeight="1">
      <c r="A7" s="51" t="s">
        <v>103</v>
      </c>
      <c r="B7" s="51"/>
      <c r="C7" s="51"/>
      <c r="D7" s="51"/>
      <c r="E7" s="51"/>
      <c r="F7" s="51"/>
      <c r="G7" s="51"/>
      <c r="H7" s="51"/>
    </row>
    <row r="8" spans="1:8" ht="24" customHeight="1">
      <c r="A8" s="29" t="s">
        <v>104</v>
      </c>
      <c r="B8" s="30">
        <v>600</v>
      </c>
      <c r="C8" s="30">
        <v>2500</v>
      </c>
      <c r="D8" s="30">
        <v>5000</v>
      </c>
      <c r="E8" s="30">
        <v>10000</v>
      </c>
      <c r="F8" s="30">
        <v>15000</v>
      </c>
      <c r="G8" s="30">
        <v>15000</v>
      </c>
      <c r="H8" s="28" t="s">
        <v>105</v>
      </c>
    </row>
    <row r="9" spans="1:8" ht="24" customHeight="1">
      <c r="A9" s="29" t="s">
        <v>106</v>
      </c>
      <c r="B9" s="30">
        <v>2000</v>
      </c>
      <c r="C9" s="30">
        <v>1800</v>
      </c>
      <c r="D9" s="30">
        <v>1600</v>
      </c>
      <c r="E9" s="30">
        <v>1600</v>
      </c>
      <c r="F9" s="30">
        <v>1600</v>
      </c>
      <c r="G9" s="30">
        <v>1600</v>
      </c>
      <c r="H9" s="28" t="s">
        <v>107</v>
      </c>
    </row>
    <row r="10" spans="1:8" ht="15" customHeight="1">
      <c r="A10" s="29" t="s">
        <v>108</v>
      </c>
      <c r="B10" s="30">
        <f t="shared" ref="B10:G10" si="0">B8*B9/1000</f>
        <v>1200</v>
      </c>
      <c r="C10" s="30">
        <f t="shared" si="0"/>
        <v>4500</v>
      </c>
      <c r="D10" s="30">
        <f t="shared" si="0"/>
        <v>8000</v>
      </c>
      <c r="E10" s="30">
        <f t="shared" si="0"/>
        <v>16000</v>
      </c>
      <c r="F10" s="30">
        <f t="shared" si="0"/>
        <v>24000</v>
      </c>
      <c r="G10" s="30">
        <f t="shared" si="0"/>
        <v>24000</v>
      </c>
      <c r="H10" s="28" t="s">
        <v>109</v>
      </c>
    </row>
    <row r="11" spans="1:8" ht="15.75" customHeight="1">
      <c r="A11" s="51" t="s">
        <v>110</v>
      </c>
      <c r="B11" s="51"/>
      <c r="C11" s="51"/>
      <c r="D11" s="51"/>
      <c r="E11" s="51"/>
      <c r="F11" s="51"/>
      <c r="G11" s="51"/>
      <c r="H11" s="51"/>
    </row>
    <row r="12" spans="1:8" ht="24" customHeight="1">
      <c r="A12" s="29" t="s">
        <v>111</v>
      </c>
      <c r="B12" s="30">
        <v>0</v>
      </c>
      <c r="C12" s="30">
        <v>4800</v>
      </c>
      <c r="D12" s="30">
        <v>9600</v>
      </c>
      <c r="E12" s="30">
        <v>12000</v>
      </c>
      <c r="F12" s="30">
        <v>12000</v>
      </c>
      <c r="G12" s="30">
        <v>12000</v>
      </c>
      <c r="H12" s="26" t="s">
        <v>112</v>
      </c>
    </row>
    <row r="13" spans="1:8" ht="24" customHeight="1">
      <c r="A13" s="22" t="s">
        <v>113</v>
      </c>
      <c r="B13" s="30">
        <v>0</v>
      </c>
      <c r="C13" s="30">
        <v>2200</v>
      </c>
      <c r="D13" s="30">
        <v>2200</v>
      </c>
      <c r="E13" s="30">
        <v>2200</v>
      </c>
      <c r="F13" s="30">
        <v>2200</v>
      </c>
      <c r="G13" s="30">
        <v>2200</v>
      </c>
      <c r="H13" s="26" t="s">
        <v>114</v>
      </c>
    </row>
    <row r="14" spans="1:8" ht="15" customHeight="1">
      <c r="A14" s="22" t="s">
        <v>115</v>
      </c>
      <c r="B14" s="30">
        <f t="shared" ref="B14:G14" si="1">B12+B13</f>
        <v>0</v>
      </c>
      <c r="C14" s="30">
        <f t="shared" si="1"/>
        <v>7000</v>
      </c>
      <c r="D14" s="30">
        <f t="shared" si="1"/>
        <v>11800</v>
      </c>
      <c r="E14" s="30">
        <f t="shared" si="1"/>
        <v>14200</v>
      </c>
      <c r="F14" s="30">
        <f t="shared" si="1"/>
        <v>14200</v>
      </c>
      <c r="G14" s="30">
        <f t="shared" si="1"/>
        <v>14200</v>
      </c>
      <c r="H14" s="28" t="s">
        <v>116</v>
      </c>
    </row>
    <row r="15" spans="1:8" ht="15.75" customHeight="1">
      <c r="A15" s="51" t="s">
        <v>117</v>
      </c>
      <c r="B15" s="51"/>
      <c r="C15" s="51"/>
      <c r="D15" s="51"/>
      <c r="E15" s="51"/>
      <c r="F15" s="51"/>
      <c r="G15" s="51"/>
      <c r="H15" s="51"/>
    </row>
    <row r="16" spans="1:8" ht="35.25" customHeight="1">
      <c r="A16" s="29" t="s">
        <v>118</v>
      </c>
      <c r="B16" s="30">
        <v>0</v>
      </c>
      <c r="C16" s="30">
        <v>2347</v>
      </c>
      <c r="D16" s="30">
        <v>4695</v>
      </c>
      <c r="E16" s="30">
        <v>9390</v>
      </c>
      <c r="F16" s="30">
        <v>9390</v>
      </c>
      <c r="G16" s="30">
        <v>9390</v>
      </c>
      <c r="H16" s="28" t="s">
        <v>119</v>
      </c>
    </row>
    <row r="17" spans="1:8" ht="24" customHeight="1">
      <c r="A17" s="22" t="s">
        <v>120</v>
      </c>
      <c r="B17" s="30">
        <v>0</v>
      </c>
      <c r="C17" s="30">
        <v>100</v>
      </c>
      <c r="D17" s="30">
        <v>100</v>
      </c>
      <c r="E17" s="30">
        <v>200</v>
      </c>
      <c r="F17" s="30">
        <v>200</v>
      </c>
      <c r="G17" s="30">
        <v>200</v>
      </c>
      <c r="H17" s="26" t="s">
        <v>121</v>
      </c>
    </row>
    <row r="18" spans="1:8" ht="15.75" customHeight="1">
      <c r="A18" s="51" t="s">
        <v>122</v>
      </c>
      <c r="B18" s="51"/>
      <c r="C18" s="51"/>
      <c r="D18" s="51"/>
      <c r="E18" s="51"/>
      <c r="F18" s="51"/>
      <c r="G18" s="51"/>
      <c r="H18" s="51"/>
    </row>
    <row r="19" spans="1:8" ht="24" customHeight="1">
      <c r="A19" s="22" t="s">
        <v>123</v>
      </c>
      <c r="B19" s="30">
        <v>5936</v>
      </c>
      <c r="C19" s="30">
        <v>3000</v>
      </c>
      <c r="D19" s="30">
        <v>1000</v>
      </c>
      <c r="E19" s="30">
        <v>1000</v>
      </c>
      <c r="F19" s="30">
        <v>3000</v>
      </c>
      <c r="G19" s="30">
        <v>3000</v>
      </c>
      <c r="H19" s="26" t="s">
        <v>124</v>
      </c>
    </row>
    <row r="20" spans="1:8" ht="24" customHeight="1">
      <c r="A20" s="22" t="s">
        <v>125</v>
      </c>
      <c r="B20" s="30">
        <v>0</v>
      </c>
      <c r="C20" s="30">
        <v>3000</v>
      </c>
      <c r="D20" s="30">
        <v>2000</v>
      </c>
      <c r="E20" s="30">
        <v>0</v>
      </c>
      <c r="F20" s="30">
        <v>0</v>
      </c>
      <c r="G20" s="30">
        <v>0</v>
      </c>
      <c r="H20" s="26" t="s">
        <v>126</v>
      </c>
    </row>
    <row r="21" spans="1:8" ht="46.5" customHeight="1">
      <c r="A21" s="29" t="s">
        <v>127</v>
      </c>
      <c r="B21" s="30">
        <v>0</v>
      </c>
      <c r="C21" s="30">
        <v>0</v>
      </c>
      <c r="D21" s="30">
        <v>5050</v>
      </c>
      <c r="E21" s="30">
        <v>0</v>
      </c>
      <c r="F21" s="30">
        <v>0</v>
      </c>
      <c r="G21" s="30">
        <v>0</v>
      </c>
      <c r="H21" s="26" t="s">
        <v>128</v>
      </c>
    </row>
    <row r="22" spans="1:8" ht="15" customHeight="1">
      <c r="A22" s="22" t="s">
        <v>129</v>
      </c>
      <c r="B22" s="30">
        <v>0</v>
      </c>
      <c r="C22" s="30">
        <v>0</v>
      </c>
      <c r="D22" s="30">
        <v>0</v>
      </c>
      <c r="E22" s="30">
        <v>10000</v>
      </c>
      <c r="F22" s="30">
        <v>5000</v>
      </c>
      <c r="G22" s="30">
        <v>0</v>
      </c>
      <c r="H22" s="26" t="s">
        <v>130</v>
      </c>
    </row>
    <row r="23" spans="1:8" ht="24" customHeight="1">
      <c r="A23" s="22" t="s">
        <v>131</v>
      </c>
      <c r="B23" s="30">
        <f>통합사업계획!B56</f>
        <v>4000</v>
      </c>
      <c r="C23" s="30">
        <f>통합사업계획!C56</f>
        <v>4000</v>
      </c>
      <c r="D23" s="30">
        <f>통합사업계획!D56</f>
        <v>4300</v>
      </c>
      <c r="E23" s="30">
        <f>통합사업계획!E56</f>
        <v>4805</v>
      </c>
      <c r="F23" s="30">
        <f>통합사업계획!F56</f>
        <v>5805</v>
      </c>
      <c r="G23" s="30">
        <f>통합사업계획!G56</f>
        <v>5805</v>
      </c>
      <c r="H23" s="28" t="s">
        <v>132</v>
      </c>
    </row>
    <row r="24" spans="1:8" ht="15.75" customHeight="1">
      <c r="A24" s="51" t="s">
        <v>133</v>
      </c>
      <c r="B24" s="51"/>
      <c r="C24" s="51"/>
      <c r="D24" s="51"/>
      <c r="E24" s="51"/>
      <c r="F24" s="51"/>
      <c r="G24" s="51"/>
      <c r="H24" s="51"/>
    </row>
    <row r="25" spans="1:8" ht="15" customHeight="1">
      <c r="A25" s="22" t="s">
        <v>134</v>
      </c>
      <c r="B25" s="30">
        <f t="shared" ref="B25:G25" si="2">B32*$B$33</f>
        <v>686.53</v>
      </c>
      <c r="C25" s="30">
        <f t="shared" si="2"/>
        <v>686.53</v>
      </c>
      <c r="D25" s="30">
        <f t="shared" si="2"/>
        <v>686.53</v>
      </c>
      <c r="E25" s="30">
        <f t="shared" si="2"/>
        <v>686.53</v>
      </c>
      <c r="F25" s="30">
        <f t="shared" si="2"/>
        <v>686.53</v>
      </c>
      <c r="G25" s="30">
        <f t="shared" si="2"/>
        <v>556.53</v>
      </c>
      <c r="H25" s="31" t="s">
        <v>135</v>
      </c>
    </row>
    <row r="26" spans="1:8" ht="24" customHeight="1">
      <c r="A26" s="22" t="s">
        <v>136</v>
      </c>
      <c r="B26" s="32">
        <v>0.16300000000000001</v>
      </c>
      <c r="C26" s="32">
        <v>0.2</v>
      </c>
      <c r="D26" s="32">
        <v>0.2</v>
      </c>
      <c r="E26" s="32">
        <v>0.2</v>
      </c>
      <c r="F26" s="32">
        <v>0.2</v>
      </c>
      <c r="G26" s="32">
        <v>0.2</v>
      </c>
      <c r="H26" s="26" t="s">
        <v>137</v>
      </c>
    </row>
    <row r="27" spans="1:8" ht="15" customHeight="1">
      <c r="A27" s="29" t="s">
        <v>138</v>
      </c>
      <c r="B27" s="30">
        <v>87</v>
      </c>
      <c r="C27" s="30">
        <v>87</v>
      </c>
      <c r="D27" s="30">
        <v>87</v>
      </c>
      <c r="E27" s="30">
        <v>87</v>
      </c>
      <c r="F27" s="30">
        <v>87</v>
      </c>
      <c r="G27" s="30">
        <v>87</v>
      </c>
      <c r="H27" s="26" t="s">
        <v>139</v>
      </c>
    </row>
    <row r="28" spans="1:8" ht="15" customHeight="1">
      <c r="A28" s="22" t="s">
        <v>140</v>
      </c>
      <c r="B28" s="30">
        <v>34</v>
      </c>
      <c r="C28" s="30">
        <v>34</v>
      </c>
      <c r="D28" s="30">
        <v>34</v>
      </c>
      <c r="E28" s="30">
        <v>34</v>
      </c>
      <c r="F28" s="30">
        <v>34</v>
      </c>
      <c r="G28" s="30">
        <v>34</v>
      </c>
      <c r="H28" s="26" t="s">
        <v>139</v>
      </c>
    </row>
    <row r="29" spans="1:8" ht="15" customHeight="1">
      <c r="A29" s="29" t="s">
        <v>141</v>
      </c>
      <c r="B29" s="30">
        <v>110</v>
      </c>
      <c r="C29" s="30">
        <v>110</v>
      </c>
      <c r="D29" s="30">
        <v>110</v>
      </c>
      <c r="E29" s="30">
        <v>110</v>
      </c>
      <c r="F29" s="30">
        <v>110</v>
      </c>
      <c r="G29" s="30">
        <v>110</v>
      </c>
      <c r="H29" s="26" t="s">
        <v>139</v>
      </c>
    </row>
    <row r="30" spans="1:8">
      <c r="A30" t="s">
        <v>142</v>
      </c>
    </row>
    <row r="31" spans="1:8">
      <c r="A31" s="33" t="s">
        <v>143</v>
      </c>
      <c r="B31" s="34">
        <v>0.01</v>
      </c>
      <c r="H31" t="s">
        <v>144</v>
      </c>
    </row>
    <row r="32" spans="1:8">
      <c r="A32" s="33" t="s">
        <v>145</v>
      </c>
      <c r="B32" s="35">
        <v>10562</v>
      </c>
      <c r="C32" s="35">
        <v>10562</v>
      </c>
      <c r="D32" s="35">
        <v>10562</v>
      </c>
      <c r="E32" s="35">
        <v>10562</v>
      </c>
      <c r="F32" s="35">
        <v>10562</v>
      </c>
      <c r="G32" s="35">
        <v>8562</v>
      </c>
      <c r="H32" t="s">
        <v>146</v>
      </c>
    </row>
    <row r="33" spans="1:8">
      <c r="A33" s="33" t="s">
        <v>147</v>
      </c>
      <c r="B33" s="34">
        <v>6.5000000000000002E-2</v>
      </c>
      <c r="H33" t="s">
        <v>148</v>
      </c>
    </row>
  </sheetData>
  <mergeCells count="7">
    <mergeCell ref="A18:H18"/>
    <mergeCell ref="A24:H24"/>
    <mergeCell ref="A1:H1"/>
    <mergeCell ref="A3:H3"/>
    <mergeCell ref="A7:H7"/>
    <mergeCell ref="A11:H11"/>
    <mergeCell ref="A15:H15"/>
  </mergeCells>
  <phoneticPr fontId="39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Normal="100" workbookViewId="0">
      <selection activeCell="D26" sqref="D26"/>
    </sheetView>
  </sheetViews>
  <sheetFormatPr defaultColWidth="8.7109375" defaultRowHeight="15"/>
  <cols>
    <col min="1" max="1" width="36" customWidth="1"/>
    <col min="2" max="3" width="20" customWidth="1"/>
    <col min="4" max="4" width="24" customWidth="1"/>
  </cols>
  <sheetData>
    <row r="1" spans="1:4" ht="19.5" customHeight="1">
      <c r="A1" s="49" t="s">
        <v>149</v>
      </c>
      <c r="B1" s="49"/>
      <c r="C1" s="49"/>
      <c r="D1" s="49"/>
    </row>
    <row r="2" spans="1:4" ht="15" customHeight="1">
      <c r="A2" s="22" t="s">
        <v>150</v>
      </c>
      <c r="B2" s="36" t="s">
        <v>151</v>
      </c>
      <c r="C2" s="37" t="s">
        <v>152</v>
      </c>
      <c r="D2" s="38" t="s">
        <v>153</v>
      </c>
    </row>
    <row r="3" spans="1:4" ht="15" customHeight="1">
      <c r="A3" s="22" t="s">
        <v>154</v>
      </c>
      <c r="B3" s="36" t="s">
        <v>155</v>
      </c>
      <c r="C3" s="37" t="s">
        <v>156</v>
      </c>
      <c r="D3" s="38" t="s">
        <v>157</v>
      </c>
    </row>
    <row r="4" spans="1:4" ht="15" customHeight="1">
      <c r="A4" s="22" t="s">
        <v>158</v>
      </c>
      <c r="B4" s="36" t="s">
        <v>159</v>
      </c>
      <c r="C4" s="37" t="s">
        <v>160</v>
      </c>
      <c r="D4" s="38"/>
    </row>
    <row r="5" spans="1:4" ht="15" customHeight="1">
      <c r="A5" s="22" t="s">
        <v>161</v>
      </c>
      <c r="B5" s="36" t="s">
        <v>162</v>
      </c>
      <c r="C5" s="37"/>
      <c r="D5" s="38"/>
    </row>
    <row r="6" spans="1:4" ht="14.25" customHeight="1">
      <c r="A6" s="22" t="s">
        <v>163</v>
      </c>
      <c r="B6" s="36" t="s">
        <v>164</v>
      </c>
      <c r="C6" s="39" t="s">
        <v>165</v>
      </c>
      <c r="D6" s="38"/>
    </row>
    <row r="7" spans="1:4" ht="15" customHeight="1">
      <c r="A7" s="22" t="s">
        <v>166</v>
      </c>
      <c r="B7" s="36" t="s">
        <v>167</v>
      </c>
      <c r="C7" s="39" t="s">
        <v>168</v>
      </c>
      <c r="D7" s="38"/>
    </row>
    <row r="8" spans="1:4" ht="15" customHeight="1">
      <c r="A8" s="22" t="s">
        <v>169</v>
      </c>
      <c r="B8" s="36" t="s">
        <v>170</v>
      </c>
      <c r="C8" s="39" t="s">
        <v>171</v>
      </c>
      <c r="D8" s="38"/>
    </row>
    <row r="9" spans="1:4" ht="15" customHeight="1">
      <c r="A9" s="22" t="s">
        <v>172</v>
      </c>
      <c r="B9" s="36" t="s">
        <v>173</v>
      </c>
      <c r="C9" s="39"/>
      <c r="D9" s="38"/>
    </row>
    <row r="10" spans="1:4" ht="15" customHeight="1">
      <c r="A10" s="22" t="s">
        <v>174</v>
      </c>
      <c r="B10" s="36" t="s">
        <v>175</v>
      </c>
      <c r="C10" s="39" t="s">
        <v>176</v>
      </c>
      <c r="D10" s="38"/>
    </row>
    <row r="11" spans="1:4" ht="15" customHeight="1">
      <c r="A11" s="29" t="s">
        <v>177</v>
      </c>
      <c r="B11" s="36" t="s">
        <v>178</v>
      </c>
      <c r="C11" s="39" t="s">
        <v>179</v>
      </c>
      <c r="D11" s="38"/>
    </row>
    <row r="12" spans="1:4" ht="15" customHeight="1">
      <c r="A12" s="29" t="s">
        <v>180</v>
      </c>
      <c r="B12" s="36" t="s">
        <v>181</v>
      </c>
      <c r="C12" s="39" t="s">
        <v>182</v>
      </c>
      <c r="D12" s="38"/>
    </row>
    <row r="13" spans="1:4" ht="15" customHeight="1">
      <c r="A13" s="29" t="s">
        <v>183</v>
      </c>
      <c r="B13" s="36" t="s">
        <v>184</v>
      </c>
      <c r="C13" s="37" t="s">
        <v>185</v>
      </c>
      <c r="D13" s="38"/>
    </row>
    <row r="14" spans="1:4" ht="15" customHeight="1">
      <c r="A14" s="29" t="s">
        <v>186</v>
      </c>
      <c r="B14" s="36" t="s">
        <v>187</v>
      </c>
      <c r="C14" s="39" t="s">
        <v>188</v>
      </c>
      <c r="D14" s="40" t="s">
        <v>189</v>
      </c>
    </row>
    <row r="15" spans="1:4" ht="14.25" customHeight="1">
      <c r="A15" s="22" t="s">
        <v>190</v>
      </c>
      <c r="B15" s="36" t="s">
        <v>191</v>
      </c>
      <c r="C15" s="39"/>
      <c r="D15" s="38" t="s">
        <v>192</v>
      </c>
    </row>
    <row r="17" spans="1:4" ht="15" customHeight="1">
      <c r="A17" s="54" t="s">
        <v>193</v>
      </c>
      <c r="B17" s="54"/>
      <c r="C17" s="54"/>
      <c r="D17" s="54"/>
    </row>
    <row r="18" spans="1:4" ht="14.25" customHeight="1">
      <c r="A18" s="41" t="s">
        <v>194</v>
      </c>
      <c r="B18" s="42" t="s">
        <v>195</v>
      </c>
      <c r="C18" s="43">
        <v>750</v>
      </c>
    </row>
    <row r="19" spans="1:4" ht="14.25" customHeight="1">
      <c r="A19" s="41" t="s">
        <v>196</v>
      </c>
      <c r="B19" s="42" t="s">
        <v>197</v>
      </c>
      <c r="C19" s="43">
        <v>800</v>
      </c>
    </row>
    <row r="20" spans="1:4" ht="15" customHeight="1">
      <c r="A20" s="41" t="s">
        <v>198</v>
      </c>
      <c r="B20" s="44" t="s">
        <v>199</v>
      </c>
      <c r="C20" s="43">
        <v>500</v>
      </c>
    </row>
    <row r="21" spans="1:4" ht="15" customHeight="1">
      <c r="A21" s="18" t="s">
        <v>200</v>
      </c>
      <c r="B21" s="42" t="s">
        <v>201</v>
      </c>
      <c r="C21" s="43">
        <v>1500</v>
      </c>
      <c r="D21" s="45" t="s">
        <v>202</v>
      </c>
    </row>
    <row r="22" spans="1:4" ht="15" customHeight="1">
      <c r="A22" s="18" t="s">
        <v>203</v>
      </c>
      <c r="B22" s="42" t="s">
        <v>201</v>
      </c>
      <c r="C22" s="43">
        <v>1500</v>
      </c>
    </row>
    <row r="23" spans="1:4" ht="14.25" customHeight="1">
      <c r="A23" s="46" t="s">
        <v>204</v>
      </c>
      <c r="B23" s="47"/>
      <c r="C23" s="48">
        <f>SUM(C18:C22)</f>
        <v>5050</v>
      </c>
    </row>
  </sheetData>
  <mergeCells count="2">
    <mergeCell ref="A1:D1"/>
    <mergeCell ref="A17:D17"/>
  </mergeCells>
  <phoneticPr fontId="3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통합사업계획</vt:lpstr>
      <vt:lpstr>핵심가정</vt:lpstr>
      <vt:lpstr>AI서버CNC_계산근거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2026-06-15T11:08:53Z</dcterms:created>
  <dcterms:modified xsi:type="dcterms:W3CDTF">2026-06-23T01:36:05Z</dcterms:modified>
  <dc:language>en-US</dc:language>
</cp:coreProperties>
</file>