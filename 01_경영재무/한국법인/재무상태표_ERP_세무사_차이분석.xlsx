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한국법인/"/>
    </mc:Choice>
  </mc:AlternateContent>
  <xr:revisionPtr revIDLastSave="42" documentId="11_82920CB7947F843EE55054775A5DCE3AE7451C2B" xr6:coauthVersionLast="47" xr6:coauthVersionMax="47" xr10:uidLastSave="{E20B3E0F-2FDF-4F6E-8433-DEE9FCBB85EC}"/>
  <bookViews>
    <workbookView xWindow="-90" yWindow="0" windowWidth="19935" windowHeight="15585" xr2:uid="{00000000-000D-0000-FFFF-FFFF00000000}"/>
  </bookViews>
  <sheets>
    <sheet name="재무상태표 차이분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6" i="1"/>
  <c r="O7" i="1"/>
</calcChain>
</file>

<file path=xl/sharedStrings.xml><?xml version="1.0" encoding="utf-8"?>
<sst xmlns="http://schemas.openxmlformats.org/spreadsheetml/2006/main" count="160" uniqueCount="123">
  <si>
    <t>재무상태표 항목별 차이분석 (ERP vs 세무사)</t>
  </si>
  <si>
    <t>※ 차이금액 = ERP - 세무사 / (+)는 ERP가 큰 값, (-)는 세무사가 큰 값</t>
  </si>
  <si>
    <t>분류</t>
  </si>
  <si>
    <t>계정과목</t>
  </si>
  <si>
    <t>ERP (제8기)</t>
  </si>
  <si>
    <t>세무사 (제8기)</t>
  </si>
  <si>
    <t>차이금액
(ERP-세무사)</t>
  </si>
  <si>
    <t>차이율</t>
  </si>
  <si>
    <t>확인 필요사항</t>
  </si>
  <si>
    <t>【자산】</t>
  </si>
  <si>
    <t>유동자산</t>
  </si>
  <si>
    <t>유동자산 합계</t>
  </si>
  <si>
    <t>+14.3%</t>
  </si>
  <si>
    <t>ERP가 약 45백만원 많음 → 하위 항목 확인</t>
  </si>
  <si>
    <t>현금및현금성자산 / 현금</t>
  </si>
  <si>
    <t>ERP는 현금+예금 통합, 세무사는 현금 0원. 실제 현금잔고 존재여부 확인</t>
  </si>
  <si>
    <t>보통예금</t>
  </si>
  <si>
    <t>ERP에서 현금성자산에 통합됨 (위 항목 참조)</t>
  </si>
  <si>
    <t>현금및예금 소계 비교</t>
  </si>
  <si>
    <t>+7.6%</t>
  </si>
  <si>
    <t>차이 6.7백만원 → 통장잔고 및 현금시재 재확인 필요</t>
  </si>
  <si>
    <t>매출채권/외상매출금</t>
  </si>
  <si>
    <t>+1.1%</t>
  </si>
  <si>
    <t>차이 1.7백만원 → 미회수채권 내역 대사 필요</t>
  </si>
  <si>
    <t>선급비용 (ERP)</t>
  </si>
  <si>
    <t>ERP에 선급비용 2백만원 → 세무사 선급금에 포함되었는지 확인</t>
  </si>
  <si>
    <t>선급금 (세무사)</t>
  </si>
  <si>
    <t>-100.0%</t>
  </si>
  <si>
    <t>세무사에 선급금 58.8백만원 → ERP의 '기타'에 혼재되어 있을 가능성</t>
  </si>
  <si>
    <t>미수금 (세무사)</t>
  </si>
  <si>
    <t>세무사에만 존재 → ERP '기타' 계정에서 분리 필요</t>
  </si>
  <si>
    <t>선납세금 (세무사)</t>
  </si>
  <si>
    <t>기타 당좌자산 (ERP)</t>
  </si>
  <si>
    <t>⚠️ ERP '기타' 100.5백만원이 세무사에서는 미수금·선급금(65.8M)으로 분류됨. 나머지 약 34.7M 차이 원인 파악 필수</t>
  </si>
  <si>
    <t>재고자산 (상품)</t>
  </si>
  <si>
    <t>-3.9%</t>
  </si>
  <si>
    <t>차이 -166,900원 (세무사가 많음) → 기말재고 실사 및 단가 재확인</t>
  </si>
  <si>
    <t>비유동자산</t>
  </si>
  <si>
    <t>비유동자산 합계</t>
  </si>
  <si>
    <t>+19.2%</t>
  </si>
  <si>
    <t>ERP가 약 12.3백만원 많음</t>
  </si>
  <si>
    <t>비품 취득원가</t>
  </si>
  <si>
    <t>+47.8%</t>
  </si>
  <si>
    <t>⚠️ 차이 6.7백만원 → ERP에 추가 취득 자산 존재 여부 확인. 세무사 장부 미반영 자산 있는지 검토</t>
  </si>
  <si>
    <t>비품 감가상각누계액</t>
  </si>
  <si>
    <t>-10.3%</t>
  </si>
  <si>
    <t>세무사가 1.3백만원 더 많음 → 감가상각 방법/기간 차이 확인</t>
  </si>
  <si>
    <t>비품 순액</t>
  </si>
  <si>
    <t>+503.8%</t>
  </si>
  <si>
    <t>순액 차이 8백만원 → 취득가 차이(6.7M) + 누계액 차이(1.3M) 복합 원인</t>
  </si>
  <si>
    <t>시설장치 취득원가</t>
  </si>
  <si>
    <t>+0.0%</t>
  </si>
  <si>
    <t>일치</t>
  </si>
  <si>
    <t>시설장치 감가상각누계액</t>
  </si>
  <si>
    <t>-10.8%</t>
  </si>
  <si>
    <t>⚠️ 차이 4.3백만원 (세무사가 더 많음) → 2025년 감가상각비 추가 반영 여부 확인</t>
  </si>
  <si>
    <t>시설장치 순액</t>
  </si>
  <si>
    <t>+65.0%</t>
  </si>
  <si>
    <t>순액 차이 4.3백만원 → 누계액 차이에서 기인</t>
  </si>
  <si>
    <t>기타비유동자산 (보증금)</t>
  </si>
  <si>
    <t>【자산총계】</t>
  </si>
  <si>
    <t>자 산 총 계</t>
  </si>
  <si>
    <t>+15.2%</t>
  </si>
  <si>
    <t>⚠️ 총 57.2백만원 차이 → 위 항목들의 누적 차이</t>
  </si>
  <si>
    <t>【부채】</t>
  </si>
  <si>
    <t>유동부채</t>
  </si>
  <si>
    <t>유동부채 합계</t>
  </si>
  <si>
    <t>+207.6%</t>
  </si>
  <si>
    <t>⚠️ ERP가 96.2백만원 많음 → 단기차입금 분류 차이가 주원인</t>
  </si>
  <si>
    <t>단기차입금 (ERP)</t>
  </si>
  <si>
    <t>⚠️ ERP는 유동(단기)으로 분류 → 세무사는 비유동 주임종장기차입금(111.9M)으로 분류. 실제 만기 및 약정 재확인 필요</t>
  </si>
  <si>
    <t>외상매입금/매입채무</t>
  </si>
  <si>
    <t>+25.7%</t>
  </si>
  <si>
    <t>차이 2.5백만원 → 미결제 매입채무 내역 대사 필요</t>
  </si>
  <si>
    <t>미지급금</t>
  </si>
  <si>
    <t>-72.6%</t>
  </si>
  <si>
    <t>⚠️ 차이 -21.6백만원 (세무사가 많음) → 세무사 장부에 반영된 미지급금 항목이 ERP에 누락되어 있을 가능성 높음</t>
  </si>
  <si>
    <t>예수금</t>
  </si>
  <si>
    <t>+2587.5%</t>
  </si>
  <si>
    <t>⚠️ 차이 6.6백만원 (ERP가 많음) → ERP 예수금 내역 확인 (급여 원천징수세 등 정산 여부 검토)</t>
  </si>
  <si>
    <t>선수금 (세무사)</t>
  </si>
  <si>
    <t>세무사에만 존재 → ERP 누락 여부 확인 (선수금 입금내역 대사)</t>
  </si>
  <si>
    <t>미지급세금</t>
  </si>
  <si>
    <t>-97.7%</t>
  </si>
  <si>
    <t>차이 -2.8백만원 (세무사가 많음) → 법인세 등 미지급세금 계산 재확인</t>
  </si>
  <si>
    <t>미지급비용 (전기)</t>
  </si>
  <si>
    <t>전기에만 존재, 당기 해소됨</t>
  </si>
  <si>
    <t>비유동부채</t>
  </si>
  <si>
    <t>비유동부채 합계</t>
  </si>
  <si>
    <t>-71.9%</t>
  </si>
  <si>
    <t>⚠️ 세무사가 126.7백만원 많음 → 단기차입금 분류 이동 + 장기차입금 차이</t>
  </si>
  <si>
    <t>장기차입금</t>
  </si>
  <si>
    <t>-23.0%</t>
  </si>
  <si>
    <t>차이 -14.8백만원 (세무사 많음) → 차입금 원리금 상환 및 유동성대체 반영 여부 확인</t>
  </si>
  <si>
    <t>주임종 장기차입금 (세무사)</t>
  </si>
  <si>
    <t>⚠️ ERP의 단기차입금 115.1M과 연관 → 동일 차입금의 분류 차이로 추정. 약정서 확인 필수</t>
  </si>
  <si>
    <t>【부채총계】</t>
  </si>
  <si>
    <t>부 채 총 계</t>
  </si>
  <si>
    <t>-13.7%</t>
  </si>
  <si>
    <t>세무사가 30.6백만원 많음 → 주로 분류 차이 + 미지급금 차이</t>
  </si>
  <si>
    <t>【자본】</t>
  </si>
  <si>
    <t>자본</t>
  </si>
  <si>
    <t>자본금</t>
  </si>
  <si>
    <t>자본잉여금/자본조정/기타포괄손익</t>
  </si>
  <si>
    <t>일치 (모두 0)</t>
  </si>
  <si>
    <t>이익잉여금 (미처분)</t>
  </si>
  <si>
    <t>+161.2%</t>
  </si>
  <si>
    <t>⚠️ 차이 87.8백만원 → 당기순이익/손실 차이에서 기인 (손익계산서 검토 필수)</t>
  </si>
  <si>
    <t>당기순이익(손실)</t>
  </si>
  <si>
    <t>+60.8%</t>
  </si>
  <si>
    <t>⚠️ 손실 차이 87.8백만원 → ERP는 손실 5.7억, 세무사는 손실 14.5억. 비용 인식 차이 원인 파악 필요</t>
  </si>
  <si>
    <t>【자본총계】</t>
  </si>
  <si>
    <t>자 본 총 계</t>
  </si>
  <si>
    <t>+56.9%</t>
  </si>
  <si>
    <t>차이 87.8백만원 → 이익잉여금 차이와 동일</t>
  </si>
  <si>
    <t>【최종】</t>
  </si>
  <si>
    <t>부채및자본총계</t>
  </si>
  <si>
    <t>최종 차이 57.3백만원 → 자산총계 차이와 일치 (대차대조 균형 확인)</t>
  </si>
  <si>
    <t>범례</t>
  </si>
  <si>
    <t>흰색 배경 = 일반항목</t>
  </si>
  <si>
    <t>회색 배경 = 소합계</t>
  </si>
  <si>
    <t>노란 배경 = ⚠️ 중요 차이항목</t>
  </si>
  <si>
    <t>외화 환산을 하지 않음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</si>
</sst>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(#,##0\);&quot;-&quot;"/>
    <numFmt numFmtId="177" formatCode="\+#,##0;\-#,##0;&quot;-&quot;"/>
  </numFmts>
  <fonts count="14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9EFF7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2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176" fontId="7" fillId="4" borderId="1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76" fontId="7" fillId="6" borderId="1" xfId="0" applyNumberFormat="1" applyFont="1" applyFill="1" applyBorder="1" applyAlignment="1">
      <alignment horizontal="right" vertical="center"/>
    </xf>
    <xf numFmtId="177" fontId="7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indent="2"/>
    </xf>
    <xf numFmtId="176" fontId="10" fillId="7" borderId="1" xfId="0" applyNumberFormat="1" applyFont="1" applyFill="1" applyBorder="1" applyAlignment="1">
      <alignment horizontal="right" vertical="center"/>
    </xf>
    <xf numFmtId="177" fontId="10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177" fontId="7" fillId="4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9" fillId="0" borderId="0" xfId="0" applyFont="1"/>
    <xf numFmtId="0" fontId="0" fillId="7" borderId="1" xfId="0" applyFill="1" applyBorder="1"/>
    <xf numFmtId="0" fontId="0" fillId="4" borderId="1" xfId="0" applyFill="1" applyBorder="1"/>
    <xf numFmtId="0" fontId="0" fillId="6" borderId="1" xfId="0" applyFill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41" fontId="0" fillId="0" borderId="0" xfId="1" applyFont="1" applyAlignment="1"/>
    <xf numFmtId="41" fontId="0" fillId="0" borderId="0" xfId="0" applyNumberFormat="1"/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76" fontId="7" fillId="9" borderId="1" xfId="0" applyNumberFormat="1" applyFont="1" applyFill="1" applyBorder="1" applyAlignment="1">
      <alignment horizontal="right" vertical="center"/>
    </xf>
    <xf numFmtId="177" fontId="7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0" fillId="9" borderId="0" xfId="0" applyFill="1"/>
    <xf numFmtId="41" fontId="0" fillId="9" borderId="0" xfId="1" applyFont="1" applyFill="1">
      <alignment vertical="center"/>
    </xf>
    <xf numFmtId="0" fontId="10" fillId="9" borderId="1" xfId="0" applyFont="1" applyFill="1" applyBorder="1" applyAlignment="1">
      <alignment horizontal="left" vertical="center" indent="2"/>
    </xf>
    <xf numFmtId="176" fontId="10" fillId="9" borderId="1" xfId="0" applyNumberFormat="1" applyFont="1" applyFill="1" applyBorder="1" applyAlignment="1">
      <alignment horizontal="right" vertical="center"/>
    </xf>
    <xf numFmtId="177" fontId="10" fillId="9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 wrapText="1"/>
    </xf>
    <xf numFmtId="176" fontId="10" fillId="8" borderId="1" xfId="0" applyNumberFormat="1" applyFont="1" applyFill="1" applyBorder="1" applyAlignment="1">
      <alignment horizontal="right" vertical="center"/>
    </xf>
    <xf numFmtId="176" fontId="7" fillId="8" borderId="1" xfId="0" applyNumberFormat="1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A14" workbookViewId="0">
      <selection activeCell="C29" sqref="C29:D29"/>
    </sheetView>
  </sheetViews>
  <sheetFormatPr defaultRowHeight="16.5" x14ac:dyDescent="0.3"/>
  <cols>
    <col min="1" max="1" width="10" customWidth="1"/>
    <col min="2" max="2" width="28" customWidth="1"/>
    <col min="3" max="5" width="18" customWidth="1"/>
    <col min="6" max="6" width="10" customWidth="1"/>
    <col min="7" max="7" width="55" customWidth="1"/>
    <col min="8" max="8" width="24" customWidth="1"/>
    <col min="9" max="9" width="11.375" customWidth="1"/>
    <col min="12" max="12" width="9.125" style="35" bestFit="1" customWidth="1"/>
    <col min="13" max="14" width="11.875" style="35" bestFit="1" customWidth="1"/>
    <col min="15" max="15" width="15.875" customWidth="1"/>
  </cols>
  <sheetData>
    <row r="1" spans="1:15" ht="30" customHeight="1" x14ac:dyDescent="0.3">
      <c r="A1" s="34" t="s">
        <v>0</v>
      </c>
      <c r="B1" s="33"/>
      <c r="C1" s="33"/>
      <c r="D1" s="33"/>
      <c r="E1" s="33"/>
      <c r="F1" s="33"/>
      <c r="G1" s="33"/>
    </row>
    <row r="2" spans="1:15" x14ac:dyDescent="0.3">
      <c r="A2" s="32" t="s">
        <v>1</v>
      </c>
      <c r="B2" s="33"/>
      <c r="C2" s="33"/>
      <c r="D2" s="33"/>
      <c r="E2" s="33"/>
      <c r="F2" s="33"/>
      <c r="G2" s="33"/>
    </row>
    <row r="3" spans="1:15" ht="35.1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15" ht="21.95" customHeight="1" x14ac:dyDescent="0.3">
      <c r="A4" s="2" t="s">
        <v>9</v>
      </c>
      <c r="B4" s="3"/>
      <c r="C4" s="4"/>
      <c r="D4" s="4"/>
      <c r="E4" s="5"/>
      <c r="F4" s="6"/>
      <c r="G4" s="7"/>
    </row>
    <row r="5" spans="1:15" ht="18" customHeight="1" x14ac:dyDescent="0.3">
      <c r="A5" s="8" t="s">
        <v>10</v>
      </c>
      <c r="B5" s="9" t="s">
        <v>11</v>
      </c>
      <c r="C5" s="10">
        <v>357977232</v>
      </c>
      <c r="D5" s="10">
        <v>313071294</v>
      </c>
      <c r="E5" s="11">
        <v>44905938</v>
      </c>
      <c r="F5" s="12" t="s">
        <v>12</v>
      </c>
      <c r="G5" s="13" t="s">
        <v>13</v>
      </c>
    </row>
    <row r="6" spans="1:15" ht="21.95" customHeight="1" x14ac:dyDescent="0.3">
      <c r="A6" s="37" t="s">
        <v>10</v>
      </c>
      <c r="B6" s="38" t="s">
        <v>14</v>
      </c>
      <c r="C6" s="39">
        <v>95053337</v>
      </c>
      <c r="D6" s="39">
        <v>0</v>
      </c>
      <c r="E6" s="40">
        <v>95053337</v>
      </c>
      <c r="F6" s="41"/>
      <c r="G6" s="42" t="s">
        <v>15</v>
      </c>
      <c r="H6" s="43" t="s">
        <v>122</v>
      </c>
      <c r="I6" s="44">
        <v>-5833982</v>
      </c>
      <c r="J6">
        <v>1418.7162484518506</v>
      </c>
      <c r="L6" s="35">
        <v>60806.47</v>
      </c>
      <c r="M6" s="35">
        <v>87251203</v>
      </c>
      <c r="N6" s="35">
        <v>94069261</v>
      </c>
      <c r="O6" s="36">
        <f>M6-N6</f>
        <v>-6818058</v>
      </c>
    </row>
    <row r="7" spans="1:15" ht="18" customHeight="1" x14ac:dyDescent="0.3">
      <c r="A7" s="41" t="s">
        <v>10</v>
      </c>
      <c r="B7" s="45" t="s">
        <v>16</v>
      </c>
      <c r="C7" s="46"/>
      <c r="D7" s="46">
        <v>88335279</v>
      </c>
      <c r="E7" s="47"/>
      <c r="F7" s="41"/>
      <c r="G7" s="48" t="s">
        <v>17</v>
      </c>
      <c r="H7" s="43"/>
      <c r="I7" s="43"/>
      <c r="M7" s="35">
        <v>1084076</v>
      </c>
      <c r="N7" s="35">
        <v>984076</v>
      </c>
      <c r="O7" s="36">
        <f>M7-N7</f>
        <v>100000</v>
      </c>
    </row>
    <row r="8" spans="1:15" ht="21.95" customHeight="1" x14ac:dyDescent="0.3">
      <c r="A8" s="37" t="s">
        <v>10</v>
      </c>
      <c r="B8" s="38" t="s">
        <v>18</v>
      </c>
      <c r="C8" s="39">
        <v>95053337</v>
      </c>
      <c r="D8" s="39">
        <v>88335279</v>
      </c>
      <c r="E8" s="40">
        <v>6718058</v>
      </c>
      <c r="F8" s="41" t="s">
        <v>19</v>
      </c>
      <c r="G8" s="42" t="s">
        <v>20</v>
      </c>
      <c r="H8" s="43"/>
      <c r="I8" s="43"/>
      <c r="O8" s="36">
        <f>O6+O7</f>
        <v>-6718058</v>
      </c>
    </row>
    <row r="9" spans="1:15" ht="18" customHeight="1" x14ac:dyDescent="0.3">
      <c r="A9" s="20" t="s">
        <v>10</v>
      </c>
      <c r="B9" s="21" t="s">
        <v>21</v>
      </c>
      <c r="C9" s="49">
        <v>156280774</v>
      </c>
      <c r="D9" s="22">
        <v>154623519</v>
      </c>
      <c r="E9" s="23">
        <v>1657255</v>
      </c>
      <c r="F9" s="20" t="s">
        <v>22</v>
      </c>
      <c r="G9" s="24" t="s">
        <v>23</v>
      </c>
    </row>
    <row r="10" spans="1:15" ht="21.95" customHeight="1" x14ac:dyDescent="0.3">
      <c r="A10" s="14" t="s">
        <v>10</v>
      </c>
      <c r="B10" s="15" t="s">
        <v>24</v>
      </c>
      <c r="C10" s="50">
        <v>2000000</v>
      </c>
      <c r="D10" s="50">
        <v>0</v>
      </c>
      <c r="E10" s="17">
        <v>2000000</v>
      </c>
      <c r="F10" s="18"/>
      <c r="G10" s="19" t="s">
        <v>25</v>
      </c>
    </row>
    <row r="11" spans="1:15" ht="21.95" customHeight="1" x14ac:dyDescent="0.3">
      <c r="A11" s="14" t="s">
        <v>10</v>
      </c>
      <c r="B11" s="15" t="s">
        <v>26</v>
      </c>
      <c r="C11" s="50">
        <v>0</v>
      </c>
      <c r="D11" s="50">
        <v>58846126</v>
      </c>
      <c r="E11" s="17">
        <v>-58846126</v>
      </c>
      <c r="F11" s="18" t="s">
        <v>27</v>
      </c>
      <c r="G11" s="19" t="s">
        <v>28</v>
      </c>
    </row>
    <row r="12" spans="1:15" ht="21.95" customHeight="1" x14ac:dyDescent="0.3">
      <c r="A12" s="14" t="s">
        <v>10</v>
      </c>
      <c r="B12" s="15" t="s">
        <v>29</v>
      </c>
      <c r="C12" s="50">
        <v>0</v>
      </c>
      <c r="D12" s="50">
        <v>6940370</v>
      </c>
      <c r="E12" s="17">
        <v>-6940370</v>
      </c>
      <c r="F12" s="18" t="s">
        <v>27</v>
      </c>
      <c r="G12" s="19" t="s">
        <v>30</v>
      </c>
    </row>
    <row r="13" spans="1:15" ht="18" customHeight="1" x14ac:dyDescent="0.3">
      <c r="A13" s="20" t="s">
        <v>10</v>
      </c>
      <c r="B13" s="21" t="s">
        <v>31</v>
      </c>
      <c r="C13" s="22">
        <v>0</v>
      </c>
      <c r="D13" s="22">
        <v>0</v>
      </c>
      <c r="E13" s="23">
        <v>0</v>
      </c>
      <c r="F13" s="20"/>
      <c r="G13" s="24"/>
    </row>
    <row r="14" spans="1:15" ht="21.95" customHeight="1" x14ac:dyDescent="0.3">
      <c r="A14" s="14" t="s">
        <v>10</v>
      </c>
      <c r="B14" s="15" t="s">
        <v>32</v>
      </c>
      <c r="C14" s="16">
        <v>100484021</v>
      </c>
      <c r="D14" s="16">
        <v>0</v>
      </c>
      <c r="E14" s="17">
        <v>100484021</v>
      </c>
      <c r="F14" s="18"/>
      <c r="G14" s="19" t="s">
        <v>33</v>
      </c>
    </row>
    <row r="15" spans="1:15" ht="18" customHeight="1" x14ac:dyDescent="0.3">
      <c r="A15" s="20" t="s">
        <v>10</v>
      </c>
      <c r="B15" s="21" t="s">
        <v>34</v>
      </c>
      <c r="C15" s="49">
        <v>4159100</v>
      </c>
      <c r="D15" s="22">
        <v>4326000</v>
      </c>
      <c r="E15" s="23">
        <v>-166900</v>
      </c>
      <c r="F15" s="20" t="s">
        <v>35</v>
      </c>
      <c r="G15" s="24" t="s">
        <v>36</v>
      </c>
    </row>
    <row r="16" spans="1:15" ht="18" customHeight="1" x14ac:dyDescent="0.3">
      <c r="A16" s="8" t="s">
        <v>37</v>
      </c>
      <c r="B16" s="9" t="s">
        <v>38</v>
      </c>
      <c r="C16" s="10">
        <v>76333723</v>
      </c>
      <c r="D16" s="10">
        <v>64030428</v>
      </c>
      <c r="E16" s="11">
        <v>12303295</v>
      </c>
      <c r="F16" s="12" t="s">
        <v>39</v>
      </c>
      <c r="G16" s="13" t="s">
        <v>40</v>
      </c>
    </row>
    <row r="17" spans="1:7" ht="21.95" customHeight="1" x14ac:dyDescent="0.3">
      <c r="A17" s="14" t="s">
        <v>37</v>
      </c>
      <c r="B17" s="15" t="s">
        <v>41</v>
      </c>
      <c r="C17" s="16">
        <v>20853728</v>
      </c>
      <c r="D17" s="16">
        <v>14105365</v>
      </c>
      <c r="E17" s="17">
        <v>6748363</v>
      </c>
      <c r="F17" s="18" t="s">
        <v>42</v>
      </c>
      <c r="G17" s="19" t="s">
        <v>43</v>
      </c>
    </row>
    <row r="18" spans="1:7" ht="18" customHeight="1" x14ac:dyDescent="0.3">
      <c r="A18" s="20" t="s">
        <v>37</v>
      </c>
      <c r="B18" s="21" t="s">
        <v>44</v>
      </c>
      <c r="C18" s="49">
        <v>11215186</v>
      </c>
      <c r="D18" s="22">
        <v>12508937</v>
      </c>
      <c r="E18" s="23">
        <v>-1293751</v>
      </c>
      <c r="F18" s="20" t="s">
        <v>45</v>
      </c>
      <c r="G18" s="24" t="s">
        <v>46</v>
      </c>
    </row>
    <row r="19" spans="1:7" ht="18" customHeight="1" x14ac:dyDescent="0.3">
      <c r="A19" s="8" t="s">
        <v>37</v>
      </c>
      <c r="B19" s="9" t="s">
        <v>47</v>
      </c>
      <c r="C19" s="10">
        <v>9638542</v>
      </c>
      <c r="D19" s="10">
        <v>1596428</v>
      </c>
      <c r="E19" s="25">
        <v>8042114</v>
      </c>
      <c r="F19" s="12" t="s">
        <v>48</v>
      </c>
      <c r="G19" s="13" t="s">
        <v>49</v>
      </c>
    </row>
    <row r="20" spans="1:7" ht="18" customHeight="1" x14ac:dyDescent="0.3">
      <c r="A20" s="20" t="s">
        <v>37</v>
      </c>
      <c r="B20" s="21" t="s">
        <v>50</v>
      </c>
      <c r="C20" s="22">
        <v>46100000</v>
      </c>
      <c r="D20" s="22">
        <v>46100000</v>
      </c>
      <c r="E20" s="23">
        <v>0</v>
      </c>
      <c r="F20" s="20" t="s">
        <v>51</v>
      </c>
      <c r="G20" s="24" t="s">
        <v>52</v>
      </c>
    </row>
    <row r="21" spans="1:7" ht="21.95" customHeight="1" x14ac:dyDescent="0.3">
      <c r="A21" s="14" t="s">
        <v>37</v>
      </c>
      <c r="B21" s="15" t="s">
        <v>53</v>
      </c>
      <c r="C21" s="16">
        <v>35284819</v>
      </c>
      <c r="D21" s="16">
        <v>39546000</v>
      </c>
      <c r="E21" s="17">
        <v>-4261181</v>
      </c>
      <c r="F21" s="18" t="s">
        <v>54</v>
      </c>
      <c r="G21" s="19" t="s">
        <v>55</v>
      </c>
    </row>
    <row r="22" spans="1:7" ht="18" customHeight="1" x14ac:dyDescent="0.3">
      <c r="A22" s="8" t="s">
        <v>37</v>
      </c>
      <c r="B22" s="9" t="s">
        <v>56</v>
      </c>
      <c r="C22" s="10">
        <v>10815181</v>
      </c>
      <c r="D22" s="10">
        <v>6554000</v>
      </c>
      <c r="E22" s="25">
        <v>4261181</v>
      </c>
      <c r="F22" s="12" t="s">
        <v>57</v>
      </c>
      <c r="G22" s="13" t="s">
        <v>58</v>
      </c>
    </row>
    <row r="23" spans="1:7" ht="18" customHeight="1" x14ac:dyDescent="0.3">
      <c r="A23" s="20" t="s">
        <v>37</v>
      </c>
      <c r="B23" s="21" t="s">
        <v>59</v>
      </c>
      <c r="C23" s="22">
        <v>55880000</v>
      </c>
      <c r="D23" s="22">
        <v>55880000</v>
      </c>
      <c r="E23" s="23">
        <v>0</v>
      </c>
      <c r="F23" s="20" t="s">
        <v>51</v>
      </c>
      <c r="G23" s="24" t="s">
        <v>52</v>
      </c>
    </row>
    <row r="24" spans="1:7" ht="21.95" customHeight="1" x14ac:dyDescent="0.3">
      <c r="A24" s="2" t="s">
        <v>60</v>
      </c>
      <c r="B24" s="3" t="s">
        <v>61</v>
      </c>
      <c r="C24" s="4">
        <v>434310955</v>
      </c>
      <c r="D24" s="4">
        <v>377101722</v>
      </c>
      <c r="E24" s="5">
        <v>57209233</v>
      </c>
      <c r="F24" s="6" t="s">
        <v>62</v>
      </c>
      <c r="G24" s="7" t="s">
        <v>63</v>
      </c>
    </row>
    <row r="25" spans="1:7" ht="21.95" customHeight="1" x14ac:dyDescent="0.3">
      <c r="A25" s="2" t="s">
        <v>64</v>
      </c>
      <c r="B25" s="3"/>
      <c r="C25" s="4"/>
      <c r="D25" s="4"/>
      <c r="E25" s="5"/>
      <c r="F25" s="6"/>
      <c r="G25" s="7"/>
    </row>
    <row r="26" spans="1:7" ht="18" customHeight="1" x14ac:dyDescent="0.3">
      <c r="A26" s="8" t="s">
        <v>65</v>
      </c>
      <c r="B26" s="9" t="s">
        <v>66</v>
      </c>
      <c r="C26" s="10">
        <v>142497907</v>
      </c>
      <c r="D26" s="10">
        <v>46325260</v>
      </c>
      <c r="E26" s="11">
        <v>96172647</v>
      </c>
      <c r="F26" s="12" t="s">
        <v>67</v>
      </c>
      <c r="G26" s="26" t="s">
        <v>68</v>
      </c>
    </row>
    <row r="27" spans="1:7" ht="21.95" customHeight="1" x14ac:dyDescent="0.3">
      <c r="A27" s="14" t="s">
        <v>65</v>
      </c>
      <c r="B27" s="15" t="s">
        <v>69</v>
      </c>
      <c r="C27" s="16">
        <v>115132661</v>
      </c>
      <c r="D27" s="16">
        <v>0</v>
      </c>
      <c r="E27" s="17">
        <v>115132661</v>
      </c>
      <c r="F27" s="18"/>
      <c r="G27" s="19" t="s">
        <v>70</v>
      </c>
    </row>
    <row r="28" spans="1:7" ht="18" customHeight="1" x14ac:dyDescent="0.3">
      <c r="A28" s="20" t="s">
        <v>65</v>
      </c>
      <c r="B28" s="21" t="s">
        <v>71</v>
      </c>
      <c r="C28" s="49">
        <v>12308620</v>
      </c>
      <c r="D28" s="22">
        <v>9793580</v>
      </c>
      <c r="E28" s="23">
        <v>2515040</v>
      </c>
      <c r="F28" s="20" t="s">
        <v>72</v>
      </c>
      <c r="G28" s="24" t="s">
        <v>73</v>
      </c>
    </row>
    <row r="29" spans="1:7" ht="21.95" customHeight="1" x14ac:dyDescent="0.3">
      <c r="A29" s="14" t="s">
        <v>65</v>
      </c>
      <c r="B29" s="15" t="s">
        <v>74</v>
      </c>
      <c r="C29" s="50">
        <v>8127829</v>
      </c>
      <c r="D29" s="16">
        <v>29682100</v>
      </c>
      <c r="E29" s="17">
        <v>-21554271</v>
      </c>
      <c r="F29" s="18" t="s">
        <v>75</v>
      </c>
      <c r="G29" s="19" t="s">
        <v>76</v>
      </c>
    </row>
    <row r="30" spans="1:7" ht="21.95" customHeight="1" x14ac:dyDescent="0.3">
      <c r="A30" s="14" t="s">
        <v>65</v>
      </c>
      <c r="B30" s="15" t="s">
        <v>77</v>
      </c>
      <c r="C30" s="50">
        <v>6861940</v>
      </c>
      <c r="D30" s="16">
        <v>255330</v>
      </c>
      <c r="E30" s="17">
        <v>6606610</v>
      </c>
      <c r="F30" s="18" t="s">
        <v>78</v>
      </c>
      <c r="G30" s="19" t="s">
        <v>79</v>
      </c>
    </row>
    <row r="31" spans="1:7" ht="21.95" customHeight="1" x14ac:dyDescent="0.3">
      <c r="A31" s="14" t="s">
        <v>65</v>
      </c>
      <c r="B31" s="15" t="s">
        <v>80</v>
      </c>
      <c r="C31" s="50">
        <v>0</v>
      </c>
      <c r="D31" s="50">
        <v>3704250</v>
      </c>
      <c r="E31" s="17">
        <v>-3704250</v>
      </c>
      <c r="F31" s="18" t="s">
        <v>27</v>
      </c>
      <c r="G31" s="19" t="s">
        <v>81</v>
      </c>
    </row>
    <row r="32" spans="1:7" ht="18" customHeight="1" x14ac:dyDescent="0.3">
      <c r="A32" s="20" t="s">
        <v>65</v>
      </c>
      <c r="B32" s="21" t="s">
        <v>82</v>
      </c>
      <c r="C32" s="49">
        <v>66857</v>
      </c>
      <c r="D32" s="22">
        <v>2890000</v>
      </c>
      <c r="E32" s="23">
        <v>-2823143</v>
      </c>
      <c r="F32" s="20" t="s">
        <v>83</v>
      </c>
      <c r="G32" s="24" t="s">
        <v>84</v>
      </c>
    </row>
    <row r="33" spans="1:7" ht="18" customHeight="1" x14ac:dyDescent="0.3">
      <c r="A33" s="20" t="s">
        <v>65</v>
      </c>
      <c r="B33" s="21" t="s">
        <v>85</v>
      </c>
      <c r="C33" s="22">
        <v>0</v>
      </c>
      <c r="D33" s="22">
        <v>0</v>
      </c>
      <c r="E33" s="23">
        <v>0</v>
      </c>
      <c r="F33" s="20"/>
      <c r="G33" s="24" t="s">
        <v>86</v>
      </c>
    </row>
    <row r="34" spans="1:7" ht="18" customHeight="1" x14ac:dyDescent="0.3">
      <c r="A34" s="8" t="s">
        <v>87</v>
      </c>
      <c r="B34" s="9" t="s">
        <v>88</v>
      </c>
      <c r="C34" s="10">
        <v>49543813</v>
      </c>
      <c r="D34" s="10">
        <v>176281628</v>
      </c>
      <c r="E34" s="11">
        <v>-126737815</v>
      </c>
      <c r="F34" s="12" t="s">
        <v>89</v>
      </c>
      <c r="G34" s="26" t="s">
        <v>90</v>
      </c>
    </row>
    <row r="35" spans="1:7" ht="21.95" customHeight="1" x14ac:dyDescent="0.3">
      <c r="A35" s="14" t="s">
        <v>87</v>
      </c>
      <c r="B35" s="15" t="s">
        <v>91</v>
      </c>
      <c r="C35" s="50">
        <v>49543813</v>
      </c>
      <c r="D35" s="16">
        <v>64330216</v>
      </c>
      <c r="E35" s="17">
        <v>-14786403</v>
      </c>
      <c r="F35" s="18" t="s">
        <v>92</v>
      </c>
      <c r="G35" s="19" t="s">
        <v>93</v>
      </c>
    </row>
    <row r="36" spans="1:7" ht="21.95" customHeight="1" x14ac:dyDescent="0.3">
      <c r="A36" s="14" t="s">
        <v>87</v>
      </c>
      <c r="B36" s="15" t="s">
        <v>94</v>
      </c>
      <c r="C36" s="16">
        <v>0</v>
      </c>
      <c r="D36" s="50">
        <v>111951412</v>
      </c>
      <c r="E36" s="17">
        <v>-111951412</v>
      </c>
      <c r="F36" s="18" t="s">
        <v>27</v>
      </c>
      <c r="G36" s="19" t="s">
        <v>95</v>
      </c>
    </row>
    <row r="37" spans="1:7" ht="21.95" customHeight="1" x14ac:dyDescent="0.3">
      <c r="A37" s="2" t="s">
        <v>96</v>
      </c>
      <c r="B37" s="3" t="s">
        <v>97</v>
      </c>
      <c r="C37" s="4">
        <v>192041720</v>
      </c>
      <c r="D37" s="4">
        <v>222606888</v>
      </c>
      <c r="E37" s="5">
        <v>-30565168</v>
      </c>
      <c r="F37" s="6" t="s">
        <v>98</v>
      </c>
      <c r="G37" s="7" t="s">
        <v>99</v>
      </c>
    </row>
    <row r="38" spans="1:7" ht="21.95" customHeight="1" x14ac:dyDescent="0.3">
      <c r="A38" s="2" t="s">
        <v>100</v>
      </c>
      <c r="B38" s="3"/>
      <c r="C38" s="4"/>
      <c r="D38" s="4"/>
      <c r="E38" s="5"/>
      <c r="F38" s="6"/>
      <c r="G38" s="7"/>
    </row>
    <row r="39" spans="1:7" ht="18" customHeight="1" x14ac:dyDescent="0.3">
      <c r="A39" s="20" t="s">
        <v>101</v>
      </c>
      <c r="B39" s="21" t="s">
        <v>102</v>
      </c>
      <c r="C39" s="22">
        <v>100000000</v>
      </c>
      <c r="D39" s="22">
        <v>100000000</v>
      </c>
      <c r="E39" s="23">
        <v>0</v>
      </c>
      <c r="F39" s="20" t="s">
        <v>51</v>
      </c>
      <c r="G39" s="24" t="s">
        <v>52</v>
      </c>
    </row>
    <row r="40" spans="1:7" ht="18" customHeight="1" x14ac:dyDescent="0.3">
      <c r="A40" s="20" t="s">
        <v>101</v>
      </c>
      <c r="B40" s="21" t="s">
        <v>103</v>
      </c>
      <c r="C40" s="22">
        <v>0</v>
      </c>
      <c r="D40" s="22">
        <v>0</v>
      </c>
      <c r="E40" s="23">
        <v>0</v>
      </c>
      <c r="F40" s="20"/>
      <c r="G40" s="24" t="s">
        <v>104</v>
      </c>
    </row>
    <row r="41" spans="1:7" ht="21.95" customHeight="1" x14ac:dyDescent="0.3">
      <c r="A41" s="14" t="s">
        <v>101</v>
      </c>
      <c r="B41" s="15" t="s">
        <v>105</v>
      </c>
      <c r="C41" s="16">
        <v>142331135</v>
      </c>
      <c r="D41" s="16">
        <v>54494834</v>
      </c>
      <c r="E41" s="17">
        <v>87836301</v>
      </c>
      <c r="F41" s="18" t="s">
        <v>106</v>
      </c>
      <c r="G41" s="19" t="s">
        <v>107</v>
      </c>
    </row>
    <row r="42" spans="1:7" ht="21.95" customHeight="1" x14ac:dyDescent="0.3">
      <c r="A42" s="14" t="s">
        <v>101</v>
      </c>
      <c r="B42" s="15" t="s">
        <v>108</v>
      </c>
      <c r="C42" s="16">
        <v>-56703216</v>
      </c>
      <c r="D42" s="16">
        <v>-144539517</v>
      </c>
      <c r="E42" s="17">
        <v>87836301</v>
      </c>
      <c r="F42" s="18" t="s">
        <v>109</v>
      </c>
      <c r="G42" s="19" t="s">
        <v>110</v>
      </c>
    </row>
    <row r="43" spans="1:7" ht="21.95" customHeight="1" x14ac:dyDescent="0.3">
      <c r="A43" s="2" t="s">
        <v>111</v>
      </c>
      <c r="B43" s="3" t="s">
        <v>112</v>
      </c>
      <c r="C43" s="4">
        <v>242331135</v>
      </c>
      <c r="D43" s="4">
        <v>154494834</v>
      </c>
      <c r="E43" s="5">
        <v>87836301</v>
      </c>
      <c r="F43" s="6" t="s">
        <v>113</v>
      </c>
      <c r="G43" s="7" t="s">
        <v>114</v>
      </c>
    </row>
    <row r="44" spans="1:7" ht="21.95" customHeight="1" x14ac:dyDescent="0.3">
      <c r="A44" s="2" t="s">
        <v>115</v>
      </c>
      <c r="B44" s="3" t="s">
        <v>116</v>
      </c>
      <c r="C44" s="4">
        <v>434372855</v>
      </c>
      <c r="D44" s="4">
        <v>377101722</v>
      </c>
      <c r="E44" s="5">
        <v>57271133</v>
      </c>
      <c r="F44" s="6" t="s">
        <v>62</v>
      </c>
      <c r="G44" s="7" t="s">
        <v>117</v>
      </c>
    </row>
    <row r="46" spans="1:7" x14ac:dyDescent="0.3">
      <c r="A46" s="27" t="s">
        <v>118</v>
      </c>
      <c r="B46" s="28" t="s">
        <v>119</v>
      </c>
      <c r="C46" s="29"/>
      <c r="D46" s="28" t="s">
        <v>120</v>
      </c>
      <c r="E46" s="30"/>
      <c r="F46" s="28" t="s">
        <v>121</v>
      </c>
      <c r="G46" s="31"/>
    </row>
  </sheetData>
  <mergeCells count="2">
    <mergeCell ref="A2:G2"/>
    <mergeCell ref="A1:G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재무상태표 차이분석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2026-04-20T05:01:22Z</dcterms:created>
  <dcterms:modified xsi:type="dcterms:W3CDTF">2026-04-20T08:44:57Z</dcterms:modified>
</cp:coreProperties>
</file>