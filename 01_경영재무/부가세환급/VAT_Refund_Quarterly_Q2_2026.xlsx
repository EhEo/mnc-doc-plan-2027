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Dashboard" sheetId="1" state="visible" r:id="rId3"/>
    <sheet name="2.Schedule" sheetId="2" state="visible" r:id="rId4"/>
    <sheet name="3.Document_Checklist" sheetId="3" state="visible" r:id="rId5"/>
    <sheet name="4.Supplier_Verification" sheetId="4" state="visible" r:id="rId6"/>
    <sheet name="5.AP_Aging" sheetId="5" state="visible" r:id="rId7"/>
    <sheet name="6.Risk_Filtering" sheetId="6" state="visible" r:id="rId8"/>
    <sheet name="7.Audit_Readines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<sst xmlns="http://schemas.openxmlformats.org/spreadsheetml/2006/main" count="245" uniqueCount="176">
  <si>
    <r>
      <rPr>
        <b val="true"/>
        <sz val="16"/>
        <color rgb="FFFFFFFF"/>
        <rFont val="DejaVu Sans"/>
        <family val="2"/>
      </rPr>
      <t xml:space="preserve">베트남 부가세</t>
    </r>
    <r>
      <rPr>
        <b val="true"/>
        <sz val="16"/>
        <color rgb="FFFFFFFF"/>
        <rFont val="DejaVu Sans"/>
        <family val="2"/>
        <charset val="1"/>
      </rPr>
      <t xml:space="preserve">(VAT) </t>
    </r>
    <r>
      <rPr>
        <b val="true"/>
        <sz val="16"/>
        <color rgb="FFFFFFFF"/>
        <rFont val="DejaVu Sans"/>
        <family val="2"/>
      </rPr>
      <t xml:space="preserve">환급 분기 점검 워크북 — </t>
    </r>
    <r>
      <rPr>
        <b val="true"/>
        <sz val="16"/>
        <color rgb="FFFFFFFF"/>
        <rFont val="DejaVu Sans"/>
        <family val="2"/>
        <charset val="1"/>
      </rPr>
      <t xml:space="preserve">2026</t>
    </r>
    <r>
      <rPr>
        <b val="true"/>
        <sz val="16"/>
        <color rgb="FFFFFFFF"/>
        <rFont val="DejaVu Sans"/>
        <family val="2"/>
      </rPr>
      <t xml:space="preserve">년 </t>
    </r>
    <r>
      <rPr>
        <b val="true"/>
        <sz val="16"/>
        <color rgb="FFFFFFFF"/>
        <rFont val="DejaVu Sans"/>
        <family val="2"/>
        <charset val="1"/>
      </rPr>
      <t xml:space="preserve">2</t>
    </r>
    <r>
      <rPr>
        <b val="true"/>
        <sz val="16"/>
        <color rgb="FFFFFFFF"/>
        <rFont val="DejaVu Sans"/>
        <family val="2"/>
      </rPr>
      <t xml:space="preserve">분기</t>
    </r>
  </si>
  <si>
    <r>
      <rPr>
        <b val="true"/>
        <sz val="11"/>
        <rFont val="DejaVu Sans"/>
        <family val="2"/>
      </rPr>
      <t xml:space="preserve">분기말 기준일</t>
    </r>
    <r>
      <rPr>
        <b val="true"/>
        <sz val="11"/>
        <rFont val="DejaVu Sans"/>
        <family val="2"/>
        <charset val="1"/>
      </rPr>
      <t xml:space="preserve">(T) : 2026-06-30   |   </t>
    </r>
    <r>
      <rPr>
        <b val="true"/>
        <sz val="11"/>
        <rFont val="DejaVu Sans"/>
        <family val="2"/>
      </rPr>
      <t xml:space="preserve">작성일 </t>
    </r>
    <r>
      <rPr>
        <b val="true"/>
        <sz val="11"/>
        <rFont val="DejaVu Sans"/>
        <family val="2"/>
        <charset val="1"/>
      </rPr>
      <t xml:space="preserve">: 2026-04-24   |   </t>
    </r>
    <r>
      <rPr>
        <b val="true"/>
        <sz val="11"/>
        <rFont val="DejaVu Sans"/>
        <family val="2"/>
      </rPr>
      <t xml:space="preserve">대상 </t>
    </r>
    <r>
      <rPr>
        <b val="true"/>
        <sz val="11"/>
        <rFont val="DejaVu Sans"/>
        <family val="2"/>
        <charset val="1"/>
      </rPr>
      <t xml:space="preserve">: </t>
    </r>
    <r>
      <rPr>
        <b val="true"/>
        <sz val="11"/>
        <rFont val="DejaVu Sans"/>
        <family val="2"/>
      </rPr>
      <t xml:space="preserve">베트남 법인</t>
    </r>
  </si>
  <si>
    <r>
      <rPr>
        <b val="true"/>
        <sz val="12"/>
        <color rgb="FFFFFFFF"/>
        <rFont val="DejaVu Sans"/>
        <family val="2"/>
      </rPr>
      <t xml:space="preserve">사전 점검</t>
    </r>
    <r>
      <rPr>
        <b val="true"/>
        <sz val="12"/>
        <color rgb="FFFFFFFF"/>
        <rFont val="DejaVu Sans"/>
        <family val="2"/>
        <charset val="1"/>
      </rPr>
      <t xml:space="preserve">(T-15)</t>
    </r>
  </si>
  <si>
    <t xml:space="preserve">2026-06-15</t>
  </si>
  <si>
    <r>
      <rPr>
        <b val="true"/>
        <sz val="12"/>
        <color rgb="FFFFFFFF"/>
        <rFont val="DejaVu Sans"/>
        <family val="2"/>
      </rPr>
      <t xml:space="preserve">신고 마감</t>
    </r>
    <r>
      <rPr>
        <b val="true"/>
        <sz val="12"/>
        <color rgb="FFFFFFFF"/>
        <rFont val="DejaVu Sans"/>
        <family val="2"/>
        <charset val="1"/>
      </rPr>
      <t xml:space="preserve">(T+20)</t>
    </r>
  </si>
  <si>
    <t xml:space="preserve">2026-07-20</t>
  </si>
  <si>
    <r>
      <rPr>
        <b val="true"/>
        <sz val="12"/>
        <color rgb="FFFFFFFF"/>
        <rFont val="DejaVu Sans"/>
        <family val="2"/>
      </rPr>
      <t xml:space="preserve">환급 신청</t>
    </r>
    <r>
      <rPr>
        <b val="true"/>
        <sz val="12"/>
        <color rgb="FFFFFFFF"/>
        <rFont val="DejaVu Sans"/>
        <family val="2"/>
        <charset val="1"/>
      </rPr>
      <t xml:space="preserve">(01/ĐNHT)</t>
    </r>
  </si>
  <si>
    <t xml:space="preserve">분기 진척도 요약</t>
  </si>
  <si>
    <t xml:space="preserve">전체 항목 수</t>
  </si>
  <si>
    <r>
      <rPr>
        <b val="true"/>
        <sz val="12"/>
        <color rgb="FFFFFFFF"/>
        <rFont val="Arial"/>
        <family val="0"/>
        <charset val="1"/>
      </rPr>
      <t xml:space="preserve">VAT </t>
    </r>
    <r>
      <rPr>
        <b val="true"/>
        <sz val="12"/>
        <color rgb="FFFFFFFF"/>
        <rFont val="DejaVu Sans"/>
        <family val="2"/>
      </rPr>
      <t xml:space="preserve">환급 요건 판정</t>
    </r>
  </si>
  <si>
    <r>
      <rPr>
        <b val="true"/>
        <sz val="11"/>
        <rFont val="DejaVu Sans"/>
        <family val="2"/>
      </rPr>
      <t xml:space="preserve">누적 매입세액</t>
    </r>
    <r>
      <rPr>
        <b val="true"/>
        <sz val="11"/>
        <rFont val="DejaVu Sans"/>
        <family val="2"/>
        <charset val="1"/>
      </rPr>
      <t xml:space="preserve">(VND)</t>
    </r>
  </si>
  <si>
    <r>
      <rPr>
        <b val="true"/>
        <sz val="11"/>
        <rFont val="DejaVu Sans"/>
        <family val="2"/>
      </rPr>
      <t xml:space="preserve">누적 매출세액</t>
    </r>
    <r>
      <rPr>
        <b val="true"/>
        <sz val="11"/>
        <rFont val="DejaVu Sans"/>
        <family val="2"/>
        <charset val="1"/>
      </rPr>
      <t xml:space="preserve">(VND)</t>
    </r>
  </si>
  <si>
    <r>
      <rPr>
        <b val="true"/>
        <sz val="11"/>
        <rFont val="DejaVu Sans"/>
        <family val="2"/>
      </rPr>
      <t xml:space="preserve">초과 매입세액 </t>
    </r>
    <r>
      <rPr>
        <b val="true"/>
        <sz val="11"/>
        <rFont val="DejaVu Sans"/>
        <family val="2"/>
        <charset val="1"/>
      </rPr>
      <t xml:space="preserve">(=</t>
    </r>
    <r>
      <rPr>
        <b val="true"/>
        <sz val="11"/>
        <rFont val="DejaVu Sans"/>
        <family val="2"/>
      </rPr>
      <t xml:space="preserve">환급 가능 잔액</t>
    </r>
    <r>
      <rPr>
        <b val="true"/>
        <sz val="11"/>
        <rFont val="DejaVu Sans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</si>
  <si>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환급 요건</t>
    </r>
    <r>
      <rPr>
        <b val="true"/>
        <sz val="11"/>
        <rFont val="DejaVu Sans"/>
        <family val="2"/>
        <charset val="1"/>
      </rPr>
      <t xml:space="preserve">(3</t>
    </r>
    <r>
      <rPr>
        <b val="true"/>
        <sz val="11"/>
        <rFont val="DejaVu Sans"/>
        <family val="2"/>
      </rPr>
      <t xml:space="preserve">억 </t>
    </r>
    <r>
      <rPr>
        <b val="true"/>
        <sz val="11"/>
        <rFont val="DejaVu Sans"/>
        <family val="2"/>
        <charset val="1"/>
      </rPr>
      <t xml:space="preserve">VND </t>
    </r>
    <r>
      <rPr>
        <b val="true"/>
        <sz val="11"/>
        <rFont val="DejaVu Sans"/>
        <family val="2"/>
      </rPr>
      <t xml:space="preserve">이상</t>
    </r>
    <r>
      <rPr>
        <b val="true"/>
        <sz val="11"/>
        <rFont val="DejaVu Sans"/>
        <family val="2"/>
        <charset val="1"/>
      </rPr>
      <t xml:space="preserve">) </t>
    </r>
    <r>
      <rPr>
        <b val="true"/>
        <sz val="11"/>
        <rFont val="DejaVu Sans"/>
        <family val="2"/>
      </rPr>
      <t xml:space="preserve">충족여부</t>
    </r>
  </si>
  <si>
    <t xml:space="preserve">사용 안내</t>
  </si>
  <si>
    <r>
      <rPr>
        <i val="true"/>
        <sz val="9"/>
        <color rgb="FF555555"/>
        <rFont val="Arial"/>
        <family val="0"/>
        <charset val="1"/>
      </rPr>
      <t xml:space="preserve">1) </t>
    </r>
    <r>
      <rPr>
        <i val="true"/>
        <sz val="9"/>
        <color rgb="FF555555"/>
        <rFont val="DejaVu Sans"/>
        <family val="2"/>
      </rPr>
      <t xml:space="preserve">파란색</t>
    </r>
    <r>
      <rPr>
        <i val="true"/>
        <sz val="9"/>
        <color rgb="FF555555"/>
        <rFont val="Arial"/>
        <family val="0"/>
        <charset val="1"/>
      </rPr>
      <t xml:space="preserve">(0000FF)</t>
    </r>
    <r>
      <rPr>
        <i val="true"/>
        <sz val="9"/>
        <color rgb="FF555555"/>
        <rFont val="DejaVu Sans"/>
        <family val="2"/>
      </rPr>
      <t xml:space="preserve">으로 표시된 셀은 입력값입니다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매월 갱신하십시오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</si>
  <si>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Arial"/>
        <family val="0"/>
        <charset val="1"/>
      </rPr>
      <t xml:space="preserve">2) </t>
    </r>
    <r>
      <rPr>
        <i val="true"/>
        <sz val="9"/>
        <color rgb="FF555555"/>
        <rFont val="DejaVu Sans"/>
        <family val="2"/>
      </rPr>
      <t xml:space="preserve">각 시트는 </t>
    </r>
    <r>
      <rPr>
        <i val="true"/>
        <sz val="9"/>
        <color rgb="FF555555"/>
        <rFont val="Arial"/>
        <family val="0"/>
        <charset val="1"/>
      </rPr>
      <t xml:space="preserve">SKILL.md</t>
    </r>
    <r>
      <rPr>
        <i val="true"/>
        <sz val="9"/>
        <color rgb="FF555555"/>
        <rFont val="DejaVu Sans"/>
        <family val="2"/>
      </rPr>
      <t xml:space="preserve">의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DejaVu Sans"/>
        <family val="2"/>
      </rPr>
      <t xml:space="preserve">사전 준비 체크리스트</t>
    </r>
    <r>
      <rPr>
        <i val="true"/>
        <sz val="9"/>
        <color rgb="FF555555"/>
        <rFont val="Arial"/>
        <family val="0"/>
        <charset val="1"/>
      </rPr>
      <t xml:space="preserve">(①~④)' </t>
    </r>
    <r>
      <rPr>
        <i val="true"/>
        <sz val="9"/>
        <color rgb="FF555555"/>
        <rFont val="DejaVu Sans"/>
        <family val="2"/>
      </rPr>
      <t xml:space="preserve">와 </t>
    </r>
    <r>
      <rPr>
        <i val="true"/>
        <sz val="9"/>
        <color rgb="FF555555"/>
        <rFont val="Arial"/>
        <family val="0"/>
        <charset val="1"/>
      </rPr>
      <t xml:space="preserve">1:1</t>
    </r>
    <r>
      <rPr>
        <i val="true"/>
        <sz val="9"/>
        <color rgb="FF555555"/>
        <rFont val="DejaVu Sans"/>
        <family val="2"/>
      </rPr>
      <t xml:space="preserve">로 대응됩니다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</si>
  <si>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Arial"/>
        <family val="0"/>
        <charset val="1"/>
      </rPr>
      <t xml:space="preserve">3) Schedule </t>
    </r>
    <r>
      <rPr>
        <i val="true"/>
        <sz val="9"/>
        <color rgb="FF555555"/>
        <rFont val="DejaVu Sans"/>
        <family val="2"/>
      </rPr>
      <t xml:space="preserve">탭의 상태</t>
    </r>
    <r>
      <rPr>
        <i val="true"/>
        <sz val="9"/>
        <color rgb="FF555555"/>
        <rFont val="Arial"/>
        <family val="0"/>
        <charset val="1"/>
      </rPr>
      <t xml:space="preserve">(H</t>
    </r>
    <r>
      <rPr>
        <i val="true"/>
        <sz val="9"/>
        <color rgb="FF555555"/>
        <rFont val="DejaVu Sans"/>
        <family val="2"/>
      </rPr>
      <t xml:space="preserve">열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DejaVu Sans"/>
        <family val="2"/>
      </rPr>
      <t xml:space="preserve">를 갱신하면 </t>
    </r>
    <r>
      <rPr>
        <i val="true"/>
        <sz val="9"/>
        <color rgb="FF555555"/>
        <rFont val="Arial"/>
        <family val="0"/>
        <charset val="1"/>
      </rPr>
      <t xml:space="preserve">Dashboard </t>
    </r>
    <r>
      <rPr>
        <i val="true"/>
        <sz val="9"/>
        <color rgb="FF555555"/>
        <rFont val="DejaVu Sans"/>
        <family val="2"/>
      </rPr>
      <t xml:space="preserve">진척도가 자동 반영됩니다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</si>
  <si>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Arial"/>
        <family val="0"/>
        <charset val="1"/>
      </rPr>
      <t xml:space="preserve">4) 6</t>
    </r>
    <r>
      <rPr>
        <i val="true"/>
        <sz val="9"/>
        <color rgb="FF555555"/>
        <rFont val="DejaVu Sans"/>
        <family val="2"/>
      </rPr>
      <t xml:space="preserve">개월 이상 미지급 채무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시트 </t>
    </r>
    <r>
      <rPr>
        <i val="true"/>
        <sz val="9"/>
        <color rgb="FF555555"/>
        <rFont val="Arial"/>
        <family val="0"/>
        <charset val="1"/>
      </rPr>
      <t xml:space="preserve">5)</t>
    </r>
    <r>
      <rPr>
        <i val="true"/>
        <sz val="9"/>
        <color rgb="FF555555"/>
        <rFont val="DejaVu Sans"/>
        <family val="2"/>
      </rPr>
      <t xml:space="preserve">는 환급 거부 사유가 되므로 공급상 확인서를 사전 징구하십시오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</si>
  <si>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Arial"/>
        <family val="0"/>
        <charset val="1"/>
      </rPr>
      <t xml:space="preserve">5) </t>
    </r>
    <r>
      <rPr>
        <i val="true"/>
        <sz val="9"/>
        <color rgb="FF555555"/>
        <rFont val="DejaVu Sans"/>
        <family val="2"/>
      </rPr>
      <t xml:space="preserve">위험 공급사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시트 </t>
    </r>
    <r>
      <rPr>
        <i val="true"/>
        <sz val="9"/>
        <color rgb="FF555555"/>
        <rFont val="Arial"/>
        <family val="0"/>
        <charset val="1"/>
      </rPr>
      <t xml:space="preserve">6)</t>
    </r>
    <r>
      <rPr>
        <i val="true"/>
        <sz val="9"/>
        <color rgb="FF555555"/>
        <rFont val="DejaVu Sans"/>
        <family val="2"/>
      </rPr>
      <t xml:space="preserve">에 해당될 경우 환급 대상에서 제외하거나 즉시 소명자료를 준비하십시오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</si>
  <si>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6"/>
        <color rgb="FFFFFFFF"/>
        <rFont val="DejaVu Sans"/>
        <family val="2"/>
      </rPr>
      <t xml:space="preserve">분기별 환급 업무 프로세스 및 스케줄 </t>
    </r>
    <r>
      <rPr>
        <b val="true"/>
        <sz val="16"/>
        <color rgb="FFFFFFFF"/>
        <rFont val="DejaVu Sans"/>
        <family val="2"/>
        <charset val="1"/>
      </rPr>
      <t xml:space="preserve">(Q2 2026)</t>
    </r>
  </si>
  <si>
    <t xml:space="preserve">No.</t>
  </si>
  <si>
    <t xml:space="preserve">단계</t>
  </si>
  <si>
    <r>
      <rPr>
        <b val="true"/>
        <sz val="12"/>
        <color rgb="FFFFFFFF"/>
        <rFont val="DejaVu Sans"/>
        <family val="2"/>
      </rPr>
      <t xml:space="preserve">기준일자</t>
    </r>
    <r>
      <rPr>
        <b val="true"/>
        <sz val="12"/>
        <color rgb="FFFFFFFF"/>
        <rFont val="DejaVu Sans"/>
        <family val="2"/>
        <charset val="1"/>
      </rPr>
      <t xml:space="preserve">(Offset)</t>
    </r>
  </si>
  <si>
    <t xml:space="preserve">실제 일자</t>
  </si>
  <si>
    <t xml:space="preserve">주요 활동</t>
  </si>
  <si>
    <t xml:space="preserve">산출물</t>
  </si>
  <si>
    <t xml:space="preserve">담당</t>
  </si>
  <si>
    <t xml:space="preserve">상태</t>
  </si>
  <si>
    <t xml:space="preserve">비고</t>
  </si>
  <si>
    <t xml:space="preserve">사전 점검</t>
  </si>
  <si>
    <r>
      <rPr>
        <sz val="10"/>
        <rFont val="Arial"/>
        <family val="0"/>
        <charset val="1"/>
      </rPr>
      <t xml:space="preserve">T-15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</si>
  <si>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공급업체 세무 상태 전수 조사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폐업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블랙리스트 여부</t>
    </r>
    <r>
      <rPr>
        <sz val="10"/>
        <rFont val="DejaVu Sans"/>
        <family val="2"/>
        <charset val="1"/>
      </rPr>
      <t xml:space="preserve">)</t>
    </r>
  </si>
  <si>
    <t xml:space="preserve">공급사 적격성 검토표</t>
  </si>
  <si>
    <t xml:space="preserve">회계팀</t>
  </si>
  <si>
    <t xml:space="preserve">미진행</t>
  </si>
  <si>
    <t xml:space="preserve">자료 수집</t>
  </si>
  <si>
    <r>
      <rPr>
        <sz val="10"/>
        <rFont val="Arial"/>
        <family val="0"/>
        <charset val="1"/>
      </rPr>
      <t xml:space="preserve">T-5</t>
    </r>
    <r>
      <rPr>
        <sz val="10"/>
        <rFont val="DejaVu Sans"/>
        <family val="2"/>
      </rPr>
      <t xml:space="preserve">일</t>
    </r>
  </si>
  <si>
    <t xml:space="preserve">2026-06-25</t>
  </si>
  <si>
    <r>
      <rPr>
        <sz val="10"/>
        <rFont val="DejaVu Sans"/>
        <family val="2"/>
      </rPr>
      <t xml:space="preserve">당월 매입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매출 </t>
    </r>
    <r>
      <rPr>
        <sz val="10"/>
        <rFont val="DejaVu Sans"/>
        <family val="2"/>
        <charset val="1"/>
      </rPr>
      <t xml:space="preserve">E-Invoice </t>
    </r>
    <r>
      <rPr>
        <sz val="10"/>
        <rFont val="DejaVu Sans"/>
        <family val="2"/>
      </rPr>
      <t xml:space="preserve">및 은행 송금증 취합 완료</t>
    </r>
  </si>
  <si>
    <t xml:space="preserve">인보이스 일람</t>
  </si>
  <si>
    <r>
      <rPr>
        <sz val="10"/>
        <rFont val="Arial"/>
        <family val="0"/>
        <charset val="1"/>
      </rPr>
      <t xml:space="preserve">2,000</t>
    </r>
    <r>
      <rPr>
        <sz val="10"/>
        <rFont val="DejaVu Sans"/>
        <family val="2"/>
      </rPr>
      <t xml:space="preserve">만 동 이상은 반드시 송금 영수증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</si>
  <si>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 대조</t>
    </r>
  </si>
  <si>
    <r>
      <rPr>
        <sz val="10"/>
        <rFont val="Arial"/>
        <family val="0"/>
        <charset val="1"/>
      </rPr>
      <t xml:space="preserve">T+5</t>
    </r>
    <r>
      <rPr>
        <sz val="10"/>
        <rFont val="DejaVu Sans"/>
        <family val="2"/>
      </rPr>
      <t xml:space="preserve">일</t>
    </r>
  </si>
  <si>
    <t xml:space="preserve">2026-07-05</t>
  </si>
  <si>
    <r>
      <rPr>
        <sz val="10"/>
        <rFont val="DejaVu Sans"/>
        <family val="2"/>
      </rPr>
      <t xml:space="preserve">회계 시스템 데이터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세금계산서 총액 일치 확인</t>
    </r>
  </si>
  <si>
    <t xml:space="preserve">대조 조서</t>
  </si>
  <si>
    <t xml:space="preserve">재무팀</t>
  </si>
  <si>
    <r>
      <rPr>
        <sz val="10"/>
        <rFont val="Arial"/>
        <family val="0"/>
        <charset val="1"/>
      </rPr>
      <t xml:space="preserve">HTKK </t>
    </r>
    <r>
      <rPr>
        <sz val="10"/>
        <rFont val="DejaVu Sans"/>
        <family val="2"/>
      </rPr>
      <t xml:space="preserve">입력값과 </t>
    </r>
    <r>
      <rPr>
        <sz val="10"/>
        <rFont val="Arial"/>
        <family val="0"/>
        <charset val="1"/>
      </rPr>
      <t xml:space="preserve">GL </t>
    </r>
    <r>
      <rPr>
        <sz val="10"/>
        <rFont val="DejaVu Sans"/>
        <family val="2"/>
      </rPr>
      <t xml:space="preserve">총계 비교</t>
    </r>
  </si>
  <si>
    <t xml:space="preserve">서류 보완</t>
  </si>
  <si>
    <r>
      <rPr>
        <sz val="10"/>
        <rFont val="Arial"/>
        <family val="0"/>
        <charset val="1"/>
      </rPr>
      <t xml:space="preserve">T+10</t>
    </r>
    <r>
      <rPr>
        <sz val="10"/>
        <rFont val="DejaVu Sans"/>
        <family val="2"/>
      </rPr>
      <t xml:space="preserve">일</t>
    </r>
  </si>
  <si>
    <t xml:space="preserve">2026-07-10</t>
  </si>
  <si>
    <r>
      <rPr>
        <sz val="10"/>
        <rFont val="DejaVu Sans"/>
        <family val="2"/>
      </rPr>
      <t xml:space="preserve">누락 계약서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장기 미지급금 공급상 확인서 징구</t>
    </r>
  </si>
  <si>
    <r>
      <rPr>
        <sz val="10"/>
        <rFont val="DejaVu Sans"/>
        <family val="2"/>
      </rPr>
      <t xml:space="preserve">확인서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계약서</t>
    </r>
  </si>
  <si>
    <r>
      <rPr>
        <sz val="10"/>
        <rFont val="DejaVu Sans"/>
        <family val="2"/>
      </rPr>
      <t xml:space="preserve">구매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외주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</si>
  <si>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개월 이상 </t>
    </r>
    <r>
      <rPr>
        <sz val="10"/>
        <rFont val="Arial"/>
        <family val="0"/>
        <charset val="1"/>
      </rPr>
      <t xml:space="preserve">AP </t>
    </r>
    <r>
      <rPr>
        <sz val="10"/>
        <rFont val="DejaVu Sans"/>
        <family val="2"/>
      </rPr>
      <t xml:space="preserve">우선</t>
    </r>
  </si>
  <si>
    <t xml:space="preserve">신고서 작성</t>
  </si>
  <si>
    <r>
      <rPr>
        <sz val="10"/>
        <rFont val="Arial"/>
        <family val="0"/>
        <charset val="1"/>
      </rPr>
      <t xml:space="preserve">T+15</t>
    </r>
    <r>
      <rPr>
        <sz val="10"/>
        <rFont val="DejaVu Sans"/>
        <family val="2"/>
      </rPr>
      <t xml:space="preserve">일</t>
    </r>
  </si>
  <si>
    <t xml:space="preserve">2026-07-15</t>
  </si>
  <si>
    <r>
      <rPr>
        <sz val="10"/>
        <rFont val="Arial"/>
        <family val="0"/>
        <charset val="1"/>
      </rPr>
      <t xml:space="preserve">HTKK </t>
    </r>
    <r>
      <rPr>
        <sz val="10"/>
        <rFont val="DejaVu Sans"/>
        <family val="2"/>
      </rPr>
      <t xml:space="preserve">프로그램 입력 및 부가세 신고서</t>
    </r>
    <r>
      <rPr>
        <sz val="10"/>
        <rFont val="Arial"/>
        <family val="0"/>
        <charset val="1"/>
      </rPr>
      <t xml:space="preserve">(01/GTGT) </t>
    </r>
    <r>
      <rPr>
        <sz val="10"/>
        <rFont val="DejaVu Sans"/>
        <family val="2"/>
      </rPr>
      <t xml:space="preserve">초안 작성</t>
    </r>
  </si>
  <si>
    <r>
      <rPr>
        <sz val="10"/>
        <rFont val="Arial"/>
        <family val="0"/>
        <charset val="1"/>
      </rPr>
      <t xml:space="preserve">01/GTGT </t>
    </r>
    <r>
      <rPr>
        <sz val="10"/>
        <rFont val="DejaVu Sans"/>
        <family val="2"/>
      </rPr>
      <t xml:space="preserve">초안</t>
    </r>
  </si>
  <si>
    <t xml:space="preserve">최종 승인</t>
  </si>
  <si>
    <r>
      <rPr>
        <sz val="10"/>
        <rFont val="Arial"/>
        <family val="0"/>
        <charset val="1"/>
      </rPr>
      <t xml:space="preserve">T+18</t>
    </r>
    <r>
      <rPr>
        <sz val="10"/>
        <rFont val="DejaVu Sans"/>
        <family val="2"/>
      </rPr>
      <t xml:space="preserve">일</t>
    </r>
  </si>
  <si>
    <t xml:space="preserve">2026-07-18</t>
  </si>
  <si>
    <r>
      <rPr>
        <sz val="10"/>
        <rFont val="Arial"/>
        <family val="0"/>
        <charset val="1"/>
      </rPr>
      <t xml:space="preserve">CFO/</t>
    </r>
    <r>
      <rPr>
        <sz val="10"/>
        <rFont val="DejaVu Sans"/>
        <family val="2"/>
      </rPr>
      <t xml:space="preserve">법인장 최종 검토 및 내부 승인</t>
    </r>
  </si>
  <si>
    <t xml:space="preserve">결재 문서</t>
  </si>
  <si>
    <t xml:space="preserve">경영진</t>
  </si>
  <si>
    <t xml:space="preserve">신고 및 환급</t>
  </si>
  <si>
    <r>
      <rPr>
        <sz val="10"/>
        <rFont val="Arial"/>
        <family val="0"/>
        <charset val="1"/>
      </rPr>
      <t xml:space="preserve">T+20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</si>
  <si>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전자 신고 완료 및 환급 신청서</t>
    </r>
    <r>
      <rPr>
        <sz val="10"/>
        <rFont val="DejaVu Sans"/>
        <family val="2"/>
        <charset val="1"/>
      </rPr>
      <t xml:space="preserve">(01/ĐNHT) </t>
    </r>
    <r>
      <rPr>
        <sz val="10"/>
        <rFont val="DejaVu Sans"/>
        <family val="2"/>
      </rPr>
      <t xml:space="preserve">제출</t>
    </r>
  </si>
  <si>
    <r>
      <rPr>
        <sz val="10"/>
        <rFont val="DejaVu Sans"/>
        <family val="2"/>
      </rPr>
      <t xml:space="preserve">신고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접수증</t>
    </r>
  </si>
  <si>
    <t xml:space="preserve">마감 엄수</t>
  </si>
  <si>
    <t xml:space="preserve">① 환급 기초 자료 준비 — 문서 체크리스트</t>
  </si>
  <si>
    <t xml:space="preserve">구분</t>
  </si>
  <si>
    <t xml:space="preserve">점검 항목</t>
  </si>
  <si>
    <r>
      <rPr>
        <b val="true"/>
        <sz val="12"/>
        <color rgb="FFFFFFFF"/>
        <rFont val="DejaVu Sans"/>
        <family val="2"/>
      </rPr>
      <t xml:space="preserve">근거 규정</t>
    </r>
    <r>
      <rPr>
        <b val="true"/>
        <sz val="12"/>
        <color rgb="FFFFFFFF"/>
        <rFont val="DejaVu Sans"/>
        <family val="2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주의사항</t>
    </r>
  </si>
  <si>
    <t xml:space="preserve">세금계산서</t>
  </si>
  <si>
    <r>
      <rPr>
        <sz val="10"/>
        <rFont val="DejaVu Sans"/>
        <family val="2"/>
      </rPr>
      <t xml:space="preserve">매입 </t>
    </r>
    <r>
      <rPr>
        <sz val="10"/>
        <rFont val="DejaVu Sans"/>
        <family val="2"/>
        <charset val="1"/>
      </rPr>
      <t xml:space="preserve">E-Invoice </t>
    </r>
    <r>
      <rPr>
        <sz val="10"/>
        <rFont val="DejaVu Sans"/>
        <family val="2"/>
      </rPr>
      <t xml:space="preserve">법인명 일치</t>
    </r>
  </si>
  <si>
    <t xml:space="preserve">사업자등록증과 동일</t>
  </si>
  <si>
    <t xml:space="preserve">회계</t>
  </si>
  <si>
    <t xml:space="preserve">미확인</t>
  </si>
  <si>
    <r>
      <rPr>
        <sz val="10"/>
        <rFont val="DejaVu Sans"/>
        <family val="2"/>
      </rPr>
      <t xml:space="preserve">매입 </t>
    </r>
    <r>
      <rPr>
        <sz val="10"/>
        <rFont val="DejaVu Sans"/>
        <family val="2"/>
        <charset val="1"/>
      </rPr>
      <t xml:space="preserve">E-Invoice </t>
    </r>
    <r>
      <rPr>
        <sz val="10"/>
        <rFont val="DejaVu Sans"/>
        <family val="2"/>
      </rPr>
      <t xml:space="preserve">주소 일치</t>
    </r>
  </si>
  <si>
    <r>
      <rPr>
        <sz val="10"/>
        <rFont val="DejaVu Sans"/>
        <family val="2"/>
      </rPr>
      <t xml:space="preserve">매입 </t>
    </r>
    <r>
      <rPr>
        <sz val="10"/>
        <rFont val="DejaVu Sans"/>
        <family val="2"/>
        <charset val="1"/>
      </rPr>
      <t xml:space="preserve">E-Invoice MST(</t>
    </r>
    <r>
      <rPr>
        <sz val="10"/>
        <rFont val="DejaVu Sans"/>
        <family val="2"/>
      </rPr>
      <t xml:space="preserve">세무번호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일치</t>
    </r>
  </si>
  <si>
    <t xml:space="preserve">송금증빙</t>
  </si>
  <si>
    <r>
      <rPr>
        <sz val="10"/>
        <rFont val="Arial"/>
        <family val="0"/>
        <charset val="1"/>
      </rPr>
      <t xml:space="preserve">2,000</t>
    </r>
    <r>
      <rPr>
        <sz val="10"/>
        <rFont val="DejaVu Sans"/>
        <family val="2"/>
      </rPr>
      <t xml:space="preserve">만 </t>
    </r>
    <r>
      <rPr>
        <sz val="10"/>
        <rFont val="Arial"/>
        <family val="0"/>
        <charset val="1"/>
      </rPr>
      <t xml:space="preserve">VND </t>
    </r>
    <r>
      <rPr>
        <sz val="10"/>
        <rFont val="DejaVu Sans"/>
        <family val="2"/>
      </rPr>
      <t xml:space="preserve">이상 거래 — 법인계좌 송금영수증</t>
    </r>
  </si>
  <si>
    <r>
      <rPr>
        <sz val="10"/>
        <rFont val="Arial"/>
        <family val="0"/>
        <charset val="1"/>
      </rPr>
      <t xml:space="preserve">Non-cash payment </t>
    </r>
    <r>
      <rPr>
        <sz val="10"/>
        <rFont val="DejaVu Sans"/>
        <family val="2"/>
      </rPr>
      <t xml:space="preserve">의무</t>
    </r>
  </si>
  <si>
    <t xml:space="preserve">재무</t>
  </si>
  <si>
    <t xml:space="preserve">현금결제 시 매입세액 공제 불가</t>
  </si>
  <si>
    <t xml:space="preserve">수입서류</t>
  </si>
  <si>
    <r>
      <rPr>
        <sz val="10"/>
        <rFont val="DejaVu Sans"/>
        <family val="2"/>
      </rPr>
      <t xml:space="preserve">수입신고필증</t>
    </r>
    <r>
      <rPr>
        <sz val="10"/>
        <rFont val="DejaVu Sans"/>
        <family val="2"/>
        <charset val="1"/>
      </rPr>
      <t xml:space="preserve">(Customs Declaration)</t>
    </r>
  </si>
  <si>
    <r>
      <rPr>
        <sz val="10"/>
        <rFont val="Arial"/>
        <family val="0"/>
        <charset val="1"/>
      </rPr>
      <t xml:space="preserve">HS Code, </t>
    </r>
    <r>
      <rPr>
        <sz val="10"/>
        <rFont val="DejaVu Sans"/>
        <family val="2"/>
      </rPr>
      <t xml:space="preserve">수량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단가 일치</t>
    </r>
  </si>
  <si>
    <t xml:space="preserve">수출입</t>
  </si>
  <si>
    <t xml:space="preserve">수입 부가세 납부 영수증</t>
  </si>
  <si>
    <t xml:space="preserve">납부증빙 원본 보관</t>
  </si>
  <si>
    <r>
      <rPr>
        <sz val="10"/>
        <rFont val="DejaVu Sans"/>
        <family val="2"/>
      </rPr>
      <t xml:space="preserve">운송 서류 일체 </t>
    </r>
    <r>
      <rPr>
        <sz val="10"/>
        <rFont val="DejaVu Sans"/>
        <family val="2"/>
        <charset val="1"/>
      </rPr>
      <t xml:space="preserve">(B/L, AWB, Packing List)</t>
    </r>
  </si>
  <si>
    <t xml:space="preserve">원본 매칭</t>
  </si>
  <si>
    <t xml:space="preserve">계약서</t>
  </si>
  <si>
    <r>
      <rPr>
        <sz val="10"/>
        <rFont val="DejaVu Sans"/>
        <family val="2"/>
      </rPr>
      <t xml:space="preserve">매입 계약서 서명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날인 완비</t>
    </r>
  </si>
  <si>
    <t xml:space="preserve">대표자 또는 대리인 서명</t>
  </si>
  <si>
    <t xml:space="preserve">구매</t>
  </si>
  <si>
    <t xml:space="preserve">검증</t>
  </si>
  <si>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매입대장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회계장부 일치</t>
    </r>
  </si>
  <si>
    <r>
      <rPr>
        <sz val="10"/>
        <rFont val="Arial"/>
        <family val="0"/>
        <charset val="1"/>
      </rPr>
      <t xml:space="preserve">HTKK </t>
    </r>
    <r>
      <rPr>
        <sz val="10"/>
        <rFont val="DejaVu Sans"/>
        <family val="2"/>
      </rPr>
      <t xml:space="preserve">입력값 대조</t>
    </r>
  </si>
  <si>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매출대장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회계장부 일치</t>
    </r>
  </si>
  <si>
    <t xml:space="preserve">총 점검 항목</t>
  </si>
  <si>
    <t xml:space="preserve">확인 완료</t>
  </si>
  <si>
    <r>
      <rPr>
        <b val="true"/>
        <sz val="11"/>
        <rFont val="DejaVu Sans"/>
        <family val="2"/>
      </rPr>
      <t xml:space="preserve">불일치 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즉시 보완</t>
    </r>
    <r>
      <rPr>
        <b val="true"/>
        <sz val="11"/>
        <rFont val="DejaVu Sans"/>
        <family val="2"/>
        <charset val="1"/>
      </rPr>
      <t xml:space="preserve">)</t>
    </r>
  </si>
  <si>
    <t xml:space="preserve">확인율</t>
  </si>
  <si>
    <r>
      <rPr>
        <b val="true"/>
        <sz val="16"/>
        <color rgb="FFFFFFFF"/>
        <rFont val="DejaVu Sans"/>
        <family val="2"/>
      </rPr>
      <t xml:space="preserve">③ 공급업체 적격성 조회 </t>
    </r>
    <r>
      <rPr>
        <b val="true"/>
        <sz val="16"/>
        <color rgb="FFFFFFFF"/>
        <rFont val="DejaVu Sans"/>
        <family val="2"/>
        <charset val="1"/>
      </rPr>
      <t xml:space="preserve">(</t>
    </r>
    <r>
      <rPr>
        <b val="true"/>
        <sz val="16"/>
        <color rgb="FFFFFFFF"/>
        <rFont val="DejaVu Sans"/>
        <family val="2"/>
      </rPr>
      <t xml:space="preserve">세무 블랙리스트 </t>
    </r>
    <r>
      <rPr>
        <b val="true"/>
        <sz val="16"/>
        <color rgb="FFFFFFFF"/>
        <rFont val="DejaVu Sans"/>
        <family val="2"/>
        <charset val="1"/>
      </rPr>
      <t xml:space="preserve">/ </t>
    </r>
    <r>
      <rPr>
        <b val="true"/>
        <sz val="16"/>
        <color rgb="FFFFFFFF"/>
        <rFont val="DejaVu Sans"/>
        <family val="2"/>
      </rPr>
      <t xml:space="preserve">폐업 여부 전수조사</t>
    </r>
    <r>
      <rPr>
        <b val="true"/>
        <sz val="16"/>
        <color rgb="FFFFFFFF"/>
        <rFont val="DejaVu Sans"/>
        <family val="2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</si>
  <si>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조회처</t>
    </r>
    <r>
      <rPr>
        <i val="true"/>
        <sz val="9"/>
        <color rgb="FF555555"/>
        <rFont val="DejaVu Sans"/>
        <family val="2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베트남 국세청 </t>
    </r>
    <r>
      <rPr>
        <i val="true"/>
        <sz val="9"/>
        <color rgb="FF555555"/>
        <rFont val="DejaVu Sans"/>
        <family val="2"/>
        <charset val="1"/>
      </rPr>
      <t xml:space="preserve">(gdt.gov.vn) </t>
    </r>
    <r>
      <rPr>
        <i val="true"/>
        <sz val="9"/>
        <color rgb="FF555555"/>
        <rFont val="DejaVu Sans"/>
        <family val="2"/>
      </rPr>
      <t xml:space="preserve">및 사업자정보 공시 시스템</t>
    </r>
  </si>
  <si>
    <t xml:space="preserve">공급사명</t>
  </si>
  <si>
    <r>
      <rPr>
        <b val="true"/>
        <sz val="12"/>
        <color rgb="FFFFFFFF"/>
        <rFont val="Arial"/>
        <family val="0"/>
        <charset val="1"/>
      </rPr>
      <t xml:space="preserve">MST(</t>
    </r>
    <r>
      <rPr>
        <b val="true"/>
        <sz val="12"/>
        <color rgb="FFFFFFFF"/>
        <rFont val="DejaVu Sans"/>
        <family val="2"/>
      </rPr>
      <t xml:space="preserve">세무번호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</si>
  <si>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업종</t>
  </si>
  <si>
    <r>
      <rPr>
        <b val="true"/>
        <sz val="12"/>
        <color rgb="FFFFFFFF"/>
        <rFont val="DejaVu Sans"/>
        <family val="2"/>
      </rPr>
      <t xml:space="preserve">당기 매입금액</t>
    </r>
    <r>
      <rPr>
        <b val="true"/>
        <sz val="12"/>
        <color rgb="FFFFFFFF"/>
        <rFont val="DejaVu Sans"/>
        <family val="2"/>
        <charset val="1"/>
      </rPr>
      <t xml:space="preserve">(VND)</t>
    </r>
  </si>
  <si>
    <r>
      <rPr>
        <b val="true"/>
        <sz val="12"/>
        <color rgb="FFFFFFFF"/>
        <rFont val="DejaVu Sans"/>
        <family val="2"/>
      </rPr>
      <t xml:space="preserve">해당 매입세액</t>
    </r>
    <r>
      <rPr>
        <b val="true"/>
        <sz val="12"/>
        <color rgb="FFFFFFFF"/>
        <rFont val="DejaVu Sans"/>
        <family val="2"/>
        <charset val="1"/>
      </rPr>
      <t xml:space="preserve">(VND)</t>
    </r>
  </si>
  <si>
    <t xml:space="preserve">폐업여부</t>
  </si>
  <si>
    <t xml:space="preserve">블랙리스트 여부</t>
  </si>
  <si>
    <r>
      <rPr>
        <b val="true"/>
        <sz val="12"/>
        <color rgb="FFFFFFFF"/>
        <rFont val="Arial"/>
        <family val="0"/>
        <charset val="1"/>
      </rPr>
      <t xml:space="preserve">FCT </t>
    </r>
    <r>
      <rPr>
        <b val="true"/>
        <sz val="12"/>
        <color rgb="FFFFFFFF"/>
        <rFont val="DejaVu Sans"/>
        <family val="2"/>
      </rPr>
      <t xml:space="preserve">적용</t>
    </r>
  </si>
  <si>
    <t xml:space="preserve">조회일</t>
  </si>
  <si>
    <r>
      <rPr>
        <b val="true"/>
        <sz val="12"/>
        <color rgb="FFFFFFFF"/>
        <rFont val="DejaVu Sans"/>
        <family val="2"/>
      </rPr>
      <t xml:space="preserve">상태</t>
    </r>
    <r>
      <rPr>
        <b val="true"/>
        <sz val="12"/>
        <color rgb="FFFFFFFF"/>
        <rFont val="DejaVu Sans"/>
        <family val="2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조치</t>
    </r>
  </si>
  <si>
    <t xml:space="preserve">합계</t>
  </si>
  <si>
    <r>
      <rPr>
        <b val="true"/>
        <sz val="16"/>
        <color rgb="FFFFFFFF"/>
        <rFont val="DejaVu Sans"/>
        <family val="2"/>
      </rPr>
      <t xml:space="preserve">④ 장기 미지급금 관리 — 매입채무 연령 분석 </t>
    </r>
    <r>
      <rPr>
        <b val="true"/>
        <sz val="16"/>
        <color rgb="FFFFFFFF"/>
        <rFont val="DejaVu Sans"/>
        <family val="2"/>
        <charset val="1"/>
      </rPr>
      <t xml:space="preserve">(Aging Report)</t>
    </r>
  </si>
  <si>
    <t xml:space="preserve">기준일</t>
  </si>
  <si>
    <t xml:space="preserve">2026-06-30</t>
  </si>
  <si>
    <t xml:space="preserve">공급사</t>
  </si>
  <si>
    <t xml:space="preserve">인보이스 번호</t>
  </si>
  <si>
    <t xml:space="preserve">발행일</t>
  </si>
  <si>
    <t xml:space="preserve">결제기한</t>
  </si>
  <si>
    <r>
      <rPr>
        <b val="true"/>
        <sz val="12"/>
        <color rgb="FFFFFFFF"/>
        <rFont val="DejaVu Sans"/>
        <family val="2"/>
      </rPr>
      <t xml:space="preserve">미지급액</t>
    </r>
    <r>
      <rPr>
        <b val="true"/>
        <sz val="12"/>
        <color rgb="FFFFFFFF"/>
        <rFont val="DejaVu Sans"/>
        <family val="2"/>
        <charset val="1"/>
      </rPr>
      <t xml:space="preserve">(VND)</t>
    </r>
  </si>
  <si>
    <t xml:space="preserve">경과일수</t>
  </si>
  <si>
    <t xml:space="preserve">연령구분</t>
  </si>
  <si>
    <t xml:space="preserve">공급상 확인서</t>
  </si>
  <si>
    <t xml:space="preserve">송금예정일</t>
  </si>
  <si>
    <t xml:space="preserve">연령 구간별 요약</t>
  </si>
  <si>
    <t xml:space="preserve">기한전</t>
  </si>
  <si>
    <r>
      <rPr>
        <b val="true"/>
        <sz val="11"/>
        <rFont val="Arial"/>
        <family val="0"/>
        <charset val="1"/>
      </rPr>
      <t xml:space="preserve">0~3</t>
    </r>
    <r>
      <rPr>
        <b val="true"/>
        <sz val="11"/>
        <rFont val="DejaVu Sans"/>
        <family val="2"/>
      </rPr>
      <t xml:space="preserve">개월</t>
    </r>
  </si>
  <si>
    <r>
      <rPr>
        <b val="true"/>
        <sz val="11"/>
        <rFont val="Arial"/>
        <family val="0"/>
        <charset val="1"/>
      </rPr>
      <t xml:space="preserve">3~6</t>
    </r>
    <r>
      <rPr>
        <b val="true"/>
        <sz val="11"/>
        <rFont val="DejaVu Sans"/>
        <family val="2"/>
      </rPr>
      <t xml:space="preserve">개월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</si>
  <si>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DejaVu Sans"/>
        <family val="2"/>
      </rPr>
      <t xml:space="preserve">개월 초과 ★</t>
    </r>
  </si>
  <si>
    <r>
      <rPr>
        <b val="true"/>
        <sz val="11"/>
        <rFont val="DejaVu Sans"/>
        <family val="2"/>
      </rPr>
      <t xml:space="preserve">확인서 미징구</t>
    </r>
    <r>
      <rPr>
        <b val="true"/>
        <sz val="11"/>
        <rFont val="DejaVu Sans"/>
        <family val="2"/>
        <charset val="1"/>
      </rPr>
      <t xml:space="preserve">(6</t>
    </r>
    <r>
      <rPr>
        <b val="true"/>
        <sz val="11"/>
        <rFont val="DejaVu Sans"/>
        <family val="2"/>
      </rPr>
      <t xml:space="preserve">개월 초과</t>
    </r>
    <r>
      <rPr>
        <b val="true"/>
        <sz val="11"/>
        <rFont val="DejaVu Sans"/>
        <family val="2"/>
        <charset val="1"/>
      </rPr>
      <t xml:space="preserve">)</t>
    </r>
  </si>
  <si>
    <r>
      <rPr>
        <b val="true"/>
        <sz val="16"/>
        <color rgb="FFFFFFFF"/>
        <rFont val="DejaVu Sans"/>
        <family val="2"/>
      </rPr>
      <t xml:space="preserve">③ 세무 리스크 필터링 — 위험 기업 </t>
    </r>
    <r>
      <rPr>
        <b val="true"/>
        <sz val="16"/>
        <color rgb="FFFFFFFF"/>
        <rFont val="DejaVu Sans"/>
        <family val="2"/>
        <charset val="1"/>
      </rPr>
      <t xml:space="preserve">/ FCT </t>
    </r>
    <r>
      <rPr>
        <b val="true"/>
        <sz val="16"/>
        <color rgb="FFFFFFFF"/>
        <rFont val="DejaVu Sans"/>
        <family val="2"/>
      </rPr>
      <t xml:space="preserve">미납 점검</t>
    </r>
  </si>
  <si>
    <r>
      <rPr>
        <i val="true"/>
        <sz val="9"/>
        <color rgb="FF555555"/>
        <rFont val="DejaVu Sans"/>
        <family val="2"/>
      </rPr>
      <t xml:space="preserve">본 시트는 </t>
    </r>
    <r>
      <rPr>
        <i val="true"/>
        <sz val="9"/>
        <color rgb="FF555555"/>
        <rFont val="DejaVu Sans"/>
        <family val="2"/>
        <charset val="1"/>
      </rPr>
      <t xml:space="preserve">Supplier_Verification </t>
    </r>
    <r>
      <rPr>
        <i val="true"/>
        <sz val="9"/>
        <color rgb="FF555555"/>
        <rFont val="DejaVu Sans"/>
        <family val="2"/>
      </rPr>
      <t xml:space="preserve">시트와 연동되어 환급 제외</t>
    </r>
    <r>
      <rPr>
        <i val="true"/>
        <sz val="9"/>
        <color rgb="FF555555"/>
        <rFont val="DejaVu Sans"/>
        <family val="2"/>
        <charset val="1"/>
      </rPr>
      <t xml:space="preserve">/</t>
    </r>
    <r>
      <rPr>
        <i val="true"/>
        <sz val="9"/>
        <color rgb="FF555555"/>
        <rFont val="DejaVu Sans"/>
        <family val="2"/>
      </rPr>
      <t xml:space="preserve">소명 대상 매입세액을 자동 집계합니다</t>
    </r>
    <r>
      <rPr>
        <i val="true"/>
        <sz val="9"/>
        <color rgb="FF555555"/>
        <rFont val="DejaVu Sans"/>
        <family val="2"/>
        <charset val="1"/>
      </rPr>
      <t xml:space="preserve">.</t>
    </r>
  </si>
  <si>
    <t xml:space="preserve">건수</t>
  </si>
  <si>
    <r>
      <rPr>
        <b val="true"/>
        <sz val="12"/>
        <color rgb="FFFFFFFF"/>
        <rFont val="DejaVu Sans"/>
        <family val="2"/>
      </rPr>
      <t xml:space="preserve">관련 매입세액</t>
    </r>
    <r>
      <rPr>
        <b val="true"/>
        <sz val="12"/>
        <color rgb="FFFFFFFF"/>
        <rFont val="DejaVu Sans"/>
        <family val="2"/>
        <charset val="1"/>
      </rPr>
      <t xml:space="preserve">(VND)</t>
    </r>
  </si>
  <si>
    <t xml:space="preserve">조치 사항</t>
  </si>
  <si>
    <r>
      <rPr>
        <sz val="10"/>
        <rFont val="DejaVu Sans"/>
        <family val="2"/>
      </rPr>
      <t xml:space="preserve">위험 공급사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폐업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블랙리스트</t>
    </r>
    <r>
      <rPr>
        <sz val="10"/>
        <rFont val="DejaVu Sans"/>
        <family val="2"/>
        <charset val="1"/>
      </rPr>
      <t xml:space="preserve">)</t>
    </r>
  </si>
  <si>
    <t xml:space="preserve">환급 대상 제외 또는 소명자료 제출</t>
  </si>
  <si>
    <r>
      <rPr>
        <sz val="10"/>
        <rFont val="Arial"/>
        <family val="0"/>
        <charset val="1"/>
      </rPr>
      <t xml:space="preserve">FCT </t>
    </r>
    <r>
      <rPr>
        <sz val="10"/>
        <rFont val="DejaVu Sans"/>
        <family val="2"/>
      </rPr>
      <t xml:space="preserve">적용 거래</t>
    </r>
  </si>
  <si>
    <r>
      <rPr>
        <sz val="10"/>
        <rFont val="Arial"/>
        <family val="0"/>
        <charset val="1"/>
      </rPr>
      <t xml:space="preserve">FCT </t>
    </r>
    <r>
      <rPr>
        <sz val="10"/>
        <rFont val="DejaVu Sans"/>
        <family val="2"/>
      </rPr>
      <t xml:space="preserve">신고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 완료 후에만 매입세액 공제 가능</t>
    </r>
  </si>
  <si>
    <r>
      <rPr>
        <sz val="10"/>
        <rFont val="DejaVu Sans"/>
        <family val="2"/>
      </rPr>
      <t xml:space="preserve">장기 미지급</t>
    </r>
    <r>
      <rPr>
        <sz val="10"/>
        <rFont val="DejaVu Sans"/>
        <family val="2"/>
        <charset val="1"/>
      </rPr>
      <t xml:space="preserve">(6</t>
    </r>
    <r>
      <rPr>
        <sz val="10"/>
        <rFont val="DejaVu Sans"/>
        <family val="2"/>
      </rPr>
      <t xml:space="preserve">개월 초과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</si>
  <si>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공급상 확인서</t>
    </r>
    <r>
      <rPr>
        <sz val="10"/>
        <rFont val="DejaVu Sans"/>
        <family val="2"/>
        <charset val="1"/>
      </rPr>
      <t xml:space="preserve">(Confirmation Letter) </t>
    </r>
    <r>
      <rPr>
        <sz val="10"/>
        <rFont val="DejaVu Sans"/>
        <family val="2"/>
      </rPr>
      <t xml:space="preserve">즉시 징구</t>
    </r>
  </si>
  <si>
    <r>
      <rPr>
        <b val="true"/>
        <sz val="11"/>
        <rFont val="DejaVu Sans"/>
        <family val="2"/>
      </rPr>
      <t xml:space="preserve">합계 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잠정 위험 매입세액</t>
    </r>
    <r>
      <rPr>
        <b val="true"/>
        <sz val="11"/>
        <rFont val="DejaVu Sans"/>
        <family val="2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</si>
  <si>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Dashboard</t>
    </r>
    <r>
      <rPr>
        <b val="true"/>
        <sz val="11"/>
        <rFont val="DejaVu Sans"/>
        <family val="2"/>
      </rPr>
      <t xml:space="preserve">의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DejaVu Sans"/>
        <family val="2"/>
      </rPr>
      <t xml:space="preserve">환급 가능 잔액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DejaVu Sans"/>
        <family val="2"/>
      </rPr>
      <t xml:space="preserve">에서 차감 검토</t>
    </r>
  </si>
  <si>
    <t xml:space="preserve">④ 추가 권고 — 환급 신청 후 세무서 현장 실사 대비</t>
  </si>
  <si>
    <t xml:space="preserve">점검 영역</t>
  </si>
  <si>
    <t xml:space="preserve">장부 일치 여부</t>
  </si>
  <si>
    <t xml:space="preserve">원본 보관 여부</t>
  </si>
  <si>
    <r>
      <rPr>
        <b val="true"/>
        <sz val="12"/>
        <color rgb="FFFFFFFF"/>
        <rFont val="DejaVu Sans"/>
        <family val="2"/>
      </rPr>
      <t xml:space="preserve">비고</t>
    </r>
    <r>
      <rPr>
        <b val="true"/>
        <sz val="12"/>
        <color rgb="FFFFFFFF"/>
        <rFont val="DejaVu Sans"/>
        <family val="2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조치</t>
    </r>
  </si>
  <si>
    <t xml:space="preserve">재고</t>
  </si>
  <si>
    <r>
      <rPr>
        <sz val="10"/>
        <rFont val="DejaVu Sans"/>
        <family val="2"/>
      </rPr>
      <t xml:space="preserve">원자재 재고 실사 결과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장부</t>
    </r>
  </si>
  <si>
    <t xml:space="preserve">분기말 현장 실사 병행</t>
  </si>
  <si>
    <r>
      <rPr>
        <sz val="10"/>
        <rFont val="DejaVu Sans"/>
        <family val="2"/>
      </rPr>
      <t xml:space="preserve">제공품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완성품 수량 일치</t>
    </r>
  </si>
  <si>
    <t xml:space="preserve">설비</t>
  </si>
  <si>
    <r>
      <rPr>
        <sz val="10"/>
        <rFont val="DejaVu Sans"/>
        <family val="2"/>
      </rPr>
      <t xml:space="preserve">생산 설비 리스트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고정자산대장</t>
    </r>
  </si>
  <si>
    <t xml:space="preserve">인력</t>
  </si>
  <si>
    <r>
      <rPr>
        <sz val="10"/>
        <rFont val="DejaVu Sans"/>
        <family val="2"/>
      </rPr>
      <t xml:space="preserve">공장 인력 명단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노무 신고</t>
    </r>
  </si>
  <si>
    <t xml:space="preserve">증빙</t>
  </si>
  <si>
    <r>
      <rPr>
        <sz val="10"/>
        <rFont val="Arial"/>
        <family val="0"/>
        <charset val="1"/>
      </rPr>
      <t xml:space="preserve">E-Invoice </t>
    </r>
    <r>
      <rPr>
        <sz val="10"/>
        <rFont val="DejaVu Sans"/>
        <family val="2"/>
      </rPr>
      <t xml:space="preserve">원본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PDF) </t>
    </r>
    <r>
      <rPr>
        <sz val="10"/>
        <rFont val="DejaVu Sans"/>
        <family val="2"/>
      </rPr>
      <t xml:space="preserve">보관</t>
    </r>
  </si>
  <si>
    <t xml:space="preserve">바인더 정리</t>
  </si>
  <si>
    <t xml:space="preserve">수입신고필증 원본</t>
  </si>
  <si>
    <t xml:space="preserve">송금 영수증 원본</t>
  </si>
  <si>
    <t xml:space="preserve">매입 계약서 원본</t>
  </si>
  <si>
    <t xml:space="preserve">보관</t>
  </si>
  <si>
    <r>
      <rPr>
        <sz val="10"/>
        <rFont val="DejaVu Sans"/>
        <family val="2"/>
      </rPr>
      <t xml:space="preserve">문서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년 보관 </t>
    </r>
    <r>
      <rPr>
        <sz val="10"/>
        <rFont val="DejaVu Sans"/>
        <family val="2"/>
        <charset val="1"/>
      </rPr>
      <t xml:space="preserve">(Decree 123/2020/ND-CP)</t>
    </r>
  </si>
  <si>
    <t xml:space="preserve">기타</t>
  </si>
  <si>
    <r>
      <rPr>
        <sz val="10"/>
        <rFont val="DejaVu Sans"/>
        <family val="2"/>
      </rPr>
      <t xml:space="preserve">공장 출입대장</t>
    </r>
    <r>
      <rPr>
        <sz val="10"/>
        <rFont val="DejaVu Sans"/>
        <family val="2"/>
        <charset val="1"/>
      </rPr>
      <t xml:space="preserve">, CCTV </t>
    </r>
    <r>
      <rPr>
        <sz val="10"/>
        <rFont val="DejaVu Sans"/>
        <family val="2"/>
      </rPr>
      <t xml:space="preserve">등 활동 증빙</t>
    </r>
  </si>
  <si>
    <t xml:space="preserve">현장 실사 시 자주 요구됨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</si>
</sst>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DejaVu Sans"/>
      <family val="2"/>
      <charset val="1"/>
    </font>
    <font>
      <b val="true"/>
      <sz val="11"/>
      <name val="DejaVu Sans"/>
      <family val="2"/>
    </font>
    <font>
      <b val="true"/>
      <sz val="11"/>
      <name val="DejaVu Sans"/>
      <family val="2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DejaVu Sans"/>
      <family val="2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i val="true"/>
      <sz val="9"/>
      <color rgb="FF555555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8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6" customFormat="false" ht="29.25" hidden="false" customHeight="true" outlineLevel="0" collapsed="false">
      <c r="B6" s="4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5</v>
      </c>
    </row>
    <row r="9" customFormat="false" ht="15" hidden="false" customHeight="true" outlineLevel="0" collapsed="false">
      <c r="B9" s="6" t="s">
        <v>7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B10" s="7" t="s">
        <v>8</v>
      </c>
      <c r="C10" s="1" t="n">
        <f aca="false">COUNTA('2.Schedule'!H6:H12)</f>
        <v>7</v>
      </c>
      <c r="D10" s="7" t="n">
        <f aca="false">COUNTIF('2.Schedule'!H6:H12,"완료")</f>
        <v>0</v>
      </c>
      <c r="E10" s="7" t="n">
        <f aca="false">COUNTIF('2.Schedule'!H6:H12,"진행")+COUNTIF('2.Schedule'!H6:H12,"미진행")</f>
        <v>7</v>
      </c>
      <c r="F10" s="7" t="n">
        <f aca="false">COUNTIF('2.Schedule'!H6:H12,"리스크")</f>
        <v>0</v>
      </c>
      <c r="G10" s="8" t="n">
        <f aca="false">IFERROR(D10/C10,0)</f>
        <v>0</v>
      </c>
    </row>
    <row r="13" customFormat="false" ht="15" hidden="false" customHeight="true" outlineLevel="0" collapsed="false">
      <c r="B13" s="9" t="s">
        <v>9</v>
      </c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B14" s="10" t="s">
        <v>10</v>
      </c>
      <c r="C14" s="11" t="n">
        <v>0</v>
      </c>
    </row>
    <row r="15" customFormat="false" ht="15" hidden="false" customHeight="true" outlineLevel="0" collapsed="false">
      <c r="B15" s="10" t="s">
        <v>11</v>
      </c>
      <c r="C15" s="11" t="n">
        <v>0</v>
      </c>
    </row>
    <row r="16" customFormat="false" ht="15" hidden="false" customHeight="true" outlineLevel="0" collapsed="false">
      <c r="B16" s="10" t="s">
        <v>12</v>
      </c>
      <c r="C16" s="12" t="n">
        <f aca="false">C14-C15</f>
        <v>0</v>
      </c>
    </row>
    <row r="17" customFormat="false" ht="15" hidden="false" customHeight="true" outlineLevel="0" collapsed="false">
      <c r="B17" s="10" t="s">
        <v>13</v>
      </c>
      <c r="C17" s="13" t="str">
        <f aca="false">IF(C16&gt;=300000000,"충족 (환급 신청 가능)","미충족 (이월)")</f>
        <v>미충족 (이월)</v>
      </c>
    </row>
    <row r="19" customFormat="false" ht="15" hidden="false" customHeight="true" outlineLevel="0" collapsed="false">
      <c r="B19" s="6" t="s">
        <v>14</v>
      </c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B20" s="14" t="s">
        <v>15</v>
      </c>
      <c r="C20" s="14"/>
      <c r="D20" s="14"/>
      <c r="E20" s="14"/>
      <c r="F20" s="14"/>
      <c r="G20" s="14"/>
      <c r="H20" s="14"/>
    </row>
    <row r="21" customFormat="false" ht="15" hidden="false" customHeight="true" outlineLevel="0" collapsed="false">
      <c r="B21" s="14" t="s">
        <v>16</v>
      </c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B22" s="14" t="s">
        <v>17</v>
      </c>
      <c r="C22" s="14"/>
      <c r="D22" s="14"/>
      <c r="E22" s="14"/>
      <c r="F22" s="14"/>
      <c r="G22" s="14"/>
      <c r="H22" s="14"/>
    </row>
    <row r="23" customFormat="false" ht="15" hidden="false" customHeight="true" outlineLevel="0" collapsed="false">
      <c r="B23" s="14" t="s">
        <v>18</v>
      </c>
      <c r="C23" s="14"/>
      <c r="D23" s="14"/>
      <c r="E23" s="14"/>
      <c r="F23" s="14"/>
      <c r="G23" s="14"/>
      <c r="H23" s="14"/>
    </row>
    <row r="24" customFormat="false" ht="15" hidden="false" customHeight="true" outlineLevel="0" collapsed="false">
      <c r="B24" s="14" t="s">
        <v>19</v>
      </c>
      <c r="C24" s="14"/>
      <c r="D24" s="14"/>
      <c r="E24" s="14"/>
      <c r="F24" s="14"/>
      <c r="G24" s="14"/>
      <c r="H24" s="14"/>
    </row>
  </sheetData>
  <mergeCells count="10">
    <mergeCell ref="B2:H2"/>
    <mergeCell ref="B4:H4"/>
    <mergeCell ref="B9:H9"/>
    <mergeCell ref="B13:H13"/>
    <mergeCell ref="B19:H19"/>
    <mergeCell ref="B20:H20"/>
    <mergeCell ref="B21:H21"/>
    <mergeCell ref="B22:H22"/>
    <mergeCell ref="B23:H23"/>
    <mergeCell ref="B24:H24"/>
  </mergeCells>
  <conditionalFormatting sqref="C17">
    <cfRule type="expression" priority="2" aboveAverage="0" equalAverage="0" bottom="0" percent="0" rank="0" text="" dxfId="0">
      <formula>ISNUMBER(SEARCH("충족 (",C17))</formula>
    </cfRule>
    <cfRule type="expression" priority="3" aboveAverage="0" equalAverage="0" bottom="0" percent="0" rank="0" text="" dxfId="1">
      <formula>ISNUMBER(SEARCH("미충족",C17))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46"/>
    <col collapsed="false" customWidth="true" hidden="false" outlineLevel="0" max="6" min="6" style="1" width="22"/>
    <col collapsed="false" customWidth="true" hidden="false" outlineLevel="0" max="8" min="7" style="1" width="12"/>
    <col collapsed="false" customWidth="true" hidden="false" outlineLevel="0" max="9" min="9" style="1" width="30"/>
  </cols>
  <sheetData>
    <row r="2" customFormat="false" ht="25.5" hidden="false" customHeight="true" outlineLevel="0" collapsed="false">
      <c r="B2" s="2" t="s">
        <v>20</v>
      </c>
      <c r="C2" s="2"/>
      <c r="D2" s="2"/>
      <c r="E2" s="2"/>
      <c r="F2" s="2"/>
      <c r="G2" s="2"/>
      <c r="H2" s="2"/>
      <c r="I2" s="2"/>
    </row>
    <row r="5" customFormat="false" ht="15" hidden="false" customHeight="true" outlineLevel="0" collapsed="false">
      <c r="A5" s="15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16" t="s">
        <v>26</v>
      </c>
      <c r="G5" s="16" t="s">
        <v>27</v>
      </c>
      <c r="H5" s="16" t="s">
        <v>28</v>
      </c>
      <c r="I5" s="16" t="s">
        <v>29</v>
      </c>
    </row>
    <row r="6" customFormat="false" ht="15" hidden="false" customHeight="true" outlineLevel="0" collapsed="false">
      <c r="A6" s="17" t="n">
        <v>1</v>
      </c>
      <c r="B6" s="18" t="s">
        <v>30</v>
      </c>
      <c r="C6" s="17" t="s">
        <v>31</v>
      </c>
      <c r="D6" s="17" t="s">
        <v>3</v>
      </c>
      <c r="E6" s="19" t="s">
        <v>32</v>
      </c>
      <c r="F6" s="19" t="s">
        <v>33</v>
      </c>
      <c r="G6" s="18" t="s">
        <v>34</v>
      </c>
      <c r="H6" s="18" t="s">
        <v>35</v>
      </c>
      <c r="I6" s="19"/>
    </row>
    <row r="7" customFormat="false" ht="15" hidden="false" customHeight="true" outlineLevel="0" collapsed="false">
      <c r="A7" s="17" t="n">
        <v>2</v>
      </c>
      <c r="B7" s="18" t="s">
        <v>36</v>
      </c>
      <c r="C7" s="17" t="s">
        <v>37</v>
      </c>
      <c r="D7" s="17" t="s">
        <v>38</v>
      </c>
      <c r="E7" s="19" t="s">
        <v>39</v>
      </c>
      <c r="F7" s="19" t="s">
        <v>40</v>
      </c>
      <c r="G7" s="18" t="s">
        <v>34</v>
      </c>
      <c r="H7" s="18" t="s">
        <v>35</v>
      </c>
      <c r="I7" s="20" t="s">
        <v>41</v>
      </c>
    </row>
    <row r="8" customFormat="false" ht="15" hidden="false" customHeight="true" outlineLevel="0" collapsed="false">
      <c r="A8" s="17" t="n">
        <v>3</v>
      </c>
      <c r="B8" s="17" t="s">
        <v>42</v>
      </c>
      <c r="C8" s="17" t="s">
        <v>43</v>
      </c>
      <c r="D8" s="17" t="s">
        <v>44</v>
      </c>
      <c r="E8" s="19" t="s">
        <v>45</v>
      </c>
      <c r="F8" s="19" t="s">
        <v>46</v>
      </c>
      <c r="G8" s="18" t="s">
        <v>47</v>
      </c>
      <c r="H8" s="18" t="s">
        <v>35</v>
      </c>
      <c r="I8" s="20" t="s">
        <v>48</v>
      </c>
    </row>
    <row r="9" customFormat="false" ht="15" hidden="false" customHeight="true" outlineLevel="0" collapsed="false">
      <c r="A9" s="17" t="n">
        <v>4</v>
      </c>
      <c r="B9" s="18" t="s">
        <v>49</v>
      </c>
      <c r="C9" s="17" t="s">
        <v>50</v>
      </c>
      <c r="D9" s="17" t="s">
        <v>51</v>
      </c>
      <c r="E9" s="19" t="s">
        <v>52</v>
      </c>
      <c r="F9" s="19" t="s">
        <v>53</v>
      </c>
      <c r="G9" s="18" t="s">
        <v>54</v>
      </c>
      <c r="H9" s="18" t="s">
        <v>35</v>
      </c>
      <c r="I9" s="20" t="s">
        <v>55</v>
      </c>
    </row>
    <row r="10" customFormat="false" ht="15" hidden="false" customHeight="true" outlineLevel="0" collapsed="false">
      <c r="A10" s="17" t="n">
        <v>5</v>
      </c>
      <c r="B10" s="18" t="s">
        <v>56</v>
      </c>
      <c r="C10" s="17" t="s">
        <v>57</v>
      </c>
      <c r="D10" s="17" t="s">
        <v>58</v>
      </c>
      <c r="E10" s="20" t="s">
        <v>59</v>
      </c>
      <c r="F10" s="20" t="s">
        <v>60</v>
      </c>
      <c r="G10" s="18" t="s">
        <v>34</v>
      </c>
      <c r="H10" s="18" t="s">
        <v>35</v>
      </c>
      <c r="I10" s="20"/>
    </row>
    <row r="11" customFormat="false" ht="15" hidden="false" customHeight="true" outlineLevel="0" collapsed="false">
      <c r="A11" s="17" t="n">
        <v>6</v>
      </c>
      <c r="B11" s="18" t="s">
        <v>61</v>
      </c>
      <c r="C11" s="17" t="s">
        <v>62</v>
      </c>
      <c r="D11" s="17" t="s">
        <v>63</v>
      </c>
      <c r="E11" s="20" t="s">
        <v>64</v>
      </c>
      <c r="F11" s="19" t="s">
        <v>65</v>
      </c>
      <c r="G11" s="18" t="s">
        <v>66</v>
      </c>
      <c r="H11" s="18" t="s">
        <v>35</v>
      </c>
      <c r="I11" s="20"/>
    </row>
    <row r="12" customFormat="false" ht="15" hidden="false" customHeight="true" outlineLevel="0" collapsed="false">
      <c r="A12" s="17" t="n">
        <v>7</v>
      </c>
      <c r="B12" s="18" t="s">
        <v>67</v>
      </c>
      <c r="C12" s="17" t="s">
        <v>68</v>
      </c>
      <c r="D12" s="17" t="s">
        <v>5</v>
      </c>
      <c r="E12" s="19" t="s">
        <v>69</v>
      </c>
      <c r="F12" s="19" t="s">
        <v>70</v>
      </c>
      <c r="G12" s="18" t="s">
        <v>34</v>
      </c>
      <c r="H12" s="18" t="s">
        <v>35</v>
      </c>
      <c r="I12" s="19" t="s">
        <v>71</v>
      </c>
    </row>
  </sheetData>
  <mergeCells count="1">
    <mergeCell ref="B2:I2"/>
  </mergeCells>
  <conditionalFormatting sqref="H6:H12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"리스크"</formula>
    </cfRule>
    <cfRule type="cellIs" priority="4" operator="equal" aboveAverage="0" equalAverage="0" bottom="0" percent="0" rank="0" text="" dxfId="2">
      <formula>"진행"</formula>
    </cfRule>
  </conditionalFormatting>
  <dataValidations count="1">
    <dataValidation allowBlank="true" errorStyle="stop" operator="between" showDropDown="false" showErrorMessage="false" showInputMessage="false" sqref="H6:H12" type="list">
      <formula1>"미진행,진행,완료,리스크"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12"/>
    <col collapsed="false" customWidth="true" hidden="false" outlineLevel="0" max="5" min="4" style="1" width="3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30"/>
  </cols>
  <sheetData>
    <row r="2" customFormat="false" ht="25.5" hidden="false" customHeight="true" outlineLevel="0" collapsed="false">
      <c r="B2" s="2" t="s">
        <v>72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5" t="s">
        <v>21</v>
      </c>
      <c r="C4" s="16" t="s">
        <v>73</v>
      </c>
      <c r="D4" s="16" t="s">
        <v>74</v>
      </c>
      <c r="E4" s="16" t="s">
        <v>75</v>
      </c>
      <c r="F4" s="16" t="s">
        <v>27</v>
      </c>
      <c r="G4" s="16" t="s">
        <v>28</v>
      </c>
      <c r="H4" s="16" t="s">
        <v>29</v>
      </c>
    </row>
    <row r="5" customFormat="false" ht="15" hidden="false" customHeight="true" outlineLevel="0" collapsed="false">
      <c r="B5" s="17" t="n">
        <v>1</v>
      </c>
      <c r="C5" s="18" t="s">
        <v>76</v>
      </c>
      <c r="D5" s="19" t="s">
        <v>77</v>
      </c>
      <c r="E5" s="19" t="s">
        <v>78</v>
      </c>
      <c r="F5" s="18" t="s">
        <v>79</v>
      </c>
      <c r="G5" s="18" t="s">
        <v>80</v>
      </c>
      <c r="H5" s="20"/>
    </row>
    <row r="6" customFormat="false" ht="15" hidden="false" customHeight="true" outlineLevel="0" collapsed="false">
      <c r="B6" s="17" t="n">
        <v>2</v>
      </c>
      <c r="C6" s="18" t="s">
        <v>76</v>
      </c>
      <c r="D6" s="19" t="s">
        <v>81</v>
      </c>
      <c r="E6" s="19" t="s">
        <v>78</v>
      </c>
      <c r="F6" s="18" t="s">
        <v>79</v>
      </c>
      <c r="G6" s="18" t="s">
        <v>80</v>
      </c>
      <c r="H6" s="20"/>
    </row>
    <row r="7" customFormat="false" ht="15" hidden="false" customHeight="true" outlineLevel="0" collapsed="false">
      <c r="B7" s="17" t="n">
        <v>3</v>
      </c>
      <c r="C7" s="18" t="s">
        <v>76</v>
      </c>
      <c r="D7" s="19" t="s">
        <v>82</v>
      </c>
      <c r="E7" s="19" t="s">
        <v>78</v>
      </c>
      <c r="F7" s="18" t="s">
        <v>79</v>
      </c>
      <c r="G7" s="18" t="s">
        <v>80</v>
      </c>
      <c r="H7" s="20"/>
    </row>
    <row r="8" customFormat="false" ht="15" hidden="false" customHeight="true" outlineLevel="0" collapsed="false">
      <c r="B8" s="17" t="n">
        <v>4</v>
      </c>
      <c r="C8" s="18" t="s">
        <v>83</v>
      </c>
      <c r="D8" s="20" t="s">
        <v>84</v>
      </c>
      <c r="E8" s="20" t="s">
        <v>85</v>
      </c>
      <c r="F8" s="18" t="s">
        <v>86</v>
      </c>
      <c r="G8" s="18" t="s">
        <v>80</v>
      </c>
      <c r="H8" s="19" t="s">
        <v>87</v>
      </c>
    </row>
    <row r="9" customFormat="false" ht="15" hidden="false" customHeight="true" outlineLevel="0" collapsed="false">
      <c r="B9" s="17" t="n">
        <v>5</v>
      </c>
      <c r="C9" s="18" t="s">
        <v>88</v>
      </c>
      <c r="D9" s="19" t="s">
        <v>89</v>
      </c>
      <c r="E9" s="20" t="s">
        <v>90</v>
      </c>
      <c r="F9" s="18" t="s">
        <v>91</v>
      </c>
      <c r="G9" s="18" t="s">
        <v>80</v>
      </c>
      <c r="H9" s="20"/>
    </row>
    <row r="10" customFormat="false" ht="15" hidden="false" customHeight="true" outlineLevel="0" collapsed="false">
      <c r="B10" s="17" t="n">
        <v>6</v>
      </c>
      <c r="C10" s="18" t="s">
        <v>88</v>
      </c>
      <c r="D10" s="19" t="s">
        <v>92</v>
      </c>
      <c r="E10" s="19" t="s">
        <v>93</v>
      </c>
      <c r="F10" s="18" t="s">
        <v>91</v>
      </c>
      <c r="G10" s="18" t="s">
        <v>80</v>
      </c>
      <c r="H10" s="20"/>
    </row>
    <row r="11" customFormat="false" ht="15" hidden="false" customHeight="true" outlineLevel="0" collapsed="false">
      <c r="B11" s="17" t="n">
        <v>7</v>
      </c>
      <c r="C11" s="18" t="s">
        <v>88</v>
      </c>
      <c r="D11" s="19" t="s">
        <v>94</v>
      </c>
      <c r="E11" s="19" t="s">
        <v>95</v>
      </c>
      <c r="F11" s="18" t="s">
        <v>91</v>
      </c>
      <c r="G11" s="18" t="s">
        <v>80</v>
      </c>
      <c r="H11" s="20"/>
    </row>
    <row r="12" customFormat="false" ht="15" hidden="false" customHeight="true" outlineLevel="0" collapsed="false">
      <c r="B12" s="17" t="n">
        <v>8</v>
      </c>
      <c r="C12" s="18" t="s">
        <v>96</v>
      </c>
      <c r="D12" s="19" t="s">
        <v>97</v>
      </c>
      <c r="E12" s="19" t="s">
        <v>98</v>
      </c>
      <c r="F12" s="18" t="s">
        <v>99</v>
      </c>
      <c r="G12" s="18" t="s">
        <v>80</v>
      </c>
      <c r="H12" s="20"/>
    </row>
    <row r="13" customFormat="false" ht="15" hidden="false" customHeight="true" outlineLevel="0" collapsed="false">
      <c r="B13" s="17" t="n">
        <v>9</v>
      </c>
      <c r="C13" s="18" t="s">
        <v>100</v>
      </c>
      <c r="D13" s="20" t="s">
        <v>101</v>
      </c>
      <c r="E13" s="20" t="s">
        <v>102</v>
      </c>
      <c r="F13" s="18" t="s">
        <v>79</v>
      </c>
      <c r="G13" s="18" t="s">
        <v>80</v>
      </c>
      <c r="H13" s="20"/>
    </row>
    <row r="14" customFormat="false" ht="15" hidden="false" customHeight="true" outlineLevel="0" collapsed="false">
      <c r="B14" s="17" t="n">
        <v>10</v>
      </c>
      <c r="C14" s="18" t="s">
        <v>100</v>
      </c>
      <c r="D14" s="20" t="s">
        <v>103</v>
      </c>
      <c r="E14" s="20" t="s">
        <v>102</v>
      </c>
      <c r="F14" s="18" t="s">
        <v>79</v>
      </c>
      <c r="G14" s="18" t="s">
        <v>80</v>
      </c>
      <c r="H14" s="20"/>
    </row>
    <row r="16" customFormat="false" ht="15" hidden="false" customHeight="true" outlineLevel="0" collapsed="false">
      <c r="C16" s="21" t="s">
        <v>104</v>
      </c>
      <c r="D16" s="1" t="n">
        <f aca="false">COUNTA(B5:B14)</f>
        <v>10</v>
      </c>
    </row>
    <row r="17" customFormat="false" ht="15" hidden="false" customHeight="true" outlineLevel="0" collapsed="false">
      <c r="C17" s="21" t="s">
        <v>105</v>
      </c>
      <c r="D17" s="1" t="n">
        <f aca="false">COUNTIF(G5:G14,"확인완료")</f>
        <v>0</v>
      </c>
    </row>
    <row r="18" customFormat="false" ht="15" hidden="false" customHeight="true" outlineLevel="0" collapsed="false">
      <c r="C18" s="21" t="s">
        <v>106</v>
      </c>
      <c r="D18" s="1" t="n">
        <f aca="false">COUNTIF(G5:G14,"불일치")</f>
        <v>0</v>
      </c>
    </row>
    <row r="19" customFormat="false" ht="15" hidden="false" customHeight="true" outlineLevel="0" collapsed="false">
      <c r="C19" s="21" t="s">
        <v>107</v>
      </c>
      <c r="D19" s="22" t="n">
        <f aca="false">IFERROR(D17/D16,0)</f>
        <v>0</v>
      </c>
    </row>
  </sheetData>
  <mergeCells count="1">
    <mergeCell ref="B2:G2"/>
  </mergeCells>
  <conditionalFormatting sqref="G5:G14">
    <cfRule type="cellIs" priority="2" operator="equal" aboveAverage="0" equalAverage="0" bottom="0" percent="0" rank="0" text="" dxfId="0">
      <formula>"확인완료"</formula>
    </cfRule>
    <cfRule type="cellIs" priority="3" operator="equal" aboveAverage="0" equalAverage="0" bottom="0" percent="0" rank="0" text="" dxfId="1">
      <formula>"불일치"</formula>
    </cfRule>
  </conditionalFormatting>
  <dataValidations count="1">
    <dataValidation allowBlank="true" errorStyle="stop" operator="between" showDropDown="false" showErrorMessage="false" showInputMessage="false" sqref="G5:G14" type="list">
      <formula1>"미확인,확인완료,불일치"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4"/>
  </cols>
  <sheetData>
    <row r="2" customFormat="false" ht="25.5" hidden="false" customHeight="true" outlineLevel="0" collapsed="false">
      <c r="B2" s="2" t="s">
        <v>108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23" t="s">
        <v>109</v>
      </c>
      <c r="C4" s="23"/>
      <c r="D4" s="23"/>
      <c r="E4" s="23"/>
      <c r="F4" s="23"/>
      <c r="G4" s="23"/>
      <c r="H4" s="23"/>
      <c r="I4" s="23"/>
      <c r="J4" s="23"/>
      <c r="K4" s="23"/>
    </row>
    <row r="6" customFormat="false" ht="15" hidden="false" customHeight="true" outlineLevel="0" collapsed="false">
      <c r="B6" s="15" t="s">
        <v>21</v>
      </c>
      <c r="C6" s="16" t="s">
        <v>110</v>
      </c>
      <c r="D6" s="15" t="s">
        <v>111</v>
      </c>
      <c r="E6" s="16" t="s">
        <v>112</v>
      </c>
      <c r="F6" s="16" t="s">
        <v>113</v>
      </c>
      <c r="G6" s="16" t="s">
        <v>114</v>
      </c>
      <c r="H6" s="16" t="s">
        <v>115</v>
      </c>
      <c r="I6" s="16" t="s">
        <v>116</v>
      </c>
      <c r="J6" s="15" t="s">
        <v>117</v>
      </c>
      <c r="K6" s="16" t="s">
        <v>118</v>
      </c>
      <c r="L6" s="16" t="s">
        <v>119</v>
      </c>
    </row>
    <row r="7" customFormat="false" ht="15" hidden="false" customHeight="true" outlineLevel="0" collapsed="false">
      <c r="B7" s="17" t="n">
        <v>1</v>
      </c>
      <c r="C7" s="24"/>
      <c r="D7" s="24"/>
      <c r="E7" s="24"/>
      <c r="F7" s="25"/>
      <c r="G7" s="25" t="n">
        <f aca="false">IF(F7="",0,F7*0.1)</f>
        <v>0</v>
      </c>
      <c r="H7" s="24"/>
      <c r="I7" s="24"/>
      <c r="J7" s="24"/>
      <c r="K7" s="24"/>
      <c r="L7" s="26" t="str">
        <f aca="false">IF(OR(H7="Y",I7="Y"),"환급 제외/소명필요",IF(J7="Y","FCT 납부확인 필요","정상"))</f>
        <v>정상</v>
      </c>
    </row>
    <row r="8" customFormat="false" ht="15" hidden="false" customHeight="true" outlineLevel="0" collapsed="false">
      <c r="B8" s="17" t="n">
        <v>2</v>
      </c>
      <c r="C8" s="24"/>
      <c r="D8" s="24"/>
      <c r="E8" s="24"/>
      <c r="F8" s="25"/>
      <c r="G8" s="25" t="n">
        <f aca="false">IF(F8="",0,F8*0.1)</f>
        <v>0</v>
      </c>
      <c r="H8" s="24"/>
      <c r="I8" s="24"/>
      <c r="J8" s="24"/>
      <c r="K8" s="24"/>
      <c r="L8" s="26" t="str">
        <f aca="false">IF(OR(H8="Y",I8="Y"),"환급 제외/소명필요",IF(J8="Y","FCT 납부확인 필요","정상"))</f>
        <v>정상</v>
      </c>
    </row>
    <row r="9" customFormat="false" ht="15" hidden="false" customHeight="true" outlineLevel="0" collapsed="false">
      <c r="B9" s="17" t="n">
        <v>3</v>
      </c>
      <c r="C9" s="24"/>
      <c r="D9" s="24"/>
      <c r="E9" s="24"/>
      <c r="F9" s="25"/>
      <c r="G9" s="25" t="n">
        <f aca="false">IF(F9="",0,F9*0.1)</f>
        <v>0</v>
      </c>
      <c r="H9" s="24"/>
      <c r="I9" s="24"/>
      <c r="J9" s="24"/>
      <c r="K9" s="24"/>
      <c r="L9" s="26" t="str">
        <f aca="false">IF(OR(H9="Y",I9="Y"),"환급 제외/소명필요",IF(J9="Y","FCT 납부확인 필요","정상"))</f>
        <v>정상</v>
      </c>
    </row>
    <row r="10" customFormat="false" ht="15" hidden="false" customHeight="true" outlineLevel="0" collapsed="false">
      <c r="B10" s="17" t="n">
        <v>4</v>
      </c>
      <c r="C10" s="24"/>
      <c r="D10" s="24"/>
      <c r="E10" s="24"/>
      <c r="F10" s="25"/>
      <c r="G10" s="25" t="n">
        <f aca="false">IF(F10="",0,F10*0.1)</f>
        <v>0</v>
      </c>
      <c r="H10" s="24"/>
      <c r="I10" s="24"/>
      <c r="J10" s="24"/>
      <c r="K10" s="24"/>
      <c r="L10" s="26" t="str">
        <f aca="false">IF(OR(H10="Y",I10="Y"),"환급 제외/소명필요",IF(J10="Y","FCT 납부확인 필요","정상"))</f>
        <v>정상</v>
      </c>
    </row>
    <row r="11" customFormat="false" ht="15" hidden="false" customHeight="true" outlineLevel="0" collapsed="false">
      <c r="B11" s="17" t="n">
        <v>5</v>
      </c>
      <c r="C11" s="24"/>
      <c r="D11" s="24"/>
      <c r="E11" s="24"/>
      <c r="F11" s="25"/>
      <c r="G11" s="25" t="n">
        <f aca="false">IF(F11="",0,F11*0.1)</f>
        <v>0</v>
      </c>
      <c r="H11" s="24"/>
      <c r="I11" s="24"/>
      <c r="J11" s="24"/>
      <c r="K11" s="24"/>
      <c r="L11" s="26" t="str">
        <f aca="false">IF(OR(H11="Y",I11="Y"),"환급 제외/소명필요",IF(J11="Y","FCT 납부확인 필요","정상"))</f>
        <v>정상</v>
      </c>
    </row>
    <row r="12" customFormat="false" ht="15" hidden="false" customHeight="true" outlineLevel="0" collapsed="false">
      <c r="B12" s="17" t="n">
        <v>6</v>
      </c>
      <c r="C12" s="24"/>
      <c r="D12" s="24"/>
      <c r="E12" s="24"/>
      <c r="F12" s="25"/>
      <c r="G12" s="25" t="n">
        <f aca="false">IF(F12="",0,F12*0.1)</f>
        <v>0</v>
      </c>
      <c r="H12" s="24"/>
      <c r="I12" s="24"/>
      <c r="J12" s="24"/>
      <c r="K12" s="24"/>
      <c r="L12" s="26" t="str">
        <f aca="false">IF(OR(H12="Y",I12="Y"),"환급 제외/소명필요",IF(J12="Y","FCT 납부확인 필요","정상"))</f>
        <v>정상</v>
      </c>
    </row>
    <row r="13" customFormat="false" ht="15" hidden="false" customHeight="true" outlineLevel="0" collapsed="false">
      <c r="B13" s="17" t="n">
        <v>7</v>
      </c>
      <c r="C13" s="24"/>
      <c r="D13" s="24"/>
      <c r="E13" s="24"/>
      <c r="F13" s="25"/>
      <c r="G13" s="25" t="n">
        <f aca="false">IF(F13="",0,F13*0.1)</f>
        <v>0</v>
      </c>
      <c r="H13" s="24"/>
      <c r="I13" s="24"/>
      <c r="J13" s="24"/>
      <c r="K13" s="24"/>
      <c r="L13" s="26" t="str">
        <f aca="false">IF(OR(H13="Y",I13="Y"),"환급 제외/소명필요",IF(J13="Y","FCT 납부확인 필요","정상"))</f>
        <v>정상</v>
      </c>
    </row>
    <row r="14" customFormat="false" ht="15" hidden="false" customHeight="true" outlineLevel="0" collapsed="false">
      <c r="B14" s="17" t="n">
        <v>8</v>
      </c>
      <c r="C14" s="24"/>
      <c r="D14" s="24"/>
      <c r="E14" s="24"/>
      <c r="F14" s="25"/>
      <c r="G14" s="25" t="n">
        <f aca="false">IF(F14="",0,F14*0.1)</f>
        <v>0</v>
      </c>
      <c r="H14" s="24"/>
      <c r="I14" s="24"/>
      <c r="J14" s="24"/>
      <c r="K14" s="24"/>
      <c r="L14" s="26" t="str">
        <f aca="false">IF(OR(H14="Y",I14="Y"),"환급 제외/소명필요",IF(J14="Y","FCT 납부확인 필요","정상"))</f>
        <v>정상</v>
      </c>
    </row>
    <row r="15" customFormat="false" ht="15" hidden="false" customHeight="true" outlineLevel="0" collapsed="false">
      <c r="B15" s="17" t="n">
        <v>9</v>
      </c>
      <c r="C15" s="24"/>
      <c r="D15" s="24"/>
      <c r="E15" s="24"/>
      <c r="F15" s="25"/>
      <c r="G15" s="25" t="n">
        <f aca="false">IF(F15="",0,F15*0.1)</f>
        <v>0</v>
      </c>
      <c r="H15" s="24"/>
      <c r="I15" s="24"/>
      <c r="J15" s="24"/>
      <c r="K15" s="24"/>
      <c r="L15" s="26" t="str">
        <f aca="false">IF(OR(H15="Y",I15="Y"),"환급 제외/소명필요",IF(J15="Y","FCT 납부확인 필요","정상"))</f>
        <v>정상</v>
      </c>
    </row>
    <row r="16" customFormat="false" ht="15" hidden="false" customHeight="true" outlineLevel="0" collapsed="false">
      <c r="B16" s="17" t="n">
        <v>10</v>
      </c>
      <c r="C16" s="24"/>
      <c r="D16" s="24"/>
      <c r="E16" s="24"/>
      <c r="F16" s="25"/>
      <c r="G16" s="25" t="n">
        <f aca="false">IF(F16="",0,F16*0.1)</f>
        <v>0</v>
      </c>
      <c r="H16" s="24"/>
      <c r="I16" s="24"/>
      <c r="J16" s="24"/>
      <c r="K16" s="24"/>
      <c r="L16" s="26" t="str">
        <f aca="false">IF(OR(H16="Y",I16="Y"),"환급 제외/소명필요",IF(J16="Y","FCT 납부확인 필요","정상"))</f>
        <v>정상</v>
      </c>
    </row>
    <row r="17" customFormat="false" ht="15" hidden="false" customHeight="true" outlineLevel="0" collapsed="false">
      <c r="B17" s="17" t="n">
        <v>11</v>
      </c>
      <c r="C17" s="24"/>
      <c r="D17" s="24"/>
      <c r="E17" s="24"/>
      <c r="F17" s="25"/>
      <c r="G17" s="25" t="n">
        <f aca="false">IF(F17="",0,F17*0.1)</f>
        <v>0</v>
      </c>
      <c r="H17" s="24"/>
      <c r="I17" s="24"/>
      <c r="J17" s="24"/>
      <c r="K17" s="24"/>
      <c r="L17" s="26" t="str">
        <f aca="false">IF(OR(H17="Y",I17="Y"),"환급 제외/소명필요",IF(J17="Y","FCT 납부확인 필요","정상"))</f>
        <v>정상</v>
      </c>
    </row>
    <row r="18" customFormat="false" ht="15" hidden="false" customHeight="true" outlineLevel="0" collapsed="false">
      <c r="B18" s="17" t="n">
        <v>12</v>
      </c>
      <c r="C18" s="24"/>
      <c r="D18" s="24"/>
      <c r="E18" s="24"/>
      <c r="F18" s="25"/>
      <c r="G18" s="25" t="n">
        <f aca="false">IF(F18="",0,F18*0.1)</f>
        <v>0</v>
      </c>
      <c r="H18" s="24"/>
      <c r="I18" s="24"/>
      <c r="J18" s="24"/>
      <c r="K18" s="24"/>
      <c r="L18" s="26" t="str">
        <f aca="false">IF(OR(H18="Y",I18="Y"),"환급 제외/소명필요",IF(J18="Y","FCT 납부확인 필요","정상"))</f>
        <v>정상</v>
      </c>
    </row>
    <row r="19" customFormat="false" ht="15" hidden="false" customHeight="true" outlineLevel="0" collapsed="false">
      <c r="B19" s="17" t="n">
        <v>13</v>
      </c>
      <c r="C19" s="24"/>
      <c r="D19" s="24"/>
      <c r="E19" s="24"/>
      <c r="F19" s="25"/>
      <c r="G19" s="25" t="n">
        <f aca="false">IF(F19="",0,F19*0.1)</f>
        <v>0</v>
      </c>
      <c r="H19" s="24"/>
      <c r="I19" s="24"/>
      <c r="J19" s="24"/>
      <c r="K19" s="24"/>
      <c r="L19" s="26" t="str">
        <f aca="false">IF(OR(H19="Y",I19="Y"),"환급 제외/소명필요",IF(J19="Y","FCT 납부확인 필요","정상"))</f>
        <v>정상</v>
      </c>
    </row>
    <row r="20" customFormat="false" ht="15" hidden="false" customHeight="true" outlineLevel="0" collapsed="false">
      <c r="B20" s="17" t="n">
        <v>14</v>
      </c>
      <c r="C20" s="24"/>
      <c r="D20" s="24"/>
      <c r="E20" s="24"/>
      <c r="F20" s="25"/>
      <c r="G20" s="25" t="n">
        <f aca="false">IF(F20="",0,F20*0.1)</f>
        <v>0</v>
      </c>
      <c r="H20" s="24"/>
      <c r="I20" s="24"/>
      <c r="J20" s="24"/>
      <c r="K20" s="24"/>
      <c r="L20" s="26" t="str">
        <f aca="false">IF(OR(H20="Y",I20="Y"),"환급 제외/소명필요",IF(J20="Y","FCT 납부확인 필요","정상"))</f>
        <v>정상</v>
      </c>
    </row>
    <row r="21" customFormat="false" ht="15" hidden="false" customHeight="true" outlineLevel="0" collapsed="false">
      <c r="B21" s="17" t="n">
        <v>15</v>
      </c>
      <c r="C21" s="24"/>
      <c r="D21" s="24"/>
      <c r="E21" s="24"/>
      <c r="F21" s="25"/>
      <c r="G21" s="25" t="n">
        <f aca="false">IF(F21="",0,F21*0.1)</f>
        <v>0</v>
      </c>
      <c r="H21" s="24"/>
      <c r="I21" s="24"/>
      <c r="J21" s="24"/>
      <c r="K21" s="24"/>
      <c r="L21" s="26" t="str">
        <f aca="false">IF(OR(H21="Y",I21="Y"),"환급 제외/소명필요",IF(J21="Y","FCT 납부확인 필요","정상"))</f>
        <v>정상</v>
      </c>
    </row>
    <row r="22" customFormat="false" ht="15" hidden="false" customHeight="true" outlineLevel="0" collapsed="false">
      <c r="B22" s="7" t="s">
        <v>120</v>
      </c>
      <c r="F22" s="27" t="n">
        <f aca="false">SUM(F7:F21)</f>
        <v>0</v>
      </c>
      <c r="G22" s="27" t="n">
        <f aca="false">SUM(G7:G21)</f>
        <v>0</v>
      </c>
    </row>
  </sheetData>
  <mergeCells count="2">
    <mergeCell ref="B2:K2"/>
    <mergeCell ref="B4:K4"/>
  </mergeCells>
  <conditionalFormatting sqref="L7:L21">
    <cfRule type="expression" priority="2" aboveAverage="0" equalAverage="0" bottom="0" percent="0" rank="0" text="" dxfId="1">
      <formula>ISNUMBER(SEARCH("환급 제외",L7))</formula>
    </cfRule>
    <cfRule type="expression" priority="3" aboveAverage="0" equalAverage="0" bottom="0" percent="0" rank="0" text="" dxfId="2">
      <formula>ISNUMBER(SEARCH("FCT",L7))</formula>
    </cfRule>
    <cfRule type="expression" priority="4" aboveAverage="0" equalAverage="0" bottom="0" percent="0" rank="0" text="" dxfId="0">
      <formula>L7="정상"</formula>
    </cfRule>
  </conditionalFormatting>
  <dataValidations count="1">
    <dataValidation allowBlank="true" errorStyle="stop" operator="between" showDropDown="false" showErrorMessage="false" showInputMessage="false" sqref="H7:J2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</cols>
  <sheetData>
    <row r="2" customFormat="false" ht="25.5" hidden="false" customHeight="true" outlineLevel="0" collapsed="false">
      <c r="B2" s="2" t="s">
        <v>121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28" t="s">
        <v>122</v>
      </c>
      <c r="C4" s="29" t="s">
        <v>123</v>
      </c>
    </row>
    <row r="6" customFormat="false" ht="15" hidden="false" customHeight="true" outlineLevel="0" collapsed="false">
      <c r="B6" s="15" t="s">
        <v>21</v>
      </c>
      <c r="C6" s="16" t="s">
        <v>124</v>
      </c>
      <c r="D6" s="16" t="s">
        <v>125</v>
      </c>
      <c r="E6" s="16" t="s">
        <v>126</v>
      </c>
      <c r="F6" s="16" t="s">
        <v>127</v>
      </c>
      <c r="G6" s="16" t="s">
        <v>128</v>
      </c>
      <c r="H6" s="16" t="s">
        <v>129</v>
      </c>
      <c r="I6" s="16" t="s">
        <v>130</v>
      </c>
      <c r="J6" s="16" t="s">
        <v>131</v>
      </c>
      <c r="K6" s="16" t="s">
        <v>132</v>
      </c>
    </row>
    <row r="7" customFormat="false" ht="15" hidden="false" customHeight="true" outlineLevel="0" collapsed="false">
      <c r="B7" s="17" t="n">
        <v>1</v>
      </c>
      <c r="C7" s="24"/>
      <c r="D7" s="24"/>
      <c r="E7" s="30"/>
      <c r="F7" s="30"/>
      <c r="G7" s="25"/>
      <c r="H7" s="24" t="str">
        <f aca="false">IF(F7="","",$C$4-F7)</f>
        <v/>
      </c>
      <c r="I7" s="26" t="str">
        <f aca="false">IF(H7="","",IF(H7&lt;0,"기한전",IF(H7&lt;=90,"0~3개월",IF(H7&lt;=180,"3~6개월","6개월 초과"))))</f>
        <v/>
      </c>
      <c r="J7" s="24"/>
      <c r="K7" s="30"/>
    </row>
    <row r="8" customFormat="false" ht="15" hidden="false" customHeight="true" outlineLevel="0" collapsed="false">
      <c r="B8" s="17" t="n">
        <v>2</v>
      </c>
      <c r="C8" s="24"/>
      <c r="D8" s="24"/>
      <c r="E8" s="30"/>
      <c r="F8" s="30"/>
      <c r="G8" s="25"/>
      <c r="H8" s="24" t="str">
        <f aca="false">IF(F8="","",$C$4-F8)</f>
        <v/>
      </c>
      <c r="I8" s="26" t="str">
        <f aca="false">IF(H8="","",IF(H8&lt;0,"기한전",IF(H8&lt;=90,"0~3개월",IF(H8&lt;=180,"3~6개월","6개월 초과"))))</f>
        <v/>
      </c>
      <c r="J8" s="24"/>
      <c r="K8" s="30"/>
    </row>
    <row r="9" customFormat="false" ht="15" hidden="false" customHeight="true" outlineLevel="0" collapsed="false">
      <c r="B9" s="17" t="n">
        <v>3</v>
      </c>
      <c r="C9" s="24"/>
      <c r="D9" s="24"/>
      <c r="E9" s="30"/>
      <c r="F9" s="30"/>
      <c r="G9" s="25"/>
      <c r="H9" s="24" t="str">
        <f aca="false">IF(F9="","",$C$4-F9)</f>
        <v/>
      </c>
      <c r="I9" s="26" t="str">
        <f aca="false">IF(H9="","",IF(H9&lt;0,"기한전",IF(H9&lt;=90,"0~3개월",IF(H9&lt;=180,"3~6개월","6개월 초과"))))</f>
        <v/>
      </c>
      <c r="J9" s="24"/>
      <c r="K9" s="30"/>
    </row>
    <row r="10" customFormat="false" ht="15" hidden="false" customHeight="true" outlineLevel="0" collapsed="false">
      <c r="B10" s="17" t="n">
        <v>4</v>
      </c>
      <c r="C10" s="24"/>
      <c r="D10" s="24"/>
      <c r="E10" s="30"/>
      <c r="F10" s="30"/>
      <c r="G10" s="25"/>
      <c r="H10" s="24" t="str">
        <f aca="false">IF(F10="","",$C$4-F10)</f>
        <v/>
      </c>
      <c r="I10" s="26" t="str">
        <f aca="false">IF(H10="","",IF(H10&lt;0,"기한전",IF(H10&lt;=90,"0~3개월",IF(H10&lt;=180,"3~6개월","6개월 초과"))))</f>
        <v/>
      </c>
      <c r="J10" s="24"/>
      <c r="K10" s="30"/>
    </row>
    <row r="11" customFormat="false" ht="15" hidden="false" customHeight="true" outlineLevel="0" collapsed="false">
      <c r="B11" s="17" t="n">
        <v>5</v>
      </c>
      <c r="C11" s="24"/>
      <c r="D11" s="24"/>
      <c r="E11" s="30"/>
      <c r="F11" s="30"/>
      <c r="G11" s="25"/>
      <c r="H11" s="24" t="str">
        <f aca="false">IF(F11="","",$C$4-F11)</f>
        <v/>
      </c>
      <c r="I11" s="26" t="str">
        <f aca="false">IF(H11="","",IF(H11&lt;0,"기한전",IF(H11&lt;=90,"0~3개월",IF(H11&lt;=180,"3~6개월","6개월 초과"))))</f>
        <v/>
      </c>
      <c r="J11" s="24"/>
      <c r="K11" s="30"/>
    </row>
    <row r="12" customFormat="false" ht="15" hidden="false" customHeight="true" outlineLevel="0" collapsed="false">
      <c r="B12" s="17" t="n">
        <v>6</v>
      </c>
      <c r="C12" s="24"/>
      <c r="D12" s="24"/>
      <c r="E12" s="30"/>
      <c r="F12" s="30"/>
      <c r="G12" s="25"/>
      <c r="H12" s="24" t="str">
        <f aca="false">IF(F12="","",$C$4-F12)</f>
        <v/>
      </c>
      <c r="I12" s="26" t="str">
        <f aca="false">IF(H12="","",IF(H12&lt;0,"기한전",IF(H12&lt;=90,"0~3개월",IF(H12&lt;=180,"3~6개월","6개월 초과"))))</f>
        <v/>
      </c>
      <c r="J12" s="24"/>
      <c r="K12" s="30"/>
    </row>
    <row r="13" customFormat="false" ht="15" hidden="false" customHeight="true" outlineLevel="0" collapsed="false">
      <c r="B13" s="17" t="n">
        <v>7</v>
      </c>
      <c r="C13" s="24"/>
      <c r="D13" s="24"/>
      <c r="E13" s="30"/>
      <c r="F13" s="30"/>
      <c r="G13" s="25"/>
      <c r="H13" s="24" t="str">
        <f aca="false">IF(F13="","",$C$4-F13)</f>
        <v/>
      </c>
      <c r="I13" s="26" t="str">
        <f aca="false">IF(H13="","",IF(H13&lt;0,"기한전",IF(H13&lt;=90,"0~3개월",IF(H13&lt;=180,"3~6개월","6개월 초과"))))</f>
        <v/>
      </c>
      <c r="J13" s="24"/>
      <c r="K13" s="30"/>
    </row>
    <row r="14" customFormat="false" ht="15" hidden="false" customHeight="true" outlineLevel="0" collapsed="false">
      <c r="B14" s="17" t="n">
        <v>8</v>
      </c>
      <c r="C14" s="24"/>
      <c r="D14" s="24"/>
      <c r="E14" s="30"/>
      <c r="F14" s="30"/>
      <c r="G14" s="25"/>
      <c r="H14" s="24" t="str">
        <f aca="false">IF(F14="","",$C$4-F14)</f>
        <v/>
      </c>
      <c r="I14" s="26" t="str">
        <f aca="false">IF(H14="","",IF(H14&lt;0,"기한전",IF(H14&lt;=90,"0~3개월",IF(H14&lt;=180,"3~6개월","6개월 초과"))))</f>
        <v/>
      </c>
      <c r="J14" s="24"/>
      <c r="K14" s="30"/>
    </row>
    <row r="15" customFormat="false" ht="15" hidden="false" customHeight="true" outlineLevel="0" collapsed="false">
      <c r="B15" s="17" t="n">
        <v>9</v>
      </c>
      <c r="C15" s="24"/>
      <c r="D15" s="24"/>
      <c r="E15" s="30"/>
      <c r="F15" s="30"/>
      <c r="G15" s="25"/>
      <c r="H15" s="24" t="str">
        <f aca="false">IF(F15="","",$C$4-F15)</f>
        <v/>
      </c>
      <c r="I15" s="26" t="str">
        <f aca="false">IF(H15="","",IF(H15&lt;0,"기한전",IF(H15&lt;=90,"0~3개월",IF(H15&lt;=180,"3~6개월","6개월 초과"))))</f>
        <v/>
      </c>
      <c r="J15" s="24"/>
      <c r="K15" s="30"/>
    </row>
    <row r="16" customFormat="false" ht="15" hidden="false" customHeight="true" outlineLevel="0" collapsed="false">
      <c r="B16" s="17" t="n">
        <v>10</v>
      </c>
      <c r="C16" s="24"/>
      <c r="D16" s="24"/>
      <c r="E16" s="30"/>
      <c r="F16" s="30"/>
      <c r="G16" s="25"/>
      <c r="H16" s="24" t="str">
        <f aca="false">IF(F16="","",$C$4-F16)</f>
        <v/>
      </c>
      <c r="I16" s="26" t="str">
        <f aca="false">IF(H16="","",IF(H16&lt;0,"기한전",IF(H16&lt;=90,"0~3개월",IF(H16&lt;=180,"3~6개월","6개월 초과"))))</f>
        <v/>
      </c>
      <c r="J16" s="24"/>
      <c r="K16" s="30"/>
    </row>
    <row r="17" customFormat="false" ht="15" hidden="false" customHeight="true" outlineLevel="0" collapsed="false">
      <c r="B17" s="17" t="n">
        <v>11</v>
      </c>
      <c r="C17" s="24"/>
      <c r="D17" s="24"/>
      <c r="E17" s="30"/>
      <c r="F17" s="30"/>
      <c r="G17" s="25"/>
      <c r="H17" s="24" t="str">
        <f aca="false">IF(F17="","",$C$4-F17)</f>
        <v/>
      </c>
      <c r="I17" s="26" t="str">
        <f aca="false">IF(H17="","",IF(H17&lt;0,"기한전",IF(H17&lt;=90,"0~3개월",IF(H17&lt;=180,"3~6개월","6개월 초과"))))</f>
        <v/>
      </c>
      <c r="J17" s="24"/>
      <c r="K17" s="30"/>
    </row>
    <row r="18" customFormat="false" ht="15" hidden="false" customHeight="true" outlineLevel="0" collapsed="false">
      <c r="B18" s="17" t="n">
        <v>12</v>
      </c>
      <c r="C18" s="24"/>
      <c r="D18" s="24"/>
      <c r="E18" s="30"/>
      <c r="F18" s="30"/>
      <c r="G18" s="25"/>
      <c r="H18" s="24" t="str">
        <f aca="false">IF(F18="","",$C$4-F18)</f>
        <v/>
      </c>
      <c r="I18" s="26" t="str">
        <f aca="false">IF(H18="","",IF(H18&lt;0,"기한전",IF(H18&lt;=90,"0~3개월",IF(H18&lt;=180,"3~6개월","6개월 초과"))))</f>
        <v/>
      </c>
      <c r="J18" s="24"/>
      <c r="K18" s="30"/>
    </row>
    <row r="19" customFormat="false" ht="15" hidden="false" customHeight="true" outlineLevel="0" collapsed="false">
      <c r="B19" s="17" t="n">
        <v>13</v>
      </c>
      <c r="C19" s="24"/>
      <c r="D19" s="24"/>
      <c r="E19" s="30"/>
      <c r="F19" s="30"/>
      <c r="G19" s="25"/>
      <c r="H19" s="24" t="str">
        <f aca="false">IF(F19="","",$C$4-F19)</f>
        <v/>
      </c>
      <c r="I19" s="26" t="str">
        <f aca="false">IF(H19="","",IF(H19&lt;0,"기한전",IF(H19&lt;=90,"0~3개월",IF(H19&lt;=180,"3~6개월","6개월 초과"))))</f>
        <v/>
      </c>
      <c r="J19" s="24"/>
      <c r="K19" s="30"/>
    </row>
    <row r="20" customFormat="false" ht="15" hidden="false" customHeight="true" outlineLevel="0" collapsed="false">
      <c r="B20" s="17" t="n">
        <v>14</v>
      </c>
      <c r="C20" s="24"/>
      <c r="D20" s="24"/>
      <c r="E20" s="30"/>
      <c r="F20" s="30"/>
      <c r="G20" s="25"/>
      <c r="H20" s="24" t="str">
        <f aca="false">IF(F20="","",$C$4-F20)</f>
        <v/>
      </c>
      <c r="I20" s="26" t="str">
        <f aca="false">IF(H20="","",IF(H20&lt;0,"기한전",IF(H20&lt;=90,"0~3개월",IF(H20&lt;=180,"3~6개월","6개월 초과"))))</f>
        <v/>
      </c>
      <c r="J20" s="24"/>
      <c r="K20" s="30"/>
    </row>
    <row r="21" customFormat="false" ht="15" hidden="false" customHeight="true" outlineLevel="0" collapsed="false">
      <c r="B21" s="17" t="n">
        <v>15</v>
      </c>
      <c r="C21" s="24"/>
      <c r="D21" s="24"/>
      <c r="E21" s="30"/>
      <c r="F21" s="30"/>
      <c r="G21" s="25"/>
      <c r="H21" s="24" t="str">
        <f aca="false">IF(F21="","",$C$4-F21)</f>
        <v/>
      </c>
      <c r="I21" s="26" t="str">
        <f aca="false">IF(H21="","",IF(H21&lt;0,"기한전",IF(H21&lt;=90,"0~3개월",IF(H21&lt;=180,"3~6개월","6개월 초과"))))</f>
        <v/>
      </c>
      <c r="J21" s="24"/>
      <c r="K21" s="30"/>
    </row>
    <row r="22" customFormat="false" ht="15" hidden="false" customHeight="true" outlineLevel="0" collapsed="false">
      <c r="B22" s="7" t="s">
        <v>120</v>
      </c>
      <c r="G22" s="27" t="n">
        <f aca="false">SUM(G7:G21)</f>
        <v>0</v>
      </c>
    </row>
    <row r="24" customFormat="false" ht="15" hidden="false" customHeight="true" outlineLevel="0" collapsed="false">
      <c r="B24" s="6" t="s">
        <v>133</v>
      </c>
      <c r="C24" s="6"/>
      <c r="D24" s="6"/>
      <c r="E24" s="6"/>
      <c r="F24" s="6"/>
      <c r="G24" s="6"/>
    </row>
    <row r="25" customFormat="false" ht="15" hidden="false" customHeight="true" outlineLevel="0" collapsed="false">
      <c r="B25" s="21" t="s">
        <v>134</v>
      </c>
      <c r="C25" s="31" t="n">
        <f aca="false">SUMIF(I7:I21,"기한전",G7:G21)</f>
        <v>0</v>
      </c>
    </row>
    <row r="26" customFormat="false" ht="15" hidden="false" customHeight="true" outlineLevel="0" collapsed="false">
      <c r="B26" s="32" t="s">
        <v>135</v>
      </c>
      <c r="C26" s="31" t="n">
        <f aca="false">SUMIF(I7:I21,"0~3개월",G7:G21)</f>
        <v>0</v>
      </c>
    </row>
    <row r="27" customFormat="false" ht="15" hidden="false" customHeight="true" outlineLevel="0" collapsed="false">
      <c r="B27" s="32" t="s">
        <v>136</v>
      </c>
      <c r="C27" s="31" t="n">
        <f aca="false">SUMIF(I7:I21,"3~6개월",G7:G21)</f>
        <v>0</v>
      </c>
    </row>
    <row r="28" customFormat="false" ht="15" hidden="false" customHeight="true" outlineLevel="0" collapsed="false">
      <c r="B28" s="32" t="s">
        <v>137</v>
      </c>
      <c r="C28" s="31" t="n">
        <f aca="false">SUMIF(I7:I21,"6개월 초과",G7:G21)</f>
        <v>0</v>
      </c>
    </row>
    <row r="29" customFormat="false" ht="15" hidden="false" customHeight="true" outlineLevel="0" collapsed="false">
      <c r="B29" s="21" t="s">
        <v>138</v>
      </c>
      <c r="C29" s="31" t="n">
        <f aca="false">SUMIFS(G7:G21,I7:I21,"6개월 초과",J7:J21,"미징구")</f>
        <v>0</v>
      </c>
    </row>
  </sheetData>
  <mergeCells count="2">
    <mergeCell ref="B2:J2"/>
    <mergeCell ref="B24:G24"/>
  </mergeCells>
  <conditionalFormatting sqref="I7:I21">
    <cfRule type="cellIs" priority="2" operator="equal" aboveAverage="0" equalAverage="0" bottom="0" percent="0" rank="0" text="" dxfId="1">
      <formula>"6개월 초과"</formula>
    </cfRule>
    <cfRule type="cellIs" priority="3" operator="equal" aboveAverage="0" equalAverage="0" bottom="0" percent="0" rank="0" text="" dxfId="2">
      <formula>"3~6개월"</formula>
    </cfRule>
  </conditionalFormatting>
  <dataValidations count="1">
    <dataValidation allowBlank="true" errorStyle="stop" operator="between" showDropDown="false" showErrorMessage="false" showInputMessage="false" sqref="J7:J21" type="list">
      <formula1>"미징구,징구완료,N/A"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46"/>
  </cols>
  <sheetData>
    <row r="2" customFormat="false" ht="25.5" hidden="false" customHeight="true" outlineLevel="0" collapsed="false">
      <c r="B2" s="2" t="s">
        <v>139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23" t="s">
        <v>140</v>
      </c>
      <c r="C4" s="23"/>
      <c r="D4" s="23"/>
      <c r="E4" s="23"/>
      <c r="F4" s="23"/>
      <c r="G4" s="23"/>
    </row>
    <row r="6" customFormat="false" ht="15" hidden="false" customHeight="true" outlineLevel="0" collapsed="false">
      <c r="B6" s="16" t="s">
        <v>73</v>
      </c>
      <c r="C6" s="16" t="s">
        <v>141</v>
      </c>
      <c r="D6" s="16" t="s">
        <v>142</v>
      </c>
      <c r="E6" s="16" t="s">
        <v>143</v>
      </c>
    </row>
    <row r="7" customFormat="false" ht="15" hidden="false" customHeight="true" outlineLevel="0" collapsed="false">
      <c r="B7" s="18" t="s">
        <v>144</v>
      </c>
      <c r="C7" s="17" t="n">
        <f aca="false">COUNTIFS('4.Supplier_Verification'!H7:H21,"Y")+COUNTIFS('4.Supplier_Verification'!I7:I21,"Y")</f>
        <v>0</v>
      </c>
      <c r="D7" s="33" t="n">
        <f aca="false">SUMIF('4.Supplier_Verification'!H7:H21,"Y",'4.Supplier_Verification'!G7:G21)+SUMIF('4.Supplier_Verification'!I7:I21,"Y",'4.Supplier_Verification'!G7:G21)-SUMIFS('4.Supplier_Verification'!G7:G21,'4.Supplier_Verification'!H7:H21,"Y",'4.Supplier_Verification'!I7:I21,"Y")</f>
        <v>0</v>
      </c>
      <c r="E7" s="19" t="s">
        <v>145</v>
      </c>
    </row>
    <row r="8" customFormat="false" ht="15" hidden="false" customHeight="true" outlineLevel="0" collapsed="false">
      <c r="B8" s="17" t="s">
        <v>146</v>
      </c>
      <c r="C8" s="17" t="n">
        <f aca="false">COUNTIF('4.Supplier_Verification'!J7:J21,"Y")</f>
        <v>0</v>
      </c>
      <c r="D8" s="33" t="n">
        <f aca="false">SUMIF('4.Supplier_Verification'!J7:J21,"Y",'4.Supplier_Verification'!G7:G21)</f>
        <v>0</v>
      </c>
      <c r="E8" s="20" t="s">
        <v>147</v>
      </c>
    </row>
    <row r="9" customFormat="false" ht="15" hidden="false" customHeight="true" outlineLevel="0" collapsed="false">
      <c r="B9" s="18" t="s">
        <v>148</v>
      </c>
      <c r="C9" s="17" t="n">
        <f aca="false">COUNTIF('5.AP_Aging'!I7:I21,"6개월 초과")</f>
        <v>0</v>
      </c>
      <c r="D9" s="33" t="n">
        <f aca="false">SUMIF('5.AP_Aging'!I7:I21,"6개월 초과",'5.AP_Aging'!G7:G21)*0.1</f>
        <v>0</v>
      </c>
      <c r="E9" s="19" t="s">
        <v>149</v>
      </c>
    </row>
    <row r="10" customFormat="false" ht="15" hidden="false" customHeight="true" outlineLevel="0" collapsed="false">
      <c r="B10" s="34" t="s">
        <v>150</v>
      </c>
      <c r="C10" s="34" t="n">
        <f aca="false">SUM(C7:C9)</f>
        <v>0</v>
      </c>
      <c r="D10" s="35" t="n">
        <f aca="false">SUM(D7:D9)</f>
        <v>0</v>
      </c>
      <c r="E10" s="36" t="s">
        <v>151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6" min="5" style="1" width="16"/>
    <col collapsed="false" customWidth="true" hidden="false" outlineLevel="0" max="7" min="7" style="1" width="30"/>
  </cols>
  <sheetData>
    <row r="2" customFormat="false" ht="25.5" hidden="false" customHeight="true" outlineLevel="0" collapsed="false">
      <c r="B2" s="2" t="s">
        <v>152</v>
      </c>
      <c r="C2" s="2"/>
      <c r="D2" s="2"/>
      <c r="E2" s="2"/>
      <c r="F2" s="2"/>
    </row>
    <row r="4" customFormat="false" ht="15" hidden="false" customHeight="true" outlineLevel="0" collapsed="false">
      <c r="B4" s="15" t="s">
        <v>21</v>
      </c>
      <c r="C4" s="16" t="s">
        <v>153</v>
      </c>
      <c r="D4" s="16" t="s">
        <v>74</v>
      </c>
      <c r="E4" s="16" t="s">
        <v>154</v>
      </c>
      <c r="F4" s="16" t="s">
        <v>155</v>
      </c>
      <c r="G4" s="16" t="s">
        <v>156</v>
      </c>
    </row>
    <row r="5" customFormat="false" ht="15" hidden="false" customHeight="true" outlineLevel="0" collapsed="false">
      <c r="B5" s="17" t="n">
        <v>1</v>
      </c>
      <c r="C5" s="18" t="s">
        <v>157</v>
      </c>
      <c r="D5" s="19" t="s">
        <v>158</v>
      </c>
      <c r="E5" s="18" t="s">
        <v>80</v>
      </c>
      <c r="F5" s="18" t="s">
        <v>80</v>
      </c>
      <c r="G5" s="19" t="s">
        <v>159</v>
      </c>
    </row>
    <row r="6" customFormat="false" ht="15" hidden="false" customHeight="true" outlineLevel="0" collapsed="false">
      <c r="B6" s="17" t="n">
        <v>2</v>
      </c>
      <c r="C6" s="18" t="s">
        <v>157</v>
      </c>
      <c r="D6" s="19" t="s">
        <v>160</v>
      </c>
      <c r="E6" s="18" t="s">
        <v>80</v>
      </c>
      <c r="F6" s="18" t="s">
        <v>80</v>
      </c>
      <c r="G6" s="20"/>
    </row>
    <row r="7" customFormat="false" ht="15" hidden="false" customHeight="true" outlineLevel="0" collapsed="false">
      <c r="B7" s="17" t="n">
        <v>3</v>
      </c>
      <c r="C7" s="18" t="s">
        <v>161</v>
      </c>
      <c r="D7" s="19" t="s">
        <v>162</v>
      </c>
      <c r="E7" s="18" t="s">
        <v>80</v>
      </c>
      <c r="F7" s="18" t="s">
        <v>80</v>
      </c>
      <c r="G7" s="20"/>
    </row>
    <row r="8" customFormat="false" ht="15" hidden="false" customHeight="true" outlineLevel="0" collapsed="false">
      <c r="B8" s="17" t="n">
        <v>4</v>
      </c>
      <c r="C8" s="18" t="s">
        <v>163</v>
      </c>
      <c r="D8" s="19" t="s">
        <v>164</v>
      </c>
      <c r="E8" s="18" t="s">
        <v>80</v>
      </c>
      <c r="F8" s="18" t="s">
        <v>80</v>
      </c>
      <c r="G8" s="20"/>
    </row>
    <row r="9" customFormat="false" ht="15" hidden="false" customHeight="true" outlineLevel="0" collapsed="false">
      <c r="B9" s="17" t="n">
        <v>5</v>
      </c>
      <c r="C9" s="18" t="s">
        <v>165</v>
      </c>
      <c r="D9" s="20" t="s">
        <v>166</v>
      </c>
      <c r="E9" s="18" t="s">
        <v>80</v>
      </c>
      <c r="F9" s="18" t="s">
        <v>80</v>
      </c>
      <c r="G9" s="19" t="s">
        <v>167</v>
      </c>
    </row>
    <row r="10" customFormat="false" ht="15" hidden="false" customHeight="true" outlineLevel="0" collapsed="false">
      <c r="B10" s="17" t="n">
        <v>6</v>
      </c>
      <c r="C10" s="18" t="s">
        <v>165</v>
      </c>
      <c r="D10" s="19" t="s">
        <v>168</v>
      </c>
      <c r="E10" s="18" t="s">
        <v>80</v>
      </c>
      <c r="F10" s="18" t="s">
        <v>80</v>
      </c>
      <c r="G10" s="20"/>
    </row>
    <row r="11" customFormat="false" ht="15" hidden="false" customHeight="true" outlineLevel="0" collapsed="false">
      <c r="B11" s="17" t="n">
        <v>7</v>
      </c>
      <c r="C11" s="18" t="s">
        <v>165</v>
      </c>
      <c r="D11" s="19" t="s">
        <v>169</v>
      </c>
      <c r="E11" s="18" t="s">
        <v>80</v>
      </c>
      <c r="F11" s="18" t="s">
        <v>80</v>
      </c>
      <c r="G11" s="20"/>
    </row>
    <row r="12" customFormat="false" ht="15" hidden="false" customHeight="true" outlineLevel="0" collapsed="false">
      <c r="B12" s="17" t="n">
        <v>8</v>
      </c>
      <c r="C12" s="18" t="s">
        <v>165</v>
      </c>
      <c r="D12" s="19" t="s">
        <v>170</v>
      </c>
      <c r="E12" s="18" t="s">
        <v>80</v>
      </c>
      <c r="F12" s="18" t="s">
        <v>80</v>
      </c>
      <c r="G12" s="20"/>
    </row>
    <row r="13" customFormat="false" ht="15" hidden="false" customHeight="true" outlineLevel="0" collapsed="false">
      <c r="B13" s="17" t="n">
        <v>9</v>
      </c>
      <c r="C13" s="18" t="s">
        <v>171</v>
      </c>
      <c r="D13" s="19" t="s">
        <v>172</v>
      </c>
      <c r="E13" s="18" t="s">
        <v>80</v>
      </c>
      <c r="F13" s="18" t="s">
        <v>80</v>
      </c>
      <c r="G13" s="20"/>
    </row>
    <row r="14" customFormat="false" ht="15" hidden="false" customHeight="true" outlineLevel="0" collapsed="false">
      <c r="B14" s="17" t="n">
        <v>10</v>
      </c>
      <c r="C14" s="18" t="s">
        <v>173</v>
      </c>
      <c r="D14" s="19" t="s">
        <v>174</v>
      </c>
      <c r="E14" s="18" t="s">
        <v>80</v>
      </c>
      <c r="F14" s="18" t="s">
        <v>80</v>
      </c>
      <c r="G14" s="19" t="s">
        <v>175</v>
      </c>
    </row>
  </sheetData>
  <mergeCells count="1">
    <mergeCell ref="B2:F2"/>
  </mergeCells>
  <conditionalFormatting sqref="E5:F14">
    <cfRule type="cellIs" priority="2" operator="equal" aboveAverage="0" equalAverage="0" bottom="0" percent="0" rank="0" text="" dxfId="0">
      <formula>"확인완료"</formula>
    </cfRule>
    <cfRule type="cellIs" priority="3" operator="equal" aboveAverage="0" equalAverage="0" bottom="0" percent="0" rank="0" text="" dxfId="1">
      <formula>"불일치"</formula>
    </cfRule>
  </conditionalFormatting>
  <dataValidations count="1">
    <dataValidation allowBlank="true" errorStyle="stop" operator="between" showDropDown="false" showErrorMessage="false" showInputMessage="false" sqref="E5:F14" type="list">
      <formula1>"미확인,확인완료,불일치"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2026-04-24T05:58:46Z</dcterms:created>
  <dc:creator>openpyxl</dc:creator>
  <dc:description/>
  <dc:language>en-US</dc:language>
  <cp:lastModifiedBy/>
  <dcterms:modified xsi:type="dcterms:W3CDTF">2026-04-24T05:59:08Z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