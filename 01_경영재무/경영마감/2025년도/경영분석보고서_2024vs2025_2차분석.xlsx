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STOP\Documents\Closing\"/>
    </mc:Choice>
  </mc:AlternateContent>
  <xr:revisionPtr revIDLastSave="0" documentId="13_ncr:1_{B3722C61-61F9-4E84-BE7D-36CC5C4E5F48}" xr6:coauthVersionLast="47" xr6:coauthVersionMax="47" xr10:uidLastSave="{00000000-0000-0000-0000-000000000000}"/>
  <bookViews>
    <workbookView xWindow="0" yWindow="600" windowWidth="29040" windowHeight="15240" tabRatio="500" activeTab="3" xr2:uid="{00000000-000D-0000-FFFF-FFFF00000000}"/>
  </bookViews>
  <sheets>
    <sheet name="경영분석 요약" sheetId="1" r:id="rId1"/>
    <sheet name="손익계산서 비교" sheetId="2" r:id="rId2"/>
    <sheet name="재무상태표 비교" sheetId="3" r:id="rId3"/>
    <sheet name="분석 및 개선방안" sheetId="4" r:id="rId4"/>
    <sheet name="환율정보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B15" i="5"/>
  <c r="D36" i="3"/>
  <c r="E36" i="3" s="1"/>
  <c r="C36" i="3"/>
  <c r="F36" i="3" s="1"/>
  <c r="E35" i="3"/>
  <c r="F35" i="3" s="1"/>
  <c r="E34" i="3"/>
  <c r="F34" i="3" s="1"/>
  <c r="E33" i="3"/>
  <c r="F33" i="3" s="1"/>
  <c r="D30" i="3"/>
  <c r="D31" i="3" s="1"/>
  <c r="C30" i="3"/>
  <c r="E29" i="3"/>
  <c r="F29" i="3" s="1"/>
  <c r="E28" i="3"/>
  <c r="F28" i="3" s="1"/>
  <c r="D27" i="3"/>
  <c r="E27" i="3" s="1"/>
  <c r="C27" i="3"/>
  <c r="F27" i="3" s="1"/>
  <c r="F26" i="3"/>
  <c r="E26" i="3"/>
  <c r="F25" i="3"/>
  <c r="E25" i="3"/>
  <c r="E24" i="3"/>
  <c r="F24" i="3" s="1"/>
  <c r="E19" i="3"/>
  <c r="F19" i="3" s="1"/>
  <c r="F18" i="3"/>
  <c r="E18" i="3"/>
  <c r="D15" i="3"/>
  <c r="D22" i="3" s="1"/>
  <c r="C15" i="3"/>
  <c r="E15" i="3" s="1"/>
  <c r="F15" i="3" s="1"/>
  <c r="E14" i="3"/>
  <c r="F14" i="3" s="1"/>
  <c r="E13" i="3"/>
  <c r="F13" i="3" s="1"/>
  <c r="E12" i="3"/>
  <c r="F12" i="3" s="1"/>
  <c r="E11" i="3"/>
  <c r="F11" i="3" s="1"/>
  <c r="E10" i="3"/>
  <c r="F10" i="3" s="1"/>
  <c r="F9" i="3"/>
  <c r="E9" i="3"/>
  <c r="D8" i="3"/>
  <c r="E8" i="3" s="1"/>
  <c r="C8" i="3"/>
  <c r="F8" i="3" s="1"/>
  <c r="E7" i="3"/>
  <c r="F7" i="3" s="1"/>
  <c r="F6" i="3"/>
  <c r="E6" i="3"/>
  <c r="E5" i="3"/>
  <c r="F5" i="3" s="1"/>
  <c r="E4" i="3"/>
  <c r="F4" i="3" s="1"/>
  <c r="E27" i="2"/>
  <c r="F27" i="2" s="1"/>
  <c r="E26" i="2"/>
  <c r="F26" i="2" s="1"/>
  <c r="D25" i="2"/>
  <c r="C19" i="1" s="1"/>
  <c r="C25" i="2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5" i="2"/>
  <c r="D15" i="2"/>
  <c r="D23" i="2" s="1"/>
  <c r="C15" i="2"/>
  <c r="C23" i="2" s="1"/>
  <c r="E14" i="2"/>
  <c r="F14" i="2" s="1"/>
  <c r="E13" i="2"/>
  <c r="F13" i="2" s="1"/>
  <c r="E12" i="2"/>
  <c r="F12" i="2" s="1"/>
  <c r="E11" i="2"/>
  <c r="F11" i="2" s="1"/>
  <c r="D9" i="2"/>
  <c r="C16" i="1" s="1"/>
  <c r="C9" i="2"/>
  <c r="B16" i="1" s="1"/>
  <c r="E8" i="2"/>
  <c r="F8" i="2" s="1"/>
  <c r="E7" i="2"/>
  <c r="F7" i="2" s="1"/>
  <c r="E6" i="2"/>
  <c r="F6" i="2" s="1"/>
  <c r="E5" i="2"/>
  <c r="F5" i="2" s="1"/>
  <c r="E4" i="2"/>
  <c r="F4" i="2" s="1"/>
  <c r="F3" i="2"/>
  <c r="E3" i="2"/>
  <c r="C27" i="1"/>
  <c r="D27" i="1" s="1"/>
  <c r="B27" i="1"/>
  <c r="D26" i="1"/>
  <c r="C26" i="1"/>
  <c r="B26" i="1"/>
  <c r="C25" i="1"/>
  <c r="D25" i="1" s="1"/>
  <c r="B25" i="1"/>
  <c r="C24" i="1"/>
  <c r="D24" i="1" s="1"/>
  <c r="B24" i="1"/>
  <c r="C21" i="1"/>
  <c r="D21" i="1" s="1"/>
  <c r="B21" i="1"/>
  <c r="C17" i="1"/>
  <c r="B17" i="1"/>
  <c r="D17" i="1" s="1"/>
  <c r="E12" i="1"/>
  <c r="D12" i="1"/>
  <c r="D11" i="1"/>
  <c r="E11" i="1" s="1"/>
  <c r="D10" i="1"/>
  <c r="E10" i="1" s="1"/>
  <c r="E9" i="1"/>
  <c r="D9" i="1"/>
  <c r="D8" i="1"/>
  <c r="E8" i="1" s="1"/>
  <c r="D7" i="1"/>
  <c r="E7" i="1" s="1"/>
  <c r="D6" i="1"/>
  <c r="E6" i="1" s="1"/>
  <c r="C24" i="2" l="1"/>
  <c r="B18" i="1"/>
  <c r="B22" i="1"/>
  <c r="D38" i="3"/>
  <c r="C20" i="1"/>
  <c r="D16" i="1"/>
  <c r="E23" i="2"/>
  <c r="F23" i="2" s="1"/>
  <c r="C23" i="1"/>
  <c r="C22" i="1"/>
  <c r="D22" i="1" s="1"/>
  <c r="C18" i="1"/>
  <c r="D18" i="1" s="1"/>
  <c r="D24" i="2"/>
  <c r="E24" i="2" s="1"/>
  <c r="E25" i="2"/>
  <c r="F25" i="2" s="1"/>
  <c r="B19" i="1"/>
  <c r="D19" i="1" s="1"/>
  <c r="C16" i="2"/>
  <c r="C22" i="3"/>
  <c r="E30" i="3"/>
  <c r="F30" i="3" s="1"/>
  <c r="F15" i="2"/>
  <c r="C31" i="3"/>
  <c r="D16" i="2"/>
  <c r="E16" i="2" s="1"/>
  <c r="E9" i="2"/>
  <c r="F9" i="2" s="1"/>
  <c r="D10" i="2"/>
  <c r="C10" i="2"/>
  <c r="B20" i="1" l="1"/>
  <c r="C38" i="3"/>
  <c r="E22" i="3"/>
  <c r="F22" i="3" s="1"/>
  <c r="D20" i="1"/>
  <c r="E31" i="3"/>
  <c r="F31" i="3" s="1"/>
  <c r="E38" i="3"/>
  <c r="B23" i="1"/>
  <c r="D23" i="1" s="1"/>
  <c r="E10" i="2"/>
  <c r="F38" i="3" l="1"/>
</calcChain>
</file>

<file path=xl/sharedStrings.xml><?xml version="1.0" encoding="utf-8"?>
<sst xmlns="http://schemas.openxmlformats.org/spreadsheetml/2006/main" count="248" uniqueCount="212">
  <si>
    <r>
      <rPr>
        <b/>
        <sz val="14"/>
        <color rgb="FF1F3864"/>
        <rFont val="Arial"/>
        <family val="2"/>
      </rPr>
      <t xml:space="preserve">M&amp;C Electronics Vina - </t>
    </r>
    <r>
      <rPr>
        <b/>
        <sz val="14"/>
        <color rgb="FF1F3864"/>
        <rFont val="DejaVu Sans"/>
        <family val="2"/>
      </rPr>
      <t xml:space="preserve">경영분석 보고서 </t>
    </r>
    <r>
      <rPr>
        <b/>
        <sz val="14"/>
        <color rgb="FF1F3864"/>
        <rFont val="Arial"/>
        <family val="2"/>
      </rPr>
      <t>(2</t>
    </r>
    <r>
      <rPr>
        <b/>
        <sz val="14"/>
        <color rgb="FF1F3864"/>
        <rFont val="DejaVu Sans"/>
        <family val="2"/>
      </rPr>
      <t>차</t>
    </r>
    <r>
      <rPr>
        <b/>
        <sz val="14"/>
        <color rgb="FF1F3864"/>
        <rFont val="Arial"/>
        <family val="2"/>
      </rPr>
      <t>)</t>
    </r>
  </si>
  <si>
    <r>
      <rPr>
        <b/>
        <sz val="12"/>
        <color rgb="FF2E75B6"/>
        <rFont val="DejaVu Sans"/>
        <family val="2"/>
      </rPr>
      <t>기준</t>
    </r>
    <r>
      <rPr>
        <b/>
        <sz val="12"/>
        <color rgb="FF2E75B6"/>
        <rFont val="DejaVu Sans"/>
        <family val="2"/>
        <charset val="1"/>
      </rPr>
      <t>: 2024</t>
    </r>
    <r>
      <rPr>
        <b/>
        <sz val="12"/>
        <color rgb="FF2E75B6"/>
        <rFont val="DejaVu Sans"/>
        <family val="2"/>
      </rPr>
      <t xml:space="preserve">년 </t>
    </r>
    <r>
      <rPr>
        <b/>
        <sz val="12"/>
        <color rgb="FF2E75B6"/>
        <rFont val="DejaVu Sans"/>
        <family val="2"/>
        <charset val="1"/>
      </rPr>
      <t>vs 2025</t>
    </r>
    <r>
      <rPr>
        <b/>
        <sz val="12"/>
        <color rgb="FF2E75B6"/>
        <rFont val="DejaVu Sans"/>
        <family val="2"/>
      </rPr>
      <t xml:space="preserve">년 </t>
    </r>
    <r>
      <rPr>
        <b/>
        <sz val="12"/>
        <color rgb="FF2E75B6"/>
        <rFont val="DejaVu Sans"/>
        <family val="2"/>
        <charset val="1"/>
      </rPr>
      <t>(USD)</t>
    </r>
  </si>
  <si>
    <r>
      <rPr>
        <b/>
        <sz val="12"/>
        <color rgb="FF2E75B6"/>
        <rFont val="Arial"/>
        <family val="2"/>
      </rPr>
      <t xml:space="preserve">[ </t>
    </r>
    <r>
      <rPr>
        <b/>
        <sz val="12"/>
        <color rgb="FF2E75B6"/>
        <rFont val="DejaVu Sans"/>
        <family val="2"/>
      </rPr>
      <t xml:space="preserve">주요 손익 지표 </t>
    </r>
    <r>
      <rPr>
        <b/>
        <sz val="12"/>
        <color rgb="FF2E75B6"/>
        <rFont val="Arial"/>
        <family val="2"/>
      </rPr>
      <t>]</t>
    </r>
  </si>
  <si>
    <t>지표</t>
  </si>
  <si>
    <r>
      <rPr>
        <b/>
        <sz val="11"/>
        <color rgb="FFFFFFFF"/>
        <rFont val="Arial"/>
        <family val="2"/>
      </rPr>
      <t>2024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</si>
  <si>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2025</t>
    </r>
    <r>
      <rPr>
        <b/>
        <sz val="11"/>
        <color rgb="FFFFFFFF"/>
        <rFont val="DejaVu Sans"/>
        <family val="2"/>
      </rPr>
      <t>년</t>
    </r>
  </si>
  <si>
    <t>증감액</t>
  </si>
  <si>
    <t>증감률</t>
  </si>
  <si>
    <t>평가</t>
  </si>
  <si>
    <r>
      <rPr>
        <sz val="11"/>
        <rFont val="DejaVu Sans"/>
        <family val="2"/>
      </rPr>
      <t xml:space="preserve">매출액 </t>
    </r>
    <r>
      <rPr>
        <sz val="11"/>
        <rFont val="DejaVu Sans"/>
        <family val="2"/>
        <charset val="1"/>
      </rPr>
      <t>(Revenue)</t>
    </r>
  </si>
  <si>
    <t>▲ 증가</t>
  </si>
  <si>
    <r>
      <rPr>
        <sz val="11"/>
        <rFont val="DejaVu Sans"/>
        <family val="2"/>
      </rPr>
      <t xml:space="preserve">매출원가 </t>
    </r>
    <r>
      <rPr>
        <sz val="11"/>
        <rFont val="DejaVu Sans"/>
        <family val="2"/>
        <charset val="1"/>
      </rPr>
      <t>(COGS)</t>
    </r>
  </si>
  <si>
    <r>
      <rPr>
        <sz val="10"/>
        <color rgb="FF006100"/>
        <rFont val="DejaVu Sans"/>
        <family val="2"/>
      </rPr>
      <t xml:space="preserve">▼ 감소 </t>
    </r>
    <r>
      <rPr>
        <sz val="10"/>
        <color rgb="FF006100"/>
        <rFont val="Arial"/>
        <family val="2"/>
      </rPr>
      <t>(</t>
    </r>
    <r>
      <rPr>
        <sz val="10"/>
        <color rgb="FF006100"/>
        <rFont val="DejaVu Sans"/>
        <family val="2"/>
      </rPr>
      <t>개선</t>
    </r>
    <r>
      <rPr>
        <sz val="10"/>
        <color rgb="FF006100"/>
        <rFont val="Arial"/>
        <family val="2"/>
      </rPr>
      <t>)</t>
    </r>
  </si>
  <si>
    <r>
      <rPr>
        <b/>
        <sz val="11"/>
        <rFont val="DejaVu Sans"/>
        <family val="2"/>
      </rPr>
      <t xml:space="preserve">매출총이익 </t>
    </r>
    <r>
      <rPr>
        <b/>
        <sz val="11"/>
        <rFont val="DejaVu Sans"/>
        <family val="2"/>
        <charset val="1"/>
      </rPr>
      <t>(Gross Profit)</t>
    </r>
  </si>
  <si>
    <t>▲▲ 대폭 개선</t>
  </si>
  <si>
    <r>
      <rPr>
        <sz val="11"/>
        <rFont val="DejaVu Sans"/>
        <family val="2"/>
      </rPr>
      <t xml:space="preserve">판관비 </t>
    </r>
    <r>
      <rPr>
        <sz val="11"/>
        <rFont val="DejaVu Sans"/>
        <family val="2"/>
        <charset val="1"/>
      </rPr>
      <t>(SG&amp;A)</t>
    </r>
  </si>
  <si>
    <r>
      <rPr>
        <b/>
        <sz val="11"/>
        <rFont val="DejaVu Sans"/>
        <family val="2"/>
      </rPr>
      <t xml:space="preserve">영업이익 </t>
    </r>
    <r>
      <rPr>
        <b/>
        <sz val="11"/>
        <rFont val="DejaVu Sans"/>
        <family val="2"/>
        <charset val="1"/>
      </rPr>
      <t>(Operating Profit)</t>
    </r>
  </si>
  <si>
    <r>
      <rPr>
        <b/>
        <sz val="11"/>
        <rFont val="DejaVu Sans"/>
        <family val="2"/>
      </rPr>
      <t xml:space="preserve">당기순이익 </t>
    </r>
    <r>
      <rPr>
        <b/>
        <sz val="11"/>
        <rFont val="DejaVu Sans"/>
        <family val="2"/>
        <charset val="1"/>
      </rPr>
      <t>(Net Profit)</t>
    </r>
  </si>
  <si>
    <t>▲▲▲ 대폭 개선</t>
  </si>
  <si>
    <t>EBITDA</t>
  </si>
  <si>
    <r>
      <rPr>
        <b/>
        <sz val="12"/>
        <color rgb="FF2E75B6"/>
        <rFont val="Arial"/>
        <family val="2"/>
      </rPr>
      <t xml:space="preserve">[ </t>
    </r>
    <r>
      <rPr>
        <b/>
        <sz val="12"/>
        <color rgb="FF2E75B6"/>
        <rFont val="DejaVu Sans"/>
        <family val="2"/>
      </rPr>
      <t xml:space="preserve">주요 경영 지표 </t>
    </r>
    <r>
      <rPr>
        <b/>
        <sz val="12"/>
        <color rgb="FF2E75B6"/>
        <rFont val="Arial"/>
        <family val="2"/>
      </rPr>
      <t>]</t>
    </r>
  </si>
  <si>
    <t>증감</t>
  </si>
  <si>
    <t>방향</t>
  </si>
  <si>
    <t>매출총이익률</t>
  </si>
  <si>
    <t>↑</t>
  </si>
  <si>
    <t>▲ 개선</t>
  </si>
  <si>
    <t>영업이익률</t>
  </si>
  <si>
    <t>순이익률</t>
  </si>
  <si>
    <r>
      <rPr>
        <sz val="11"/>
        <rFont val="Arial"/>
        <family val="2"/>
      </rPr>
      <t xml:space="preserve">EBITDA </t>
    </r>
    <r>
      <rPr>
        <sz val="11"/>
        <rFont val="DejaVu Sans"/>
        <family val="2"/>
      </rPr>
      <t>마진</t>
    </r>
  </si>
  <si>
    <r>
      <rPr>
        <sz val="11"/>
        <rFont val="DejaVu Sans"/>
        <family val="2"/>
      </rPr>
      <t xml:space="preserve">부채비율 </t>
    </r>
    <r>
      <rPr>
        <sz val="11"/>
        <rFont val="DejaVu Sans"/>
        <family val="2"/>
        <charset val="1"/>
      </rPr>
      <t>(D/E)</t>
    </r>
  </si>
  <si>
    <t>↓</t>
  </si>
  <si>
    <r>
      <rPr>
        <sz val="10"/>
        <color rgb="FF006100"/>
        <rFont val="DejaVu Sans"/>
        <family val="2"/>
      </rPr>
      <t xml:space="preserve">▼ 개선 </t>
    </r>
    <r>
      <rPr>
        <sz val="10"/>
        <color rgb="FF006100"/>
        <rFont val="Arial"/>
        <family val="2"/>
      </rPr>
      <t>(</t>
    </r>
    <r>
      <rPr>
        <sz val="10"/>
        <color rgb="FF006100"/>
        <rFont val="DejaVu Sans"/>
        <family val="2"/>
      </rPr>
      <t>감소</t>
    </r>
    <r>
      <rPr>
        <sz val="10"/>
        <color rgb="FF006100"/>
        <rFont val="Arial"/>
        <family val="2"/>
      </rPr>
      <t>)</t>
    </r>
  </si>
  <si>
    <t>유동비율</t>
  </si>
  <si>
    <t>ROE</t>
  </si>
  <si>
    <t>ROA</t>
  </si>
  <si>
    <t>판관비율</t>
  </si>
  <si>
    <t>매출채권 회전일수</t>
  </si>
  <si>
    <t>재고자산 회전일수</t>
  </si>
  <si>
    <t>▼▼ 대폭 개선</t>
  </si>
  <si>
    <t>매입채무 회전일수</t>
  </si>
  <si>
    <t>▲ 소폭 증가</t>
  </si>
  <si>
    <r>
      <rPr>
        <b/>
        <sz val="14"/>
        <color rgb="FF1F3864"/>
        <rFont val="DejaVu Sans"/>
        <family val="2"/>
      </rPr>
      <t xml:space="preserve">손익계산서 비교분석 </t>
    </r>
    <r>
      <rPr>
        <b/>
        <sz val="14"/>
        <color rgb="FF1F3864"/>
        <rFont val="DejaVu Sans"/>
        <family val="2"/>
        <charset val="1"/>
      </rPr>
      <t>(2024 vs 2025)</t>
    </r>
  </si>
  <si>
    <t>코드</t>
  </si>
  <si>
    <t>계정과목</t>
  </si>
  <si>
    <t>I</t>
  </si>
  <si>
    <t>I-1</t>
  </si>
  <si>
    <t xml:space="preserve">  제품매출</t>
  </si>
  <si>
    <t>II</t>
  </si>
  <si>
    <r>
      <rPr>
        <b/>
        <sz val="10"/>
        <rFont val="DejaVu Sans"/>
        <family val="2"/>
      </rPr>
      <t xml:space="preserve">매출원가 </t>
    </r>
    <r>
      <rPr>
        <b/>
        <sz val="10"/>
        <rFont val="Arial"/>
        <family val="2"/>
      </rPr>
      <t>(COGS)</t>
    </r>
  </si>
  <si>
    <t>II-1</t>
  </si>
  <si>
    <t xml:space="preserve">  원재료비</t>
  </si>
  <si>
    <t>II-2</t>
  </si>
  <si>
    <t xml:space="preserve">  노무비</t>
  </si>
  <si>
    <t>II-3</t>
  </si>
  <si>
    <t xml:space="preserve">  제조경비</t>
  </si>
  <si>
    <t>III</t>
  </si>
  <si>
    <t>매출총이익</t>
  </si>
  <si>
    <t>III-pct</t>
  </si>
  <si>
    <t xml:space="preserve">  매출총이익률</t>
  </si>
  <si>
    <t>IV</t>
  </si>
  <si>
    <r>
      <rPr>
        <sz val="11"/>
        <rFont val="DejaVu Sans"/>
        <family val="2"/>
      </rPr>
      <t xml:space="preserve">판매비와관리비 </t>
    </r>
    <r>
      <rPr>
        <sz val="11"/>
        <rFont val="DejaVu Sans"/>
        <family val="2"/>
        <charset val="1"/>
      </rPr>
      <t>(SG&amp;A)</t>
    </r>
  </si>
  <si>
    <t>IV-1</t>
  </si>
  <si>
    <t xml:space="preserve">  급여</t>
  </si>
  <si>
    <t>IV-2</t>
  </si>
  <si>
    <t xml:space="preserve">  감가상각비</t>
  </si>
  <si>
    <t>IV-3</t>
  </si>
  <si>
    <t xml:space="preserve">  기타판관비</t>
  </si>
  <si>
    <t>V</t>
  </si>
  <si>
    <t>영업이익</t>
  </si>
  <si>
    <t>V-pct</t>
  </si>
  <si>
    <t xml:space="preserve">  영업이익률</t>
  </si>
  <si>
    <t>VI</t>
  </si>
  <si>
    <t>영업외수익</t>
  </si>
  <si>
    <t>VI-1</t>
  </si>
  <si>
    <t xml:space="preserve">  이자수익</t>
  </si>
  <si>
    <t>VI-2</t>
  </si>
  <si>
    <t xml:space="preserve">  기타영업외수익</t>
  </si>
  <si>
    <t>VII</t>
  </si>
  <si>
    <t>영업외비용</t>
  </si>
  <si>
    <t>VII-1</t>
  </si>
  <si>
    <t xml:space="preserve">  이자비용</t>
  </si>
  <si>
    <t>VII-2</t>
  </si>
  <si>
    <t xml:space="preserve">  기타영업외비용</t>
  </si>
  <si>
    <t>VIII</t>
  </si>
  <si>
    <t>당기순이익</t>
  </si>
  <si>
    <t>VIII-pct</t>
  </si>
  <si>
    <t xml:space="preserve">  순이익률</t>
  </si>
  <si>
    <t>IX</t>
  </si>
  <si>
    <t>IX-1</t>
  </si>
  <si>
    <r>
      <rPr>
        <sz val="11"/>
        <rFont val="DejaVu Sans"/>
        <family val="2"/>
      </rPr>
      <t xml:space="preserve">  감가상각비 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제조</t>
    </r>
    <r>
      <rPr>
        <sz val="11"/>
        <rFont val="DejaVu Sans"/>
        <family val="2"/>
        <charset val="1"/>
      </rPr>
      <t>)</t>
    </r>
  </si>
  <si>
    <t>IX-2</t>
  </si>
  <si>
    <r>
      <rPr>
        <sz val="11"/>
        <rFont val="DejaVu Sans"/>
        <family val="2"/>
      </rPr>
      <t xml:space="preserve">  감가상각비 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판관</t>
    </r>
    <r>
      <rPr>
        <sz val="11"/>
        <rFont val="DejaVu Sans"/>
        <family val="2"/>
        <charset val="1"/>
      </rPr>
      <t>)</t>
    </r>
  </si>
  <si>
    <r>
      <rPr>
        <b/>
        <sz val="14"/>
        <color rgb="FF1F3864"/>
        <rFont val="DejaVu Sans"/>
        <family val="2"/>
      </rPr>
      <t xml:space="preserve">재무상태표 비교분석 </t>
    </r>
    <r>
      <rPr>
        <b/>
        <sz val="14"/>
        <color rgb="FF1F3864"/>
        <rFont val="DejaVu Sans"/>
        <family val="2"/>
        <charset val="1"/>
      </rPr>
      <t>(2024.12 vs 2025.12)</t>
    </r>
  </si>
  <si>
    <r>
      <rPr>
        <b/>
        <sz val="11"/>
        <color rgb="FFFFFFFF"/>
        <rFont val="Arial"/>
        <family val="2"/>
      </rPr>
      <t>2024</t>
    </r>
    <r>
      <rPr>
        <b/>
        <sz val="11"/>
        <color rgb="FFFFFFFF"/>
        <rFont val="DejaVu Sans"/>
        <family val="2"/>
      </rPr>
      <t>년말</t>
    </r>
  </si>
  <si>
    <r>
      <rPr>
        <b/>
        <sz val="11"/>
        <color rgb="FFFFFFFF"/>
        <rFont val="Arial"/>
        <family val="2"/>
      </rPr>
      <t>2025</t>
    </r>
    <r>
      <rPr>
        <b/>
        <sz val="11"/>
        <color rgb="FFFFFFFF"/>
        <rFont val="DejaVu Sans"/>
        <family val="2"/>
      </rPr>
      <t>년말</t>
    </r>
  </si>
  <si>
    <r>
      <rPr>
        <b/>
        <sz val="10"/>
        <color rgb="FFFFFFFF"/>
        <rFont val="Arial"/>
        <family val="2"/>
      </rPr>
      <t xml:space="preserve">[ </t>
    </r>
    <r>
      <rPr>
        <b/>
        <sz val="10"/>
        <color rgb="FFFFFFFF"/>
        <rFont val="DejaVu Sans"/>
        <family val="2"/>
      </rPr>
      <t xml:space="preserve">자산 </t>
    </r>
    <r>
      <rPr>
        <b/>
        <sz val="10"/>
        <color rgb="FFFFFFFF"/>
        <rFont val="Arial"/>
        <family val="2"/>
      </rPr>
      <t>]</t>
    </r>
  </si>
  <si>
    <t>A1</t>
  </si>
  <si>
    <t>현금및현금성자산</t>
  </si>
  <si>
    <t>A2</t>
  </si>
  <si>
    <t>단기금융상품</t>
  </si>
  <si>
    <t>A3</t>
  </si>
  <si>
    <t>매출채권</t>
  </si>
  <si>
    <t>A4</t>
  </si>
  <si>
    <t>재고자산</t>
  </si>
  <si>
    <t>A-Q</t>
  </si>
  <si>
    <t xml:space="preserve">  유동자산 소계</t>
  </si>
  <si>
    <t>A5</t>
  </si>
  <si>
    <t xml:space="preserve">  원재료</t>
  </si>
  <si>
    <t>A6</t>
  </si>
  <si>
    <t xml:space="preserve">  재공품</t>
  </si>
  <si>
    <t>A7</t>
  </si>
  <si>
    <t xml:space="preserve">  제품</t>
  </si>
  <si>
    <t>A8</t>
  </si>
  <si>
    <t>유형자산</t>
  </si>
  <si>
    <t>A9</t>
  </si>
  <si>
    <t>무형자산</t>
  </si>
  <si>
    <t>A10</t>
  </si>
  <si>
    <t>기타비유동자산</t>
  </si>
  <si>
    <t>A-F</t>
  </si>
  <si>
    <t xml:space="preserve">  비유동자산 소계</t>
  </si>
  <si>
    <t>기타자산</t>
  </si>
  <si>
    <t>A-NCA2</t>
  </si>
  <si>
    <t xml:space="preserve">  투자자산</t>
  </si>
  <si>
    <t>A-NCA3</t>
  </si>
  <si>
    <t xml:space="preserve">  기타</t>
  </si>
  <si>
    <t>AT</t>
  </si>
  <si>
    <t>자산총계</t>
  </si>
  <si>
    <r>
      <rPr>
        <b/>
        <sz val="10"/>
        <color rgb="FFFFFFFF"/>
        <rFont val="Arial"/>
        <family val="2"/>
      </rPr>
      <t xml:space="preserve">[ </t>
    </r>
    <r>
      <rPr>
        <b/>
        <sz val="10"/>
        <color rgb="FFFFFFFF"/>
        <rFont val="DejaVu Sans"/>
        <family val="2"/>
      </rPr>
      <t xml:space="preserve">부채 </t>
    </r>
    <r>
      <rPr>
        <b/>
        <sz val="10"/>
        <color rgb="FFFFFFFF"/>
        <rFont val="Arial"/>
        <family val="2"/>
      </rPr>
      <t>]</t>
    </r>
  </si>
  <si>
    <t>L1</t>
  </si>
  <si>
    <t>매입채무</t>
  </si>
  <si>
    <t>L2</t>
  </si>
  <si>
    <t>단기차입금</t>
  </si>
  <si>
    <t>L3</t>
  </si>
  <si>
    <t>기타유동부채</t>
  </si>
  <si>
    <t>L-C</t>
  </si>
  <si>
    <t xml:space="preserve">  유동부채 소계</t>
  </si>
  <si>
    <t>L4</t>
  </si>
  <si>
    <t>장기차입금</t>
  </si>
  <si>
    <t>L5</t>
  </si>
  <si>
    <t>기타비유동부채</t>
  </si>
  <si>
    <t>L-NC</t>
  </si>
  <si>
    <t xml:space="preserve">  비유동부채 소계</t>
  </si>
  <si>
    <t>LT</t>
  </si>
  <si>
    <t>부채총계</t>
  </si>
  <si>
    <r>
      <rPr>
        <b/>
        <sz val="10"/>
        <color rgb="FFFFFFFF"/>
        <rFont val="Arial"/>
        <family val="2"/>
      </rPr>
      <t xml:space="preserve">[ </t>
    </r>
    <r>
      <rPr>
        <b/>
        <sz val="10"/>
        <color rgb="FFFFFFFF"/>
        <rFont val="DejaVu Sans"/>
        <family val="2"/>
      </rPr>
      <t xml:space="preserve">자본 </t>
    </r>
    <r>
      <rPr>
        <b/>
        <sz val="10"/>
        <color rgb="FFFFFFFF"/>
        <rFont val="Arial"/>
        <family val="2"/>
      </rPr>
      <t>]</t>
    </r>
  </si>
  <si>
    <t>E1</t>
  </si>
  <si>
    <t>자본금</t>
  </si>
  <si>
    <t>E2</t>
  </si>
  <si>
    <t>이익잉여금</t>
  </si>
  <si>
    <t>E3</t>
  </si>
  <si>
    <t>기타자본</t>
  </si>
  <si>
    <t>ET</t>
  </si>
  <si>
    <t>자본총계</t>
  </si>
  <si>
    <t>LEQT</t>
  </si>
  <si>
    <t>부채및자본총계</t>
  </si>
  <si>
    <r>
      <rPr>
        <b/>
        <sz val="14"/>
        <color rgb="FF1F3864"/>
        <rFont val="Arial"/>
        <family val="2"/>
      </rPr>
      <t xml:space="preserve">M&amp;C Electronics Vina </t>
    </r>
    <r>
      <rPr>
        <b/>
        <sz val="14"/>
        <color rgb="FF1F3864"/>
        <rFont val="DejaVu Sans"/>
        <family val="2"/>
      </rPr>
      <t xml:space="preserve">경영분석 및 개선방안 </t>
    </r>
    <r>
      <rPr>
        <b/>
        <sz val="14"/>
        <color rgb="FF1F3864"/>
        <rFont val="Arial"/>
        <family val="2"/>
      </rPr>
      <t>(2</t>
    </r>
    <r>
      <rPr>
        <b/>
        <sz val="14"/>
        <color rgb="FF1F3864"/>
        <rFont val="DejaVu Sans"/>
        <family val="2"/>
      </rPr>
      <t>차</t>
    </r>
    <r>
      <rPr>
        <b/>
        <sz val="14"/>
        <color rgb="FF1F3864"/>
        <rFont val="Arial"/>
        <family val="2"/>
      </rPr>
      <t>)</t>
    </r>
  </si>
  <si>
    <r>
      <rPr>
        <b/>
        <sz val="11"/>
        <color rgb="FF1F4E79"/>
        <rFont val="Arial"/>
        <family val="2"/>
      </rPr>
      <t xml:space="preserve">1. </t>
    </r>
    <r>
      <rPr>
        <b/>
        <sz val="11"/>
        <color rgb="FF1F4E79"/>
        <rFont val="DejaVu Sans"/>
        <family val="2"/>
      </rPr>
      <t>수익성 분석</t>
    </r>
  </si>
  <si>
    <r>
      <rPr>
        <sz val="11"/>
        <rFont val="DejaVu Sans"/>
        <family val="2"/>
      </rPr>
      <t xml:space="preserve">매출액은 </t>
    </r>
    <r>
      <rPr>
        <sz val="11"/>
        <rFont val="DejaVu Sans"/>
        <family val="2"/>
        <charset val="1"/>
      </rPr>
      <t>$45.96M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$47.31M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2.9% </t>
    </r>
    <r>
      <rPr>
        <sz val="11"/>
        <rFont val="DejaVu Sans"/>
        <family val="2"/>
      </rPr>
      <t>증가하였습니다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</si>
  <si>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매출총이익률은 </t>
    </r>
    <r>
      <rPr>
        <sz val="11"/>
        <rFont val="DejaVu Sans"/>
        <family val="2"/>
        <charset val="1"/>
      </rPr>
      <t>20.3%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28.6%</t>
    </r>
    <r>
      <rPr>
        <sz val="11"/>
        <rFont val="DejaVu Sans"/>
        <family val="2"/>
      </rPr>
      <t xml:space="preserve">로 </t>
    </r>
    <r>
      <rPr>
        <sz val="11"/>
        <rFont val="DejaVu Sans"/>
        <family val="2"/>
        <charset val="1"/>
      </rPr>
      <t xml:space="preserve">8.3%p </t>
    </r>
    <r>
      <rPr>
        <sz val="11"/>
        <rFont val="DejaVu Sans"/>
        <family val="2"/>
      </rPr>
      <t>대폭 개선되어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원가관리 효율성이 크게 향상되었습니다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</si>
  <si>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매출원가는 </t>
    </r>
    <r>
      <rPr>
        <sz val="11"/>
        <rFont val="DejaVu Sans"/>
        <family val="2"/>
        <charset val="1"/>
      </rPr>
      <t>$36.63M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$33.78M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7.8% </t>
    </r>
    <r>
      <rPr>
        <sz val="11"/>
        <rFont val="DejaVu Sans"/>
        <family val="2"/>
      </rPr>
      <t>감소하여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매출 증가에도 불구하고 원가 절감에 성공하였습니다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</si>
  <si>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특히 원재료비가 </t>
    </r>
    <r>
      <rPr>
        <sz val="11"/>
        <rFont val="DejaVu Sans"/>
        <family val="2"/>
        <charset val="1"/>
      </rPr>
      <t>$27.82M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$24.64M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11.4% </t>
    </r>
    <r>
      <rPr>
        <sz val="11"/>
        <rFont val="DejaVu Sans"/>
        <family val="2"/>
      </rPr>
      <t>절감된 것이 매출총이익률 개선의 핵심 요인입니다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</si>
  <si>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영업이익률은 </t>
    </r>
    <r>
      <rPr>
        <sz val="11"/>
        <rFont val="DejaVu Sans"/>
        <family val="2"/>
        <charset val="1"/>
      </rPr>
      <t>5.3%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16.6%</t>
    </r>
    <r>
      <rPr>
        <sz val="11"/>
        <rFont val="DejaVu Sans"/>
        <family val="2"/>
      </rPr>
      <t>로 대폭 개선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순이익률은 </t>
    </r>
    <r>
      <rPr>
        <sz val="11"/>
        <rFont val="DejaVu Sans"/>
        <family val="2"/>
        <charset val="1"/>
      </rPr>
      <t>3.4%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15.5%</t>
    </r>
    <r>
      <rPr>
        <sz val="11"/>
        <rFont val="DejaVu Sans"/>
        <family val="2"/>
      </rPr>
      <t xml:space="preserve">로 약 </t>
    </r>
    <r>
      <rPr>
        <sz val="11"/>
        <rFont val="DejaVu Sans"/>
        <family val="2"/>
        <charset val="1"/>
      </rPr>
      <t>4.5</t>
    </r>
    <r>
      <rPr>
        <sz val="11"/>
        <rFont val="DejaVu Sans"/>
        <family val="2"/>
      </rPr>
      <t>배 향상되었습니다</t>
    </r>
    <r>
      <rPr>
        <sz val="11"/>
        <rFont val="DejaVu Sans"/>
        <family val="2"/>
        <charset val="1"/>
      </rPr>
      <t>.</t>
    </r>
  </si>
  <si>
    <r>
      <rPr>
        <sz val="11"/>
        <rFont val="Arial"/>
        <family val="2"/>
      </rPr>
      <t>EBITDA</t>
    </r>
    <r>
      <rPr>
        <sz val="11"/>
        <rFont val="DejaVu Sans"/>
        <family val="2"/>
      </rPr>
      <t xml:space="preserve">는 </t>
    </r>
    <r>
      <rPr>
        <sz val="11"/>
        <rFont val="Arial"/>
        <family val="2"/>
      </rPr>
      <t>$5.15M</t>
    </r>
    <r>
      <rPr>
        <sz val="11"/>
        <rFont val="DejaVu Sans"/>
        <family val="2"/>
      </rPr>
      <t xml:space="preserve">에서 </t>
    </r>
    <r>
      <rPr>
        <sz val="11"/>
        <rFont val="Arial"/>
        <family val="2"/>
      </rPr>
      <t>$11.56M</t>
    </r>
    <r>
      <rPr>
        <sz val="11"/>
        <rFont val="DejaVu Sans"/>
        <family val="2"/>
      </rPr>
      <t xml:space="preserve">으로 </t>
    </r>
    <r>
      <rPr>
        <sz val="11"/>
        <rFont val="Arial"/>
        <family val="2"/>
      </rPr>
      <t xml:space="preserve">124.4% </t>
    </r>
    <r>
      <rPr>
        <sz val="11"/>
        <rFont val="DejaVu Sans"/>
        <family val="2"/>
      </rPr>
      <t>증가하여 영업현금창출력이 크게 강화되었습니다</t>
    </r>
    <r>
      <rPr>
        <sz val="11"/>
        <rFont val="Arial"/>
        <family val="2"/>
      </rPr>
      <t>.</t>
    </r>
  </si>
  <si>
    <r>
      <rPr>
        <b/>
        <sz val="11"/>
        <color rgb="FF1F4E79"/>
        <rFont val="Arial"/>
        <family val="2"/>
      </rPr>
      <t xml:space="preserve">2. </t>
    </r>
    <r>
      <rPr>
        <b/>
        <sz val="11"/>
        <color rgb="FF1F4E79"/>
        <rFont val="DejaVu Sans"/>
        <family val="2"/>
      </rPr>
      <t>비용구조 분석</t>
    </r>
  </si>
  <si>
    <r>
      <rPr>
        <sz val="11"/>
        <rFont val="DejaVu Sans"/>
        <family val="2"/>
      </rPr>
      <t xml:space="preserve">매출원가율이 </t>
    </r>
    <r>
      <rPr>
        <sz val="11"/>
        <rFont val="DejaVu Sans"/>
        <family val="2"/>
        <charset val="1"/>
      </rPr>
      <t>79.7%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71.4%</t>
    </r>
    <r>
      <rPr>
        <sz val="11"/>
        <rFont val="DejaVu Sans"/>
        <family val="2"/>
      </rPr>
      <t xml:space="preserve">로 </t>
    </r>
    <r>
      <rPr>
        <sz val="11"/>
        <rFont val="DejaVu Sans"/>
        <family val="2"/>
        <charset val="1"/>
      </rPr>
      <t xml:space="preserve">8.3%p </t>
    </r>
    <r>
      <rPr>
        <sz val="11"/>
        <rFont val="DejaVu Sans"/>
        <family val="2"/>
      </rPr>
      <t>하락하여 원가구조가 크게 개선되었습니다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</si>
  <si>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원재료비 비중이 전체 </t>
    </r>
    <r>
      <rPr>
        <sz val="11"/>
        <rFont val="DejaVu Sans"/>
        <family val="2"/>
        <charset val="1"/>
      </rPr>
      <t>COGS</t>
    </r>
    <r>
      <rPr>
        <sz val="11"/>
        <rFont val="DejaVu Sans"/>
        <family val="2"/>
      </rPr>
      <t xml:space="preserve">의 </t>
    </r>
    <r>
      <rPr>
        <sz val="11"/>
        <rFont val="DejaVu Sans"/>
        <family val="2"/>
        <charset val="1"/>
      </rPr>
      <t>75.9%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72.9%</t>
    </r>
    <r>
      <rPr>
        <sz val="11"/>
        <rFont val="DejaVu Sans"/>
        <family val="2"/>
      </rPr>
      <t>로 감소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구매</t>
    </r>
    <r>
      <rPr>
        <sz val="11"/>
        <rFont val="DejaVu Sans"/>
        <family val="2"/>
        <charset val="1"/>
      </rPr>
      <t>/</t>
    </r>
    <r>
      <rPr>
        <sz val="11"/>
        <rFont val="DejaVu Sans"/>
        <family val="2"/>
      </rPr>
      <t>수율 관리의 성과가 나타났습니다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</si>
  <si>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판관비는 </t>
    </r>
    <r>
      <rPr>
        <sz val="11"/>
        <rFont val="DejaVu Sans"/>
        <family val="2"/>
        <charset val="1"/>
      </rPr>
      <t>$6.92M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$5.66M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18.2% </t>
    </r>
    <r>
      <rPr>
        <sz val="11"/>
        <rFont val="DejaVu Sans"/>
        <family val="2"/>
      </rPr>
      <t>감소하여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비용 효율화가 이루어졌습니다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</si>
  <si>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판관비율은 </t>
    </r>
    <r>
      <rPr>
        <sz val="11"/>
        <rFont val="DejaVu Sans"/>
        <family val="2"/>
        <charset val="1"/>
      </rPr>
      <t>15.1%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12.0%</t>
    </r>
    <r>
      <rPr>
        <sz val="11"/>
        <rFont val="DejaVu Sans"/>
        <family val="2"/>
      </rPr>
      <t xml:space="preserve">로 </t>
    </r>
    <r>
      <rPr>
        <sz val="11"/>
        <rFont val="DejaVu Sans"/>
        <family val="2"/>
        <charset val="1"/>
      </rPr>
      <t xml:space="preserve">3.1%p </t>
    </r>
    <r>
      <rPr>
        <sz val="11"/>
        <rFont val="DejaVu Sans"/>
        <family val="2"/>
      </rPr>
      <t>개선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매출 대비 관리비 부담이 경감되었습니다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</si>
  <si>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>인건비</t>
    </r>
    <r>
      <rPr>
        <sz val="11"/>
        <rFont val="DejaVu Sans"/>
        <family val="2"/>
        <charset val="1"/>
      </rPr>
      <t>(</t>
    </r>
    <r>
      <rPr>
        <sz val="11"/>
        <rFont val="DejaVu Sans"/>
        <family val="2"/>
      </rPr>
      <t>판관비 내</t>
    </r>
    <r>
      <rPr>
        <sz val="11"/>
        <rFont val="DejaVu Sans"/>
        <family val="2"/>
        <charset val="1"/>
      </rPr>
      <t>)</t>
    </r>
    <r>
      <rPr>
        <sz val="11"/>
        <rFont val="DejaVu Sans"/>
        <family val="2"/>
      </rPr>
      <t xml:space="preserve">가 </t>
    </r>
    <r>
      <rPr>
        <sz val="11"/>
        <rFont val="DejaVu Sans"/>
        <family val="2"/>
        <charset val="1"/>
      </rPr>
      <t>$2.62M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$2.16M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17.3% </t>
    </r>
    <r>
      <rPr>
        <sz val="11"/>
        <rFont val="DejaVu Sans"/>
        <family val="2"/>
      </rPr>
      <t>감소한 점도 기여하였습니다</t>
    </r>
    <r>
      <rPr>
        <sz val="11"/>
        <rFont val="DejaVu Sans"/>
        <family val="2"/>
        <charset val="1"/>
      </rPr>
      <t>.</t>
    </r>
  </si>
  <si>
    <r>
      <rPr>
        <b/>
        <sz val="11"/>
        <color rgb="FF1F4E79"/>
        <rFont val="Arial"/>
        <family val="2"/>
      </rPr>
      <t xml:space="preserve">3. </t>
    </r>
    <r>
      <rPr>
        <b/>
        <sz val="11"/>
        <color rgb="FF1F4E79"/>
        <rFont val="DejaVu Sans"/>
        <family val="2"/>
      </rPr>
      <t>재무구조 분석</t>
    </r>
  </si>
  <si>
    <r>
      <rPr>
        <sz val="11"/>
        <rFont val="DejaVu Sans"/>
        <family val="2"/>
      </rPr>
      <t xml:space="preserve">총자산은 </t>
    </r>
    <r>
      <rPr>
        <sz val="11"/>
        <rFont val="DejaVu Sans"/>
        <family val="2"/>
        <charset val="1"/>
      </rPr>
      <t>$37.29M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$35.30M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5.3% </t>
    </r>
    <r>
      <rPr>
        <sz val="11"/>
        <rFont val="DejaVu Sans"/>
        <family val="2"/>
      </rPr>
      <t>감소하였으나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자산 효율성이 오히려 개선되었습니다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</si>
  <si>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>부채비율</t>
    </r>
    <r>
      <rPr>
        <sz val="11"/>
        <rFont val="DejaVu Sans"/>
        <family val="2"/>
        <charset val="1"/>
      </rPr>
      <t>(D/E)</t>
    </r>
    <r>
      <rPr>
        <sz val="11"/>
        <rFont val="DejaVu Sans"/>
        <family val="2"/>
      </rPr>
      <t xml:space="preserve">은 </t>
    </r>
    <r>
      <rPr>
        <sz val="11"/>
        <rFont val="DejaVu Sans"/>
        <family val="2"/>
        <charset val="1"/>
      </rPr>
      <t>280.1%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236.8%</t>
    </r>
    <r>
      <rPr>
        <sz val="11"/>
        <rFont val="DejaVu Sans"/>
        <family val="2"/>
      </rPr>
      <t>로 개선되어 재무안정성이 향상되었습니다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</si>
  <si>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유동비율은 </t>
    </r>
    <r>
      <rPr>
        <sz val="11"/>
        <rFont val="DejaVu Sans"/>
        <family val="2"/>
        <charset val="1"/>
      </rPr>
      <t>93.2%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88.6%</t>
    </r>
    <r>
      <rPr>
        <sz val="11"/>
        <rFont val="DejaVu Sans"/>
        <family val="2"/>
      </rPr>
      <t>로 소폭 하락하여 단기유동성은 주의가 필요합니다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</si>
  <si>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재고자산이 </t>
    </r>
    <r>
      <rPr>
        <sz val="11"/>
        <rFont val="DejaVu Sans"/>
        <family val="2"/>
        <charset val="1"/>
      </rPr>
      <t>$7.88M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$3.83M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51.4% </t>
    </r>
    <r>
      <rPr>
        <sz val="11"/>
        <rFont val="DejaVu Sans"/>
        <family val="2"/>
      </rPr>
      <t>대폭 감소하여 재고관리 효율성이 크게 개선되었습니다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</si>
  <si>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현금성자산은 </t>
    </r>
    <r>
      <rPr>
        <sz val="11"/>
        <rFont val="DejaVu Sans"/>
        <family val="2"/>
        <charset val="1"/>
      </rPr>
      <t>$0.91M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$2.69M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195.3% </t>
    </r>
    <r>
      <rPr>
        <sz val="11"/>
        <rFont val="DejaVu Sans"/>
        <family val="2"/>
      </rPr>
      <t>증가하여 현금유동성이 크게 강화되었습니다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</si>
  <si>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자기자본은 </t>
    </r>
    <r>
      <rPr>
        <sz val="11"/>
        <rFont val="DejaVu Sans"/>
        <family val="2"/>
        <charset val="1"/>
      </rPr>
      <t>$9.81M</t>
    </r>
    <r>
      <rPr>
        <sz val="11"/>
        <rFont val="DejaVu Sans"/>
        <family val="2"/>
      </rPr>
      <t xml:space="preserve">에서 </t>
    </r>
    <r>
      <rPr>
        <sz val="11"/>
        <rFont val="DejaVu Sans"/>
        <family val="2"/>
        <charset val="1"/>
      </rPr>
      <t>$10.48M</t>
    </r>
    <r>
      <rPr>
        <sz val="11"/>
        <rFont val="DejaVu Sans"/>
        <family val="2"/>
      </rPr>
      <t xml:space="preserve">으로 </t>
    </r>
    <r>
      <rPr>
        <sz val="11"/>
        <rFont val="DejaVu Sans"/>
        <family val="2"/>
        <charset val="1"/>
      </rPr>
      <t xml:space="preserve">6.8% </t>
    </r>
    <r>
      <rPr>
        <sz val="11"/>
        <rFont val="DejaVu Sans"/>
        <family val="2"/>
      </rPr>
      <t>증가하였습니다</t>
    </r>
    <r>
      <rPr>
        <sz val="11"/>
        <rFont val="DejaVu Sans"/>
        <family val="2"/>
        <charset val="1"/>
      </rPr>
      <t>.</t>
    </r>
  </si>
  <si>
    <r>
      <rPr>
        <b/>
        <sz val="11"/>
        <color rgb="FF1F4E79"/>
        <rFont val="Arial"/>
        <family val="2"/>
      </rPr>
      <t xml:space="preserve">4. </t>
    </r>
    <r>
      <rPr>
        <b/>
        <sz val="11"/>
        <color rgb="FF1F4E79"/>
        <rFont val="DejaVu Sans"/>
        <family val="2"/>
      </rPr>
      <t>효율성 분석</t>
    </r>
  </si>
  <si>
    <r>
      <rPr>
        <sz val="11"/>
        <rFont val="Arial"/>
        <family val="2"/>
      </rPr>
      <t>ROE</t>
    </r>
    <r>
      <rPr>
        <sz val="11"/>
        <rFont val="DejaVu Sans"/>
        <family val="2"/>
      </rPr>
      <t xml:space="preserve">는 </t>
    </r>
    <r>
      <rPr>
        <sz val="11"/>
        <rFont val="Arial"/>
        <family val="2"/>
      </rPr>
      <t>16.1%</t>
    </r>
    <r>
      <rPr>
        <sz val="11"/>
        <rFont val="DejaVu Sans"/>
        <family val="2"/>
      </rPr>
      <t xml:space="preserve">에서 </t>
    </r>
    <r>
      <rPr>
        <sz val="11"/>
        <rFont val="Arial"/>
        <family val="2"/>
      </rPr>
      <t>70.0%</t>
    </r>
    <r>
      <rPr>
        <sz val="11"/>
        <rFont val="DejaVu Sans"/>
        <family val="2"/>
      </rPr>
      <t>로 대폭 향상</t>
    </r>
    <r>
      <rPr>
        <sz val="11"/>
        <rFont val="Arial"/>
        <family val="2"/>
      </rPr>
      <t xml:space="preserve">, </t>
    </r>
    <r>
      <rPr>
        <sz val="11"/>
        <rFont val="DejaVu Sans"/>
        <family val="2"/>
      </rPr>
      <t>자기자본 대비 수익성이 획기적으로 개선되었습니다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</si>
  <si>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>ROA</t>
    </r>
    <r>
      <rPr>
        <sz val="11"/>
        <rFont val="DejaVu Sans"/>
        <family val="2"/>
      </rPr>
      <t xml:space="preserve">는 </t>
    </r>
    <r>
      <rPr>
        <sz val="11"/>
        <rFont val="Arial"/>
        <family val="2"/>
      </rPr>
      <t>4.2%</t>
    </r>
    <r>
      <rPr>
        <sz val="11"/>
        <rFont val="DejaVu Sans"/>
        <family val="2"/>
      </rPr>
      <t xml:space="preserve">에서 </t>
    </r>
    <r>
      <rPr>
        <sz val="11"/>
        <rFont val="Arial"/>
        <family val="2"/>
      </rPr>
      <t>20.8%</t>
    </r>
    <r>
      <rPr>
        <sz val="11"/>
        <rFont val="DejaVu Sans"/>
        <family val="2"/>
      </rPr>
      <t>로 향상</t>
    </r>
    <r>
      <rPr>
        <sz val="11"/>
        <rFont val="Arial"/>
        <family val="2"/>
      </rPr>
      <t xml:space="preserve">, </t>
    </r>
    <r>
      <rPr>
        <sz val="11"/>
        <rFont val="DejaVu Sans"/>
        <family val="2"/>
      </rPr>
      <t>총자산 활용 효율성이 크게 개선되었습니다</t>
    </r>
    <r>
      <rPr>
        <sz val="11"/>
        <rFont val="Arial"/>
        <family val="2"/>
      </rPr>
      <t>.</t>
    </r>
  </si>
  <si>
    <r>
      <rPr>
        <sz val="11"/>
        <rFont val="DejaVu Sans"/>
        <family val="2"/>
      </rPr>
      <t xml:space="preserve">재고자산 회전일수가 </t>
    </r>
    <r>
      <rPr>
        <sz val="11"/>
        <rFont val="DejaVu Sans"/>
        <family val="2"/>
        <charset val="1"/>
      </rPr>
      <t>78.6</t>
    </r>
    <r>
      <rPr>
        <sz val="11"/>
        <rFont val="DejaVu Sans"/>
        <family val="2"/>
      </rPr>
      <t xml:space="preserve">일에서 </t>
    </r>
    <r>
      <rPr>
        <sz val="11"/>
        <rFont val="DejaVu Sans"/>
        <family val="2"/>
        <charset val="1"/>
      </rPr>
      <t>41.4</t>
    </r>
    <r>
      <rPr>
        <sz val="11"/>
        <rFont val="DejaVu Sans"/>
        <family val="2"/>
      </rPr>
      <t>일로 대폭 단축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재고 회전 효율이 크게 향상되었습니다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</si>
  <si>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매출채권 회전일수가 </t>
    </r>
    <r>
      <rPr>
        <sz val="11"/>
        <rFont val="DejaVu Sans"/>
        <family val="2"/>
        <charset val="1"/>
      </rPr>
      <t>108.6</t>
    </r>
    <r>
      <rPr>
        <sz val="11"/>
        <rFont val="DejaVu Sans"/>
        <family val="2"/>
      </rPr>
      <t xml:space="preserve">일에서 </t>
    </r>
    <r>
      <rPr>
        <sz val="11"/>
        <rFont val="DejaVu Sans"/>
        <family val="2"/>
        <charset val="1"/>
      </rPr>
      <t>95.4</t>
    </r>
    <r>
      <rPr>
        <sz val="11"/>
        <rFont val="DejaVu Sans"/>
        <family val="2"/>
      </rPr>
      <t>일로 개선되었으나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여전히 </t>
    </r>
    <r>
      <rPr>
        <sz val="11"/>
        <rFont val="DejaVu Sans"/>
        <family val="2"/>
        <charset val="1"/>
      </rPr>
      <t>90</t>
    </r>
    <r>
      <rPr>
        <sz val="11"/>
        <rFont val="DejaVu Sans"/>
        <family val="2"/>
      </rPr>
      <t>일을 초과하여 관리 필요합니다</t>
    </r>
    <r>
      <rPr>
        <sz val="11"/>
        <rFont val="DejaVu Sans"/>
        <family val="2"/>
        <charset val="1"/>
      </rPr>
      <t>.</t>
    </r>
  </si>
  <si>
    <r>
      <rPr>
        <b/>
        <sz val="11"/>
        <color rgb="FF1F4E79"/>
        <rFont val="Arial"/>
        <family val="2"/>
      </rPr>
      <t xml:space="preserve">5. </t>
    </r>
    <r>
      <rPr>
        <b/>
        <sz val="11"/>
        <color rgb="FF1F4E79"/>
        <rFont val="DejaVu Sans"/>
        <family val="2"/>
      </rPr>
      <t>종합평가</t>
    </r>
  </si>
  <si>
    <r>
      <rPr>
        <sz val="11"/>
        <rFont val="Arial"/>
        <family val="2"/>
      </rPr>
      <t>2025</t>
    </r>
    <r>
      <rPr>
        <sz val="11"/>
        <rFont val="DejaVu Sans"/>
        <family val="2"/>
      </rPr>
      <t>년은 매출 성장과 원가 절감이 동시에 달성된 매우 성공적인 해였습니다</t>
    </r>
    <r>
      <rPr>
        <sz val="11"/>
        <rFont val="Arial"/>
        <family val="2"/>
      </rPr>
      <t>.</t>
    </r>
  </si>
  <si>
    <r>
      <rPr>
        <sz val="11"/>
        <rFont val="DejaVu Sans"/>
        <family val="2"/>
      </rPr>
      <t xml:space="preserve">특히 매출총이익률 </t>
    </r>
    <r>
      <rPr>
        <sz val="11"/>
        <rFont val="DejaVu Sans"/>
        <family val="2"/>
        <charset val="1"/>
      </rPr>
      <t xml:space="preserve">8.3%p </t>
    </r>
    <r>
      <rPr>
        <sz val="11"/>
        <rFont val="DejaVu Sans"/>
        <family val="2"/>
      </rPr>
      <t>개선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순이익 </t>
    </r>
    <r>
      <rPr>
        <sz val="11"/>
        <rFont val="DejaVu Sans"/>
        <family val="2"/>
        <charset val="1"/>
      </rPr>
      <t>4.6</t>
    </r>
    <r>
      <rPr>
        <sz val="11"/>
        <rFont val="DejaVu Sans"/>
        <family val="2"/>
      </rPr>
      <t>배 증가 등 수익성 지표가 전반적으로 큰 폭 개선되었습니다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</si>
  <si>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>재고 대폭 감축과 현금 증가로 운전자본 관리가 크게 향상되었습니다</t>
    </r>
    <r>
      <rPr>
        <sz val="11"/>
        <rFont val="DejaVu Sans"/>
        <family val="2"/>
        <charset val="1"/>
      </rPr>
      <t>.</t>
    </r>
  </si>
  <si>
    <r>
      <rPr>
        <sz val="11"/>
        <rFont val="DejaVu Sans"/>
        <family val="2"/>
      </rPr>
      <t xml:space="preserve">다만 부채비율이 여전히 </t>
    </r>
    <r>
      <rPr>
        <sz val="11"/>
        <rFont val="DejaVu Sans"/>
        <family val="2"/>
        <charset val="1"/>
      </rPr>
      <t>236.8%</t>
    </r>
    <r>
      <rPr>
        <sz val="11"/>
        <rFont val="DejaVu Sans"/>
        <family val="2"/>
      </rPr>
      <t>로 높고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 xml:space="preserve">유동비율이 </t>
    </r>
    <r>
      <rPr>
        <sz val="11"/>
        <rFont val="DejaVu Sans"/>
        <family val="2"/>
        <charset val="1"/>
      </rPr>
      <t xml:space="preserve">100% </t>
    </r>
    <r>
      <rPr>
        <sz val="11"/>
        <rFont val="DejaVu Sans"/>
        <family val="2"/>
      </rPr>
      <t>미만인 점은 지속적 관리가 필요합니다</t>
    </r>
    <r>
      <rPr>
        <sz val="11"/>
        <rFont val="DejaVu Sans"/>
        <family val="2"/>
        <charset val="1"/>
      </rPr>
      <t>.</t>
    </r>
  </si>
  <si>
    <r>
      <rPr>
        <b/>
        <sz val="11"/>
        <color rgb="FF1F4E79"/>
        <rFont val="Arial"/>
        <family val="2"/>
      </rPr>
      <t xml:space="preserve">6. </t>
    </r>
    <r>
      <rPr>
        <b/>
        <sz val="11"/>
        <color rgb="FF1F4E79"/>
        <rFont val="DejaVu Sans"/>
        <family val="2"/>
      </rPr>
      <t>개선방안</t>
    </r>
  </si>
  <si>
    <r>
      <rPr>
        <sz val="11"/>
        <rFont val="DejaVu Sans"/>
        <family val="2"/>
      </rPr>
      <t>① 매출채권 관리 강화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회전일수 </t>
    </r>
    <r>
      <rPr>
        <sz val="11"/>
        <rFont val="DejaVu Sans"/>
        <family val="2"/>
        <charset val="1"/>
      </rPr>
      <t>90</t>
    </r>
    <r>
      <rPr>
        <sz val="11"/>
        <rFont val="DejaVu Sans"/>
        <family val="2"/>
      </rPr>
      <t>일 이내 목표로 채권 회수 절차 강화 및 여신한도 재검토</t>
    </r>
  </si>
  <si>
    <r>
      <rPr>
        <sz val="11"/>
        <rFont val="DejaVu Sans"/>
        <family val="2"/>
      </rPr>
      <t>② 부채비율 추가 개선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중장기 </t>
    </r>
    <r>
      <rPr>
        <sz val="11"/>
        <rFont val="DejaVu Sans"/>
        <family val="2"/>
        <charset val="1"/>
      </rPr>
      <t xml:space="preserve">200% </t>
    </r>
    <r>
      <rPr>
        <sz val="11"/>
        <rFont val="DejaVu Sans"/>
        <family val="2"/>
      </rPr>
      <t>이하 달성 위해 영업이익 기반 차입금 상환 전략 수립</t>
    </r>
  </si>
  <si>
    <r>
      <rPr>
        <sz val="11"/>
        <rFont val="DejaVu Sans"/>
        <family val="2"/>
      </rPr>
      <t>③ 유동비율 개선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단기차입금 장기전환 또는 유동자산 확충으로 </t>
    </r>
    <r>
      <rPr>
        <sz val="11"/>
        <rFont val="DejaVu Sans"/>
        <family val="2"/>
        <charset val="1"/>
      </rPr>
      <t xml:space="preserve">100% </t>
    </r>
    <r>
      <rPr>
        <sz val="11"/>
        <rFont val="DejaVu Sans"/>
        <family val="2"/>
      </rPr>
      <t>이상 유지 목표</t>
    </r>
  </si>
  <si>
    <r>
      <rPr>
        <sz val="11"/>
        <rFont val="DejaVu Sans"/>
        <family val="2"/>
      </rPr>
      <t>④ 원가 절감 지속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>원재료 구매 다각화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생산수율 개선</t>
    </r>
    <r>
      <rPr>
        <sz val="11"/>
        <rFont val="DejaVu Sans"/>
        <family val="2"/>
        <charset val="1"/>
      </rPr>
      <t xml:space="preserve">, </t>
    </r>
    <r>
      <rPr>
        <sz val="11"/>
        <rFont val="DejaVu Sans"/>
        <family val="2"/>
      </rPr>
      <t>스마트팩토리 도입 검토</t>
    </r>
  </si>
  <si>
    <r>
      <rPr>
        <sz val="11"/>
        <rFont val="DejaVu Sans"/>
        <family val="2"/>
      </rPr>
      <t>⑤ 재고관리 성과 유지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>적정재고 수준 모니터링 시스템 구축으로 금번 성과 지속</t>
    </r>
  </si>
  <si>
    <r>
      <rPr>
        <sz val="11"/>
        <rFont val="DejaVu Sans"/>
        <family val="2"/>
      </rPr>
      <t>⑥ 수익성 기반 투자 확대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높아진 수익성을 활용한 시설투자 및 </t>
    </r>
    <r>
      <rPr>
        <sz val="11"/>
        <rFont val="DejaVu Sans"/>
        <family val="2"/>
        <charset val="1"/>
      </rPr>
      <t xml:space="preserve">R&amp;D </t>
    </r>
    <r>
      <rPr>
        <sz val="11"/>
        <rFont val="DejaVu Sans"/>
        <family val="2"/>
      </rPr>
      <t>투자로 중장기 성장동력 확보</t>
    </r>
  </si>
  <si>
    <r>
      <rPr>
        <b/>
        <sz val="14"/>
        <color rgb="FF1F3864"/>
        <rFont val="DejaVu Sans"/>
        <family val="2"/>
      </rPr>
      <t xml:space="preserve">환율 정보 </t>
    </r>
    <r>
      <rPr>
        <b/>
        <sz val="14"/>
        <color rgb="FF1F3864"/>
        <rFont val="DejaVu Sans"/>
        <family val="2"/>
        <charset val="1"/>
      </rPr>
      <t>(VND/USD)</t>
    </r>
  </si>
  <si>
    <t>월</t>
  </si>
  <si>
    <t>평균환율</t>
  </si>
  <si>
    <t>기말환율</t>
  </si>
  <si>
    <r>
      <rPr>
        <sz val="11"/>
        <rFont val="Arial"/>
        <family val="2"/>
      </rPr>
      <t>1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</si>
  <si>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2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</si>
  <si>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3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</si>
  <si>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4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</si>
  <si>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5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</si>
  <si>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6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</si>
  <si>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7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</si>
  <si>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8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</si>
  <si>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9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</si>
  <si>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10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</si>
  <si>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11</t>
    </r>
    <r>
      <rPr>
        <sz val="11"/>
        <rFont val="DejaVu Sans"/>
        <family val="2"/>
      </rPr>
      <t>월</t>
    </r>
  </si>
  <si>
    <r>
      <rPr>
        <sz val="11"/>
        <rFont val="Arial"/>
        <family val="2"/>
      </rPr>
      <t>12</t>
    </r>
    <r>
      <rPr>
        <sz val="11"/>
        <rFont val="DejaVu Sans"/>
        <family val="2"/>
      </rPr>
      <t>월</t>
    </r>
  </si>
  <si>
    <t>연평균</t>
  </si>
  <si>
    <t>참고</t>
  </si>
  <si>
    <r>
      <rPr>
        <sz val="11"/>
        <rFont val="DejaVu Sans"/>
        <family val="2"/>
      </rPr>
      <t>손익계산서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 xml:space="preserve">평균환율 적용 </t>
    </r>
    <r>
      <rPr>
        <sz val="11"/>
        <rFont val="DejaVu Sans"/>
        <family val="2"/>
        <charset val="1"/>
      </rPr>
      <t xml:space="preserve">/ </t>
    </r>
    <r>
      <rPr>
        <sz val="11"/>
        <rFont val="DejaVu Sans"/>
        <family val="2"/>
      </rPr>
      <t>재무상태표</t>
    </r>
    <r>
      <rPr>
        <sz val="11"/>
        <rFont val="DejaVu Sans"/>
        <family val="2"/>
        <charset val="1"/>
      </rPr>
      <t xml:space="preserve">: </t>
    </r>
    <r>
      <rPr>
        <sz val="11"/>
        <rFont val="DejaVu Sans"/>
        <family val="2"/>
      </rPr>
      <t>기말환율 적용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</si>
</sst>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>
    <font>
      <sz val="11"/>
      <color theme="1"/>
      <name val="Calibri"/>
      <family val="2"/>
      <charset val="1"/>
    </font>
    <font>
      <sz val="10"/>
      <name val="Arial"/>
    </font>
    <font>
      <b/>
      <sz val="14"/>
      <color rgb="FF1F3864"/>
      <name val="Arial"/>
      <charset val="1"/>
    </font>
    <font>
      <b/>
      <sz val="14"/>
      <color rgb="FF1F3864"/>
      <name val="DejaVu Sans"/>
      <family val="2"/>
    </font>
    <font>
      <b/>
      <sz val="12"/>
      <color rgb="FF2E75B6"/>
      <name val="DejaVu Sans"/>
      <family val="2"/>
    </font>
    <font>
      <b/>
      <sz val="12"/>
      <color rgb="FF2E75B6"/>
      <name val="DejaVu Sans"/>
      <family val="2"/>
      <charset val="1"/>
    </font>
    <font>
      <sz val="9"/>
      <color rgb="FF666666"/>
      <name val="Arial"/>
      <family val="2"/>
    </font>
    <font>
      <b/>
      <sz val="12"/>
      <color rgb="FF2E75B6"/>
      <name val="Arial"/>
      <family val="2"/>
    </font>
    <font>
      <b/>
      <sz val="11"/>
      <color rgb="FFFFFFFF"/>
      <name val="DejaVu Sans"/>
      <family val="2"/>
    </font>
    <font>
      <b/>
      <sz val="11"/>
      <color rgb="FFFFFFFF"/>
      <name val="Arial"/>
      <family val="2"/>
    </font>
    <font>
      <sz val="11"/>
      <name val="DejaVu Sans"/>
      <family val="2"/>
    </font>
    <font>
      <sz val="11"/>
      <name val="DejaVu Sans"/>
      <family val="2"/>
      <charset val="1"/>
    </font>
    <font>
      <sz val="11"/>
      <name val="Arial"/>
      <family val="2"/>
    </font>
    <font>
      <sz val="10"/>
      <color rgb="FF006100"/>
      <name val="DejaVu Sans"/>
      <family val="2"/>
    </font>
    <font>
      <sz val="10"/>
      <color rgb="FF006100"/>
      <name val="Arial"/>
      <family val="2"/>
    </font>
    <font>
      <b/>
      <sz val="11"/>
      <name val="DejaVu Sans"/>
      <family val="2"/>
    </font>
    <font>
      <b/>
      <sz val="11"/>
      <name val="DejaVu Sans"/>
      <family val="2"/>
      <charset val="1"/>
    </font>
    <font>
      <b/>
      <sz val="11"/>
      <name val="Arial"/>
      <family val="2"/>
    </font>
    <font>
      <b/>
      <sz val="14"/>
      <color rgb="FF1F3864"/>
      <name val="DejaVu Sans"/>
      <family val="2"/>
      <charset val="1"/>
    </font>
    <font>
      <b/>
      <sz val="10"/>
      <name val="Arial"/>
      <family val="2"/>
    </font>
    <font>
      <b/>
      <sz val="10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11"/>
      <color rgb="FF1F4E79"/>
      <name val="Arial"/>
      <family val="2"/>
    </font>
    <font>
      <b/>
      <sz val="11"/>
      <color rgb="FF1F4E79"/>
      <name val="DejaVu Sans"/>
      <family val="2"/>
    </font>
    <font>
      <sz val="10"/>
      <name val="DejaVu Sans"/>
      <family val="2"/>
      <charset val="1"/>
    </font>
    <font>
      <b/>
      <sz val="14"/>
      <color rgb="FF1F3864"/>
      <name val="Arial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7">
    <xf numFmtId="0" fontId="0" fillId="0" borderId="0" xfId="0"/>
    <xf numFmtId="0" fontId="6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3" fontId="12" fillId="3" borderId="1" xfId="0" applyNumberFormat="1" applyFont="1" applyFill="1" applyBorder="1" applyAlignment="1">
      <alignment horizontal="right"/>
    </xf>
    <xf numFmtId="176" fontId="12" fillId="3" borderId="1" xfId="0" applyNumberFormat="1" applyFont="1" applyFill="1" applyBorder="1" applyAlignment="1">
      <alignment horizontal="right"/>
    </xf>
    <xf numFmtId="0" fontId="13" fillId="4" borderId="1" xfId="0" applyFont="1" applyFill="1" applyBorder="1"/>
    <xf numFmtId="0" fontId="10" fillId="0" borderId="1" xfId="0" applyFont="1" applyBorder="1"/>
    <xf numFmtId="3" fontId="12" fillId="0" borderId="1" xfId="0" applyNumberFormat="1" applyFont="1" applyBorder="1" applyAlignment="1">
      <alignment horizontal="right"/>
    </xf>
    <xf numFmtId="176" fontId="12" fillId="0" borderId="1" xfId="0" applyNumberFormat="1" applyFont="1" applyBorder="1" applyAlignment="1">
      <alignment horizontal="right"/>
    </xf>
    <xf numFmtId="0" fontId="15" fillId="3" borderId="1" xfId="0" applyFont="1" applyFill="1" applyBorder="1"/>
    <xf numFmtId="3" fontId="17" fillId="3" borderId="1" xfId="0" applyNumberFormat="1" applyFont="1" applyFill="1" applyBorder="1" applyAlignment="1">
      <alignment horizontal="right"/>
    </xf>
    <xf numFmtId="176" fontId="17" fillId="3" borderId="1" xfId="0" applyNumberFormat="1" applyFont="1" applyFill="1" applyBorder="1" applyAlignment="1">
      <alignment horizontal="right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9" fillId="5" borderId="1" xfId="0" applyFont="1" applyFill="1" applyBorder="1"/>
    <xf numFmtId="0" fontId="20" fillId="5" borderId="1" xfId="0" applyFont="1" applyFill="1" applyBorder="1"/>
    <xf numFmtId="3" fontId="19" fillId="5" borderId="1" xfId="0" applyNumberFormat="1" applyFont="1" applyFill="1" applyBorder="1" applyAlignment="1">
      <alignment horizontal="right"/>
    </xf>
    <xf numFmtId="176" fontId="19" fillId="5" borderId="1" xfId="0" applyNumberFormat="1" applyFont="1" applyFill="1" applyBorder="1" applyAlignment="1">
      <alignment horizontal="right"/>
    </xf>
    <xf numFmtId="0" fontId="21" fillId="2" borderId="1" xfId="0" applyFont="1" applyFill="1" applyBorder="1"/>
    <xf numFmtId="0" fontId="17" fillId="5" borderId="1" xfId="0" applyFont="1" applyFill="1" applyBorder="1"/>
    <xf numFmtId="0" fontId="15" fillId="5" borderId="1" xfId="0" applyFont="1" applyFill="1" applyBorder="1"/>
    <xf numFmtId="3" fontId="17" fillId="5" borderId="1" xfId="0" applyNumberFormat="1" applyFont="1" applyFill="1" applyBorder="1" applyAlignment="1">
      <alignment horizontal="right"/>
    </xf>
    <xf numFmtId="176" fontId="17" fillId="5" borderId="1" xfId="0" applyNumberFormat="1" applyFont="1" applyFill="1" applyBorder="1" applyAlignment="1">
      <alignment horizontal="right"/>
    </xf>
    <xf numFmtId="0" fontId="12" fillId="0" borderId="0" xfId="0" applyFont="1" applyAlignment="1">
      <alignment vertical="top" wrapText="1"/>
    </xf>
    <xf numFmtId="0" fontId="25" fillId="0" borderId="0" xfId="0" applyFont="1"/>
    <xf numFmtId="0" fontId="10" fillId="0" borderId="0" xfId="0" applyFont="1" applyAlignment="1">
      <alignment vertical="top" wrapText="1"/>
    </xf>
    <xf numFmtId="176" fontId="1" fillId="0" borderId="1" xfId="1" applyNumberForma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23" fillId="0" borderId="0" xfId="0" applyFont="1"/>
    <xf numFmtId="3" fontId="10" fillId="0" borderId="1" xfId="0" applyNumberFormat="1" applyFont="1" applyBorder="1" applyAlignment="1">
      <alignment horizontal="right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27"/>
  <sheetViews>
    <sheetView showGridLines="0" topLeftCell="A2" zoomScaleNormal="100" workbookViewId="0">
      <selection activeCell="P19" sqref="P19"/>
    </sheetView>
  </sheetViews>
  <sheetFormatPr defaultColWidth="8.7109375" defaultRowHeight="15" customHeight="1"/>
  <cols>
    <col min="1" max="1" width="28" customWidth="1"/>
    <col min="2" max="4" width="18" customWidth="1"/>
    <col min="5" max="5" width="12" customWidth="1"/>
    <col min="6" max="6" width="17.85546875" customWidth="1"/>
  </cols>
  <sheetData>
    <row r="1" spans="1:6" ht="34.5" customHeight="1">
      <c r="A1" s="31" t="s">
        <v>0</v>
      </c>
      <c r="B1" s="31"/>
      <c r="C1" s="31"/>
      <c r="D1" s="31"/>
      <c r="E1" s="31"/>
      <c r="F1" s="31"/>
    </row>
    <row r="2" spans="1:6" ht="24.75" customHeight="1">
      <c r="A2" s="32" t="s">
        <v>1</v>
      </c>
      <c r="B2" s="32"/>
      <c r="C2" s="32"/>
      <c r="D2" s="32"/>
      <c r="E2" s="32"/>
      <c r="F2" s="32"/>
    </row>
    <row r="3" spans="1:6" ht="15" customHeight="1">
      <c r="A3" s="1"/>
      <c r="B3" s="1"/>
      <c r="C3" s="1"/>
      <c r="D3" s="1"/>
      <c r="E3" s="1"/>
      <c r="F3" s="1"/>
    </row>
    <row r="4" spans="1:6" ht="24.75" customHeight="1">
      <c r="A4" s="33" t="s">
        <v>2</v>
      </c>
      <c r="B4" s="33"/>
      <c r="C4" s="33"/>
      <c r="D4" s="33"/>
      <c r="E4" s="33"/>
      <c r="F4" s="33"/>
    </row>
    <row r="5" spans="1:6" ht="15" customHeight="1">
      <c r="A5" s="2" t="s">
        <v>3</v>
      </c>
      <c r="B5" s="3" t="s">
        <v>4</v>
      </c>
      <c r="C5" s="3" t="s">
        <v>5</v>
      </c>
      <c r="D5" s="2" t="s">
        <v>6</v>
      </c>
      <c r="E5" s="2" t="s">
        <v>7</v>
      </c>
      <c r="F5" s="2" t="s">
        <v>8</v>
      </c>
    </row>
    <row r="6" spans="1:6" ht="15" customHeight="1">
      <c r="A6" s="4" t="s">
        <v>9</v>
      </c>
      <c r="B6" s="5">
        <v>45961674</v>
      </c>
      <c r="C6" s="5">
        <v>47312883</v>
      </c>
      <c r="D6" s="5">
        <f t="shared" ref="D6:D12" si="0">C6-B6</f>
        <v>1351209</v>
      </c>
      <c r="E6" s="6">
        <f t="shared" ref="E6:E12" si="1">IF(B6=0,"-",D6/ABS(B6))</f>
        <v>2.939860284462224E-2</v>
      </c>
      <c r="F6" s="7" t="s">
        <v>10</v>
      </c>
    </row>
    <row r="7" spans="1:6" ht="15" customHeight="1">
      <c r="A7" s="8" t="s">
        <v>11</v>
      </c>
      <c r="B7" s="9">
        <v>36627960</v>
      </c>
      <c r="C7" s="9">
        <v>33784587</v>
      </c>
      <c r="D7" s="9">
        <f t="shared" si="0"/>
        <v>-2843373</v>
      </c>
      <c r="E7" s="10">
        <f t="shared" si="1"/>
        <v>-7.762848381400439E-2</v>
      </c>
      <c r="F7" s="7" t="s">
        <v>12</v>
      </c>
    </row>
    <row r="8" spans="1:6" ht="15" customHeight="1">
      <c r="A8" s="11" t="s">
        <v>13</v>
      </c>
      <c r="B8" s="12">
        <v>9333714</v>
      </c>
      <c r="C8" s="12">
        <v>13528296</v>
      </c>
      <c r="D8" s="12">
        <f t="shared" si="0"/>
        <v>4194582</v>
      </c>
      <c r="E8" s="13">
        <f t="shared" si="1"/>
        <v>0.44940117085224596</v>
      </c>
      <c r="F8" s="7" t="s">
        <v>14</v>
      </c>
    </row>
    <row r="9" spans="1:6" ht="15" customHeight="1">
      <c r="A9" s="8" t="s">
        <v>15</v>
      </c>
      <c r="B9" s="9">
        <v>6919229</v>
      </c>
      <c r="C9" s="9">
        <v>5662540</v>
      </c>
      <c r="D9" s="9">
        <f t="shared" si="0"/>
        <v>-1256689</v>
      </c>
      <c r="E9" s="10">
        <f t="shared" si="1"/>
        <v>-0.18162269235488521</v>
      </c>
      <c r="F9" s="7" t="s">
        <v>12</v>
      </c>
    </row>
    <row r="10" spans="1:6" ht="15" customHeight="1">
      <c r="A10" s="11" t="s">
        <v>16</v>
      </c>
      <c r="B10" s="12">
        <v>2414485</v>
      </c>
      <c r="C10" s="12">
        <v>7865757</v>
      </c>
      <c r="D10" s="12">
        <f t="shared" si="0"/>
        <v>5451272</v>
      </c>
      <c r="E10" s="13">
        <f t="shared" si="1"/>
        <v>2.2577369501156563</v>
      </c>
      <c r="F10" s="7" t="s">
        <v>14</v>
      </c>
    </row>
    <row r="11" spans="1:6" ht="15" customHeight="1">
      <c r="A11" s="11" t="s">
        <v>17</v>
      </c>
      <c r="B11" s="12">
        <v>1580236</v>
      </c>
      <c r="C11" s="12">
        <v>7334481</v>
      </c>
      <c r="D11" s="12">
        <f t="shared" si="0"/>
        <v>5754245</v>
      </c>
      <c r="E11" s="13">
        <f t="shared" si="1"/>
        <v>3.6413833123660009</v>
      </c>
      <c r="F11" s="7" t="s">
        <v>18</v>
      </c>
    </row>
    <row r="12" spans="1:6" ht="15" customHeight="1">
      <c r="A12" s="14" t="s">
        <v>19</v>
      </c>
      <c r="B12" s="5">
        <v>5151343</v>
      </c>
      <c r="C12" s="5">
        <v>11558493</v>
      </c>
      <c r="D12" s="5">
        <f t="shared" si="0"/>
        <v>6407150</v>
      </c>
      <c r="E12" s="6">
        <f t="shared" si="1"/>
        <v>1.2437824466357608</v>
      </c>
      <c r="F12" s="7" t="s">
        <v>14</v>
      </c>
    </row>
    <row r="14" spans="1:6" ht="24.75" customHeight="1">
      <c r="A14" s="33" t="s">
        <v>20</v>
      </c>
      <c r="B14" s="33"/>
      <c r="C14" s="33"/>
      <c r="D14" s="33"/>
      <c r="E14" s="33"/>
      <c r="F14" s="33"/>
    </row>
    <row r="15" spans="1:6" ht="15" customHeight="1">
      <c r="A15" s="2" t="s">
        <v>3</v>
      </c>
      <c r="B15" s="3" t="s">
        <v>4</v>
      </c>
      <c r="C15" s="3" t="s">
        <v>5</v>
      </c>
      <c r="D15" s="2" t="s">
        <v>21</v>
      </c>
      <c r="E15" s="2" t="s">
        <v>22</v>
      </c>
      <c r="F15" s="2" t="s">
        <v>8</v>
      </c>
    </row>
    <row r="16" spans="1:6" ht="15" customHeight="1">
      <c r="A16" s="4" t="s">
        <v>23</v>
      </c>
      <c r="B16" s="30">
        <f>'손익계산서 비교'!C9/'손익계산서 비교'!C3</f>
        <v>0.20307602373229486</v>
      </c>
      <c r="C16" s="30">
        <f>'손익계산서 비교'!D9/'손익계산서 비교'!D3</f>
        <v>0.28593260740420323</v>
      </c>
      <c r="D16" s="30">
        <f t="shared" ref="D16:D27" si="2">C16-B16</f>
        <v>8.2856583671908374E-2</v>
      </c>
      <c r="E16" s="15" t="s">
        <v>24</v>
      </c>
      <c r="F16" s="7" t="s">
        <v>25</v>
      </c>
    </row>
    <row r="17" spans="1:6" ht="15" customHeight="1">
      <c r="A17" s="8" t="s">
        <v>26</v>
      </c>
      <c r="B17" s="30">
        <f>'손익계산서 비교'!C15/'손익계산서 비교'!C3</f>
        <v>5.2532573117332497E-2</v>
      </c>
      <c r="C17" s="30">
        <f>'손익계산서 비교'!D15/'손익계산서 비교'!D3</f>
        <v>0.16624977175878292</v>
      </c>
      <c r="D17" s="30">
        <f t="shared" si="2"/>
        <v>0.11371719864145041</v>
      </c>
      <c r="E17" s="16" t="s">
        <v>24</v>
      </c>
      <c r="F17" s="7" t="s">
        <v>14</v>
      </c>
    </row>
    <row r="18" spans="1:6" ht="15" customHeight="1">
      <c r="A18" s="4" t="s">
        <v>27</v>
      </c>
      <c r="B18" s="30">
        <f>'손익계산서 비교'!C23/'손익계산서 비교'!C3</f>
        <v>3.4381602375927384E-2</v>
      </c>
      <c r="C18" s="30">
        <f>'손익계산서 비교'!D23/'손익계산서 비교'!D3</f>
        <v>0.15502077943548695</v>
      </c>
      <c r="D18" s="30">
        <f t="shared" si="2"/>
        <v>0.12063917705955957</v>
      </c>
      <c r="E18" s="15" t="s">
        <v>24</v>
      </c>
      <c r="F18" s="7" t="s">
        <v>18</v>
      </c>
    </row>
    <row r="19" spans="1:6" ht="15" customHeight="1">
      <c r="A19" s="17" t="s">
        <v>28</v>
      </c>
      <c r="B19" s="30">
        <f>'손익계산서 비교'!C25/'손익계산서 비교'!C3</f>
        <v>0.1120790987725991</v>
      </c>
      <c r="C19" s="30">
        <f>'손익계산서 비교'!D25/'손익계산서 비교'!D3</f>
        <v>0.24429904218688175</v>
      </c>
      <c r="D19" s="30">
        <f t="shared" si="2"/>
        <v>0.13221994341428267</v>
      </c>
      <c r="E19" s="16" t="s">
        <v>24</v>
      </c>
      <c r="F19" s="7" t="s">
        <v>14</v>
      </c>
    </row>
    <row r="20" spans="1:6" ht="15" customHeight="1">
      <c r="A20" s="4" t="s">
        <v>29</v>
      </c>
      <c r="B20" s="30">
        <f>'재무상태표 비교'!C31/'재무상태표 비교'!C36</f>
        <v>2.8006833246326077</v>
      </c>
      <c r="C20" s="30">
        <f>'재무상태표 비교'!D31/'재무상태표 비교'!D36</f>
        <v>2.3680573165340282</v>
      </c>
      <c r="D20" s="30">
        <f t="shared" si="2"/>
        <v>-0.43262600809857954</v>
      </c>
      <c r="E20" s="15" t="s">
        <v>30</v>
      </c>
      <c r="F20" s="7" t="s">
        <v>31</v>
      </c>
    </row>
    <row r="21" spans="1:6" ht="15" customHeight="1">
      <c r="A21" s="8" t="s">
        <v>32</v>
      </c>
      <c r="B21" s="30">
        <f>'재무상태표 비교'!C8/'재무상태표 비교'!C27</f>
        <v>0.93254999024526108</v>
      </c>
      <c r="C21" s="30">
        <f>'재무상태표 비교'!D8/'재무상태표 비교'!D27</f>
        <v>0.88723613353947983</v>
      </c>
      <c r="D21" s="30">
        <f t="shared" si="2"/>
        <v>-4.5313856705781252E-2</v>
      </c>
      <c r="E21" s="16" t="s">
        <v>24</v>
      </c>
      <c r="F21" s="7" t="s">
        <v>25</v>
      </c>
    </row>
    <row r="22" spans="1:6" ht="15" customHeight="1">
      <c r="A22" s="14" t="s">
        <v>33</v>
      </c>
      <c r="B22" s="30">
        <f>'손익계산서 비교'!C23/'재무상태표 비교'!C36</f>
        <v>0.16106052504820392</v>
      </c>
      <c r="C22" s="30">
        <f>'손익계산서 비교'!D23/'재무상태표 비교'!D36</f>
        <v>0.69973063946081338</v>
      </c>
      <c r="D22" s="30">
        <f t="shared" si="2"/>
        <v>0.53867011441260948</v>
      </c>
      <c r="E22" s="15" t="s">
        <v>24</v>
      </c>
      <c r="F22" s="7" t="s">
        <v>18</v>
      </c>
    </row>
    <row r="23" spans="1:6" ht="15" customHeight="1">
      <c r="A23" s="17" t="s">
        <v>34</v>
      </c>
      <c r="B23" s="30">
        <f>'손익계산서 비교'!C23/'재무상태표 비교'!C22</f>
        <v>4.2376728417322908E-2</v>
      </c>
      <c r="C23" s="30">
        <f>'손익계산서 비교'!D23/'재무상태표 비교'!D22</f>
        <v>0.20775496783436165</v>
      </c>
      <c r="D23" s="30">
        <f t="shared" si="2"/>
        <v>0.16537823941703875</v>
      </c>
      <c r="E23" s="16" t="s">
        <v>24</v>
      </c>
      <c r="F23" s="7" t="s">
        <v>18</v>
      </c>
    </row>
    <row r="24" spans="1:6" ht="15" customHeight="1">
      <c r="A24" s="4" t="s">
        <v>35</v>
      </c>
      <c r="B24" s="30">
        <f>'손익계산서 비교'!C11/'손익계산서 비교'!C3</f>
        <v>0.15054345061496238</v>
      </c>
      <c r="C24" s="30">
        <f>'손익계산서 비교'!D11/'손익계산서 비교'!D3</f>
        <v>0.1196828356454203</v>
      </c>
      <c r="D24" s="30">
        <f t="shared" si="2"/>
        <v>-3.086061496954208E-2</v>
      </c>
      <c r="E24" s="15" t="s">
        <v>30</v>
      </c>
      <c r="F24" s="7" t="s">
        <v>31</v>
      </c>
    </row>
    <row r="25" spans="1:6" ht="15" customHeight="1">
      <c r="A25" s="8" t="s">
        <v>36</v>
      </c>
      <c r="B25" s="9">
        <f>'재무상태표 비교'!C6/'손익계산서 비교'!C3*365</f>
        <v>108.57288770639643</v>
      </c>
      <c r="C25" s="9">
        <f>'재무상태표 비교'!D6/'손익계산서 비교'!D3*365</f>
        <v>95.397625843261338</v>
      </c>
      <c r="D25" s="9">
        <f t="shared" si="2"/>
        <v>-13.175261863135091</v>
      </c>
      <c r="E25" s="16" t="s">
        <v>30</v>
      </c>
      <c r="F25" s="7" t="s">
        <v>31</v>
      </c>
    </row>
    <row r="26" spans="1:6" ht="15" customHeight="1">
      <c r="A26" s="4" t="s">
        <v>37</v>
      </c>
      <c r="B26" s="5">
        <f>'재무상태표 비교'!C7/'손익계산서 비교'!C5*365</f>
        <v>78.560087703492087</v>
      </c>
      <c r="C26" s="5">
        <f>'재무상태표 비교'!D7/'손익계산서 비교'!D5*365</f>
        <v>41.364442608104106</v>
      </c>
      <c r="D26" s="5">
        <f t="shared" si="2"/>
        <v>-37.195645095387981</v>
      </c>
      <c r="E26" s="15" t="s">
        <v>30</v>
      </c>
      <c r="F26" s="7" t="s">
        <v>38</v>
      </c>
    </row>
    <row r="27" spans="1:6" ht="15" customHeight="1">
      <c r="A27" s="8" t="s">
        <v>39</v>
      </c>
      <c r="B27" s="9">
        <f>'재무상태표 비교'!C24/'손익계산서 비교'!C5*365</f>
        <v>124.56331174326935</v>
      </c>
      <c r="C27" s="9">
        <f>'재무상태표 비교'!D24/'손익계산서 비교'!D5*365</f>
        <v>121.0019231550766</v>
      </c>
      <c r="D27" s="9">
        <f t="shared" si="2"/>
        <v>-3.5613885881927558</v>
      </c>
      <c r="E27" s="16" t="s">
        <v>24</v>
      </c>
      <c r="F27" s="7" t="s">
        <v>40</v>
      </c>
    </row>
  </sheetData>
  <mergeCells count="4">
    <mergeCell ref="A1:F1"/>
    <mergeCell ref="A2:F2"/>
    <mergeCell ref="A4:F4"/>
    <mergeCell ref="A14:F14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27"/>
  <sheetViews>
    <sheetView showGridLines="0" zoomScaleNormal="100" workbookViewId="0">
      <selection sqref="A1:F1"/>
    </sheetView>
  </sheetViews>
  <sheetFormatPr defaultColWidth="8.7109375" defaultRowHeight="15" customHeight="1"/>
  <cols>
    <col min="1" max="1" width="6" customWidth="1"/>
    <col min="2" max="2" width="42" customWidth="1"/>
    <col min="3" max="5" width="16" customWidth="1"/>
    <col min="6" max="6" width="12" customWidth="1"/>
  </cols>
  <sheetData>
    <row r="1" spans="1:6" ht="30" customHeight="1">
      <c r="A1" s="34" t="s">
        <v>41</v>
      </c>
      <c r="B1" s="34"/>
      <c r="C1" s="34"/>
      <c r="D1" s="34"/>
      <c r="E1" s="34"/>
      <c r="F1" s="34"/>
    </row>
    <row r="2" spans="1:6" ht="15" customHeight="1">
      <c r="A2" s="2" t="s">
        <v>42</v>
      </c>
      <c r="B2" s="2" t="s">
        <v>43</v>
      </c>
      <c r="C2" s="3" t="s">
        <v>4</v>
      </c>
      <c r="D2" s="3" t="s">
        <v>5</v>
      </c>
      <c r="E2" s="2" t="s">
        <v>6</v>
      </c>
      <c r="F2" s="2" t="s">
        <v>7</v>
      </c>
    </row>
    <row r="3" spans="1:6" ht="15" customHeight="1">
      <c r="A3" s="17" t="s">
        <v>44</v>
      </c>
      <c r="B3" s="8" t="s">
        <v>9</v>
      </c>
      <c r="C3" s="9">
        <v>45961674</v>
      </c>
      <c r="D3" s="9">
        <v>47312883</v>
      </c>
      <c r="E3" s="9">
        <f t="shared" ref="E3:E27" si="0">D3-C3</f>
        <v>1351209</v>
      </c>
      <c r="F3" s="10">
        <f t="shared" ref="F3:F9" si="1">IF(C3=0,"-",E3/ABS(C3))</f>
        <v>2.939860284462224E-2</v>
      </c>
    </row>
    <row r="4" spans="1:6" ht="15" customHeight="1">
      <c r="A4" s="14" t="s">
        <v>45</v>
      </c>
      <c r="B4" s="4" t="s">
        <v>46</v>
      </c>
      <c r="C4" s="5">
        <v>45961674</v>
      </c>
      <c r="D4" s="5">
        <v>47312883</v>
      </c>
      <c r="E4" s="5">
        <f t="shared" si="0"/>
        <v>1351209</v>
      </c>
      <c r="F4" s="6">
        <f t="shared" si="1"/>
        <v>2.939860284462224E-2</v>
      </c>
    </row>
    <row r="5" spans="1:6" ht="15" customHeight="1">
      <c r="A5" s="18" t="s">
        <v>47</v>
      </c>
      <c r="B5" s="19" t="s">
        <v>48</v>
      </c>
      <c r="C5" s="20">
        <v>36627960</v>
      </c>
      <c r="D5" s="20">
        <v>33784587</v>
      </c>
      <c r="E5" s="20">
        <f t="shared" si="0"/>
        <v>-2843373</v>
      </c>
      <c r="F5" s="21">
        <f t="shared" si="1"/>
        <v>-7.762848381400439E-2</v>
      </c>
    </row>
    <row r="6" spans="1:6" ht="15" customHeight="1">
      <c r="A6" s="14" t="s">
        <v>49</v>
      </c>
      <c r="B6" s="4" t="s">
        <v>50</v>
      </c>
      <c r="C6" s="5">
        <v>27817283</v>
      </c>
      <c r="D6" s="5">
        <v>24640218</v>
      </c>
      <c r="E6" s="5">
        <f t="shared" si="0"/>
        <v>-3177065</v>
      </c>
      <c r="F6" s="6">
        <f t="shared" si="1"/>
        <v>-0.11421190919328822</v>
      </c>
    </row>
    <row r="7" spans="1:6" ht="15" customHeight="1">
      <c r="A7" s="17" t="s">
        <v>51</v>
      </c>
      <c r="B7" s="8" t="s">
        <v>52</v>
      </c>
      <c r="C7" s="9">
        <v>3710506</v>
      </c>
      <c r="D7" s="9">
        <v>3815921</v>
      </c>
      <c r="E7" s="9">
        <f t="shared" si="0"/>
        <v>105415</v>
      </c>
      <c r="F7" s="10">
        <f t="shared" si="1"/>
        <v>2.840987186114239E-2</v>
      </c>
    </row>
    <row r="8" spans="1:6" ht="15" customHeight="1">
      <c r="A8" s="14" t="s">
        <v>53</v>
      </c>
      <c r="B8" s="4" t="s">
        <v>54</v>
      </c>
      <c r="C8" s="5">
        <v>5100171</v>
      </c>
      <c r="D8" s="5">
        <v>5328448</v>
      </c>
      <c r="E8" s="5">
        <f t="shared" si="0"/>
        <v>228277</v>
      </c>
      <c r="F8" s="6">
        <f t="shared" si="1"/>
        <v>4.4758695345705077E-2</v>
      </c>
    </row>
    <row r="9" spans="1:6" ht="15" customHeight="1">
      <c r="A9" s="18" t="s">
        <v>55</v>
      </c>
      <c r="B9" s="19" t="s">
        <v>56</v>
      </c>
      <c r="C9" s="20">
        <f>C3-C5</f>
        <v>9333714</v>
      </c>
      <c r="D9" s="20">
        <f>D3-D5</f>
        <v>13528296</v>
      </c>
      <c r="E9" s="20">
        <f t="shared" si="0"/>
        <v>4194582</v>
      </c>
      <c r="F9" s="21">
        <f t="shared" si="1"/>
        <v>0.44940117085224596</v>
      </c>
    </row>
    <row r="10" spans="1:6" ht="15" customHeight="1">
      <c r="A10" s="18" t="s">
        <v>57</v>
      </c>
      <c r="B10" s="19" t="s">
        <v>58</v>
      </c>
      <c r="C10" s="20">
        <f>C9/C3</f>
        <v>0.20307602373229486</v>
      </c>
      <c r="D10" s="20">
        <f>D9/D3</f>
        <v>0.28593260740420323</v>
      </c>
      <c r="E10" s="20">
        <f t="shared" si="0"/>
        <v>8.2856583671908374E-2</v>
      </c>
      <c r="F10" s="18"/>
    </row>
    <row r="11" spans="1:6" ht="15" customHeight="1">
      <c r="A11" s="14" t="s">
        <v>59</v>
      </c>
      <c r="B11" s="4" t="s">
        <v>60</v>
      </c>
      <c r="C11" s="5">
        <v>6919229</v>
      </c>
      <c r="D11" s="5">
        <v>5662540</v>
      </c>
      <c r="E11" s="5">
        <f t="shared" si="0"/>
        <v>-1256689</v>
      </c>
      <c r="F11" s="6">
        <f>IF(C11=0,"-",E11/ABS(C11))</f>
        <v>-0.18162269235488521</v>
      </c>
    </row>
    <row r="12" spans="1:6" ht="15" customHeight="1">
      <c r="A12" s="17" t="s">
        <v>61</v>
      </c>
      <c r="B12" s="8" t="s">
        <v>62</v>
      </c>
      <c r="C12" s="9">
        <v>2615837</v>
      </c>
      <c r="D12" s="9">
        <v>2163040</v>
      </c>
      <c r="E12" s="9">
        <f t="shared" si="0"/>
        <v>-452797</v>
      </c>
      <c r="F12" s="10">
        <f>IF(C12=0,"-",E12/ABS(C12))</f>
        <v>-0.17309832378699438</v>
      </c>
    </row>
    <row r="13" spans="1:6" ht="15" customHeight="1">
      <c r="A13" s="14" t="s">
        <v>63</v>
      </c>
      <c r="B13" s="4" t="s">
        <v>64</v>
      </c>
      <c r="C13" s="5">
        <v>498432</v>
      </c>
      <c r="D13" s="5">
        <v>378691</v>
      </c>
      <c r="E13" s="5">
        <f t="shared" si="0"/>
        <v>-119741</v>
      </c>
      <c r="F13" s="6">
        <f>IF(C13=0,"-",E13/ABS(C13))</f>
        <v>-0.24023537814586543</v>
      </c>
    </row>
    <row r="14" spans="1:6" ht="15" customHeight="1">
      <c r="A14" s="18" t="s">
        <v>65</v>
      </c>
      <c r="B14" s="19" t="s">
        <v>66</v>
      </c>
      <c r="C14" s="20">
        <v>3804960</v>
      </c>
      <c r="D14" s="20">
        <v>3120809</v>
      </c>
      <c r="E14" s="20">
        <f t="shared" si="0"/>
        <v>-684151</v>
      </c>
      <c r="F14" s="21">
        <f>IF(C14=0,"-",E14/ABS(C14))</f>
        <v>-0.17980504394264329</v>
      </c>
    </row>
    <row r="15" spans="1:6" ht="15" customHeight="1">
      <c r="A15" s="18" t="s">
        <v>67</v>
      </c>
      <c r="B15" s="19" t="s">
        <v>68</v>
      </c>
      <c r="C15" s="20">
        <f>C9-C11</f>
        <v>2414485</v>
      </c>
      <c r="D15" s="20">
        <f>D9-D11</f>
        <v>7865756</v>
      </c>
      <c r="E15" s="20">
        <f t="shared" si="0"/>
        <v>5451271</v>
      </c>
      <c r="F15" s="21">
        <f>IF(C15=0,"-",E15/ABS(C15))</f>
        <v>2.2577365359486596</v>
      </c>
    </row>
    <row r="16" spans="1:6" ht="15" customHeight="1">
      <c r="A16" s="18" t="s">
        <v>69</v>
      </c>
      <c r="B16" s="19" t="s">
        <v>70</v>
      </c>
      <c r="C16" s="20">
        <f>C15/C3</f>
        <v>5.2532573117332497E-2</v>
      </c>
      <c r="D16" s="20">
        <f>D15/D3</f>
        <v>0.16624977175878292</v>
      </c>
      <c r="E16" s="20">
        <f t="shared" si="0"/>
        <v>0.11371719864145041</v>
      </c>
      <c r="F16" s="18"/>
    </row>
    <row r="17" spans="1:6" ht="15" customHeight="1">
      <c r="A17" s="17" t="s">
        <v>71</v>
      </c>
      <c r="B17" s="8" t="s">
        <v>72</v>
      </c>
      <c r="C17" s="9">
        <v>523697</v>
      </c>
      <c r="D17" s="9">
        <v>625000</v>
      </c>
      <c r="E17" s="9">
        <f t="shared" si="0"/>
        <v>101303</v>
      </c>
      <c r="F17" s="10">
        <f t="shared" ref="F17:F23" si="2">IF(C17=0,"-",E17/ABS(C17))</f>
        <v>0.19343819040399315</v>
      </c>
    </row>
    <row r="18" spans="1:6" ht="15" customHeight="1">
      <c r="A18" s="14" t="s">
        <v>73</v>
      </c>
      <c r="B18" s="4" t="s">
        <v>74</v>
      </c>
      <c r="C18" s="5">
        <v>153697</v>
      </c>
      <c r="D18" s="5">
        <v>175000</v>
      </c>
      <c r="E18" s="5">
        <f t="shared" si="0"/>
        <v>21303</v>
      </c>
      <c r="F18" s="6">
        <f t="shared" si="2"/>
        <v>0.13860387645822625</v>
      </c>
    </row>
    <row r="19" spans="1:6" ht="15" customHeight="1">
      <c r="A19" s="17" t="s">
        <v>75</v>
      </c>
      <c r="B19" s="8" t="s">
        <v>76</v>
      </c>
      <c r="C19" s="9">
        <v>370000</v>
      </c>
      <c r="D19" s="9">
        <v>450000</v>
      </c>
      <c r="E19" s="9">
        <f t="shared" si="0"/>
        <v>80000</v>
      </c>
      <c r="F19" s="10">
        <f t="shared" si="2"/>
        <v>0.21621621621621623</v>
      </c>
    </row>
    <row r="20" spans="1:6" ht="15" customHeight="1">
      <c r="A20" s="14" t="s">
        <v>77</v>
      </c>
      <c r="B20" s="4" t="s">
        <v>78</v>
      </c>
      <c r="C20" s="5">
        <v>1357946</v>
      </c>
      <c r="D20" s="5">
        <v>1156276</v>
      </c>
      <c r="E20" s="5">
        <f t="shared" si="0"/>
        <v>-201670</v>
      </c>
      <c r="F20" s="6">
        <f t="shared" si="2"/>
        <v>-0.14851106008633627</v>
      </c>
    </row>
    <row r="21" spans="1:6" ht="15" customHeight="1">
      <c r="A21" s="17" t="s">
        <v>79</v>
      </c>
      <c r="B21" s="8" t="s">
        <v>80</v>
      </c>
      <c r="C21" s="9">
        <v>857946</v>
      </c>
      <c r="D21" s="9">
        <v>756276</v>
      </c>
      <c r="E21" s="9">
        <f t="shared" si="0"/>
        <v>-101670</v>
      </c>
      <c r="F21" s="10">
        <f t="shared" si="2"/>
        <v>-0.11850396178780483</v>
      </c>
    </row>
    <row r="22" spans="1:6" ht="15" customHeight="1">
      <c r="A22" s="14" t="s">
        <v>81</v>
      </c>
      <c r="B22" s="4" t="s">
        <v>82</v>
      </c>
      <c r="C22" s="5">
        <v>500000</v>
      </c>
      <c r="D22" s="5">
        <v>400000</v>
      </c>
      <c r="E22" s="5">
        <f t="shared" si="0"/>
        <v>-100000</v>
      </c>
      <c r="F22" s="6">
        <f t="shared" si="2"/>
        <v>-0.2</v>
      </c>
    </row>
    <row r="23" spans="1:6" ht="15" customHeight="1">
      <c r="A23" s="18" t="s">
        <v>83</v>
      </c>
      <c r="B23" s="19" t="s">
        <v>84</v>
      </c>
      <c r="C23" s="20">
        <f>C15+C17-C20</f>
        <v>1580236</v>
      </c>
      <c r="D23" s="20">
        <f>D15+D17-D20</f>
        <v>7334480</v>
      </c>
      <c r="E23" s="20">
        <f t="shared" si="0"/>
        <v>5754244</v>
      </c>
      <c r="F23" s="21">
        <f t="shared" si="2"/>
        <v>3.6413826795491304</v>
      </c>
    </row>
    <row r="24" spans="1:6" ht="15" customHeight="1">
      <c r="A24" s="17" t="s">
        <v>85</v>
      </c>
      <c r="B24" s="8" t="s">
        <v>86</v>
      </c>
      <c r="C24" s="9">
        <f>C23/C3</f>
        <v>3.4381602375927384E-2</v>
      </c>
      <c r="D24" s="9">
        <f>D23/D3</f>
        <v>0.15502077943548695</v>
      </c>
      <c r="E24" s="9">
        <f t="shared" si="0"/>
        <v>0.12063917705955957</v>
      </c>
      <c r="F24" s="8"/>
    </row>
    <row r="25" spans="1:6" ht="15" customHeight="1">
      <c r="A25" s="18" t="s">
        <v>87</v>
      </c>
      <c r="B25" s="18" t="s">
        <v>19</v>
      </c>
      <c r="C25" s="20">
        <f>C15+C26+C27</f>
        <v>5151343</v>
      </c>
      <c r="D25" s="20">
        <f>D15+D26+D27</f>
        <v>11558492</v>
      </c>
      <c r="E25" s="20">
        <f t="shared" si="0"/>
        <v>6407149</v>
      </c>
      <c r="F25" s="21">
        <f>IF(C25=0,"-",E25/ABS(C25))</f>
        <v>1.2437822525116267</v>
      </c>
    </row>
    <row r="26" spans="1:6" ht="15" customHeight="1">
      <c r="A26" s="14" t="s">
        <v>88</v>
      </c>
      <c r="B26" s="4" t="s">
        <v>89</v>
      </c>
      <c r="C26" s="5">
        <v>2238426</v>
      </c>
      <c r="D26" s="5">
        <v>3314045</v>
      </c>
      <c r="E26" s="5">
        <f t="shared" si="0"/>
        <v>1075619</v>
      </c>
      <c r="F26" s="6">
        <f>IF(C26=0,"-",E26/ABS(C26))</f>
        <v>0.48052470798677283</v>
      </c>
    </row>
    <row r="27" spans="1:6" ht="15" customHeight="1">
      <c r="A27" s="17" t="s">
        <v>90</v>
      </c>
      <c r="B27" s="8" t="s">
        <v>91</v>
      </c>
      <c r="C27" s="9">
        <v>498432</v>
      </c>
      <c r="D27" s="9">
        <v>378691</v>
      </c>
      <c r="E27" s="9">
        <f t="shared" si="0"/>
        <v>-119741</v>
      </c>
      <c r="F27" s="10">
        <f>IF(C27=0,"-",E27/ABS(C27))</f>
        <v>-0.24023537814586543</v>
      </c>
    </row>
  </sheetData>
  <mergeCells count="1">
    <mergeCell ref="A1:F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F38"/>
  <sheetViews>
    <sheetView showGridLines="0" topLeftCell="A12" zoomScaleNormal="100" workbookViewId="0">
      <selection sqref="A1:F1"/>
    </sheetView>
  </sheetViews>
  <sheetFormatPr defaultColWidth="8.7109375" defaultRowHeight="15" customHeight="1"/>
  <cols>
    <col min="1" max="1" width="6" customWidth="1"/>
    <col min="2" max="2" width="42" customWidth="1"/>
    <col min="3" max="5" width="16" customWidth="1"/>
    <col min="6" max="6" width="12" customWidth="1"/>
  </cols>
  <sheetData>
    <row r="1" spans="1:6" ht="30" customHeight="1">
      <c r="A1" s="34" t="s">
        <v>92</v>
      </c>
      <c r="B1" s="34"/>
      <c r="C1" s="34"/>
      <c r="D1" s="34"/>
      <c r="E1" s="34"/>
      <c r="F1" s="34"/>
    </row>
    <row r="2" spans="1:6" ht="15" customHeight="1">
      <c r="A2" s="2" t="s">
        <v>42</v>
      </c>
      <c r="B2" s="2" t="s">
        <v>43</v>
      </c>
      <c r="C2" s="3" t="s">
        <v>93</v>
      </c>
      <c r="D2" s="3" t="s">
        <v>94</v>
      </c>
      <c r="E2" s="2" t="s">
        <v>6</v>
      </c>
      <c r="F2" s="2" t="s">
        <v>7</v>
      </c>
    </row>
    <row r="3" spans="1:6" ht="15" customHeight="1">
      <c r="A3" s="22"/>
      <c r="B3" s="22" t="s">
        <v>95</v>
      </c>
      <c r="C3" s="22"/>
      <c r="D3" s="22"/>
      <c r="E3" s="22"/>
      <c r="F3" s="22"/>
    </row>
    <row r="4" spans="1:6" ht="15" customHeight="1">
      <c r="A4" s="14" t="s">
        <v>96</v>
      </c>
      <c r="B4" s="4" t="s">
        <v>97</v>
      </c>
      <c r="C4" s="5">
        <v>912517</v>
      </c>
      <c r="D4" s="5">
        <v>2694114</v>
      </c>
      <c r="E4" s="5">
        <f t="shared" ref="E4:E15" si="0">D4-C4</f>
        <v>1781597</v>
      </c>
      <c r="F4" s="6">
        <f t="shared" ref="F4:F15" si="1">IF(C4=0,"-",E4/ABS(C4))</f>
        <v>1.9523986950380103</v>
      </c>
    </row>
    <row r="5" spans="1:6" ht="15" customHeight="1">
      <c r="A5" s="17" t="s">
        <v>98</v>
      </c>
      <c r="B5" s="8" t="s">
        <v>99</v>
      </c>
      <c r="C5" s="9">
        <v>500000</v>
      </c>
      <c r="D5" s="9">
        <v>600000</v>
      </c>
      <c r="E5" s="9">
        <f t="shared" si="0"/>
        <v>100000</v>
      </c>
      <c r="F5" s="10">
        <f t="shared" si="1"/>
        <v>0.2</v>
      </c>
    </row>
    <row r="6" spans="1:6" ht="15" customHeight="1">
      <c r="A6" s="14" t="s">
        <v>100</v>
      </c>
      <c r="B6" s="4" t="s">
        <v>101</v>
      </c>
      <c r="C6" s="5">
        <v>13671758</v>
      </c>
      <c r="D6" s="5">
        <v>12365854</v>
      </c>
      <c r="E6" s="5">
        <f t="shared" si="0"/>
        <v>-1305904</v>
      </c>
      <c r="F6" s="6">
        <f t="shared" si="1"/>
        <v>-9.5518367133180682E-2</v>
      </c>
    </row>
    <row r="7" spans="1:6" ht="15" customHeight="1">
      <c r="A7" s="17" t="s">
        <v>102</v>
      </c>
      <c r="B7" s="8" t="s">
        <v>103</v>
      </c>
      <c r="C7" s="9">
        <v>7883550</v>
      </c>
      <c r="D7" s="9">
        <v>3828714</v>
      </c>
      <c r="E7" s="9">
        <f t="shared" si="0"/>
        <v>-4054836</v>
      </c>
      <c r="F7" s="10">
        <f t="shared" si="1"/>
        <v>-0.51434138173792265</v>
      </c>
    </row>
    <row r="8" spans="1:6" ht="15" customHeight="1">
      <c r="A8" s="23" t="s">
        <v>104</v>
      </c>
      <c r="B8" s="24" t="s">
        <v>105</v>
      </c>
      <c r="C8" s="25">
        <f>SUM(C4:C7)</f>
        <v>22967825</v>
      </c>
      <c r="D8" s="25">
        <f>SUM(D4:D7)</f>
        <v>19488682</v>
      </c>
      <c r="E8" s="25">
        <f t="shared" si="0"/>
        <v>-3479143</v>
      </c>
      <c r="F8" s="26">
        <f t="shared" si="1"/>
        <v>-0.15147899289549621</v>
      </c>
    </row>
    <row r="9" spans="1:6" ht="15" customHeight="1">
      <c r="A9" s="14" t="s">
        <v>106</v>
      </c>
      <c r="B9" s="4" t="s">
        <v>107</v>
      </c>
      <c r="C9" s="5">
        <v>4200000</v>
      </c>
      <c r="D9" s="5">
        <v>1800000</v>
      </c>
      <c r="E9" s="5">
        <f t="shared" si="0"/>
        <v>-2400000</v>
      </c>
      <c r="F9" s="6">
        <f t="shared" si="1"/>
        <v>-0.5714285714285714</v>
      </c>
    </row>
    <row r="10" spans="1:6" ht="15" customHeight="1">
      <c r="A10" s="17" t="s">
        <v>108</v>
      </c>
      <c r="B10" s="8" t="s">
        <v>109</v>
      </c>
      <c r="C10" s="9">
        <v>1500000</v>
      </c>
      <c r="D10" s="9">
        <v>800000</v>
      </c>
      <c r="E10" s="9">
        <f t="shared" si="0"/>
        <v>-700000</v>
      </c>
      <c r="F10" s="10">
        <f t="shared" si="1"/>
        <v>-0.46666666666666667</v>
      </c>
    </row>
    <row r="11" spans="1:6" ht="15" customHeight="1">
      <c r="A11" s="14" t="s">
        <v>110</v>
      </c>
      <c r="B11" s="4" t="s">
        <v>111</v>
      </c>
      <c r="C11" s="5">
        <v>2183550</v>
      </c>
      <c r="D11" s="5">
        <v>1228714</v>
      </c>
      <c r="E11" s="5">
        <f t="shared" si="0"/>
        <v>-954836</v>
      </c>
      <c r="F11" s="6">
        <f t="shared" si="1"/>
        <v>-0.43728607084793114</v>
      </c>
    </row>
    <row r="12" spans="1:6" ht="15" customHeight="1">
      <c r="A12" s="17" t="s">
        <v>112</v>
      </c>
      <c r="B12" s="8" t="s">
        <v>113</v>
      </c>
      <c r="C12" s="9">
        <v>11622344</v>
      </c>
      <c r="D12" s="9">
        <v>12365071</v>
      </c>
      <c r="E12" s="9">
        <f t="shared" si="0"/>
        <v>742727</v>
      </c>
      <c r="F12" s="10">
        <f t="shared" si="1"/>
        <v>6.3905095220034791E-2</v>
      </c>
    </row>
    <row r="13" spans="1:6" ht="15" customHeight="1">
      <c r="A13" s="14" t="s">
        <v>114</v>
      </c>
      <c r="B13" s="4" t="s">
        <v>115</v>
      </c>
      <c r="C13" s="5">
        <v>350000</v>
      </c>
      <c r="D13" s="5">
        <v>300000</v>
      </c>
      <c r="E13" s="5">
        <f t="shared" si="0"/>
        <v>-50000</v>
      </c>
      <c r="F13" s="6">
        <f t="shared" si="1"/>
        <v>-0.14285714285714285</v>
      </c>
    </row>
    <row r="14" spans="1:6" ht="15" customHeight="1">
      <c r="A14" s="17" t="s">
        <v>116</v>
      </c>
      <c r="B14" s="8" t="s">
        <v>117</v>
      </c>
      <c r="C14" s="9">
        <v>2350015</v>
      </c>
      <c r="D14" s="9">
        <v>3149759</v>
      </c>
      <c r="E14" s="9">
        <f t="shared" si="0"/>
        <v>799744</v>
      </c>
      <c r="F14" s="10">
        <f t="shared" si="1"/>
        <v>0.34031442352495622</v>
      </c>
    </row>
    <row r="15" spans="1:6" ht="15" customHeight="1">
      <c r="A15" s="23" t="s">
        <v>118</v>
      </c>
      <c r="B15" s="24" t="s">
        <v>119</v>
      </c>
      <c r="C15" s="25">
        <f>SUM(C12:C14)</f>
        <v>14322359</v>
      </c>
      <c r="D15" s="25">
        <f>SUM(D12:D14)</f>
        <v>15814830</v>
      </c>
      <c r="E15" s="25">
        <f t="shared" si="0"/>
        <v>1492471</v>
      </c>
      <c r="F15" s="26">
        <f t="shared" si="1"/>
        <v>0.10420566891250248</v>
      </c>
    </row>
    <row r="16" spans="1:6" ht="15" customHeight="1">
      <c r="A16" s="4"/>
      <c r="B16" s="4"/>
      <c r="C16" s="14"/>
      <c r="D16" s="14"/>
      <c r="E16" s="14"/>
      <c r="F16" s="14"/>
    </row>
    <row r="17" spans="1:6" ht="15" customHeight="1">
      <c r="A17" s="8"/>
      <c r="B17" s="8" t="s">
        <v>120</v>
      </c>
      <c r="C17" s="17"/>
      <c r="D17" s="17"/>
      <c r="E17" s="17"/>
      <c r="F17" s="17"/>
    </row>
    <row r="18" spans="1:6" ht="15" customHeight="1">
      <c r="A18" s="14" t="s">
        <v>121</v>
      </c>
      <c r="B18" s="4" t="s">
        <v>122</v>
      </c>
      <c r="C18" s="5">
        <v>1200000</v>
      </c>
      <c r="D18" s="5">
        <v>1100000</v>
      </c>
      <c r="E18" s="5">
        <f>D18-C18</f>
        <v>-100000</v>
      </c>
      <c r="F18" s="6">
        <f>IF(C18=0,"-",E18/ABS(C18))</f>
        <v>-8.3333333333333329E-2</v>
      </c>
    </row>
    <row r="19" spans="1:6" ht="15" customHeight="1">
      <c r="A19" s="17" t="s">
        <v>123</v>
      </c>
      <c r="B19" s="8" t="s">
        <v>124</v>
      </c>
      <c r="C19" s="9">
        <v>800000</v>
      </c>
      <c r="D19" s="9">
        <v>900000</v>
      </c>
      <c r="E19" s="9">
        <f>D19-C19</f>
        <v>100000</v>
      </c>
      <c r="F19" s="10">
        <f>IF(C19=0,"-",E19/ABS(C19))</f>
        <v>0.125</v>
      </c>
    </row>
    <row r="20" spans="1:6" ht="15" customHeight="1">
      <c r="A20" s="4"/>
      <c r="B20" s="4"/>
      <c r="C20" s="14"/>
      <c r="D20" s="14"/>
      <c r="E20" s="14"/>
      <c r="F20" s="14"/>
    </row>
    <row r="21" spans="1:6" ht="15" customHeight="1">
      <c r="A21" s="8"/>
      <c r="B21" s="8"/>
      <c r="C21" s="17"/>
      <c r="D21" s="17"/>
      <c r="E21" s="17"/>
      <c r="F21" s="17"/>
    </row>
    <row r="22" spans="1:6" ht="15" customHeight="1">
      <c r="A22" s="18" t="s">
        <v>125</v>
      </c>
      <c r="B22" s="19" t="s">
        <v>126</v>
      </c>
      <c r="C22" s="20">
        <f>C8+C15</f>
        <v>37290184</v>
      </c>
      <c r="D22" s="20">
        <f>D8+D15</f>
        <v>35303512</v>
      </c>
      <c r="E22" s="20">
        <f>D22-C22</f>
        <v>-1986672</v>
      </c>
      <c r="F22" s="21">
        <f>IF(C22=0,"-",E22/C22)</f>
        <v>-5.3276004216015665E-2</v>
      </c>
    </row>
    <row r="23" spans="1:6" ht="15" customHeight="1">
      <c r="A23" s="22"/>
      <c r="B23" s="22" t="s">
        <v>127</v>
      </c>
      <c r="C23" s="22"/>
      <c r="D23" s="22"/>
      <c r="E23" s="22"/>
      <c r="F23" s="22"/>
    </row>
    <row r="24" spans="1:6" ht="15" customHeight="1">
      <c r="A24" s="17" t="s">
        <v>128</v>
      </c>
      <c r="B24" s="8" t="s">
        <v>129</v>
      </c>
      <c r="C24" s="9">
        <v>12500000</v>
      </c>
      <c r="D24" s="9">
        <v>11200000</v>
      </c>
      <c r="E24" s="9">
        <f t="shared" ref="E24:E31" si="2">D24-C24</f>
        <v>-1300000</v>
      </c>
      <c r="F24" s="10">
        <f t="shared" ref="F24:F31" si="3">IF(C24=0,"-",E24/ABS(C24))</f>
        <v>-0.104</v>
      </c>
    </row>
    <row r="25" spans="1:6" ht="15" customHeight="1">
      <c r="A25" s="14" t="s">
        <v>130</v>
      </c>
      <c r="B25" s="4" t="s">
        <v>131</v>
      </c>
      <c r="C25" s="5">
        <v>8500000</v>
      </c>
      <c r="D25" s="5">
        <v>7500000</v>
      </c>
      <c r="E25" s="5">
        <f t="shared" si="2"/>
        <v>-1000000</v>
      </c>
      <c r="F25" s="6">
        <f t="shared" si="3"/>
        <v>-0.11764705882352941</v>
      </c>
    </row>
    <row r="26" spans="1:6" ht="15" customHeight="1">
      <c r="A26" s="17" t="s">
        <v>132</v>
      </c>
      <c r="B26" s="8" t="s">
        <v>133</v>
      </c>
      <c r="C26" s="9">
        <v>3629055</v>
      </c>
      <c r="D26" s="9">
        <v>3265609</v>
      </c>
      <c r="E26" s="9">
        <f t="shared" si="2"/>
        <v>-363446</v>
      </c>
      <c r="F26" s="10">
        <f t="shared" si="3"/>
        <v>-0.10014893684444022</v>
      </c>
    </row>
    <row r="27" spans="1:6" ht="15" customHeight="1">
      <c r="A27" s="23" t="s">
        <v>134</v>
      </c>
      <c r="B27" s="24" t="s">
        <v>135</v>
      </c>
      <c r="C27" s="25">
        <f>SUM(C24:C26)</f>
        <v>24629055</v>
      </c>
      <c r="D27" s="25">
        <f>SUM(D24:D26)</f>
        <v>21965609</v>
      </c>
      <c r="E27" s="25">
        <f t="shared" si="2"/>
        <v>-2663446</v>
      </c>
      <c r="F27" s="26">
        <f t="shared" si="3"/>
        <v>-0.10814243583442401</v>
      </c>
    </row>
    <row r="28" spans="1:6" ht="15" customHeight="1">
      <c r="A28" s="14" t="s">
        <v>136</v>
      </c>
      <c r="B28" s="4" t="s">
        <v>137</v>
      </c>
      <c r="C28" s="5">
        <v>2000000</v>
      </c>
      <c r="D28" s="5">
        <v>2000000</v>
      </c>
      <c r="E28" s="5">
        <f t="shared" si="2"/>
        <v>0</v>
      </c>
      <c r="F28" s="6">
        <f t="shared" si="3"/>
        <v>0</v>
      </c>
    </row>
    <row r="29" spans="1:6" ht="15" customHeight="1">
      <c r="A29" s="17" t="s">
        <v>138</v>
      </c>
      <c r="B29" s="8" t="s">
        <v>139</v>
      </c>
      <c r="C29" s="9">
        <v>849687</v>
      </c>
      <c r="D29" s="9">
        <v>856041</v>
      </c>
      <c r="E29" s="9">
        <f t="shared" si="2"/>
        <v>6354</v>
      </c>
      <c r="F29" s="10">
        <f t="shared" si="3"/>
        <v>7.478047798777668E-3</v>
      </c>
    </row>
    <row r="30" spans="1:6" ht="15" customHeight="1">
      <c r="A30" s="23" t="s">
        <v>140</v>
      </c>
      <c r="B30" s="24" t="s">
        <v>141</v>
      </c>
      <c r="C30" s="25">
        <f>SUM(C28:C29)</f>
        <v>2849687</v>
      </c>
      <c r="D30" s="25">
        <f>SUM(D28:D29)</f>
        <v>2856041</v>
      </c>
      <c r="E30" s="25">
        <f t="shared" si="2"/>
        <v>6354</v>
      </c>
      <c r="F30" s="26">
        <f t="shared" si="3"/>
        <v>2.2297185620736592E-3</v>
      </c>
    </row>
    <row r="31" spans="1:6" ht="15" customHeight="1">
      <c r="A31" s="18" t="s">
        <v>142</v>
      </c>
      <c r="B31" s="19" t="s">
        <v>143</v>
      </c>
      <c r="C31" s="20">
        <f>C27+C30</f>
        <v>27478742</v>
      </c>
      <c r="D31" s="20">
        <f>D27+D30</f>
        <v>24821650</v>
      </c>
      <c r="E31" s="20">
        <f t="shared" si="2"/>
        <v>-2657092</v>
      </c>
      <c r="F31" s="21">
        <f t="shared" si="3"/>
        <v>-9.6696275251610869E-2</v>
      </c>
    </row>
    <row r="32" spans="1:6" ht="15" customHeight="1">
      <c r="A32" s="22"/>
      <c r="B32" s="22" t="s">
        <v>144</v>
      </c>
      <c r="C32" s="22"/>
      <c r="D32" s="22"/>
      <c r="E32" s="22"/>
      <c r="F32" s="22"/>
    </row>
    <row r="33" spans="1:6" ht="15" customHeight="1">
      <c r="A33" s="17" t="s">
        <v>145</v>
      </c>
      <c r="B33" s="8" t="s">
        <v>146</v>
      </c>
      <c r="C33" s="9">
        <v>3000000</v>
      </c>
      <c r="D33" s="9">
        <v>3000000</v>
      </c>
      <c r="E33" s="9">
        <f>D33-C33</f>
        <v>0</v>
      </c>
      <c r="F33" s="10">
        <f>IF(C33=0,"-",E33/ABS(C33))</f>
        <v>0</v>
      </c>
    </row>
    <row r="34" spans="1:6" ht="15" customHeight="1">
      <c r="A34" s="14" t="s">
        <v>147</v>
      </c>
      <c r="B34" s="4" t="s">
        <v>148</v>
      </c>
      <c r="C34" s="5">
        <v>6311442</v>
      </c>
      <c r="D34" s="5">
        <v>6981862</v>
      </c>
      <c r="E34" s="5">
        <f>D34-C34</f>
        <v>670420</v>
      </c>
      <c r="F34" s="6">
        <f>IF(C34=0,"-",E34/ABS(C34))</f>
        <v>0.10622295190227526</v>
      </c>
    </row>
    <row r="35" spans="1:6" ht="15" customHeight="1">
      <c r="A35" s="17" t="s">
        <v>149</v>
      </c>
      <c r="B35" s="8" t="s">
        <v>150</v>
      </c>
      <c r="C35" s="9">
        <v>500000</v>
      </c>
      <c r="D35" s="9">
        <v>500000</v>
      </c>
      <c r="E35" s="9">
        <f>D35-C35</f>
        <v>0</v>
      </c>
      <c r="F35" s="10">
        <f>IF(C35=0,"-",E35/ABS(C35))</f>
        <v>0</v>
      </c>
    </row>
    <row r="36" spans="1:6" ht="15" customHeight="1">
      <c r="A36" s="18" t="s">
        <v>151</v>
      </c>
      <c r="B36" s="19" t="s">
        <v>152</v>
      </c>
      <c r="C36" s="20">
        <f>SUM(C33:C35)</f>
        <v>9811442</v>
      </c>
      <c r="D36" s="20">
        <f>SUM(D33:D35)</f>
        <v>10481862</v>
      </c>
      <c r="E36" s="20">
        <f>D36-C36</f>
        <v>670420</v>
      </c>
      <c r="F36" s="21">
        <f>IF(C36=0,"-",E36/ABS(C36))</f>
        <v>6.833042482440399E-2</v>
      </c>
    </row>
    <row r="37" spans="1:6" ht="15" customHeight="1">
      <c r="A37" s="4"/>
      <c r="B37" s="4"/>
      <c r="C37" s="14"/>
      <c r="D37" s="14"/>
      <c r="E37" s="14"/>
      <c r="F37" s="14"/>
    </row>
    <row r="38" spans="1:6" ht="15" customHeight="1">
      <c r="A38" s="18" t="s">
        <v>153</v>
      </c>
      <c r="B38" s="19" t="s">
        <v>154</v>
      </c>
      <c r="C38" s="20">
        <f>C31+C36</f>
        <v>37290184</v>
      </c>
      <c r="D38" s="20">
        <f>D31+D36</f>
        <v>35303512</v>
      </c>
      <c r="E38" s="20">
        <f>D38-C38</f>
        <v>-1986672</v>
      </c>
      <c r="F38" s="21">
        <f>IF(C38=0,"-",E38/ABS(C38))</f>
        <v>-5.3276004216015665E-2</v>
      </c>
    </row>
  </sheetData>
  <mergeCells count="1">
    <mergeCell ref="A1:F1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B44"/>
  <sheetViews>
    <sheetView showGridLines="0" tabSelected="1" topLeftCell="A18" zoomScaleNormal="100" workbookViewId="0">
      <selection activeCell="B36" sqref="B36"/>
    </sheetView>
  </sheetViews>
  <sheetFormatPr defaultColWidth="8.7109375" defaultRowHeight="15" customHeight="1"/>
  <cols>
    <col min="1" max="1" width="6" customWidth="1"/>
    <col min="2" max="2" width="115.7109375" bestFit="1" customWidth="1"/>
  </cols>
  <sheetData>
    <row r="1" spans="1:2" ht="30" customHeight="1">
      <c r="A1" s="31" t="s">
        <v>155</v>
      </c>
      <c r="B1" s="31"/>
    </row>
    <row r="2" spans="1:2" ht="15" customHeight="1">
      <c r="B2" s="27"/>
    </row>
    <row r="3" spans="1:2" ht="14.25" customHeight="1">
      <c r="A3" s="35" t="s">
        <v>156</v>
      </c>
      <c r="B3" s="35"/>
    </row>
    <row r="4" spans="1:2" ht="15" customHeight="1">
      <c r="A4" s="28"/>
      <c r="B4" s="29" t="s">
        <v>157</v>
      </c>
    </row>
    <row r="5" spans="1:2" ht="15" customHeight="1">
      <c r="A5" s="28"/>
      <c r="B5" s="29" t="s">
        <v>158</v>
      </c>
    </row>
    <row r="6" spans="1:2" ht="15" customHeight="1">
      <c r="A6" s="28"/>
      <c r="B6" s="29" t="s">
        <v>159</v>
      </c>
    </row>
    <row r="7" spans="1:2" ht="15" customHeight="1">
      <c r="A7" s="28"/>
      <c r="B7" s="29" t="s">
        <v>160</v>
      </c>
    </row>
    <row r="8" spans="1:2" ht="15" customHeight="1">
      <c r="A8" s="28"/>
      <c r="B8" s="29" t="s">
        <v>161</v>
      </c>
    </row>
    <row r="9" spans="1:2" ht="15" customHeight="1">
      <c r="A9" s="28"/>
      <c r="B9" s="27" t="s">
        <v>162</v>
      </c>
    </row>
    <row r="10" spans="1:2" ht="15" customHeight="1">
      <c r="B10" s="29"/>
    </row>
    <row r="11" spans="1:2" ht="14.25" customHeight="1">
      <c r="A11" s="35" t="s">
        <v>163</v>
      </c>
      <c r="B11" s="35"/>
    </row>
    <row r="12" spans="1:2" ht="15" customHeight="1">
      <c r="A12" s="28"/>
      <c r="B12" s="29" t="s">
        <v>164</v>
      </c>
    </row>
    <row r="13" spans="1:2" ht="15" customHeight="1">
      <c r="A13" s="28"/>
      <c r="B13" s="29" t="s">
        <v>165</v>
      </c>
    </row>
    <row r="14" spans="1:2" ht="15" customHeight="1">
      <c r="A14" s="28"/>
      <c r="B14" s="29" t="s">
        <v>166</v>
      </c>
    </row>
    <row r="15" spans="1:2" ht="15" customHeight="1">
      <c r="A15" s="28"/>
      <c r="B15" s="29" t="s">
        <v>167</v>
      </c>
    </row>
    <row r="16" spans="1:2" ht="15" customHeight="1">
      <c r="A16" s="28"/>
      <c r="B16" s="29" t="s">
        <v>168</v>
      </c>
    </row>
    <row r="17" spans="1:2" ht="15" customHeight="1">
      <c r="B17" s="29"/>
    </row>
    <row r="18" spans="1:2" ht="14.25" customHeight="1">
      <c r="A18" s="35" t="s">
        <v>169</v>
      </c>
      <c r="B18" s="35"/>
    </row>
    <row r="19" spans="1:2" ht="15" customHeight="1">
      <c r="A19" s="28"/>
      <c r="B19" s="29" t="s">
        <v>170</v>
      </c>
    </row>
    <row r="20" spans="1:2" ht="15" customHeight="1">
      <c r="A20" s="28"/>
      <c r="B20" s="29" t="s">
        <v>171</v>
      </c>
    </row>
    <row r="21" spans="1:2" ht="15" customHeight="1">
      <c r="A21" s="28"/>
      <c r="B21" s="29" t="s">
        <v>172</v>
      </c>
    </row>
    <row r="22" spans="1:2" ht="15" customHeight="1">
      <c r="A22" s="28"/>
      <c r="B22" s="29" t="s">
        <v>173</v>
      </c>
    </row>
    <row r="23" spans="1:2" ht="15" customHeight="1">
      <c r="A23" s="28"/>
      <c r="B23" s="29" t="s">
        <v>174</v>
      </c>
    </row>
    <row r="24" spans="1:2" ht="15" customHeight="1">
      <c r="A24" s="28"/>
      <c r="B24" s="29" t="s">
        <v>175</v>
      </c>
    </row>
    <row r="25" spans="1:2" ht="15" customHeight="1">
      <c r="B25" s="29"/>
    </row>
    <row r="26" spans="1:2" ht="14.25" customHeight="1">
      <c r="A26" s="35" t="s">
        <v>176</v>
      </c>
      <c r="B26" s="35"/>
    </row>
    <row r="27" spans="1:2" ht="15" customHeight="1">
      <c r="A27" s="28"/>
      <c r="B27" s="27" t="s">
        <v>177</v>
      </c>
    </row>
    <row r="28" spans="1:2" ht="15" customHeight="1">
      <c r="A28" s="28"/>
      <c r="B28" s="27" t="s">
        <v>178</v>
      </c>
    </row>
    <row r="29" spans="1:2" ht="15" customHeight="1">
      <c r="A29" s="28"/>
      <c r="B29" s="29" t="s">
        <v>179</v>
      </c>
    </row>
    <row r="30" spans="1:2" ht="15" customHeight="1">
      <c r="A30" s="28"/>
      <c r="B30" s="29" t="s">
        <v>180</v>
      </c>
    </row>
    <row r="31" spans="1:2" ht="15" customHeight="1">
      <c r="B31" s="29"/>
    </row>
    <row r="32" spans="1:2" ht="14.25" customHeight="1">
      <c r="A32" s="35" t="s">
        <v>181</v>
      </c>
      <c r="B32" s="35"/>
    </row>
    <row r="33" spans="1:2" ht="15" customHeight="1">
      <c r="A33" s="28"/>
      <c r="B33" s="27" t="s">
        <v>182</v>
      </c>
    </row>
    <row r="34" spans="1:2" ht="15" customHeight="1">
      <c r="A34" s="28"/>
      <c r="B34" s="29" t="s">
        <v>183</v>
      </c>
    </row>
    <row r="35" spans="1:2" ht="15" customHeight="1">
      <c r="A35" s="28"/>
      <c r="B35" s="29" t="s">
        <v>184</v>
      </c>
    </row>
    <row r="36" spans="1:2" ht="15" customHeight="1">
      <c r="A36" s="28"/>
      <c r="B36" s="29" t="s">
        <v>185</v>
      </c>
    </row>
    <row r="37" spans="1:2" ht="15" customHeight="1">
      <c r="B37" s="29"/>
    </row>
    <row r="38" spans="1:2" ht="14.25" customHeight="1">
      <c r="A38" s="35" t="s">
        <v>186</v>
      </c>
      <c r="B38" s="35"/>
    </row>
    <row r="39" spans="1:2" ht="15" customHeight="1">
      <c r="A39" s="28"/>
      <c r="B39" s="29" t="s">
        <v>187</v>
      </c>
    </row>
    <row r="40" spans="1:2" ht="15" customHeight="1">
      <c r="A40" s="28"/>
      <c r="B40" s="29" t="s">
        <v>188</v>
      </c>
    </row>
    <row r="41" spans="1:2" ht="15" customHeight="1">
      <c r="A41" s="28"/>
      <c r="B41" s="29" t="s">
        <v>189</v>
      </c>
    </row>
    <row r="42" spans="1:2" ht="15" customHeight="1">
      <c r="A42" s="28"/>
      <c r="B42" s="29" t="s">
        <v>190</v>
      </c>
    </row>
    <row r="43" spans="1:2" ht="15" customHeight="1">
      <c r="A43" s="28"/>
      <c r="B43" s="29" t="s">
        <v>191</v>
      </c>
    </row>
    <row r="44" spans="1:2" ht="15" customHeight="1">
      <c r="A44" s="28"/>
      <c r="B44" s="29" t="s">
        <v>192</v>
      </c>
    </row>
  </sheetData>
  <mergeCells count="7">
    <mergeCell ref="A32:B32"/>
    <mergeCell ref="A38:B38"/>
    <mergeCell ref="A1:B1"/>
    <mergeCell ref="A3:B3"/>
    <mergeCell ref="A11:B11"/>
    <mergeCell ref="A18:B18"/>
    <mergeCell ref="A26:B2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18"/>
  <sheetViews>
    <sheetView showGridLines="0" zoomScaleNormal="100" workbookViewId="0">
      <selection sqref="A1:C1"/>
    </sheetView>
  </sheetViews>
  <sheetFormatPr defaultColWidth="8.7109375" defaultRowHeight="15" customHeight="1"/>
  <cols>
    <col min="1" max="3" width="20" customWidth="1"/>
  </cols>
  <sheetData>
    <row r="1" spans="1:3" ht="30" customHeight="1">
      <c r="A1" s="34" t="s">
        <v>193</v>
      </c>
      <c r="B1" s="34"/>
      <c r="C1" s="34"/>
    </row>
    <row r="2" spans="1:3" ht="15" customHeight="1">
      <c r="A2" s="2" t="s">
        <v>194</v>
      </c>
      <c r="B2" s="2" t="s">
        <v>195</v>
      </c>
      <c r="C2" s="2" t="s">
        <v>196</v>
      </c>
    </row>
    <row r="3" spans="1:3" ht="15" customHeight="1">
      <c r="A3" s="15" t="s">
        <v>197</v>
      </c>
      <c r="B3" s="5">
        <v>24500</v>
      </c>
      <c r="C3" s="5">
        <v>24550</v>
      </c>
    </row>
    <row r="4" spans="1:3" ht="15" customHeight="1">
      <c r="A4" s="16" t="s">
        <v>198</v>
      </c>
      <c r="B4" s="9">
        <v>24550</v>
      </c>
      <c r="C4" s="9">
        <v>24600</v>
      </c>
    </row>
    <row r="5" spans="1:3" ht="15" customHeight="1">
      <c r="A5" s="15" t="s">
        <v>199</v>
      </c>
      <c r="B5" s="5">
        <v>24600</v>
      </c>
      <c r="C5" s="5">
        <v>24650</v>
      </c>
    </row>
    <row r="6" spans="1:3" ht="15" customHeight="1">
      <c r="A6" s="16" t="s">
        <v>200</v>
      </c>
      <c r="B6" s="9">
        <v>24650</v>
      </c>
      <c r="C6" s="9">
        <v>24700</v>
      </c>
    </row>
    <row r="7" spans="1:3" ht="15" customHeight="1">
      <c r="A7" s="15" t="s">
        <v>201</v>
      </c>
      <c r="B7" s="5">
        <v>24700</v>
      </c>
      <c r="C7" s="5">
        <v>24750</v>
      </c>
    </row>
    <row r="8" spans="1:3" ht="15" customHeight="1">
      <c r="A8" s="16" t="s">
        <v>202</v>
      </c>
      <c r="B8" s="9">
        <v>24750</v>
      </c>
      <c r="C8" s="9">
        <v>24800</v>
      </c>
    </row>
    <row r="9" spans="1:3" ht="15" customHeight="1">
      <c r="A9" s="15" t="s">
        <v>203</v>
      </c>
      <c r="B9" s="5">
        <v>24800</v>
      </c>
      <c r="C9" s="5">
        <v>24850</v>
      </c>
    </row>
    <row r="10" spans="1:3" ht="15" customHeight="1">
      <c r="A10" s="16" t="s">
        <v>204</v>
      </c>
      <c r="B10" s="9">
        <v>24750</v>
      </c>
      <c r="C10" s="9">
        <v>24800</v>
      </c>
    </row>
    <row r="11" spans="1:3" ht="15" customHeight="1">
      <c r="A11" s="15" t="s">
        <v>205</v>
      </c>
      <c r="B11" s="5">
        <v>24800</v>
      </c>
      <c r="C11" s="5">
        <v>24850</v>
      </c>
    </row>
    <row r="12" spans="1:3" ht="15" customHeight="1">
      <c r="A12" s="16" t="s">
        <v>206</v>
      </c>
      <c r="B12" s="9">
        <v>24850</v>
      </c>
      <c r="C12" s="9">
        <v>24900</v>
      </c>
    </row>
    <row r="13" spans="1:3" ht="15" customHeight="1">
      <c r="A13" s="15" t="s">
        <v>207</v>
      </c>
      <c r="B13" s="5">
        <v>24900</v>
      </c>
      <c r="C13" s="5">
        <v>24950</v>
      </c>
    </row>
    <row r="14" spans="1:3" ht="15" customHeight="1">
      <c r="A14" s="16" t="s">
        <v>208</v>
      </c>
      <c r="B14" s="9">
        <v>24950</v>
      </c>
      <c r="C14" s="9">
        <v>25000</v>
      </c>
    </row>
    <row r="15" spans="1:3" ht="15" customHeight="1">
      <c r="A15" s="4" t="s">
        <v>209</v>
      </c>
      <c r="B15" s="5">
        <f>AVERAGE(B3:B14)</f>
        <v>24733.333333333332</v>
      </c>
      <c r="C15" s="5"/>
    </row>
    <row r="16" spans="1:3" ht="15" customHeight="1">
      <c r="A16" s="8" t="s">
        <v>196</v>
      </c>
      <c r="B16" s="9"/>
      <c r="C16" s="9">
        <f>C14</f>
        <v>25000</v>
      </c>
    </row>
    <row r="17" spans="1:3" ht="15" customHeight="1">
      <c r="A17" s="14"/>
      <c r="B17" s="5"/>
      <c r="C17" s="5"/>
    </row>
    <row r="18" spans="1:3" ht="15" customHeight="1">
      <c r="A18" s="8" t="s">
        <v>210</v>
      </c>
      <c r="B18" s="36" t="s">
        <v>211</v>
      </c>
      <c r="C18" s="36"/>
    </row>
  </sheetData>
  <mergeCells count="2">
    <mergeCell ref="A1:C1"/>
    <mergeCell ref="B18:C18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경영분석 요약</vt:lpstr>
      <vt:lpstr>손익계산서 비교</vt:lpstr>
      <vt:lpstr>재무상태표 비교</vt:lpstr>
      <vt:lpstr>분석 및 개선방안</vt:lpstr>
      <vt:lpstr>환율정보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2026-02-25T09:54:39Z</dcterms:created>
  <dcterms:modified xsi:type="dcterms:W3CDTF">2026-02-26T03:15:15Z</dcterms:modified>
  <dc:language>en-US</dc:language>
</cp:coreProperties>
</file>