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STOP\Documents\Closing\"/>
    </mc:Choice>
  </mc:AlternateContent>
  <xr:revisionPtr revIDLastSave="0" documentId="13_ncr:1_{D6440CD6-F0C6-40C0-98C1-581951DCE1BF}" xr6:coauthVersionLast="47" xr6:coauthVersionMax="47" xr10:uidLastSave="{00000000-0000-0000-0000-000000000000}"/>
  <bookViews>
    <workbookView xWindow="-120" yWindow="360" windowWidth="29040" windowHeight="15240" tabRatio="500" xr2:uid="{00000000-000D-0000-FFFF-FFFF00000000}"/>
  </bookViews>
  <sheets>
    <sheet name="경영분석 요약" sheetId="1" r:id="rId1"/>
    <sheet name="손익계산서 비교" sheetId="2" r:id="rId2"/>
    <sheet name="재무상태표 비교" sheetId="3" r:id="rId3"/>
    <sheet name="분석 및 개선방안" sheetId="4" r:id="rId4"/>
    <sheet name="환율정보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" i="1" l="1"/>
  <c r="F9" i="1"/>
  <c r="B17" i="5" l="1"/>
  <c r="F40" i="3"/>
  <c r="E40" i="3"/>
  <c r="F39" i="3"/>
  <c r="E39" i="3"/>
  <c r="F38" i="3"/>
  <c r="E38" i="3"/>
  <c r="F37" i="3"/>
  <c r="E37" i="3"/>
  <c r="F34" i="3"/>
  <c r="E34" i="3"/>
  <c r="E33" i="3"/>
  <c r="F33" i="3" s="1"/>
  <c r="E32" i="3"/>
  <c r="F32" i="3" s="1"/>
  <c r="F31" i="3"/>
  <c r="E31" i="3"/>
  <c r="E30" i="3"/>
  <c r="F30" i="3" s="1"/>
  <c r="F29" i="3"/>
  <c r="E29" i="3"/>
  <c r="F28" i="3"/>
  <c r="E28" i="3"/>
  <c r="F27" i="3"/>
  <c r="E27" i="3"/>
  <c r="F24" i="3"/>
  <c r="E24" i="3"/>
  <c r="E23" i="3"/>
  <c r="F23" i="3" s="1"/>
  <c r="F22" i="3"/>
  <c r="E22" i="3"/>
  <c r="E21" i="3"/>
  <c r="F21" i="3" s="1"/>
  <c r="E20" i="3"/>
  <c r="F20" i="3" s="1"/>
  <c r="E19" i="3"/>
  <c r="F19" i="3" s="1"/>
  <c r="E18" i="3"/>
  <c r="F18" i="3" s="1"/>
  <c r="E17" i="3"/>
  <c r="F17" i="3" s="1"/>
  <c r="E16" i="3"/>
  <c r="F16" i="3" s="1"/>
  <c r="E15" i="3"/>
  <c r="F15" i="3" s="1"/>
  <c r="F14" i="3"/>
  <c r="E14" i="3"/>
  <c r="F13" i="3"/>
  <c r="E13" i="3"/>
  <c r="F12" i="3"/>
  <c r="E12" i="3"/>
  <c r="F11" i="3"/>
  <c r="E11" i="3"/>
  <c r="F10" i="3"/>
  <c r="E10" i="3"/>
  <c r="E9" i="3"/>
  <c r="F9" i="3" s="1"/>
  <c r="F8" i="3"/>
  <c r="E8" i="3"/>
  <c r="E7" i="3"/>
  <c r="F7" i="3" s="1"/>
  <c r="E6" i="3"/>
  <c r="F6" i="3" s="1"/>
  <c r="E5" i="3"/>
  <c r="F5" i="3" s="1"/>
  <c r="E31" i="2"/>
  <c r="F31" i="2" s="1"/>
  <c r="E30" i="2"/>
  <c r="F30" i="2" s="1"/>
  <c r="E29" i="2"/>
  <c r="F29" i="2" s="1"/>
  <c r="F28" i="2"/>
  <c r="E28" i="2"/>
  <c r="F27" i="2"/>
  <c r="E27" i="2"/>
  <c r="F26" i="2"/>
  <c r="E26" i="2"/>
  <c r="F25" i="2"/>
  <c r="E25" i="2"/>
  <c r="F24" i="2"/>
  <c r="E24" i="2"/>
  <c r="F23" i="2"/>
  <c r="E23" i="2"/>
  <c r="E22" i="2"/>
  <c r="F22" i="2" s="1"/>
  <c r="E21" i="2"/>
  <c r="F21" i="2" s="1"/>
  <c r="F20" i="2"/>
  <c r="E20" i="2"/>
  <c r="E19" i="2"/>
  <c r="F19" i="2" s="1"/>
  <c r="E18" i="2"/>
  <c r="F18" i="2" s="1"/>
  <c r="E17" i="2"/>
  <c r="F17" i="2" s="1"/>
  <c r="E16" i="2"/>
  <c r="F16" i="2" s="1"/>
  <c r="E15" i="2"/>
  <c r="F15" i="2" s="1"/>
  <c r="F14" i="2"/>
  <c r="E14" i="2"/>
  <c r="E13" i="2"/>
  <c r="F13" i="2" s="1"/>
  <c r="F12" i="2"/>
  <c r="E12" i="2"/>
  <c r="F11" i="2"/>
  <c r="E11" i="2"/>
  <c r="F10" i="2"/>
  <c r="E10" i="2"/>
  <c r="F9" i="2"/>
  <c r="E9" i="2"/>
  <c r="E8" i="2"/>
  <c r="F8" i="2" s="1"/>
  <c r="F7" i="2"/>
  <c r="E7" i="2"/>
  <c r="E6" i="2"/>
  <c r="F6" i="2" s="1"/>
  <c r="E5" i="2"/>
  <c r="F5" i="2" s="1"/>
  <c r="F4" i="2"/>
  <c r="E4" i="2"/>
  <c r="E27" i="1"/>
  <c r="D27" i="1"/>
  <c r="D26" i="1"/>
  <c r="E26" i="1" s="1"/>
  <c r="D25" i="1"/>
  <c r="E25" i="1" s="1"/>
  <c r="D24" i="1"/>
  <c r="E24" i="1" s="1"/>
  <c r="D23" i="1"/>
  <c r="E23" i="1" s="1"/>
  <c r="E22" i="1"/>
  <c r="D22" i="1"/>
  <c r="E21" i="1"/>
  <c r="D21" i="1"/>
  <c r="E20" i="1"/>
  <c r="D20" i="1"/>
  <c r="E19" i="1"/>
  <c r="D19" i="1"/>
  <c r="E18" i="1"/>
  <c r="D18" i="1"/>
  <c r="E17" i="1"/>
  <c r="D17" i="1"/>
  <c r="D16" i="1"/>
  <c r="E16" i="1" s="1"/>
  <c r="D12" i="1"/>
  <c r="F12" i="1" s="1"/>
  <c r="D11" i="1"/>
  <c r="F11" i="1" s="1"/>
  <c r="D10" i="1"/>
  <c r="F10" i="1" s="1"/>
  <c r="D9" i="1"/>
  <c r="F8" i="1"/>
  <c r="E8" i="1"/>
  <c r="D8" i="1"/>
  <c r="E7" i="1"/>
  <c r="D7" i="1"/>
  <c r="D6" i="1"/>
  <c r="F6" i="1" s="1"/>
  <c r="E12" i="1" l="1"/>
  <c r="E6" i="1"/>
  <c r="E9" i="1"/>
  <c r="E11" i="1"/>
  <c r="E10" i="1"/>
</calcChain>
</file>

<file path=xl/sharedStrings.xml><?xml version="1.0" encoding="utf-8"?>
<sst xmlns="http://schemas.openxmlformats.org/spreadsheetml/2006/main" count="216" uniqueCount="176">
  <si>
    <r>
      <rPr>
        <b/>
        <sz val="14"/>
        <color rgb="FF1F3864"/>
        <rFont val="Arial"/>
        <family val="2"/>
      </rPr>
      <t xml:space="preserve">M&amp;C Electronics Vina - </t>
    </r>
    <r>
      <rPr>
        <b/>
        <sz val="14"/>
        <color rgb="FF1F3864"/>
        <rFont val="DejaVu Sans"/>
        <family val="2"/>
      </rPr>
      <t>경영분석 보고서</t>
    </r>
  </si>
  <si>
    <r>
      <rPr>
        <b/>
        <sz val="12"/>
        <color rgb="FF2E75B6"/>
        <rFont val="Arial"/>
        <family val="2"/>
      </rPr>
      <t>2024</t>
    </r>
    <r>
      <rPr>
        <b/>
        <sz val="12"/>
        <color rgb="FF2E75B6"/>
        <rFont val="DejaVu Sans"/>
        <family val="2"/>
      </rPr>
      <t xml:space="preserve">년 </t>
    </r>
    <r>
      <rPr>
        <b/>
        <sz val="12"/>
        <color rgb="FF2E75B6"/>
        <rFont val="Arial"/>
        <family val="2"/>
      </rPr>
      <t>vs 2025</t>
    </r>
    <r>
      <rPr>
        <b/>
        <sz val="12"/>
        <color rgb="FF2E75B6"/>
        <rFont val="DejaVu Sans"/>
        <family val="2"/>
      </rPr>
      <t xml:space="preserve">년 비교분석 </t>
    </r>
    <r>
      <rPr>
        <b/>
        <sz val="12"/>
        <color rgb="FF2E75B6"/>
        <rFont val="Arial"/>
        <family val="2"/>
      </rPr>
      <t>(</t>
    </r>
    <r>
      <rPr>
        <b/>
        <sz val="12"/>
        <color rgb="FF2E75B6"/>
        <rFont val="DejaVu Sans"/>
        <family val="2"/>
      </rPr>
      <t>단위</t>
    </r>
    <r>
      <rPr>
        <b/>
        <sz val="12"/>
        <color rgb="FF2E75B6"/>
        <rFont val="Arial"/>
        <family val="2"/>
      </rPr>
      <t>: USD)</t>
    </r>
  </si>
  <si>
    <r>
      <rPr>
        <i/>
        <sz val="9"/>
        <color rgb="FF666666"/>
        <rFont val="DejaVu Sans"/>
        <family val="2"/>
      </rPr>
      <t>환율</t>
    </r>
    <r>
      <rPr>
        <i/>
        <sz val="9"/>
        <color rgb="FF666666"/>
        <rFont val="Arial"/>
        <family val="2"/>
      </rPr>
      <t xml:space="preserve">: 2025 PL </t>
    </r>
    <r>
      <rPr>
        <i/>
        <sz val="9"/>
        <color rgb="FF666666"/>
        <rFont val="DejaVu Sans"/>
        <family val="2"/>
      </rPr>
      <t xml:space="preserve">평균환율 </t>
    </r>
    <r>
      <rPr>
        <i/>
        <sz val="9"/>
        <color rgb="FF666666"/>
        <rFont val="Arial"/>
        <family val="2"/>
      </rPr>
      <t xml:space="preserve">24,750 VND/USD | BS </t>
    </r>
    <r>
      <rPr>
        <i/>
        <sz val="9"/>
        <color rgb="FF666666"/>
        <rFont val="DejaVu Sans"/>
        <family val="2"/>
      </rPr>
      <t xml:space="preserve">기말환율 </t>
    </r>
    <r>
      <rPr>
        <i/>
        <sz val="9"/>
        <color rgb="FF666666"/>
        <rFont val="Arial"/>
        <family val="2"/>
      </rPr>
      <t>25,000 VND/USD</t>
    </r>
  </si>
  <si>
    <t>지표</t>
  </si>
  <si>
    <r>
      <rPr>
        <b/>
        <sz val="11"/>
        <color rgb="FFFFFFFF"/>
        <rFont val="Arial"/>
        <family val="2"/>
      </rPr>
      <t>2024</t>
    </r>
    <r>
      <rPr>
        <b/>
        <sz val="11"/>
        <color rgb="FFFFFFFF"/>
        <rFont val="DejaVu Sans"/>
        <family val="2"/>
      </rPr>
      <t>년</t>
    </r>
  </si>
  <si>
    <r>
      <rPr>
        <b/>
        <sz val="11"/>
        <color rgb="FFFFFFFF"/>
        <rFont val="Arial"/>
        <family val="2"/>
      </rPr>
      <t>2025</t>
    </r>
    <r>
      <rPr>
        <b/>
        <sz val="11"/>
        <color rgb="FFFFFFFF"/>
        <rFont val="DejaVu Sans"/>
        <family val="2"/>
      </rPr>
      <t>년</t>
    </r>
  </si>
  <si>
    <t>증감액</t>
  </si>
  <si>
    <t>증감률</t>
  </si>
  <si>
    <t>평가</t>
  </si>
  <si>
    <r>
      <rPr>
        <sz val="10"/>
        <rFont val="DejaVu Sans"/>
        <family val="2"/>
      </rPr>
      <t xml:space="preserve">매출액 </t>
    </r>
    <r>
      <rPr>
        <sz val="10"/>
        <rFont val="Arial"/>
        <family val="2"/>
      </rPr>
      <t>(Revenue)</t>
    </r>
  </si>
  <si>
    <r>
      <rPr>
        <sz val="10"/>
        <rFont val="DejaVu Sans"/>
        <family val="2"/>
      </rPr>
      <t xml:space="preserve">매출원가 </t>
    </r>
    <r>
      <rPr>
        <sz val="10"/>
        <rFont val="Arial"/>
        <family val="2"/>
      </rPr>
      <t>(COGS)</t>
    </r>
  </si>
  <si>
    <r>
      <rPr>
        <b/>
        <sz val="10"/>
        <rFont val="DejaVu Sans"/>
        <family val="2"/>
      </rPr>
      <t xml:space="preserve">매출총이익 </t>
    </r>
    <r>
      <rPr>
        <b/>
        <sz val="10"/>
        <rFont val="Arial"/>
        <family val="2"/>
      </rPr>
      <t>(Gross Profit)</t>
    </r>
  </si>
  <si>
    <r>
      <rPr>
        <sz val="10"/>
        <rFont val="DejaVu Sans"/>
        <family val="2"/>
      </rPr>
      <t xml:space="preserve">판관비 </t>
    </r>
    <r>
      <rPr>
        <sz val="10"/>
        <rFont val="Arial"/>
        <family val="2"/>
      </rPr>
      <t>(SA&amp;GA)</t>
    </r>
  </si>
  <si>
    <r>
      <rPr>
        <b/>
        <sz val="10"/>
        <rFont val="DejaVu Sans"/>
        <family val="2"/>
      </rPr>
      <t xml:space="preserve">영업이익 </t>
    </r>
    <r>
      <rPr>
        <b/>
        <sz val="10"/>
        <rFont val="Arial"/>
        <family val="2"/>
      </rPr>
      <t>(Operating Profit)</t>
    </r>
  </si>
  <si>
    <r>
      <rPr>
        <b/>
        <sz val="10"/>
        <rFont val="DejaVu Sans"/>
        <family val="2"/>
      </rPr>
      <t xml:space="preserve">순이익 </t>
    </r>
    <r>
      <rPr>
        <b/>
        <sz val="10"/>
        <rFont val="Arial"/>
        <family val="2"/>
      </rPr>
      <t>(Net Profit)</t>
    </r>
  </si>
  <si>
    <t>EBITDA</t>
  </si>
  <si>
    <t>주요 경영지표</t>
  </si>
  <si>
    <t>증감</t>
  </si>
  <si>
    <t>방향</t>
  </si>
  <si>
    <t>매출총이익률</t>
  </si>
  <si>
    <t>▼ 악화</t>
  </si>
  <si>
    <t>영업이익률</t>
  </si>
  <si>
    <t>순이익률</t>
  </si>
  <si>
    <t>▲ 개선</t>
  </si>
  <si>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DejaVu Sans"/>
        <family val="2"/>
      </rPr>
      <t>마진</t>
    </r>
  </si>
  <si>
    <r>
      <rPr>
        <sz val="11"/>
        <color theme="1"/>
        <rFont val="DejaVu Sans"/>
        <family val="2"/>
      </rPr>
      <t xml:space="preserve">부채비율 </t>
    </r>
    <r>
      <rPr>
        <sz val="11"/>
        <color theme="1"/>
        <rFont val="Calibri"/>
        <family val="2"/>
        <charset val="1"/>
      </rPr>
      <t>(D/E)</t>
    </r>
  </si>
  <si>
    <t>유동비율</t>
  </si>
  <si>
    <t>ROE</t>
  </si>
  <si>
    <t>ROA</t>
  </si>
  <si>
    <t>판관비율</t>
  </si>
  <si>
    <t>매출채권 회전일수</t>
  </si>
  <si>
    <t>재고자산 회전일수</t>
  </si>
  <si>
    <t>매입채무 회전일수</t>
  </si>
  <si>
    <t>주의</t>
  </si>
  <si>
    <r>
      <rPr>
        <b/>
        <sz val="14"/>
        <color rgb="FF1F3864"/>
        <rFont val="DejaVu Sans"/>
        <family val="2"/>
      </rPr>
      <t xml:space="preserve">손익계산서 비교분석 </t>
    </r>
    <r>
      <rPr>
        <b/>
        <sz val="14"/>
        <color rgb="FF1F3864"/>
        <rFont val="Arial"/>
        <family val="2"/>
      </rPr>
      <t>(</t>
    </r>
    <r>
      <rPr>
        <b/>
        <sz val="14"/>
        <color rgb="FF1F3864"/>
        <rFont val="DejaVu Sans"/>
        <family val="2"/>
      </rPr>
      <t>단위</t>
    </r>
    <r>
      <rPr>
        <b/>
        <sz val="14"/>
        <color rgb="FF1F3864"/>
        <rFont val="Arial"/>
        <family val="2"/>
      </rPr>
      <t>: USD)</t>
    </r>
  </si>
  <si>
    <t>코드</t>
  </si>
  <si>
    <t>계정과목</t>
  </si>
  <si>
    <r>
      <rPr>
        <b/>
        <sz val="10"/>
        <rFont val="DejaVu Sans"/>
        <family val="2"/>
      </rPr>
      <t xml:space="preserve">매출 </t>
    </r>
    <r>
      <rPr>
        <b/>
        <sz val="10"/>
        <rFont val="Arial"/>
        <family val="2"/>
      </rPr>
      <t>(Income)</t>
    </r>
  </si>
  <si>
    <t>4-1000</t>
  </si>
  <si>
    <r>
      <rPr>
        <sz val="10"/>
        <rFont val="DejaVu Sans"/>
        <family val="2"/>
      </rPr>
      <t xml:space="preserve">  제품매출 </t>
    </r>
    <r>
      <rPr>
        <sz val="10"/>
        <rFont val="Arial"/>
        <family val="2"/>
      </rPr>
      <t>(Sales)</t>
    </r>
  </si>
  <si>
    <t>4-1001</t>
  </si>
  <si>
    <r>
      <rPr>
        <sz val="10"/>
        <rFont val="DejaVu Sans"/>
        <family val="2"/>
      </rPr>
      <t xml:space="preserve">  무역매출 </t>
    </r>
    <r>
      <rPr>
        <sz val="10"/>
        <rFont val="Arial"/>
        <family val="2"/>
      </rPr>
      <t>(Sales-trading)</t>
    </r>
  </si>
  <si>
    <t>4-1002</t>
  </si>
  <si>
    <r>
      <rPr>
        <sz val="10"/>
        <rFont val="DejaVu Sans"/>
        <family val="2"/>
      </rPr>
      <t xml:space="preserve">  스크랩매출 </t>
    </r>
    <r>
      <rPr>
        <sz val="10"/>
        <rFont val="Arial"/>
        <family val="2"/>
      </rPr>
      <t>(Sales-scrap)</t>
    </r>
  </si>
  <si>
    <r>
      <rPr>
        <b/>
        <sz val="10"/>
        <rFont val="DejaVu Sans"/>
        <family val="2"/>
      </rPr>
      <t xml:space="preserve">매출원가 </t>
    </r>
    <r>
      <rPr>
        <b/>
        <sz val="10"/>
        <rFont val="Arial"/>
        <family val="2"/>
      </rPr>
      <t>(COGS)</t>
    </r>
  </si>
  <si>
    <t>5-1002</t>
  </si>
  <si>
    <r>
      <rPr>
        <sz val="10"/>
        <rFont val="DejaVu Sans"/>
        <family val="2"/>
      </rPr>
      <t xml:space="preserve">  제조원가 </t>
    </r>
    <r>
      <rPr>
        <sz val="10"/>
        <rFont val="Arial"/>
        <family val="2"/>
      </rPr>
      <t>(Manufacturing cost)</t>
    </r>
  </si>
  <si>
    <t>5-1001</t>
  </si>
  <si>
    <r>
      <rPr>
        <sz val="10"/>
        <rFont val="DejaVu Sans"/>
        <family val="2"/>
      </rPr>
      <t xml:space="preserve">  기초재고 </t>
    </r>
    <r>
      <rPr>
        <sz val="10"/>
        <rFont val="Arial"/>
        <family val="2"/>
      </rPr>
      <t>(Beginning Goods)</t>
    </r>
  </si>
  <si>
    <t>5-1003</t>
  </si>
  <si>
    <r>
      <rPr>
        <sz val="10"/>
        <rFont val="DejaVu Sans"/>
        <family val="2"/>
      </rPr>
      <t xml:space="preserve">  기말재고 </t>
    </r>
    <r>
      <rPr>
        <sz val="10"/>
        <rFont val="Arial"/>
        <family val="2"/>
      </rPr>
      <t>(Ending Goods)</t>
    </r>
  </si>
  <si>
    <r>
      <rPr>
        <b/>
        <sz val="10"/>
        <rFont val="DejaVu Sans"/>
        <family val="2"/>
      </rPr>
      <t xml:space="preserve">판관비 </t>
    </r>
    <r>
      <rPr>
        <b/>
        <sz val="10"/>
        <rFont val="Arial"/>
        <family val="2"/>
      </rPr>
      <t>(SA&amp;GA Total)</t>
    </r>
  </si>
  <si>
    <t>6-0101</t>
  </si>
  <si>
    <r>
      <rPr>
        <sz val="10"/>
        <rFont val="DejaVu Sans"/>
        <family val="2"/>
      </rPr>
      <t xml:space="preserve">  급여 </t>
    </r>
    <r>
      <rPr>
        <sz val="10"/>
        <rFont val="Arial"/>
        <family val="2"/>
      </rPr>
      <t>(Salary)</t>
    </r>
  </si>
  <si>
    <t>6-0108</t>
  </si>
  <si>
    <r>
      <rPr>
        <sz val="10"/>
        <rFont val="DejaVu Sans"/>
        <family val="2"/>
      </rPr>
      <t xml:space="preserve">  수수료 </t>
    </r>
    <r>
      <rPr>
        <sz val="10"/>
        <rFont val="Arial"/>
        <family val="2"/>
      </rPr>
      <t>(Commission fee)</t>
    </r>
  </si>
  <si>
    <t>6-0104</t>
  </si>
  <si>
    <r>
      <rPr>
        <sz val="10"/>
        <rFont val="DejaVu Sans"/>
        <family val="2"/>
      </rPr>
      <t xml:space="preserve">  물류비 </t>
    </r>
    <r>
      <rPr>
        <sz val="10"/>
        <rFont val="Arial"/>
        <family val="2"/>
      </rPr>
      <t>(Logistics)</t>
    </r>
  </si>
  <si>
    <t>6-0113</t>
  </si>
  <si>
    <r>
      <rPr>
        <sz val="10"/>
        <rFont val="DejaVu Sans"/>
        <family val="2"/>
      </rPr>
      <t xml:space="preserve">  분류비 </t>
    </r>
    <r>
      <rPr>
        <sz val="10"/>
        <rFont val="Arial"/>
        <family val="2"/>
      </rPr>
      <t>(Sorting)</t>
    </r>
  </si>
  <si>
    <t>6-0112</t>
  </si>
  <si>
    <r>
      <rPr>
        <sz val="10"/>
        <rFont val="DejaVu Sans"/>
        <family val="2"/>
      </rPr>
      <t xml:space="preserve">  해외임차료 </t>
    </r>
    <r>
      <rPr>
        <sz val="10"/>
        <rFont val="Arial"/>
        <family val="2"/>
      </rPr>
      <t>(Rental overseas)</t>
    </r>
  </si>
  <si>
    <t>6-0115</t>
  </si>
  <si>
    <r>
      <rPr>
        <sz val="10"/>
        <rFont val="DejaVu Sans"/>
        <family val="2"/>
      </rPr>
      <t xml:space="preserve">  감가상각비 </t>
    </r>
    <r>
      <rPr>
        <sz val="10"/>
        <rFont val="Arial"/>
        <family val="2"/>
      </rPr>
      <t>(Depreciation)</t>
    </r>
  </si>
  <si>
    <t xml:space="preserve">  기타 판관비</t>
  </si>
  <si>
    <r>
      <rPr>
        <b/>
        <sz val="10"/>
        <rFont val="DejaVu Sans"/>
        <family val="2"/>
      </rPr>
      <t xml:space="preserve">영업외수익 </t>
    </r>
    <r>
      <rPr>
        <b/>
        <sz val="10"/>
        <rFont val="Arial"/>
        <family val="2"/>
      </rPr>
      <t>(Other Income)</t>
    </r>
  </si>
  <si>
    <t>8-1002</t>
  </si>
  <si>
    <r>
      <rPr>
        <sz val="10"/>
        <rFont val="DejaVu Sans"/>
        <family val="2"/>
      </rPr>
      <t xml:space="preserve">  외환이익 </t>
    </r>
    <r>
      <rPr>
        <sz val="10"/>
        <rFont val="Arial"/>
        <family val="2"/>
      </rPr>
      <t>(Exchange Gain)</t>
    </r>
  </si>
  <si>
    <t>8-1004</t>
  </si>
  <si>
    <t xml:space="preserve">  유형자산처분이익</t>
  </si>
  <si>
    <t>8-1003</t>
  </si>
  <si>
    <r>
      <rPr>
        <sz val="10"/>
        <rFont val="DejaVu Sans"/>
        <family val="2"/>
      </rPr>
      <t xml:space="preserve">  기타수익 </t>
    </r>
    <r>
      <rPr>
        <sz val="10"/>
        <rFont val="Arial"/>
        <family val="2"/>
      </rPr>
      <t>(Sundry)</t>
    </r>
  </si>
  <si>
    <r>
      <rPr>
        <b/>
        <sz val="10"/>
        <rFont val="DejaVu Sans"/>
        <family val="2"/>
      </rPr>
      <t xml:space="preserve">영업외비용 </t>
    </r>
    <r>
      <rPr>
        <b/>
        <sz val="10"/>
        <rFont val="Arial"/>
        <family val="2"/>
      </rPr>
      <t>(Other Expenses)</t>
    </r>
  </si>
  <si>
    <t>9-0201</t>
  </si>
  <si>
    <r>
      <rPr>
        <sz val="10"/>
        <rFont val="DejaVu Sans"/>
        <family val="2"/>
      </rPr>
      <t xml:space="preserve">  이자비용 </t>
    </r>
    <r>
      <rPr>
        <sz val="10"/>
        <rFont val="Arial"/>
        <family val="2"/>
      </rPr>
      <t>(Loan Interest)</t>
    </r>
  </si>
  <si>
    <t>9-0203</t>
  </si>
  <si>
    <r>
      <rPr>
        <sz val="10"/>
        <rFont val="DejaVu Sans"/>
        <family val="2"/>
      </rPr>
      <t xml:space="preserve">  외환손실 </t>
    </r>
    <r>
      <rPr>
        <sz val="10"/>
        <rFont val="Arial"/>
        <family val="2"/>
      </rPr>
      <t>(Exchange Loss)</t>
    </r>
  </si>
  <si>
    <t>9-0207</t>
  </si>
  <si>
    <t xml:space="preserve">  유형자산처분손실</t>
  </si>
  <si>
    <r>
      <rPr>
        <b/>
        <sz val="14"/>
        <color rgb="FF1F3864"/>
        <rFont val="DejaVu Sans"/>
        <family val="2"/>
      </rPr>
      <t xml:space="preserve">재무상태표 비교분석 </t>
    </r>
    <r>
      <rPr>
        <b/>
        <sz val="14"/>
        <color rgb="FF1F3864"/>
        <rFont val="Arial"/>
        <family val="2"/>
      </rPr>
      <t>(</t>
    </r>
    <r>
      <rPr>
        <b/>
        <sz val="14"/>
        <color rgb="FF1F3864"/>
        <rFont val="DejaVu Sans"/>
        <family val="2"/>
      </rPr>
      <t>단위</t>
    </r>
    <r>
      <rPr>
        <b/>
        <sz val="14"/>
        <color rgb="FF1F3864"/>
        <rFont val="Arial"/>
        <family val="2"/>
      </rPr>
      <t xml:space="preserve">: USD, </t>
    </r>
    <r>
      <rPr>
        <b/>
        <sz val="14"/>
        <color rgb="FF1F3864"/>
        <rFont val="DejaVu Sans"/>
        <family val="2"/>
      </rPr>
      <t>기말잔액 기준</t>
    </r>
    <r>
      <rPr>
        <b/>
        <sz val="14"/>
        <color rgb="FF1F3864"/>
        <rFont val="Arial"/>
        <family val="2"/>
      </rPr>
      <t>)</t>
    </r>
  </si>
  <si>
    <r>
      <rPr>
        <b/>
        <sz val="10"/>
        <rFont val="DejaVu Sans"/>
        <family val="2"/>
      </rPr>
      <t xml:space="preserve">【자산 </t>
    </r>
    <r>
      <rPr>
        <b/>
        <sz val="10"/>
        <rFont val="Arial"/>
        <family val="2"/>
      </rPr>
      <t>(Assets)</t>
    </r>
    <r>
      <rPr>
        <b/>
        <sz val="10"/>
        <rFont val="DejaVu Sans"/>
        <family val="2"/>
      </rPr>
      <t>】</t>
    </r>
  </si>
  <si>
    <t>현금 및 현금성자산</t>
  </si>
  <si>
    <r>
      <rPr>
        <sz val="10"/>
        <rFont val="DejaVu Sans"/>
        <family val="2"/>
      </rPr>
      <t xml:space="preserve">재고자산 </t>
    </r>
    <r>
      <rPr>
        <sz val="10"/>
        <rFont val="Arial"/>
        <family val="2"/>
      </rPr>
      <t>(Inventory)</t>
    </r>
  </si>
  <si>
    <t xml:space="preserve">  원재료</t>
  </si>
  <si>
    <t xml:space="preserve">  부재료</t>
  </si>
  <si>
    <t xml:space="preserve">  재공품</t>
  </si>
  <si>
    <t xml:space="preserve">  제품</t>
  </si>
  <si>
    <t xml:space="preserve">  상품</t>
  </si>
  <si>
    <t xml:space="preserve">  재고평가충당금</t>
  </si>
  <si>
    <r>
      <rPr>
        <sz val="10"/>
        <rFont val="DejaVu Sans"/>
        <family val="2"/>
      </rPr>
      <t xml:space="preserve">매출채권 </t>
    </r>
    <r>
      <rPr>
        <sz val="10"/>
        <rFont val="Arial"/>
        <family val="2"/>
      </rPr>
      <t>(AR)</t>
    </r>
  </si>
  <si>
    <t>기타수취채권</t>
  </si>
  <si>
    <t>부가세대급금</t>
  </si>
  <si>
    <r>
      <rPr>
        <sz val="10"/>
        <rFont val="DejaVu Sans"/>
        <family val="2"/>
      </rPr>
      <t>선급금</t>
    </r>
    <r>
      <rPr>
        <sz val="10"/>
        <rFont val="Arial"/>
        <family val="2"/>
      </rPr>
      <t>/</t>
    </r>
    <r>
      <rPr>
        <sz val="10"/>
        <rFont val="DejaVu Sans"/>
        <family val="2"/>
      </rPr>
      <t>선급비용</t>
    </r>
  </si>
  <si>
    <t>이연비용</t>
  </si>
  <si>
    <r>
      <rPr>
        <b/>
        <sz val="10"/>
        <rFont val="DejaVu Sans"/>
        <family val="2"/>
      </rPr>
      <t xml:space="preserve">유형자산 </t>
    </r>
    <r>
      <rPr>
        <b/>
        <sz val="10"/>
        <rFont val="Arial"/>
        <family val="2"/>
      </rPr>
      <t>(Fixed Assets)</t>
    </r>
  </si>
  <si>
    <t xml:space="preserve">  기계장치</t>
  </si>
  <si>
    <r>
      <rPr>
        <sz val="10"/>
        <rFont val="DejaVu Sans"/>
        <family val="2"/>
      </rPr>
      <t xml:space="preserve">  건물</t>
    </r>
    <r>
      <rPr>
        <sz val="10"/>
        <rFont val="Arial"/>
        <family val="2"/>
      </rPr>
      <t>/</t>
    </r>
    <r>
      <rPr>
        <sz val="10"/>
        <rFont val="DejaVu Sans"/>
        <family val="2"/>
      </rPr>
      <t>구축물</t>
    </r>
  </si>
  <si>
    <t xml:space="preserve">  리스자산</t>
  </si>
  <si>
    <t>무형자산</t>
  </si>
  <si>
    <r>
      <rPr>
        <sz val="10"/>
        <rFont val="DejaVu Sans"/>
        <family val="2"/>
      </rPr>
      <t xml:space="preserve">비유동자산 </t>
    </r>
    <r>
      <rPr>
        <sz val="10"/>
        <rFont val="Arial"/>
        <family val="2"/>
      </rPr>
      <t>(</t>
    </r>
    <r>
      <rPr>
        <sz val="10"/>
        <rFont val="DejaVu Sans"/>
        <family val="2"/>
      </rPr>
      <t>기타</t>
    </r>
    <r>
      <rPr>
        <sz val="10"/>
        <rFont val="Arial"/>
        <family val="2"/>
      </rPr>
      <t>)</t>
    </r>
  </si>
  <si>
    <r>
      <rPr>
        <b/>
        <sz val="10"/>
        <rFont val="DejaVu Sans"/>
        <family val="2"/>
      </rPr>
      <t xml:space="preserve">자산총계 </t>
    </r>
    <r>
      <rPr>
        <b/>
        <sz val="10"/>
        <rFont val="Arial"/>
        <family val="2"/>
      </rPr>
      <t>(Total Assets)</t>
    </r>
  </si>
  <si>
    <r>
      <rPr>
        <b/>
        <sz val="10"/>
        <rFont val="DejaVu Sans"/>
        <family val="2"/>
      </rPr>
      <t xml:space="preserve">【부채 </t>
    </r>
    <r>
      <rPr>
        <b/>
        <sz val="10"/>
        <rFont val="Arial"/>
        <family val="2"/>
      </rPr>
      <t>(Liabilities)</t>
    </r>
    <r>
      <rPr>
        <b/>
        <sz val="10"/>
        <rFont val="DejaVu Sans"/>
        <family val="2"/>
      </rPr>
      <t>】</t>
    </r>
  </si>
  <si>
    <t>단기차입금</t>
  </si>
  <si>
    <r>
      <rPr>
        <sz val="10"/>
        <rFont val="DejaVu Sans"/>
        <family val="2"/>
      </rPr>
      <t xml:space="preserve">매입채무 </t>
    </r>
    <r>
      <rPr>
        <sz val="10"/>
        <rFont val="Arial"/>
        <family val="2"/>
      </rPr>
      <t>(AP)</t>
    </r>
  </si>
  <si>
    <t>기타유동부채</t>
  </si>
  <si>
    <t>유동부채 합계</t>
  </si>
  <si>
    <t>장기차입금</t>
  </si>
  <si>
    <r>
      <rPr>
        <sz val="10"/>
        <rFont val="DejaVu Sans"/>
        <family val="2"/>
      </rPr>
      <t>장기미지급금</t>
    </r>
    <r>
      <rPr>
        <sz val="10"/>
        <rFont val="Arial"/>
        <family val="2"/>
      </rPr>
      <t>/</t>
    </r>
    <r>
      <rPr>
        <sz val="10"/>
        <rFont val="DejaVu Sans"/>
        <family val="2"/>
      </rPr>
      <t>충당금</t>
    </r>
  </si>
  <si>
    <t>비유동부채 합계</t>
  </si>
  <si>
    <r>
      <rPr>
        <b/>
        <sz val="10"/>
        <rFont val="DejaVu Sans"/>
        <family val="2"/>
      </rPr>
      <t xml:space="preserve">부채총계 </t>
    </r>
    <r>
      <rPr>
        <b/>
        <sz val="10"/>
        <rFont val="Arial"/>
        <family val="2"/>
      </rPr>
      <t>(Total Liabilities)</t>
    </r>
  </si>
  <si>
    <r>
      <rPr>
        <b/>
        <sz val="10"/>
        <rFont val="DejaVu Sans"/>
        <family val="2"/>
      </rPr>
      <t xml:space="preserve">【자본 </t>
    </r>
    <r>
      <rPr>
        <b/>
        <sz val="10"/>
        <rFont val="Arial"/>
        <family val="2"/>
      </rPr>
      <t>(Equity)</t>
    </r>
    <r>
      <rPr>
        <b/>
        <sz val="10"/>
        <rFont val="DejaVu Sans"/>
        <family val="2"/>
      </rPr>
      <t>】</t>
    </r>
  </si>
  <si>
    <t>자본금</t>
  </si>
  <si>
    <t>이익잉여금</t>
  </si>
  <si>
    <t>당기순이익</t>
  </si>
  <si>
    <r>
      <rPr>
        <b/>
        <sz val="10"/>
        <rFont val="DejaVu Sans"/>
        <family val="2"/>
      </rPr>
      <t xml:space="preserve">자본총계 </t>
    </r>
    <r>
      <rPr>
        <b/>
        <sz val="10"/>
        <rFont val="Arial"/>
        <family val="2"/>
      </rPr>
      <t>(Total Equity)</t>
    </r>
  </si>
  <si>
    <t>경영분석 및 개선방안</t>
  </si>
  <si>
    <r>
      <rPr>
        <b/>
        <sz val="11"/>
        <color rgb="FF1F3864"/>
        <rFont val="Arial"/>
        <family val="2"/>
      </rPr>
      <t xml:space="preserve">1. </t>
    </r>
    <r>
      <rPr>
        <b/>
        <sz val="11"/>
        <color rgb="FF1F3864"/>
        <rFont val="DejaVu Sans"/>
        <family val="2"/>
      </rPr>
      <t>수익성 분석</t>
    </r>
  </si>
  <si>
    <t>매출총이익률 하락</t>
  </si>
  <si>
    <r>
      <rPr>
        <sz val="10"/>
        <rFont val="Arial"/>
        <family val="2"/>
      </rPr>
      <t>2024</t>
    </r>
    <r>
      <rPr>
        <sz val="10"/>
        <rFont val="DejaVu Sans"/>
        <family val="2"/>
      </rPr>
      <t xml:space="preserve">년 </t>
    </r>
    <r>
      <rPr>
        <sz val="10"/>
        <rFont val="Arial"/>
        <family val="2"/>
      </rPr>
      <t>20.3% → 2025</t>
    </r>
    <r>
      <rPr>
        <sz val="10"/>
        <rFont val="DejaVu Sans"/>
        <family val="2"/>
      </rPr>
      <t xml:space="preserve">년 </t>
    </r>
    <r>
      <rPr>
        <sz val="10"/>
        <rFont val="Arial"/>
        <family val="2"/>
      </rPr>
      <t>17.8%</t>
    </r>
    <r>
      <rPr>
        <sz val="10"/>
        <rFont val="DejaVu Sans"/>
        <family val="2"/>
      </rPr>
      <t xml:space="preserve">로 </t>
    </r>
    <r>
      <rPr>
        <sz val="10"/>
        <rFont val="Arial"/>
        <family val="2"/>
      </rPr>
      <t xml:space="preserve">2.5%p </t>
    </r>
    <r>
      <rPr>
        <sz val="10"/>
        <rFont val="DejaVu Sans"/>
        <family val="2"/>
      </rPr>
      <t>하락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매출은 소폭 증가</t>
    </r>
    <r>
      <rPr>
        <sz val="10"/>
        <rFont val="Arial"/>
        <family val="2"/>
      </rPr>
      <t>(+0.1%)</t>
    </r>
    <r>
      <rPr>
        <sz val="10"/>
        <rFont val="DejaVu Sans"/>
        <family val="2"/>
      </rPr>
      <t xml:space="preserve">했으나 원가가 </t>
    </r>
    <r>
      <rPr>
        <sz val="10"/>
        <rFont val="Arial"/>
        <family val="2"/>
      </rPr>
      <t xml:space="preserve">3.3% </t>
    </r>
    <r>
      <rPr>
        <sz val="10"/>
        <rFont val="DejaVu Sans"/>
        <family val="2"/>
      </rPr>
      <t>증가하여 수익성 악화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 xml:space="preserve">제품매출이 </t>
    </r>
    <r>
      <rPr>
        <sz val="10"/>
        <rFont val="Arial"/>
        <family val="2"/>
      </rPr>
      <t xml:space="preserve">2.4% </t>
    </r>
    <r>
      <rPr>
        <sz val="10"/>
        <rFont val="DejaVu Sans"/>
        <family val="2"/>
      </rPr>
      <t>감소한 반면 원가 절감이 이루어지지 못함</t>
    </r>
    <r>
      <rPr>
        <sz val="10"/>
        <rFont val="Arial"/>
        <family val="2"/>
      </rPr>
      <t>.</t>
    </r>
  </si>
  <si>
    <t>순이익률 개선</t>
  </si>
  <si>
    <r>
      <rPr>
        <sz val="10"/>
        <rFont val="Arial"/>
        <family val="2"/>
      </rPr>
      <t>2024</t>
    </r>
    <r>
      <rPr>
        <sz val="10"/>
        <rFont val="DejaVu Sans"/>
        <family val="2"/>
      </rPr>
      <t xml:space="preserve">년 </t>
    </r>
    <r>
      <rPr>
        <sz val="10"/>
        <rFont val="Arial"/>
        <family val="2"/>
      </rPr>
      <t>3.4% → 2025</t>
    </r>
    <r>
      <rPr>
        <sz val="10"/>
        <rFont val="DejaVu Sans"/>
        <family val="2"/>
      </rPr>
      <t xml:space="preserve">년 </t>
    </r>
    <r>
      <rPr>
        <sz val="10"/>
        <rFont val="Arial"/>
        <family val="2"/>
      </rPr>
      <t>3.9%</t>
    </r>
    <r>
      <rPr>
        <sz val="10"/>
        <rFont val="DejaVu Sans"/>
        <family val="2"/>
      </rPr>
      <t xml:space="preserve">로 </t>
    </r>
    <r>
      <rPr>
        <sz val="10"/>
        <rFont val="Arial"/>
        <family val="2"/>
      </rPr>
      <t xml:space="preserve">0.5%p </t>
    </r>
    <r>
      <rPr>
        <sz val="10"/>
        <rFont val="DejaVu Sans"/>
        <family val="2"/>
      </rPr>
      <t>개선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판관비 대폭 절감</t>
    </r>
    <r>
      <rPr>
        <sz val="10"/>
        <rFont val="Arial"/>
        <family val="2"/>
      </rPr>
      <t>(-15.6%)</t>
    </r>
    <r>
      <rPr>
        <sz val="10"/>
        <rFont val="DejaVu Sans"/>
        <family val="2"/>
      </rPr>
      <t>과 영업외비용 감소</t>
    </r>
    <r>
      <rPr>
        <sz val="10"/>
        <rFont val="Arial"/>
        <family val="2"/>
      </rPr>
      <t>(-71%)</t>
    </r>
    <r>
      <rPr>
        <sz val="10"/>
        <rFont val="DejaVu Sans"/>
        <family val="2"/>
      </rPr>
      <t>가 주요 원인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수수료</t>
    </r>
    <r>
      <rPr>
        <sz val="10"/>
        <rFont val="Arial"/>
        <family val="2"/>
      </rPr>
      <t xml:space="preserve">(-39.5%), </t>
    </r>
    <r>
      <rPr>
        <sz val="10"/>
        <rFont val="DejaVu Sans"/>
        <family val="2"/>
      </rPr>
      <t>물류비</t>
    </r>
    <r>
      <rPr>
        <sz val="10"/>
        <rFont val="Arial"/>
        <family val="2"/>
      </rPr>
      <t xml:space="preserve">(-23.2%), </t>
    </r>
    <r>
      <rPr>
        <sz val="10"/>
        <rFont val="DejaVu Sans"/>
        <family val="2"/>
      </rPr>
      <t>분류비</t>
    </r>
    <r>
      <rPr>
        <sz val="10"/>
        <rFont val="Arial"/>
        <family val="2"/>
      </rPr>
      <t xml:space="preserve">(-26.0%) </t>
    </r>
    <r>
      <rPr>
        <sz val="10"/>
        <rFont val="DejaVu Sans"/>
        <family val="2"/>
      </rPr>
      <t>절감 효과가 크게 기여</t>
    </r>
    <r>
      <rPr>
        <sz val="10"/>
        <rFont val="Arial"/>
        <family val="2"/>
      </rPr>
      <t>.</t>
    </r>
  </si>
  <si>
    <r>
      <rPr>
        <b/>
        <sz val="10"/>
        <rFont val="Arial"/>
        <family val="2"/>
      </rPr>
      <t xml:space="preserve">EBITDA </t>
    </r>
    <r>
      <rPr>
        <b/>
        <sz val="10"/>
        <rFont val="DejaVu Sans"/>
        <family val="2"/>
      </rPr>
      <t>마진 개선</t>
    </r>
  </si>
  <si>
    <r>
      <rPr>
        <sz val="10"/>
        <rFont val="Arial"/>
        <family val="2"/>
      </rPr>
      <t>2024</t>
    </r>
    <r>
      <rPr>
        <sz val="10"/>
        <rFont val="DejaVu Sans"/>
        <family val="2"/>
      </rPr>
      <t xml:space="preserve">년 </t>
    </r>
    <r>
      <rPr>
        <sz val="10"/>
        <rFont val="Arial"/>
        <family val="2"/>
      </rPr>
      <t>11.2% → 2025</t>
    </r>
    <r>
      <rPr>
        <sz val="10"/>
        <rFont val="DejaVu Sans"/>
        <family val="2"/>
      </rPr>
      <t xml:space="preserve">년 </t>
    </r>
    <r>
      <rPr>
        <sz val="10"/>
        <rFont val="Arial"/>
        <family val="2"/>
      </rPr>
      <t>13.4%</t>
    </r>
    <r>
      <rPr>
        <sz val="10"/>
        <rFont val="DejaVu Sans"/>
        <family val="2"/>
      </rPr>
      <t xml:space="preserve">로 </t>
    </r>
    <r>
      <rPr>
        <sz val="10"/>
        <rFont val="Arial"/>
        <family val="2"/>
      </rPr>
      <t xml:space="preserve">2.2%p </t>
    </r>
    <r>
      <rPr>
        <sz val="10"/>
        <rFont val="DejaVu Sans"/>
        <family val="2"/>
      </rPr>
      <t>개선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판관비 효율화와 감가상각비 증가에도 불구하고 현금창출능력 향상</t>
    </r>
    <r>
      <rPr>
        <sz val="10"/>
        <rFont val="Arial"/>
        <family val="2"/>
      </rPr>
      <t>.</t>
    </r>
  </si>
  <si>
    <r>
      <rPr>
        <b/>
        <sz val="11"/>
        <color rgb="FF1F3864"/>
        <rFont val="Arial"/>
        <family val="2"/>
      </rPr>
      <t xml:space="preserve">2. </t>
    </r>
    <r>
      <rPr>
        <b/>
        <sz val="11"/>
        <color rgb="FF1F3864"/>
        <rFont val="DejaVu Sans"/>
        <family val="2"/>
      </rPr>
      <t>비용구조 분석</t>
    </r>
  </si>
  <si>
    <r>
      <rPr>
        <b/>
        <sz val="10"/>
        <rFont val="DejaVu Sans"/>
        <family val="2"/>
      </rPr>
      <t xml:space="preserve">판관비율 개선 </t>
    </r>
    <r>
      <rPr>
        <b/>
        <sz val="10"/>
        <rFont val="Arial"/>
        <family val="2"/>
      </rPr>
      <t>(</t>
    </r>
    <r>
      <rPr>
        <b/>
        <sz val="10"/>
        <rFont val="DejaVu Sans"/>
        <family val="2"/>
      </rPr>
      <t>긍정적</t>
    </r>
    <r>
      <rPr>
        <b/>
        <sz val="10"/>
        <rFont val="Arial"/>
        <family val="2"/>
      </rPr>
      <t>)</t>
    </r>
  </si>
  <si>
    <r>
      <rPr>
        <sz val="10"/>
        <rFont val="Arial"/>
        <family val="2"/>
      </rPr>
      <t>2024</t>
    </r>
    <r>
      <rPr>
        <sz val="10"/>
        <rFont val="DejaVu Sans"/>
        <family val="2"/>
      </rPr>
      <t xml:space="preserve">년 </t>
    </r>
    <r>
      <rPr>
        <sz val="10"/>
        <rFont val="Arial"/>
        <family val="2"/>
      </rPr>
      <t>15.1% → 2025</t>
    </r>
    <r>
      <rPr>
        <sz val="10"/>
        <rFont val="DejaVu Sans"/>
        <family val="2"/>
      </rPr>
      <t xml:space="preserve">년 </t>
    </r>
    <r>
      <rPr>
        <sz val="10"/>
        <rFont val="Arial"/>
        <family val="2"/>
      </rPr>
      <t>12.7%</t>
    </r>
    <r>
      <rPr>
        <sz val="10"/>
        <rFont val="DejaVu Sans"/>
        <family val="2"/>
      </rPr>
      <t>로 판관비율 크게 개선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수수료</t>
    </r>
    <r>
      <rPr>
        <sz val="10"/>
        <rFont val="Arial"/>
        <family val="2"/>
      </rPr>
      <t>(Commission fee)</t>
    </r>
    <r>
      <rPr>
        <sz val="10"/>
        <rFont val="DejaVu Sans"/>
        <family val="2"/>
      </rPr>
      <t xml:space="preserve">가 </t>
    </r>
    <r>
      <rPr>
        <sz val="10"/>
        <rFont val="Arial"/>
        <family val="2"/>
      </rPr>
      <t xml:space="preserve">39.5% </t>
    </r>
    <r>
      <rPr>
        <sz val="10"/>
        <rFont val="DejaVu Sans"/>
        <family val="2"/>
      </rPr>
      <t>감소하여 가장 큰 절감 효과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물류비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분류비 등 변동비성 경비도 효율화됨</t>
    </r>
    <r>
      <rPr>
        <sz val="10"/>
        <rFont val="Arial"/>
        <family val="2"/>
      </rPr>
      <t>.</t>
    </r>
  </si>
  <si>
    <r>
      <rPr>
        <b/>
        <sz val="10"/>
        <rFont val="DejaVu Sans"/>
        <family val="2"/>
      </rPr>
      <t xml:space="preserve">급여비 증가 </t>
    </r>
    <r>
      <rPr>
        <b/>
        <sz val="10"/>
        <rFont val="Arial"/>
        <family val="2"/>
      </rPr>
      <t>(</t>
    </r>
    <r>
      <rPr>
        <b/>
        <sz val="10"/>
        <rFont val="DejaVu Sans"/>
        <family val="2"/>
      </rPr>
      <t>주의</t>
    </r>
    <r>
      <rPr>
        <b/>
        <sz val="10"/>
        <rFont val="Arial"/>
        <family val="2"/>
      </rPr>
      <t>)</t>
    </r>
  </si>
  <si>
    <r>
      <rPr>
        <sz val="10"/>
        <rFont val="Arial"/>
        <family val="2"/>
      </rPr>
      <t xml:space="preserve">SA&amp;GA </t>
    </r>
    <r>
      <rPr>
        <sz val="10"/>
        <rFont val="DejaVu Sans"/>
        <family val="2"/>
      </rPr>
      <t xml:space="preserve">급여가 </t>
    </r>
    <r>
      <rPr>
        <sz val="10"/>
        <rFont val="Arial"/>
        <family val="2"/>
      </rPr>
      <t>USD 1,391,836 → 1,875,582</t>
    </r>
    <r>
      <rPr>
        <sz val="10"/>
        <rFont val="DejaVu Sans"/>
        <family val="2"/>
      </rPr>
      <t xml:space="preserve">로 </t>
    </r>
    <r>
      <rPr>
        <sz val="10"/>
        <rFont val="Arial"/>
        <family val="2"/>
      </rPr>
      <t xml:space="preserve">34.8% </t>
    </r>
    <r>
      <rPr>
        <sz val="10"/>
        <rFont val="DejaVu Sans"/>
        <family val="2"/>
      </rPr>
      <t>증가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인건비 상승은 인력 확충 또는 베트남 임금 인상 영향으로 판단되나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>매출 대비 비율 관리 필요</t>
    </r>
    <r>
      <rPr>
        <sz val="10"/>
        <rFont val="Arial"/>
        <family val="2"/>
      </rPr>
      <t>.</t>
    </r>
  </si>
  <si>
    <r>
      <rPr>
        <b/>
        <sz val="10"/>
        <rFont val="DejaVu Sans"/>
        <family val="2"/>
      </rPr>
      <t xml:space="preserve">원가율 상승 </t>
    </r>
    <r>
      <rPr>
        <b/>
        <sz val="10"/>
        <rFont val="Arial"/>
        <family val="2"/>
      </rPr>
      <t>(</t>
    </r>
    <r>
      <rPr>
        <b/>
        <sz val="10"/>
        <rFont val="DejaVu Sans"/>
        <family val="2"/>
      </rPr>
      <t>경고</t>
    </r>
    <r>
      <rPr>
        <b/>
        <sz val="10"/>
        <rFont val="Arial"/>
        <family val="2"/>
      </rPr>
      <t>)</t>
    </r>
  </si>
  <si>
    <r>
      <rPr>
        <sz val="10"/>
        <rFont val="DejaVu Sans"/>
        <family val="2"/>
      </rPr>
      <t xml:space="preserve">매출원가율 </t>
    </r>
    <r>
      <rPr>
        <sz val="10"/>
        <rFont val="Arial"/>
        <family val="2"/>
      </rPr>
      <t>79.7% → 82.2%</t>
    </r>
    <r>
      <rPr>
        <sz val="10"/>
        <rFont val="DejaVu Sans"/>
        <family val="2"/>
      </rPr>
      <t>로 상승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원재료 가격 상승 또는 생산효율 저하 가능성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 xml:space="preserve">제조원가 자체는 </t>
    </r>
    <r>
      <rPr>
        <sz val="10"/>
        <rFont val="Arial"/>
        <family val="2"/>
      </rPr>
      <t xml:space="preserve">3.5% </t>
    </r>
    <r>
      <rPr>
        <sz val="10"/>
        <rFont val="DejaVu Sans"/>
        <family val="2"/>
      </rPr>
      <t>감소했으나 매출 대비 비율은 악화</t>
    </r>
    <r>
      <rPr>
        <sz val="10"/>
        <rFont val="Arial"/>
        <family val="2"/>
      </rPr>
      <t>.</t>
    </r>
  </si>
  <si>
    <r>
      <rPr>
        <b/>
        <sz val="11"/>
        <color rgb="FF1F3864"/>
        <rFont val="Arial"/>
        <family val="2"/>
      </rPr>
      <t xml:space="preserve">3. </t>
    </r>
    <r>
      <rPr>
        <b/>
        <sz val="11"/>
        <color rgb="FF1F3864"/>
        <rFont val="DejaVu Sans"/>
        <family val="2"/>
      </rPr>
      <t>재무구조 분석</t>
    </r>
  </si>
  <si>
    <t>부채비율 개선</t>
  </si>
  <si>
    <r>
      <rPr>
        <sz val="10"/>
        <rFont val="DejaVu Sans"/>
        <family val="2"/>
      </rPr>
      <t>부채</t>
    </r>
    <r>
      <rPr>
        <sz val="10"/>
        <rFont val="Arial"/>
        <family val="2"/>
      </rPr>
      <t>/</t>
    </r>
    <r>
      <rPr>
        <sz val="10"/>
        <rFont val="DejaVu Sans"/>
        <family val="2"/>
      </rPr>
      <t xml:space="preserve">자본비율 </t>
    </r>
    <r>
      <rPr>
        <sz val="10"/>
        <rFont val="Arial"/>
        <family val="2"/>
      </rPr>
      <t>2.80x → 2.35x</t>
    </r>
    <r>
      <rPr>
        <sz val="10"/>
        <rFont val="DejaVu Sans"/>
        <family val="2"/>
      </rPr>
      <t>로 개선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 xml:space="preserve">자본 </t>
    </r>
    <r>
      <rPr>
        <sz val="10"/>
        <rFont val="Arial"/>
        <family val="2"/>
      </rPr>
      <t xml:space="preserve">8.5% </t>
    </r>
    <r>
      <rPr>
        <sz val="10"/>
        <rFont val="DejaVu Sans"/>
        <family val="2"/>
      </rPr>
      <t>증가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부채 </t>
    </r>
    <r>
      <rPr>
        <sz val="10"/>
        <rFont val="Arial"/>
        <family val="2"/>
      </rPr>
      <t xml:space="preserve">8.8% </t>
    </r>
    <r>
      <rPr>
        <sz val="10"/>
        <rFont val="DejaVu Sans"/>
        <family val="2"/>
      </rPr>
      <t>감소로 재무건전성 향상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 xml:space="preserve">매입채무 </t>
    </r>
    <r>
      <rPr>
        <sz val="10"/>
        <rFont val="Arial"/>
        <family val="2"/>
      </rPr>
      <t xml:space="preserve">20.3% </t>
    </r>
    <r>
      <rPr>
        <sz val="10"/>
        <rFont val="DejaVu Sans"/>
        <family val="2"/>
      </rPr>
      <t>감소가 주요 요인</t>
    </r>
    <r>
      <rPr>
        <sz val="10"/>
        <rFont val="Arial"/>
        <family val="2"/>
      </rPr>
      <t>.</t>
    </r>
  </si>
  <si>
    <r>
      <rPr>
        <b/>
        <sz val="10"/>
        <rFont val="DejaVu Sans"/>
        <family val="2"/>
      </rPr>
      <t xml:space="preserve">유동비율 악화 </t>
    </r>
    <r>
      <rPr>
        <b/>
        <sz val="10"/>
        <rFont val="Arial"/>
        <family val="2"/>
      </rPr>
      <t>(</t>
    </r>
    <r>
      <rPr>
        <b/>
        <sz val="10"/>
        <rFont val="DejaVu Sans"/>
        <family val="2"/>
      </rPr>
      <t>경고</t>
    </r>
    <r>
      <rPr>
        <b/>
        <sz val="10"/>
        <rFont val="Arial"/>
        <family val="2"/>
      </rPr>
      <t>)</t>
    </r>
  </si>
  <si>
    <r>
      <rPr>
        <sz val="10"/>
        <rFont val="DejaVu Sans"/>
        <family val="2"/>
      </rPr>
      <t xml:space="preserve">유동비율 </t>
    </r>
    <r>
      <rPr>
        <sz val="10"/>
        <rFont val="Arial"/>
        <family val="2"/>
      </rPr>
      <t>0.91 → 0.84</t>
    </r>
    <r>
      <rPr>
        <sz val="10"/>
        <rFont val="DejaVu Sans"/>
        <family val="2"/>
      </rPr>
      <t>로 하락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단기 지급능력 약화 우려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 xml:space="preserve">재고자산 </t>
    </r>
    <r>
      <rPr>
        <sz val="10"/>
        <rFont val="Arial"/>
        <family val="2"/>
      </rPr>
      <t xml:space="preserve">56.8% </t>
    </r>
    <r>
      <rPr>
        <sz val="10"/>
        <rFont val="DejaVu Sans"/>
        <family val="2"/>
      </rPr>
      <t>대폭 감소가 주원인이나</t>
    </r>
    <r>
      <rPr>
        <sz val="10"/>
        <rFont val="Arial"/>
        <family val="2"/>
      </rPr>
      <t xml:space="preserve">, </t>
    </r>
    <r>
      <rPr>
        <sz val="10"/>
        <rFont val="DejaVu Sans"/>
        <family val="2"/>
      </rPr>
      <t xml:space="preserve">현금 </t>
    </r>
    <r>
      <rPr>
        <sz val="10"/>
        <rFont val="Arial"/>
        <family val="2"/>
      </rPr>
      <t xml:space="preserve">206% </t>
    </r>
    <r>
      <rPr>
        <sz val="10"/>
        <rFont val="DejaVu Sans"/>
        <family val="2"/>
      </rPr>
      <t>증가로 일부 상쇄</t>
    </r>
    <r>
      <rPr>
        <sz val="10"/>
        <rFont val="Arial"/>
        <family val="2"/>
      </rPr>
      <t>.</t>
    </r>
  </si>
  <si>
    <t>현금보유 대폭 증가</t>
  </si>
  <si>
    <r>
      <rPr>
        <sz val="10"/>
        <rFont val="DejaVu Sans"/>
        <family val="2"/>
      </rPr>
      <t xml:space="preserve">현금 </t>
    </r>
    <r>
      <rPr>
        <sz val="10"/>
        <rFont val="Arial"/>
        <family val="2"/>
      </rPr>
      <t>USD 912,517 → 2,793,726</t>
    </r>
    <r>
      <rPr>
        <sz val="10"/>
        <rFont val="DejaVu Sans"/>
        <family val="2"/>
      </rPr>
      <t xml:space="preserve">으로 </t>
    </r>
    <r>
      <rPr>
        <sz val="10"/>
        <rFont val="Arial"/>
        <family val="2"/>
      </rPr>
      <t xml:space="preserve">206% </t>
    </r>
    <r>
      <rPr>
        <sz val="10"/>
        <rFont val="DejaVu Sans"/>
        <family val="2"/>
      </rPr>
      <t>증가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유동성 크게 개선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재고 축소와 매입채무 감소에 따른 현금 확보로 판단</t>
    </r>
    <r>
      <rPr>
        <sz val="10"/>
        <rFont val="Arial"/>
        <family val="2"/>
      </rPr>
      <t>.</t>
    </r>
  </si>
  <si>
    <r>
      <rPr>
        <b/>
        <sz val="11"/>
        <color rgb="FF1F3864"/>
        <rFont val="Arial"/>
        <family val="2"/>
      </rPr>
      <t xml:space="preserve">4. </t>
    </r>
    <r>
      <rPr>
        <b/>
        <sz val="11"/>
        <color rgb="FF1F3864"/>
        <rFont val="DejaVu Sans"/>
        <family val="2"/>
      </rPr>
      <t>효율성 분석</t>
    </r>
  </si>
  <si>
    <t>재고회전일수 개선</t>
  </si>
  <si>
    <r>
      <rPr>
        <sz val="10"/>
        <rFont val="Arial"/>
        <family val="2"/>
      </rPr>
      <t>78.6</t>
    </r>
    <r>
      <rPr>
        <sz val="10"/>
        <rFont val="DejaVu Sans"/>
        <family val="2"/>
      </rPr>
      <t xml:space="preserve">일 → </t>
    </r>
    <r>
      <rPr>
        <sz val="10"/>
        <rFont val="Arial"/>
        <family val="2"/>
      </rPr>
      <t>32.9</t>
    </r>
    <r>
      <rPr>
        <sz val="10"/>
        <rFont val="DejaVu Sans"/>
        <family val="2"/>
      </rPr>
      <t>일로 대폭 단축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재고관리 효율성 크게 개선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 xml:space="preserve">재고금액 </t>
    </r>
    <r>
      <rPr>
        <sz val="10"/>
        <rFont val="Arial"/>
        <family val="2"/>
      </rPr>
      <t xml:space="preserve">56.8% </t>
    </r>
    <r>
      <rPr>
        <sz val="10"/>
        <rFont val="DejaVu Sans"/>
        <family val="2"/>
      </rPr>
      <t>감소로 자금 효율화 달성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</si>
  <si>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89.4</t>
    </r>
    <r>
      <rPr>
        <sz val="10"/>
        <rFont val="DejaVu Sans"/>
        <family val="2"/>
      </rPr>
      <t xml:space="preserve">일 → </t>
    </r>
    <r>
      <rPr>
        <sz val="10"/>
        <rFont val="Arial"/>
        <family val="2"/>
      </rPr>
      <t>89.3</t>
    </r>
    <r>
      <rPr>
        <sz val="10"/>
        <rFont val="DejaVu Sans"/>
        <family val="2"/>
      </rPr>
      <t>일로 거의 동일</t>
    </r>
    <r>
      <rPr>
        <sz val="10"/>
        <rFont val="Arial"/>
        <family val="2"/>
      </rPr>
      <t xml:space="preserve">. AR </t>
    </r>
    <r>
      <rPr>
        <sz val="10"/>
        <rFont val="DejaVu Sans"/>
        <family val="2"/>
      </rPr>
      <t xml:space="preserve">회수 효율성 유지 중이나 </t>
    </r>
    <r>
      <rPr>
        <sz val="10"/>
        <rFont val="Arial"/>
        <family val="2"/>
      </rPr>
      <t>89</t>
    </r>
    <r>
      <rPr>
        <sz val="10"/>
        <rFont val="DejaVu Sans"/>
        <family val="2"/>
      </rPr>
      <t>일은 여전히 길어 개선 여지 있음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</si>
  <si>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131.6</t>
    </r>
    <r>
      <rPr>
        <sz val="10"/>
        <rFont val="DejaVu Sans"/>
        <family val="2"/>
      </rPr>
      <t xml:space="preserve">일 → </t>
    </r>
    <r>
      <rPr>
        <sz val="10"/>
        <rFont val="Arial"/>
        <family val="2"/>
      </rPr>
      <t>101.5</t>
    </r>
    <r>
      <rPr>
        <sz val="10"/>
        <rFont val="DejaVu Sans"/>
        <family val="2"/>
      </rPr>
      <t>일로 단축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공급업체에 대한 결제 속도 빨라짐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현금흐름 관리 관점에서 적정 수준 유지 필요</t>
    </r>
    <r>
      <rPr>
        <sz val="10"/>
        <rFont val="Arial"/>
        <family val="2"/>
      </rPr>
      <t>.</t>
    </r>
  </si>
  <si>
    <r>
      <rPr>
        <b/>
        <sz val="11"/>
        <color rgb="FF1F3864"/>
        <rFont val="Arial"/>
        <family val="2"/>
      </rPr>
      <t xml:space="preserve">5. </t>
    </r>
    <r>
      <rPr>
        <b/>
        <sz val="11"/>
        <color rgb="FF1F3864"/>
        <rFont val="DejaVu Sans"/>
        <family val="2"/>
      </rPr>
      <t>개선방안</t>
    </r>
  </si>
  <si>
    <t>① 매출총이익률 회복</t>
  </si>
  <si>
    <r>
      <rPr>
        <sz val="10"/>
        <rFont val="DejaVu Sans"/>
        <family val="2"/>
      </rPr>
      <t>원재료 조달 최적화 및 대체재 발굴 필요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생산효율 개선 프로그램</t>
    </r>
    <r>
      <rPr>
        <sz val="10"/>
        <rFont val="Arial"/>
        <family val="2"/>
      </rPr>
      <t xml:space="preserve">(Lean Manufacturing) </t>
    </r>
    <r>
      <rPr>
        <sz val="10"/>
        <rFont val="DejaVu Sans"/>
        <family val="2"/>
      </rPr>
      <t>도입 검토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 xml:space="preserve">고부가가치 제품 비중 확대를 통한 매출 </t>
    </r>
    <r>
      <rPr>
        <sz val="10"/>
        <rFont val="Arial"/>
        <family val="2"/>
      </rPr>
      <t xml:space="preserve">Mix </t>
    </r>
    <r>
      <rPr>
        <sz val="10"/>
        <rFont val="DejaVu Sans"/>
        <family val="2"/>
      </rPr>
      <t>개선</t>
    </r>
    <r>
      <rPr>
        <sz val="10"/>
        <rFont val="Arial"/>
        <family val="2"/>
      </rPr>
      <t>.</t>
    </r>
  </si>
  <si>
    <t>② 매출 성장 전략</t>
  </si>
  <si>
    <r>
      <rPr>
        <sz val="10"/>
        <rFont val="DejaVu Sans"/>
        <family val="2"/>
      </rPr>
      <t xml:space="preserve">제품매출 </t>
    </r>
    <r>
      <rPr>
        <sz val="10"/>
        <rFont val="Arial"/>
        <family val="2"/>
      </rPr>
      <t xml:space="preserve">2.4% </t>
    </r>
    <r>
      <rPr>
        <sz val="10"/>
        <rFont val="DejaVu Sans"/>
        <family val="2"/>
      </rPr>
      <t>감소 추세 반전 필요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무역매출</t>
    </r>
    <r>
      <rPr>
        <sz val="10"/>
        <rFont val="Arial"/>
        <family val="2"/>
      </rPr>
      <t>(+69.4%)</t>
    </r>
    <r>
      <rPr>
        <sz val="10"/>
        <rFont val="DejaVu Sans"/>
        <family val="2"/>
      </rPr>
      <t>과 스크랩매출</t>
    </r>
    <r>
      <rPr>
        <sz val="10"/>
        <rFont val="Arial"/>
        <family val="2"/>
      </rPr>
      <t xml:space="preserve">(+56.0%) </t>
    </r>
    <r>
      <rPr>
        <sz val="10"/>
        <rFont val="DejaVu Sans"/>
        <family val="2"/>
      </rPr>
      <t>성장세 활용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신규 고객</t>
    </r>
    <r>
      <rPr>
        <sz val="10"/>
        <rFont val="Arial"/>
        <family val="2"/>
      </rPr>
      <t>/</t>
    </r>
    <r>
      <rPr>
        <sz val="10"/>
        <rFont val="DejaVu Sans"/>
        <family val="2"/>
      </rPr>
      <t>시장 개척 및 기존 고객 물량 확대</t>
    </r>
    <r>
      <rPr>
        <sz val="10"/>
        <rFont val="Arial"/>
        <family val="2"/>
      </rPr>
      <t>.</t>
    </r>
  </si>
  <si>
    <t>③ 운전자본 관리</t>
  </si>
  <si>
    <r>
      <rPr>
        <sz val="10"/>
        <rFont val="DejaVu Sans"/>
        <family val="2"/>
      </rPr>
      <t xml:space="preserve">매출채권 </t>
    </r>
    <r>
      <rPr>
        <sz val="10"/>
        <rFont val="Arial"/>
        <family val="2"/>
      </rPr>
      <t>89</t>
    </r>
    <r>
      <rPr>
        <sz val="10"/>
        <rFont val="DejaVu Sans"/>
        <family val="2"/>
      </rPr>
      <t xml:space="preserve">일 → </t>
    </r>
    <r>
      <rPr>
        <sz val="10"/>
        <rFont val="Arial"/>
        <family val="2"/>
      </rPr>
      <t>60</t>
    </r>
    <r>
      <rPr>
        <sz val="10"/>
        <rFont val="DejaVu Sans"/>
        <family val="2"/>
      </rPr>
      <t>일 목표 회수 기간 단축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재고 효율화 성과 유지하면서 적정 재고 수준 관리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매입채무 결제조건 재협상으로 현금흐름 최적화</t>
    </r>
    <r>
      <rPr>
        <sz val="10"/>
        <rFont val="Arial"/>
        <family val="2"/>
      </rPr>
      <t>.</t>
    </r>
  </si>
  <si>
    <t>④ 재무구조 개선</t>
  </si>
  <si>
    <r>
      <rPr>
        <sz val="10"/>
        <rFont val="DejaVu Sans"/>
        <family val="2"/>
      </rPr>
      <t xml:space="preserve">유동비율 </t>
    </r>
    <r>
      <rPr>
        <sz val="10"/>
        <rFont val="Arial"/>
        <family val="2"/>
      </rPr>
      <t xml:space="preserve">1.0 </t>
    </r>
    <r>
      <rPr>
        <sz val="10"/>
        <rFont val="DejaVu Sans"/>
        <family val="2"/>
      </rPr>
      <t>이상 달성을 위한 유동자산 확충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장기차입금 비중 조정으로 만기구조 최적화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이자비용 절감을 위한 차입금리 재협상</t>
    </r>
    <r>
      <rPr>
        <sz val="10"/>
        <rFont val="Arial"/>
        <family val="2"/>
      </rPr>
      <t>.</t>
    </r>
  </si>
  <si>
    <t>⑤ 인건비 관리</t>
  </si>
  <si>
    <r>
      <rPr>
        <sz val="10"/>
        <rFont val="DejaVu Sans"/>
        <family val="2"/>
      </rPr>
      <t>급여 증가율</t>
    </r>
    <r>
      <rPr>
        <sz val="10"/>
        <rFont val="Arial"/>
        <family val="2"/>
      </rPr>
      <t>(34.8%)</t>
    </r>
    <r>
      <rPr>
        <sz val="10"/>
        <rFont val="DejaVu Sans"/>
        <family val="2"/>
      </rPr>
      <t>을 매출 성장률에 연동 관리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생산성 향상을 통한 인당 매출액 제고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자동화 투자로 중장기 인건비 효율화</t>
    </r>
    <r>
      <rPr>
        <sz val="10"/>
        <rFont val="Arial"/>
        <family val="2"/>
      </rPr>
      <t>.</t>
    </r>
  </si>
  <si>
    <t>⑥ 환위험 관리</t>
  </si>
  <si>
    <r>
      <rPr>
        <sz val="10"/>
        <rFont val="DejaVu Sans"/>
        <family val="2"/>
      </rPr>
      <t xml:space="preserve">외환이익 </t>
    </r>
    <r>
      <rPr>
        <sz val="10"/>
        <rFont val="Arial"/>
        <family val="2"/>
      </rPr>
      <t xml:space="preserve">USD 609,829 vs </t>
    </r>
    <r>
      <rPr>
        <sz val="10"/>
        <rFont val="DejaVu Sans"/>
        <family val="2"/>
      </rPr>
      <t xml:space="preserve">외환손실 </t>
    </r>
    <r>
      <rPr>
        <sz val="10"/>
        <rFont val="Arial"/>
        <family val="2"/>
      </rPr>
      <t xml:space="preserve">USD 454,388. </t>
    </r>
    <r>
      <rPr>
        <sz val="10"/>
        <rFont val="DejaVu Sans"/>
        <family val="2"/>
      </rPr>
      <t>순외환이익 개선되었으나 변동성 관리 필요</t>
    </r>
    <r>
      <rPr>
        <sz val="10"/>
        <rFont val="Arial"/>
        <family val="2"/>
      </rPr>
      <t xml:space="preserve">. </t>
    </r>
    <r>
      <rPr>
        <sz val="10"/>
        <rFont val="DejaVu Sans"/>
        <family val="2"/>
      </rPr>
      <t>환헤지 전략 수립 및 자연적 헤지</t>
    </r>
    <r>
      <rPr>
        <sz val="10"/>
        <rFont val="Arial"/>
        <family val="2"/>
      </rPr>
      <t xml:space="preserve">(Natural Hedge) </t>
    </r>
    <r>
      <rPr>
        <sz val="10"/>
        <rFont val="DejaVu Sans"/>
        <family val="2"/>
      </rPr>
      <t>확대</t>
    </r>
    <r>
      <rPr>
        <sz val="10"/>
        <rFont val="Arial"/>
        <family val="2"/>
      </rPr>
      <t>.</t>
    </r>
  </si>
  <si>
    <t>환율 참고</t>
  </si>
  <si>
    <t>월</t>
  </si>
  <si>
    <r>
      <rPr>
        <b/>
        <sz val="11"/>
        <color rgb="FFFFFFFF"/>
        <rFont val="DejaVu Sans"/>
        <family val="2"/>
      </rPr>
      <t xml:space="preserve">환율 </t>
    </r>
    <r>
      <rPr>
        <b/>
        <sz val="11"/>
        <color rgb="FFFFFFFF"/>
        <rFont val="Arial"/>
        <family val="2"/>
      </rPr>
      <t>(VND/USD)</t>
    </r>
  </si>
  <si>
    <t>적용</t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</si>
  <si>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DejaVu Sans"/>
        <family val="2"/>
      </rPr>
      <t>월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</si>
  <si>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DejaVu Sans"/>
        <family val="2"/>
      </rPr>
      <t>항목 적용</t>
    </r>
  </si>
  <si>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DejaVu Sans"/>
        <family val="2"/>
      </rPr>
      <t>월</t>
    </r>
  </si>
  <si>
    <r>
      <rPr>
        <sz val="11"/>
        <color theme="1"/>
        <rFont val="Calibri"/>
        <family val="2"/>
        <charset val="1"/>
      </rPr>
      <t>3</t>
    </r>
    <r>
      <rPr>
        <sz val="11"/>
        <color theme="1"/>
        <rFont val="DejaVu Sans"/>
        <family val="2"/>
      </rPr>
      <t>월</t>
    </r>
  </si>
  <si>
    <r>
      <rPr>
        <sz val="11"/>
        <color theme="1"/>
        <rFont val="Calibri"/>
        <family val="2"/>
        <charset val="1"/>
      </rPr>
      <t>4</t>
    </r>
    <r>
      <rPr>
        <sz val="11"/>
        <color theme="1"/>
        <rFont val="DejaVu Sans"/>
        <family val="2"/>
      </rPr>
      <t>월</t>
    </r>
  </si>
  <si>
    <r>
      <rPr>
        <sz val="11"/>
        <color theme="1"/>
        <rFont val="Calibri"/>
        <family val="2"/>
        <charset val="1"/>
      </rPr>
      <t>5</t>
    </r>
    <r>
      <rPr>
        <sz val="11"/>
        <color theme="1"/>
        <rFont val="DejaVu Sans"/>
        <family val="2"/>
      </rPr>
      <t>월</t>
    </r>
  </si>
  <si>
    <r>
      <rPr>
        <sz val="11"/>
        <color theme="1"/>
        <rFont val="Calibri"/>
        <family val="2"/>
        <charset val="1"/>
      </rPr>
      <t>6</t>
    </r>
    <r>
      <rPr>
        <sz val="11"/>
        <color theme="1"/>
        <rFont val="DejaVu Sans"/>
        <family val="2"/>
      </rPr>
      <t>월</t>
    </r>
  </si>
  <si>
    <r>
      <rPr>
        <sz val="11"/>
        <color theme="1"/>
        <rFont val="Calibri"/>
        <family val="2"/>
        <charset val="1"/>
      </rPr>
      <t>7</t>
    </r>
    <r>
      <rPr>
        <sz val="11"/>
        <color theme="1"/>
        <rFont val="DejaVu Sans"/>
        <family val="2"/>
      </rPr>
      <t>월</t>
    </r>
  </si>
  <si>
    <r>
      <rPr>
        <sz val="11"/>
        <color theme="1"/>
        <rFont val="Calibri"/>
        <family val="2"/>
        <charset val="1"/>
      </rPr>
      <t>8</t>
    </r>
    <r>
      <rPr>
        <sz val="11"/>
        <color theme="1"/>
        <rFont val="DejaVu Sans"/>
        <family val="2"/>
      </rPr>
      <t>월</t>
    </r>
  </si>
  <si>
    <r>
      <rPr>
        <sz val="11"/>
        <color theme="1"/>
        <rFont val="Calibri"/>
        <family val="2"/>
        <charset val="1"/>
      </rPr>
      <t>9</t>
    </r>
    <r>
      <rPr>
        <sz val="11"/>
        <color theme="1"/>
        <rFont val="DejaVu Sans"/>
        <family val="2"/>
      </rPr>
      <t>월</t>
    </r>
  </si>
  <si>
    <r>
      <rPr>
        <sz val="11"/>
        <color theme="1"/>
        <rFont val="Calibri"/>
        <family val="2"/>
        <charset val="1"/>
      </rPr>
      <t>10</t>
    </r>
    <r>
      <rPr>
        <sz val="11"/>
        <color theme="1"/>
        <rFont val="DejaVu Sans"/>
        <family val="2"/>
      </rPr>
      <t>월</t>
    </r>
  </si>
  <si>
    <r>
      <rPr>
        <sz val="11"/>
        <color theme="1"/>
        <rFont val="Calibri"/>
        <family val="2"/>
        <charset val="1"/>
      </rPr>
      <t>11</t>
    </r>
    <r>
      <rPr>
        <sz val="11"/>
        <color theme="1"/>
        <rFont val="DejaVu Sans"/>
        <family val="2"/>
      </rPr>
      <t>월</t>
    </r>
  </si>
  <si>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DejaVu Sans"/>
        <family val="2"/>
      </rPr>
      <t>월</t>
    </r>
  </si>
  <si>
    <t>평균환율</t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</si>
  <si>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DejaVu Sans"/>
        <family val="2"/>
      </rPr>
      <t>환산 적용</t>
    </r>
  </si>
  <si>
    <t>기말환율</t>
  </si>
  <si>
    <r>
      <rPr>
        <sz val="11"/>
        <color theme="1"/>
        <rFont val="Calibri"/>
        <family val="2"/>
        <charset val="1"/>
      </rPr>
      <t xml:space="preserve">BS </t>
    </r>
    <r>
      <rPr>
        <sz val="11"/>
        <color theme="1"/>
        <rFont val="DejaVu Sans"/>
        <family val="2"/>
      </rPr>
      <t>환산 적용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</si>
</sst>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"/>
  </numFmts>
  <fonts count="20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4"/>
      <color rgb="FF1F3864"/>
      <name val="DejaVu Sans"/>
      <family val="2"/>
    </font>
    <font>
      <b/>
      <sz val="12"/>
      <color rgb="FF2E75B6"/>
      <name val="Arial"/>
      <family val="2"/>
    </font>
    <font>
      <b/>
      <sz val="12"/>
      <color rgb="FF2E75B6"/>
      <name val="DejaVu Sans"/>
      <family val="2"/>
    </font>
    <font>
      <i/>
      <sz val="9"/>
      <color rgb="FF666666"/>
      <name val="DejaVu Sans"/>
      <family val="2"/>
    </font>
    <font>
      <i/>
      <sz val="9"/>
      <color rgb="FF666666"/>
      <name val="Arial"/>
      <family val="2"/>
    </font>
    <font>
      <b/>
      <sz val="11"/>
      <color rgb="FFFFFFFF"/>
      <name val="DejaVu Sans"/>
      <family val="2"/>
    </font>
    <font>
      <b/>
      <sz val="11"/>
      <color rgb="FFFFFFFF"/>
      <name val="Arial"/>
      <family val="2"/>
    </font>
    <font>
      <sz val="10"/>
      <name val="DejaVu Sans"/>
      <family val="2"/>
    </font>
    <font>
      <sz val="10"/>
      <name val="Arial"/>
      <family val="2"/>
    </font>
    <font>
      <b/>
      <sz val="10"/>
      <name val="DejaVu Sans"/>
      <family val="2"/>
    </font>
    <font>
      <b/>
      <sz val="10"/>
      <name val="Arial"/>
      <family val="2"/>
    </font>
    <font>
      <sz val="11"/>
      <color theme="1"/>
      <name val="DejaVu Sans"/>
      <family val="2"/>
    </font>
    <font>
      <sz val="10"/>
      <color rgb="FF9C0006"/>
      <name val="DejaVu Sans"/>
      <family val="2"/>
    </font>
    <font>
      <sz val="10"/>
      <color rgb="FF006100"/>
      <name val="DejaVu Sans"/>
      <family val="2"/>
    </font>
    <font>
      <b/>
      <sz val="11"/>
      <color rgb="FF1F3864"/>
      <name val="Arial"/>
      <family val="2"/>
    </font>
    <font>
      <b/>
      <sz val="11"/>
      <color rgb="FF1F3864"/>
      <name val="DejaVu Sans"/>
      <family val="2"/>
    </font>
    <font>
      <b/>
      <sz val="14"/>
      <color rgb="FF1F3864"/>
      <name val="Arial"/>
      <family val="2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  <fill>
      <patternFill patternType="solid">
        <fgColor rgb="FFFCE4E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6" fillId="7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indent="1"/>
    </xf>
    <xf numFmtId="3" fontId="10" fillId="3" borderId="1" xfId="0" applyNumberFormat="1" applyFont="1" applyFill="1" applyBorder="1" applyAlignment="1">
      <alignment horizontal="right" vertical="center"/>
    </xf>
    <xf numFmtId="176" fontId="10" fillId="3" borderId="1" xfId="0" applyNumberFormat="1" applyFont="1" applyFill="1" applyBorder="1" applyAlignment="1">
      <alignment horizontal="right" vertical="center"/>
    </xf>
    <xf numFmtId="0" fontId="9" fillId="3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indent="1"/>
    </xf>
    <xf numFmtId="3" fontId="10" fillId="0" borderId="1" xfId="0" applyNumberFormat="1" applyFont="1" applyBorder="1" applyAlignment="1">
      <alignment horizontal="right" vertical="center"/>
    </xf>
    <xf numFmtId="176" fontId="10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11" fillId="3" borderId="1" xfId="0" applyFont="1" applyFill="1" applyBorder="1" applyAlignment="1">
      <alignment horizontal="left" indent="1"/>
    </xf>
    <xf numFmtId="3" fontId="12" fillId="3" borderId="1" xfId="0" applyNumberFormat="1" applyFont="1" applyFill="1" applyBorder="1" applyAlignment="1">
      <alignment horizontal="right" vertical="center"/>
    </xf>
    <xf numFmtId="176" fontId="12" fillId="3" borderId="1" xfId="0" applyNumberFormat="1" applyFont="1" applyFill="1" applyBorder="1" applyAlignment="1">
      <alignment horizontal="right" vertical="center"/>
    </xf>
    <xf numFmtId="0" fontId="11" fillId="3" borderId="1" xfId="0" applyFont="1" applyFill="1" applyBorder="1" applyAlignment="1">
      <alignment horizontal="right" vertical="center"/>
    </xf>
    <xf numFmtId="0" fontId="11" fillId="0" borderId="1" xfId="0" applyFont="1" applyBorder="1" applyAlignment="1">
      <alignment horizontal="left" indent="1"/>
    </xf>
    <xf numFmtId="3" fontId="12" fillId="0" borderId="1" xfId="0" applyNumberFormat="1" applyFont="1" applyBorder="1" applyAlignment="1">
      <alignment horizontal="right" vertical="center"/>
    </xf>
    <xf numFmtId="176" fontId="12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0" fontId="10" fillId="3" borderId="1" xfId="0" applyFont="1" applyFill="1" applyBorder="1" applyAlignment="1">
      <alignment horizontal="left" indent="1"/>
    </xf>
    <xf numFmtId="0" fontId="4" fillId="0" borderId="0" xfId="0" applyFont="1"/>
    <xf numFmtId="0" fontId="13" fillId="3" borderId="1" xfId="0" applyFont="1" applyFill="1" applyBorder="1" applyAlignment="1">
      <alignment horizontal="left" vertical="center"/>
    </xf>
    <xf numFmtId="176" fontId="0" fillId="3" borderId="1" xfId="0" applyNumberFormat="1" applyFill="1" applyBorder="1" applyAlignment="1">
      <alignment horizontal="right" vertical="center"/>
    </xf>
    <xf numFmtId="0" fontId="13" fillId="3" borderId="1" xfId="0" applyFont="1" applyFill="1" applyBorder="1" applyAlignment="1">
      <alignment horizontal="right" vertical="center"/>
    </xf>
    <xf numFmtId="0" fontId="14" fillId="4" borderId="1" xfId="0" applyFont="1" applyFill="1" applyBorder="1" applyAlignment="1">
      <alignment horizontal="right" vertical="center"/>
    </xf>
    <xf numFmtId="0" fontId="13" fillId="0" borderId="1" xfId="0" applyFon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0" fontId="13" fillId="0" borderId="1" xfId="0" applyFont="1" applyBorder="1" applyAlignment="1">
      <alignment horizontal="right" vertical="center"/>
    </xf>
    <xf numFmtId="0" fontId="15" fillId="5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2" fontId="0" fillId="3" borderId="1" xfId="0" applyNumberFormat="1" applyFill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177" fontId="0" fillId="0" borderId="1" xfId="0" applyNumberFormat="1" applyBorder="1" applyAlignment="1">
      <alignment horizontal="right" vertical="center"/>
    </xf>
    <xf numFmtId="177" fontId="0" fillId="3" borderId="1" xfId="0" applyNumberForma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right" vertical="center"/>
    </xf>
    <xf numFmtId="0" fontId="12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/>
    </xf>
    <xf numFmtId="3" fontId="12" fillId="7" borderId="1" xfId="0" applyNumberFormat="1" applyFont="1" applyFill="1" applyBorder="1" applyAlignment="1">
      <alignment horizontal="right" vertical="center"/>
    </xf>
    <xf numFmtId="176" fontId="12" fillId="7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10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/>
    </xf>
    <xf numFmtId="0" fontId="12" fillId="7" borderId="1" xfId="0" applyFont="1" applyFill="1" applyBorder="1" applyAlignment="1">
      <alignment horizontal="left"/>
    </xf>
    <xf numFmtId="0" fontId="11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1" fillId="0" borderId="0" xfId="0" applyFont="1"/>
    <xf numFmtId="3" fontId="12" fillId="0" borderId="0" xfId="0" applyNumberFormat="1" applyFont="1"/>
    <xf numFmtId="3" fontId="10" fillId="8" borderId="1" xfId="0" applyNumberFormat="1" applyFont="1" applyFill="1" applyBorder="1" applyAlignment="1">
      <alignment horizontal="right" vertical="center"/>
    </xf>
    <xf numFmtId="3" fontId="10" fillId="9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2E75B6"/>
      <rgbColor rgb="FF33CCCC"/>
      <rgbColor rgb="FF99CC00"/>
      <rgbColor rgb="FFFFCC00"/>
      <rgbColor rgb="FFFF9900"/>
      <rgbColor rgb="FFC55A11"/>
      <rgbColor rgb="FF666666"/>
      <rgbColor rgb="FF969696"/>
      <rgbColor rgb="FF1F3864"/>
      <rgbColor rgb="FF2E8B5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F27"/>
  <sheetViews>
    <sheetView tabSelected="1" zoomScaleNormal="100" workbookViewId="0">
      <selection activeCell="F10" sqref="F10"/>
    </sheetView>
  </sheetViews>
  <sheetFormatPr defaultColWidth="8.7109375" defaultRowHeight="15" customHeight="1"/>
  <cols>
    <col min="1" max="1" width="28" customWidth="1"/>
    <col min="2" max="4" width="18" customWidth="1"/>
    <col min="5" max="5" width="12" customWidth="1"/>
    <col min="6" max="6" width="14" customWidth="1"/>
  </cols>
  <sheetData>
    <row r="1" spans="1:6" ht="34.5" customHeight="1">
      <c r="A1" s="7" t="s">
        <v>0</v>
      </c>
      <c r="B1" s="7"/>
      <c r="C1" s="7"/>
      <c r="D1" s="7"/>
      <c r="E1" s="7"/>
      <c r="F1" s="7"/>
    </row>
    <row r="2" spans="1:6" ht="24.75" customHeight="1">
      <c r="A2" s="6" t="s">
        <v>1</v>
      </c>
      <c r="B2" s="6"/>
      <c r="C2" s="6"/>
      <c r="D2" s="6"/>
      <c r="E2" s="6"/>
      <c r="F2" s="6"/>
    </row>
    <row r="3" spans="1:6">
      <c r="A3" s="5" t="s">
        <v>2</v>
      </c>
      <c r="B3" s="5"/>
      <c r="C3" s="5"/>
      <c r="D3" s="5"/>
      <c r="E3" s="5"/>
      <c r="F3" s="5"/>
    </row>
    <row r="5" spans="1:6">
      <c r="A5" s="8" t="s">
        <v>3</v>
      </c>
      <c r="B5" s="9" t="s">
        <v>4</v>
      </c>
      <c r="C5" s="9" t="s">
        <v>5</v>
      </c>
      <c r="D5" s="8" t="s">
        <v>6</v>
      </c>
      <c r="E5" s="8" t="s">
        <v>7</v>
      </c>
      <c r="F5" s="8" t="s">
        <v>8</v>
      </c>
    </row>
    <row r="6" spans="1:6">
      <c r="A6" s="10" t="s">
        <v>9</v>
      </c>
      <c r="B6" s="11">
        <v>45961674</v>
      </c>
      <c r="C6" s="11">
        <v>46028305</v>
      </c>
      <c r="D6" s="11">
        <f t="shared" ref="D6:D12" si="0">C6-B6</f>
        <v>66631</v>
      </c>
      <c r="E6" s="12">
        <f t="shared" ref="E6:E12" si="1">IF(B6=0,0,D6/ABS(B6))</f>
        <v>1.4497078587694609E-3</v>
      </c>
      <c r="F6" s="13" t="str">
        <f t="shared" ref="F6:F12" si="2">IF(D6&gt;0,"▲ 개선","▼ 악화")</f>
        <v>▲ 개선</v>
      </c>
    </row>
    <row r="7" spans="1:6">
      <c r="A7" s="14" t="s">
        <v>10</v>
      </c>
      <c r="B7" s="15">
        <v>36627960</v>
      </c>
      <c r="C7" s="15">
        <v>37836356</v>
      </c>
      <c r="D7" s="15">
        <f t="shared" si="0"/>
        <v>1208396</v>
      </c>
      <c r="E7" s="16">
        <f t="shared" si="1"/>
        <v>3.2991081130371441E-2</v>
      </c>
      <c r="F7" s="17" t="str">
        <f>IF(D7&lt;0,"▲ 개선","▼ 악화")</f>
        <v>▼ 악화</v>
      </c>
    </row>
    <row r="8" spans="1:6">
      <c r="A8" s="18" t="s">
        <v>11</v>
      </c>
      <c r="B8" s="19">
        <v>9333714</v>
      </c>
      <c r="C8" s="19">
        <v>8191950</v>
      </c>
      <c r="D8" s="19">
        <f t="shared" si="0"/>
        <v>-1141764</v>
      </c>
      <c r="E8" s="20">
        <f t="shared" si="1"/>
        <v>-0.1223268679541713</v>
      </c>
      <c r="F8" s="21" t="str">
        <f t="shared" si="2"/>
        <v>▼ 악화</v>
      </c>
    </row>
    <row r="9" spans="1:6">
      <c r="A9" s="14" t="s">
        <v>12</v>
      </c>
      <c r="B9" s="15">
        <v>6919229</v>
      </c>
      <c r="C9" s="15">
        <v>5838458</v>
      </c>
      <c r="D9" s="15">
        <f t="shared" si="0"/>
        <v>-1080771</v>
      </c>
      <c r="E9" s="16">
        <f t="shared" si="1"/>
        <v>-0.15619818335250937</v>
      </c>
      <c r="F9" s="17" t="str">
        <f>IF(D9&lt;0,"▲ 개선","▼ 악화")</f>
        <v>▲ 개선</v>
      </c>
    </row>
    <row r="10" spans="1:6">
      <c r="A10" s="18" t="s">
        <v>13</v>
      </c>
      <c r="B10" s="19">
        <v>2414485</v>
      </c>
      <c r="C10" s="19">
        <v>2353492</v>
      </c>
      <c r="D10" s="19">
        <f t="shared" si="0"/>
        <v>-60993</v>
      </c>
      <c r="E10" s="20">
        <f t="shared" si="1"/>
        <v>-2.5261287603774718E-2</v>
      </c>
      <c r="F10" s="21" t="str">
        <f t="shared" si="2"/>
        <v>▼ 악화</v>
      </c>
    </row>
    <row r="11" spans="1:6">
      <c r="A11" s="22" t="s">
        <v>14</v>
      </c>
      <c r="B11" s="23">
        <v>1580236</v>
      </c>
      <c r="C11" s="23">
        <v>1807845</v>
      </c>
      <c r="D11" s="23">
        <f t="shared" si="0"/>
        <v>227609</v>
      </c>
      <c r="E11" s="24">
        <f t="shared" si="1"/>
        <v>0.14403481505294147</v>
      </c>
      <c r="F11" s="25" t="str">
        <f t="shared" si="2"/>
        <v>▲ 개선</v>
      </c>
    </row>
    <row r="12" spans="1:6">
      <c r="A12" s="26" t="s">
        <v>15</v>
      </c>
      <c r="B12" s="11">
        <v>5151343</v>
      </c>
      <c r="C12" s="11">
        <v>6173276</v>
      </c>
      <c r="D12" s="11">
        <f t="shared" si="0"/>
        <v>1021933</v>
      </c>
      <c r="E12" s="12">
        <f t="shared" si="1"/>
        <v>0.1983818588667072</v>
      </c>
      <c r="F12" s="13" t="str">
        <f t="shared" si="2"/>
        <v>▲ 개선</v>
      </c>
    </row>
    <row r="14" spans="1:6" ht="24.75" customHeight="1">
      <c r="A14" s="4" t="s">
        <v>16</v>
      </c>
      <c r="B14" s="4"/>
      <c r="C14" s="4"/>
      <c r="D14" s="4"/>
      <c r="E14" s="4"/>
      <c r="F14" s="4"/>
    </row>
    <row r="15" spans="1:6">
      <c r="A15" s="8" t="s">
        <v>3</v>
      </c>
      <c r="B15" s="9" t="s">
        <v>4</v>
      </c>
      <c r="C15" s="9" t="s">
        <v>5</v>
      </c>
      <c r="D15" s="8" t="s">
        <v>17</v>
      </c>
      <c r="E15" s="8" t="s">
        <v>18</v>
      </c>
      <c r="F15" s="8" t="s">
        <v>8</v>
      </c>
    </row>
    <row r="16" spans="1:6">
      <c r="A16" s="28" t="s">
        <v>19</v>
      </c>
      <c r="B16" s="29">
        <v>0.2031</v>
      </c>
      <c r="C16" s="29">
        <v>0.17799999999999999</v>
      </c>
      <c r="D16" s="29">
        <f t="shared" ref="D16:D27" si="3">C16-B16</f>
        <v>-2.5100000000000011E-2</v>
      </c>
      <c r="E16" s="30" t="str">
        <f>IF(D16&gt;0,"▲ 증가","▼ 감소")</f>
        <v>▼ 감소</v>
      </c>
      <c r="F16" s="31" t="s">
        <v>20</v>
      </c>
    </row>
    <row r="17" spans="1:6">
      <c r="A17" s="32" t="s">
        <v>21</v>
      </c>
      <c r="B17" s="33">
        <v>5.2499999999999998E-2</v>
      </c>
      <c r="C17" s="33">
        <v>5.11E-2</v>
      </c>
      <c r="D17" s="33">
        <f t="shared" si="3"/>
        <v>-1.3999999999999985E-3</v>
      </c>
      <c r="E17" s="34" t="str">
        <f>IF(D17&gt;0,"▲ 증가","▼ 감소")</f>
        <v>▼ 감소</v>
      </c>
      <c r="F17" s="31" t="s">
        <v>20</v>
      </c>
    </row>
    <row r="18" spans="1:6">
      <c r="A18" s="28" t="s">
        <v>22</v>
      </c>
      <c r="B18" s="29">
        <v>3.44E-2</v>
      </c>
      <c r="C18" s="29">
        <v>3.9300000000000002E-2</v>
      </c>
      <c r="D18" s="29">
        <f t="shared" si="3"/>
        <v>4.9000000000000016E-3</v>
      </c>
      <c r="E18" s="30" t="str">
        <f>IF(D18&gt;0,"▲ 증가","▼ 감소")</f>
        <v>▲ 증가</v>
      </c>
      <c r="F18" s="35" t="s">
        <v>23</v>
      </c>
    </row>
    <row r="19" spans="1:6">
      <c r="A19" s="36" t="s">
        <v>24</v>
      </c>
      <c r="B19" s="33">
        <v>0.11210000000000001</v>
      </c>
      <c r="C19" s="33">
        <v>0.1341</v>
      </c>
      <c r="D19" s="33">
        <f t="shared" si="3"/>
        <v>2.1999999999999992E-2</v>
      </c>
      <c r="E19" s="34" t="str">
        <f>IF(D19&gt;0,"▲ 증가","▼ 감소")</f>
        <v>▲ 증가</v>
      </c>
      <c r="F19" s="35" t="s">
        <v>23</v>
      </c>
    </row>
    <row r="20" spans="1:6">
      <c r="A20" s="28" t="s">
        <v>25</v>
      </c>
      <c r="B20" s="37">
        <v>2.8</v>
      </c>
      <c r="C20" s="37">
        <v>2.35</v>
      </c>
      <c r="D20" s="37">
        <f t="shared" si="3"/>
        <v>-0.44999999999999973</v>
      </c>
      <c r="E20" s="30" t="str">
        <f>IF(D20&lt;0,"▼ 감소","▲ 증가")</f>
        <v>▼ 감소</v>
      </c>
      <c r="F20" s="35" t="s">
        <v>23</v>
      </c>
    </row>
    <row r="21" spans="1:6">
      <c r="A21" s="32" t="s">
        <v>26</v>
      </c>
      <c r="B21" s="38">
        <v>0.91</v>
      </c>
      <c r="C21" s="38">
        <v>0.84</v>
      </c>
      <c r="D21" s="38">
        <f t="shared" si="3"/>
        <v>-7.0000000000000062E-2</v>
      </c>
      <c r="E21" s="34" t="str">
        <f>IF(D21&gt;0,"▲ 증가","▼ 감소")</f>
        <v>▼ 감소</v>
      </c>
      <c r="F21" s="31" t="s">
        <v>20</v>
      </c>
    </row>
    <row r="22" spans="1:6">
      <c r="A22" s="39" t="s">
        <v>27</v>
      </c>
      <c r="B22" s="29">
        <v>0.16109999999999999</v>
      </c>
      <c r="C22" s="29">
        <v>0.16980000000000001</v>
      </c>
      <c r="D22" s="29">
        <f t="shared" si="3"/>
        <v>8.7000000000000133E-3</v>
      </c>
      <c r="E22" s="30" t="str">
        <f>IF(D22&gt;0,"▲ 증가","▼ 감소")</f>
        <v>▲ 증가</v>
      </c>
      <c r="F22" s="35" t="s">
        <v>23</v>
      </c>
    </row>
    <row r="23" spans="1:6">
      <c r="A23" s="36" t="s">
        <v>28</v>
      </c>
      <c r="B23" s="33">
        <v>4.24E-2</v>
      </c>
      <c r="C23" s="33">
        <v>5.0599999999999999E-2</v>
      </c>
      <c r="D23" s="33">
        <f t="shared" si="3"/>
        <v>8.199999999999999E-3</v>
      </c>
      <c r="E23" s="34" t="str">
        <f>IF(D23&gt;0,"▲ 증가","▼ 감소")</f>
        <v>▲ 증가</v>
      </c>
      <c r="F23" s="35" t="s">
        <v>23</v>
      </c>
    </row>
    <row r="24" spans="1:6">
      <c r="A24" s="28" t="s">
        <v>29</v>
      </c>
      <c r="B24" s="29">
        <v>0.15049999999999999</v>
      </c>
      <c r="C24" s="29">
        <v>0.1268</v>
      </c>
      <c r="D24" s="29">
        <f t="shared" si="3"/>
        <v>-2.3699999999999999E-2</v>
      </c>
      <c r="E24" s="30" t="str">
        <f>IF(D24&gt;0,"▲ 증가","▼ 감소")</f>
        <v>▼ 감소</v>
      </c>
      <c r="F24" s="35" t="s">
        <v>23</v>
      </c>
    </row>
    <row r="25" spans="1:6">
      <c r="A25" s="32" t="s">
        <v>30</v>
      </c>
      <c r="B25" s="40">
        <v>89.4</v>
      </c>
      <c r="C25" s="40">
        <v>89.3</v>
      </c>
      <c r="D25" s="40">
        <f t="shared" si="3"/>
        <v>-0.10000000000000853</v>
      </c>
      <c r="E25" s="34" t="str">
        <f>IF(D25&lt;0,"▼ 단축","▲ 증가")</f>
        <v>▼ 단축</v>
      </c>
      <c r="F25" s="35" t="s">
        <v>23</v>
      </c>
    </row>
    <row r="26" spans="1:6">
      <c r="A26" s="28" t="s">
        <v>31</v>
      </c>
      <c r="B26" s="41">
        <v>78.599999999999994</v>
      </c>
      <c r="C26" s="41">
        <v>32.9</v>
      </c>
      <c r="D26" s="41">
        <f t="shared" si="3"/>
        <v>-45.699999999999996</v>
      </c>
      <c r="E26" s="30" t="str">
        <f>IF(D26&lt;0,"▼ 단축","▲ 증가")</f>
        <v>▼ 단축</v>
      </c>
      <c r="F26" s="35" t="s">
        <v>23</v>
      </c>
    </row>
    <row r="27" spans="1:6">
      <c r="A27" s="32" t="s">
        <v>32</v>
      </c>
      <c r="B27" s="40">
        <v>131.6</v>
      </c>
      <c r="C27" s="40">
        <v>101.5</v>
      </c>
      <c r="D27" s="40">
        <f t="shared" si="3"/>
        <v>-30.099999999999994</v>
      </c>
      <c r="E27" s="34" t="str">
        <f>IF(D27&lt;0,"▼ 단축","▲ 증가")</f>
        <v>▼ 단축</v>
      </c>
      <c r="F27" s="42" t="s">
        <v>33</v>
      </c>
    </row>
  </sheetData>
  <mergeCells count="4">
    <mergeCell ref="A1:F1"/>
    <mergeCell ref="A2:F2"/>
    <mergeCell ref="A3:F3"/>
    <mergeCell ref="A14:F14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31"/>
  <sheetViews>
    <sheetView zoomScaleNormal="100" workbookViewId="0">
      <selection activeCell="D30" sqref="D30"/>
    </sheetView>
  </sheetViews>
  <sheetFormatPr defaultColWidth="8.7109375" defaultRowHeight="15" customHeight="1"/>
  <cols>
    <col min="1" max="1" width="6" customWidth="1"/>
    <col min="2" max="2" width="42" customWidth="1"/>
    <col min="3" max="5" width="16" customWidth="1"/>
    <col min="6" max="6" width="12" customWidth="1"/>
  </cols>
  <sheetData>
    <row r="1" spans="1:6" ht="30" customHeight="1">
      <c r="A1" s="3" t="s">
        <v>34</v>
      </c>
      <c r="B1" s="3"/>
      <c r="C1" s="3"/>
      <c r="D1" s="3"/>
      <c r="E1" s="3"/>
      <c r="F1" s="3"/>
    </row>
    <row r="3" spans="1:6">
      <c r="A3" s="8" t="s">
        <v>35</v>
      </c>
      <c r="B3" s="8" t="s">
        <v>36</v>
      </c>
      <c r="C3" s="9" t="s">
        <v>4</v>
      </c>
      <c r="D3" s="9" t="s">
        <v>5</v>
      </c>
      <c r="E3" s="8" t="s">
        <v>6</v>
      </c>
      <c r="F3" s="8" t="s">
        <v>7</v>
      </c>
    </row>
    <row r="4" spans="1:6">
      <c r="A4" s="43"/>
      <c r="B4" s="44" t="s">
        <v>37</v>
      </c>
      <c r="C4" s="45">
        <v>45961674</v>
      </c>
      <c r="D4" s="45">
        <v>46028305</v>
      </c>
      <c r="E4" s="45">
        <f t="shared" ref="E4:E31" si="0">D4-C4</f>
        <v>66631</v>
      </c>
      <c r="F4" s="46">
        <f t="shared" ref="F4:F31" si="1">IF(C4=0,0,E4/ABS(C4))</f>
        <v>1.4497078587694609E-3</v>
      </c>
    </row>
    <row r="5" spans="1:6">
      <c r="A5" s="47" t="s">
        <v>38</v>
      </c>
      <c r="B5" s="48" t="s">
        <v>39</v>
      </c>
      <c r="C5" s="15">
        <v>44150003</v>
      </c>
      <c r="D5" s="15">
        <v>43107724</v>
      </c>
      <c r="E5" s="15">
        <f t="shared" si="0"/>
        <v>-1042279</v>
      </c>
      <c r="F5" s="16">
        <f t="shared" si="1"/>
        <v>-2.3607676765050278E-2</v>
      </c>
    </row>
    <row r="6" spans="1:6">
      <c r="A6" s="49" t="s">
        <v>40</v>
      </c>
      <c r="B6" s="50" t="s">
        <v>41</v>
      </c>
      <c r="C6" s="11">
        <v>702272</v>
      </c>
      <c r="D6" s="11">
        <v>1189887</v>
      </c>
      <c r="E6" s="11">
        <f t="shared" si="0"/>
        <v>487615</v>
      </c>
      <c r="F6" s="12">
        <f t="shared" si="1"/>
        <v>0.69433923038366896</v>
      </c>
    </row>
    <row r="7" spans="1:6">
      <c r="A7" s="47" t="s">
        <v>42</v>
      </c>
      <c r="B7" s="48" t="s">
        <v>43</v>
      </c>
      <c r="C7" s="15">
        <v>1109399</v>
      </c>
      <c r="D7" s="15">
        <v>1730694</v>
      </c>
      <c r="E7" s="15">
        <f t="shared" si="0"/>
        <v>621295</v>
      </c>
      <c r="F7" s="16">
        <f t="shared" si="1"/>
        <v>0.56002844783526939</v>
      </c>
    </row>
    <row r="8" spans="1:6">
      <c r="A8" s="43"/>
      <c r="B8" s="44" t="s">
        <v>44</v>
      </c>
      <c r="C8" s="45">
        <v>36627960</v>
      </c>
      <c r="D8" s="45">
        <v>37836356</v>
      </c>
      <c r="E8" s="45">
        <f t="shared" si="0"/>
        <v>1208396</v>
      </c>
      <c r="F8" s="46">
        <f t="shared" si="1"/>
        <v>3.2991081130371441E-2</v>
      </c>
    </row>
    <row r="9" spans="1:6">
      <c r="A9" s="47" t="s">
        <v>45</v>
      </c>
      <c r="B9" s="48" t="s">
        <v>46</v>
      </c>
      <c r="C9" s="15">
        <v>37582399</v>
      </c>
      <c r="D9" s="15">
        <v>36282494</v>
      </c>
      <c r="E9" s="15">
        <f t="shared" si="0"/>
        <v>-1299905</v>
      </c>
      <c r="F9" s="16">
        <f t="shared" si="1"/>
        <v>-3.4588132598986028E-2</v>
      </c>
    </row>
    <row r="10" spans="1:6">
      <c r="A10" s="49" t="s">
        <v>47</v>
      </c>
      <c r="B10" s="50" t="s">
        <v>48</v>
      </c>
      <c r="C10" s="11">
        <v>33364831</v>
      </c>
      <c r="D10" s="11">
        <v>29069748</v>
      </c>
      <c r="E10" s="11">
        <f t="shared" si="0"/>
        <v>-4295083</v>
      </c>
      <c r="F10" s="12">
        <f t="shared" si="1"/>
        <v>-0.12873084835945969</v>
      </c>
    </row>
    <row r="11" spans="1:6">
      <c r="A11" s="47" t="s">
        <v>49</v>
      </c>
      <c r="B11" s="48" t="s">
        <v>50</v>
      </c>
      <c r="C11" s="15">
        <v>34364996</v>
      </c>
      <c r="D11" s="15">
        <v>27355223</v>
      </c>
      <c r="E11" s="15">
        <f t="shared" si="0"/>
        <v>-7009773</v>
      </c>
      <c r="F11" s="16">
        <f t="shared" si="1"/>
        <v>-0.20398003247257762</v>
      </c>
    </row>
    <row r="12" spans="1:6">
      <c r="A12" s="43"/>
      <c r="B12" s="44" t="s">
        <v>11</v>
      </c>
      <c r="C12" s="45">
        <v>9333714</v>
      </c>
      <c r="D12" s="45">
        <v>8191950</v>
      </c>
      <c r="E12" s="45">
        <f t="shared" si="0"/>
        <v>-1141764</v>
      </c>
      <c r="F12" s="46">
        <f t="shared" si="1"/>
        <v>-0.1223268679541713</v>
      </c>
    </row>
    <row r="13" spans="1:6">
      <c r="A13" s="43"/>
      <c r="B13" s="44" t="s">
        <v>51</v>
      </c>
      <c r="C13" s="45">
        <v>6919229</v>
      </c>
      <c r="D13" s="45">
        <v>5838458</v>
      </c>
      <c r="E13" s="45">
        <f t="shared" si="0"/>
        <v>-1080771</v>
      </c>
      <c r="F13" s="46">
        <f t="shared" si="1"/>
        <v>-0.15619818335250937</v>
      </c>
    </row>
    <row r="14" spans="1:6">
      <c r="A14" s="49" t="s">
        <v>52</v>
      </c>
      <c r="B14" s="50" t="s">
        <v>53</v>
      </c>
      <c r="C14" s="11">
        <v>1391836</v>
      </c>
      <c r="D14" s="11">
        <v>1875582</v>
      </c>
      <c r="E14" s="11">
        <f t="shared" si="0"/>
        <v>483746</v>
      </c>
      <c r="F14" s="12">
        <f t="shared" si="1"/>
        <v>0.34755962627780862</v>
      </c>
    </row>
    <row r="15" spans="1:6">
      <c r="A15" s="47" t="s">
        <v>54</v>
      </c>
      <c r="B15" s="48" t="s">
        <v>55</v>
      </c>
      <c r="C15" s="15">
        <v>1639046</v>
      </c>
      <c r="D15" s="15">
        <v>991557</v>
      </c>
      <c r="E15" s="15">
        <f t="shared" si="0"/>
        <v>-647489</v>
      </c>
      <c r="F15" s="16">
        <f t="shared" si="1"/>
        <v>-0.39504016360736671</v>
      </c>
    </row>
    <row r="16" spans="1:6">
      <c r="A16" s="49" t="s">
        <v>56</v>
      </c>
      <c r="B16" s="50" t="s">
        <v>57</v>
      </c>
      <c r="C16" s="11">
        <v>818022</v>
      </c>
      <c r="D16" s="11">
        <v>628138</v>
      </c>
      <c r="E16" s="11">
        <f t="shared" si="0"/>
        <v>-189884</v>
      </c>
      <c r="F16" s="12">
        <f t="shared" si="1"/>
        <v>-0.23212578634804443</v>
      </c>
    </row>
    <row r="17" spans="1:6">
      <c r="A17" s="47" t="s">
        <v>58</v>
      </c>
      <c r="B17" s="48" t="s">
        <v>59</v>
      </c>
      <c r="C17" s="15">
        <v>751236</v>
      </c>
      <c r="D17" s="15">
        <v>556000</v>
      </c>
      <c r="E17" s="15">
        <f t="shared" si="0"/>
        <v>-195236</v>
      </c>
      <c r="F17" s="16">
        <f t="shared" si="1"/>
        <v>-0.25988637392244246</v>
      </c>
    </row>
    <row r="18" spans="1:6">
      <c r="A18" s="49" t="s">
        <v>60</v>
      </c>
      <c r="B18" s="50" t="s">
        <v>61</v>
      </c>
      <c r="C18" s="11">
        <v>495852</v>
      </c>
      <c r="D18" s="11">
        <v>555502</v>
      </c>
      <c r="E18" s="11">
        <f t="shared" si="0"/>
        <v>59650</v>
      </c>
      <c r="F18" s="12">
        <f t="shared" si="1"/>
        <v>0.12029799214281681</v>
      </c>
    </row>
    <row r="19" spans="1:6">
      <c r="A19" s="47" t="s">
        <v>62</v>
      </c>
      <c r="B19" s="48" t="s">
        <v>63</v>
      </c>
      <c r="C19" s="15">
        <v>68729</v>
      </c>
      <c r="D19" s="15">
        <v>126065</v>
      </c>
      <c r="E19" s="15">
        <f t="shared" si="0"/>
        <v>57336</v>
      </c>
      <c r="F19" s="16">
        <f t="shared" si="1"/>
        <v>0.83423300208063556</v>
      </c>
    </row>
    <row r="20" spans="1:6">
      <c r="A20" s="49"/>
      <c r="B20" s="50" t="s">
        <v>64</v>
      </c>
      <c r="C20" s="11">
        <v>754508</v>
      </c>
      <c r="D20" s="11">
        <v>1105614</v>
      </c>
      <c r="E20" s="11">
        <f t="shared" si="0"/>
        <v>351106</v>
      </c>
      <c r="F20" s="12">
        <f t="shared" si="1"/>
        <v>0.46534430383773268</v>
      </c>
    </row>
    <row r="21" spans="1:6">
      <c r="A21" s="43"/>
      <c r="B21" s="44" t="s">
        <v>13</v>
      </c>
      <c r="C21" s="45">
        <v>2414485</v>
      </c>
      <c r="D21" s="45">
        <v>2353492</v>
      </c>
      <c r="E21" s="45">
        <f t="shared" si="0"/>
        <v>-60993</v>
      </c>
      <c r="F21" s="46">
        <f t="shared" si="1"/>
        <v>-2.5261287603774718E-2</v>
      </c>
    </row>
    <row r="22" spans="1:6">
      <c r="A22" s="43"/>
      <c r="B22" s="44" t="s">
        <v>65</v>
      </c>
      <c r="C22" s="45">
        <v>3515915</v>
      </c>
      <c r="D22" s="45">
        <v>716631</v>
      </c>
      <c r="E22" s="45">
        <f t="shared" si="0"/>
        <v>-2799284</v>
      </c>
      <c r="F22" s="46">
        <f t="shared" si="1"/>
        <v>-0.79617510662231594</v>
      </c>
    </row>
    <row r="23" spans="1:6">
      <c r="A23" s="47" t="s">
        <v>66</v>
      </c>
      <c r="B23" s="48" t="s">
        <v>67</v>
      </c>
      <c r="C23" s="15">
        <v>589851</v>
      </c>
      <c r="D23" s="15">
        <v>609829</v>
      </c>
      <c r="E23" s="15">
        <f t="shared" si="0"/>
        <v>19978</v>
      </c>
      <c r="F23" s="16">
        <f t="shared" si="1"/>
        <v>3.386957045084267E-2</v>
      </c>
    </row>
    <row r="24" spans="1:6">
      <c r="A24" s="49" t="s">
        <v>68</v>
      </c>
      <c r="B24" s="50" t="s">
        <v>69</v>
      </c>
      <c r="C24" s="11">
        <v>2805074</v>
      </c>
      <c r="D24" s="11">
        <v>22362</v>
      </c>
      <c r="E24" s="11">
        <f t="shared" si="0"/>
        <v>-2782712</v>
      </c>
      <c r="F24" s="12">
        <f t="shared" si="1"/>
        <v>-0.99202801779917393</v>
      </c>
    </row>
    <row r="25" spans="1:6">
      <c r="A25" s="47" t="s">
        <v>70</v>
      </c>
      <c r="B25" s="48" t="s">
        <v>71</v>
      </c>
      <c r="C25" s="15">
        <v>119357</v>
      </c>
      <c r="D25" s="15">
        <v>68211</v>
      </c>
      <c r="E25" s="15">
        <f t="shared" si="0"/>
        <v>-51146</v>
      </c>
      <c r="F25" s="16">
        <f t="shared" si="1"/>
        <v>-0.42851278098477674</v>
      </c>
    </row>
    <row r="26" spans="1:6">
      <c r="A26" s="43"/>
      <c r="B26" s="44" t="s">
        <v>72</v>
      </c>
      <c r="C26" s="45">
        <v>4350164</v>
      </c>
      <c r="D26" s="45">
        <v>1262278</v>
      </c>
      <c r="E26" s="45">
        <f t="shared" si="0"/>
        <v>-3087886</v>
      </c>
      <c r="F26" s="46">
        <f t="shared" si="1"/>
        <v>-0.70983208908905504</v>
      </c>
    </row>
    <row r="27" spans="1:6">
      <c r="A27" s="47" t="s">
        <v>73</v>
      </c>
      <c r="B27" s="48" t="s">
        <v>74</v>
      </c>
      <c r="C27" s="15">
        <v>714824</v>
      </c>
      <c r="D27" s="15">
        <v>779577</v>
      </c>
      <c r="E27" s="15">
        <f t="shared" si="0"/>
        <v>64753</v>
      </c>
      <c r="F27" s="16">
        <f t="shared" si="1"/>
        <v>9.0585934439806157E-2</v>
      </c>
    </row>
    <row r="28" spans="1:6">
      <c r="A28" s="49" t="s">
        <v>75</v>
      </c>
      <c r="B28" s="50" t="s">
        <v>76</v>
      </c>
      <c r="C28" s="11">
        <v>685398</v>
      </c>
      <c r="D28" s="11">
        <v>454388</v>
      </c>
      <c r="E28" s="11">
        <f t="shared" si="0"/>
        <v>-231010</v>
      </c>
      <c r="F28" s="12">
        <f t="shared" si="1"/>
        <v>-0.33704504536050589</v>
      </c>
    </row>
    <row r="29" spans="1:6">
      <c r="A29" s="47" t="s">
        <v>77</v>
      </c>
      <c r="B29" s="48" t="s">
        <v>78</v>
      </c>
      <c r="C29" s="15">
        <v>2791393</v>
      </c>
      <c r="D29" s="15">
        <v>0</v>
      </c>
      <c r="E29" s="15">
        <f t="shared" si="0"/>
        <v>-2791393</v>
      </c>
      <c r="F29" s="16">
        <f t="shared" si="1"/>
        <v>-1</v>
      </c>
    </row>
    <row r="30" spans="1:6">
      <c r="A30" s="43"/>
      <c r="B30" s="44" t="s">
        <v>14</v>
      </c>
      <c r="C30" s="45">
        <v>1580236</v>
      </c>
      <c r="D30" s="45">
        <v>1807845</v>
      </c>
      <c r="E30" s="45">
        <f t="shared" si="0"/>
        <v>227609</v>
      </c>
      <c r="F30" s="46">
        <f t="shared" si="1"/>
        <v>0.14403481505294147</v>
      </c>
    </row>
    <row r="31" spans="1:6">
      <c r="A31" s="43"/>
      <c r="B31" s="51" t="s">
        <v>15</v>
      </c>
      <c r="C31" s="45">
        <v>5151343</v>
      </c>
      <c r="D31" s="45">
        <v>6173276</v>
      </c>
      <c r="E31" s="45">
        <f t="shared" si="0"/>
        <v>1021933</v>
      </c>
      <c r="F31" s="46">
        <f t="shared" si="1"/>
        <v>0.1983818588667072</v>
      </c>
    </row>
  </sheetData>
  <mergeCells count="1">
    <mergeCell ref="A1:F1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8B57"/>
  </sheetPr>
  <dimension ref="A1:F40"/>
  <sheetViews>
    <sheetView topLeftCell="A12" zoomScaleNormal="100" workbookViewId="0">
      <selection activeCell="E38" sqref="E38:E39"/>
    </sheetView>
  </sheetViews>
  <sheetFormatPr defaultColWidth="8.7109375" defaultRowHeight="15" customHeight="1"/>
  <cols>
    <col min="1" max="1" width="6" customWidth="1"/>
    <col min="2" max="2" width="42" customWidth="1"/>
    <col min="3" max="5" width="16" customWidth="1"/>
    <col min="6" max="6" width="12" customWidth="1"/>
  </cols>
  <sheetData>
    <row r="1" spans="1:6" ht="30" customHeight="1">
      <c r="A1" s="3" t="s">
        <v>79</v>
      </c>
      <c r="B1" s="3"/>
      <c r="C1" s="3"/>
      <c r="D1" s="3"/>
      <c r="E1" s="3"/>
      <c r="F1" s="3"/>
    </row>
    <row r="3" spans="1:6">
      <c r="A3" s="8" t="s">
        <v>35</v>
      </c>
      <c r="B3" s="8" t="s">
        <v>36</v>
      </c>
      <c r="C3" s="9" t="s">
        <v>4</v>
      </c>
      <c r="D3" s="9" t="s">
        <v>5</v>
      </c>
      <c r="E3" s="8" t="s">
        <v>6</v>
      </c>
      <c r="F3" s="8" t="s">
        <v>7</v>
      </c>
    </row>
    <row r="4" spans="1:6">
      <c r="A4" s="43"/>
      <c r="B4" s="44" t="s">
        <v>80</v>
      </c>
      <c r="C4" s="45"/>
      <c r="D4" s="45"/>
      <c r="E4" s="45"/>
      <c r="F4" s="46"/>
    </row>
    <row r="5" spans="1:6">
      <c r="A5" s="47"/>
      <c r="B5" s="48" t="s">
        <v>81</v>
      </c>
      <c r="C5" s="15">
        <v>912517</v>
      </c>
      <c r="D5" s="15">
        <v>2793726</v>
      </c>
      <c r="E5" s="15">
        <f t="shared" ref="E5:E24" si="0">D5-C5</f>
        <v>1881209</v>
      </c>
      <c r="F5" s="16">
        <f t="shared" ref="F5:F24" si="1">IF(C5=0,0,E5/ABS(C5))</f>
        <v>2.0615604969551251</v>
      </c>
    </row>
    <row r="6" spans="1:6">
      <c r="A6" s="49"/>
      <c r="B6" s="50" t="s">
        <v>82</v>
      </c>
      <c r="C6" s="11">
        <v>7883550</v>
      </c>
      <c r="D6" s="11">
        <v>3406772</v>
      </c>
      <c r="E6" s="11">
        <f t="shared" si="0"/>
        <v>-4476778</v>
      </c>
      <c r="F6" s="12">
        <f t="shared" si="1"/>
        <v>-0.56786320883358388</v>
      </c>
    </row>
    <row r="7" spans="1:6">
      <c r="A7" s="47"/>
      <c r="B7" s="48" t="s">
        <v>83</v>
      </c>
      <c r="C7" s="15">
        <v>1778974</v>
      </c>
      <c r="D7" s="15">
        <v>891025</v>
      </c>
      <c r="E7" s="15">
        <f t="shared" si="0"/>
        <v>-887949</v>
      </c>
      <c r="F7" s="16">
        <f t="shared" si="1"/>
        <v>-0.49913545672955312</v>
      </c>
    </row>
    <row r="8" spans="1:6">
      <c r="A8" s="49"/>
      <c r="B8" s="50" t="s">
        <v>84</v>
      </c>
      <c r="C8" s="11">
        <v>1079800</v>
      </c>
      <c r="D8" s="11">
        <v>840251</v>
      </c>
      <c r="E8" s="11">
        <f t="shared" si="0"/>
        <v>-239549</v>
      </c>
      <c r="F8" s="12">
        <f t="shared" si="1"/>
        <v>-0.22184571216892018</v>
      </c>
    </row>
    <row r="9" spans="1:6">
      <c r="A9" s="47"/>
      <c r="B9" s="48" t="s">
        <v>85</v>
      </c>
      <c r="C9" s="15">
        <v>1233105</v>
      </c>
      <c r="D9" s="15">
        <v>416132</v>
      </c>
      <c r="E9" s="60">
        <f t="shared" si="0"/>
        <v>-816973</v>
      </c>
      <c r="F9" s="16">
        <f t="shared" si="1"/>
        <v>-0.66253319871381589</v>
      </c>
    </row>
    <row r="10" spans="1:6">
      <c r="A10" s="49"/>
      <c r="B10" s="50" t="s">
        <v>86</v>
      </c>
      <c r="C10" s="11">
        <v>3394255</v>
      </c>
      <c r="D10" s="11">
        <v>1614178</v>
      </c>
      <c r="E10" s="61">
        <f t="shared" si="0"/>
        <v>-1780077</v>
      </c>
      <c r="F10" s="12">
        <f t="shared" si="1"/>
        <v>-0.52443820514369133</v>
      </c>
    </row>
    <row r="11" spans="1:6">
      <c r="A11" s="47"/>
      <c r="B11" s="48" t="s">
        <v>87</v>
      </c>
      <c r="C11" s="15">
        <v>652754</v>
      </c>
      <c r="D11" s="15">
        <v>192399</v>
      </c>
      <c r="E11" s="60">
        <f t="shared" si="0"/>
        <v>-460355</v>
      </c>
      <c r="F11" s="16">
        <f t="shared" si="1"/>
        <v>-0.70525036997092316</v>
      </c>
    </row>
    <row r="12" spans="1:6">
      <c r="A12" s="49"/>
      <c r="B12" s="50" t="s">
        <v>88</v>
      </c>
      <c r="C12" s="11">
        <v>-255338</v>
      </c>
      <c r="D12" s="11">
        <v>-693086</v>
      </c>
      <c r="E12" s="11">
        <f t="shared" si="0"/>
        <v>-437748</v>
      </c>
      <c r="F12" s="12">
        <f t="shared" si="1"/>
        <v>-1.7143864211359061</v>
      </c>
    </row>
    <row r="13" spans="1:6">
      <c r="A13" s="47"/>
      <c r="B13" s="48" t="s">
        <v>89</v>
      </c>
      <c r="C13" s="15">
        <v>11262722</v>
      </c>
      <c r="D13" s="15">
        <v>11258263</v>
      </c>
      <c r="E13" s="15">
        <f t="shared" si="0"/>
        <v>-4459</v>
      </c>
      <c r="F13" s="16">
        <f t="shared" si="1"/>
        <v>-3.9590784536810904E-4</v>
      </c>
    </row>
    <row r="14" spans="1:6">
      <c r="A14" s="49"/>
      <c r="B14" s="50" t="s">
        <v>90</v>
      </c>
      <c r="C14" s="11">
        <v>733092</v>
      </c>
      <c r="D14" s="11">
        <v>126393</v>
      </c>
      <c r="E14" s="11">
        <f t="shared" si="0"/>
        <v>-606699</v>
      </c>
      <c r="F14" s="12">
        <f t="shared" si="1"/>
        <v>-0.82758917025421097</v>
      </c>
    </row>
    <row r="15" spans="1:6">
      <c r="A15" s="47"/>
      <c r="B15" s="48" t="s">
        <v>91</v>
      </c>
      <c r="C15" s="15">
        <v>772381</v>
      </c>
      <c r="D15" s="15">
        <v>223603</v>
      </c>
      <c r="E15" s="15">
        <f t="shared" si="0"/>
        <v>-548778</v>
      </c>
      <c r="F15" s="16">
        <f t="shared" si="1"/>
        <v>-0.71050168245982226</v>
      </c>
    </row>
    <row r="16" spans="1:6">
      <c r="A16" s="49"/>
      <c r="B16" s="50" t="s">
        <v>92</v>
      </c>
      <c r="C16" s="11">
        <v>591384</v>
      </c>
      <c r="D16" s="11">
        <v>304563</v>
      </c>
      <c r="E16" s="11">
        <f t="shared" si="0"/>
        <v>-286821</v>
      </c>
      <c r="F16" s="12">
        <f t="shared" si="1"/>
        <v>-0.48499959417231442</v>
      </c>
    </row>
    <row r="17" spans="1:6">
      <c r="A17" s="47"/>
      <c r="B17" s="48" t="s">
        <v>93</v>
      </c>
      <c r="C17" s="15">
        <v>292933</v>
      </c>
      <c r="D17" s="15">
        <v>597569</v>
      </c>
      <c r="E17" s="60">
        <f t="shared" si="0"/>
        <v>304636</v>
      </c>
      <c r="F17" s="16">
        <f t="shared" si="1"/>
        <v>1.0399511151014054</v>
      </c>
    </row>
    <row r="18" spans="1:6">
      <c r="A18" s="43"/>
      <c r="B18" s="44" t="s">
        <v>94</v>
      </c>
      <c r="C18" s="45">
        <v>11622344</v>
      </c>
      <c r="D18" s="45">
        <v>13216732</v>
      </c>
      <c r="E18" s="45">
        <f t="shared" si="0"/>
        <v>1594388</v>
      </c>
      <c r="F18" s="46">
        <f t="shared" si="1"/>
        <v>0.13718299854143021</v>
      </c>
    </row>
    <row r="19" spans="1:6">
      <c r="A19" s="47"/>
      <c r="B19" s="48" t="s">
        <v>95</v>
      </c>
      <c r="C19" s="15">
        <v>4083125</v>
      </c>
      <c r="D19" s="15">
        <v>4834158</v>
      </c>
      <c r="E19" s="60">
        <f t="shared" si="0"/>
        <v>751033</v>
      </c>
      <c r="F19" s="16">
        <f t="shared" si="1"/>
        <v>0.18393583346089087</v>
      </c>
    </row>
    <row r="20" spans="1:6">
      <c r="A20" s="49"/>
      <c r="B20" s="50" t="s">
        <v>96</v>
      </c>
      <c r="C20" s="11">
        <v>4856646</v>
      </c>
      <c r="D20" s="11">
        <v>5252863</v>
      </c>
      <c r="E20" s="61">
        <f t="shared" si="0"/>
        <v>396217</v>
      </c>
      <c r="F20" s="12">
        <f t="shared" si="1"/>
        <v>8.1582433638358653E-2</v>
      </c>
    </row>
    <row r="21" spans="1:6">
      <c r="A21" s="47"/>
      <c r="B21" s="48" t="s">
        <v>97</v>
      </c>
      <c r="C21" s="15">
        <v>2586998</v>
      </c>
      <c r="D21" s="15">
        <v>3042226</v>
      </c>
      <c r="E21" s="60">
        <f t="shared" si="0"/>
        <v>455228</v>
      </c>
      <c r="F21" s="16">
        <f t="shared" si="1"/>
        <v>0.1759676659974225</v>
      </c>
    </row>
    <row r="22" spans="1:6">
      <c r="A22" s="49"/>
      <c r="B22" s="50" t="s">
        <v>98</v>
      </c>
      <c r="C22" s="11">
        <v>185289</v>
      </c>
      <c r="D22" s="11">
        <v>424457</v>
      </c>
      <c r="E22" s="11">
        <f t="shared" si="0"/>
        <v>239168</v>
      </c>
      <c r="F22" s="12">
        <f t="shared" si="1"/>
        <v>1.290783586721284</v>
      </c>
    </row>
    <row r="23" spans="1:6">
      <c r="A23" s="47"/>
      <c r="B23" s="48" t="s">
        <v>99</v>
      </c>
      <c r="C23" s="15">
        <v>2991678</v>
      </c>
      <c r="D23" s="15">
        <v>3334921</v>
      </c>
      <c r="E23" s="15">
        <f t="shared" si="0"/>
        <v>343243</v>
      </c>
      <c r="F23" s="16">
        <f t="shared" si="1"/>
        <v>0.11473260157008876</v>
      </c>
    </row>
    <row r="24" spans="1:6">
      <c r="A24" s="43"/>
      <c r="B24" s="44" t="s">
        <v>100</v>
      </c>
      <c r="C24" s="45">
        <v>37290184</v>
      </c>
      <c r="D24" s="45">
        <v>35699810</v>
      </c>
      <c r="E24" s="45">
        <f t="shared" si="0"/>
        <v>-1590374</v>
      </c>
      <c r="F24" s="46">
        <f t="shared" si="1"/>
        <v>-4.2648596209662042E-2</v>
      </c>
    </row>
    <row r="25" spans="1:6">
      <c r="A25" s="47"/>
      <c r="B25" s="48"/>
      <c r="C25" s="15"/>
      <c r="D25" s="15"/>
      <c r="E25" s="15"/>
      <c r="F25" s="16"/>
    </row>
    <row r="26" spans="1:6">
      <c r="A26" s="43"/>
      <c r="B26" s="44" t="s">
        <v>101</v>
      </c>
      <c r="C26" s="45"/>
      <c r="D26" s="45"/>
      <c r="E26" s="45"/>
      <c r="F26" s="46"/>
    </row>
    <row r="27" spans="1:6">
      <c r="A27" s="47"/>
      <c r="B27" s="48" t="s">
        <v>102</v>
      </c>
      <c r="C27" s="15">
        <v>10575884</v>
      </c>
      <c r="D27" s="15">
        <v>10940096</v>
      </c>
      <c r="E27" s="15">
        <f t="shared" ref="E27:E34" si="2">D27-C27</f>
        <v>364212</v>
      </c>
      <c r="F27" s="16">
        <f t="shared" ref="F27:F34" si="3">IF(C27=0,0,E27/ABS(C27))</f>
        <v>3.4437972277305613E-2</v>
      </c>
    </row>
    <row r="28" spans="1:6">
      <c r="A28" s="49"/>
      <c r="B28" s="50" t="s">
        <v>103</v>
      </c>
      <c r="C28" s="11">
        <v>13206447</v>
      </c>
      <c r="D28" s="11">
        <v>10522926</v>
      </c>
      <c r="E28" s="61">
        <f t="shared" si="2"/>
        <v>-2683521</v>
      </c>
      <c r="F28" s="12">
        <f t="shared" si="3"/>
        <v>-0.20319780180089314</v>
      </c>
    </row>
    <row r="29" spans="1:6">
      <c r="A29" s="47"/>
      <c r="B29" s="48" t="s">
        <v>104</v>
      </c>
      <c r="C29" s="15">
        <v>846724</v>
      </c>
      <c r="D29" s="15">
        <v>917889</v>
      </c>
      <c r="E29" s="15">
        <f t="shared" si="2"/>
        <v>71165</v>
      </c>
      <c r="F29" s="16">
        <f t="shared" si="3"/>
        <v>8.4047458203617711E-2</v>
      </c>
    </row>
    <row r="30" spans="1:6">
      <c r="A30" s="43"/>
      <c r="B30" s="44" t="s">
        <v>105</v>
      </c>
      <c r="C30" s="45">
        <v>24629055</v>
      </c>
      <c r="D30" s="45">
        <v>22380911</v>
      </c>
      <c r="E30" s="45">
        <f t="shared" si="2"/>
        <v>-2248144</v>
      </c>
      <c r="F30" s="46">
        <f t="shared" si="3"/>
        <v>-9.1280156709220059E-2</v>
      </c>
    </row>
    <row r="31" spans="1:6">
      <c r="A31" s="47"/>
      <c r="B31" s="48" t="s">
        <v>106</v>
      </c>
      <c r="C31" s="15">
        <v>2524075</v>
      </c>
      <c r="D31" s="15">
        <v>2321055</v>
      </c>
      <c r="E31" s="15">
        <f t="shared" si="2"/>
        <v>-203020</v>
      </c>
      <c r="F31" s="16">
        <f t="shared" si="3"/>
        <v>-8.04334261065935E-2</v>
      </c>
    </row>
    <row r="32" spans="1:6">
      <c r="A32" s="49"/>
      <c r="B32" s="50" t="s">
        <v>107</v>
      </c>
      <c r="C32" s="11">
        <v>325612</v>
      </c>
      <c r="D32" s="11">
        <v>349834</v>
      </c>
      <c r="E32" s="11">
        <f t="shared" si="2"/>
        <v>24222</v>
      </c>
      <c r="F32" s="12">
        <f t="shared" si="3"/>
        <v>7.4389150277016813E-2</v>
      </c>
    </row>
    <row r="33" spans="1:6">
      <c r="A33" s="43"/>
      <c r="B33" s="44" t="s">
        <v>108</v>
      </c>
      <c r="C33" s="45">
        <v>2849687</v>
      </c>
      <c r="D33" s="45">
        <v>2670916</v>
      </c>
      <c r="E33" s="45">
        <f t="shared" si="2"/>
        <v>-178771</v>
      </c>
      <c r="F33" s="46">
        <f t="shared" si="3"/>
        <v>-6.2733556351978303E-2</v>
      </c>
    </row>
    <row r="34" spans="1:6">
      <c r="A34" s="43"/>
      <c r="B34" s="44" t="s">
        <v>109</v>
      </c>
      <c r="C34" s="45">
        <v>27478742</v>
      </c>
      <c r="D34" s="45">
        <v>25051826</v>
      </c>
      <c r="E34" s="45">
        <f t="shared" si="2"/>
        <v>-2426916</v>
      </c>
      <c r="F34" s="46">
        <f t="shared" si="3"/>
        <v>-8.8319763692238901E-2</v>
      </c>
    </row>
    <row r="35" spans="1:6">
      <c r="A35" s="47"/>
      <c r="B35" s="48"/>
      <c r="C35" s="15"/>
      <c r="D35" s="15"/>
      <c r="E35" s="15"/>
      <c r="F35" s="16"/>
    </row>
    <row r="36" spans="1:6">
      <c r="A36" s="43"/>
      <c r="B36" s="44" t="s">
        <v>110</v>
      </c>
      <c r="C36" s="45"/>
      <c r="D36" s="45"/>
      <c r="E36" s="45"/>
      <c r="F36" s="46"/>
    </row>
    <row r="37" spans="1:6">
      <c r="A37" s="47"/>
      <c r="B37" s="48" t="s">
        <v>111</v>
      </c>
      <c r="C37" s="15">
        <v>6467313</v>
      </c>
      <c r="D37" s="15">
        <v>6354383</v>
      </c>
      <c r="E37" s="15">
        <f>D37-C37</f>
        <v>-112930</v>
      </c>
      <c r="F37" s="16">
        <f>IF(C37=0,0,E37/ABS(C37))</f>
        <v>-1.7461656796261445E-2</v>
      </c>
    </row>
    <row r="38" spans="1:6">
      <c r="A38" s="49"/>
      <c r="B38" s="50" t="s">
        <v>112</v>
      </c>
      <c r="C38" s="11">
        <v>1783793</v>
      </c>
      <c r="D38" s="11">
        <v>2503835</v>
      </c>
      <c r="E38" s="61">
        <f>D38-C38</f>
        <v>720042</v>
      </c>
      <c r="F38" s="12">
        <f>IF(C38=0,0,E38/ABS(C38))</f>
        <v>0.40365782352548757</v>
      </c>
    </row>
    <row r="39" spans="1:6">
      <c r="A39" s="47"/>
      <c r="B39" s="48" t="s">
        <v>113</v>
      </c>
      <c r="C39" s="15">
        <v>1560337</v>
      </c>
      <c r="D39" s="15">
        <v>1789767</v>
      </c>
      <c r="E39" s="60">
        <f>D39-C39</f>
        <v>229430</v>
      </c>
      <c r="F39" s="16">
        <f>IF(C39=0,0,E39/ABS(C39))</f>
        <v>0.14703874868057348</v>
      </c>
    </row>
    <row r="40" spans="1:6">
      <c r="A40" s="43"/>
      <c r="B40" s="44" t="s">
        <v>114</v>
      </c>
      <c r="C40" s="45">
        <v>9811442</v>
      </c>
      <c r="D40" s="45">
        <v>10647984</v>
      </c>
      <c r="E40" s="45">
        <f>D40-C40</f>
        <v>836542</v>
      </c>
      <c r="F40" s="46">
        <f>IF(C40=0,0,E40/ABS(C40))</f>
        <v>8.5261880975293941E-2</v>
      </c>
    </row>
  </sheetData>
  <mergeCells count="1">
    <mergeCell ref="A1:F1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</sheetPr>
  <dimension ref="A1:B29"/>
  <sheetViews>
    <sheetView zoomScaleNormal="100" workbookViewId="0">
      <selection activeCell="B27" sqref="B27"/>
    </sheetView>
  </sheetViews>
  <sheetFormatPr defaultColWidth="8.7109375" defaultRowHeight="15" customHeight="1"/>
  <cols>
    <col min="1" max="1" width="25" customWidth="1"/>
    <col min="2" max="2" width="90" customWidth="1"/>
  </cols>
  <sheetData>
    <row r="1" spans="1:2" ht="34.5" customHeight="1">
      <c r="A1" s="2" t="s">
        <v>115</v>
      </c>
      <c r="B1" s="2"/>
    </row>
    <row r="3" spans="1:2">
      <c r="A3" s="1" t="s">
        <v>116</v>
      </c>
      <c r="B3" s="1"/>
    </row>
    <row r="4" spans="1:2" ht="45" customHeight="1">
      <c r="A4" s="52" t="s">
        <v>117</v>
      </c>
      <c r="B4" s="53" t="s">
        <v>118</v>
      </c>
    </row>
    <row r="5" spans="1:2" ht="45" customHeight="1">
      <c r="A5" s="52" t="s">
        <v>119</v>
      </c>
      <c r="B5" s="53" t="s">
        <v>120</v>
      </c>
    </row>
    <row r="6" spans="1:2" ht="45" customHeight="1">
      <c r="A6" s="54" t="s">
        <v>121</v>
      </c>
      <c r="B6" s="53" t="s">
        <v>122</v>
      </c>
    </row>
    <row r="8" spans="1:2">
      <c r="A8" s="1" t="s">
        <v>123</v>
      </c>
      <c r="B8" s="1"/>
    </row>
    <row r="9" spans="1:2" ht="45" customHeight="1">
      <c r="A9" s="52" t="s">
        <v>124</v>
      </c>
      <c r="B9" s="53" t="s">
        <v>125</v>
      </c>
    </row>
    <row r="10" spans="1:2" ht="45" customHeight="1">
      <c r="A10" s="52" t="s">
        <v>126</v>
      </c>
      <c r="B10" s="53" t="s">
        <v>127</v>
      </c>
    </row>
    <row r="11" spans="1:2" ht="45" customHeight="1">
      <c r="A11" s="52" t="s">
        <v>128</v>
      </c>
      <c r="B11" s="62" t="s">
        <v>129</v>
      </c>
    </row>
    <row r="13" spans="1:2">
      <c r="A13" s="1" t="s">
        <v>130</v>
      </c>
      <c r="B13" s="1"/>
    </row>
    <row r="14" spans="1:2" ht="45" customHeight="1">
      <c r="A14" s="52" t="s">
        <v>131</v>
      </c>
      <c r="B14" s="55" t="s">
        <v>132</v>
      </c>
    </row>
    <row r="15" spans="1:2" ht="45" customHeight="1">
      <c r="A15" s="52" t="s">
        <v>133</v>
      </c>
      <c r="B15" s="55" t="s">
        <v>134</v>
      </c>
    </row>
    <row r="16" spans="1:2" ht="45" customHeight="1">
      <c r="A16" s="52" t="s">
        <v>135</v>
      </c>
      <c r="B16" s="55" t="s">
        <v>136</v>
      </c>
    </row>
    <row r="18" spans="1:2">
      <c r="A18" s="1" t="s">
        <v>137</v>
      </c>
      <c r="B18" s="1"/>
    </row>
    <row r="19" spans="1:2" ht="45" customHeight="1">
      <c r="A19" s="52" t="s">
        <v>138</v>
      </c>
      <c r="B19" s="53" t="s">
        <v>139</v>
      </c>
    </row>
    <row r="20" spans="1:2" ht="45" customHeight="1">
      <c r="A20" s="52" t="s">
        <v>30</v>
      </c>
      <c r="B20" s="53" t="s">
        <v>140</v>
      </c>
    </row>
    <row r="21" spans="1:2" ht="45" customHeight="1">
      <c r="A21" s="52" t="s">
        <v>32</v>
      </c>
      <c r="B21" s="63" t="s">
        <v>141</v>
      </c>
    </row>
    <row r="23" spans="1:2">
      <c r="A23" s="1" t="s">
        <v>142</v>
      </c>
      <c r="B23" s="1"/>
    </row>
    <row r="24" spans="1:2" ht="45" customHeight="1">
      <c r="A24" s="52" t="s">
        <v>143</v>
      </c>
      <c r="B24" s="55" t="s">
        <v>144</v>
      </c>
    </row>
    <row r="25" spans="1:2" ht="45" customHeight="1">
      <c r="A25" s="52" t="s">
        <v>145</v>
      </c>
      <c r="B25" s="55" t="s">
        <v>146</v>
      </c>
    </row>
    <row r="26" spans="1:2" ht="45" customHeight="1">
      <c r="A26" s="52" t="s">
        <v>147</v>
      </c>
      <c r="B26" s="55" t="s">
        <v>148</v>
      </c>
    </row>
    <row r="27" spans="1:2" ht="45" customHeight="1">
      <c r="A27" s="52" t="s">
        <v>149</v>
      </c>
      <c r="B27" s="55" t="s">
        <v>150</v>
      </c>
    </row>
    <row r="28" spans="1:2" ht="45" customHeight="1">
      <c r="A28" s="52" t="s">
        <v>151</v>
      </c>
      <c r="B28" s="55" t="s">
        <v>152</v>
      </c>
    </row>
    <row r="29" spans="1:2" ht="45" customHeight="1">
      <c r="A29" s="52" t="s">
        <v>153</v>
      </c>
      <c r="B29" s="55" t="s">
        <v>154</v>
      </c>
    </row>
  </sheetData>
  <mergeCells count="6">
    <mergeCell ref="A23:B23"/>
    <mergeCell ref="A1:B1"/>
    <mergeCell ref="A3:B3"/>
    <mergeCell ref="A8:B8"/>
    <mergeCell ref="A13:B13"/>
    <mergeCell ref="A18:B18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66666"/>
  </sheetPr>
  <dimension ref="A1:C18"/>
  <sheetViews>
    <sheetView zoomScaleNormal="100" workbookViewId="0"/>
  </sheetViews>
  <sheetFormatPr defaultColWidth="8.7109375" defaultRowHeight="15" customHeight="1"/>
  <cols>
    <col min="1" max="1" width="12" customWidth="1"/>
    <col min="2" max="2" width="18" customWidth="1"/>
    <col min="3" max="3" width="20" customWidth="1"/>
  </cols>
  <sheetData>
    <row r="1" spans="1:3" ht="15" customHeight="1">
      <c r="A1" s="27" t="s">
        <v>155</v>
      </c>
    </row>
    <row r="3" spans="1:3" ht="15" customHeight="1">
      <c r="A3" s="8" t="s">
        <v>156</v>
      </c>
      <c r="B3" s="8" t="s">
        <v>157</v>
      </c>
      <c r="C3" s="8" t="s">
        <v>158</v>
      </c>
    </row>
    <row r="4" spans="1:3" ht="15" customHeight="1">
      <c r="A4" s="36" t="s">
        <v>159</v>
      </c>
      <c r="B4" s="56">
        <v>24000</v>
      </c>
      <c r="C4" s="57" t="s">
        <v>160</v>
      </c>
    </row>
    <row r="5" spans="1:3" ht="15" customHeight="1">
      <c r="A5" s="36" t="s">
        <v>161</v>
      </c>
      <c r="B5" s="56">
        <v>24000</v>
      </c>
      <c r="C5" s="57" t="s">
        <v>160</v>
      </c>
    </row>
    <row r="6" spans="1:3" ht="15" customHeight="1">
      <c r="A6" s="36" t="s">
        <v>162</v>
      </c>
      <c r="B6" s="56">
        <v>24500</v>
      </c>
      <c r="C6" s="57" t="s">
        <v>160</v>
      </c>
    </row>
    <row r="7" spans="1:3" ht="15" customHeight="1">
      <c r="A7" s="36" t="s">
        <v>163</v>
      </c>
      <c r="B7" s="56">
        <v>24500</v>
      </c>
      <c r="C7" s="57" t="s">
        <v>160</v>
      </c>
    </row>
    <row r="8" spans="1:3" ht="15" customHeight="1">
      <c r="A8" s="36" t="s">
        <v>164</v>
      </c>
      <c r="B8" s="56">
        <v>25000</v>
      </c>
      <c r="C8" s="57" t="s">
        <v>160</v>
      </c>
    </row>
    <row r="9" spans="1:3" ht="15" customHeight="1">
      <c r="A9" s="36" t="s">
        <v>165</v>
      </c>
      <c r="B9" s="56">
        <v>25000</v>
      </c>
      <c r="C9" s="57" t="s">
        <v>160</v>
      </c>
    </row>
    <row r="10" spans="1:3" ht="15" customHeight="1">
      <c r="A10" s="36" t="s">
        <v>166</v>
      </c>
      <c r="B10" s="56">
        <v>25000</v>
      </c>
      <c r="C10" s="57" t="s">
        <v>160</v>
      </c>
    </row>
    <row r="11" spans="1:3" ht="15" customHeight="1">
      <c r="A11" s="36" t="s">
        <v>167</v>
      </c>
      <c r="B11" s="56">
        <v>25000</v>
      </c>
      <c r="C11" s="57" t="s">
        <v>160</v>
      </c>
    </row>
    <row r="12" spans="1:3" ht="15" customHeight="1">
      <c r="A12" s="36" t="s">
        <v>168</v>
      </c>
      <c r="B12" s="56">
        <v>25000</v>
      </c>
      <c r="C12" s="57" t="s">
        <v>160</v>
      </c>
    </row>
    <row r="13" spans="1:3" ht="15" customHeight="1">
      <c r="A13" s="36" t="s">
        <v>169</v>
      </c>
      <c r="B13" s="56">
        <v>25000</v>
      </c>
      <c r="C13" s="57" t="s">
        <v>160</v>
      </c>
    </row>
    <row r="14" spans="1:3" ht="15" customHeight="1">
      <c r="A14" s="36" t="s">
        <v>170</v>
      </c>
      <c r="B14" s="56">
        <v>25000</v>
      </c>
      <c r="C14" s="57" t="s">
        <v>160</v>
      </c>
    </row>
    <row r="15" spans="1:3" ht="15" customHeight="1">
      <c r="A15" s="36" t="s">
        <v>171</v>
      </c>
      <c r="B15" s="56">
        <v>25000</v>
      </c>
      <c r="C15" s="57" t="s">
        <v>160</v>
      </c>
    </row>
    <row r="17" spans="1:3" ht="15" customHeight="1">
      <c r="A17" s="58" t="s">
        <v>172</v>
      </c>
      <c r="B17" s="59">
        <f>AVERAGE(B4:B15)</f>
        <v>24750</v>
      </c>
      <c r="C17" t="s">
        <v>173</v>
      </c>
    </row>
    <row r="18" spans="1:3" ht="15" customHeight="1">
      <c r="A18" s="58" t="s">
        <v>174</v>
      </c>
      <c r="B18" s="59">
        <v>25000</v>
      </c>
      <c r="C18" t="s">
        <v>175</v>
      </c>
    </row>
  </sheetData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경영분석 요약</vt:lpstr>
      <vt:lpstr>손익계산서 비교</vt:lpstr>
      <vt:lpstr>재무상태표 비교</vt:lpstr>
      <vt:lpstr>분석 및 개선방안</vt:lpstr>
      <vt:lpstr>환율정보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임재홍</cp:lastModifiedBy>
  <cp:revision>0</cp:revision>
  <dcterms:created xsi:type="dcterms:W3CDTF">2026-02-24T10:19:01Z</dcterms:created>
  <dcterms:modified xsi:type="dcterms:W3CDTF">2026-02-24T10:48:56Z</dcterms:modified>
  <dc:language>en-US</dc:language>
</cp:coreProperties>
</file>