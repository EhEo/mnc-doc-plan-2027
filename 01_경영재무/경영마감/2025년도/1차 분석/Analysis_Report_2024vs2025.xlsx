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L Comparison" sheetId="2" state="visible" r:id="rId4"/>
    <sheet name="BS Comparison" sheetId="3" state="visible" r:id="rId5"/>
    <sheet name="KPI Analysis" sheetId="4" state="visible" r:id="rId6"/>
    <sheet name="종합분석 및 제언" sheetId="5" state="visible" r:id="rId7"/>
    <sheet name="FX Ra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<sst xmlns="http://schemas.openxmlformats.org/spreadsheetml/2006/main" count="255" uniqueCount="214">
  <si>
    <r>
      <rPr>
        <b val="true"/>
        <sz val="16"/>
        <color rgb="FF1F4E79"/>
        <rFont val="Arial"/>
        <family val="0"/>
        <charset val="1"/>
      </rPr>
      <t xml:space="preserve">2024 vs 2025 </t>
    </r>
    <r>
      <rPr>
        <b val="true"/>
        <sz val="16"/>
        <color rgb="FF1F4E79"/>
        <rFont val="DejaVu Sans"/>
        <family val="2"/>
      </rPr>
      <t xml:space="preserve">경영분석 보고서 </t>
    </r>
    <r>
      <rPr>
        <b val="true"/>
        <sz val="16"/>
        <color rgb="FF1F4E79"/>
        <rFont val="Arial"/>
        <family val="0"/>
        <charset val="1"/>
      </rPr>
      <t xml:space="preserve">(Executive Summary)</t>
    </r>
  </si>
  <si>
    <r>
      <rPr>
        <i val="true"/>
        <sz val="9"/>
        <color rgb="FF808080"/>
        <rFont val="DejaVu Sans"/>
        <family val="2"/>
      </rPr>
      <t xml:space="preserve">환율</t>
    </r>
    <r>
      <rPr>
        <i val="true"/>
        <sz val="9"/>
        <color rgb="FF808080"/>
        <rFont val="Arial"/>
        <family val="0"/>
        <charset val="1"/>
      </rPr>
      <t xml:space="preserve">: 2025</t>
    </r>
    <r>
      <rPr>
        <i val="true"/>
        <sz val="9"/>
        <color rgb="FF808080"/>
        <rFont val="DejaVu Sans"/>
        <family val="2"/>
      </rPr>
      <t xml:space="preserve">년 월별 적용 </t>
    </r>
    <r>
      <rPr>
        <i val="true"/>
        <sz val="9"/>
        <color rgb="FF808080"/>
        <rFont val="Arial"/>
        <family val="0"/>
        <charset val="1"/>
      </rPr>
      <t xml:space="preserve">(1~2</t>
    </r>
    <r>
      <rPr>
        <i val="true"/>
        <sz val="9"/>
        <color rgb="FF808080"/>
        <rFont val="DejaVu Sans"/>
        <family val="2"/>
      </rPr>
      <t xml:space="preserve">월</t>
    </r>
    <r>
      <rPr>
        <i val="true"/>
        <sz val="9"/>
        <color rgb="FF808080"/>
        <rFont val="Arial"/>
        <family val="0"/>
        <charset val="1"/>
      </rPr>
      <t xml:space="preserve">: 24,000 / 3~4</t>
    </r>
    <r>
      <rPr>
        <i val="true"/>
        <sz val="9"/>
        <color rgb="FF808080"/>
        <rFont val="DejaVu Sans"/>
        <family val="2"/>
      </rPr>
      <t xml:space="preserve">월</t>
    </r>
    <r>
      <rPr>
        <i val="true"/>
        <sz val="9"/>
        <color rgb="FF808080"/>
        <rFont val="Arial"/>
        <family val="0"/>
        <charset val="1"/>
      </rPr>
      <t xml:space="preserve">: 24,500 / 5~12</t>
    </r>
    <r>
      <rPr>
        <i val="true"/>
        <sz val="9"/>
        <color rgb="FF808080"/>
        <rFont val="DejaVu Sans"/>
        <family val="2"/>
      </rPr>
      <t xml:space="preserve">월</t>
    </r>
    <r>
      <rPr>
        <i val="true"/>
        <sz val="9"/>
        <color rgb="FF808080"/>
        <rFont val="Arial"/>
        <family val="0"/>
        <charset val="1"/>
      </rPr>
      <t xml:space="preserve">: 25,000 VND/USD)</t>
    </r>
  </si>
  <si>
    <r>
      <rPr>
        <b val="true"/>
        <sz val="12"/>
        <color rgb="FF1F4E79"/>
        <rFont val="DejaVu Sans"/>
        <family val="2"/>
      </rPr>
      <t xml:space="preserve">주요 손익 지표 </t>
    </r>
    <r>
      <rPr>
        <b val="true"/>
        <sz val="12"/>
        <color rgb="FF1F4E79"/>
        <rFont val="Arial"/>
        <family val="0"/>
        <charset val="1"/>
      </rPr>
      <t xml:space="preserve">(USD)</t>
    </r>
  </si>
  <si>
    <t xml:space="preserve">항목</t>
  </si>
  <si>
    <t xml:space="preserve">2024 (USD)</t>
  </si>
  <si>
    <t xml:space="preserve">2025 (USD)</t>
  </si>
  <si>
    <r>
      <rPr>
        <b val="true"/>
        <sz val="11"/>
        <color rgb="FFFFFFFF"/>
        <rFont val="DejaVu Sans"/>
        <family val="2"/>
      </rPr>
      <t xml:space="preserve">증감 </t>
    </r>
    <r>
      <rPr>
        <b val="true"/>
        <sz val="11"/>
        <color rgb="FFFFFFFF"/>
        <rFont val="Arial"/>
        <family val="0"/>
        <charset val="1"/>
      </rPr>
      <t xml:space="preserve">(USD)</t>
    </r>
  </si>
  <si>
    <r>
      <rPr>
        <b val="true"/>
        <sz val="11"/>
        <color rgb="FFFFFFFF"/>
        <rFont val="DejaVu Sans"/>
        <family val="2"/>
      </rPr>
      <t xml:space="preserve">증감율 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</si>
  <si>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0"/>
        <rFont val="DejaVu Sans"/>
        <family val="2"/>
      </rPr>
      <t xml:space="preserve">매출 </t>
    </r>
    <r>
      <rPr>
        <b val="true"/>
        <sz val="10"/>
        <rFont val="Arial"/>
        <family val="0"/>
        <charset val="1"/>
      </rPr>
      <t xml:space="preserve">(Total Income)</t>
    </r>
  </si>
  <si>
    <r>
      <rPr>
        <b val="true"/>
        <sz val="10"/>
        <rFont val="DejaVu Sans"/>
        <family val="2"/>
      </rPr>
      <t xml:space="preserve">매출원가 </t>
    </r>
    <r>
      <rPr>
        <b val="true"/>
        <sz val="10"/>
        <rFont val="Arial"/>
        <family val="0"/>
        <charset val="1"/>
      </rPr>
      <t xml:space="preserve">(COGS)</t>
    </r>
  </si>
  <si>
    <r>
      <rPr>
        <b val="true"/>
        <sz val="10"/>
        <rFont val="DejaVu Sans"/>
        <family val="2"/>
      </rPr>
      <t xml:space="preserve">매출총이익 </t>
    </r>
    <r>
      <rPr>
        <b val="true"/>
        <sz val="10"/>
        <rFont val="Arial"/>
        <family val="0"/>
        <charset val="1"/>
      </rPr>
      <t xml:space="preserve">(Gross Profit)</t>
    </r>
  </si>
  <si>
    <r>
      <rPr>
        <b val="true"/>
        <sz val="10"/>
        <rFont val="DejaVu Sans"/>
        <family val="2"/>
      </rPr>
      <t xml:space="preserve">판관비 </t>
    </r>
    <r>
      <rPr>
        <b val="true"/>
        <sz val="10"/>
        <rFont val="Arial"/>
        <family val="0"/>
        <charset val="1"/>
      </rPr>
      <t xml:space="preserve">(Total SA&amp;GA)</t>
    </r>
  </si>
  <si>
    <r>
      <rPr>
        <b val="true"/>
        <sz val="10"/>
        <rFont val="DejaVu Sans"/>
        <family val="2"/>
      </rPr>
      <t xml:space="preserve">영업이익 </t>
    </r>
    <r>
      <rPr>
        <b val="true"/>
        <sz val="10"/>
        <rFont val="Arial"/>
        <family val="0"/>
        <charset val="1"/>
      </rPr>
      <t xml:space="preserve">(Operating Profit)</t>
    </r>
  </si>
  <si>
    <r>
      <rPr>
        <b val="true"/>
        <sz val="10"/>
        <rFont val="DejaVu Sans"/>
        <family val="2"/>
      </rPr>
      <t xml:space="preserve">기타수익 </t>
    </r>
    <r>
      <rPr>
        <b val="true"/>
        <sz val="10"/>
        <rFont val="Arial"/>
        <family val="0"/>
        <charset val="1"/>
      </rPr>
      <t xml:space="preserve">(Other Income)</t>
    </r>
  </si>
  <si>
    <r>
      <rPr>
        <b val="true"/>
        <sz val="10"/>
        <rFont val="DejaVu Sans"/>
        <family val="2"/>
      </rPr>
      <t xml:space="preserve">기타비용 </t>
    </r>
    <r>
      <rPr>
        <b val="true"/>
        <sz val="10"/>
        <rFont val="Arial"/>
        <family val="0"/>
        <charset val="1"/>
      </rPr>
      <t xml:space="preserve">(Other Expenses)</t>
    </r>
  </si>
  <si>
    <r>
      <rPr>
        <b val="true"/>
        <sz val="10"/>
        <rFont val="DejaVu Sans"/>
        <family val="2"/>
      </rPr>
      <t xml:space="preserve">순이익 </t>
    </r>
    <r>
      <rPr>
        <b val="true"/>
        <sz val="10"/>
        <rFont val="Arial"/>
        <family val="0"/>
        <charset val="1"/>
      </rPr>
      <t xml:space="preserve">(Net Profit)</t>
    </r>
  </si>
  <si>
    <t xml:space="preserve">EBITDA</t>
  </si>
  <si>
    <t xml:space="preserve">주요 경영비율</t>
  </si>
  <si>
    <t xml:space="preserve">비율 항목</t>
  </si>
  <si>
    <t xml:space="preserve">2024</t>
  </si>
  <si>
    <t xml:space="preserve">2025</t>
  </si>
  <si>
    <r>
      <rPr>
        <b val="true"/>
        <sz val="11"/>
        <color rgb="FFFFFFFF"/>
        <rFont val="DejaVu Sans"/>
        <family val="2"/>
      </rPr>
      <t xml:space="preserve">변동 </t>
    </r>
    <r>
      <rPr>
        <b val="true"/>
        <sz val="11"/>
        <color rgb="FFFFFFFF"/>
        <rFont val="Arial"/>
        <family val="0"/>
        <charset val="1"/>
      </rPr>
      <t xml:space="preserve">(%p)</t>
    </r>
  </si>
  <si>
    <t xml:space="preserve">평가</t>
  </si>
  <si>
    <t xml:space="preserve">매출총이익률</t>
  </si>
  <si>
    <t xml:space="preserve">악화</t>
  </si>
  <si>
    <t xml:space="preserve">매출원가율</t>
  </si>
  <si>
    <t xml:space="preserve">판관비율</t>
  </si>
  <si>
    <t xml:space="preserve">개선</t>
  </si>
  <si>
    <t xml:space="preserve">영업이익률</t>
  </si>
  <si>
    <t xml:space="preserve">순이익률</t>
  </si>
  <si>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DejaVu Sans"/>
        <family val="2"/>
      </rPr>
      <t xml:space="preserve">마진</t>
    </r>
  </si>
  <si>
    <r>
      <rPr>
        <b val="true"/>
        <sz val="14"/>
        <color rgb="FF1F4E79"/>
        <rFont val="DejaVu Sans"/>
        <family val="2"/>
      </rPr>
      <t xml:space="preserve">손익계산서 비교분석 </t>
    </r>
    <r>
      <rPr>
        <b val="true"/>
        <sz val="14"/>
        <color rgb="FF1F4E79"/>
        <rFont val="Arial"/>
        <family val="0"/>
        <charset val="1"/>
      </rPr>
      <t xml:space="preserve">(2024 vs 2025, USD </t>
    </r>
    <r>
      <rPr>
        <b val="true"/>
        <sz val="14"/>
        <color rgb="FF1F4E79"/>
        <rFont val="DejaVu Sans"/>
        <family val="2"/>
      </rPr>
      <t xml:space="preserve">기준</t>
    </r>
    <r>
      <rPr>
        <b val="true"/>
        <sz val="14"/>
        <color rgb="FF1F4E7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</si>
  <si>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Sales (</t>
    </r>
    <r>
      <rPr>
        <sz val="10"/>
        <rFont val="DejaVu Sans"/>
        <family val="2"/>
      </rPr>
      <t xml:space="preserve">매출</t>
    </r>
    <r>
      <rPr>
        <sz val="10"/>
        <rFont val="Arial"/>
        <family val="0"/>
        <charset val="1"/>
      </rPr>
      <t xml:space="preserve">)</t>
    </r>
  </si>
  <si>
    <t xml:space="preserve">Sales-trading</t>
  </si>
  <si>
    <t xml:space="preserve">Sales-scrapt</t>
  </si>
  <si>
    <r>
      <rPr>
        <b val="true"/>
        <sz val="10"/>
        <rFont val="Arial"/>
        <family val="0"/>
        <charset val="1"/>
      </rPr>
      <t xml:space="preserve">Total Income (</t>
    </r>
    <r>
      <rPr>
        <b val="true"/>
        <sz val="10"/>
        <rFont val="DejaVu Sans"/>
        <family val="2"/>
      </rPr>
      <t xml:space="preserve">총수입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</si>
  <si>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Beginning Goods (</t>
    </r>
    <r>
      <rPr>
        <sz val="10"/>
        <rFont val="DejaVu Sans"/>
        <family val="2"/>
      </rPr>
      <t xml:space="preserve">기초재고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</si>
  <si>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Manufacturing cost (</t>
    </r>
    <r>
      <rPr>
        <sz val="10"/>
        <rFont val="DejaVu Sans"/>
        <family val="2"/>
      </rPr>
      <t xml:space="preserve">제조원가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</si>
  <si>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Ending Goods (</t>
    </r>
    <r>
      <rPr>
        <sz val="10"/>
        <rFont val="DejaVu Sans"/>
        <family val="2"/>
      </rPr>
      <t xml:space="preserve">기말재고</t>
    </r>
    <r>
      <rPr>
        <sz val="10"/>
        <rFont val="Arial"/>
        <family val="0"/>
        <charset val="1"/>
      </rPr>
      <t xml:space="preserve">)</t>
    </r>
  </si>
  <si>
    <t xml:space="preserve">Cost of other sold</t>
  </si>
  <si>
    <t xml:space="preserve">Cost of trading</t>
  </si>
  <si>
    <r>
      <rPr>
        <b val="true"/>
        <sz val="10"/>
        <rFont val="Arial"/>
        <family val="0"/>
        <charset val="1"/>
      </rPr>
      <t xml:space="preserve">Total COGS (</t>
    </r>
    <r>
      <rPr>
        <b val="true"/>
        <sz val="10"/>
        <rFont val="DejaVu Sans"/>
        <family val="2"/>
      </rPr>
      <t xml:space="preserve">매출원가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</si>
  <si>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Gross Profit (</t>
    </r>
    <r>
      <rPr>
        <b val="true"/>
        <sz val="10"/>
        <rFont val="DejaVu Sans"/>
        <family val="2"/>
      </rPr>
      <t xml:space="preserve">매출총이익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</si>
  <si>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Salary (</t>
    </r>
    <r>
      <rPr>
        <sz val="10"/>
        <rFont val="DejaVu Sans"/>
        <family val="2"/>
      </rPr>
      <t xml:space="preserve">급여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</si>
  <si>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Meal+Welfare (</t>
    </r>
    <r>
      <rPr>
        <sz val="10"/>
        <rFont val="DejaVu Sans"/>
        <family val="2"/>
      </rPr>
      <t xml:space="preserve">복리후생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</si>
  <si>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Travel (</t>
    </r>
    <r>
      <rPr>
        <sz val="10"/>
        <rFont val="DejaVu Sans"/>
        <family val="2"/>
      </rPr>
      <t xml:space="preserve">출장비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</si>
  <si>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Logistics (</t>
    </r>
    <r>
      <rPr>
        <sz val="10"/>
        <rFont val="DejaVu Sans"/>
        <family val="2"/>
      </rPr>
      <t xml:space="preserve">물류비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</si>
  <si>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Communication (</t>
    </r>
    <r>
      <rPr>
        <sz val="10"/>
        <rFont val="DejaVu Sans"/>
        <family val="2"/>
      </rPr>
      <t xml:space="preserve">통신비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</si>
  <si>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Electricity (</t>
    </r>
    <r>
      <rPr>
        <sz val="10"/>
        <rFont val="DejaVu Sans"/>
        <family val="2"/>
      </rPr>
      <t xml:space="preserve">전기료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</si>
  <si>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Commission fee (</t>
    </r>
    <r>
      <rPr>
        <sz val="10"/>
        <rFont val="DejaVu Sans"/>
        <family val="2"/>
      </rPr>
      <t xml:space="preserve">수수료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</si>
  <si>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Consulting (</t>
    </r>
    <r>
      <rPr>
        <sz val="10"/>
        <rFont val="DejaVu Sans"/>
        <family val="2"/>
      </rPr>
      <t xml:space="preserve">컨설팅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</si>
  <si>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Cars (</t>
    </r>
    <r>
      <rPr>
        <sz val="10"/>
        <rFont val="DejaVu Sans"/>
        <family val="2"/>
      </rPr>
      <t xml:space="preserve">차량비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</si>
  <si>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Rental-others (</t>
    </r>
    <r>
      <rPr>
        <sz val="10"/>
        <rFont val="DejaVu Sans"/>
        <family val="2"/>
      </rPr>
      <t xml:space="preserve">임대료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</si>
  <si>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Rental-warehouse (</t>
    </r>
    <r>
      <rPr>
        <sz val="10"/>
        <rFont val="DejaVu Sans"/>
        <family val="2"/>
      </rPr>
      <t xml:space="preserve">해외창고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</si>
  <si>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Sorting (</t>
    </r>
    <r>
      <rPr>
        <sz val="10"/>
        <rFont val="DejaVu Sans"/>
        <family val="2"/>
      </rPr>
      <t xml:space="preserve">선별비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</si>
  <si>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Sample (</t>
    </r>
    <r>
      <rPr>
        <sz val="10"/>
        <rFont val="DejaVu Sans"/>
        <family val="2"/>
      </rPr>
      <t xml:space="preserve">샘플비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</si>
  <si>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Depreciation (</t>
    </r>
    <r>
      <rPr>
        <sz val="10"/>
        <rFont val="DejaVu Sans"/>
        <family val="2"/>
      </rPr>
      <t xml:space="preserve">감가상각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</si>
  <si>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Amortization (</t>
    </r>
    <r>
      <rPr>
        <sz val="10"/>
        <rFont val="DejaVu Sans"/>
        <family val="2"/>
      </rPr>
      <t xml:space="preserve">상각비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</si>
  <si>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Entertainment (</t>
    </r>
    <r>
      <rPr>
        <sz val="10"/>
        <rFont val="DejaVu Sans"/>
        <family val="2"/>
      </rPr>
      <t xml:space="preserve">접대비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</si>
  <si>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Insurance (</t>
    </r>
    <r>
      <rPr>
        <sz val="10"/>
        <rFont val="DejaVu Sans"/>
        <family val="2"/>
      </rPr>
      <t xml:space="preserve">보험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</si>
  <si>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Security (</t>
    </r>
    <r>
      <rPr>
        <sz val="10"/>
        <rFont val="DejaVu Sans"/>
        <family val="2"/>
      </rPr>
      <t xml:space="preserve">경비비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</si>
  <si>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Tuition fee (</t>
    </r>
    <r>
      <rPr>
        <sz val="10"/>
        <rFont val="DejaVu Sans"/>
        <family val="2"/>
      </rPr>
      <t xml:space="preserve">학비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</si>
  <si>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Banking charge (</t>
    </r>
    <r>
      <rPr>
        <sz val="10"/>
        <rFont val="DejaVu Sans"/>
        <family val="2"/>
      </rPr>
      <t xml:space="preserve">은행수수료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</si>
  <si>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Stationery (</t>
    </r>
    <r>
      <rPr>
        <sz val="10"/>
        <rFont val="DejaVu Sans"/>
        <family val="2"/>
      </rPr>
      <t xml:space="preserve">소모품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</si>
  <si>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Other Tax (</t>
    </r>
    <r>
      <rPr>
        <sz val="10"/>
        <rFont val="DejaVu Sans"/>
        <family val="2"/>
      </rPr>
      <t xml:space="preserve">기타세금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</si>
  <si>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Others (</t>
    </r>
    <r>
      <rPr>
        <sz val="10"/>
        <rFont val="DejaVu Sans"/>
        <family val="2"/>
      </rPr>
      <t xml:space="preserve">기타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</si>
  <si>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Total SA&amp;GA (</t>
    </r>
    <r>
      <rPr>
        <b val="true"/>
        <sz val="10"/>
        <rFont val="DejaVu Sans"/>
        <family val="2"/>
      </rPr>
      <t xml:space="preserve">판관비합계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</si>
  <si>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Operating Profit (</t>
    </r>
    <r>
      <rPr>
        <b val="true"/>
        <sz val="10"/>
        <rFont val="DejaVu Sans"/>
        <family val="2"/>
      </rPr>
      <t xml:space="preserve">영업이익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</si>
  <si>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Interest Income (</t>
    </r>
    <r>
      <rPr>
        <sz val="10"/>
        <rFont val="DejaVu Sans"/>
        <family val="2"/>
      </rPr>
      <t xml:space="preserve">이자수익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</si>
  <si>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Exchange Gain (</t>
    </r>
    <r>
      <rPr>
        <sz val="10"/>
        <rFont val="DejaVu Sans"/>
        <family val="2"/>
      </rPr>
      <t xml:space="preserve">외환이익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</si>
  <si>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Sundry Income (</t>
    </r>
    <r>
      <rPr>
        <sz val="10"/>
        <rFont val="DejaVu Sans"/>
        <family val="2"/>
      </rPr>
      <t xml:space="preserve">기타수익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</si>
  <si>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Disposal Gain (</t>
    </r>
    <r>
      <rPr>
        <sz val="10"/>
        <rFont val="DejaVu Sans"/>
        <family val="2"/>
      </rPr>
      <t xml:space="preserve">처분이익</t>
    </r>
    <r>
      <rPr>
        <sz val="10"/>
        <rFont val="Arial"/>
        <family val="0"/>
        <charset val="1"/>
      </rPr>
      <t xml:space="preserve">)</t>
    </r>
  </si>
  <si>
    <t xml:space="preserve">Total Other Income</t>
  </si>
  <si>
    <r>
      <rPr>
        <sz val="10"/>
        <rFont val="Arial"/>
        <family val="0"/>
        <charset val="1"/>
      </rPr>
      <t xml:space="preserve">Bank Loan Interest (</t>
    </r>
    <r>
      <rPr>
        <sz val="10"/>
        <rFont val="DejaVu Sans"/>
        <family val="2"/>
      </rPr>
      <t xml:space="preserve">대출이자</t>
    </r>
    <r>
      <rPr>
        <sz val="10"/>
        <rFont val="Arial"/>
        <family val="0"/>
        <charset val="1"/>
      </rPr>
      <t xml:space="preserve">)</t>
    </r>
  </si>
  <si>
    <t xml:space="preserve">Personal interest</t>
  </si>
  <si>
    <r>
      <rPr>
        <sz val="10"/>
        <rFont val="Arial"/>
        <family val="0"/>
        <charset val="1"/>
      </rPr>
      <t xml:space="preserve">Exchange Loss (</t>
    </r>
    <r>
      <rPr>
        <sz val="10"/>
        <rFont val="DejaVu Sans"/>
        <family val="2"/>
      </rPr>
      <t xml:space="preserve">외환손실</t>
    </r>
    <r>
      <rPr>
        <sz val="10"/>
        <rFont val="Arial"/>
        <family val="0"/>
        <charset val="1"/>
      </rPr>
      <t xml:space="preserve">)</t>
    </r>
  </si>
  <si>
    <t xml:space="preserve">Discount payment</t>
  </si>
  <si>
    <t xml:space="preserve">Claim fee</t>
  </si>
  <si>
    <t xml:space="preserve">Sundry Expense</t>
  </si>
  <si>
    <r>
      <rPr>
        <sz val="10"/>
        <rFont val="Arial"/>
        <family val="0"/>
        <charset val="1"/>
      </rPr>
      <t xml:space="preserve">Disposal Loss (</t>
    </r>
    <r>
      <rPr>
        <sz val="10"/>
        <rFont val="DejaVu Sans"/>
        <family val="2"/>
      </rPr>
      <t xml:space="preserve">처분손실</t>
    </r>
    <r>
      <rPr>
        <sz val="10"/>
        <rFont val="Arial"/>
        <family val="0"/>
        <charset val="1"/>
      </rPr>
      <t xml:space="preserve">)</t>
    </r>
  </si>
  <si>
    <t xml:space="preserve">Total Other Expenses</t>
  </si>
  <si>
    <r>
      <rPr>
        <b val="true"/>
        <sz val="10"/>
        <rFont val="Arial"/>
        <family val="0"/>
        <charset val="1"/>
      </rPr>
      <t xml:space="preserve">Net Profit (</t>
    </r>
    <r>
      <rPr>
        <b val="true"/>
        <sz val="10"/>
        <rFont val="DejaVu Sans"/>
        <family val="2"/>
      </rPr>
      <t xml:space="preserve">순이익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</si>
  <si>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4"/>
        <color rgb="FF1F4E79"/>
        <rFont val="DejaVu Sans"/>
        <family val="2"/>
      </rPr>
      <t xml:space="preserve">재무상태표 비교 </t>
    </r>
    <r>
      <rPr>
        <b val="true"/>
        <sz val="14"/>
        <color rgb="FF1F4E79"/>
        <rFont val="Arial"/>
        <family val="0"/>
        <charset val="1"/>
      </rPr>
      <t xml:space="preserve">(2024.12 vs 2025.12, USD)</t>
    </r>
  </si>
  <si>
    <t xml:space="preserve">2024.12 (USD)</t>
  </si>
  <si>
    <t xml:space="preserve">2025.12 (USD)</t>
  </si>
  <si>
    <r>
      <rPr>
        <sz val="10"/>
        <rFont val="Arial"/>
        <family val="0"/>
        <charset val="1"/>
      </rPr>
      <t xml:space="preserve">Cash &amp; Equivalents (</t>
    </r>
    <r>
      <rPr>
        <sz val="10"/>
        <rFont val="DejaVu Sans"/>
        <family val="2"/>
      </rPr>
      <t xml:space="preserve">현금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</si>
  <si>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Total Inventory (</t>
    </r>
    <r>
      <rPr>
        <b val="true"/>
        <sz val="10"/>
        <rFont val="DejaVu Sans"/>
        <family val="2"/>
      </rPr>
      <t xml:space="preserve">재고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</si>
  <si>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Account Receivable (</t>
    </r>
    <r>
      <rPr>
        <sz val="10"/>
        <rFont val="DejaVu Sans"/>
        <family val="2"/>
      </rPr>
      <t xml:space="preserve">매출채권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</si>
  <si>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Other Receivable (</t>
    </r>
    <r>
      <rPr>
        <sz val="10"/>
        <rFont val="DejaVu Sans"/>
        <family val="2"/>
      </rPr>
      <t xml:space="preserve">기타채권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</si>
  <si>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VAT Deductible (</t>
    </r>
    <r>
      <rPr>
        <sz val="10"/>
        <rFont val="DejaVu Sans"/>
        <family val="2"/>
      </rPr>
      <t xml:space="preserve">부가세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</si>
  <si>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Prepayment (</t>
    </r>
    <r>
      <rPr>
        <sz val="10"/>
        <rFont val="DejaVu Sans"/>
        <family val="2"/>
      </rPr>
      <t xml:space="preserve">선급금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</si>
  <si>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Deferred Expenses (</t>
    </r>
    <r>
      <rPr>
        <sz val="10"/>
        <rFont val="DejaVu Sans"/>
        <family val="2"/>
      </rPr>
      <t xml:space="preserve">선급비용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</si>
  <si>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Short-term Deposits (</t>
    </r>
    <r>
      <rPr>
        <sz val="10"/>
        <rFont val="DejaVu Sans"/>
        <family val="2"/>
      </rPr>
      <t xml:space="preserve">단기예금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</si>
  <si>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Total Quick Assets (</t>
    </r>
    <r>
      <rPr>
        <b val="true"/>
        <sz val="10"/>
        <rFont val="DejaVu Sans"/>
        <family val="2"/>
      </rPr>
      <t xml:space="preserve">유동자산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</si>
  <si>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Total Fixed Assets (</t>
    </r>
    <r>
      <rPr>
        <b val="true"/>
        <sz val="10"/>
        <rFont val="DejaVu Sans"/>
        <family val="2"/>
      </rPr>
      <t xml:space="preserve">유형자산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</si>
  <si>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CIP (</t>
    </r>
    <r>
      <rPr>
        <sz val="10"/>
        <rFont val="DejaVu Sans"/>
        <family val="2"/>
      </rPr>
      <t xml:space="preserve">건설중자산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</si>
  <si>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Total Intangible (</t>
    </r>
    <r>
      <rPr>
        <b val="true"/>
        <sz val="10"/>
        <rFont val="DejaVu Sans"/>
        <family val="2"/>
      </rPr>
      <t xml:space="preserve">무형자산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</si>
  <si>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Noncurrent Assets (</t>
    </r>
    <r>
      <rPr>
        <sz val="10"/>
        <rFont val="DejaVu Sans"/>
        <family val="2"/>
      </rPr>
      <t xml:space="preserve">비유동자산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</si>
  <si>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Total Assets (</t>
    </r>
    <r>
      <rPr>
        <b val="true"/>
        <sz val="10"/>
        <rFont val="DejaVu Sans"/>
        <family val="2"/>
      </rPr>
      <t xml:space="preserve">총자산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</si>
  <si>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Long-term Loans (</t>
    </r>
    <r>
      <rPr>
        <sz val="10"/>
        <rFont val="DejaVu Sans"/>
        <family val="2"/>
      </rPr>
      <t xml:space="preserve">장기차입금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</si>
  <si>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Total LT Liabilities (</t>
    </r>
    <r>
      <rPr>
        <b val="true"/>
        <sz val="10"/>
        <rFont val="DejaVu Sans"/>
        <family val="2"/>
      </rPr>
      <t xml:space="preserve">비유동부채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</si>
  <si>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Short-term Loans (</t>
    </r>
    <r>
      <rPr>
        <sz val="10"/>
        <rFont val="DejaVu Sans"/>
        <family val="2"/>
      </rPr>
      <t xml:space="preserve">단기차입금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</si>
  <si>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 VND (</t>
    </r>
    <r>
      <rPr>
        <sz val="10"/>
        <rFont val="DejaVu Sans"/>
        <family val="2"/>
      </rPr>
      <t xml:space="preserve">매입채무</t>
    </r>
    <r>
      <rPr>
        <sz val="10"/>
        <rFont val="Arial"/>
        <family val="0"/>
        <charset val="1"/>
      </rPr>
      <t xml:space="preserve">VND)</t>
    </r>
  </si>
  <si>
    <r>
      <rPr>
        <sz val="10"/>
        <rFont val="Arial"/>
        <family val="0"/>
        <charset val="1"/>
      </rPr>
      <t xml:space="preserve">AP USD (</t>
    </r>
    <r>
      <rPr>
        <sz val="10"/>
        <rFont val="DejaVu Sans"/>
        <family val="2"/>
      </rPr>
      <t xml:space="preserve">매입채무</t>
    </r>
    <r>
      <rPr>
        <sz val="10"/>
        <rFont val="Arial"/>
        <family val="0"/>
        <charset val="1"/>
      </rPr>
      <t xml:space="preserve">USD)</t>
    </r>
  </si>
  <si>
    <r>
      <rPr>
        <sz val="10"/>
        <rFont val="Arial"/>
        <family val="0"/>
        <charset val="1"/>
      </rPr>
      <t xml:space="preserve">Salary Payable (</t>
    </r>
    <r>
      <rPr>
        <sz val="10"/>
        <rFont val="DejaVu Sans"/>
        <family val="2"/>
      </rPr>
      <t xml:space="preserve">미지급급여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</si>
  <si>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Taxes Payable (</t>
    </r>
    <r>
      <rPr>
        <sz val="10"/>
        <rFont val="DejaVu Sans"/>
        <family val="2"/>
      </rPr>
      <t xml:space="preserve">미지급세금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</si>
  <si>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Accrued Expenses (</t>
    </r>
    <r>
      <rPr>
        <sz val="10"/>
        <rFont val="DejaVu Sans"/>
        <family val="2"/>
      </rPr>
      <t xml:space="preserve">미지급비용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</si>
  <si>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Total CL (</t>
    </r>
    <r>
      <rPr>
        <b val="true"/>
        <sz val="10"/>
        <rFont val="DejaVu Sans"/>
        <family val="2"/>
      </rPr>
      <t xml:space="preserve">유동부채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</si>
  <si>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Total Liabilities (</t>
    </r>
    <r>
      <rPr>
        <b val="true"/>
        <sz val="10"/>
        <rFont val="DejaVu Sans"/>
        <family val="2"/>
      </rPr>
      <t xml:space="preserve">총부채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</si>
  <si>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Share Capital (</t>
    </r>
    <r>
      <rPr>
        <sz val="10"/>
        <rFont val="DejaVu Sans"/>
        <family val="2"/>
      </rPr>
      <t xml:space="preserve">자본금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</si>
  <si>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Retained Earnings (</t>
    </r>
    <r>
      <rPr>
        <sz val="10"/>
        <rFont val="DejaVu Sans"/>
        <family val="2"/>
      </rPr>
      <t xml:space="preserve">이익잉여금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</si>
  <si>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Current Year Earnings (</t>
    </r>
    <r>
      <rPr>
        <sz val="10"/>
        <rFont val="DejaVu Sans"/>
        <family val="2"/>
      </rPr>
      <t xml:space="preserve">당기순이익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</si>
  <si>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Total Equity (</t>
    </r>
    <r>
      <rPr>
        <b val="true"/>
        <sz val="10"/>
        <rFont val="DejaVu Sans"/>
        <family val="2"/>
      </rPr>
      <t xml:space="preserve">자본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</si>
  <si>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4"/>
        <color rgb="FF1F4E79"/>
        <rFont val="DejaVu Sans"/>
        <family val="2"/>
      </rPr>
      <t xml:space="preserve">핵심 경영지표</t>
    </r>
    <r>
      <rPr>
        <b val="true"/>
        <sz val="14"/>
        <color rgb="FF1F4E79"/>
        <rFont val="Arial"/>
        <family val="0"/>
        <charset val="1"/>
      </rPr>
      <t xml:space="preserve">(KPI) </t>
    </r>
    <r>
      <rPr>
        <b val="true"/>
        <sz val="14"/>
        <color rgb="FF1F4E79"/>
        <rFont val="DejaVu Sans"/>
        <family val="2"/>
      </rPr>
      <t xml:space="preserve">분석 및 개선방안</t>
    </r>
  </si>
  <si>
    <r>
      <rPr>
        <b val="true"/>
        <sz val="12"/>
        <color rgb="FF1F4E79"/>
        <rFont val="Arial"/>
        <family val="0"/>
        <charset val="1"/>
      </rPr>
      <t xml:space="preserve">1. </t>
    </r>
    <r>
      <rPr>
        <b val="true"/>
        <sz val="12"/>
        <color rgb="FF1F4E79"/>
        <rFont val="DejaVu Sans"/>
        <family val="2"/>
      </rPr>
      <t xml:space="preserve">수익성 지표</t>
    </r>
  </si>
  <si>
    <t xml:space="preserve">지표</t>
  </si>
  <si>
    <t xml:space="preserve">변동</t>
  </si>
  <si>
    <t xml:space="preserve">개선방안</t>
  </si>
  <si>
    <t xml:space="preserve">원가율 관리 통한 마진 확보 필요</t>
  </si>
  <si>
    <t xml:space="preserve">판관비 효율화로 영업이익 개선</t>
  </si>
  <si>
    <t xml:space="preserve">외환손익 변동성 관리 필요</t>
  </si>
  <si>
    <t xml:space="preserve">현금창출력 핵심 지표</t>
  </si>
  <si>
    <r>
      <rPr>
        <b val="true"/>
        <sz val="10"/>
        <rFont val="Arial"/>
        <family val="0"/>
        <charset val="1"/>
      </rPr>
      <t xml:space="preserve">ROE (</t>
    </r>
    <r>
      <rPr>
        <b val="true"/>
        <sz val="10"/>
        <rFont val="DejaVu Sans"/>
        <family val="2"/>
      </rPr>
      <t xml:space="preserve">자기자본이익률</t>
    </r>
    <r>
      <rPr>
        <b val="true"/>
        <sz val="10"/>
        <rFont val="Arial"/>
        <family val="0"/>
        <charset val="1"/>
      </rPr>
      <t xml:space="preserve">)</t>
    </r>
  </si>
  <si>
    <t xml:space="preserve">주주가치 창출 지표</t>
  </si>
  <si>
    <r>
      <rPr>
        <b val="true"/>
        <sz val="10"/>
        <rFont val="Arial"/>
        <family val="0"/>
        <charset val="1"/>
      </rPr>
      <t xml:space="preserve">ROA (</t>
    </r>
    <r>
      <rPr>
        <b val="true"/>
        <sz val="10"/>
        <rFont val="DejaVu Sans"/>
        <family val="2"/>
      </rPr>
      <t xml:space="preserve">총자산이익률</t>
    </r>
    <r>
      <rPr>
        <b val="true"/>
        <sz val="10"/>
        <rFont val="Arial"/>
        <family val="0"/>
        <charset val="1"/>
      </rPr>
      <t xml:space="preserve">)</t>
    </r>
  </si>
  <si>
    <t xml:space="preserve">자산 효율성 지표</t>
  </si>
  <si>
    <r>
      <rPr>
        <b val="true"/>
        <sz val="12"/>
        <color rgb="FF1F4E79"/>
        <rFont val="Arial"/>
        <family val="0"/>
        <charset val="1"/>
      </rPr>
      <t xml:space="preserve">2. </t>
    </r>
    <r>
      <rPr>
        <b val="true"/>
        <sz val="12"/>
        <color rgb="FF1F4E79"/>
        <rFont val="DejaVu Sans"/>
        <family val="2"/>
      </rPr>
      <t xml:space="preserve">안정성 지표</t>
    </r>
  </si>
  <si>
    <r>
      <rPr>
        <b val="true"/>
        <sz val="10"/>
        <rFont val="DejaVu Sans"/>
        <family val="2"/>
      </rPr>
      <t xml:space="preserve">부채비율 </t>
    </r>
    <r>
      <rPr>
        <b val="true"/>
        <sz val="10"/>
        <rFont val="Arial"/>
        <family val="0"/>
        <charset val="1"/>
      </rPr>
      <t xml:space="preserve">(D/E)</t>
    </r>
  </si>
  <si>
    <r>
      <rPr>
        <sz val="9"/>
        <rFont val="DejaVu Sans"/>
        <family val="2"/>
      </rPr>
      <t xml:space="preserve">목표</t>
    </r>
    <r>
      <rPr>
        <sz val="9"/>
        <rFont val="Arial"/>
        <family val="0"/>
        <charset val="1"/>
      </rPr>
      <t xml:space="preserve">: 200% </t>
    </r>
    <r>
      <rPr>
        <sz val="9"/>
        <rFont val="DejaVu Sans"/>
        <family val="2"/>
      </rPr>
      <t xml:space="preserve">이하 유지</t>
    </r>
  </si>
  <si>
    <r>
      <rPr>
        <b val="true"/>
        <sz val="10"/>
        <rFont val="DejaVu Sans"/>
        <family val="2"/>
      </rPr>
      <t xml:space="preserve">총부채비율 </t>
    </r>
    <r>
      <rPr>
        <b val="true"/>
        <sz val="10"/>
        <rFont val="Arial"/>
        <family val="0"/>
        <charset val="1"/>
      </rPr>
      <t xml:space="preserve">(D/A)</t>
    </r>
  </si>
  <si>
    <r>
      <rPr>
        <sz val="9"/>
        <rFont val="Arial"/>
        <family val="0"/>
        <charset val="1"/>
      </rPr>
      <t xml:space="preserve">70% </t>
    </r>
    <r>
      <rPr>
        <sz val="9"/>
        <rFont val="DejaVu Sans"/>
        <family val="2"/>
      </rPr>
      <t xml:space="preserve">이하 유지 권고</t>
    </r>
  </si>
  <si>
    <t xml:space="preserve">유동비율</t>
  </si>
  <si>
    <r>
      <rPr>
        <sz val="9"/>
        <rFont val="Arial"/>
        <family val="0"/>
        <charset val="1"/>
      </rPr>
      <t xml:space="preserve">100% </t>
    </r>
    <r>
      <rPr>
        <sz val="9"/>
        <rFont val="DejaVu Sans"/>
        <family val="2"/>
      </rPr>
      <t xml:space="preserve">이상 유지 필요</t>
    </r>
  </si>
  <si>
    <t xml:space="preserve">자기자본비율</t>
  </si>
  <si>
    <r>
      <rPr>
        <sz val="9"/>
        <rFont val="Arial"/>
        <family val="0"/>
        <charset val="1"/>
      </rPr>
      <t xml:space="preserve">30% </t>
    </r>
    <r>
      <rPr>
        <sz val="9"/>
        <rFont val="DejaVu Sans"/>
        <family val="2"/>
      </rPr>
      <t xml:space="preserve">이상 목표</t>
    </r>
  </si>
  <si>
    <r>
      <rPr>
        <b val="true"/>
        <sz val="10"/>
        <rFont val="DejaVu Sans"/>
        <family val="2"/>
      </rPr>
      <t xml:space="preserve">이자보상배율</t>
    </r>
    <r>
      <rPr>
        <b val="true"/>
        <sz val="10"/>
        <rFont val="Arial"/>
        <family val="0"/>
        <charset val="1"/>
      </rPr>
      <t xml:space="preserve">(x)</t>
    </r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</si>
  <si>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배 이상 양호</t>
    </r>
  </si>
  <si>
    <r>
      <rPr>
        <b val="true"/>
        <sz val="12"/>
        <color rgb="FF1F4E79"/>
        <rFont val="Arial"/>
        <family val="0"/>
        <charset val="1"/>
      </rPr>
      <t xml:space="preserve">3. </t>
    </r>
    <r>
      <rPr>
        <b val="true"/>
        <sz val="12"/>
        <color rgb="FF1F4E79"/>
        <rFont val="DejaVu Sans"/>
        <family val="2"/>
      </rPr>
      <t xml:space="preserve">활동성 지표</t>
    </r>
  </si>
  <si>
    <r>
      <rPr>
        <b val="true"/>
        <sz val="10"/>
        <rFont val="DejaVu Sans"/>
        <family val="2"/>
      </rPr>
      <t xml:space="preserve">재고회전율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회</t>
    </r>
    <r>
      <rPr>
        <b val="true"/>
        <sz val="10"/>
        <rFont val="Arial"/>
        <family val="0"/>
        <charset val="1"/>
      </rPr>
      <t xml:space="preserve">)</t>
    </r>
  </si>
  <si>
    <t xml:space="preserve">높을수록 양호</t>
  </si>
  <si>
    <r>
      <rPr>
        <b val="true"/>
        <sz val="10"/>
        <rFont val="DejaVu Sans"/>
        <family val="2"/>
      </rPr>
      <t xml:space="preserve">재고회전일수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</si>
  <si>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t xml:space="preserve">단축이 바람직</t>
  </si>
  <si>
    <r>
      <rPr>
        <b val="true"/>
        <sz val="10"/>
        <rFont val="DejaVu Sans"/>
        <family val="2"/>
      </rPr>
      <t xml:space="preserve">매출채권회전율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회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</si>
  <si>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매출채권회전일수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</si>
  <si>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30~60</t>
    </r>
    <r>
      <rPr>
        <sz val="9"/>
        <rFont val="DejaVu Sans"/>
        <family val="2"/>
      </rPr>
      <t xml:space="preserve">일 관리</t>
    </r>
  </si>
  <si>
    <r>
      <rPr>
        <b val="true"/>
        <sz val="10"/>
        <rFont val="DejaVu Sans"/>
        <family val="2"/>
      </rPr>
      <t xml:space="preserve">총자산회전율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회</t>
    </r>
    <r>
      <rPr>
        <b val="true"/>
        <sz val="10"/>
        <rFont val="Arial"/>
        <family val="0"/>
        <charset val="1"/>
      </rPr>
      <t xml:space="preserve">)</t>
    </r>
  </si>
  <si>
    <t xml:space="preserve">자산 활용 효율</t>
  </si>
  <si>
    <t xml:space="preserve">종합 경영분석 보고서 및 개선 제언</t>
  </si>
  <si>
    <r>
      <rPr>
        <b val="true"/>
        <sz val="12"/>
        <color rgb="FF1F4E79"/>
        <rFont val="Arial"/>
        <family val="0"/>
        <charset val="1"/>
      </rPr>
      <t xml:space="preserve">I. </t>
    </r>
    <r>
      <rPr>
        <b val="true"/>
        <sz val="12"/>
        <color rgb="FF1F4E79"/>
        <rFont val="DejaVu Sans"/>
        <family val="2"/>
      </rPr>
      <t xml:space="preserve">경영 환경 개요</t>
    </r>
  </si>
  <si>
    <r>
      <rPr>
        <sz val="10"/>
        <rFont val="Arial"/>
        <family val="0"/>
        <charset val="1"/>
      </rPr>
      <t xml:space="preserve">2024</t>
    </r>
    <r>
      <rPr>
        <sz val="10"/>
        <rFont val="DejaVu Sans"/>
        <family val="2"/>
      </rPr>
      <t xml:space="preserve">년 대비 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년 베트남 동</t>
    </r>
    <r>
      <rPr>
        <sz val="10"/>
        <rFont val="Arial"/>
        <family val="0"/>
        <charset val="1"/>
      </rPr>
      <t xml:space="preserve">(VND)/USD </t>
    </r>
    <r>
      <rPr>
        <sz val="10"/>
        <rFont val="DejaVu Sans"/>
        <family val="2"/>
      </rPr>
      <t xml:space="preserve">환율이 </t>
    </r>
    <r>
      <rPr>
        <sz val="10"/>
        <rFont val="Arial"/>
        <family val="0"/>
        <charset val="1"/>
      </rPr>
      <t xml:space="preserve">24,000~25,000 </t>
    </r>
    <r>
      <rPr>
        <sz val="10"/>
        <rFont val="DejaVu Sans"/>
        <family val="2"/>
      </rPr>
      <t xml:space="preserve">범위에서 상승 추세를 보이며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환율 변동이 재무실적에 상당한 영향을 미치고 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</si>
  <si>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1F4E79"/>
        <rFont val="Arial"/>
        <family val="0"/>
        <charset val="1"/>
      </rPr>
      <t xml:space="preserve">II. </t>
    </r>
    <r>
      <rPr>
        <b val="true"/>
        <sz val="12"/>
        <color rgb="FF1F4E79"/>
        <rFont val="DejaVu Sans"/>
        <family val="2"/>
      </rPr>
      <t xml:space="preserve">매출 분석</t>
    </r>
  </si>
  <si>
    <r>
      <rPr>
        <sz val="10"/>
        <rFont val="Arial"/>
        <family val="0"/>
        <charset val="1"/>
      </rPr>
      <t xml:space="preserve">- 2024</t>
    </r>
    <r>
      <rPr>
        <sz val="10"/>
        <rFont val="DejaVu Sans"/>
        <family val="2"/>
      </rPr>
      <t xml:space="preserve">년 총매출</t>
    </r>
    <r>
      <rPr>
        <sz val="10"/>
        <rFont val="Arial"/>
        <family val="0"/>
        <charset val="1"/>
      </rPr>
      <t xml:space="preserve">: USD 45,961,674</t>
    </r>
  </si>
  <si>
    <r>
      <rPr>
        <sz val="10"/>
        <rFont val="Arial"/>
        <family val="0"/>
        <charset val="1"/>
      </rPr>
      <t xml:space="preserve">- 2025</t>
    </r>
    <r>
      <rPr>
        <sz val="10"/>
        <rFont val="DejaVu Sans"/>
        <family val="2"/>
      </rPr>
      <t xml:space="preserve">년 총매출</t>
    </r>
    <r>
      <rPr>
        <sz val="10"/>
        <rFont val="Arial"/>
        <family val="0"/>
        <charset val="1"/>
      </rPr>
      <t xml:space="preserve">(USD </t>
    </r>
    <r>
      <rPr>
        <sz val="10"/>
        <rFont val="DejaVu Sans"/>
        <family val="2"/>
      </rPr>
      <t xml:space="preserve">환산</t>
    </r>
    <r>
      <rPr>
        <sz val="10"/>
        <rFont val="Arial"/>
        <family val="0"/>
        <charset val="1"/>
      </rPr>
      <t xml:space="preserve">): USD 46,012,375</t>
    </r>
  </si>
  <si>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증감</t>
    </r>
    <r>
      <rPr>
        <sz val="10"/>
        <rFont val="Arial"/>
        <family val="0"/>
        <charset val="1"/>
      </rPr>
      <t xml:space="preserve">: USD 50,701 (+0.1%)</t>
    </r>
  </si>
  <si>
    <r>
      <rPr>
        <sz val="10"/>
        <rFont val="DejaVu Sans"/>
        <family val="2"/>
      </rPr>
      <t xml:space="preserve">매출은 증가하였으며</t>
    </r>
    <r>
      <rPr>
        <sz val="10"/>
        <rFont val="Arial"/>
        <family val="0"/>
        <charset val="1"/>
      </rPr>
      <t xml:space="preserve">, VND </t>
    </r>
    <r>
      <rPr>
        <sz val="10"/>
        <rFont val="DejaVu Sans"/>
        <family val="2"/>
      </rPr>
      <t xml:space="preserve">기준 실질 매출 추이와 환율 효과를 분리하여 분석할 필요가 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</si>
  <si>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1F4E79"/>
        <rFont val="Arial"/>
        <family val="0"/>
        <charset val="1"/>
      </rPr>
      <t xml:space="preserve">III. </t>
    </r>
    <r>
      <rPr>
        <b val="true"/>
        <sz val="12"/>
        <color rgb="FF1F4E79"/>
        <rFont val="DejaVu Sans"/>
        <family val="2"/>
      </rPr>
      <t xml:space="preserve">수익성 분석</t>
    </r>
  </si>
  <si>
    <r>
      <rPr>
        <b val="true"/>
        <sz val="10"/>
        <rFont val="DejaVu Sans"/>
        <family val="2"/>
      </rPr>
      <t xml:space="preserve">매출총이익률</t>
    </r>
    <r>
      <rPr>
        <b val="true"/>
        <sz val="10"/>
        <rFont val="Arial"/>
        <family val="0"/>
        <charset val="1"/>
      </rPr>
      <t xml:space="preserve">:</t>
    </r>
  </si>
  <si>
    <t xml:space="preserve">20.3% → 17.8% (-2.5%p)</t>
  </si>
  <si>
    <r>
      <rPr>
        <sz val="10"/>
        <rFont val="DejaVu Sans"/>
        <family val="2"/>
      </rPr>
      <t xml:space="preserve">매출원가율이 </t>
    </r>
    <r>
      <rPr>
        <sz val="10"/>
        <rFont val="Arial"/>
        <family val="0"/>
        <charset val="1"/>
      </rPr>
      <t xml:space="preserve">79.7%</t>
    </r>
    <r>
      <rPr>
        <sz val="10"/>
        <rFont val="DejaVu Sans"/>
        <family val="2"/>
      </rPr>
      <t xml:space="preserve">에서 </t>
    </r>
    <r>
      <rPr>
        <sz val="10"/>
        <rFont val="Arial"/>
        <family val="0"/>
        <charset val="1"/>
      </rPr>
      <t xml:space="preserve">82.2%</t>
    </r>
    <r>
      <rPr>
        <sz val="10"/>
        <rFont val="DejaVu Sans"/>
        <family val="2"/>
      </rPr>
      <t xml:space="preserve">로 상승</t>
    </r>
  </si>
  <si>
    <r>
      <rPr>
        <sz val="10"/>
        <rFont val="DejaVu Sans"/>
        <family val="2"/>
      </rPr>
      <t xml:space="preserve">제조원가와 원재료비 상승이 주요 원인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생산효율 개선 및 원재료 조달 전략 재검토 필요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</si>
  <si>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영업이익률</t>
    </r>
    <r>
      <rPr>
        <b val="true"/>
        <sz val="10"/>
        <rFont val="Arial"/>
        <family val="0"/>
        <charset val="1"/>
      </rPr>
      <t xml:space="preserve">:</t>
    </r>
  </si>
  <si>
    <t xml:space="preserve">5.3% → 5.1%</t>
  </si>
  <si>
    <r>
      <rPr>
        <b val="true"/>
        <sz val="10"/>
        <rFont val="DejaVu Sans"/>
        <family val="2"/>
      </rPr>
      <t xml:space="preserve">순이익률</t>
    </r>
    <r>
      <rPr>
        <b val="true"/>
        <sz val="10"/>
        <rFont val="Arial"/>
        <family val="0"/>
        <charset val="1"/>
      </rPr>
      <t xml:space="preserve">:</t>
    </r>
  </si>
  <si>
    <t xml:space="preserve">3.4% → 3.9%</t>
  </si>
  <si>
    <r>
      <rPr>
        <sz val="10"/>
        <rFont val="DejaVu Sans"/>
        <family val="2"/>
      </rPr>
      <t xml:space="preserve">외환손익 변동성이 순이익에 큰 영향</t>
    </r>
    <r>
      <rPr>
        <sz val="10"/>
        <rFont val="Arial"/>
        <family val="0"/>
        <charset val="1"/>
      </rPr>
      <t xml:space="preserve">. 2025</t>
    </r>
    <r>
      <rPr>
        <sz val="10"/>
        <rFont val="DejaVu Sans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월 자산 처분 손실로 인해 월간 순손실 발생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</si>
  <si>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1F4E79"/>
        <rFont val="Arial"/>
        <family val="0"/>
        <charset val="1"/>
      </rPr>
      <t xml:space="preserve">IV. </t>
    </r>
    <r>
      <rPr>
        <b val="true"/>
        <sz val="12"/>
        <color rgb="FF1F4E79"/>
        <rFont val="DejaVu Sans"/>
        <family val="2"/>
      </rPr>
      <t xml:space="preserve">재무안정성</t>
    </r>
  </si>
  <si>
    <r>
      <rPr>
        <b val="true"/>
        <sz val="10"/>
        <rFont val="DejaVu Sans"/>
        <family val="2"/>
      </rPr>
      <t xml:space="preserve">부채비율</t>
    </r>
    <r>
      <rPr>
        <b val="true"/>
        <sz val="10"/>
        <rFont val="Arial"/>
        <family val="0"/>
        <charset val="1"/>
      </rPr>
      <t xml:space="preserve">:</t>
    </r>
  </si>
  <si>
    <t xml:space="preserve">280.1% → 235.3%</t>
  </si>
  <si>
    <r>
      <rPr>
        <b val="true"/>
        <sz val="10"/>
        <rFont val="DejaVu Sans"/>
        <family val="2"/>
      </rPr>
      <t xml:space="preserve">유동비율</t>
    </r>
    <r>
      <rPr>
        <b val="true"/>
        <sz val="10"/>
        <rFont val="Arial"/>
        <family val="0"/>
        <charset val="1"/>
      </rPr>
      <t xml:space="preserve">:</t>
    </r>
  </si>
  <si>
    <t xml:space="preserve">91.2% → 83.7%</t>
  </si>
  <si>
    <r>
      <rPr>
        <sz val="10"/>
        <rFont val="DejaVu Sans"/>
        <family val="2"/>
      </rPr>
      <t xml:space="preserve">부채비율이 개선되었으며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현금성 자산 증가에 따라 유동성이 변동되었습니다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</si>
  <si>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1F4E79"/>
        <rFont val="Arial"/>
        <family val="0"/>
        <charset val="1"/>
      </rPr>
      <t xml:space="preserve">V. </t>
    </r>
    <r>
      <rPr>
        <b val="true"/>
        <sz val="12"/>
        <color rgb="FF1F4E79"/>
        <rFont val="DejaVu Sans"/>
        <family val="2"/>
      </rPr>
      <t xml:space="preserve">주요 문제점 및 리스크</t>
    </r>
  </si>
  <si>
    <t xml:space="preserve">1.</t>
  </si>
  <si>
    <r>
      <rPr>
        <sz val="10"/>
        <rFont val="DejaVu Sans"/>
        <family val="2"/>
      </rPr>
      <t xml:space="preserve">매출원가율 상승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원재료 가격 상승 및 제조원가 증가 관리 필요</t>
    </r>
  </si>
  <si>
    <t xml:space="preserve">2.</t>
  </si>
  <si>
    <r>
      <rPr>
        <sz val="10"/>
        <rFont val="DejaVu Sans"/>
        <family val="2"/>
      </rPr>
      <t xml:space="preserve">외환손익 변동성 </t>
    </r>
    <r>
      <rPr>
        <sz val="10"/>
        <rFont val="Arial"/>
        <family val="0"/>
        <charset val="1"/>
      </rPr>
      <t xml:space="preserve">- VND/USD </t>
    </r>
    <r>
      <rPr>
        <sz val="10"/>
        <rFont val="DejaVu Sans"/>
        <family val="2"/>
      </rPr>
      <t xml:space="preserve">환율 변동에 따른 환리스크 노출</t>
    </r>
  </si>
  <si>
    <t xml:space="preserve">3.</t>
  </si>
  <si>
    <r>
      <rPr>
        <sz val="10"/>
        <rFont val="DejaVu Sans"/>
        <family val="2"/>
      </rPr>
      <t xml:space="preserve">재고자산 관리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적정 재고 수준 유지 및 노후재고 처분</t>
    </r>
  </si>
  <si>
    <t xml:space="preserve">4.</t>
  </si>
  <si>
    <r>
      <rPr>
        <sz val="10"/>
        <rFont val="DejaVu Sans"/>
        <family val="2"/>
      </rPr>
      <t xml:space="preserve">차입금 부담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단기차입금 비중이 높아 유동성 리스크</t>
    </r>
  </si>
  <si>
    <t xml:space="preserve">5.</t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</si>
  <si>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월 비경상 손실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자산처분 손실 등 일회성 비용 발생</t>
    </r>
  </si>
  <si>
    <r>
      <rPr>
        <b val="true"/>
        <sz val="12"/>
        <color rgb="FF1F4E79"/>
        <rFont val="Arial"/>
        <family val="0"/>
        <charset val="1"/>
      </rPr>
      <t xml:space="preserve">VI. </t>
    </r>
    <r>
      <rPr>
        <b val="true"/>
        <sz val="12"/>
        <color rgb="FF1F4E79"/>
        <rFont val="DejaVu Sans"/>
        <family val="2"/>
      </rPr>
      <t xml:space="preserve">개선 제언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</si>
  <si>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DejaVu Sans"/>
        <family val="2"/>
      </rPr>
      <t xml:space="preserve">원가 관리 강화</t>
    </r>
  </si>
  <si>
    <r>
      <rPr>
        <sz val="10"/>
        <rFont val="DejaVu Sans"/>
        <family val="2"/>
      </rPr>
      <t xml:space="preserve">원재료 조달 다변화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장기 공급계약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생산 공정 최적화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</si>
  <si>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DejaVu Sans"/>
        <family val="2"/>
      </rPr>
      <t xml:space="preserve">환리스크 관리</t>
    </r>
  </si>
  <si>
    <r>
      <rPr>
        <sz val="10"/>
        <rFont val="DejaVu Sans"/>
        <family val="2"/>
      </rPr>
      <t xml:space="preserve">환헤지 상품 활용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외화 매칭 관리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환율 시나리오 분석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</si>
  <si>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DejaVu Sans"/>
        <family val="2"/>
      </rPr>
      <t xml:space="preserve">판관비 효율화</t>
    </r>
  </si>
  <si>
    <r>
      <rPr>
        <sz val="10"/>
        <rFont val="DejaVu Sans"/>
        <family val="2"/>
      </rPr>
      <t xml:space="preserve">물류비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수수료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해외창고비 등 주요 비용항목 정기 리뷰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</si>
  <si>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DejaVu Sans"/>
        <family val="2"/>
      </rPr>
      <t xml:space="preserve">재고 관리</t>
    </r>
  </si>
  <si>
    <r>
      <rPr>
        <sz val="10"/>
        <rFont val="DejaVu Sans"/>
        <family val="2"/>
      </rPr>
      <t xml:space="preserve">적정 재고 수준 설정</t>
    </r>
    <r>
      <rPr>
        <sz val="10"/>
        <rFont val="Arial"/>
        <family val="0"/>
        <charset val="1"/>
      </rPr>
      <t xml:space="preserve">, JIT </t>
    </r>
    <r>
      <rPr>
        <sz val="10"/>
        <rFont val="DejaVu Sans"/>
        <family val="2"/>
      </rPr>
      <t xml:space="preserve">도입 검토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노후 재고 처분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</si>
  <si>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DejaVu Sans"/>
        <family val="2"/>
      </rPr>
      <t xml:space="preserve">자본구조 개선</t>
    </r>
  </si>
  <si>
    <r>
      <rPr>
        <sz val="10"/>
        <rFont val="DejaVu Sans"/>
        <family val="2"/>
      </rPr>
      <t xml:space="preserve">장기차입금 전환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수익성 개선 통한 자기자본 확충</t>
    </r>
  </si>
  <si>
    <r>
      <rPr>
        <b val="true"/>
        <sz val="10"/>
        <rFont val="Arial"/>
        <family val="0"/>
        <charset val="1"/>
      </rPr>
      <t xml:space="preserve">6. </t>
    </r>
    <r>
      <rPr>
        <b val="true"/>
        <sz val="10"/>
        <rFont val="DejaVu Sans"/>
        <family val="2"/>
      </rPr>
      <t xml:space="preserve">매출 다변화</t>
    </r>
  </si>
  <si>
    <r>
      <rPr>
        <sz val="10"/>
        <rFont val="DejaVu Sans"/>
        <family val="2"/>
      </rPr>
      <t xml:space="preserve">제품 포트폴리오 확대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신규 시장 개척</t>
    </r>
  </si>
  <si>
    <r>
      <rPr>
        <b val="true"/>
        <sz val="10"/>
        <rFont val="Arial"/>
        <family val="0"/>
        <charset val="1"/>
      </rPr>
      <t xml:space="preserve">7. </t>
    </r>
    <r>
      <rPr>
        <b val="true"/>
        <sz val="10"/>
        <rFont val="DejaVu Sans"/>
        <family val="2"/>
      </rPr>
      <t xml:space="preserve">재무 모니터링</t>
    </r>
  </si>
  <si>
    <r>
      <rPr>
        <sz val="10"/>
        <rFont val="DejaVu Sans"/>
        <family val="2"/>
      </rPr>
      <t xml:space="preserve">월별 </t>
    </r>
    <r>
      <rPr>
        <sz val="10"/>
        <rFont val="Arial"/>
        <family val="0"/>
        <charset val="1"/>
      </rPr>
      <t xml:space="preserve">KPI </t>
    </r>
    <r>
      <rPr>
        <sz val="10"/>
        <rFont val="DejaVu Sans"/>
        <family val="2"/>
      </rPr>
      <t xml:space="preserve">대시보드 구축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조기 경보 시스템 도입</t>
    </r>
  </si>
  <si>
    <r>
      <rPr>
        <b val="true"/>
        <sz val="14"/>
        <color rgb="FF1F4E79"/>
        <rFont val="DejaVu Sans"/>
        <family val="2"/>
      </rPr>
      <t xml:space="preserve">적용 환율 </t>
    </r>
    <r>
      <rPr>
        <b val="true"/>
        <sz val="14"/>
        <color rgb="FF1F4E79"/>
        <rFont val="Arial"/>
        <family val="0"/>
        <charset val="1"/>
      </rPr>
      <t xml:space="preserve">(VND/USD)</t>
    </r>
  </si>
  <si>
    <t xml:space="preserve">월</t>
  </si>
  <si>
    <t xml:space="preserve">환율</t>
  </si>
  <si>
    <t xml:space="preserve">비고</t>
  </si>
  <si>
    <t xml:space="preserve">Jan</t>
  </si>
  <si>
    <r>
      <rPr>
        <sz val="9"/>
        <color rgb="FF808080"/>
        <rFont val="Arial"/>
        <family val="0"/>
        <charset val="1"/>
      </rPr>
      <t xml:space="preserve">2025 PL </t>
    </r>
    <r>
      <rPr>
        <sz val="9"/>
        <color rgb="FF808080"/>
        <rFont val="DejaVu Sans"/>
        <family val="2"/>
      </rPr>
      <t xml:space="preserve">시트 기준</t>
    </r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</si>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</sst>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0.0"/>
    <numFmt numFmtId="168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6"/>
      <color rgb="FF1F4E79"/>
      <name val="DejaVu Sans"/>
      <family val="2"/>
    </font>
    <font>
      <i val="true"/>
      <sz val="9"/>
      <color rgb="FF808080"/>
      <name val="DejaVu Sans"/>
      <family val="2"/>
    </font>
    <font>
      <i val="true"/>
      <sz val="9"/>
      <color rgb="FF808080"/>
      <name val="Arial"/>
      <family val="0"/>
      <charset val="1"/>
    </font>
    <font>
      <b val="true"/>
      <sz val="12"/>
      <color rgb="FF1F4E79"/>
      <name val="DejaVu Sans"/>
      <family val="2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0000"/>
      <name val="DejaVu Sans"/>
      <family val="2"/>
    </font>
    <font>
      <b val="true"/>
      <sz val="10"/>
      <color rgb="FF008000"/>
      <name val="DejaVu Sans"/>
      <family val="2"/>
    </font>
    <font>
      <b val="true"/>
      <sz val="14"/>
      <color rgb="FF1F4E79"/>
      <name val="DejaVu Sans"/>
      <family val="2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sz val="9"/>
      <name val="DejaVu Sans"/>
      <family val="2"/>
    </font>
    <font>
      <sz val="9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808080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  <col collapsed="false" customWidth="true" hidden="false" outlineLevel="0" max="5" min="5" style="0" width="15"/>
  </cols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6" t="s">
        <v>8</v>
      </c>
      <c r="B6" s="7" t="n">
        <v>45961674.1292921</v>
      </c>
      <c r="C6" s="7" t="n">
        <v>46012375.3549909</v>
      </c>
      <c r="D6" s="8" t="n">
        <f aca="false">C6-B6</f>
        <v>50701.2256987765</v>
      </c>
      <c r="E6" s="9" t="n">
        <f aca="false">IF(B6=0,"-",D6/ABS(B6))</f>
        <v>0.0011031196460806</v>
      </c>
    </row>
    <row r="7" customFormat="false" ht="15" hidden="false" customHeight="false" outlineLevel="0" collapsed="false">
      <c r="A7" s="6" t="s">
        <v>9</v>
      </c>
      <c r="B7" s="7" t="n">
        <v>36627960.1108125</v>
      </c>
      <c r="C7" s="7" t="n">
        <v>37808823.5770404</v>
      </c>
      <c r="D7" s="8" t="n">
        <f aca="false">C7-B7</f>
        <v>1180863.46622784</v>
      </c>
      <c r="E7" s="9" t="n">
        <f aca="false">IF(B7=0,"-",D7/ABS(B7))</f>
        <v>0.0322394002465687</v>
      </c>
    </row>
    <row r="8" customFormat="false" ht="15" hidden="false" customHeight="false" outlineLevel="0" collapsed="false">
      <c r="A8" s="6" t="s">
        <v>10</v>
      </c>
      <c r="B8" s="7" t="n">
        <v>9333714.01847958</v>
      </c>
      <c r="C8" s="7" t="n">
        <v>8203551.77795049</v>
      </c>
      <c r="D8" s="8" t="n">
        <f aca="false">C8-B8</f>
        <v>-1130162.24052908</v>
      </c>
      <c r="E8" s="9" t="n">
        <f aca="false">IF(B8=0,"-",D8/ABS(B8))</f>
        <v>-0.12108387275328</v>
      </c>
    </row>
    <row r="9" customFormat="false" ht="15" hidden="false" customHeight="false" outlineLevel="0" collapsed="false">
      <c r="A9" s="6" t="s">
        <v>11</v>
      </c>
      <c r="B9" s="7" t="n">
        <v>6919229.00353914</v>
      </c>
      <c r="C9" s="7" t="n">
        <v>5842243.26500721</v>
      </c>
      <c r="D9" s="8" t="n">
        <f aca="false">C9-B9</f>
        <v>-1076985.73853193</v>
      </c>
      <c r="E9" s="9" t="n">
        <f aca="false">IF(B9=0,"-",D9/ABS(B9))</f>
        <v>-0.155651119218783</v>
      </c>
    </row>
    <row r="10" customFormat="false" ht="15" hidden="false" customHeight="false" outlineLevel="0" collapsed="false">
      <c r="A10" s="6" t="s">
        <v>12</v>
      </c>
      <c r="B10" s="7" t="n">
        <v>2414485.01494044</v>
      </c>
      <c r="C10" s="7" t="n">
        <v>2361308.51294328</v>
      </c>
      <c r="D10" s="8" t="n">
        <f aca="false">C10-B10</f>
        <v>-53176.5019971579</v>
      </c>
      <c r="E10" s="9" t="n">
        <f aca="false">IF(B10=0,"-",D10/ABS(B10))</f>
        <v>-0.0220239519682708</v>
      </c>
    </row>
    <row r="11" customFormat="false" ht="15" hidden="false" customHeight="false" outlineLevel="0" collapsed="false">
      <c r="A11" s="6" t="s">
        <v>13</v>
      </c>
      <c r="B11" s="7" t="n">
        <v>3515914.71285181</v>
      </c>
      <c r="C11" s="7" t="n">
        <v>759203.411920857</v>
      </c>
      <c r="D11" s="8" t="n">
        <f aca="false">C11-B11</f>
        <v>-2756711.30093095</v>
      </c>
      <c r="E11" s="9" t="n">
        <f aca="false">IF(B11=0,"-",D11/ABS(B11))</f>
        <v>-0.784066601744996</v>
      </c>
    </row>
    <row r="12" customFormat="false" ht="15" hidden="false" customHeight="false" outlineLevel="0" collapsed="false">
      <c r="A12" s="6" t="s">
        <v>14</v>
      </c>
      <c r="B12" s="7" t="n">
        <v>4350164.1054293</v>
      </c>
      <c r="C12" s="7" t="n">
        <v>1306044.36404903</v>
      </c>
      <c r="D12" s="8" t="n">
        <f aca="false">C12-B12</f>
        <v>-3044119.74138026</v>
      </c>
      <c r="E12" s="9" t="n">
        <f aca="false">IF(B12=0,"-",D12/ABS(B12))</f>
        <v>-0.699771242556344</v>
      </c>
    </row>
    <row r="13" customFormat="false" ht="15" hidden="false" customHeight="false" outlineLevel="0" collapsed="false">
      <c r="A13" s="6" t="s">
        <v>15</v>
      </c>
      <c r="B13" s="7" t="n">
        <v>1580235.62236296</v>
      </c>
      <c r="C13" s="7" t="n">
        <v>1814467.56081511</v>
      </c>
      <c r="D13" s="8" t="n">
        <f aca="false">C13-B13</f>
        <v>234231.938452154</v>
      </c>
      <c r="E13" s="9" t="n">
        <f aca="false">IF(B13=0,"-",D13/ABS(B13))</f>
        <v>0.148225957659341</v>
      </c>
    </row>
    <row r="14" customFormat="false" ht="15" hidden="false" customHeight="false" outlineLevel="0" collapsed="false">
      <c r="A14" s="10" t="s">
        <v>16</v>
      </c>
      <c r="B14" s="7" t="n">
        <v>5151342.77178644</v>
      </c>
      <c r="C14" s="7" t="n">
        <v>6173142.69652538</v>
      </c>
      <c r="D14" s="8" t="n">
        <f aca="false">C14-B14</f>
        <v>1021799.92473894</v>
      </c>
      <c r="E14" s="9" t="n">
        <f aca="false">IF(B14=0,"-",D14/ABS(B14))</f>
        <v>0.198356034534388</v>
      </c>
    </row>
    <row r="17" customFormat="false" ht="15" hidden="false" customHeight="false" outlineLevel="0" collapsed="false">
      <c r="A17" s="3" t="s">
        <v>17</v>
      </c>
    </row>
    <row r="18" customFormat="false" ht="15" hidden="false" customHeight="false" outlineLevel="0" collapsed="false">
      <c r="A18" s="4" t="s">
        <v>18</v>
      </c>
      <c r="B18" s="5" t="s">
        <v>19</v>
      </c>
      <c r="C18" s="5" t="s">
        <v>20</v>
      </c>
      <c r="D18" s="4" t="s">
        <v>21</v>
      </c>
      <c r="E18" s="4" t="s">
        <v>22</v>
      </c>
    </row>
    <row r="19" customFormat="false" ht="15" hidden="false" customHeight="false" outlineLevel="0" collapsed="false">
      <c r="A19" s="6" t="s">
        <v>23</v>
      </c>
      <c r="B19" s="11" t="n">
        <v>0.203076023563099</v>
      </c>
      <c r="C19" s="11" t="n">
        <v>0.178290116836158</v>
      </c>
      <c r="D19" s="9" t="n">
        <f aca="false">C19-B19</f>
        <v>-0.0247859067269403</v>
      </c>
      <c r="E19" s="12" t="s">
        <v>24</v>
      </c>
    </row>
    <row r="20" customFormat="false" ht="15" hidden="false" customHeight="false" outlineLevel="0" collapsed="false">
      <c r="A20" s="6" t="s">
        <v>25</v>
      </c>
      <c r="B20" s="11" t="n">
        <v>0.796923976436902</v>
      </c>
      <c r="C20" s="11" t="n">
        <v>0.821709883163841</v>
      </c>
      <c r="D20" s="9" t="n">
        <f aca="false">C20-B20</f>
        <v>0.0247859067269398</v>
      </c>
      <c r="E20" s="12" t="s">
        <v>24</v>
      </c>
    </row>
    <row r="21" customFormat="false" ht="15" hidden="false" customHeight="false" outlineLevel="0" collapsed="false">
      <c r="A21" s="6" t="s">
        <v>26</v>
      </c>
      <c r="B21" s="11" t="n">
        <v>0.150543450268479</v>
      </c>
      <c r="C21" s="11" t="n">
        <v>0.126971129395812</v>
      </c>
      <c r="D21" s="9" t="n">
        <f aca="false">C21-B21</f>
        <v>-0.0235723208726675</v>
      </c>
      <c r="E21" s="13" t="s">
        <v>27</v>
      </c>
    </row>
    <row r="22" customFormat="false" ht="15" hidden="false" customHeight="false" outlineLevel="0" collapsed="false">
      <c r="A22" s="6" t="s">
        <v>28</v>
      </c>
      <c r="B22" s="11" t="n">
        <v>0.0525325732946192</v>
      </c>
      <c r="C22" s="11" t="n">
        <v>0.0513189874403465</v>
      </c>
      <c r="D22" s="9" t="n">
        <f aca="false">C22-B22</f>
        <v>-0.00121358585427278</v>
      </c>
      <c r="E22" s="12" t="s">
        <v>24</v>
      </c>
    </row>
    <row r="23" customFormat="false" ht="15" hidden="false" customHeight="false" outlineLevel="0" collapsed="false">
      <c r="A23" s="6" t="s">
        <v>29</v>
      </c>
      <c r="B23" s="11" t="n">
        <v>0.0343815940628639</v>
      </c>
      <c r="C23" s="11" t="n">
        <v>0.0394343379757354</v>
      </c>
      <c r="D23" s="9" t="n">
        <f aca="false">C23-B23</f>
        <v>0.00505274391287151</v>
      </c>
      <c r="E23" s="13" t="s">
        <v>27</v>
      </c>
    </row>
    <row r="24" customFormat="false" ht="15" hidden="false" customHeight="false" outlineLevel="0" collapsed="false">
      <c r="A24" s="10" t="s">
        <v>30</v>
      </c>
      <c r="B24" s="11" t="n">
        <v>0.112079093492015</v>
      </c>
      <c r="C24" s="11" t="n">
        <v>0.13416266056466</v>
      </c>
      <c r="D24" s="9" t="n">
        <f aca="false">C24-B24</f>
        <v>0.0220835670726457</v>
      </c>
      <c r="E24" s="13" t="s">
        <v>27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14"/>
  </cols>
  <sheetData>
    <row r="1" customFormat="false" ht="17.9" hidden="false" customHeight="false" outlineLevel="0" collapsed="false">
      <c r="A1" s="14" t="s">
        <v>31</v>
      </c>
      <c r="B1" s="14"/>
      <c r="C1" s="14"/>
      <c r="D1" s="14"/>
      <c r="E1" s="14"/>
    </row>
    <row r="3" customFormat="false" ht="15" hidden="false" customHeight="false" outlineLevel="0" collapsed="false">
      <c r="A3" s="4" t="s">
        <v>3</v>
      </c>
      <c r="B3" s="5" t="s">
        <v>4</v>
      </c>
      <c r="C3" s="5" t="s">
        <v>5</v>
      </c>
      <c r="D3" s="4" t="s">
        <v>6</v>
      </c>
      <c r="E3" s="4" t="s">
        <v>7</v>
      </c>
    </row>
    <row r="4" customFormat="false" ht="15" hidden="false" customHeight="false" outlineLevel="0" collapsed="false">
      <c r="A4" s="15" t="s">
        <v>32</v>
      </c>
      <c r="B4" s="7" t="n">
        <v>44150003.3468116</v>
      </c>
      <c r="C4" s="7" t="n">
        <v>43086927.7684586</v>
      </c>
      <c r="D4" s="8" t="n">
        <f aca="false">C4-B4</f>
        <v>-1063075.57835305</v>
      </c>
      <c r="E4" s="9" t="n">
        <f aca="false">IF(B4=0,"-",D4/ABS(B4))</f>
        <v>-0.024078720221203</v>
      </c>
    </row>
    <row r="5" customFormat="false" ht="15" hidden="false" customHeight="false" outlineLevel="0" collapsed="false">
      <c r="A5" s="15" t="s">
        <v>33</v>
      </c>
      <c r="B5" s="7" t="n">
        <v>702272.038370077</v>
      </c>
      <c r="C5" s="7" t="n">
        <v>1195226.77738054</v>
      </c>
      <c r="D5" s="8" t="n">
        <f aca="false">C5-B5</f>
        <v>492954.739010459</v>
      </c>
      <c r="E5" s="9" t="n">
        <f aca="false">IF(B5=0,"-",D5/ABS(B5))</f>
        <v>0.701942711765331</v>
      </c>
    </row>
    <row r="6" customFormat="false" ht="15" hidden="false" customHeight="false" outlineLevel="0" collapsed="false">
      <c r="A6" s="15" t="s">
        <v>34</v>
      </c>
      <c r="B6" s="7" t="n">
        <v>1109398.74411037</v>
      </c>
      <c r="C6" s="7" t="n">
        <v>1730220.80915173</v>
      </c>
      <c r="D6" s="8" t="n">
        <f aca="false">C6-B6</f>
        <v>620822.06504136</v>
      </c>
      <c r="E6" s="9" t="n">
        <f aca="false">IF(B6=0,"-",D6/ABS(B6))</f>
        <v>0.559602278565041</v>
      </c>
    </row>
    <row r="7" customFormat="false" ht="15" hidden="false" customHeight="false" outlineLevel="0" collapsed="false">
      <c r="A7" s="16" t="s">
        <v>35</v>
      </c>
      <c r="B7" s="17" t="n">
        <v>45961674.1292921</v>
      </c>
      <c r="C7" s="17" t="n">
        <v>46012375.3549909</v>
      </c>
      <c r="D7" s="18" t="n">
        <f aca="false">C7-B7</f>
        <v>50701.2256987765</v>
      </c>
      <c r="E7" s="19" t="n">
        <f aca="false">IF(B7=0,"-",D7/ABS(B7))</f>
        <v>0.0011031196460806</v>
      </c>
    </row>
    <row r="9" customFormat="false" ht="15" hidden="false" customHeight="false" outlineLevel="0" collapsed="false">
      <c r="A9" s="15" t="s">
        <v>36</v>
      </c>
      <c r="B9" s="7" t="n">
        <v>33364830.6334238</v>
      </c>
      <c r="C9" s="7" t="n">
        <v>29176449.1157503</v>
      </c>
      <c r="D9" s="8" t="n">
        <f aca="false">C9-B9</f>
        <v>-4188381.5176735</v>
      </c>
      <c r="E9" s="9" t="n">
        <f aca="false">IF(B9=0,"-",D9/ABS(B9))</f>
        <v>-0.125532827176342</v>
      </c>
    </row>
    <row r="10" customFormat="false" ht="15" hidden="false" customHeight="false" outlineLevel="0" collapsed="false">
      <c r="A10" s="15" t="s">
        <v>37</v>
      </c>
      <c r="B10" s="7" t="n">
        <v>37582399.2885848</v>
      </c>
      <c r="C10" s="7" t="n">
        <v>36254565.40429</v>
      </c>
      <c r="D10" s="8" t="n">
        <f aca="false">C10-B10</f>
        <v>-1327833.88429476</v>
      </c>
      <c r="E10" s="9" t="n">
        <f aca="false">IF(B10=0,"-",D10/ABS(B10))</f>
        <v>-0.0353312696748999</v>
      </c>
    </row>
    <row r="11" customFormat="false" ht="15" hidden="false" customHeight="false" outlineLevel="0" collapsed="false">
      <c r="A11" s="15" t="s">
        <v>38</v>
      </c>
      <c r="B11" s="7" t="n">
        <v>34364996.0851418</v>
      </c>
      <c r="C11" s="7" t="n">
        <v>27463328.3065057</v>
      </c>
      <c r="D11" s="8" t="n">
        <f aca="false">C11-B11</f>
        <v>-6901667.7786361</v>
      </c>
      <c r="E11" s="9" t="n">
        <f aca="false">IF(B11=0,"-",D11/ABS(B11))</f>
        <v>-0.200834237301722</v>
      </c>
    </row>
    <row r="12" customFormat="false" ht="15" hidden="false" customHeight="false" outlineLevel="0" collapsed="false">
      <c r="A12" s="15" t="s">
        <v>39</v>
      </c>
      <c r="B12" s="7" t="n">
        <v>-436212.6757688</v>
      </c>
      <c r="C12" s="7" t="n">
        <v>-1180450.37801237</v>
      </c>
      <c r="D12" s="8" t="n">
        <f aca="false">C12-B12</f>
        <v>-744237.702243568</v>
      </c>
      <c r="E12" s="9" t="n">
        <f aca="false">IF(B12=0,"-",D12/ABS(B12))</f>
        <v>-1.70613497402819</v>
      </c>
    </row>
    <row r="13" customFormat="false" ht="15" hidden="false" customHeight="false" outlineLevel="0" collapsed="false">
      <c r="A13" s="15" t="s">
        <v>40</v>
      </c>
      <c r="B13" s="7" t="n">
        <v>481938.949714506</v>
      </c>
      <c r="C13" s="7" t="n">
        <v>1021587.7415181</v>
      </c>
      <c r="D13" s="8" t="n">
        <f aca="false">C13-B13</f>
        <v>539648.791803593</v>
      </c>
      <c r="E13" s="9" t="n">
        <f aca="false">IF(B13=0,"-",D13/ABS(B13))</f>
        <v>1.11974512979968</v>
      </c>
    </row>
    <row r="14" customFormat="false" ht="15" hidden="false" customHeight="false" outlineLevel="0" collapsed="false">
      <c r="A14" s="16" t="s">
        <v>41</v>
      </c>
      <c r="B14" s="17" t="n">
        <v>36627960.1108125</v>
      </c>
      <c r="C14" s="17" t="n">
        <v>37808823.5770404</v>
      </c>
      <c r="D14" s="18" t="n">
        <f aca="false">C14-B14</f>
        <v>1180863.46622784</v>
      </c>
      <c r="E14" s="19" t="n">
        <f aca="false">IF(B14=0,"-",D14/ABS(B14))</f>
        <v>0.0322394002465687</v>
      </c>
    </row>
    <row r="16" customFormat="false" ht="15" hidden="false" customHeight="false" outlineLevel="0" collapsed="false">
      <c r="A16" s="16" t="s">
        <v>42</v>
      </c>
      <c r="B16" s="17" t="n">
        <v>9333714.01847958</v>
      </c>
      <c r="C16" s="17" t="n">
        <v>8203551.77795049</v>
      </c>
      <c r="D16" s="18" t="n">
        <f aca="false">C16-B16</f>
        <v>-1130162.24052908</v>
      </c>
      <c r="E16" s="19" t="n">
        <f aca="false">IF(B16=0,"-",D16/ABS(B16))</f>
        <v>-0.12108387275328</v>
      </c>
    </row>
    <row r="18" customFormat="false" ht="15" hidden="false" customHeight="false" outlineLevel="0" collapsed="false">
      <c r="A18" s="15" t="s">
        <v>43</v>
      </c>
      <c r="B18" s="7" t="n">
        <v>1391835.76572588</v>
      </c>
      <c r="C18" s="7" t="n">
        <v>1875998.98050272</v>
      </c>
      <c r="D18" s="8" t="n">
        <f aca="false">C18-B18</f>
        <v>484163.214776837</v>
      </c>
      <c r="E18" s="9" t="n">
        <f aca="false">IF(B18=0,"-",D18/ABS(B18))</f>
        <v>0.347859443405186</v>
      </c>
    </row>
    <row r="19" customFormat="false" ht="15" hidden="false" customHeight="false" outlineLevel="0" collapsed="false">
      <c r="A19" s="15" t="s">
        <v>44</v>
      </c>
      <c r="B19" s="7" t="n">
        <v>77378.9785639116</v>
      </c>
      <c r="C19" s="7" t="n">
        <v>136014.028537143</v>
      </c>
      <c r="D19" s="8" t="n">
        <f aca="false">C19-B19</f>
        <v>58635.0499732312</v>
      </c>
      <c r="E19" s="9" t="n">
        <f aca="false">IF(B19=0,"-",D19/ABS(B19))</f>
        <v>0.757764590092144</v>
      </c>
    </row>
    <row r="20" customFormat="false" ht="15" hidden="false" customHeight="false" outlineLevel="0" collapsed="false">
      <c r="A20" s="15" t="s">
        <v>45</v>
      </c>
      <c r="B20" s="7" t="n">
        <v>53789.3877621769</v>
      </c>
      <c r="C20" s="7" t="n">
        <v>70074.3425479837</v>
      </c>
      <c r="D20" s="8" t="n">
        <f aca="false">C20-B20</f>
        <v>16284.9547858068</v>
      </c>
      <c r="E20" s="9" t="n">
        <f aca="false">IF(B20=0,"-",D20/ABS(B20))</f>
        <v>0.302754046166294</v>
      </c>
    </row>
    <row r="21" customFormat="false" ht="15" hidden="false" customHeight="false" outlineLevel="0" collapsed="false">
      <c r="A21" s="15" t="s">
        <v>46</v>
      </c>
      <c r="B21" s="7" t="n">
        <v>818022.298483537</v>
      </c>
      <c r="C21" s="7" t="n">
        <v>627400.397398912</v>
      </c>
      <c r="D21" s="8" t="n">
        <f aca="false">C21-B21</f>
        <v>-190621.901084625</v>
      </c>
      <c r="E21" s="9" t="n">
        <f aca="false">IF(B21=0,"-",D21/ABS(B21))</f>
        <v>-0.233027756624732</v>
      </c>
    </row>
    <row r="22" customFormat="false" ht="15" hidden="false" customHeight="false" outlineLevel="0" collapsed="false">
      <c r="A22" s="15" t="s">
        <v>47</v>
      </c>
      <c r="B22" s="7" t="n">
        <v>6680.07311930646</v>
      </c>
      <c r="C22" s="7" t="n">
        <v>6205.90174375374</v>
      </c>
      <c r="D22" s="8" t="n">
        <f aca="false">C22-B22</f>
        <v>-474.171375552721</v>
      </c>
      <c r="E22" s="9" t="n">
        <f aca="false">IF(B22=0,"-",D22/ABS(B22))</f>
        <v>-0.0709829618754158</v>
      </c>
    </row>
    <row r="23" customFormat="false" ht="15" hidden="false" customHeight="false" outlineLevel="0" collapsed="false">
      <c r="A23" s="15" t="s">
        <v>48</v>
      </c>
      <c r="B23" s="7" t="n">
        <v>35675.3810675508</v>
      </c>
      <c r="C23" s="7" t="n">
        <v>48631.4529036735</v>
      </c>
      <c r="D23" s="8" t="n">
        <f aca="false">C23-B23</f>
        <v>12956.0718361227</v>
      </c>
      <c r="E23" s="9" t="n">
        <f aca="false">IF(B23=0,"-",D23/ABS(B23))</f>
        <v>0.363165618654235</v>
      </c>
    </row>
    <row r="24" customFormat="false" ht="15" hidden="false" customHeight="false" outlineLevel="0" collapsed="false">
      <c r="A24" s="15" t="s">
        <v>49</v>
      </c>
      <c r="B24" s="7" t="n">
        <v>1639045.72914961</v>
      </c>
      <c r="C24" s="7" t="n">
        <v>994542.751258676</v>
      </c>
      <c r="D24" s="8" t="n">
        <f aca="false">C24-B24</f>
        <v>-644502.977890933</v>
      </c>
      <c r="E24" s="9" t="n">
        <f aca="false">IF(B24=0,"-",D24/ABS(B24))</f>
        <v>-0.393218423640518</v>
      </c>
    </row>
    <row r="25" customFormat="false" ht="15" hidden="false" customHeight="false" outlineLevel="0" collapsed="false">
      <c r="A25" s="15" t="s">
        <v>50</v>
      </c>
      <c r="B25" s="7" t="n">
        <v>32622.3297691156</v>
      </c>
      <c r="C25" s="7" t="n">
        <v>28137.1779938435</v>
      </c>
      <c r="D25" s="8" t="n">
        <f aca="false">C25-B25</f>
        <v>-4485.15177527211</v>
      </c>
      <c r="E25" s="9" t="n">
        <f aca="false">IF(B25=0,"-",D25/ABS(B25))</f>
        <v>-0.13748716927993</v>
      </c>
    </row>
    <row r="26" customFormat="false" ht="15" hidden="false" customHeight="false" outlineLevel="0" collapsed="false">
      <c r="A26" s="15" t="s">
        <v>51</v>
      </c>
      <c r="B26" s="7" t="n">
        <v>101665.549689864</v>
      </c>
      <c r="C26" s="7" t="n">
        <v>116582.38549528</v>
      </c>
      <c r="D26" s="8" t="n">
        <f aca="false">C26-B26</f>
        <v>14916.8358054163</v>
      </c>
      <c r="E26" s="9" t="n">
        <f aca="false">IF(B26=0,"-",D26/ABS(B26))</f>
        <v>0.146724587147966</v>
      </c>
    </row>
    <row r="27" customFormat="false" ht="15" hidden="false" customHeight="false" outlineLevel="0" collapsed="false">
      <c r="A27" s="15" t="s">
        <v>52</v>
      </c>
      <c r="B27" s="7" t="n">
        <v>72160.9351478572</v>
      </c>
      <c r="C27" s="7" t="n">
        <v>63987.6112183333</v>
      </c>
      <c r="D27" s="8" t="n">
        <f aca="false">C27-B27</f>
        <v>-8173.32392952382</v>
      </c>
      <c r="E27" s="9" t="n">
        <f aca="false">IF(B27=0,"-",D27/ABS(B27))</f>
        <v>-0.113265216322055</v>
      </c>
    </row>
    <row r="28" customFormat="false" ht="15" hidden="false" customHeight="false" outlineLevel="0" collapsed="false">
      <c r="A28" s="15" t="s">
        <v>53</v>
      </c>
      <c r="B28" s="7" t="n">
        <v>495852.451971434</v>
      </c>
      <c r="C28" s="7" t="n">
        <v>554995.479042456</v>
      </c>
      <c r="D28" s="8" t="n">
        <f aca="false">C28-B28</f>
        <v>59143.0270710218</v>
      </c>
      <c r="E28" s="9" t="n">
        <f aca="false">IF(B28=0,"-",D28/ABS(B28))</f>
        <v>0.119275455502697</v>
      </c>
    </row>
    <row r="29" customFormat="false" ht="15" hidden="false" customHeight="false" outlineLevel="0" collapsed="false">
      <c r="A29" s="15" t="s">
        <v>54</v>
      </c>
      <c r="B29" s="7" t="n">
        <v>751235.784020398</v>
      </c>
      <c r="C29" s="7" t="n">
        <v>556245.588495686</v>
      </c>
      <c r="D29" s="8" t="n">
        <f aca="false">C29-B29</f>
        <v>-194990.195524712</v>
      </c>
      <c r="E29" s="9" t="n">
        <f aca="false">IF(B29=0,"-",D29/ABS(B29))</f>
        <v>-0.259559248470807</v>
      </c>
    </row>
    <row r="30" customFormat="false" ht="15" hidden="false" customHeight="false" outlineLevel="0" collapsed="false">
      <c r="A30" s="15" t="s">
        <v>55</v>
      </c>
      <c r="B30" s="7" t="n">
        <v>35676.68818852</v>
      </c>
      <c r="C30" s="7" t="n">
        <v>175202.74897661</v>
      </c>
      <c r="D30" s="8" t="n">
        <f aca="false">C30-B30</f>
        <v>139526.06078809</v>
      </c>
      <c r="E30" s="9" t="n">
        <f aca="false">IF(B30=0,"-",D30/ABS(B30))</f>
        <v>3.91084677060878</v>
      </c>
    </row>
    <row r="31" customFormat="false" ht="15" hidden="false" customHeight="false" outlineLevel="0" collapsed="false">
      <c r="A31" s="15" t="s">
        <v>56</v>
      </c>
      <c r="B31" s="7" t="n">
        <v>68728.8030125619</v>
      </c>
      <c r="C31" s="7" t="n">
        <v>125933.404678988</v>
      </c>
      <c r="D31" s="8" t="n">
        <f aca="false">C31-B31</f>
        <v>57204.6016664262</v>
      </c>
      <c r="E31" s="9" t="n">
        <f aca="false">IF(B31=0,"-",D31/ABS(B31))</f>
        <v>0.832323555176286</v>
      </c>
    </row>
    <row r="32" customFormat="false" ht="15" hidden="false" customHeight="false" outlineLevel="0" collapsed="false">
      <c r="A32" s="15" t="s">
        <v>57</v>
      </c>
      <c r="B32" s="7" t="n">
        <v>6776.50747187087</v>
      </c>
      <c r="C32" s="7" t="n">
        <v>30534.9361947619</v>
      </c>
      <c r="D32" s="8" t="n">
        <f aca="false">C32-B32</f>
        <v>23758.428722891</v>
      </c>
      <c r="E32" s="9" t="n">
        <f aca="false">IF(B32=0,"-",D32/ABS(B32))</f>
        <v>3.50599904471614</v>
      </c>
    </row>
    <row r="33" customFormat="false" ht="15" hidden="false" customHeight="false" outlineLevel="0" collapsed="false">
      <c r="A33" s="15" t="s">
        <v>58</v>
      </c>
      <c r="B33" s="7" t="n">
        <v>8054.05508792517</v>
      </c>
      <c r="C33" s="7" t="n">
        <v>11883.8419932517</v>
      </c>
      <c r="D33" s="8" t="n">
        <f aca="false">C33-B33</f>
        <v>3829.78690532653</v>
      </c>
      <c r="E33" s="9" t="n">
        <f aca="false">IF(B33=0,"-",D33/ABS(B33))</f>
        <v>0.475510393648566</v>
      </c>
    </row>
    <row r="34" customFormat="false" ht="15" hidden="false" customHeight="false" outlineLevel="0" collapsed="false">
      <c r="A34" s="15" t="s">
        <v>59</v>
      </c>
      <c r="B34" s="7" t="n">
        <v>6334.88606734694</v>
      </c>
      <c r="C34" s="7" t="n">
        <v>9362.19837921769</v>
      </c>
      <c r="D34" s="8" t="n">
        <f aca="false">C34-B34</f>
        <v>3027.31231187075</v>
      </c>
      <c r="E34" s="9" t="n">
        <f aca="false">IF(B34=0,"-",D34/ABS(B34))</f>
        <v>0.477879519803044</v>
      </c>
    </row>
    <row r="35" customFormat="false" ht="15" hidden="false" customHeight="false" outlineLevel="0" collapsed="false">
      <c r="A35" s="15" t="s">
        <v>60</v>
      </c>
      <c r="B35" s="7" t="n">
        <v>8732.41645408163</v>
      </c>
      <c r="C35" s="7" t="n">
        <v>9153.45173469388</v>
      </c>
      <c r="D35" s="8" t="n">
        <f aca="false">C35-B35</f>
        <v>421.035280612245</v>
      </c>
      <c r="E35" s="9" t="n">
        <f aca="false">IF(B35=0,"-",D35/ABS(B35))</f>
        <v>0.0482152085652589</v>
      </c>
    </row>
    <row r="36" customFormat="false" ht="15" hidden="false" customHeight="false" outlineLevel="0" collapsed="false">
      <c r="A36" s="15" t="s">
        <v>61</v>
      </c>
      <c r="B36" s="7" t="n">
        <v>41078.8491314286</v>
      </c>
      <c r="C36" s="7" t="n">
        <v>62353.5794364626</v>
      </c>
      <c r="D36" s="8" t="n">
        <f aca="false">C36-B36</f>
        <v>21274.730305034</v>
      </c>
      <c r="E36" s="9" t="n">
        <f aca="false">IF(B36=0,"-",D36/ABS(B36))</f>
        <v>0.517899862212964</v>
      </c>
    </row>
    <row r="37" customFormat="false" ht="15" hidden="false" customHeight="false" outlineLevel="0" collapsed="false">
      <c r="A37" s="15" t="s">
        <v>62</v>
      </c>
      <c r="B37" s="7" t="n">
        <v>22536.1105474908</v>
      </c>
      <c r="C37" s="7" t="n">
        <v>30434.0849390072</v>
      </c>
      <c r="D37" s="8" t="n">
        <f aca="false">C37-B37</f>
        <v>7897.97439151633</v>
      </c>
      <c r="E37" s="9" t="n">
        <f aca="false">IF(B37=0,"-",D37/ABS(B37))</f>
        <v>0.350458628381005</v>
      </c>
    </row>
    <row r="38" customFormat="false" ht="15" hidden="false" customHeight="false" outlineLevel="0" collapsed="false">
      <c r="A38" s="15" t="s">
        <v>63</v>
      </c>
      <c r="B38" s="7" t="n">
        <v>82620.8059156831</v>
      </c>
      <c r="C38" s="7" t="n">
        <v>98910.1507132685</v>
      </c>
      <c r="D38" s="8" t="n">
        <f aca="false">C38-B38</f>
        <v>16289.3447975854</v>
      </c>
      <c r="E38" s="9" t="n">
        <f aca="false">IF(B38=0,"-",D38/ABS(B38))</f>
        <v>0.197157902504717</v>
      </c>
    </row>
    <row r="39" customFormat="false" ht="15" hidden="false" customHeight="false" outlineLevel="0" collapsed="false">
      <c r="A39" s="15" t="s">
        <v>64</v>
      </c>
      <c r="B39" s="7" t="n">
        <v>5661.40986666667</v>
      </c>
      <c r="C39" s="7" t="n">
        <v>1836.17664</v>
      </c>
      <c r="D39" s="8" t="n">
        <f aca="false">C39-B39</f>
        <v>-3825.23322666667</v>
      </c>
      <c r="E39" s="9" t="n">
        <f aca="false">IF(B39=0,"-",D39/ABS(B39))</f>
        <v>-0.675667954936266</v>
      </c>
    </row>
    <row r="40" customFormat="false" ht="15" hidden="false" customHeight="false" outlineLevel="0" collapsed="false">
      <c r="A40" s="15" t="s">
        <v>65</v>
      </c>
      <c r="B40" s="7" t="n">
        <v>151721.954230328</v>
      </c>
      <c r="C40" s="7" t="n">
        <v>186282.036096419</v>
      </c>
      <c r="D40" s="8" t="n">
        <f aca="false">C40-B40</f>
        <v>34560.0818660914</v>
      </c>
      <c r="E40" s="9" t="n">
        <f aca="false">IF(B40=0,"-",D40/ABS(B40))</f>
        <v>0.227785636175145</v>
      </c>
    </row>
    <row r="41" customFormat="false" ht="15" hidden="false" customHeight="false" outlineLevel="0" collapsed="false">
      <c r="A41" s="16" t="s">
        <v>66</v>
      </c>
      <c r="B41" s="17" t="n">
        <v>6919229.00353914</v>
      </c>
      <c r="C41" s="17" t="n">
        <v>5842243.26500721</v>
      </c>
      <c r="D41" s="18" t="n">
        <f aca="false">C41-B41</f>
        <v>-1076985.73853193</v>
      </c>
      <c r="E41" s="19" t="n">
        <f aca="false">IF(B41=0,"-",D41/ABS(B41))</f>
        <v>-0.155651119218783</v>
      </c>
    </row>
    <row r="43" customFormat="false" ht="15" hidden="false" customHeight="false" outlineLevel="0" collapsed="false">
      <c r="A43" s="16" t="s">
        <v>67</v>
      </c>
      <c r="B43" s="17" t="n">
        <v>2414485.01494044</v>
      </c>
      <c r="C43" s="17" t="n">
        <v>2361308.51294328</v>
      </c>
      <c r="D43" s="18" t="n">
        <f aca="false">C43-B43</f>
        <v>-53176.5019971579</v>
      </c>
      <c r="E43" s="19" t="n">
        <f aca="false">IF(B43=0,"-",D43/ABS(B43))</f>
        <v>-0.0220239519682708</v>
      </c>
    </row>
    <row r="45" customFormat="false" ht="15" hidden="false" customHeight="false" outlineLevel="0" collapsed="false">
      <c r="A45" s="15" t="s">
        <v>68</v>
      </c>
      <c r="B45" s="7" t="n">
        <v>1632.36265544218</v>
      </c>
      <c r="C45" s="7" t="n">
        <v>15880.4143312585</v>
      </c>
      <c r="D45" s="8" t="n">
        <f aca="false">C45-B45</f>
        <v>14248.0516758163</v>
      </c>
      <c r="E45" s="9" t="n">
        <f aca="false">IF(B45=0,"-",D45/ABS(B45))</f>
        <v>8.72848421783871</v>
      </c>
    </row>
    <row r="46" customFormat="false" ht="15" hidden="false" customHeight="false" outlineLevel="0" collapsed="false">
      <c r="A46" s="15" t="s">
        <v>69</v>
      </c>
      <c r="B46" s="7" t="n">
        <v>589851.213427069</v>
      </c>
      <c r="C46" s="7" t="n">
        <v>608996.288793093</v>
      </c>
      <c r="D46" s="8" t="n">
        <f aca="false">C46-B46</f>
        <v>19145.0753660238</v>
      </c>
      <c r="E46" s="9" t="n">
        <f aca="false">IF(B46=0,"-",D46/ABS(B46))</f>
        <v>0.0324574654255432</v>
      </c>
    </row>
    <row r="47" customFormat="false" ht="15" hidden="false" customHeight="false" outlineLevel="0" collapsed="false">
      <c r="A47" s="15" t="s">
        <v>70</v>
      </c>
      <c r="B47" s="7" t="n">
        <v>119356.883129299</v>
      </c>
      <c r="C47" s="7" t="n">
        <v>68231.5854765061</v>
      </c>
      <c r="D47" s="8" t="n">
        <f aca="false">C47-B47</f>
        <v>-51125.2976527932</v>
      </c>
      <c r="E47" s="9" t="n">
        <f aca="false">IF(B47=0,"-",D47/ABS(B47))</f>
        <v>-0.428339751444491</v>
      </c>
    </row>
    <row r="48" customFormat="false" ht="15" hidden="false" customHeight="false" outlineLevel="0" collapsed="false">
      <c r="A48" s="15" t="s">
        <v>71</v>
      </c>
      <c r="B48" s="7" t="n">
        <v>2805074.25364</v>
      </c>
      <c r="C48" s="7" t="n">
        <v>66095.12332</v>
      </c>
      <c r="D48" s="8" t="n">
        <f aca="false">C48-B48</f>
        <v>-2738979.13032</v>
      </c>
      <c r="E48" s="9" t="n">
        <f aca="false">IF(B48=0,"-",D48/ABS(B48))</f>
        <v>-0.976437299927361</v>
      </c>
    </row>
    <row r="49" customFormat="false" ht="15" hidden="false" customHeight="false" outlineLevel="0" collapsed="false">
      <c r="A49" s="16" t="s">
        <v>72</v>
      </c>
      <c r="B49" s="17" t="n">
        <v>3515914.71285181</v>
      </c>
      <c r="C49" s="17" t="n">
        <v>759203.411920857</v>
      </c>
      <c r="D49" s="18" t="n">
        <f aca="false">C49-B49</f>
        <v>-2756711.30093095</v>
      </c>
      <c r="E49" s="19" t="n">
        <f aca="false">IF(B49=0,"-",D49/ABS(B49))</f>
        <v>-0.784066601744996</v>
      </c>
    </row>
    <row r="51" customFormat="false" ht="15" hidden="false" customHeight="false" outlineLevel="0" collapsed="false">
      <c r="A51" s="15" t="s">
        <v>73</v>
      </c>
      <c r="B51" s="7" t="n">
        <v>714824.179008681</v>
      </c>
      <c r="C51" s="7" t="n">
        <v>780008.021749716</v>
      </c>
      <c r="D51" s="8" t="n">
        <f aca="false">C51-B51</f>
        <v>65183.8427410347</v>
      </c>
      <c r="E51" s="9" t="n">
        <f aca="false">IF(B51=0,"-",D51/ABS(B51))</f>
        <v>0.0911886372274532</v>
      </c>
    </row>
    <row r="52" customFormat="false" ht="15" hidden="false" customHeight="false" outlineLevel="0" collapsed="false">
      <c r="A52" s="15" t="s">
        <v>74</v>
      </c>
      <c r="B52" s="7" t="n">
        <v>26861.9093420422</v>
      </c>
      <c r="C52" s="7" t="n">
        <v>9052.83023942177</v>
      </c>
      <c r="D52" s="8" t="n">
        <f aca="false">C52-B52</f>
        <v>-17809.0791026204</v>
      </c>
      <c r="E52" s="9" t="n">
        <f aca="false">IF(B52=0,"-",D52/ABS(B52))</f>
        <v>-0.662986345305954</v>
      </c>
    </row>
    <row r="53" customFormat="false" ht="15" hidden="false" customHeight="false" outlineLevel="0" collapsed="false">
      <c r="A53" s="15" t="s">
        <v>75</v>
      </c>
      <c r="B53" s="7" t="n">
        <v>685398.325750168</v>
      </c>
      <c r="C53" s="7" t="n">
        <v>454054.648033946</v>
      </c>
      <c r="D53" s="8" t="n">
        <f aca="false">C53-B53</f>
        <v>-231343.677716221</v>
      </c>
      <c r="E53" s="9" t="n">
        <f aca="false">IF(B53=0,"-",D53/ABS(B53))</f>
        <v>-0.337531722831415</v>
      </c>
    </row>
    <row r="54" customFormat="false" ht="15" hidden="false" customHeight="false" outlineLevel="0" collapsed="false">
      <c r="A54" s="15" t="s">
        <v>76</v>
      </c>
      <c r="B54" s="7" t="n">
        <v>10014.0017581242</v>
      </c>
      <c r="C54" s="7" t="n">
        <v>2020.99672387755</v>
      </c>
      <c r="D54" s="8" t="n">
        <f aca="false">C54-B54</f>
        <v>-7993.0050342466</v>
      </c>
      <c r="E54" s="9" t="n">
        <f aca="false">IF(B54=0,"-",D54/ABS(B54))</f>
        <v>-0.798182907024361</v>
      </c>
    </row>
    <row r="55" customFormat="false" ht="15" hidden="false" customHeight="false" outlineLevel="0" collapsed="false">
      <c r="A55" s="15" t="s">
        <v>77</v>
      </c>
      <c r="B55" s="7" t="n">
        <v>37099.690987</v>
      </c>
      <c r="C55" s="7" t="n">
        <v>5016.60533333333</v>
      </c>
      <c r="D55" s="8" t="n">
        <f aca="false">C55-B55</f>
        <v>-32083.0856536667</v>
      </c>
      <c r="E55" s="9" t="n">
        <f aca="false">IF(B55=0,"-",D55/ABS(B55))</f>
        <v>-0.864780401133498</v>
      </c>
    </row>
    <row r="56" customFormat="false" ht="15" hidden="false" customHeight="false" outlineLevel="0" collapsed="false">
      <c r="A56" s="15" t="s">
        <v>78</v>
      </c>
      <c r="B56" s="7" t="n">
        <v>84572.584046615</v>
      </c>
      <c r="C56" s="7" t="n">
        <v>12436.1531900878</v>
      </c>
      <c r="D56" s="8" t="n">
        <f aca="false">C56-B56</f>
        <v>-72136.4308565272</v>
      </c>
      <c r="E56" s="9" t="n">
        <f aca="false">IF(B56=0,"-",D56/ABS(B56))</f>
        <v>-0.852952900395793</v>
      </c>
    </row>
    <row r="57" customFormat="false" ht="15" hidden="false" customHeight="false" outlineLevel="0" collapsed="false">
      <c r="A57" s="15" t="s">
        <v>79</v>
      </c>
      <c r="B57" s="7" t="n">
        <v>2791393.41453667</v>
      </c>
      <c r="C57" s="7" t="n">
        <v>43455.1087786499</v>
      </c>
      <c r="D57" s="8" t="n">
        <f aca="false">C57-B57</f>
        <v>-2747938.30575802</v>
      </c>
      <c r="E57" s="9" t="n">
        <f aca="false">IF(B57=0,"-",D57/ABS(B57))</f>
        <v>-0.984432467113969</v>
      </c>
    </row>
    <row r="58" customFormat="false" ht="15" hidden="false" customHeight="false" outlineLevel="0" collapsed="false">
      <c r="A58" s="16" t="s">
        <v>80</v>
      </c>
      <c r="B58" s="17" t="n">
        <v>4350164.1054293</v>
      </c>
      <c r="C58" s="17" t="n">
        <v>1306044.36404903</v>
      </c>
      <c r="D58" s="18" t="n">
        <f aca="false">C58-B58</f>
        <v>-3044119.74138026</v>
      </c>
      <c r="E58" s="19" t="n">
        <f aca="false">IF(B58=0,"-",D58/ABS(B58))</f>
        <v>-0.699771242556344</v>
      </c>
    </row>
    <row r="60" customFormat="false" ht="15" hidden="false" customHeight="false" outlineLevel="0" collapsed="false">
      <c r="A60" s="16" t="s">
        <v>81</v>
      </c>
      <c r="B60" s="17" t="n">
        <v>1580235.62236296</v>
      </c>
      <c r="C60" s="17" t="n">
        <v>1814467.56081511</v>
      </c>
      <c r="D60" s="18" t="n">
        <f aca="false">C60-B60</f>
        <v>234231.938452154</v>
      </c>
      <c r="E60" s="19" t="n">
        <f aca="false">IF(B60=0,"-",D60/ABS(B60))</f>
        <v>0.148225957659341</v>
      </c>
    </row>
    <row r="61" customFormat="false" ht="15" hidden="false" customHeight="false" outlineLevel="0" collapsed="false">
      <c r="A61" s="16" t="s">
        <v>16</v>
      </c>
      <c r="B61" s="17" t="n">
        <v>5151342.77178644</v>
      </c>
      <c r="C61" s="17" t="n">
        <v>6173142.69652538</v>
      </c>
      <c r="D61" s="18" t="n">
        <f aca="false">C61-B61</f>
        <v>1021799.92473894</v>
      </c>
      <c r="E61" s="19" t="n">
        <f aca="false">IF(B61=0,"-",D61/ABS(B61))</f>
        <v>0.198356034534388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14"/>
  </cols>
  <sheetData>
    <row r="1" customFormat="false" ht="17.9" hidden="false" customHeight="false" outlineLevel="0" collapsed="false">
      <c r="A1" s="14" t="s">
        <v>82</v>
      </c>
      <c r="B1" s="14"/>
      <c r="C1" s="14"/>
      <c r="D1" s="14"/>
      <c r="E1" s="14"/>
    </row>
    <row r="3" customFormat="false" ht="15" hidden="false" customHeight="false" outlineLevel="0" collapsed="false">
      <c r="A3" s="4" t="s">
        <v>3</v>
      </c>
      <c r="B3" s="5" t="s">
        <v>83</v>
      </c>
      <c r="C3" s="5" t="s">
        <v>84</v>
      </c>
      <c r="D3" s="4" t="s">
        <v>6</v>
      </c>
      <c r="E3" s="4" t="s">
        <v>7</v>
      </c>
    </row>
    <row r="4" customFormat="false" ht="15" hidden="false" customHeight="false" outlineLevel="0" collapsed="false">
      <c r="A4" s="15" t="s">
        <v>85</v>
      </c>
      <c r="B4" s="7" t="n">
        <v>912517.006403601</v>
      </c>
      <c r="C4" s="7" t="n">
        <v>2793725.6054308</v>
      </c>
      <c r="D4" s="8" t="n">
        <f aca="false">C4-B4</f>
        <v>1881208.5990272</v>
      </c>
      <c r="E4" s="9" t="n">
        <f aca="false">IF(B4=0,"-",D4/ABS(B4))</f>
        <v>2.06156004307404</v>
      </c>
    </row>
    <row r="5" customFormat="false" ht="15" hidden="false" customHeight="false" outlineLevel="0" collapsed="false">
      <c r="A5" s="16" t="s">
        <v>86</v>
      </c>
      <c r="B5" s="17" t="n">
        <v>7883550.11152604</v>
      </c>
      <c r="C5" s="17" t="n">
        <v>3406771.6221319</v>
      </c>
      <c r="D5" s="18" t="n">
        <f aca="false">C5-B5</f>
        <v>-4476778.48939414</v>
      </c>
      <c r="E5" s="19" t="n">
        <f aca="false">IF(B5=0,"-",D5/ABS(B5))</f>
        <v>-0.567863262878094</v>
      </c>
    </row>
    <row r="6" customFormat="false" ht="15" hidden="false" customHeight="false" outlineLevel="0" collapsed="false">
      <c r="A6" s="15" t="s">
        <v>87</v>
      </c>
      <c r="B6" s="7" t="n">
        <v>11262721.884344</v>
      </c>
      <c r="C6" s="7" t="n">
        <v>11258263.0618784</v>
      </c>
      <c r="D6" s="8" t="n">
        <f aca="false">C6-B6</f>
        <v>-4458.82246560045</v>
      </c>
      <c r="E6" s="9" t="n">
        <f aca="false">IF(B6=0,"-",D6/ABS(B6))</f>
        <v>-0.00039589208642349</v>
      </c>
    </row>
    <row r="7" customFormat="false" ht="15" hidden="false" customHeight="false" outlineLevel="0" collapsed="false">
      <c r="A7" s="15" t="s">
        <v>88</v>
      </c>
      <c r="B7" s="7" t="n">
        <v>733091.9239632</v>
      </c>
      <c r="C7" s="7" t="n">
        <v>126393.386118</v>
      </c>
      <c r="D7" s="8" t="n">
        <f aca="false">C7-B7</f>
        <v>-606698.5378452</v>
      </c>
      <c r="E7" s="9" t="n">
        <f aca="false">IF(B7=0,"-",D7/ABS(B7))</f>
        <v>-0.827588625673709</v>
      </c>
    </row>
    <row r="8" customFormat="false" ht="15" hidden="false" customHeight="false" outlineLevel="0" collapsed="false">
      <c r="A8" s="15" t="s">
        <v>89</v>
      </c>
      <c r="B8" s="7" t="n">
        <v>772380.9163752</v>
      </c>
      <c r="C8" s="7" t="n">
        <v>223602.643374</v>
      </c>
      <c r="D8" s="8" t="n">
        <f aca="false">C8-B8</f>
        <v>-548778.2730012</v>
      </c>
      <c r="E8" s="9" t="n">
        <f aca="false">IF(B8=0,"-",D8/ABS(B8))</f>
        <v>-0.710502112839126</v>
      </c>
    </row>
    <row r="9" customFormat="false" ht="15" hidden="false" customHeight="false" outlineLevel="0" collapsed="false">
      <c r="A9" s="15" t="s">
        <v>90</v>
      </c>
      <c r="B9" s="7" t="n">
        <v>591383.9093068</v>
      </c>
      <c r="C9" s="7" t="n">
        <v>304563.171276</v>
      </c>
      <c r="D9" s="8" t="n">
        <f aca="false">C9-B9</f>
        <v>-286820.7380308</v>
      </c>
      <c r="E9" s="9" t="n">
        <f aca="false">IF(B9=0,"-",D9/ABS(B9))</f>
        <v>-0.484999225574131</v>
      </c>
    </row>
    <row r="10" customFormat="false" ht="15" hidden="false" customHeight="false" outlineLevel="0" collapsed="false">
      <c r="A10" s="15" t="s">
        <v>91</v>
      </c>
      <c r="B10" s="7" t="n">
        <v>292932.6596688</v>
      </c>
      <c r="C10" s="7" t="n">
        <v>597568.712933553</v>
      </c>
      <c r="D10" s="8" t="n">
        <f aca="false">C10-B10</f>
        <v>304636.053264753</v>
      </c>
      <c r="E10" s="9" t="n">
        <f aca="false">IF(B10=0,"-",D10/ABS(B10))</f>
        <v>1.0399525051566</v>
      </c>
    </row>
    <row r="11" customFormat="false" ht="15" hidden="false" customHeight="false" outlineLevel="0" collapsed="false">
      <c r="A11" s="15" t="s">
        <v>92</v>
      </c>
      <c r="B11" s="7" t="n">
        <v>19246.2352</v>
      </c>
      <c r="C11" s="7" t="n">
        <v>12811.2352</v>
      </c>
      <c r="D11" s="8" t="n">
        <f aca="false">C11-B11</f>
        <v>-6435</v>
      </c>
      <c r="E11" s="9" t="n">
        <f aca="false">IF(B11=0,"-",D11/ABS(B11))</f>
        <v>-0.334351104677345</v>
      </c>
    </row>
    <row r="12" customFormat="false" ht="15" hidden="false" customHeight="false" outlineLevel="0" collapsed="false">
      <c r="A12" s="16" t="s">
        <v>93</v>
      </c>
      <c r="B12" s="17" t="n">
        <v>13671757.528858</v>
      </c>
      <c r="C12" s="17" t="n">
        <v>12523202.21078</v>
      </c>
      <c r="D12" s="18" t="n">
        <f aca="false">C12-B12</f>
        <v>-1148555.31807805</v>
      </c>
      <c r="E12" s="19" t="n">
        <f aca="false">IF(B12=0,"-",D12/ABS(B12))</f>
        <v>-0.0840093393737937</v>
      </c>
    </row>
    <row r="14" customFormat="false" ht="15" hidden="false" customHeight="false" outlineLevel="0" collapsed="false">
      <c r="A14" s="16" t="s">
        <v>94</v>
      </c>
      <c r="B14" s="17" t="n">
        <v>11622343.9329564</v>
      </c>
      <c r="C14" s="17" t="n">
        <v>13216732.283442</v>
      </c>
      <c r="D14" s="18" t="n">
        <f aca="false">C14-B14</f>
        <v>1594388.3504856</v>
      </c>
      <c r="E14" s="19" t="n">
        <f aca="false">IF(B14=0,"-",D14/ABS(B14))</f>
        <v>0.137183029488961</v>
      </c>
    </row>
    <row r="15" customFormat="false" ht="15" hidden="false" customHeight="false" outlineLevel="0" collapsed="false">
      <c r="A15" s="15" t="s">
        <v>95</v>
      </c>
      <c r="B15" s="7" t="n">
        <v>23048.1257263999</v>
      </c>
      <c r="C15" s="7" t="n">
        <v>1.43995666503906E-005</v>
      </c>
      <c r="D15" s="8" t="n">
        <f aca="false">C15-B15</f>
        <v>-23048.1257120004</v>
      </c>
      <c r="E15" s="9" t="n">
        <f aca="false">IF(B15=0,"-",D15/ABS(B15))</f>
        <v>-0.999999999375239</v>
      </c>
    </row>
    <row r="16" customFormat="false" ht="15" hidden="false" customHeight="false" outlineLevel="0" collapsed="false">
      <c r="A16" s="16" t="s">
        <v>96</v>
      </c>
      <c r="B16" s="17" t="n">
        <v>185289.1478848</v>
      </c>
      <c r="C16" s="17" t="n">
        <v>424457.306112</v>
      </c>
      <c r="D16" s="18" t="n">
        <f aca="false">C16-B16</f>
        <v>239168.1582272</v>
      </c>
      <c r="E16" s="19" t="n">
        <f aca="false">IF(B16=0,"-",D16/ABS(B16))</f>
        <v>1.29078341045585</v>
      </c>
    </row>
    <row r="17" customFormat="false" ht="15" hidden="false" customHeight="false" outlineLevel="0" collapsed="false">
      <c r="A17" s="15" t="s">
        <v>97</v>
      </c>
      <c r="B17" s="7" t="n">
        <v>2991678.00305367</v>
      </c>
      <c r="C17" s="7" t="n">
        <v>3334921.46585096</v>
      </c>
      <c r="D17" s="8" t="n">
        <f aca="false">C17-B17</f>
        <v>343243.462797295</v>
      </c>
      <c r="E17" s="9" t="n">
        <f aca="false">IF(B17=0,"-",D17/ABS(B17))</f>
        <v>0.114732756147867</v>
      </c>
    </row>
    <row r="19" customFormat="false" ht="15" hidden="false" customHeight="false" outlineLevel="0" collapsed="false">
      <c r="A19" s="16" t="s">
        <v>98</v>
      </c>
      <c r="B19" s="17" t="n">
        <v>37290183.8564089</v>
      </c>
      <c r="C19" s="17" t="n">
        <v>35699810.493762</v>
      </c>
      <c r="D19" s="18" t="n">
        <f aca="false">C19-B19</f>
        <v>-1590373.36264689</v>
      </c>
      <c r="E19" s="19" t="n">
        <f aca="false">IF(B19=0,"-",D19/ABS(B19))</f>
        <v>-0.0426485792821736</v>
      </c>
    </row>
    <row r="21" customFormat="false" ht="15" hidden="false" customHeight="false" outlineLevel="0" collapsed="false">
      <c r="A21" s="15" t="s">
        <v>99</v>
      </c>
      <c r="B21" s="7" t="n">
        <v>2524075.4736</v>
      </c>
      <c r="C21" s="7" t="n">
        <v>2321055.15872</v>
      </c>
      <c r="D21" s="8" t="n">
        <f aca="false">C21-B21</f>
        <v>-203020.31488</v>
      </c>
      <c r="E21" s="9" t="n">
        <f aca="false">IF(B21=0,"-",D21/ABS(B21))</f>
        <v>-0.0804335357652516</v>
      </c>
    </row>
    <row r="22" customFormat="false" ht="15" hidden="false" customHeight="false" outlineLevel="0" collapsed="false">
      <c r="A22" s="16" t="s">
        <v>100</v>
      </c>
      <c r="B22" s="17" t="n">
        <v>2849687.132</v>
      </c>
      <c r="C22" s="17" t="n">
        <v>2670915.56732</v>
      </c>
      <c r="D22" s="18" t="n">
        <f aca="false">C22-B22</f>
        <v>-178771.56468</v>
      </c>
      <c r="E22" s="19" t="n">
        <f aca="false">IF(B22=0,"-",D22/ABS(B22))</f>
        <v>-0.0627337516011917</v>
      </c>
    </row>
    <row r="23" customFormat="false" ht="15" hidden="false" customHeight="false" outlineLevel="0" collapsed="false">
      <c r="A23" s="15" t="s">
        <v>101</v>
      </c>
      <c r="B23" s="7" t="n">
        <v>10575884.185026</v>
      </c>
      <c r="C23" s="7" t="n">
        <v>10940095.9203124</v>
      </c>
      <c r="D23" s="8" t="n">
        <f aca="false">C23-B23</f>
        <v>364211.735286402</v>
      </c>
      <c r="E23" s="9" t="n">
        <f aca="false">IF(B23=0,"-",D23/ABS(B23))</f>
        <v>0.0344379466448844</v>
      </c>
    </row>
    <row r="24" customFormat="false" ht="15" hidden="false" customHeight="false" outlineLevel="0" collapsed="false">
      <c r="A24" s="15" t="s">
        <v>102</v>
      </c>
      <c r="B24" s="7" t="n">
        <v>12817195.254446</v>
      </c>
      <c r="C24" s="7" t="n">
        <v>9375377.8020064</v>
      </c>
      <c r="D24" s="8" t="n">
        <f aca="false">C24-B24</f>
        <v>-3441817.4524396</v>
      </c>
      <c r="E24" s="9" t="n">
        <f aca="false">IF(B24=0,"-",D24/ABS(B24))</f>
        <v>-0.268531249162777</v>
      </c>
    </row>
    <row r="25" customFormat="false" ht="15" hidden="false" customHeight="false" outlineLevel="0" collapsed="false">
      <c r="A25" s="15" t="s">
        <v>103</v>
      </c>
      <c r="B25" s="7" t="n">
        <v>389252.0696648</v>
      </c>
      <c r="C25" s="7" t="n">
        <v>1147548.5194684</v>
      </c>
      <c r="D25" s="8" t="n">
        <f aca="false">C25-B25</f>
        <v>758296.4498036</v>
      </c>
      <c r="E25" s="9" t="n">
        <f aca="false">IF(B25=0,"-",D25/ABS(B25))</f>
        <v>1.94808585207163</v>
      </c>
    </row>
    <row r="26" customFormat="false" ht="15" hidden="false" customHeight="false" outlineLevel="0" collapsed="false">
      <c r="A26" s="15" t="s">
        <v>104</v>
      </c>
      <c r="B26" s="7" t="n">
        <v>0.00136320007324219</v>
      </c>
      <c r="C26" s="7" t="n">
        <v>-0.00012</v>
      </c>
      <c r="D26" s="8" t="n">
        <f aca="false">C26-B26</f>
        <v>-0.00148320007324219</v>
      </c>
      <c r="E26" s="9" t="n">
        <f aca="false">IF(B26=0,"-",D26/ABS(B26))</f>
        <v>-1.0880281642845</v>
      </c>
    </row>
    <row r="27" customFormat="false" ht="15" hidden="false" customHeight="false" outlineLevel="0" collapsed="false">
      <c r="A27" s="15" t="s">
        <v>105</v>
      </c>
      <c r="B27" s="7" t="n">
        <v>105303.6564388</v>
      </c>
      <c r="C27" s="7" t="n">
        <v>59612.4244</v>
      </c>
      <c r="D27" s="8" t="n">
        <f aca="false">C27-B27</f>
        <v>-45691.2320388002</v>
      </c>
      <c r="E27" s="9" t="n">
        <f aca="false">IF(B27=0,"-",D27/ABS(B27))</f>
        <v>-0.433899767434522</v>
      </c>
    </row>
    <row r="28" customFormat="false" ht="15" hidden="false" customHeight="false" outlineLevel="0" collapsed="false">
      <c r="A28" s="15" t="s">
        <v>106</v>
      </c>
      <c r="B28" s="7" t="n">
        <v>652218.333368</v>
      </c>
      <c r="C28" s="7" t="n">
        <v>837604.4039752</v>
      </c>
      <c r="D28" s="8" t="n">
        <f aca="false">C28-B28</f>
        <v>185386.0706072</v>
      </c>
      <c r="E28" s="9" t="n">
        <f aca="false">IF(B28=0,"-",D28/ABS(B28))</f>
        <v>0.284239281729298</v>
      </c>
    </row>
    <row r="29" customFormat="false" ht="15" hidden="false" customHeight="false" outlineLevel="0" collapsed="false">
      <c r="A29" s="16" t="s">
        <v>107</v>
      </c>
      <c r="B29" s="17" t="n">
        <v>24629054.7681644</v>
      </c>
      <c r="C29" s="17" t="n">
        <v>22380910.5264252</v>
      </c>
      <c r="D29" s="18" t="n">
        <f aca="false">C29-B29</f>
        <v>-2248144.2417392</v>
      </c>
      <c r="E29" s="19" t="n">
        <f aca="false">IF(B29=0,"-",D29/ABS(B29))</f>
        <v>-0.0912801673836528</v>
      </c>
    </row>
    <row r="30" customFormat="false" ht="15" hidden="false" customHeight="false" outlineLevel="0" collapsed="false">
      <c r="A30" s="16" t="s">
        <v>108</v>
      </c>
      <c r="B30" s="17" t="n">
        <v>27478741.9001644</v>
      </c>
      <c r="C30" s="17" t="n">
        <v>25051826.0937452</v>
      </c>
      <c r="D30" s="18" t="n">
        <f aca="false">C30-B30</f>
        <v>-2426915.8064192</v>
      </c>
      <c r="E30" s="19" t="n">
        <f aca="false">IF(B30=0,"-",D30/ABS(B30))</f>
        <v>-0.0883197569683741</v>
      </c>
    </row>
    <row r="32" customFormat="false" ht="15" hidden="false" customHeight="false" outlineLevel="0" collapsed="false">
      <c r="A32" s="15" t="s">
        <v>109</v>
      </c>
      <c r="B32" s="7" t="n">
        <v>6467312.5425472</v>
      </c>
      <c r="C32" s="7" t="n">
        <v>6354383.08196</v>
      </c>
      <c r="D32" s="8" t="n">
        <f aca="false">C32-B32</f>
        <v>-112929.4605872</v>
      </c>
      <c r="E32" s="9" t="n">
        <f aca="false">IF(B32=0,"-",D32/ABS(B32))</f>
        <v>-0.0174615746253577</v>
      </c>
    </row>
    <row r="33" customFormat="false" ht="15" hidden="false" customHeight="false" outlineLevel="0" collapsed="false">
      <c r="A33" s="15" t="s">
        <v>110</v>
      </c>
      <c r="B33" s="7" t="n">
        <v>1783792.71232</v>
      </c>
      <c r="C33" s="7" t="n">
        <v>2503834.56612458</v>
      </c>
      <c r="D33" s="8" t="n">
        <f aca="false">C33-B33</f>
        <v>720041.853804576</v>
      </c>
      <c r="E33" s="9" t="n">
        <f aca="false">IF(B33=0,"-",D33/ABS(B33))</f>
        <v>0.403657806667508</v>
      </c>
    </row>
    <row r="34" customFormat="false" ht="15" hidden="false" customHeight="false" outlineLevel="0" collapsed="false">
      <c r="A34" s="15" t="s">
        <v>111</v>
      </c>
      <c r="B34" s="7" t="n">
        <v>1560336.70138012</v>
      </c>
      <c r="C34" s="7" t="n">
        <v>1789766.75156736</v>
      </c>
      <c r="D34" s="8" t="n">
        <f aca="false">C34-B34</f>
        <v>229430.050187246</v>
      </c>
      <c r="E34" s="9" t="n">
        <f aca="false">IF(B34=0,"-",D34/ABS(B34))</f>
        <v>0.147038808985468</v>
      </c>
    </row>
    <row r="35" customFormat="false" ht="15" hidden="false" customHeight="false" outlineLevel="0" collapsed="false">
      <c r="A35" s="16" t="s">
        <v>112</v>
      </c>
      <c r="B35" s="17" t="n">
        <v>9811441.95624732</v>
      </c>
      <c r="C35" s="17" t="n">
        <v>10647984.3996519</v>
      </c>
      <c r="D35" s="18" t="n">
        <f aca="false">C35-B35</f>
        <v>836542.443404624</v>
      </c>
      <c r="E35" s="19" t="n">
        <f aca="false">IF(B35=0,"-",D35/ABS(B35))</f>
        <v>0.0852619265481121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5"/>
    <col collapsed="false" customWidth="true" hidden="false" outlineLevel="0" max="5" min="5" style="0" width="40"/>
  </cols>
  <sheetData>
    <row r="1" customFormat="false" ht="17.9" hidden="false" customHeight="false" outlineLevel="0" collapsed="false">
      <c r="A1" s="14" t="s">
        <v>113</v>
      </c>
      <c r="B1" s="14"/>
      <c r="C1" s="14"/>
      <c r="D1" s="14"/>
      <c r="E1" s="14"/>
    </row>
    <row r="3" customFormat="false" ht="15" hidden="false" customHeight="false" outlineLevel="0" collapsed="false">
      <c r="A3" s="20" t="s">
        <v>114</v>
      </c>
    </row>
    <row r="4" customFormat="false" ht="15" hidden="false" customHeight="false" outlineLevel="0" collapsed="false">
      <c r="A4" s="4" t="s">
        <v>115</v>
      </c>
      <c r="B4" s="5" t="s">
        <v>19</v>
      </c>
      <c r="C4" s="5" t="s">
        <v>20</v>
      </c>
      <c r="D4" s="4" t="s">
        <v>116</v>
      </c>
      <c r="E4" s="4" t="s">
        <v>117</v>
      </c>
    </row>
    <row r="5" customFormat="false" ht="15" hidden="false" customHeight="false" outlineLevel="0" collapsed="false">
      <c r="A5" s="6" t="s">
        <v>23</v>
      </c>
      <c r="B5" s="11" t="n">
        <v>0.203076023563099</v>
      </c>
      <c r="C5" s="11" t="n">
        <v>0.178290116836158</v>
      </c>
      <c r="D5" s="9" t="n">
        <f aca="false">C5-B5</f>
        <v>-0.0247859067269403</v>
      </c>
      <c r="E5" s="21" t="s">
        <v>118</v>
      </c>
    </row>
    <row r="6" customFormat="false" ht="15" hidden="false" customHeight="false" outlineLevel="0" collapsed="false">
      <c r="A6" s="6" t="s">
        <v>28</v>
      </c>
      <c r="B6" s="11" t="n">
        <v>0.0525325732946192</v>
      </c>
      <c r="C6" s="11" t="n">
        <v>0.0513189874403465</v>
      </c>
      <c r="D6" s="9" t="n">
        <f aca="false">C6-B6</f>
        <v>-0.00121358585427278</v>
      </c>
      <c r="E6" s="21" t="s">
        <v>119</v>
      </c>
    </row>
    <row r="7" customFormat="false" ht="15" hidden="false" customHeight="false" outlineLevel="0" collapsed="false">
      <c r="A7" s="6" t="s">
        <v>29</v>
      </c>
      <c r="B7" s="11" t="n">
        <v>0.0343815940628639</v>
      </c>
      <c r="C7" s="11" t="n">
        <v>0.0394343379757354</v>
      </c>
      <c r="D7" s="9" t="n">
        <f aca="false">C7-B7</f>
        <v>0.00505274391287151</v>
      </c>
      <c r="E7" s="21" t="s">
        <v>120</v>
      </c>
    </row>
    <row r="8" customFormat="false" ht="15" hidden="false" customHeight="false" outlineLevel="0" collapsed="false">
      <c r="A8" s="10" t="s">
        <v>30</v>
      </c>
      <c r="B8" s="11" t="n">
        <v>0.112079093492015</v>
      </c>
      <c r="C8" s="11" t="n">
        <v>0.13416266056466</v>
      </c>
      <c r="D8" s="9" t="n">
        <f aca="false">C8-B8</f>
        <v>0.0220835670726457</v>
      </c>
      <c r="E8" s="21" t="s">
        <v>121</v>
      </c>
    </row>
    <row r="9" customFormat="false" ht="15" hidden="false" customHeight="false" outlineLevel="0" collapsed="false">
      <c r="A9" s="10" t="s">
        <v>122</v>
      </c>
      <c r="B9" s="11" t="n">
        <v>0.161060487276976</v>
      </c>
      <c r="C9" s="11" t="n">
        <v>0.170404791433994</v>
      </c>
      <c r="D9" s="9" t="n">
        <f aca="false">C9-B9</f>
        <v>0.00934430415701829</v>
      </c>
      <c r="E9" s="21" t="s">
        <v>123</v>
      </c>
    </row>
    <row r="10" customFormat="false" ht="15" hidden="false" customHeight="false" outlineLevel="0" collapsed="false">
      <c r="A10" s="10" t="s">
        <v>124</v>
      </c>
      <c r="B10" s="11" t="n">
        <v>0.0423767184535178</v>
      </c>
      <c r="C10" s="11" t="n">
        <v>0.0508256916694882</v>
      </c>
      <c r="D10" s="9" t="n">
        <f aca="false">C10-B10</f>
        <v>0.00844897321597041</v>
      </c>
      <c r="E10" s="21" t="s">
        <v>125</v>
      </c>
    </row>
    <row r="12" customFormat="false" ht="15" hidden="false" customHeight="false" outlineLevel="0" collapsed="false">
      <c r="A12" s="20" t="s">
        <v>126</v>
      </c>
    </row>
    <row r="13" customFormat="false" ht="15" hidden="false" customHeight="false" outlineLevel="0" collapsed="false">
      <c r="A13" s="4" t="s">
        <v>115</v>
      </c>
      <c r="B13" s="5" t="s">
        <v>19</v>
      </c>
      <c r="C13" s="5" t="s">
        <v>20</v>
      </c>
      <c r="D13" s="4" t="s">
        <v>116</v>
      </c>
      <c r="E13" s="4" t="s">
        <v>117</v>
      </c>
    </row>
    <row r="14" customFormat="false" ht="15" hidden="false" customHeight="false" outlineLevel="0" collapsed="false">
      <c r="A14" s="6" t="s">
        <v>127</v>
      </c>
      <c r="B14" s="11" t="n">
        <v>2.80068332694642</v>
      </c>
      <c r="C14" s="11" t="n">
        <v>2.35272941370614</v>
      </c>
      <c r="D14" s="9" t="n">
        <f aca="false">C14-B14</f>
        <v>-0.44795391324028</v>
      </c>
      <c r="E14" s="21" t="s">
        <v>128</v>
      </c>
    </row>
    <row r="15" customFormat="false" ht="15" hidden="false" customHeight="false" outlineLevel="0" collapsed="false">
      <c r="A15" s="6" t="s">
        <v>129</v>
      </c>
      <c r="B15" s="11" t="n">
        <v>0.736889418565893</v>
      </c>
      <c r="C15" s="11" t="n">
        <v>0.701735548375603</v>
      </c>
      <c r="D15" s="9" t="n">
        <f aca="false">C15-B15</f>
        <v>-0.0351538701902897</v>
      </c>
      <c r="E15" s="22" t="s">
        <v>130</v>
      </c>
    </row>
    <row r="16" customFormat="false" ht="15" hidden="false" customHeight="false" outlineLevel="0" collapsed="false">
      <c r="A16" s="6" t="s">
        <v>131</v>
      </c>
      <c r="B16" s="11" t="n">
        <v>0.912248758966975</v>
      </c>
      <c r="C16" s="11" t="n">
        <v>0.836592390476497</v>
      </c>
      <c r="D16" s="9" t="n">
        <f aca="false">C16-B16</f>
        <v>-0.0756563684904783</v>
      </c>
      <c r="E16" s="22" t="s">
        <v>132</v>
      </c>
    </row>
    <row r="17" customFormat="false" ht="15" hidden="false" customHeight="false" outlineLevel="0" collapsed="false">
      <c r="A17" s="6" t="s">
        <v>133</v>
      </c>
      <c r="B17" s="11" t="n">
        <v>0.263110581434183</v>
      </c>
      <c r="C17" s="11" t="n">
        <v>0.298264451614176</v>
      </c>
      <c r="D17" s="9" t="n">
        <f aca="false">C17-B17</f>
        <v>0.0351538701799935</v>
      </c>
      <c r="E17" s="22" t="s">
        <v>134</v>
      </c>
    </row>
    <row r="18" customFormat="false" ht="15" hidden="false" customHeight="false" outlineLevel="0" collapsed="false">
      <c r="A18" s="6" t="s">
        <v>135</v>
      </c>
      <c r="B18" s="23" t="n">
        <v>6.94544882625668</v>
      </c>
      <c r="C18" s="23" t="n">
        <v>7.82340510362864</v>
      </c>
      <c r="D18" s="24" t="n">
        <f aca="false">C18-B18</f>
        <v>0.87795627737196</v>
      </c>
      <c r="E18" s="22" t="s">
        <v>136</v>
      </c>
    </row>
    <row r="20" customFormat="false" ht="15" hidden="false" customHeight="false" outlineLevel="0" collapsed="false">
      <c r="A20" s="20" t="s">
        <v>137</v>
      </c>
    </row>
    <row r="21" customFormat="false" ht="15" hidden="false" customHeight="false" outlineLevel="0" collapsed="false">
      <c r="A21" s="4" t="s">
        <v>115</v>
      </c>
      <c r="B21" s="5" t="s">
        <v>19</v>
      </c>
      <c r="C21" s="5" t="s">
        <v>20</v>
      </c>
      <c r="D21" s="4" t="s">
        <v>116</v>
      </c>
      <c r="E21" s="4" t="s">
        <v>117</v>
      </c>
    </row>
    <row r="22" customFormat="false" ht="15" hidden="false" customHeight="false" outlineLevel="0" collapsed="false">
      <c r="A22" s="6" t="s">
        <v>138</v>
      </c>
      <c r="B22" s="23" t="n">
        <v>4.64612510767974</v>
      </c>
      <c r="C22" s="23" t="n">
        <v>11.0981385812355</v>
      </c>
      <c r="D22" s="24" t="n">
        <f aca="false">C22-B22</f>
        <v>6.45201347355578</v>
      </c>
      <c r="E22" s="21" t="s">
        <v>139</v>
      </c>
    </row>
    <row r="23" customFormat="false" ht="15" hidden="false" customHeight="false" outlineLevel="0" collapsed="false">
      <c r="A23" s="6" t="s">
        <v>140</v>
      </c>
      <c r="B23" s="23" t="n">
        <v>78.5600885771843</v>
      </c>
      <c r="C23" s="23" t="n">
        <v>32.8883981154402</v>
      </c>
      <c r="D23" s="24" t="n">
        <f aca="false">C23-B23</f>
        <v>-45.6716904617441</v>
      </c>
      <c r="E23" s="21" t="s">
        <v>141</v>
      </c>
    </row>
    <row r="24" customFormat="false" ht="15" hidden="false" customHeight="false" outlineLevel="0" collapsed="false">
      <c r="A24" s="6" t="s">
        <v>142</v>
      </c>
      <c r="B24" s="23" t="n">
        <v>4.08086736059621</v>
      </c>
      <c r="C24" s="23" t="n">
        <v>4.08698705138569</v>
      </c>
      <c r="D24" s="24" t="n">
        <f aca="false">C24-B24</f>
        <v>0.00611969078947983</v>
      </c>
      <c r="E24" s="21" t="s">
        <v>139</v>
      </c>
    </row>
    <row r="25" customFormat="false" ht="15" hidden="false" customHeight="false" outlineLevel="0" collapsed="false">
      <c r="A25" s="6" t="s">
        <v>143</v>
      </c>
      <c r="B25" s="23" t="n">
        <v>89.4417700326025</v>
      </c>
      <c r="C25" s="23" t="n">
        <v>89.3078435069293</v>
      </c>
      <c r="D25" s="24" t="n">
        <f aca="false">C25-B25</f>
        <v>-0.133926525673161</v>
      </c>
      <c r="E25" s="22" t="s">
        <v>144</v>
      </c>
    </row>
    <row r="26" customFormat="false" ht="15" hidden="false" customHeight="false" outlineLevel="0" collapsed="false">
      <c r="A26" s="6" t="s">
        <v>145</v>
      </c>
      <c r="B26" s="23" t="n">
        <v>1.23254082914351</v>
      </c>
      <c r="C26" s="23" t="n">
        <v>1.28886889646181</v>
      </c>
      <c r="D26" s="24" t="n">
        <f aca="false">C26-B26</f>
        <v>0.056328067318304</v>
      </c>
      <c r="E26" s="21" t="s">
        <v>146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25" t="s">
        <v>147</v>
      </c>
      <c r="B1" s="25"/>
    </row>
    <row r="3" customFormat="false" ht="15" hidden="false" customHeight="false" outlineLevel="0" collapsed="false">
      <c r="B3" s="26"/>
    </row>
    <row r="4" customFormat="false" ht="15" hidden="false" customHeight="false" outlineLevel="0" collapsed="false">
      <c r="A4" s="20" t="s">
        <v>148</v>
      </c>
    </row>
    <row r="5" customFormat="false" ht="23.85" hidden="false" customHeight="false" outlineLevel="0" collapsed="false">
      <c r="B5" s="26" t="s">
        <v>149</v>
      </c>
    </row>
    <row r="6" customFormat="false" ht="15" hidden="false" customHeight="false" outlineLevel="0" collapsed="false">
      <c r="B6" s="26"/>
    </row>
    <row r="7" customFormat="false" ht="15" hidden="false" customHeight="false" outlineLevel="0" collapsed="false">
      <c r="A7" s="20" t="s">
        <v>150</v>
      </c>
    </row>
    <row r="8" customFormat="false" ht="15" hidden="false" customHeight="false" outlineLevel="0" collapsed="false">
      <c r="B8" s="26" t="s">
        <v>151</v>
      </c>
    </row>
    <row r="9" customFormat="false" ht="15" hidden="false" customHeight="false" outlineLevel="0" collapsed="false">
      <c r="B9" s="26" t="s">
        <v>152</v>
      </c>
    </row>
    <row r="10" customFormat="false" ht="15" hidden="false" customHeight="false" outlineLevel="0" collapsed="false">
      <c r="B10" s="26" t="s">
        <v>153</v>
      </c>
    </row>
    <row r="11" customFormat="false" ht="15" hidden="false" customHeight="false" outlineLevel="0" collapsed="false">
      <c r="B11" s="27" t="s">
        <v>154</v>
      </c>
    </row>
    <row r="12" customFormat="false" ht="15" hidden="false" customHeight="false" outlineLevel="0" collapsed="false">
      <c r="B12" s="26"/>
    </row>
    <row r="13" customFormat="false" ht="15" hidden="false" customHeight="false" outlineLevel="0" collapsed="false">
      <c r="A13" s="20" t="s">
        <v>155</v>
      </c>
    </row>
    <row r="14" customFormat="false" ht="15" hidden="false" customHeight="false" outlineLevel="0" collapsed="false">
      <c r="A14" s="28" t="s">
        <v>156</v>
      </c>
      <c r="B14" s="26" t="s">
        <v>157</v>
      </c>
    </row>
    <row r="15" customFormat="false" ht="15" hidden="false" customHeight="false" outlineLevel="0" collapsed="false">
      <c r="B15" s="27" t="s">
        <v>158</v>
      </c>
    </row>
    <row r="16" customFormat="false" ht="15" hidden="false" customHeight="false" outlineLevel="0" collapsed="false">
      <c r="B16" s="27" t="s">
        <v>159</v>
      </c>
    </row>
    <row r="17" customFormat="false" ht="15" hidden="false" customHeight="false" outlineLevel="0" collapsed="false">
      <c r="B17" s="26"/>
    </row>
    <row r="18" customFormat="false" ht="15" hidden="false" customHeight="false" outlineLevel="0" collapsed="false">
      <c r="A18" s="28" t="s">
        <v>160</v>
      </c>
      <c r="B18" s="26" t="s">
        <v>161</v>
      </c>
    </row>
    <row r="19" customFormat="false" ht="15" hidden="false" customHeight="false" outlineLevel="0" collapsed="false">
      <c r="A19" s="28" t="s">
        <v>162</v>
      </c>
      <c r="B19" s="26" t="s">
        <v>163</v>
      </c>
    </row>
    <row r="20" customFormat="false" ht="15" hidden="false" customHeight="false" outlineLevel="0" collapsed="false">
      <c r="B20" s="27" t="s">
        <v>164</v>
      </c>
    </row>
    <row r="21" customFormat="false" ht="15" hidden="false" customHeight="false" outlineLevel="0" collapsed="false">
      <c r="B21" s="26"/>
    </row>
    <row r="22" customFormat="false" ht="15" hidden="false" customHeight="false" outlineLevel="0" collapsed="false">
      <c r="A22" s="20" t="s">
        <v>165</v>
      </c>
    </row>
    <row r="23" customFormat="false" ht="15" hidden="false" customHeight="false" outlineLevel="0" collapsed="false">
      <c r="A23" s="28" t="s">
        <v>166</v>
      </c>
      <c r="B23" s="26" t="s">
        <v>167</v>
      </c>
    </row>
    <row r="24" customFormat="false" ht="15" hidden="false" customHeight="false" outlineLevel="0" collapsed="false">
      <c r="A24" s="28" t="s">
        <v>168</v>
      </c>
      <c r="B24" s="26" t="s">
        <v>169</v>
      </c>
    </row>
    <row r="25" customFormat="false" ht="15" hidden="false" customHeight="false" outlineLevel="0" collapsed="false">
      <c r="B25" s="27" t="s">
        <v>170</v>
      </c>
    </row>
    <row r="26" customFormat="false" ht="15" hidden="false" customHeight="false" outlineLevel="0" collapsed="false">
      <c r="B26" s="26"/>
    </row>
    <row r="27" customFormat="false" ht="15" hidden="false" customHeight="false" outlineLevel="0" collapsed="false">
      <c r="A27" s="20" t="s">
        <v>171</v>
      </c>
    </row>
    <row r="28" customFormat="false" ht="15" hidden="false" customHeight="false" outlineLevel="0" collapsed="false">
      <c r="A28" s="29" t="s">
        <v>172</v>
      </c>
      <c r="B28" s="27" t="s">
        <v>173</v>
      </c>
    </row>
    <row r="29" customFormat="false" ht="15" hidden="false" customHeight="false" outlineLevel="0" collapsed="false">
      <c r="A29" s="29" t="s">
        <v>174</v>
      </c>
      <c r="B29" s="27" t="s">
        <v>175</v>
      </c>
    </row>
    <row r="30" customFormat="false" ht="15" hidden="false" customHeight="false" outlineLevel="0" collapsed="false">
      <c r="A30" s="29" t="s">
        <v>176</v>
      </c>
      <c r="B30" s="27" t="s">
        <v>177</v>
      </c>
    </row>
    <row r="31" customFormat="false" ht="15" hidden="false" customHeight="false" outlineLevel="0" collapsed="false">
      <c r="A31" s="29" t="s">
        <v>178</v>
      </c>
      <c r="B31" s="27" t="s">
        <v>179</v>
      </c>
    </row>
    <row r="32" customFormat="false" ht="15" hidden="false" customHeight="false" outlineLevel="0" collapsed="false">
      <c r="A32" s="29" t="s">
        <v>180</v>
      </c>
      <c r="B32" s="26" t="s">
        <v>181</v>
      </c>
    </row>
    <row r="33" customFormat="false" ht="15" hidden="false" customHeight="false" outlineLevel="0" collapsed="false">
      <c r="B33" s="26"/>
    </row>
    <row r="34" customFormat="false" ht="15" hidden="false" customHeight="false" outlineLevel="0" collapsed="false">
      <c r="A34" s="20" t="s">
        <v>182</v>
      </c>
    </row>
    <row r="35" customFormat="false" ht="15" hidden="false" customHeight="false" outlineLevel="0" collapsed="false">
      <c r="A35" s="29" t="s">
        <v>183</v>
      </c>
      <c r="B35" s="27" t="s">
        <v>184</v>
      </c>
    </row>
    <row r="36" customFormat="false" ht="15" hidden="false" customHeight="false" outlineLevel="0" collapsed="false">
      <c r="A36" s="29" t="s">
        <v>185</v>
      </c>
      <c r="B36" s="27" t="s">
        <v>186</v>
      </c>
    </row>
    <row r="37" customFormat="false" ht="15" hidden="false" customHeight="false" outlineLevel="0" collapsed="false">
      <c r="A37" s="29" t="s">
        <v>187</v>
      </c>
      <c r="B37" s="27" t="s">
        <v>188</v>
      </c>
    </row>
    <row r="38" customFormat="false" ht="15" hidden="false" customHeight="false" outlineLevel="0" collapsed="false">
      <c r="A38" s="29" t="s">
        <v>189</v>
      </c>
      <c r="B38" s="27" t="s">
        <v>190</v>
      </c>
    </row>
    <row r="39" customFormat="false" ht="15" hidden="false" customHeight="false" outlineLevel="0" collapsed="false">
      <c r="A39" s="29" t="s">
        <v>191</v>
      </c>
      <c r="B39" s="27" t="s">
        <v>192</v>
      </c>
    </row>
    <row r="40" customFormat="false" ht="15" hidden="false" customHeight="false" outlineLevel="0" collapsed="false">
      <c r="A40" s="29" t="s">
        <v>193</v>
      </c>
      <c r="B40" s="27" t="s">
        <v>194</v>
      </c>
    </row>
    <row r="41" customFormat="false" ht="15" hidden="false" customHeight="false" outlineLevel="0" collapsed="false">
      <c r="A41" s="29" t="s">
        <v>195</v>
      </c>
      <c r="B41" s="27" t="s">
        <v>196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</cols>
  <sheetData>
    <row r="1" customFormat="false" ht="17.9" hidden="false" customHeight="false" outlineLevel="0" collapsed="false">
      <c r="A1" s="30" t="s">
        <v>197</v>
      </c>
    </row>
    <row r="3" customFormat="false" ht="15" hidden="false" customHeight="false" outlineLevel="0" collapsed="false">
      <c r="A3" s="4" t="s">
        <v>198</v>
      </c>
      <c r="B3" s="4" t="s">
        <v>199</v>
      </c>
      <c r="C3" s="4" t="s">
        <v>200</v>
      </c>
    </row>
    <row r="4" customFormat="false" ht="15" hidden="false" customHeight="false" outlineLevel="0" collapsed="false">
      <c r="A4" s="31" t="s">
        <v>201</v>
      </c>
      <c r="B4" s="32" t="n">
        <v>24000</v>
      </c>
      <c r="C4" s="33" t="s">
        <v>202</v>
      </c>
    </row>
    <row r="5" customFormat="false" ht="15" hidden="false" customHeight="false" outlineLevel="0" collapsed="false">
      <c r="A5" s="31" t="s">
        <v>203</v>
      </c>
      <c r="B5" s="32" t="n">
        <v>24000</v>
      </c>
      <c r="C5" s="33" t="s">
        <v>202</v>
      </c>
    </row>
    <row r="6" customFormat="false" ht="15" hidden="false" customHeight="false" outlineLevel="0" collapsed="false">
      <c r="A6" s="31" t="s">
        <v>204</v>
      </c>
      <c r="B6" s="32" t="n">
        <v>24500</v>
      </c>
      <c r="C6" s="33" t="s">
        <v>202</v>
      </c>
    </row>
    <row r="7" customFormat="false" ht="15" hidden="false" customHeight="false" outlineLevel="0" collapsed="false">
      <c r="A7" s="31" t="s">
        <v>205</v>
      </c>
      <c r="B7" s="32" t="n">
        <v>24500</v>
      </c>
      <c r="C7" s="33" t="s">
        <v>202</v>
      </c>
    </row>
    <row r="8" customFormat="false" ht="15" hidden="false" customHeight="false" outlineLevel="0" collapsed="false">
      <c r="A8" s="31" t="s">
        <v>206</v>
      </c>
      <c r="B8" s="32" t="n">
        <v>25000</v>
      </c>
      <c r="C8" s="33" t="s">
        <v>202</v>
      </c>
    </row>
    <row r="9" customFormat="false" ht="15" hidden="false" customHeight="false" outlineLevel="0" collapsed="false">
      <c r="A9" s="31" t="s">
        <v>207</v>
      </c>
      <c r="B9" s="32" t="n">
        <v>25000</v>
      </c>
      <c r="C9" s="33" t="s">
        <v>202</v>
      </c>
    </row>
    <row r="10" customFormat="false" ht="15" hidden="false" customHeight="false" outlineLevel="0" collapsed="false">
      <c r="A10" s="31" t="s">
        <v>208</v>
      </c>
      <c r="B10" s="32" t="n">
        <v>25000</v>
      </c>
      <c r="C10" s="33" t="s">
        <v>202</v>
      </c>
    </row>
    <row r="11" customFormat="false" ht="15" hidden="false" customHeight="false" outlineLevel="0" collapsed="false">
      <c r="A11" s="31" t="s">
        <v>209</v>
      </c>
      <c r="B11" s="32" t="n">
        <v>25000</v>
      </c>
      <c r="C11" s="33" t="s">
        <v>202</v>
      </c>
    </row>
    <row r="12" customFormat="false" ht="15" hidden="false" customHeight="false" outlineLevel="0" collapsed="false">
      <c r="A12" s="31" t="s">
        <v>210</v>
      </c>
      <c r="B12" s="32" t="n">
        <v>25000</v>
      </c>
      <c r="C12" s="33" t="s">
        <v>202</v>
      </c>
    </row>
    <row r="13" customFormat="false" ht="15" hidden="false" customHeight="false" outlineLevel="0" collapsed="false">
      <c r="A13" s="31" t="s">
        <v>211</v>
      </c>
      <c r="B13" s="32" t="n">
        <v>25000</v>
      </c>
      <c r="C13" s="33" t="s">
        <v>202</v>
      </c>
    </row>
    <row r="14" customFormat="false" ht="15" hidden="false" customHeight="false" outlineLevel="0" collapsed="false">
      <c r="A14" s="31" t="s">
        <v>212</v>
      </c>
      <c r="B14" s="32" t="n">
        <v>25000</v>
      </c>
      <c r="C14" s="33" t="s">
        <v>202</v>
      </c>
    </row>
    <row r="15" customFormat="false" ht="15" hidden="false" customHeight="false" outlineLevel="0" collapsed="false">
      <c r="A15" s="31" t="s">
        <v>213</v>
      </c>
      <c r="B15" s="32" t="n">
        <v>25000</v>
      </c>
      <c r="C15" s="33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2026-02-24T10:31:44Z</dcterms:created>
  <dc:creator>openpyxl</dc:creator>
  <dc:description/>
  <dc:language>en-US</dc:language>
  <cp:lastModifiedBy/>
  <dcterms:modified xsi:type="dcterms:W3CDTF">2026-02-24T10:31:45Z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