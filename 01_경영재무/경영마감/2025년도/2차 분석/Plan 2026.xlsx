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@@계획보고/10_사업계획/50_비교분석/2차 분석/"/>
    </mc:Choice>
  </mc:AlternateContent>
  <xr:revisionPtr revIDLastSave="44" documentId="11_AD4D066CA252ABDACC10480E2926724149B8DF54" xr6:coauthVersionLast="47" xr6:coauthVersionMax="47" xr10:uidLastSave="{DAA02EF8-4873-4C34-8BA7-307C318B1122}"/>
  <bookViews>
    <workbookView xWindow="-120" yWindow="360" windowWidth="29040" windowHeight="15240" activeTab="3" xr2:uid="{00000000-000D-0000-FFFF-FFFF00000000}"/>
  </bookViews>
  <sheets>
    <sheet name="PL" sheetId="1" r:id="rId1"/>
    <sheet name="비용계획" sheetId="2" r:id="rId2"/>
    <sheet name="FA Loan" sheetId="3" r:id="rId3"/>
    <sheet name="투자계획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7" i="4" l="1"/>
  <c r="AD87" i="4" s="1"/>
  <c r="L86" i="4"/>
  <c r="N86" i="4" s="1"/>
  <c r="P86" i="4" s="1"/>
  <c r="R86" i="4" s="1"/>
  <c r="K86" i="4"/>
  <c r="M86" i="4" s="1"/>
  <c r="O86" i="4" s="1"/>
  <c r="Q86" i="4" s="1"/>
  <c r="S86" i="4" s="1"/>
  <c r="J86" i="4"/>
  <c r="I86" i="4"/>
  <c r="T85" i="4"/>
  <c r="AD85" i="4" s="1"/>
  <c r="T84" i="4"/>
  <c r="AD84" i="4" s="1"/>
  <c r="T83" i="4"/>
  <c r="AD83" i="4" s="1"/>
  <c r="T82" i="4"/>
  <c r="AD82" i="4" s="1"/>
  <c r="T81" i="4"/>
  <c r="AD81" i="4" s="1"/>
  <c r="T73" i="4"/>
  <c r="AD73" i="4" s="1"/>
  <c r="I68" i="4"/>
  <c r="H68" i="4"/>
  <c r="K67" i="4"/>
  <c r="J67" i="4"/>
  <c r="J68" i="4" s="1"/>
  <c r="G67" i="4"/>
  <c r="T66" i="4"/>
  <c r="AD66" i="4" s="1"/>
  <c r="G66" i="4"/>
  <c r="T65" i="4"/>
  <c r="AD65" i="4" s="1"/>
  <c r="G65" i="4"/>
  <c r="T64" i="4"/>
  <c r="AD64" i="4" s="1"/>
  <c r="G64" i="4"/>
  <c r="T63" i="4"/>
  <c r="AD63" i="4" s="1"/>
  <c r="G63" i="4"/>
  <c r="Y62" i="4"/>
  <c r="X62" i="4"/>
  <c r="Z62" i="4" s="1"/>
  <c r="T62" i="4"/>
  <c r="AD62" i="4" s="1"/>
  <c r="G62" i="4"/>
  <c r="X61" i="4"/>
  <c r="AA61" i="4" s="1"/>
  <c r="T61" i="4"/>
  <c r="AD61" i="4" s="1"/>
  <c r="G61" i="4"/>
  <c r="AD60" i="4"/>
  <c r="T60" i="4"/>
  <c r="G60" i="4"/>
  <c r="T59" i="4"/>
  <c r="AD59" i="4" s="1"/>
  <c r="E59" i="4"/>
  <c r="G59" i="4" s="1"/>
  <c r="T58" i="4"/>
  <c r="AD58" i="4" s="1"/>
  <c r="G58" i="4"/>
  <c r="T57" i="4"/>
  <c r="AD57" i="4" s="1"/>
  <c r="G57" i="4"/>
  <c r="T56" i="4"/>
  <c r="AD56" i="4" s="1"/>
  <c r="G56" i="4"/>
  <c r="AD54" i="4"/>
  <c r="T54" i="4"/>
  <c r="G54" i="4"/>
  <c r="T53" i="4"/>
  <c r="AD53" i="4" s="1"/>
  <c r="G53" i="4"/>
  <c r="G52" i="4"/>
  <c r="Q52" i="4" s="1"/>
  <c r="G51" i="4"/>
  <c r="M51" i="4" s="1"/>
  <c r="L50" i="4"/>
  <c r="K50" i="4"/>
  <c r="I50" i="4"/>
  <c r="T50" i="4" s="1"/>
  <c r="AD50" i="4" s="1"/>
  <c r="L49" i="4"/>
  <c r="M49" i="4" s="1"/>
  <c r="J49" i="4"/>
  <c r="T49" i="4" s="1"/>
  <c r="AD49" i="4" s="1"/>
  <c r="AD48" i="4"/>
  <c r="T48" i="4"/>
  <c r="G47" i="4"/>
  <c r="N47" i="4" s="1"/>
  <c r="P46" i="4"/>
  <c r="N46" i="4"/>
  <c r="K46" i="4"/>
  <c r="T46" i="4" s="1"/>
  <c r="AD46" i="4" s="1"/>
  <c r="T45" i="4"/>
  <c r="AD45" i="4" s="1"/>
  <c r="G45" i="4"/>
  <c r="T44" i="4"/>
  <c r="AD44" i="4" s="1"/>
  <c r="G44" i="4"/>
  <c r="P43" i="4"/>
  <c r="N43" i="4"/>
  <c r="T43" i="4" s="1"/>
  <c r="AD43" i="4" s="1"/>
  <c r="I42" i="4"/>
  <c r="AD41" i="4"/>
  <c r="T41" i="4"/>
  <c r="G41" i="4"/>
  <c r="G40" i="4"/>
  <c r="N40" i="4" s="1"/>
  <c r="G39" i="4"/>
  <c r="K39" i="4" s="1"/>
  <c r="T38" i="4"/>
  <c r="AD38" i="4" s="1"/>
  <c r="G38" i="4"/>
  <c r="G37" i="4"/>
  <c r="J37" i="4" s="1"/>
  <c r="G36" i="4"/>
  <c r="I36" i="4" s="1"/>
  <c r="I35" i="4"/>
  <c r="G35" i="4"/>
  <c r="L35" i="4" s="1"/>
  <c r="G34" i="4"/>
  <c r="L34" i="4" s="1"/>
  <c r="G33" i="4"/>
  <c r="K33" i="4" s="1"/>
  <c r="N32" i="4"/>
  <c r="M32" i="4"/>
  <c r="L32" i="4"/>
  <c r="T32" i="4" s="1"/>
  <c r="G32" i="4"/>
  <c r="T31" i="4"/>
  <c r="AD31" i="4" s="1"/>
  <c r="G31" i="4"/>
  <c r="G30" i="4"/>
  <c r="M30" i="4" s="1"/>
  <c r="AD29" i="4"/>
  <c r="T29" i="4"/>
  <c r="G29" i="4"/>
  <c r="G28" i="4"/>
  <c r="K28" i="4" s="1"/>
  <c r="G27" i="4"/>
  <c r="L27" i="4" s="1"/>
  <c r="M26" i="4"/>
  <c r="L26" i="4"/>
  <c r="K26" i="4"/>
  <c r="T26" i="4" s="1"/>
  <c r="AD26" i="4" s="1"/>
  <c r="G26" i="4"/>
  <c r="G25" i="4"/>
  <c r="M25" i="4" s="1"/>
  <c r="I24" i="4"/>
  <c r="T24" i="4" s="1"/>
  <c r="AD24" i="4" s="1"/>
  <c r="H24" i="4"/>
  <c r="G24" i="4"/>
  <c r="O23" i="4"/>
  <c r="G23" i="4"/>
  <c r="G22" i="4"/>
  <c r="H22" i="4" s="1"/>
  <c r="T22" i="4" s="1"/>
  <c r="AD22" i="4" s="1"/>
  <c r="G21" i="4"/>
  <c r="I21" i="4" s="1"/>
  <c r="T20" i="4"/>
  <c r="AD20" i="4" s="1"/>
  <c r="AD19" i="4"/>
  <c r="G19" i="4"/>
  <c r="L18" i="4"/>
  <c r="G18" i="4"/>
  <c r="J18" i="4" s="1"/>
  <c r="T17" i="4"/>
  <c r="AD17" i="4" s="1"/>
  <c r="G17" i="4"/>
  <c r="T16" i="4"/>
  <c r="AD16" i="4" s="1"/>
  <c r="G16" i="4"/>
  <c r="T15" i="4"/>
  <c r="AD15" i="4" s="1"/>
  <c r="G15" i="4"/>
  <c r="T14" i="4"/>
  <c r="AD14" i="4" s="1"/>
  <c r="G14" i="4"/>
  <c r="E13" i="4"/>
  <c r="K13" i="4" s="1"/>
  <c r="G12" i="4"/>
  <c r="O12" i="4" s="1"/>
  <c r="G11" i="4"/>
  <c r="O11" i="4" s="1"/>
  <c r="Q10" i="4"/>
  <c r="P10" i="4"/>
  <c r="O10" i="4"/>
  <c r="N10" i="4"/>
  <c r="M10" i="4"/>
  <c r="L10" i="4"/>
  <c r="K10" i="4"/>
  <c r="J10" i="4"/>
  <c r="I10" i="4"/>
  <c r="R9" i="4"/>
  <c r="S9" i="4" s="1"/>
  <c r="S10" i="4" s="1"/>
  <c r="G9" i="4"/>
  <c r="T8" i="4"/>
  <c r="AD8" i="4" s="1"/>
  <c r="G8" i="4"/>
  <c r="AD7" i="4"/>
  <c r="T7" i="4"/>
  <c r="G7" i="4"/>
  <c r="G6" i="4"/>
  <c r="H6" i="4" s="1"/>
  <c r="J5" i="4"/>
  <c r="I5" i="4"/>
  <c r="T5" i="4" s="1"/>
  <c r="AD5" i="4" s="1"/>
  <c r="G5" i="4"/>
  <c r="X4" i="3"/>
  <c r="X5" i="3"/>
  <c r="X6" i="3"/>
  <c r="X7" i="3"/>
  <c r="X12" i="3"/>
  <c r="X13" i="3"/>
  <c r="X14" i="3"/>
  <c r="X15" i="3"/>
  <c r="X16" i="3"/>
  <c r="X17" i="3"/>
  <c r="X18" i="3"/>
  <c r="X22" i="3"/>
  <c r="X24" i="3"/>
  <c r="X42" i="3"/>
  <c r="X41" i="3"/>
  <c r="X40" i="3"/>
  <c r="X39" i="3"/>
  <c r="X38" i="3"/>
  <c r="E49" i="3"/>
  <c r="B32" i="3"/>
  <c r="B31" i="3"/>
  <c r="B30" i="3"/>
  <c r="B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T28" i="4" l="1"/>
  <c r="AD28" i="4" s="1"/>
  <c r="T6" i="4"/>
  <c r="AD6" i="4" s="1"/>
  <c r="H10" i="4"/>
  <c r="T10" i="4" s="1"/>
  <c r="AD10" i="4" s="1"/>
  <c r="J21" i="4"/>
  <c r="K21" i="4" s="1"/>
  <c r="L21" i="4" s="1"/>
  <c r="I55" i="4"/>
  <c r="I69" i="4" s="1"/>
  <c r="I74" i="4" s="1"/>
  <c r="I75" i="4" s="1"/>
  <c r="L67" i="4"/>
  <c r="N12" i="4"/>
  <c r="K12" i="4"/>
  <c r="H13" i="4"/>
  <c r="H37" i="4"/>
  <c r="K36" i="4"/>
  <c r="T36" i="4" s="1"/>
  <c r="AD36" i="4" s="1"/>
  <c r="K25" i="4"/>
  <c r="T25" i="4" s="1"/>
  <c r="Z61" i="4"/>
  <c r="K37" i="4"/>
  <c r="L42" i="4"/>
  <c r="O42" i="4" s="1"/>
  <c r="Y61" i="4"/>
  <c r="T9" i="4"/>
  <c r="AD9" i="4" s="1"/>
  <c r="J33" i="4"/>
  <c r="K68" i="4"/>
  <c r="R10" i="4"/>
  <c r="J34" i="4"/>
  <c r="M28" i="4"/>
  <c r="K40" i="4"/>
  <c r="L47" i="4"/>
  <c r="T47" i="4" s="1"/>
  <c r="AD47" i="4" s="1"/>
  <c r="K30" i="4"/>
  <c r="T30" i="4" s="1"/>
  <c r="L30" i="4"/>
  <c r="L25" i="4"/>
  <c r="T86" i="4"/>
  <c r="AD86" i="4" s="1"/>
  <c r="J39" i="4"/>
  <c r="T39" i="4" s="1"/>
  <c r="AD39" i="4" s="1"/>
  <c r="P23" i="4"/>
  <c r="J11" i="4"/>
  <c r="M40" i="4"/>
  <c r="L36" i="4"/>
  <c r="G13" i="4"/>
  <c r="G68" i="4" s="1"/>
  <c r="L51" i="4"/>
  <c r="J27" i="4"/>
  <c r="L33" i="4"/>
  <c r="N27" i="4"/>
  <c r="S52" i="4"/>
  <c r="T52" i="4" s="1"/>
  <c r="AD52" i="4" s="1"/>
  <c r="M11" i="4"/>
  <c r="J51" i="4"/>
  <c r="T51" i="4" s="1"/>
  <c r="AD51" i="4" s="1"/>
  <c r="K34" i="4"/>
  <c r="H18" i="4"/>
  <c r="T18" i="4" s="1"/>
  <c r="AD18" i="4" s="1"/>
  <c r="K35" i="4"/>
  <c r="T35" i="4" s="1"/>
  <c r="AD35" i="4" s="1"/>
  <c r="L25" i="3"/>
  <c r="X21" i="3"/>
  <c r="J25" i="3"/>
  <c r="X20" i="3"/>
  <c r="E25" i="3"/>
  <c r="X32" i="3"/>
  <c r="X30" i="3"/>
  <c r="I49" i="3"/>
  <c r="X29" i="3"/>
  <c r="X31" i="3"/>
  <c r="O55" i="4" l="1"/>
  <c r="T42" i="4"/>
  <c r="AD42" i="4" s="1"/>
  <c r="T13" i="4"/>
  <c r="AD13" i="4" s="1"/>
  <c r="H55" i="4"/>
  <c r="T11" i="4"/>
  <c r="AD11" i="4" s="1"/>
  <c r="J55" i="4"/>
  <c r="J69" i="4" s="1"/>
  <c r="J74" i="4" s="1"/>
  <c r="J75" i="4" s="1"/>
  <c r="M21" i="4"/>
  <c r="L55" i="4"/>
  <c r="T37" i="4"/>
  <c r="AD37" i="4" s="1"/>
  <c r="N55" i="4"/>
  <c r="M55" i="4"/>
  <c r="T40" i="4"/>
  <c r="T27" i="4"/>
  <c r="AD27" i="4" s="1"/>
  <c r="T12" i="4"/>
  <c r="AD12" i="4" s="1"/>
  <c r="K55" i="4"/>
  <c r="K69" i="4" s="1"/>
  <c r="K74" i="4" s="1"/>
  <c r="K75" i="4" s="1"/>
  <c r="L68" i="4"/>
  <c r="L69" i="4" s="1"/>
  <c r="L74" i="4" s="1"/>
  <c r="L75" i="4" s="1"/>
  <c r="M67" i="4"/>
  <c r="Q23" i="4"/>
  <c r="P55" i="4"/>
  <c r="T21" i="4"/>
  <c r="AD21" i="4" s="1"/>
  <c r="T34" i="4"/>
  <c r="T33" i="4"/>
  <c r="X11" i="3"/>
  <c r="X19" i="3"/>
  <c r="M25" i="3"/>
  <c r="I25" i="3"/>
  <c r="X23" i="3"/>
  <c r="X45" i="3"/>
  <c r="R23" i="4" l="1"/>
  <c r="Q55" i="4"/>
  <c r="H69" i="4"/>
  <c r="M68" i="4"/>
  <c r="M69" i="4" s="1"/>
  <c r="M74" i="4" s="1"/>
  <c r="M75" i="4" s="1"/>
  <c r="N67" i="4"/>
  <c r="X46" i="3"/>
  <c r="M49" i="3"/>
  <c r="M50" i="3" s="1"/>
  <c r="X47" i="3"/>
  <c r="X44" i="3"/>
  <c r="X37" i="3"/>
  <c r="M52" i="3"/>
  <c r="L49" i="3"/>
  <c r="L50" i="3" s="1"/>
  <c r="L52" i="3" s="1"/>
  <c r="N49" i="3"/>
  <c r="N50" i="3" s="1"/>
  <c r="N25" i="3"/>
  <c r="N52" i="3" s="1"/>
  <c r="N68" i="4" l="1"/>
  <c r="N69" i="4" s="1"/>
  <c r="N74" i="4" s="1"/>
  <c r="N75" i="4" s="1"/>
  <c r="O67" i="4"/>
  <c r="H74" i="4"/>
  <c r="H80" i="4"/>
  <c r="S23" i="4"/>
  <c r="R55" i="4"/>
  <c r="O49" i="3"/>
  <c r="O50" i="3" s="1"/>
  <c r="X36" i="3"/>
  <c r="O25" i="3"/>
  <c r="O52" i="3" s="1"/>
  <c r="Q49" i="3"/>
  <c r="Q50" i="3" s="1"/>
  <c r="H79" i="4" l="1"/>
  <c r="H88" i="4" s="1"/>
  <c r="I80" i="4"/>
  <c r="P67" i="4"/>
  <c r="O68" i="4"/>
  <c r="O69" i="4" s="1"/>
  <c r="O74" i="4" s="1"/>
  <c r="O75" i="4" s="1"/>
  <c r="S55" i="4"/>
  <c r="T55" i="4" s="1"/>
  <c r="T23" i="4"/>
  <c r="AD23" i="4" s="1"/>
  <c r="H75" i="4"/>
  <c r="P49" i="3"/>
  <c r="P50" i="3" s="1"/>
  <c r="P25" i="3"/>
  <c r="P52" i="3" s="1"/>
  <c r="X43" i="3"/>
  <c r="AD55" i="4" l="1"/>
  <c r="P68" i="4"/>
  <c r="P69" i="4" s="1"/>
  <c r="P74" i="4" s="1"/>
  <c r="Q67" i="4"/>
  <c r="J80" i="4"/>
  <c r="I79" i="4"/>
  <c r="I88" i="4" s="1"/>
  <c r="X48" i="3"/>
  <c r="Q25" i="3"/>
  <c r="Q52" i="3" s="1"/>
  <c r="S49" i="3"/>
  <c r="S50" i="3" s="1"/>
  <c r="J49" i="3"/>
  <c r="Q68" i="4" l="1"/>
  <c r="Q69" i="4" s="1"/>
  <c r="Q74" i="4" s="1"/>
  <c r="Q75" i="4" s="1"/>
  <c r="R67" i="4"/>
  <c r="J79" i="4"/>
  <c r="J88" i="4" s="1"/>
  <c r="K80" i="4"/>
  <c r="P75" i="4"/>
  <c r="R49" i="3"/>
  <c r="R50" i="3" s="1"/>
  <c r="R25" i="3"/>
  <c r="K79" i="4" l="1"/>
  <c r="K88" i="4" s="1"/>
  <c r="L80" i="4"/>
  <c r="R68" i="4"/>
  <c r="R69" i="4" s="1"/>
  <c r="R74" i="4" s="1"/>
  <c r="S67" i="4"/>
  <c r="R52" i="3"/>
  <c r="S25" i="3"/>
  <c r="S52" i="3" s="1"/>
  <c r="S68" i="4" l="1"/>
  <c r="S69" i="4" s="1"/>
  <c r="S74" i="4" s="1"/>
  <c r="S75" i="4" s="1"/>
  <c r="T67" i="4"/>
  <c r="L79" i="4"/>
  <c r="L88" i="4" s="1"/>
  <c r="M80" i="4"/>
  <c r="R75" i="4"/>
  <c r="T74" i="4"/>
  <c r="X8" i="3"/>
  <c r="T49" i="3"/>
  <c r="T50" i="3" s="1"/>
  <c r="T25" i="3"/>
  <c r="U49" i="3"/>
  <c r="U50" i="3" s="1"/>
  <c r="AD74" i="4" l="1"/>
  <c r="T75" i="4"/>
  <c r="M79" i="4"/>
  <c r="M88" i="4" s="1"/>
  <c r="N80" i="4"/>
  <c r="AD67" i="4"/>
  <c r="T68" i="4"/>
  <c r="V49" i="3"/>
  <c r="V50" i="3" s="1"/>
  <c r="X34" i="3"/>
  <c r="T52" i="3"/>
  <c r="U25" i="3"/>
  <c r="U52" i="3" s="1"/>
  <c r="AD68" i="4" l="1"/>
  <c r="T69" i="4"/>
  <c r="O80" i="4"/>
  <c r="N79" i="4"/>
  <c r="N88" i="4" s="1"/>
  <c r="T76" i="4"/>
  <c r="AD75" i="4"/>
  <c r="V25" i="3"/>
  <c r="V52" i="3" s="1"/>
  <c r="P80" i="4" l="1"/>
  <c r="O79" i="4"/>
  <c r="O88" i="4" s="1"/>
  <c r="T70" i="4"/>
  <c r="AD69" i="4"/>
  <c r="X9" i="3"/>
  <c r="W49" i="3"/>
  <c r="W50" i="3" s="1"/>
  <c r="X33" i="3"/>
  <c r="X35" i="3" s="1"/>
  <c r="X49" i="3" s="1"/>
  <c r="X50" i="3" s="1"/>
  <c r="W25" i="3"/>
  <c r="W52" i="3" s="1"/>
  <c r="P79" i="4" l="1"/>
  <c r="P88" i="4" s="1"/>
  <c r="Q80" i="4"/>
  <c r="X10" i="3"/>
  <c r="K25" i="3"/>
  <c r="X25" i="3"/>
  <c r="X52" i="3" s="1"/>
  <c r="Q79" i="4" l="1"/>
  <c r="Q88" i="4" s="1"/>
  <c r="R80" i="4"/>
  <c r="R79" i="4" l="1"/>
  <c r="R88" i="4" s="1"/>
  <c r="S80" i="4"/>
  <c r="S79" i="4" l="1"/>
  <c r="S88" i="4" s="1"/>
  <c r="T80" i="4"/>
  <c r="T79" i="4" l="1"/>
  <c r="AD80" i="4"/>
  <c r="AD79" i="4" l="1"/>
  <c r="T88" i="4"/>
  <c r="AD8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12" authorId="0" shapeId="0" xr:uid="{9DC58B87-874F-4FF1-A8FE-1AECC2442616}">
      <text>
        <r>
          <rPr>
            <sz val="11"/>
            <color indexed="81"/>
            <rFont val="맑은 고딕"/>
            <family val="3"/>
            <charset val="129"/>
            <scheme val="major"/>
          </rPr>
          <t>UV Line 설비 처리
몇개월에 걸쳐 진행 불가능
1번에 정리 필요 
$380,653</t>
        </r>
      </text>
    </comment>
    <comment ref="D14" authorId="0" shapeId="0" xr:uid="{478E2006-97EB-4613-9907-9F47353745A5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  <author>ACC-PC01</author>
  </authors>
  <commentList>
    <comment ref="D7" authorId="0" shapeId="0" xr:uid="{EFFD7F56-D663-4C81-A761-4CF22F244331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9" authorId="1" shapeId="0" xr:uid="{0C5D1E3E-042F-4E93-A670-0AE47BA4866D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D40" authorId="0" shapeId="0" xr:uid="{F3DCFB19-D5E3-4C73-8BAD-A57261B6B22E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I40" authorId="1" shapeId="0" xr:uid="{2FB9CB7B-F2FF-4856-B0E2-B83DDF39978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L40" authorId="1" shapeId="0" xr:uid="{F2F3D47C-AD18-49E5-8F7F-28FDDD5B4ADE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0" authorId="1" shapeId="0" xr:uid="{6BC82251-8B36-4FE7-A702-F3C0DF8B74A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0" authorId="1" shapeId="0" xr:uid="{E0F34844-7D13-4618-8564-DF64281D76EB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1" authorId="2" shapeId="0" xr:uid="{5B74ADAF-7FC3-491E-BFA5-8187AC5D0AC8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45" authorId="0" shapeId="0" xr:uid="{1A046A26-EFDF-4018-9203-18529AD3D67D}">
      <text>
        <r>
          <rPr>
            <b/>
            <sz val="9"/>
            <color indexed="81"/>
            <rFont val="돋움"/>
            <family val="3"/>
            <charset val="129"/>
          </rPr>
          <t>외부창고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해지</t>
        </r>
      </text>
    </comment>
    <comment ref="D49" authorId="1" shapeId="0" xr:uid="{EEB593D2-3289-47BF-B72F-2A49D6894741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53" authorId="0" shapeId="0" xr:uid="{51D56984-AD14-4E9F-9ED2-AB217923E4E7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54" authorId="0" shapeId="0" xr:uid="{66D794AC-4C45-4643-A58B-3674A7DDDCE9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55" authorId="0" shapeId="0" xr:uid="{BEFC6072-2E98-4934-AEB3-AE221AA7B63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  <comment ref="D56" authorId="0" shapeId="0" xr:uid="{F3CFCEAD-7BE8-4CE4-B3E1-4E7B0FF97A0B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>/$
1.02</t>
        </r>
      </text>
    </comment>
    <comment ref="D57" authorId="0" shapeId="0" xr:uid="{7D526CBE-315A-4334-B9F8-EB04ABF8D605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59" authorId="0" shapeId="0" xr:uid="{F114F751-FAD9-4DD1-9AB6-2D549FE2887A}">
      <text>
        <r>
          <rPr>
            <b/>
            <sz val="9"/>
            <color indexed="81"/>
            <rFont val="Tahoma"/>
            <family val="2"/>
          </rPr>
          <t xml:space="preserve">GA </t>
        </r>
        <r>
          <rPr>
            <b/>
            <sz val="9"/>
            <color indexed="81"/>
            <rFont val="돋움"/>
            <family val="3"/>
            <charset val="129"/>
          </rPr>
          <t>사무용품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음료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생수</t>
        </r>
        <r>
          <rPr>
            <b/>
            <sz val="9"/>
            <color indexed="81"/>
            <rFont val="Tahoma"/>
            <family val="2"/>
          </rPr>
          <t xml:space="preserve">/R&amp;D </t>
        </r>
        <r>
          <rPr>
            <b/>
            <sz val="9"/>
            <color indexed="81"/>
            <rFont val="돋움"/>
            <family val="3"/>
            <charset val="129"/>
          </rPr>
          <t xml:space="preserve">비용
</t>
        </r>
        <r>
          <rPr>
            <b/>
            <sz val="9"/>
            <color indexed="81"/>
            <rFont val="Tahoma"/>
            <family val="2"/>
          </rPr>
          <t>(24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1~8</t>
        </r>
        <r>
          <rPr>
            <b/>
            <sz val="9"/>
            <color indexed="81"/>
            <rFont val="돋움"/>
            <family val="3"/>
            <charset val="129"/>
          </rPr>
          <t>월까지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0.41%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3" authorId="0" shapeId="0" xr:uid="{DB51E5F7-2EB6-4D4E-AF92-4E1F5355FCA9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3" authorId="0" shapeId="0" xr:uid="{84677783-0B17-4240-9B7A-0D1AE63A9F7C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  <comment ref="P23" authorId="0" shapeId="0" xr:uid="{217AA23E-777D-41B7-AA6F-C361A92EB1B1}">
      <text>
        <r>
          <rPr>
            <b/>
            <sz val="9"/>
            <color indexed="81"/>
            <rFont val="Tahoma"/>
            <family val="2"/>
          </rPr>
          <t>New exchange:25.5</t>
        </r>
      </text>
    </comment>
    <comment ref="E28" authorId="0" shapeId="0" xr:uid="{677B142A-36BB-45E1-A8F7-F1A5584A0EC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8" authorId="0" shapeId="0" xr:uid="{72C678A2-E811-4CB8-A437-358B2A872E11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</authors>
  <commentList>
    <comment ref="H6" authorId="0" shapeId="0" xr:uid="{5F5BB9DA-FEAA-4BAD-BC21-83E34B7BB71A}">
      <text>
        <r>
          <rPr>
            <b/>
            <sz val="9"/>
            <color indexed="81"/>
            <rFont val="Tahoma"/>
            <family val="2"/>
          </rPr>
          <t>2025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</text>
    </comment>
    <comment ref="G18" authorId="0" shapeId="0" xr:uid="{07712AA9-4ECB-4917-A605-98789A07CCB9}">
      <text>
        <r>
          <rPr>
            <b/>
            <sz val="11"/>
            <color indexed="81"/>
            <rFont val="Tahoma"/>
            <family val="2"/>
          </rPr>
          <t>2025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$1.4</t>
        </r>
        <r>
          <rPr>
            <b/>
            <sz val="11"/>
            <color indexed="81"/>
            <rFont val="돋움"/>
            <family val="3"/>
            <charset val="129"/>
          </rPr>
          <t>만</t>
        </r>
      </text>
    </comment>
    <comment ref="G19" authorId="1" shapeId="0" xr:uid="{2DEE8793-C70D-48F0-9CA4-E91315767EA0}">
      <text>
        <r>
          <rPr>
            <b/>
            <sz val="9"/>
            <color indexed="81"/>
            <rFont val="Tahoma"/>
            <family val="2"/>
          </rPr>
          <t xml:space="preserve">Carry 2025: 38,400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1" shapeId="0" xr:uid="{056380C2-D536-4AA5-A3C6-57601B55B7E2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D5FA9DA5-D242-47F6-B623-84363BFC1E65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</t>
        </r>
      </text>
    </comment>
    <comment ref="G24" authorId="0" shapeId="0" xr:uid="{D1306B9A-AF2A-44CE-9471-5429147B1C07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</t>
        </r>
        <r>
          <rPr>
            <b/>
            <sz val="11"/>
            <color indexed="81"/>
            <rFont val="Tahoma"/>
            <family val="2"/>
          </rPr>
          <t xml:space="preserve"> 3</t>
        </r>
        <r>
          <rPr>
            <b/>
            <sz val="11"/>
            <color indexed="81"/>
            <rFont val="돋움"/>
            <family val="3"/>
            <charset val="129"/>
          </rPr>
          <t>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구매분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잔액</t>
        </r>
      </text>
    </comment>
    <comment ref="F26" authorId="0" shapeId="0" xr:uid="{9B602F34-32C8-4015-8574-B97C1E83C539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or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F29" authorId="0" shapeId="0" xr:uid="{23ADD062-E414-43CB-A02E-88DB81371CC1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29" authorId="0" shapeId="0" xr:uid="{CF25F6C7-9515-4F58-B488-12ED6FEA22E6}">
      <text>
        <r>
          <rPr>
            <b/>
            <sz val="9"/>
            <color indexed="81"/>
            <rFont val="돋움"/>
            <family val="3"/>
            <charset val="129"/>
          </rPr>
          <t xml:space="preserve">Final amonunt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54B67446-5FCB-442A-B593-C9C3708C0B95}">
      <text>
        <r>
          <rPr>
            <b/>
            <sz val="9"/>
            <color indexed="81"/>
            <rFont val="돋움"/>
            <family val="3"/>
            <charset val="129"/>
          </rPr>
          <t>하반기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H31" authorId="0" shapeId="0" xr:uid="{E1B04083-B58F-44C1-95E1-62A39531366E}">
      <text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G41" authorId="1" shapeId="0" xr:uid="{8BFD0E36-D3B8-407A-9366-871C004BBF90}">
      <text>
        <r>
          <rPr>
            <sz val="9"/>
            <color indexed="81"/>
            <rFont val="Tahoma"/>
            <family val="2"/>
          </rPr>
          <t xml:space="preserve">Carry forward 2025: 70,000
</t>
        </r>
      </text>
    </comment>
    <comment ref="I41" authorId="1" shapeId="0" xr:uid="{D4BF6690-D5F2-4F41-BB7E-B1365F1C72BC}">
      <text>
        <r>
          <rPr>
            <b/>
            <sz val="9"/>
            <color indexed="81"/>
            <rFont val="Tahoma"/>
            <family val="2"/>
          </rPr>
          <t>Final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7" authorId="0" shapeId="0" xr:uid="{0734AF81-385C-4A1A-ABA5-6608F9F9DFCA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K57" authorId="0" shapeId="0" xr:uid="{75DFC6F4-BB9B-4299-832D-0964DB2D68C4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M57" authorId="0" shapeId="0" xr:uid="{090B49F1-B98F-40D0-9A2D-80C9B5D1BD99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O57" authorId="0" shapeId="0" xr:uid="{725791F0-0AA3-4FDC-9B63-DD2186A603CA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대
</t>
        </r>
      </text>
    </comment>
    <comment ref="I58" authorId="0" shapeId="0" xr:uid="{B6F60A33-047B-4763-8C5A-889D5F0A668A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출하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G60" authorId="0" shapeId="0" xr:uid="{6B6CC4F3-0452-40EB-B51D-DBA71CAB6796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$110,777
</t>
        </r>
      </text>
    </comment>
    <comment ref="X60" authorId="1" shapeId="0" xr:uid="{A90A7A16-8634-4CA2-8AB8-D10962E8EE19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G62" authorId="0" shapeId="0" xr:uid="{15BEB928-B51F-4658-A3A1-E73AE99C47D6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$69,785</t>
        </r>
      </text>
    </comment>
    <comment ref="Y62" authorId="1" shapeId="0" xr:uid="{277E3C87-EBB7-42A6-BDD2-C05CE333BCDE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G63" authorId="1" shapeId="0" xr:uid="{F66B9201-56FB-41EA-A9C8-09D93CD95111}">
      <text>
        <r>
          <rPr>
            <b/>
            <sz val="9"/>
            <color indexed="81"/>
            <rFont val="Tahoma"/>
            <family val="2"/>
          </rPr>
          <t>2025 forward: 119,192$</t>
        </r>
      </text>
    </comment>
    <comment ref="H67" authorId="0" shapeId="0" xr:uid="{81C3025C-809E-494E-9FC8-6E49DF622ADC}">
      <text>
        <r>
          <rPr>
            <b/>
            <sz val="11"/>
            <color indexed="81"/>
            <rFont val="Tahoma"/>
            <family val="2"/>
          </rPr>
          <t>25</t>
        </r>
        <r>
          <rPr>
            <b/>
            <sz val="11"/>
            <color indexed="81"/>
            <rFont val="돋움"/>
            <family val="3"/>
            <charset val="129"/>
          </rPr>
          <t>년도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금액</t>
        </r>
        <r>
          <rPr>
            <b/>
            <sz val="11"/>
            <color indexed="81"/>
            <rFont val="Tahoma"/>
            <family val="2"/>
          </rPr>
          <t xml:space="preserve"> $7.1</t>
        </r>
        <r>
          <rPr>
            <b/>
            <sz val="11"/>
            <color indexed="81"/>
            <rFont val="돋움"/>
            <family val="3"/>
            <charset val="129"/>
          </rPr>
          <t xml:space="preserve">만
</t>
        </r>
      </text>
    </comment>
  </commentList>
</comments>
</file>

<file path=xl/sharedStrings.xml><?xml version="1.0" encoding="utf-8"?>
<sst xmlns="http://schemas.openxmlformats.org/spreadsheetml/2006/main" count="501" uniqueCount="301">
  <si>
    <t>기존</t>
    <phoneticPr fontId="4" type="noConversion"/>
  </si>
  <si>
    <t>차이</t>
    <phoneticPr fontId="4" type="noConversion"/>
  </si>
  <si>
    <t>Sales</t>
  </si>
  <si>
    <t>Write off inventory and others booking( previous years)</t>
  </si>
  <si>
    <t>Gross profit</t>
  </si>
  <si>
    <t>SG&amp;A</t>
    <phoneticPr fontId="4" type="noConversion"/>
  </si>
  <si>
    <t>Income from Operation</t>
  </si>
  <si>
    <t>Interest Loan</t>
  </si>
  <si>
    <t>Ordinary Profit</t>
  </si>
  <si>
    <t>Tax</t>
  </si>
  <si>
    <t>Net Income</t>
  </si>
  <si>
    <t>EBITDA</t>
  </si>
  <si>
    <t xml:space="preserve">Depreciation </t>
  </si>
  <si>
    <t>Amortization</t>
  </si>
  <si>
    <t>total</t>
  </si>
  <si>
    <t>operating profit</t>
  </si>
  <si>
    <t>Category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</si>
  <si>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</si>
  <si>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</si>
  <si>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</si>
  <si>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</si>
  <si>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</si>
  <si>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</si>
  <si>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</si>
  <si>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</si>
  <si>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</si>
  <si>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</si>
  <si>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</si>
  <si>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</si>
  <si>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</si>
  <si>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차이</t>
  </si>
  <si>
    <t>COGS(COGM)</t>
  </si>
  <si>
    <t>SG&amp;A</t>
  </si>
  <si>
    <t>Other Expenses
(Net other Income &amp; expense &amp; gain loss exchang rate)</t>
  </si>
  <si>
    <t>Net profit</t>
  </si>
  <si>
    <t>Tax 계산</t>
  </si>
  <si>
    <t>법인세 비율</t>
  </si>
  <si>
    <t>과세</t>
  </si>
  <si>
    <t>서비스비용 공제시 납부 법인세</t>
  </si>
  <si>
    <t>Slow-moving items not reflected</t>
  </si>
  <si>
    <t xml:space="preserve">Slow moving Item 투입비율 조정  </t>
  </si>
  <si>
    <t>Category 1</t>
    <phoneticPr fontId="4" type="noConversion"/>
  </si>
  <si>
    <t>Category 2</t>
    <phoneticPr fontId="4" type="noConversion"/>
  </si>
  <si>
    <t>No</t>
    <phoneticPr fontId="1" type="noConversion"/>
  </si>
  <si>
    <t>Note</t>
    <phoneticPr fontId="4" type="noConversion"/>
  </si>
  <si>
    <t>산출방식</t>
  </si>
  <si>
    <t>비율</t>
  </si>
  <si>
    <t>COGS</t>
  </si>
  <si>
    <t>Material cost</t>
  </si>
  <si>
    <t>AL,MG,S36</t>
    <phoneticPr fontId="4" type="noConversion"/>
  </si>
  <si>
    <t>5. M Plan 참조</t>
  </si>
  <si>
    <t>없음</t>
  </si>
  <si>
    <t>Labor cost</t>
  </si>
  <si>
    <t>Salary (Included PIT,SHUI)</t>
  </si>
  <si>
    <t>4. L Plan 참조</t>
  </si>
  <si>
    <t>Manufacturing cost</t>
    <phoneticPr fontId="4" type="noConversion"/>
  </si>
  <si>
    <t xml:space="preserve">Meal </t>
  </si>
  <si>
    <t>Repair Expense</t>
    <phoneticPr fontId="4" type="noConversion"/>
  </si>
  <si>
    <t>전넌도 매출액 대비 비중 0.64%</t>
  </si>
  <si>
    <t>Transportation</t>
    <phoneticPr fontId="4" type="noConversion"/>
  </si>
  <si>
    <t>전넌도 매출액 대비 비중 0.21%</t>
  </si>
  <si>
    <t>Travel(Business)</t>
    <phoneticPr fontId="4" type="noConversion"/>
  </si>
  <si>
    <t>전넌도 매출액 대비 비중 0.04%</t>
  </si>
  <si>
    <t>Rent Expense (SG MCT, Outside WH, etc)</t>
    <phoneticPr fontId="4" type="noConversion"/>
  </si>
  <si>
    <t>9. C Plan 참조</t>
    <phoneticPr fontId="4" type="noConversion"/>
  </si>
  <si>
    <t>Outsourcing (Ano, Paint, Chromate ,CNC)</t>
  </si>
  <si>
    <t>6. O Plan 참조</t>
  </si>
  <si>
    <t>Consumables</t>
    <phoneticPr fontId="4" type="noConversion"/>
  </si>
  <si>
    <t>전넌도 매출액 대비 비중 4.74%</t>
  </si>
  <si>
    <t>Consumable tool (CNC)</t>
    <phoneticPr fontId="4" type="noConversion"/>
  </si>
  <si>
    <t>전넌도 매출액 대비 비중 1.41%</t>
  </si>
  <si>
    <t>Security</t>
    <phoneticPr fontId="4" type="noConversion"/>
  </si>
  <si>
    <t>고정비용</t>
  </si>
  <si>
    <t xml:space="preserve">Sewage </t>
    <phoneticPr fontId="4" type="noConversion"/>
  </si>
  <si>
    <t>전넌도 매출액 대비 비중 0.80%</t>
  </si>
  <si>
    <t xml:space="preserve">Cleaning expense </t>
    <phoneticPr fontId="4" type="noConversion"/>
  </si>
  <si>
    <t>전넌도 매출액 대비 비중 0.06%</t>
  </si>
  <si>
    <t>Electricity</t>
    <phoneticPr fontId="4" type="noConversion"/>
  </si>
  <si>
    <t>Utilty_Data 참조</t>
  </si>
  <si>
    <t xml:space="preserve">Water </t>
    <phoneticPr fontId="4" type="noConversion"/>
  </si>
  <si>
    <t>전넌도 매출액 대비 비중 0.05%</t>
  </si>
  <si>
    <t>Gas</t>
    <phoneticPr fontId="4" type="noConversion"/>
  </si>
  <si>
    <t>Depreciation</t>
    <phoneticPr fontId="4" type="noConversion"/>
  </si>
  <si>
    <t>8. I Plan 참조</t>
  </si>
  <si>
    <t>Amortization</t>
    <phoneticPr fontId="4" type="noConversion"/>
  </si>
  <si>
    <t>Amotization (Mold)</t>
  </si>
  <si>
    <t>Insurance (Fire insurance)</t>
    <phoneticPr fontId="4" type="noConversion"/>
  </si>
  <si>
    <t>Tax ( VAT of Bluewind and FCT machines)</t>
  </si>
  <si>
    <t>Others (Garden and cleaning,EHS,comsumption,Unreasonable...)</t>
  </si>
  <si>
    <t>전넌도 매출액 대비 비중 0.88%</t>
  </si>
  <si>
    <t>Obsolete Inventory Disposal (불용 처리)</t>
  </si>
  <si>
    <t>불용재고</t>
  </si>
  <si>
    <t xml:space="preserve">        Sub-Total</t>
  </si>
  <si>
    <t>Total COGM</t>
  </si>
  <si>
    <t>COGS  Atual</t>
  </si>
  <si>
    <t>Differrece beween COGS vs COGM</t>
  </si>
  <si>
    <t xml:space="preserve"> COGM Percentile / Sales</t>
  </si>
  <si>
    <t xml:space="preserve"> COGS Percentile / Sales</t>
  </si>
  <si>
    <t>Netprofit before adjust</t>
  </si>
  <si>
    <t>Before adjust</t>
  </si>
  <si>
    <t>After Adjust</t>
  </si>
  <si>
    <t>2) SG&amp;A</t>
    <phoneticPr fontId="4" type="noConversion"/>
  </si>
  <si>
    <t>Unit: USD</t>
    <phoneticPr fontId="4" type="noConversion"/>
  </si>
  <si>
    <t>Expenses(SA&amp;GA)</t>
  </si>
  <si>
    <t>Travel -business trips</t>
  </si>
  <si>
    <t>분기별 미국 출장비 10000불 추가</t>
  </si>
  <si>
    <t>Logistics</t>
  </si>
  <si>
    <t>2. S Plan'!L262 참조</t>
  </si>
  <si>
    <t>Communication</t>
    <phoneticPr fontId="4" type="noConversion"/>
  </si>
  <si>
    <t>인터넷비용</t>
  </si>
  <si>
    <t>Consulting</t>
  </si>
  <si>
    <t>cars relative</t>
  </si>
  <si>
    <t>차량랜트비 고정</t>
  </si>
  <si>
    <t>Rental others (warehouse)</t>
    <phoneticPr fontId="4" type="noConversion"/>
  </si>
  <si>
    <t>하반기 무엇때문인지?</t>
  </si>
  <si>
    <t xml:space="preserve">Rental - oversea -warehouse </t>
  </si>
  <si>
    <t>항목삭제</t>
    <phoneticPr fontId="4" type="noConversion"/>
  </si>
  <si>
    <t>Sorting</t>
  </si>
  <si>
    <t>Electricity</t>
  </si>
  <si>
    <t>Utilty_Data</t>
  </si>
  <si>
    <t>Commission fee (M&amp;C SG,KR,CH,JP)</t>
  </si>
  <si>
    <t>9. C Plan</t>
  </si>
  <si>
    <t>Sample</t>
  </si>
  <si>
    <t>전년도 매출대비 비중 0.48%</t>
  </si>
  <si>
    <t>Depreciation</t>
  </si>
  <si>
    <t>Entertainment</t>
  </si>
  <si>
    <t>기준확인</t>
  </si>
  <si>
    <t>property insurance</t>
  </si>
  <si>
    <t>Security charge</t>
  </si>
  <si>
    <t>계약기준</t>
  </si>
  <si>
    <t>Sewage charge</t>
    <phoneticPr fontId="4" type="noConversion"/>
  </si>
  <si>
    <t>4. L PLAN'!F40*1.02</t>
  </si>
  <si>
    <t>Tuition fee (foreigner kids)</t>
    <phoneticPr fontId="4" type="noConversion"/>
  </si>
  <si>
    <t>인원기준</t>
  </si>
  <si>
    <t>Banking charge</t>
  </si>
  <si>
    <t>??</t>
  </si>
  <si>
    <t>Stationery&amp;supplies/utilities</t>
  </si>
  <si>
    <t>전년도 매출대비 비중 0.27%</t>
  </si>
  <si>
    <t>Total</t>
    <phoneticPr fontId="4" type="noConversion"/>
  </si>
  <si>
    <t xml:space="preserve">                                                                     SG&amp;A Percentile / Sales</t>
  </si>
  <si>
    <t>3) Financial Expenses</t>
    <phoneticPr fontId="4" type="noConversion"/>
  </si>
  <si>
    <t>Financial expenses</t>
    <phoneticPr fontId="4" type="noConversion"/>
  </si>
  <si>
    <t>Interest of Bank (short loan)</t>
    <phoneticPr fontId="4" type="noConversion"/>
  </si>
  <si>
    <t>Interest of Personal (Short)</t>
  </si>
  <si>
    <t>Interest long loan ( machine)</t>
    <phoneticPr fontId="4" type="noConversion"/>
  </si>
  <si>
    <t>4) Others Expenses</t>
  </si>
  <si>
    <t>Unit: USD</t>
  </si>
  <si>
    <t>Loan date</t>
  </si>
  <si>
    <t>Qty</t>
  </si>
  <si>
    <t xml:space="preserve">Principle  Loan
Contract </t>
  </si>
  <si>
    <t>Month of Loan</t>
  </si>
  <si>
    <t>Interest
Before</t>
  </si>
  <si>
    <t>Interest
Current</t>
  </si>
  <si>
    <t>Remaining Principle
01.01.2026</t>
  </si>
  <si>
    <t>Remaining 31.12.2026</t>
  </si>
  <si>
    <t>17.Jun.2022</t>
  </si>
  <si>
    <t>Supplying and installing transformer</t>
  </si>
  <si>
    <t>29.Nov.2022</t>
  </si>
  <si>
    <t>Ugint PT400SS Samchully machine</t>
  </si>
  <si>
    <t>08.Dec.2022</t>
  </si>
  <si>
    <t>3D measuring machine</t>
  </si>
  <si>
    <t>18.May.2023</t>
  </si>
  <si>
    <t xml:space="preserve">TOYO 350TON_ Machine </t>
  </si>
  <si>
    <t>30.Nov.2025</t>
  </si>
  <si>
    <t>5 Axis CNC Machine (DN-DVS 5000)</t>
  </si>
  <si>
    <t>Chailease</t>
  </si>
  <si>
    <t xml:space="preserve">Lathe CNC Machine </t>
  </si>
  <si>
    <t>25.Jun.2024</t>
  </si>
  <si>
    <t>CNC machine</t>
  </si>
  <si>
    <t>12.Jul.2024</t>
  </si>
  <si>
    <t>05.Aug.2024</t>
  </si>
  <si>
    <t>Die-casting BD-350V5EX</t>
  </si>
  <si>
    <t>CNC Machine</t>
  </si>
  <si>
    <t>X-ray</t>
  </si>
  <si>
    <t>Alumium recycle</t>
  </si>
  <si>
    <t>10.Sep.2024</t>
  </si>
  <si>
    <t>Melting furnace</t>
  </si>
  <si>
    <t>24.Sep.2024</t>
  </si>
  <si>
    <t>Polishing Automation Model: MR12E</t>
  </si>
  <si>
    <t>04.Nov.2024</t>
  </si>
  <si>
    <t>System (1V3-4+Clearning +Transportation)</t>
  </si>
  <si>
    <t>15.Jan.2025</t>
  </si>
  <si>
    <t>System 1V8</t>
  </si>
  <si>
    <t>11.Feb.2025</t>
  </si>
  <si>
    <t>Penalty</t>
  </si>
  <si>
    <t xml:space="preserve">Principle Loan
Contract </t>
  </si>
  <si>
    <t>Remaining principine 
01.01.2026</t>
  </si>
  <si>
    <t>Note</t>
  </si>
  <si>
    <t>Total Interest</t>
  </si>
  <si>
    <t>TOTAL TO PAY ( principle and interst)MOTHLY</t>
  </si>
  <si>
    <t>1. Fix Assets use long loan And Finacial Fix assets ( Principle Amount)</t>
    <phoneticPr fontId="4" type="noConversion"/>
  </si>
  <si>
    <t>Category</t>
    <phoneticPr fontId="2" type="noConversion"/>
  </si>
  <si>
    <t>Principle monthly (Average)</t>
    <phoneticPr fontId="4" type="noConversion"/>
  </si>
  <si>
    <t xml:space="preserve">Casting Machine 350V7EX </t>
    <phoneticPr fontId="4" type="noConversion"/>
  </si>
  <si>
    <t>Sub Total</t>
    <phoneticPr fontId="2" type="noConversion"/>
  </si>
  <si>
    <t xml:space="preserve"> Total  Principle</t>
    <phoneticPr fontId="2" type="noConversion"/>
  </si>
  <si>
    <t>2.Fix Assets use long loan And Finacial Fix assets ( Interest Amount)</t>
    <phoneticPr fontId="4" type="noConversion"/>
  </si>
  <si>
    <t>Interest</t>
    <phoneticPr fontId="4" type="noConversion"/>
  </si>
  <si>
    <t>Interest monthly (Average)</t>
    <phoneticPr fontId="4" type="noConversion"/>
  </si>
  <si>
    <t>Total</t>
    <phoneticPr fontId="2" type="noConversion"/>
  </si>
  <si>
    <t>8. Investment Plan ( I Plan)</t>
  </si>
  <si>
    <t>1) Investment plan Payment</t>
    <phoneticPr fontId="1" type="noConversion"/>
  </si>
  <si>
    <t>Unit: USD</t>
    <phoneticPr fontId="1" type="noConversion"/>
  </si>
  <si>
    <t>Category 1</t>
    <phoneticPr fontId="1" type="noConversion"/>
  </si>
  <si>
    <t>No</t>
    <phoneticPr fontId="4" type="noConversion"/>
  </si>
  <si>
    <t>Categry 2</t>
    <phoneticPr fontId="1" type="noConversion"/>
  </si>
  <si>
    <t>U/P</t>
  </si>
  <si>
    <t>Q'TY</t>
    <phoneticPr fontId="1" type="noConversion"/>
  </si>
  <si>
    <t>Total Amount</t>
    <phoneticPr fontId="4" type="noConversion"/>
  </si>
  <si>
    <t>Remark</t>
  </si>
  <si>
    <t>Des</t>
  </si>
  <si>
    <t>Vendor</t>
  </si>
  <si>
    <t>IT</t>
    <phoneticPr fontId="4" type="noConversion"/>
  </si>
  <si>
    <t>Office &amp; Windows S/W</t>
    <phoneticPr fontId="1" type="noConversion"/>
  </si>
  <si>
    <t>Network 및 보안(방화벽)업그레이드 시스템 (1차)</t>
    <phoneticPr fontId="4" type="noConversion"/>
  </si>
  <si>
    <t>Network 및 보안(방화벽)업그레이드 시스템 (2차)</t>
    <phoneticPr fontId="4" type="noConversion"/>
  </si>
  <si>
    <t>Network 공사 (설비별 렌공사 및 중간 스위치 허브 설치)</t>
    <phoneticPr fontId="4" type="noConversion"/>
  </si>
  <si>
    <t>MES + 서버</t>
    <phoneticPr fontId="4" type="noConversion"/>
  </si>
  <si>
    <t>Sub total</t>
    <phoneticPr fontId="8" type="noConversion"/>
  </si>
  <si>
    <t>Mold</t>
    <phoneticPr fontId="4" type="noConversion"/>
  </si>
  <si>
    <t>3 Axis High Speed CNC</t>
    <phoneticPr fontId="4" type="noConversion"/>
  </si>
  <si>
    <t>CNC EDM</t>
    <phoneticPr fontId="4" type="noConversion"/>
  </si>
  <si>
    <t>Production 1</t>
    <phoneticPr fontId="4" type="noConversion"/>
  </si>
  <si>
    <t>Casting Machine Cover</t>
    <phoneticPr fontId="4" type="noConversion"/>
  </si>
  <si>
    <t>Jet Cooler</t>
    <phoneticPr fontId="4" type="noConversion"/>
  </si>
  <si>
    <t>진공 장치 및 기계</t>
    <phoneticPr fontId="4" type="noConversion"/>
  </si>
  <si>
    <t xml:space="preserve">Casting 제품 컨베이어 </t>
    <phoneticPr fontId="4" type="noConversion"/>
  </si>
  <si>
    <t>Casting 냉방 공조기</t>
    <phoneticPr fontId="4" type="noConversion"/>
  </si>
  <si>
    <t>이형제 공급 펌프</t>
    <phoneticPr fontId="4" type="noConversion"/>
  </si>
  <si>
    <t>상부침전식 용해로 -Top sedimentation furnace</t>
  </si>
  <si>
    <t>Production 2</t>
    <phoneticPr fontId="4" type="noConversion"/>
  </si>
  <si>
    <t>5axis CNC Machine (DN-DVS 5000)</t>
    <phoneticPr fontId="4" type="noConversion"/>
  </si>
  <si>
    <t xml:space="preserve">3+2 Axis Index  </t>
    <phoneticPr fontId="4" type="noConversion"/>
  </si>
  <si>
    <t>프로브 수리 (option 2) 400 수리 어려움 (1800,500) (1500,500)</t>
    <phoneticPr fontId="4" type="noConversion"/>
  </si>
  <si>
    <t>프로브 구매 (12000) , 프로브 세트 (16000) (무선 수신기 포함)</t>
    <phoneticPr fontId="4" type="noConversion"/>
  </si>
  <si>
    <t>Auto Polishing Machine &amp; Shipping fee</t>
    <phoneticPr fontId="4" type="noConversion"/>
  </si>
  <si>
    <t>Auto Polishing Machine &amp; Shipping fee (추가)</t>
    <phoneticPr fontId="4" type="noConversion"/>
  </si>
  <si>
    <t>Auto Hot Press (추가)</t>
    <phoneticPr fontId="4" type="noConversion"/>
  </si>
  <si>
    <t>Small Parts Polising Machine</t>
    <phoneticPr fontId="4" type="noConversion"/>
  </si>
  <si>
    <t>Cover 자동화 라인</t>
    <phoneticPr fontId="4" type="noConversion"/>
  </si>
  <si>
    <t>Tapping Machine</t>
    <phoneticPr fontId="4" type="noConversion"/>
  </si>
  <si>
    <t>Tapping Machine (추가)</t>
    <phoneticPr fontId="4" type="noConversion"/>
  </si>
  <si>
    <t>Three Punch Trimming Machine</t>
    <phoneticPr fontId="4" type="noConversion"/>
  </si>
  <si>
    <t>Three Punch Trimming Machine (추가)</t>
    <phoneticPr fontId="4" type="noConversion"/>
  </si>
  <si>
    <t>ZF CNC Auto Machine (추가)</t>
    <phoneticPr fontId="4" type="noConversion"/>
  </si>
  <si>
    <t>ZF Trimmin Auto Machine (추가)</t>
    <phoneticPr fontId="4" type="noConversion"/>
  </si>
  <si>
    <t>공정이동 box 세척장치</t>
    <phoneticPr fontId="4" type="noConversion"/>
  </si>
  <si>
    <t>연마석 바렐 자동화 설비</t>
    <phoneticPr fontId="4" type="noConversion"/>
  </si>
  <si>
    <t>중속 가공기(Middle-Speed Machining Center)</t>
    <phoneticPr fontId="4" type="noConversion"/>
  </si>
  <si>
    <t>가공 부 치수 측정용 에어 게이지</t>
    <phoneticPr fontId="4" type="noConversion"/>
  </si>
  <si>
    <t xml:space="preserve">PEO Coating </t>
    <phoneticPr fontId="4" type="noConversion"/>
  </si>
  <si>
    <t xml:space="preserve">Chromate - Auto (개조) 추가  </t>
    <phoneticPr fontId="4" type="noConversion"/>
  </si>
  <si>
    <t>CNC -Automation 1V8-SDR</t>
  </si>
  <si>
    <t>QC</t>
    <phoneticPr fontId="4" type="noConversion"/>
  </si>
  <si>
    <t>수동 측정 자동화 추진 (에어 게이지, 리크, 레이저 마킹)</t>
    <phoneticPr fontId="4" type="noConversion"/>
  </si>
  <si>
    <t>3D Scanner_ QC (GOM)</t>
    <phoneticPr fontId="1" type="noConversion"/>
  </si>
  <si>
    <t>3D 스캐너 측정 프로그램 ZEISS INSPECT OPTICAL 3D PRO</t>
    <phoneticPr fontId="4" type="noConversion"/>
  </si>
  <si>
    <t>3D 스캐너 측정 로봇 (전용 ZEISS SCAN POT)</t>
    <phoneticPr fontId="4" type="noConversion"/>
  </si>
  <si>
    <t>CMM (덕인 Tool Option 포함)</t>
    <phoneticPr fontId="4" type="noConversion"/>
  </si>
  <si>
    <t>포장기 SCT-5545TBC</t>
    <phoneticPr fontId="4" type="noConversion"/>
  </si>
  <si>
    <t>자동 검사기 (로봇타입) : 하우징</t>
    <phoneticPr fontId="4" type="noConversion"/>
  </si>
  <si>
    <t>자동 검사기 (로봇타입) : Cover</t>
    <phoneticPr fontId="4" type="noConversion"/>
  </si>
  <si>
    <t>자동 검사기 (브라켓)</t>
    <phoneticPr fontId="4" type="noConversion"/>
  </si>
  <si>
    <t>QC SPC 데이터 관리 프로그램 (제품 측정 연계)</t>
    <phoneticPr fontId="4" type="noConversion"/>
  </si>
  <si>
    <t>Warehouse</t>
    <phoneticPr fontId="4" type="noConversion"/>
  </si>
  <si>
    <t>AGV등 반제품 이동 자동화 로봇</t>
    <phoneticPr fontId="4" type="noConversion"/>
  </si>
  <si>
    <t>완제품 창고 자동화</t>
    <phoneticPr fontId="4" type="noConversion"/>
  </si>
  <si>
    <t>적재 및 포장 로봇</t>
    <phoneticPr fontId="4" type="noConversion"/>
  </si>
  <si>
    <t>Other &amp; Repair</t>
    <phoneticPr fontId="1" type="noConversion"/>
  </si>
  <si>
    <t xml:space="preserve">발전기(1500KW) or ESS &amp; ATS </t>
    <phoneticPr fontId="4" type="noConversion"/>
  </si>
  <si>
    <t>Casting Repair 350ton &amp; Include Logistic cost</t>
    <phoneticPr fontId="4" type="noConversion"/>
  </si>
  <si>
    <t>Casting Repair 125ton &amp; Include Logistic cost</t>
    <phoneticPr fontId="4" type="noConversion"/>
  </si>
  <si>
    <t>휴게실 인테리어 내/외부 공사 (In/Exterior Construction of Rest Area)</t>
    <phoneticPr fontId="4" type="noConversion"/>
  </si>
  <si>
    <t>M&amp;C2025-1013-BV</t>
  </si>
  <si>
    <t>현장 화장실 개조공사(On-site restroom renovation project)</t>
  </si>
  <si>
    <t>M&amp;C2025-1218-BV</t>
  </si>
  <si>
    <t>Casting 금형 냉각수 드레인(자연낙하)공사 (비트,Chiller,Tank)</t>
    <phoneticPr fontId="4" type="noConversion"/>
  </si>
  <si>
    <t>M&amp;C2025-0922-BV</t>
  </si>
  <si>
    <t xml:space="preserve">CNC 2(SEVT)라인 배기 덕트 및 개선 공사  </t>
    <phoneticPr fontId="4" type="noConversion"/>
  </si>
  <si>
    <t>M&amp;C2025-0913-BV</t>
  </si>
  <si>
    <t>PCCC - 알람 센서 추가 및 승인 (2025년 이월)</t>
    <phoneticPr fontId="4" type="noConversion"/>
  </si>
  <si>
    <t>M&amp;C2025-0718-BV</t>
  </si>
  <si>
    <t>창고 재건축 공사(외부 -쓰레기 집하장)</t>
    <phoneticPr fontId="4" type="noConversion"/>
  </si>
  <si>
    <t>회사내 layout 개선 공사</t>
    <phoneticPr fontId="4" type="noConversion"/>
  </si>
  <si>
    <t>서버실 확장 공사</t>
    <phoneticPr fontId="4" type="noConversion"/>
  </si>
  <si>
    <t xml:space="preserve">Other (Move Machine and Building Repairs) 2025년 이월 비용 포함 </t>
    <phoneticPr fontId="4" type="noConversion"/>
  </si>
  <si>
    <t>Sub total</t>
  </si>
  <si>
    <t>2025년</t>
  </si>
  <si>
    <t>Total</t>
    <phoneticPr fontId="8" type="noConversion"/>
  </si>
  <si>
    <t>2) Investment Payment (Long-term loan)</t>
  </si>
  <si>
    <t>Category</t>
    <phoneticPr fontId="1" type="noConversion"/>
  </si>
  <si>
    <t>Othes invest and Long term - Sacombank</t>
  </si>
  <si>
    <t>M&amp;C Payments</t>
    <phoneticPr fontId="1" type="noConversion"/>
  </si>
  <si>
    <t>Total</t>
    <phoneticPr fontId="1" type="noConversion"/>
  </si>
  <si>
    <t>3) Depreciation</t>
    <phoneticPr fontId="1" type="noConversion"/>
  </si>
  <si>
    <t>Unit : USD</t>
    <phoneticPr fontId="1" type="noConversion"/>
  </si>
  <si>
    <t>Prodution</t>
  </si>
  <si>
    <t>Estimate Depreciation &amp; Amotization</t>
  </si>
  <si>
    <t>Depreciation Financial Assets (Chailease)</t>
  </si>
  <si>
    <t>Amortization Mold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</si>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</sst>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_-;\-* #,##0_-;_-* &quot;-&quot;??_-;_-@_-"/>
    <numFmt numFmtId="178" formatCode="0.0%"/>
    <numFmt numFmtId="179" formatCode="_(* #,##0.00_);_(* \(#,##0.00\);_(* &quot;-&quot;??_);_(@_)"/>
    <numFmt numFmtId="180" formatCode="_(* #,##0_);_(* \(#,##0\);_(* &quot;-&quot;??_);_(@_)"/>
    <numFmt numFmtId="181" formatCode="0_);[Red]\(0\)"/>
    <numFmt numFmtId="182" formatCode="_(&quot;$&quot;* #,##0_);_(&quot;$&quot;* \(#,##0\);_(&quot;$&quot;* &quot;-&quot;??_);_(@_)"/>
    <numFmt numFmtId="183" formatCode="_-* #,##0.00_-;\-* #,##0.00_-;_-* &quot;-&quot;_-;_-@_-"/>
    <numFmt numFmtId="184" formatCode="_-[$$-409]* #,##0_ ;_-[$$-409]* \-#,##0\ ;_-[$$-409]* &quot;-&quot;??_ ;_-@_ "/>
  </numFmts>
  <fonts count="3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sz val="9"/>
      <name val="맑은 고딕"/>
      <family val="3"/>
      <charset val="129"/>
    </font>
    <font>
      <b/>
      <i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맑은 고딕"/>
      <family val="3"/>
      <charset val="129"/>
    </font>
    <font>
      <sz val="9"/>
      <color indexed="81"/>
      <name val="Tahoma"/>
      <family val="2"/>
    </font>
    <font>
      <b/>
      <sz val="1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rgb="FFC6D9F0"/>
      </patternFill>
    </fill>
    <fill>
      <patternFill patternType="solid">
        <fgColor theme="0"/>
        <bgColor rgb="FFC6D9F0"/>
      </patternFill>
    </fill>
    <fill>
      <patternFill patternType="solid">
        <fgColor rgb="FFFFFF00"/>
        <bgColor rgb="FFC6D9F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39997558519241921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rgb="FF000000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8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41" fontId="5" fillId="2" borderId="1" xfId="0" applyNumberFormat="1" applyFont="1" applyFill="1" applyBorder="1" applyAlignment="1">
      <alignment vertical="center"/>
    </xf>
    <xf numFmtId="41" fontId="5" fillId="0" borderId="1" xfId="0" applyNumberFormat="1" applyFont="1" applyBorder="1" applyAlignment="1">
      <alignment vertical="center"/>
    </xf>
    <xf numFmtId="41" fontId="5" fillId="0" borderId="9" xfId="0" applyNumberFormat="1" applyFont="1" applyBorder="1" applyAlignment="1">
      <alignment vertical="center"/>
    </xf>
    <xf numFmtId="41" fontId="5" fillId="0" borderId="10" xfId="0" applyNumberFormat="1" applyFont="1" applyBorder="1" applyAlignment="1">
      <alignment vertical="center"/>
    </xf>
    <xf numFmtId="41" fontId="5" fillId="0" borderId="11" xfId="0" applyNumberFormat="1" applyFont="1" applyBorder="1" applyAlignment="1">
      <alignment vertical="center"/>
    </xf>
    <xf numFmtId="41" fontId="5" fillId="3" borderId="12" xfId="0" applyNumberFormat="1" applyFont="1" applyFill="1" applyBorder="1" applyAlignment="1">
      <alignment vertical="center"/>
    </xf>
    <xf numFmtId="41" fontId="5" fillId="3" borderId="13" xfId="0" applyNumberFormat="1" applyFont="1" applyFill="1" applyBorder="1" applyAlignment="1">
      <alignment horizontal="right" vertical="center"/>
    </xf>
    <xf numFmtId="41" fontId="5" fillId="0" borderId="11" xfId="0" applyNumberFormat="1" applyFont="1" applyBorder="1" applyAlignment="1">
      <alignment horizontal="right" vertical="center"/>
    </xf>
    <xf numFmtId="41" fontId="5" fillId="0" borderId="12" xfId="0" applyNumberFormat="1" applyFont="1" applyBorder="1" applyAlignment="1">
      <alignment horizontal="right" vertical="center"/>
    </xf>
    <xf numFmtId="41" fontId="5" fillId="0" borderId="13" xfId="0" applyNumberFormat="1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41" fontId="3" fillId="2" borderId="8" xfId="0" applyNumberFormat="1" applyFont="1" applyFill="1" applyBorder="1" applyAlignment="1">
      <alignment horizontal="right" vertical="center"/>
    </xf>
    <xf numFmtId="176" fontId="3" fillId="2" borderId="8" xfId="0" applyNumberFormat="1" applyFont="1" applyFill="1" applyBorder="1" applyAlignment="1">
      <alignment horizontal="right" vertical="center"/>
    </xf>
    <xf numFmtId="41" fontId="5" fillId="2" borderId="14" xfId="0" applyNumberFormat="1" applyFont="1" applyFill="1" applyBorder="1" applyAlignment="1">
      <alignment horizontal="left" vertical="center" indent="1"/>
    </xf>
    <xf numFmtId="41" fontId="5" fillId="3" borderId="14" xfId="0" applyNumberFormat="1" applyFont="1" applyFill="1" applyBorder="1" applyAlignment="1">
      <alignment vertical="center"/>
    </xf>
    <xf numFmtId="41" fontId="5" fillId="3" borderId="15" xfId="0" applyNumberFormat="1" applyFont="1" applyFill="1" applyBorder="1" applyAlignment="1">
      <alignment vertical="center"/>
    </xf>
    <xf numFmtId="41" fontId="5" fillId="3" borderId="16" xfId="0" applyNumberFormat="1" applyFont="1" applyFill="1" applyBorder="1" applyAlignment="1">
      <alignment vertical="center"/>
    </xf>
    <xf numFmtId="41" fontId="5" fillId="3" borderId="0" xfId="0" applyNumberFormat="1" applyFont="1" applyFill="1" applyAlignment="1">
      <alignment vertical="center"/>
    </xf>
    <xf numFmtId="41" fontId="5" fillId="3" borderId="17" xfId="0" applyNumberFormat="1" applyFont="1" applyFill="1" applyBorder="1" applyAlignment="1">
      <alignment vertical="center"/>
    </xf>
    <xf numFmtId="41" fontId="5" fillId="3" borderId="18" xfId="0" applyNumberFormat="1" applyFont="1" applyFill="1" applyBorder="1" applyAlignment="1">
      <alignment horizontal="right" vertical="center"/>
    </xf>
    <xf numFmtId="41" fontId="5" fillId="3" borderId="0" xfId="0" applyNumberFormat="1" applyFont="1" applyFill="1" applyAlignment="1">
      <alignment horizontal="right" vertical="center"/>
    </xf>
    <xf numFmtId="41" fontId="5" fillId="3" borderId="17" xfId="0" applyNumberFormat="1" applyFont="1" applyFill="1" applyBorder="1" applyAlignment="1">
      <alignment horizontal="right" vertical="center"/>
    </xf>
    <xf numFmtId="41" fontId="5" fillId="3" borderId="14" xfId="0" applyNumberFormat="1" applyFont="1" applyFill="1" applyBorder="1" applyAlignment="1">
      <alignment horizontal="right" vertical="center"/>
    </xf>
    <xf numFmtId="41" fontId="3" fillId="2" borderId="19" xfId="0" applyNumberFormat="1" applyFont="1" applyFill="1" applyBorder="1" applyAlignment="1">
      <alignment horizontal="right" vertical="center"/>
    </xf>
    <xf numFmtId="176" fontId="3" fillId="2" borderId="19" xfId="0" applyNumberFormat="1" applyFont="1" applyFill="1" applyBorder="1" applyAlignment="1">
      <alignment horizontal="right" vertical="center"/>
    </xf>
    <xf numFmtId="41" fontId="5" fillId="2" borderId="20" xfId="0" applyNumberFormat="1" applyFont="1" applyFill="1" applyBorder="1" applyAlignment="1">
      <alignment horizontal="left" vertical="center" indent="1"/>
    </xf>
    <xf numFmtId="9" fontId="5" fillId="3" borderId="20" xfId="0" applyNumberFormat="1" applyFont="1" applyFill="1" applyBorder="1" applyAlignment="1">
      <alignment vertical="center"/>
    </xf>
    <xf numFmtId="9" fontId="5" fillId="3" borderId="21" xfId="0" applyNumberFormat="1" applyFont="1" applyFill="1" applyBorder="1" applyAlignment="1">
      <alignment vertical="center"/>
    </xf>
    <xf numFmtId="9" fontId="5" fillId="3" borderId="22" xfId="0" applyNumberFormat="1" applyFont="1" applyFill="1" applyBorder="1" applyAlignment="1">
      <alignment vertical="center"/>
    </xf>
    <xf numFmtId="9" fontId="5" fillId="3" borderId="23" xfId="0" applyNumberFormat="1" applyFont="1" applyFill="1" applyBorder="1" applyAlignment="1">
      <alignment vertical="center"/>
    </xf>
    <xf numFmtId="9" fontId="5" fillId="3" borderId="24" xfId="0" applyNumberFormat="1" applyFont="1" applyFill="1" applyBorder="1" applyAlignment="1">
      <alignment vertical="center"/>
    </xf>
    <xf numFmtId="9" fontId="5" fillId="3" borderId="25" xfId="0" applyNumberFormat="1" applyFont="1" applyFill="1" applyBorder="1" applyAlignment="1">
      <alignment vertical="center"/>
    </xf>
    <xf numFmtId="9" fontId="3" fillId="2" borderId="26" xfId="0" applyNumberFormat="1" applyFont="1" applyFill="1" applyBorder="1" applyAlignment="1">
      <alignment vertical="center"/>
    </xf>
    <xf numFmtId="41" fontId="5" fillId="2" borderId="27" xfId="0" applyNumberFormat="1" applyFont="1" applyFill="1" applyBorder="1" applyAlignment="1">
      <alignment vertical="center"/>
    </xf>
    <xf numFmtId="41" fontId="5" fillId="3" borderId="27" xfId="0" applyNumberFormat="1" applyFont="1" applyFill="1" applyBorder="1" applyAlignment="1">
      <alignment vertical="center"/>
    </xf>
    <xf numFmtId="41" fontId="5" fillId="3" borderId="28" xfId="0" applyNumberFormat="1" applyFont="1" applyFill="1" applyBorder="1" applyAlignment="1">
      <alignment vertical="center"/>
    </xf>
    <xf numFmtId="41" fontId="5" fillId="3" borderId="29" xfId="0" applyNumberFormat="1" applyFont="1" applyFill="1" applyBorder="1" applyAlignment="1">
      <alignment vertical="center"/>
    </xf>
    <xf numFmtId="41" fontId="5" fillId="3" borderId="30" xfId="0" applyNumberFormat="1" applyFont="1" applyFill="1" applyBorder="1" applyAlignment="1">
      <alignment vertical="center"/>
    </xf>
    <xf numFmtId="41" fontId="5" fillId="3" borderId="31" xfId="0" applyNumberFormat="1" applyFont="1" applyFill="1" applyBorder="1" applyAlignment="1">
      <alignment vertical="center"/>
    </xf>
    <xf numFmtId="41" fontId="5" fillId="3" borderId="32" xfId="0" applyNumberFormat="1" applyFont="1" applyFill="1" applyBorder="1" applyAlignment="1">
      <alignment vertical="center"/>
    </xf>
    <xf numFmtId="41" fontId="3" fillId="2" borderId="19" xfId="0" applyNumberFormat="1" applyFont="1" applyFill="1" applyBorder="1" applyAlignment="1">
      <alignment vertical="center"/>
    </xf>
    <xf numFmtId="176" fontId="3" fillId="2" borderId="19" xfId="0" applyNumberFormat="1" applyFont="1" applyFill="1" applyBorder="1" applyAlignment="1">
      <alignment vertical="center"/>
    </xf>
    <xf numFmtId="41" fontId="5" fillId="3" borderId="18" xfId="0" applyNumberFormat="1" applyFont="1" applyFill="1" applyBorder="1" applyAlignment="1">
      <alignment vertical="center"/>
    </xf>
    <xf numFmtId="176" fontId="5" fillId="3" borderId="27" xfId="0" applyNumberFormat="1" applyFont="1" applyFill="1" applyBorder="1" applyAlignment="1">
      <alignment vertical="center"/>
    </xf>
    <xf numFmtId="176" fontId="5" fillId="3" borderId="28" xfId="0" applyNumberFormat="1" applyFont="1" applyFill="1" applyBorder="1" applyAlignment="1">
      <alignment vertical="center"/>
    </xf>
    <xf numFmtId="176" fontId="5" fillId="3" borderId="29" xfId="0" applyNumberFormat="1" applyFont="1" applyFill="1" applyBorder="1" applyAlignment="1">
      <alignment vertical="center"/>
    </xf>
    <xf numFmtId="176" fontId="5" fillId="3" borderId="30" xfId="0" applyNumberFormat="1" applyFont="1" applyFill="1" applyBorder="1" applyAlignment="1">
      <alignment vertical="center"/>
    </xf>
    <xf numFmtId="176" fontId="5" fillId="3" borderId="31" xfId="0" applyNumberFormat="1" applyFont="1" applyFill="1" applyBorder="1" applyAlignment="1">
      <alignment vertical="center"/>
    </xf>
    <xf numFmtId="176" fontId="5" fillId="3" borderId="32" xfId="0" applyNumberFormat="1" applyFont="1" applyFill="1" applyBorder="1" applyAlignment="1">
      <alignment vertical="center"/>
    </xf>
    <xf numFmtId="176" fontId="3" fillId="2" borderId="33" xfId="0" applyNumberFormat="1" applyFont="1" applyFill="1" applyBorder="1" applyAlignment="1">
      <alignment vertical="center"/>
    </xf>
    <xf numFmtId="41" fontId="5" fillId="2" borderId="14" xfId="0" applyNumberFormat="1" applyFont="1" applyFill="1" applyBorder="1" applyAlignment="1">
      <alignment vertical="center"/>
    </xf>
    <xf numFmtId="176" fontId="5" fillId="3" borderId="14" xfId="0" applyNumberFormat="1" applyFont="1" applyFill="1" applyBorder="1" applyAlignment="1">
      <alignment vertical="center"/>
    </xf>
    <xf numFmtId="176" fontId="5" fillId="3" borderId="15" xfId="0" applyNumberFormat="1" applyFont="1" applyFill="1" applyBorder="1" applyAlignment="1">
      <alignment vertical="center"/>
    </xf>
    <xf numFmtId="176" fontId="5" fillId="3" borderId="16" xfId="0" applyNumberFormat="1" applyFont="1" applyFill="1" applyBorder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5" fillId="3" borderId="17" xfId="0" applyNumberFormat="1" applyFont="1" applyFill="1" applyBorder="1" applyAlignment="1">
      <alignment vertical="center"/>
    </xf>
    <xf numFmtId="176" fontId="5" fillId="3" borderId="18" xfId="0" applyNumberFormat="1" applyFont="1" applyFill="1" applyBorder="1" applyAlignment="1">
      <alignment vertical="center"/>
    </xf>
    <xf numFmtId="41" fontId="5" fillId="2" borderId="34" xfId="0" applyNumberFormat="1" applyFont="1" applyFill="1" applyBorder="1" applyAlignment="1">
      <alignment vertical="center" wrapText="1"/>
    </xf>
    <xf numFmtId="176" fontId="5" fillId="4" borderId="34" xfId="0" applyNumberFormat="1" applyFont="1" applyFill="1" applyBorder="1" applyAlignment="1">
      <alignment vertical="center"/>
    </xf>
    <xf numFmtId="176" fontId="5" fillId="3" borderId="35" xfId="0" applyNumberFormat="1" applyFont="1" applyFill="1" applyBorder="1" applyAlignment="1">
      <alignment vertical="center"/>
    </xf>
    <xf numFmtId="176" fontId="5" fillId="3" borderId="36" xfId="0" applyNumberFormat="1" applyFont="1" applyFill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176" fontId="5" fillId="3" borderId="38" xfId="0" applyNumberFormat="1" applyFont="1" applyFill="1" applyBorder="1" applyAlignment="1">
      <alignment vertical="center"/>
    </xf>
    <xf numFmtId="176" fontId="5" fillId="3" borderId="39" xfId="0" applyNumberFormat="1" applyFont="1" applyFill="1" applyBorder="1" applyAlignment="1">
      <alignment vertical="center"/>
    </xf>
    <xf numFmtId="176" fontId="5" fillId="3" borderId="34" xfId="0" applyNumberFormat="1" applyFont="1" applyFill="1" applyBorder="1" applyAlignment="1">
      <alignment vertical="center"/>
    </xf>
    <xf numFmtId="41" fontId="3" fillId="2" borderId="40" xfId="0" applyNumberFormat="1" applyFont="1" applyFill="1" applyBorder="1" applyAlignment="1">
      <alignment horizontal="right" vertical="center"/>
    </xf>
    <xf numFmtId="41" fontId="6" fillId="2" borderId="20" xfId="0" applyNumberFormat="1" applyFont="1" applyFill="1" applyBorder="1" applyAlignment="1">
      <alignment horizontal="left" vertical="center" indent="1"/>
    </xf>
    <xf numFmtId="176" fontId="3" fillId="3" borderId="20" xfId="0" applyNumberFormat="1" applyFont="1" applyFill="1" applyBorder="1" applyAlignment="1">
      <alignment vertical="center"/>
    </xf>
    <xf numFmtId="176" fontId="3" fillId="3" borderId="21" xfId="0" applyNumberFormat="1" applyFont="1" applyFill="1" applyBorder="1" applyAlignment="1">
      <alignment vertical="center"/>
    </xf>
    <xf numFmtId="176" fontId="3" fillId="3" borderId="22" xfId="0" applyNumberFormat="1" applyFont="1" applyFill="1" applyBorder="1" applyAlignment="1">
      <alignment vertical="center"/>
    </xf>
    <xf numFmtId="176" fontId="3" fillId="3" borderId="23" xfId="0" applyNumberFormat="1" applyFont="1" applyFill="1" applyBorder="1" applyAlignment="1">
      <alignment vertical="center"/>
    </xf>
    <xf numFmtId="176" fontId="3" fillId="3" borderId="24" xfId="0" applyNumberFormat="1" applyFont="1" applyFill="1" applyBorder="1" applyAlignment="1">
      <alignment vertical="center"/>
    </xf>
    <xf numFmtId="176" fontId="7" fillId="3" borderId="25" xfId="0" applyNumberFormat="1" applyFont="1" applyFill="1" applyBorder="1" applyAlignment="1">
      <alignment vertical="center"/>
    </xf>
    <xf numFmtId="176" fontId="7" fillId="3" borderId="23" xfId="0" applyNumberFormat="1" applyFont="1" applyFill="1" applyBorder="1" applyAlignment="1">
      <alignment vertical="center"/>
    </xf>
    <xf numFmtId="176" fontId="7" fillId="3" borderId="24" xfId="0" applyNumberFormat="1" applyFont="1" applyFill="1" applyBorder="1" applyAlignment="1">
      <alignment vertical="center"/>
    </xf>
    <xf numFmtId="176" fontId="7" fillId="3" borderId="20" xfId="0" applyNumberFormat="1" applyFont="1" applyFill="1" applyBorder="1" applyAlignment="1">
      <alignment vertical="center"/>
    </xf>
    <xf numFmtId="176" fontId="7" fillId="2" borderId="26" xfId="0" applyNumberFormat="1" applyFont="1" applyFill="1" applyBorder="1" applyAlignment="1">
      <alignment vertical="center"/>
    </xf>
    <xf numFmtId="41" fontId="7" fillId="4" borderId="34" xfId="0" applyNumberFormat="1" applyFont="1" applyFill="1" applyBorder="1" applyAlignment="1">
      <alignment vertical="center"/>
    </xf>
    <xf numFmtId="176" fontId="3" fillId="4" borderId="34" xfId="0" applyNumberFormat="1" applyFont="1" applyFill="1" applyBorder="1" applyAlignment="1">
      <alignment vertical="center"/>
    </xf>
    <xf numFmtId="176" fontId="3" fillId="4" borderId="35" xfId="0" applyNumberFormat="1" applyFont="1" applyFill="1" applyBorder="1" applyAlignment="1">
      <alignment vertical="center"/>
    </xf>
    <xf numFmtId="176" fontId="3" fillId="4" borderId="36" xfId="0" applyNumberFormat="1" applyFont="1" applyFill="1" applyBorder="1" applyAlignment="1">
      <alignment vertical="center"/>
    </xf>
    <xf numFmtId="176" fontId="3" fillId="4" borderId="37" xfId="0" applyNumberFormat="1" applyFont="1" applyFill="1" applyBorder="1" applyAlignment="1">
      <alignment vertical="center"/>
    </xf>
    <xf numFmtId="176" fontId="3" fillId="4" borderId="38" xfId="0" applyNumberFormat="1" applyFont="1" applyFill="1" applyBorder="1" applyAlignment="1">
      <alignment vertical="center"/>
    </xf>
    <xf numFmtId="176" fontId="7" fillId="4" borderId="39" xfId="0" applyNumberFormat="1" applyFont="1" applyFill="1" applyBorder="1" applyAlignment="1">
      <alignment vertical="center"/>
    </xf>
    <xf numFmtId="176" fontId="7" fillId="4" borderId="37" xfId="0" applyNumberFormat="1" applyFont="1" applyFill="1" applyBorder="1" applyAlignment="1">
      <alignment vertical="center"/>
    </xf>
    <xf numFmtId="176" fontId="7" fillId="4" borderId="38" xfId="0" applyNumberFormat="1" applyFont="1" applyFill="1" applyBorder="1" applyAlignment="1">
      <alignment vertical="center"/>
    </xf>
    <xf numFmtId="176" fontId="7" fillId="4" borderId="34" xfId="0" applyNumberFormat="1" applyFont="1" applyFill="1" applyBorder="1" applyAlignment="1">
      <alignment vertical="center"/>
    </xf>
    <xf numFmtId="176" fontId="7" fillId="4" borderId="40" xfId="0" applyNumberFormat="1" applyFont="1" applyFill="1" applyBorder="1" applyAlignment="1">
      <alignment vertical="center"/>
    </xf>
    <xf numFmtId="41" fontId="3" fillId="2" borderId="41" xfId="0" applyNumberFormat="1" applyFont="1" applyFill="1" applyBorder="1" applyAlignment="1">
      <alignment vertical="center"/>
    </xf>
    <xf numFmtId="176" fontId="3" fillId="3" borderId="41" xfId="0" applyNumberFormat="1" applyFont="1" applyFill="1" applyBorder="1" applyAlignment="1">
      <alignment vertical="center"/>
    </xf>
    <xf numFmtId="176" fontId="3" fillId="3" borderId="42" xfId="0" applyNumberFormat="1" applyFont="1" applyFill="1" applyBorder="1" applyAlignment="1">
      <alignment vertical="center"/>
    </xf>
    <xf numFmtId="176" fontId="3" fillId="3" borderId="43" xfId="0" applyNumberFormat="1" applyFont="1" applyFill="1" applyBorder="1" applyAlignment="1">
      <alignment vertical="center"/>
    </xf>
    <xf numFmtId="176" fontId="3" fillId="3" borderId="44" xfId="0" applyNumberFormat="1" applyFont="1" applyFill="1" applyBorder="1" applyAlignment="1">
      <alignment vertical="center"/>
    </xf>
    <xf numFmtId="176" fontId="3" fillId="3" borderId="45" xfId="0" applyNumberFormat="1" applyFont="1" applyFill="1" applyBorder="1" applyAlignment="1">
      <alignment vertical="center"/>
    </xf>
    <xf numFmtId="176" fontId="3" fillId="3" borderId="46" xfId="0" applyNumberFormat="1" applyFont="1" applyFill="1" applyBorder="1" applyAlignment="1">
      <alignment vertical="center"/>
    </xf>
    <xf numFmtId="176" fontId="3" fillId="2" borderId="47" xfId="0" applyNumberFormat="1" applyFont="1" applyFill="1" applyBorder="1" applyAlignment="1">
      <alignment vertical="center"/>
    </xf>
    <xf numFmtId="41" fontId="5" fillId="2" borderId="1" xfId="0" applyNumberFormat="1" applyFont="1" applyFill="1" applyBorder="1" applyAlignment="1">
      <alignment horizontal="left" vertical="center" shrinkToFit="1"/>
    </xf>
    <xf numFmtId="176" fontId="5" fillId="3" borderId="1" xfId="0" applyNumberFormat="1" applyFont="1" applyFill="1" applyBorder="1" applyAlignment="1">
      <alignment vertical="center"/>
    </xf>
    <xf numFmtId="176" fontId="5" fillId="3" borderId="12" xfId="0" applyNumberFormat="1" applyFont="1" applyFill="1" applyBorder="1" applyAlignment="1">
      <alignment vertical="center"/>
    </xf>
    <xf numFmtId="176" fontId="5" fillId="3" borderId="13" xfId="0" applyNumberFormat="1" applyFont="1" applyFill="1" applyBorder="1" applyAlignment="1">
      <alignment vertical="center"/>
    </xf>
    <xf numFmtId="176" fontId="5" fillId="3" borderId="11" xfId="0" applyNumberFormat="1" applyFont="1" applyFill="1" applyBorder="1" applyAlignment="1">
      <alignment vertical="center"/>
    </xf>
    <xf numFmtId="176" fontId="8" fillId="3" borderId="13" xfId="0" applyNumberFormat="1" applyFont="1" applyFill="1" applyBorder="1" applyAlignment="1">
      <alignment vertical="center"/>
    </xf>
    <xf numFmtId="176" fontId="8" fillId="3" borderId="1" xfId="0" applyNumberFormat="1" applyFont="1" applyFill="1" applyBorder="1" applyAlignment="1">
      <alignment vertical="center"/>
    </xf>
    <xf numFmtId="176" fontId="8" fillId="3" borderId="12" xfId="0" applyNumberFormat="1" applyFont="1" applyFill="1" applyBorder="1" applyAlignment="1">
      <alignment vertical="center"/>
    </xf>
    <xf numFmtId="176" fontId="7" fillId="2" borderId="10" xfId="0" applyNumberFormat="1" applyFont="1" applyFill="1" applyBorder="1" applyAlignment="1">
      <alignment vertical="center"/>
    </xf>
    <xf numFmtId="41" fontId="5" fillId="2" borderId="20" xfId="0" applyNumberFormat="1" applyFont="1" applyFill="1" applyBorder="1" applyAlignment="1">
      <alignment horizontal="left" vertical="center" shrinkToFit="1"/>
    </xf>
    <xf numFmtId="176" fontId="5" fillId="3" borderId="20" xfId="0" applyNumberFormat="1" applyFont="1" applyFill="1" applyBorder="1" applyAlignment="1">
      <alignment vertical="center"/>
    </xf>
    <xf numFmtId="176" fontId="5" fillId="3" borderId="24" xfId="0" applyNumberFormat="1" applyFont="1" applyFill="1" applyBorder="1" applyAlignment="1">
      <alignment vertical="center"/>
    </xf>
    <xf numFmtId="176" fontId="5" fillId="3" borderId="25" xfId="0" applyNumberFormat="1" applyFont="1" applyFill="1" applyBorder="1" applyAlignment="1">
      <alignment vertical="center"/>
    </xf>
    <xf numFmtId="176" fontId="5" fillId="3" borderId="23" xfId="0" applyNumberFormat="1" applyFont="1" applyFill="1" applyBorder="1" applyAlignment="1">
      <alignment vertical="center"/>
    </xf>
    <xf numFmtId="176" fontId="3" fillId="2" borderId="22" xfId="0" applyNumberFormat="1" applyFont="1" applyFill="1" applyBorder="1" applyAlignment="1">
      <alignment vertical="center"/>
    </xf>
    <xf numFmtId="41" fontId="5" fillId="2" borderId="48" xfId="0" applyNumberFormat="1" applyFont="1" applyFill="1" applyBorder="1" applyAlignment="1">
      <alignment horizontal="left" vertical="center" shrinkToFit="1"/>
    </xf>
    <xf numFmtId="176" fontId="3" fillId="3" borderId="48" xfId="0" applyNumberFormat="1" applyFont="1" applyFill="1" applyBorder="1" applyAlignment="1">
      <alignment vertical="center"/>
    </xf>
    <xf numFmtId="176" fontId="3" fillId="3" borderId="49" xfId="0" applyNumberFormat="1" applyFont="1" applyFill="1" applyBorder="1" applyAlignment="1">
      <alignment vertical="center"/>
    </xf>
    <xf numFmtId="176" fontId="3" fillId="3" borderId="50" xfId="0" applyNumberFormat="1" applyFont="1" applyFill="1" applyBorder="1" applyAlignment="1">
      <alignment vertical="center"/>
    </xf>
    <xf numFmtId="176" fontId="3" fillId="3" borderId="51" xfId="0" applyNumberFormat="1" applyFont="1" applyFill="1" applyBorder="1" applyAlignment="1">
      <alignment vertical="center"/>
    </xf>
    <xf numFmtId="176" fontId="3" fillId="2" borderId="52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77" fontId="5" fillId="3" borderId="16" xfId="0" applyNumberFormat="1" applyFont="1" applyFill="1" applyBorder="1" applyAlignment="1">
      <alignment vertical="center"/>
    </xf>
    <xf numFmtId="177" fontId="5" fillId="3" borderId="0" xfId="0" applyNumberFormat="1" applyFont="1" applyFill="1" applyAlignment="1">
      <alignment vertical="center"/>
    </xf>
    <xf numFmtId="177" fontId="3" fillId="3" borderId="0" xfId="0" applyNumberFormat="1" applyFont="1" applyFill="1" applyAlignment="1">
      <alignment vertical="center"/>
    </xf>
    <xf numFmtId="9" fontId="5" fillId="0" borderId="1" xfId="0" applyNumberFormat="1" applyFont="1" applyBorder="1" applyAlignment="1">
      <alignment vertical="center"/>
    </xf>
    <xf numFmtId="9" fontId="5" fillId="0" borderId="12" xfId="0" applyNumberFormat="1" applyFont="1" applyBorder="1" applyAlignment="1">
      <alignment vertical="center"/>
    </xf>
    <xf numFmtId="9" fontId="5" fillId="0" borderId="13" xfId="0" applyNumberFormat="1" applyFont="1" applyBorder="1" applyAlignment="1">
      <alignment vertical="center"/>
    </xf>
    <xf numFmtId="9" fontId="5" fillId="0" borderId="11" xfId="0" applyNumberFormat="1" applyFont="1" applyBorder="1" applyAlignment="1">
      <alignment vertical="center"/>
    </xf>
    <xf numFmtId="9" fontId="3" fillId="2" borderId="10" xfId="0" applyNumberFormat="1" applyFont="1" applyFill="1" applyBorder="1" applyAlignment="1">
      <alignment vertical="center"/>
    </xf>
    <xf numFmtId="9" fontId="5" fillId="0" borderId="14" xfId="0" applyNumberFormat="1" applyFont="1" applyBorder="1" applyAlignment="1">
      <alignment vertical="center"/>
    </xf>
    <xf numFmtId="9" fontId="5" fillId="0" borderId="17" xfId="0" applyNumberFormat="1" applyFont="1" applyBorder="1" applyAlignment="1">
      <alignment vertical="center"/>
    </xf>
    <xf numFmtId="9" fontId="5" fillId="0" borderId="18" xfId="0" applyNumberFormat="1" applyFont="1" applyBorder="1" applyAlignment="1">
      <alignment vertical="center"/>
    </xf>
    <xf numFmtId="9" fontId="5" fillId="0" borderId="0" xfId="0" applyNumberFormat="1" applyFont="1" applyAlignment="1">
      <alignment vertical="center"/>
    </xf>
    <xf numFmtId="9" fontId="3" fillId="2" borderId="16" xfId="0" applyNumberFormat="1" applyFont="1" applyFill="1" applyBorder="1" applyAlignment="1">
      <alignment vertical="center"/>
    </xf>
    <xf numFmtId="41" fontId="5" fillId="4" borderId="41" xfId="0" applyNumberFormat="1" applyFont="1" applyFill="1" applyBorder="1" applyAlignment="1">
      <alignment vertical="center"/>
    </xf>
    <xf numFmtId="178" fontId="5" fillId="4" borderId="41" xfId="0" applyNumberFormat="1" applyFont="1" applyFill="1" applyBorder="1" applyAlignment="1">
      <alignment vertical="center"/>
    </xf>
    <xf numFmtId="178" fontId="5" fillId="4" borderId="45" xfId="0" applyNumberFormat="1" applyFont="1" applyFill="1" applyBorder="1" applyAlignment="1">
      <alignment vertical="center"/>
    </xf>
    <xf numFmtId="178" fontId="5" fillId="4" borderId="46" xfId="0" applyNumberFormat="1" applyFont="1" applyFill="1" applyBorder="1" applyAlignment="1">
      <alignment vertical="center"/>
    </xf>
    <xf numFmtId="9" fontId="5" fillId="4" borderId="44" xfId="0" applyNumberFormat="1" applyFont="1" applyFill="1" applyBorder="1" applyAlignment="1">
      <alignment vertical="center"/>
    </xf>
    <xf numFmtId="9" fontId="5" fillId="4" borderId="45" xfId="0" applyNumberFormat="1" applyFont="1" applyFill="1" applyBorder="1" applyAlignment="1">
      <alignment vertical="center"/>
    </xf>
    <xf numFmtId="9" fontId="5" fillId="4" borderId="46" xfId="0" applyNumberFormat="1" applyFont="1" applyFill="1" applyBorder="1" applyAlignment="1">
      <alignment vertical="center"/>
    </xf>
    <xf numFmtId="9" fontId="5" fillId="4" borderId="41" xfId="0" applyNumberFormat="1" applyFont="1" applyFill="1" applyBorder="1" applyAlignment="1">
      <alignment vertical="center"/>
    </xf>
    <xf numFmtId="178" fontId="3" fillId="4" borderId="43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9" fontId="5" fillId="0" borderId="55" xfId="0" applyNumberFormat="1" applyFont="1" applyBorder="1" applyAlignment="1">
      <alignment vertical="center"/>
    </xf>
    <xf numFmtId="9" fontId="5" fillId="0" borderId="21" xfId="0" applyNumberFormat="1" applyFont="1" applyBorder="1" applyAlignment="1">
      <alignment vertical="center"/>
    </xf>
    <xf numFmtId="9" fontId="5" fillId="0" borderId="25" xfId="0" applyNumberFormat="1" applyFont="1" applyBorder="1" applyAlignment="1">
      <alignment vertical="center"/>
    </xf>
    <xf numFmtId="9" fontId="5" fillId="0" borderId="56" xfId="0" applyNumberFormat="1" applyFont="1" applyBorder="1" applyAlignment="1">
      <alignment vertical="center"/>
    </xf>
    <xf numFmtId="9" fontId="8" fillId="0" borderId="24" xfId="0" applyNumberFormat="1" applyFont="1" applyBorder="1" applyAlignment="1">
      <alignment vertical="center"/>
    </xf>
    <xf numFmtId="9" fontId="8" fillId="0" borderId="55" xfId="0" applyNumberFormat="1" applyFont="1" applyBorder="1" applyAlignment="1">
      <alignment vertical="center"/>
    </xf>
    <xf numFmtId="9" fontId="8" fillId="0" borderId="21" xfId="0" applyNumberFormat="1" applyFont="1" applyBorder="1" applyAlignment="1">
      <alignment vertical="center"/>
    </xf>
    <xf numFmtId="9" fontId="8" fillId="0" borderId="25" xfId="0" applyNumberFormat="1" applyFont="1" applyBorder="1" applyAlignment="1">
      <alignment vertical="center"/>
    </xf>
    <xf numFmtId="9" fontId="8" fillId="0" borderId="56" xfId="0" applyNumberFormat="1" applyFont="1" applyBorder="1" applyAlignment="1">
      <alignment vertical="center"/>
    </xf>
    <xf numFmtId="9" fontId="5" fillId="0" borderId="26" xfId="0" applyNumberFormat="1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176" fontId="5" fillId="0" borderId="57" xfId="0" applyNumberFormat="1" applyFont="1" applyBorder="1" applyAlignment="1">
      <alignment vertical="center"/>
    </xf>
    <xf numFmtId="176" fontId="5" fillId="0" borderId="28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58" xfId="0" applyNumberFormat="1" applyFont="1" applyBorder="1" applyAlignment="1">
      <alignment vertical="center"/>
    </xf>
    <xf numFmtId="176" fontId="8" fillId="0" borderId="31" xfId="0" applyNumberFormat="1" applyFont="1" applyBorder="1" applyAlignment="1">
      <alignment vertical="center"/>
    </xf>
    <xf numFmtId="176" fontId="8" fillId="0" borderId="57" xfId="0" applyNumberFormat="1" applyFont="1" applyBorder="1" applyAlignment="1">
      <alignment vertical="center"/>
    </xf>
    <xf numFmtId="176" fontId="8" fillId="0" borderId="28" xfId="0" applyNumberFormat="1" applyFont="1" applyBorder="1" applyAlignment="1">
      <alignment vertical="center"/>
    </xf>
    <xf numFmtId="176" fontId="8" fillId="0" borderId="32" xfId="0" applyNumberFormat="1" applyFont="1" applyBorder="1" applyAlignment="1">
      <alignment vertical="center"/>
    </xf>
    <xf numFmtId="176" fontId="8" fillId="0" borderId="58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vertical="center"/>
    </xf>
    <xf numFmtId="0" fontId="6" fillId="4" borderId="59" xfId="0" applyFont="1" applyFill="1" applyBorder="1" applyAlignment="1">
      <alignment horizontal="center" vertical="center"/>
    </xf>
    <xf numFmtId="176" fontId="8" fillId="4" borderId="60" xfId="0" applyNumberFormat="1" applyFont="1" applyFill="1" applyBorder="1" applyAlignment="1">
      <alignment vertical="center"/>
    </xf>
    <xf numFmtId="176" fontId="5" fillId="4" borderId="61" xfId="0" applyNumberFormat="1" applyFont="1" applyFill="1" applyBorder="1" applyAlignment="1">
      <alignment vertical="center"/>
    </xf>
    <xf numFmtId="176" fontId="5" fillId="4" borderId="62" xfId="0" applyNumberFormat="1" applyFont="1" applyFill="1" applyBorder="1" applyAlignment="1">
      <alignment vertical="center"/>
    </xf>
    <xf numFmtId="176" fontId="5" fillId="4" borderId="63" xfId="0" applyNumberFormat="1" applyFont="1" applyFill="1" applyBorder="1" applyAlignment="1">
      <alignment vertical="center"/>
    </xf>
    <xf numFmtId="176" fontId="8" fillId="4" borderId="64" xfId="0" applyNumberFormat="1" applyFont="1" applyFill="1" applyBorder="1" applyAlignment="1">
      <alignment vertical="center"/>
    </xf>
    <xf numFmtId="176" fontId="8" fillId="4" borderId="61" xfId="0" applyNumberFormat="1" applyFont="1" applyFill="1" applyBorder="1" applyAlignment="1">
      <alignment vertical="center"/>
    </xf>
    <xf numFmtId="176" fontId="8" fillId="4" borderId="62" xfId="0" applyNumberFormat="1" applyFont="1" applyFill="1" applyBorder="1" applyAlignment="1">
      <alignment vertical="center"/>
    </xf>
    <xf numFmtId="176" fontId="8" fillId="4" borderId="63" xfId="0" applyNumberFormat="1" applyFont="1" applyFill="1" applyBorder="1" applyAlignment="1">
      <alignment vertical="center"/>
    </xf>
    <xf numFmtId="176" fontId="7" fillId="4" borderId="65" xfId="0" applyNumberFormat="1" applyFont="1" applyFill="1" applyBorder="1" applyAlignment="1">
      <alignment vertical="center"/>
    </xf>
    <xf numFmtId="176" fontId="10" fillId="4" borderId="41" xfId="0" applyNumberFormat="1" applyFont="1" applyFill="1" applyBorder="1" applyAlignment="1">
      <alignment horizontal="right" vertical="center"/>
    </xf>
    <xf numFmtId="176" fontId="8" fillId="4" borderId="66" xfId="0" applyNumberFormat="1" applyFont="1" applyFill="1" applyBorder="1" applyAlignment="1">
      <alignment vertical="center"/>
    </xf>
    <xf numFmtId="176" fontId="5" fillId="4" borderId="42" xfId="0" applyNumberFormat="1" applyFont="1" applyFill="1" applyBorder="1" applyAlignment="1">
      <alignment vertical="center"/>
    </xf>
    <xf numFmtId="176" fontId="5" fillId="4" borderId="46" xfId="0" applyNumberFormat="1" applyFont="1" applyFill="1" applyBorder="1" applyAlignment="1">
      <alignment vertical="center"/>
    </xf>
    <xf numFmtId="176" fontId="5" fillId="4" borderId="67" xfId="0" applyNumberFormat="1" applyFont="1" applyFill="1" applyBorder="1" applyAlignment="1">
      <alignment vertical="center"/>
    </xf>
    <xf numFmtId="176" fontId="8" fillId="4" borderId="45" xfId="0" applyNumberFormat="1" applyFont="1" applyFill="1" applyBorder="1" applyAlignment="1">
      <alignment vertical="center"/>
    </xf>
    <xf numFmtId="176" fontId="8" fillId="4" borderId="42" xfId="0" applyNumberFormat="1" applyFont="1" applyFill="1" applyBorder="1" applyAlignment="1">
      <alignment vertical="center"/>
    </xf>
    <xf numFmtId="176" fontId="8" fillId="4" borderId="46" xfId="0" applyNumberFormat="1" applyFont="1" applyFill="1" applyBorder="1" applyAlignment="1">
      <alignment vertical="center"/>
    </xf>
    <xf numFmtId="176" fontId="8" fillId="4" borderId="67" xfId="0" applyNumberFormat="1" applyFont="1" applyFill="1" applyBorder="1" applyAlignment="1">
      <alignment vertical="center"/>
    </xf>
    <xf numFmtId="176" fontId="8" fillId="4" borderId="47" xfId="0" applyNumberFormat="1" applyFont="1" applyFill="1" applyBorder="1" applyAlignment="1">
      <alignment vertical="center"/>
    </xf>
    <xf numFmtId="176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vertical="center"/>
    </xf>
    <xf numFmtId="179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2" borderId="54" xfId="0" applyFont="1" applyFill="1" applyBorder="1" applyAlignment="1">
      <alignment horizontal="left" vertical="center" indent="1"/>
    </xf>
    <xf numFmtId="178" fontId="3" fillId="3" borderId="2" xfId="0" applyNumberFormat="1" applyFont="1" applyFill="1" applyBorder="1" applyAlignment="1">
      <alignment vertical="center"/>
    </xf>
    <xf numFmtId="178" fontId="3" fillId="3" borderId="53" xfId="0" applyNumberFormat="1" applyFont="1" applyFill="1" applyBorder="1" applyAlignment="1">
      <alignment vertical="center"/>
    </xf>
    <xf numFmtId="178" fontId="3" fillId="3" borderId="6" xfId="0" applyNumberFormat="1" applyFont="1" applyFill="1" applyBorder="1" applyAlignment="1">
      <alignment vertical="center"/>
    </xf>
    <xf numFmtId="178" fontId="3" fillId="3" borderId="68" xfId="0" applyNumberFormat="1" applyFont="1" applyFill="1" applyBorder="1" applyAlignment="1">
      <alignment vertical="center"/>
    </xf>
    <xf numFmtId="9" fontId="3" fillId="2" borderId="4" xfId="0" applyNumberFormat="1" applyFont="1" applyFill="1" applyBorder="1" applyAlignment="1">
      <alignment vertical="center"/>
    </xf>
    <xf numFmtId="178" fontId="3" fillId="2" borderId="3" xfId="0" applyNumberFormat="1" applyFont="1" applyFill="1" applyBorder="1" applyAlignment="1">
      <alignment horizontal="center" vertical="center"/>
    </xf>
    <xf numFmtId="178" fontId="7" fillId="2" borderId="53" xfId="0" applyNumberFormat="1" applyFont="1" applyFill="1" applyBorder="1" applyAlignment="1">
      <alignment horizontal="center" vertical="center"/>
    </xf>
    <xf numFmtId="178" fontId="7" fillId="2" borderId="3" xfId="0" applyNumberFormat="1" applyFont="1" applyFill="1" applyBorder="1" applyAlignment="1">
      <alignment horizontal="center" vertical="center"/>
    </xf>
    <xf numFmtId="10" fontId="7" fillId="2" borderId="68" xfId="1" applyNumberFormat="1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41" fontId="8" fillId="2" borderId="9" xfId="0" applyNumberFormat="1" applyFont="1" applyFill="1" applyBorder="1" applyAlignment="1">
      <alignment horizontal="left" vertical="center"/>
    </xf>
    <xf numFmtId="0" fontId="8" fillId="2" borderId="61" xfId="0" applyFont="1" applyFill="1" applyBorder="1" applyAlignment="1">
      <alignment horizontal="right" vertical="top"/>
    </xf>
    <xf numFmtId="41" fontId="8" fillId="2" borderId="17" xfId="0" applyNumberFormat="1" applyFont="1" applyFill="1" applyBorder="1" applyAlignment="1">
      <alignment vertical="top"/>
    </xf>
    <xf numFmtId="41" fontId="8" fillId="2" borderId="15" xfId="0" applyNumberFormat="1" applyFont="1" applyFill="1" applyBorder="1" applyAlignment="1">
      <alignment vertical="top"/>
    </xf>
    <xf numFmtId="10" fontId="8" fillId="2" borderId="0" xfId="1" applyNumberFormat="1" applyFont="1" applyFill="1" applyBorder="1" applyAlignment="1">
      <alignment horizontal="center" vertical="center"/>
    </xf>
    <xf numFmtId="177" fontId="5" fillId="3" borderId="69" xfId="0" applyNumberFormat="1" applyFont="1" applyFill="1" applyBorder="1" applyAlignment="1">
      <alignment vertical="center"/>
    </xf>
    <xf numFmtId="177" fontId="5" fillId="3" borderId="9" xfId="0" applyNumberFormat="1" applyFont="1" applyFill="1" applyBorder="1" applyAlignment="1">
      <alignment vertical="center"/>
    </xf>
    <xf numFmtId="177" fontId="5" fillId="3" borderId="13" xfId="0" applyNumberFormat="1" applyFont="1" applyFill="1" applyBorder="1" applyAlignment="1">
      <alignment vertical="center"/>
    </xf>
    <xf numFmtId="177" fontId="5" fillId="3" borderId="70" xfId="0" applyNumberFormat="1" applyFont="1" applyFill="1" applyBorder="1" applyAlignment="1">
      <alignment vertical="center"/>
    </xf>
    <xf numFmtId="177" fontId="8" fillId="3" borderId="69" xfId="0" applyNumberFormat="1" applyFont="1" applyFill="1" applyBorder="1" applyAlignment="1">
      <alignment vertical="center"/>
    </xf>
    <xf numFmtId="177" fontId="8" fillId="3" borderId="9" xfId="0" applyNumberFormat="1" applyFont="1" applyFill="1" applyBorder="1" applyAlignment="1">
      <alignment vertical="center"/>
    </xf>
    <xf numFmtId="177" fontId="8" fillId="3" borderId="13" xfId="0" applyNumberFormat="1" applyFont="1" applyFill="1" applyBorder="1" applyAlignment="1">
      <alignment vertical="center"/>
    </xf>
    <xf numFmtId="177" fontId="8" fillId="3" borderId="12" xfId="0" applyNumberFormat="1" applyFont="1" applyFill="1" applyBorder="1" applyAlignment="1">
      <alignment vertical="center"/>
    </xf>
    <xf numFmtId="41" fontId="7" fillId="2" borderId="8" xfId="0" applyNumberFormat="1" applyFont="1" applyFill="1" applyBorder="1" applyAlignment="1">
      <alignment vertical="center"/>
    </xf>
    <xf numFmtId="41" fontId="8" fillId="2" borderId="35" xfId="0" applyNumberFormat="1" applyFont="1" applyFill="1" applyBorder="1" applyAlignment="1">
      <alignment vertical="center"/>
    </xf>
    <xf numFmtId="0" fontId="8" fillId="2" borderId="35" xfId="0" applyFont="1" applyFill="1" applyBorder="1" applyAlignment="1">
      <alignment horizontal="right" vertical="top"/>
    </xf>
    <xf numFmtId="41" fontId="8" fillId="2" borderId="38" xfId="0" applyNumberFormat="1" applyFont="1" applyFill="1" applyBorder="1" applyAlignment="1">
      <alignment horizontal="left" vertical="center"/>
    </xf>
    <xf numFmtId="41" fontId="8" fillId="2" borderId="35" xfId="0" applyNumberFormat="1" applyFont="1" applyFill="1" applyBorder="1" applyAlignment="1">
      <alignment horizontal="left" vertical="center"/>
    </xf>
    <xf numFmtId="10" fontId="8" fillId="2" borderId="37" xfId="1" applyNumberFormat="1" applyFont="1" applyFill="1" applyBorder="1" applyAlignment="1">
      <alignment horizontal="left" vertical="center"/>
    </xf>
    <xf numFmtId="41" fontId="5" fillId="3" borderId="34" xfId="0" applyNumberFormat="1" applyFont="1" applyFill="1" applyBorder="1" applyAlignment="1">
      <alignment vertical="center"/>
    </xf>
    <xf numFmtId="41" fontId="5" fillId="3" borderId="35" xfId="0" applyNumberFormat="1" applyFont="1" applyFill="1" applyBorder="1" applyAlignment="1">
      <alignment vertical="center"/>
    </xf>
    <xf numFmtId="41" fontId="5" fillId="3" borderId="39" xfId="0" applyNumberFormat="1" applyFont="1" applyFill="1" applyBorder="1" applyAlignment="1">
      <alignment vertical="center"/>
    </xf>
    <xf numFmtId="41" fontId="5" fillId="3" borderId="71" xfId="0" applyNumberFormat="1" applyFont="1" applyFill="1" applyBorder="1" applyAlignment="1">
      <alignment vertical="center"/>
    </xf>
    <xf numFmtId="41" fontId="8" fillId="3" borderId="72" xfId="0" applyNumberFormat="1" applyFont="1" applyFill="1" applyBorder="1" applyAlignment="1">
      <alignment vertical="center"/>
    </xf>
    <xf numFmtId="41" fontId="8" fillId="3" borderId="35" xfId="0" applyNumberFormat="1" applyFont="1" applyFill="1" applyBorder="1" applyAlignment="1">
      <alignment vertical="center"/>
    </xf>
    <xf numFmtId="41" fontId="8" fillId="3" borderId="39" xfId="0" applyNumberFormat="1" applyFont="1" applyFill="1" applyBorder="1" applyAlignment="1">
      <alignment vertical="center"/>
    </xf>
    <xf numFmtId="41" fontId="8" fillId="3" borderId="38" xfId="0" applyNumberFormat="1" applyFont="1" applyFill="1" applyBorder="1" applyAlignment="1">
      <alignment vertical="center"/>
    </xf>
    <xf numFmtId="41" fontId="7" fillId="2" borderId="40" xfId="0" applyNumberFormat="1" applyFont="1" applyFill="1" applyBorder="1" applyAlignment="1">
      <alignment vertical="center"/>
    </xf>
    <xf numFmtId="0" fontId="8" fillId="2" borderId="17" xfId="0" applyFont="1" applyFill="1" applyBorder="1" applyAlignment="1">
      <alignment horizontal="right" vertical="top"/>
    </xf>
    <xf numFmtId="41" fontId="8" fillId="2" borderId="17" xfId="0" applyNumberFormat="1" applyFont="1" applyFill="1" applyBorder="1" applyAlignment="1">
      <alignment vertical="center"/>
    </xf>
    <xf numFmtId="41" fontId="8" fillId="2" borderId="15" xfId="0" applyNumberFormat="1" applyFont="1" applyFill="1" applyBorder="1" applyAlignment="1">
      <alignment vertical="center"/>
    </xf>
    <xf numFmtId="10" fontId="8" fillId="2" borderId="0" xfId="1" applyNumberFormat="1" applyFont="1" applyFill="1" applyBorder="1">
      <alignment vertical="center"/>
    </xf>
    <xf numFmtId="177" fontId="5" fillId="3" borderId="73" xfId="0" applyNumberFormat="1" applyFont="1" applyFill="1" applyBorder="1" applyAlignment="1">
      <alignment horizontal="left" vertical="center" indent="1"/>
    </xf>
    <xf numFmtId="177" fontId="5" fillId="3" borderId="15" xfId="0" applyNumberFormat="1" applyFont="1" applyFill="1" applyBorder="1" applyAlignment="1">
      <alignment horizontal="left" vertical="center" indent="1"/>
    </xf>
    <xf numFmtId="177" fontId="5" fillId="3" borderId="74" xfId="0" applyNumberFormat="1" applyFont="1" applyFill="1" applyBorder="1" applyAlignment="1">
      <alignment horizontal="left" vertical="center" indent="1"/>
    </xf>
    <xf numFmtId="177" fontId="5" fillId="3" borderId="18" xfId="0" applyNumberFormat="1" applyFont="1" applyFill="1" applyBorder="1" applyAlignment="1">
      <alignment horizontal="left" vertical="center" indent="1"/>
    </xf>
    <xf numFmtId="177" fontId="5" fillId="3" borderId="17" xfId="0" applyNumberFormat="1" applyFont="1" applyFill="1" applyBorder="1" applyAlignment="1">
      <alignment horizontal="left" vertical="center" indent="1"/>
    </xf>
    <xf numFmtId="41" fontId="7" fillId="2" borderId="19" xfId="0" applyNumberFormat="1" applyFont="1" applyFill="1" applyBorder="1" applyAlignment="1">
      <alignment vertical="center"/>
    </xf>
    <xf numFmtId="177" fontId="8" fillId="3" borderId="73" xfId="0" applyNumberFormat="1" applyFont="1" applyFill="1" applyBorder="1" applyAlignment="1">
      <alignment horizontal="left" vertical="center" indent="1"/>
    </xf>
    <xf numFmtId="177" fontId="8" fillId="3" borderId="18" xfId="0" applyNumberFormat="1" applyFont="1" applyFill="1" applyBorder="1" applyAlignment="1">
      <alignment horizontal="left" vertical="center" indent="1"/>
    </xf>
    <xf numFmtId="177" fontId="8" fillId="3" borderId="15" xfId="0" applyNumberFormat="1" applyFont="1" applyFill="1" applyBorder="1" applyAlignment="1">
      <alignment horizontal="left" vertical="center" indent="1"/>
    </xf>
    <xf numFmtId="177" fontId="5" fillId="3" borderId="0" xfId="0" applyNumberFormat="1" applyFont="1" applyFill="1" applyAlignment="1">
      <alignment horizontal="left" vertical="center" indent="1"/>
    </xf>
    <xf numFmtId="177" fontId="8" fillId="3" borderId="17" xfId="0" applyNumberFormat="1" applyFont="1" applyFill="1" applyBorder="1" applyAlignment="1">
      <alignment horizontal="left" vertical="center" indent="1"/>
    </xf>
    <xf numFmtId="49" fontId="14" fillId="2" borderId="15" xfId="0" applyNumberFormat="1" applyFont="1" applyFill="1" applyBorder="1"/>
    <xf numFmtId="0" fontId="8" fillId="2" borderId="75" xfId="0" applyFont="1" applyFill="1" applyBorder="1" applyAlignment="1">
      <alignment horizontal="right" vertical="top"/>
    </xf>
    <xf numFmtId="42" fontId="8" fillId="2" borderId="76" xfId="0" applyNumberFormat="1" applyFont="1" applyFill="1" applyBorder="1" applyAlignment="1">
      <alignment vertical="center"/>
    </xf>
    <xf numFmtId="42" fontId="8" fillId="2" borderId="77" xfId="0" applyNumberFormat="1" applyFont="1" applyFill="1" applyBorder="1" applyAlignment="1">
      <alignment vertical="center"/>
    </xf>
    <xf numFmtId="10" fontId="8" fillId="2" borderId="78" xfId="1" applyNumberFormat="1" applyFont="1" applyFill="1" applyBorder="1">
      <alignment vertical="center"/>
    </xf>
    <xf numFmtId="180" fontId="5" fillId="3" borderId="79" xfId="0" applyNumberFormat="1" applyFont="1" applyFill="1" applyBorder="1" applyAlignment="1">
      <alignment vertical="center" shrinkToFit="1"/>
    </xf>
    <xf numFmtId="180" fontId="5" fillId="3" borderId="75" xfId="0" applyNumberFormat="1" applyFont="1" applyFill="1" applyBorder="1" applyAlignment="1">
      <alignment vertical="center" shrinkToFit="1"/>
    </xf>
    <xf numFmtId="180" fontId="5" fillId="3" borderId="80" xfId="0" applyNumberFormat="1" applyFont="1" applyFill="1" applyBorder="1" applyAlignment="1">
      <alignment vertical="center" shrinkToFit="1"/>
    </xf>
    <xf numFmtId="180" fontId="5" fillId="3" borderId="81" xfId="0" applyNumberFormat="1" applyFont="1" applyFill="1" applyBorder="1" applyAlignment="1">
      <alignment vertical="center" shrinkToFit="1"/>
    </xf>
    <xf numFmtId="180" fontId="5" fillId="3" borderId="82" xfId="0" applyNumberFormat="1" applyFont="1" applyFill="1" applyBorder="1" applyAlignment="1">
      <alignment vertical="center" shrinkToFit="1"/>
    </xf>
    <xf numFmtId="41" fontId="7" fillId="2" borderId="83" xfId="0" applyNumberFormat="1" applyFont="1" applyFill="1" applyBorder="1" applyAlignment="1">
      <alignment vertical="center"/>
    </xf>
    <xf numFmtId="41" fontId="8" fillId="2" borderId="0" xfId="0" applyNumberFormat="1" applyFont="1" applyFill="1" applyAlignment="1">
      <alignment horizontal="right" vertical="top"/>
    </xf>
    <xf numFmtId="41" fontId="3" fillId="2" borderId="44" xfId="0" applyNumberFormat="1" applyFont="1" applyFill="1" applyBorder="1" applyAlignment="1">
      <alignment horizontal="left" vertical="center" indent="1"/>
    </xf>
    <xf numFmtId="41" fontId="3" fillId="2" borderId="42" xfId="0" applyNumberFormat="1" applyFont="1" applyFill="1" applyBorder="1" applyAlignment="1">
      <alignment horizontal="left" vertical="center" indent="1"/>
    </xf>
    <xf numFmtId="10" fontId="3" fillId="2" borderId="43" xfId="1" applyNumberFormat="1" applyFont="1" applyFill="1" applyBorder="1" applyAlignment="1">
      <alignment horizontal="left" vertical="center" indent="1"/>
    </xf>
    <xf numFmtId="180" fontId="3" fillId="3" borderId="73" xfId="0" applyNumberFormat="1" applyFont="1" applyFill="1" applyBorder="1" applyAlignment="1">
      <alignment vertical="center"/>
    </xf>
    <xf numFmtId="177" fontId="3" fillId="3" borderId="15" xfId="0" applyNumberFormat="1" applyFont="1" applyFill="1" applyBorder="1" applyAlignment="1">
      <alignment vertical="center"/>
    </xf>
    <xf numFmtId="177" fontId="3" fillId="3" borderId="18" xfId="0" applyNumberFormat="1" applyFont="1" applyFill="1" applyBorder="1" applyAlignment="1">
      <alignment vertical="center"/>
    </xf>
    <xf numFmtId="177" fontId="3" fillId="3" borderId="74" xfId="0" applyNumberFormat="1" applyFont="1" applyFill="1" applyBorder="1" applyAlignment="1">
      <alignment vertical="center"/>
    </xf>
    <xf numFmtId="177" fontId="7" fillId="3" borderId="73" xfId="0" applyNumberFormat="1" applyFont="1" applyFill="1" applyBorder="1" applyAlignment="1">
      <alignment vertical="center"/>
    </xf>
    <xf numFmtId="177" fontId="7" fillId="3" borderId="15" xfId="0" applyNumberFormat="1" applyFont="1" applyFill="1" applyBorder="1" applyAlignment="1">
      <alignment vertical="center"/>
    </xf>
    <xf numFmtId="177" fontId="7" fillId="3" borderId="18" xfId="0" applyNumberFormat="1" applyFont="1" applyFill="1" applyBorder="1" applyAlignment="1">
      <alignment vertical="center"/>
    </xf>
    <xf numFmtId="177" fontId="7" fillId="3" borderId="17" xfId="0" applyNumberFormat="1" applyFont="1" applyFill="1" applyBorder="1" applyAlignment="1">
      <alignment vertical="center"/>
    </xf>
    <xf numFmtId="41" fontId="7" fillId="2" borderId="84" xfId="0" applyNumberFormat="1" applyFont="1" applyFill="1" applyBorder="1" applyAlignment="1">
      <alignment vertical="center"/>
    </xf>
    <xf numFmtId="10" fontId="3" fillId="2" borderId="68" xfId="1" applyNumberFormat="1" applyFont="1" applyFill="1" applyBorder="1" applyAlignment="1">
      <alignment horizontal="center" vertical="center"/>
    </xf>
    <xf numFmtId="41" fontId="3" fillId="2" borderId="5" xfId="0" applyNumberFormat="1" applyFont="1" applyFill="1" applyBorder="1" applyAlignment="1">
      <alignment vertical="center"/>
    </xf>
    <xf numFmtId="41" fontId="3" fillId="2" borderId="3" xfId="0" applyNumberFormat="1" applyFont="1" applyFill="1" applyBorder="1" applyAlignment="1">
      <alignment vertical="center"/>
    </xf>
    <xf numFmtId="41" fontId="3" fillId="2" borderId="6" xfId="0" applyNumberFormat="1" applyFont="1" applyFill="1" applyBorder="1" applyAlignment="1">
      <alignment vertical="center"/>
    </xf>
    <xf numFmtId="41" fontId="3" fillId="2" borderId="7" xfId="0" applyNumberFormat="1" applyFont="1" applyFill="1" applyBorder="1" applyAlignment="1">
      <alignment vertical="center"/>
    </xf>
    <xf numFmtId="41" fontId="7" fillId="2" borderId="5" xfId="0" applyNumberFormat="1" applyFont="1" applyFill="1" applyBorder="1" applyAlignment="1">
      <alignment vertical="center"/>
    </xf>
    <xf numFmtId="41" fontId="7" fillId="2" borderId="3" xfId="0" applyNumberFormat="1" applyFont="1" applyFill="1" applyBorder="1" applyAlignment="1">
      <alignment vertical="center"/>
    </xf>
    <xf numFmtId="41" fontId="7" fillId="2" borderId="6" xfId="0" applyNumberFormat="1" applyFont="1" applyFill="1" applyBorder="1" applyAlignment="1">
      <alignment vertical="center"/>
    </xf>
    <xf numFmtId="41" fontId="7" fillId="2" borderId="53" xfId="0" applyNumberFormat="1" applyFont="1" applyFill="1" applyBorder="1" applyAlignment="1">
      <alignment vertical="center"/>
    </xf>
    <xf numFmtId="41" fontId="3" fillId="2" borderId="54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41" fontId="7" fillId="2" borderId="54" xfId="0" applyNumberFormat="1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10" fontId="15" fillId="2" borderId="68" xfId="1" applyNumberFormat="1" applyFont="1" applyFill="1" applyBorder="1" applyAlignment="1">
      <alignment horizontal="center" vertical="center"/>
    </xf>
    <xf numFmtId="41" fontId="6" fillId="2" borderId="7" xfId="0" applyNumberFormat="1" applyFont="1" applyFill="1" applyBorder="1" applyAlignment="1">
      <alignment vertical="center"/>
    </xf>
    <xf numFmtId="41" fontId="6" fillId="2" borderId="5" xfId="0" applyNumberFormat="1" applyFont="1" applyFill="1" applyBorder="1" applyAlignment="1">
      <alignment vertical="center"/>
    </xf>
    <xf numFmtId="41" fontId="6" fillId="2" borderId="3" xfId="0" applyNumberFormat="1" applyFont="1" applyFill="1" applyBorder="1" applyAlignment="1">
      <alignment vertical="center"/>
    </xf>
    <xf numFmtId="41" fontId="6" fillId="2" borderId="6" xfId="0" applyNumberFormat="1" applyFont="1" applyFill="1" applyBorder="1" applyAlignment="1">
      <alignment vertical="center"/>
    </xf>
    <xf numFmtId="41" fontId="6" fillId="2" borderId="53" xfId="0" applyNumberFormat="1" applyFont="1" applyFill="1" applyBorder="1" applyAlignment="1">
      <alignment vertical="center"/>
    </xf>
    <xf numFmtId="41" fontId="6" fillId="2" borderId="54" xfId="0" applyNumberFormat="1" applyFont="1" applyFill="1" applyBorder="1" applyAlignment="1">
      <alignment vertical="center"/>
    </xf>
    <xf numFmtId="9" fontId="5" fillId="2" borderId="5" xfId="0" applyNumberFormat="1" applyFont="1" applyFill="1" applyBorder="1" applyAlignment="1">
      <alignment horizontal="right" vertical="center"/>
    </xf>
    <xf numFmtId="9" fontId="5" fillId="2" borderId="3" xfId="0" applyNumberFormat="1" applyFont="1" applyFill="1" applyBorder="1" applyAlignment="1">
      <alignment horizontal="right" vertical="center"/>
    </xf>
    <xf numFmtId="9" fontId="5" fillId="2" borderId="6" xfId="0" applyNumberFormat="1" applyFont="1" applyFill="1" applyBorder="1" applyAlignment="1">
      <alignment horizontal="right" vertical="center"/>
    </xf>
    <xf numFmtId="9" fontId="5" fillId="2" borderId="7" xfId="0" applyNumberFormat="1" applyFont="1" applyFill="1" applyBorder="1" applyAlignment="1">
      <alignment horizontal="right" vertical="center"/>
    </xf>
    <xf numFmtId="9" fontId="8" fillId="2" borderId="5" xfId="0" applyNumberFormat="1" applyFont="1" applyFill="1" applyBorder="1" applyAlignment="1">
      <alignment horizontal="right" vertical="center"/>
    </xf>
    <xf numFmtId="9" fontId="8" fillId="2" borderId="3" xfId="0" applyNumberFormat="1" applyFont="1" applyFill="1" applyBorder="1" applyAlignment="1">
      <alignment horizontal="right" vertical="center"/>
    </xf>
    <xf numFmtId="9" fontId="8" fillId="2" borderId="6" xfId="0" applyNumberFormat="1" applyFont="1" applyFill="1" applyBorder="1" applyAlignment="1">
      <alignment horizontal="right" vertical="center"/>
    </xf>
    <xf numFmtId="9" fontId="8" fillId="2" borderId="53" xfId="0" applyNumberFormat="1" applyFont="1" applyFill="1" applyBorder="1" applyAlignment="1">
      <alignment horizontal="right" vertical="center"/>
    </xf>
    <xf numFmtId="0" fontId="8" fillId="2" borderId="5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41" fontId="5" fillId="4" borderId="0" xfId="0" applyNumberFormat="1" applyFont="1" applyFill="1" applyAlignment="1">
      <alignment horizontal="right" vertical="center"/>
    </xf>
    <xf numFmtId="41" fontId="9" fillId="4" borderId="0" xfId="0" applyNumberFormat="1" applyFont="1" applyFill="1" applyAlignment="1">
      <alignment horizontal="right" vertical="center"/>
    </xf>
    <xf numFmtId="9" fontId="5" fillId="4" borderId="0" xfId="0" applyNumberFormat="1" applyFont="1" applyFill="1" applyAlignment="1">
      <alignment horizontal="right" vertical="center"/>
    </xf>
    <xf numFmtId="9" fontId="9" fillId="4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0" fontId="3" fillId="3" borderId="0" xfId="1" applyNumberFormat="1" applyFont="1" applyFill="1" applyAlignment="1">
      <alignment horizontal="center" vertical="center"/>
    </xf>
    <xf numFmtId="179" fontId="5" fillId="3" borderId="0" xfId="0" applyNumberFormat="1" applyFont="1" applyFill="1" applyAlignment="1">
      <alignment horizontal="right" vertical="center"/>
    </xf>
    <xf numFmtId="9" fontId="5" fillId="3" borderId="0" xfId="0" applyNumberFormat="1" applyFont="1" applyFill="1" applyAlignment="1">
      <alignment horizontal="right" vertical="center"/>
    </xf>
    <xf numFmtId="9" fontId="9" fillId="3" borderId="0" xfId="0" applyNumberFormat="1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horizontal="right" vertical="center"/>
    </xf>
    <xf numFmtId="178" fontId="17" fillId="0" borderId="0" xfId="0" applyNumberFormat="1" applyFont="1" applyAlignment="1">
      <alignment horizontal="left" vertical="center"/>
    </xf>
    <xf numFmtId="10" fontId="17" fillId="0" borderId="0" xfId="1" applyNumberFormat="1" applyFont="1" applyAlignment="1">
      <alignment horizontal="left" vertical="center"/>
    </xf>
    <xf numFmtId="177" fontId="5" fillId="0" borderId="0" xfId="0" applyNumberFormat="1" applyFont="1" applyAlignment="1">
      <alignment vertical="center"/>
    </xf>
    <xf numFmtId="9" fontId="8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78" fontId="3" fillId="2" borderId="9" xfId="0" applyNumberFormat="1" applyFont="1" applyFill="1" applyBorder="1" applyAlignment="1">
      <alignment horizontal="center" vertical="center"/>
    </xf>
    <xf numFmtId="178" fontId="7" fillId="2" borderId="12" xfId="0" applyNumberFormat="1" applyFont="1" applyFill="1" applyBorder="1" applyAlignment="1">
      <alignment horizontal="center" vertical="center"/>
    </xf>
    <xf numFmtId="178" fontId="7" fillId="2" borderId="9" xfId="0" applyNumberFormat="1" applyFont="1" applyFill="1" applyBorder="1" applyAlignment="1">
      <alignment horizontal="center" vertical="center"/>
    </xf>
    <xf numFmtId="10" fontId="7" fillId="2" borderId="10" xfId="1" applyNumberFormat="1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14" fillId="2" borderId="9" xfId="0" applyNumberFormat="1" applyFont="1" applyFill="1" applyBorder="1" applyAlignment="1">
      <alignment horizontal="center" vertical="center"/>
    </xf>
    <xf numFmtId="0" fontId="8" fillId="2" borderId="85" xfId="0" applyFont="1" applyFill="1" applyBorder="1" applyAlignment="1">
      <alignment horizontal="right" vertical="top"/>
    </xf>
    <xf numFmtId="0" fontId="8" fillId="2" borderId="86" xfId="0" applyFont="1" applyFill="1" applyBorder="1" applyAlignment="1">
      <alignment vertical="center"/>
    </xf>
    <xf numFmtId="0" fontId="8" fillId="2" borderId="85" xfId="0" applyFont="1" applyFill="1" applyBorder="1" applyAlignment="1">
      <alignment vertical="center"/>
    </xf>
    <xf numFmtId="10" fontId="8" fillId="2" borderId="87" xfId="1" applyNumberFormat="1" applyFont="1" applyFill="1" applyBorder="1">
      <alignment vertical="center"/>
    </xf>
    <xf numFmtId="41" fontId="8" fillId="3" borderId="88" xfId="0" applyNumberFormat="1" applyFont="1" applyFill="1" applyBorder="1" applyAlignment="1">
      <alignment vertical="center" shrinkToFit="1"/>
    </xf>
    <xf numFmtId="41" fontId="8" fillId="3" borderId="86" xfId="0" applyNumberFormat="1" applyFont="1" applyFill="1" applyBorder="1" applyAlignment="1">
      <alignment vertical="center" shrinkToFit="1"/>
    </xf>
    <xf numFmtId="41" fontId="8" fillId="3" borderId="89" xfId="0" applyNumberFormat="1" applyFont="1" applyFill="1" applyBorder="1" applyAlignment="1">
      <alignment vertical="center" shrinkToFit="1"/>
    </xf>
    <xf numFmtId="41" fontId="8" fillId="3" borderId="90" xfId="0" applyNumberFormat="1" applyFont="1" applyFill="1" applyBorder="1" applyAlignment="1">
      <alignment vertical="center" shrinkToFit="1"/>
    </xf>
    <xf numFmtId="41" fontId="7" fillId="2" borderId="87" xfId="0" applyNumberFormat="1" applyFont="1" applyFill="1" applyBorder="1" applyAlignment="1">
      <alignment vertical="center"/>
    </xf>
    <xf numFmtId="0" fontId="8" fillId="2" borderId="91" xfId="0" applyFont="1" applyFill="1" applyBorder="1" applyAlignment="1">
      <alignment horizontal="right" vertical="top"/>
    </xf>
    <xf numFmtId="0" fontId="8" fillId="2" borderId="92" xfId="0" applyFont="1" applyFill="1" applyBorder="1" applyAlignment="1">
      <alignment vertical="center"/>
    </xf>
    <xf numFmtId="0" fontId="8" fillId="2" borderId="91" xfId="0" applyFont="1" applyFill="1" applyBorder="1" applyAlignment="1">
      <alignment vertical="center"/>
    </xf>
    <xf numFmtId="10" fontId="8" fillId="2" borderId="93" xfId="1" applyNumberFormat="1" applyFont="1" applyFill="1" applyBorder="1">
      <alignment vertical="center"/>
    </xf>
    <xf numFmtId="41" fontId="8" fillId="3" borderId="94" xfId="0" applyNumberFormat="1" applyFont="1" applyFill="1" applyBorder="1" applyAlignment="1">
      <alignment vertical="center" shrinkToFit="1"/>
    </xf>
    <xf numFmtId="41" fontId="8" fillId="3" borderId="92" xfId="0" applyNumberFormat="1" applyFont="1" applyFill="1" applyBorder="1" applyAlignment="1">
      <alignment vertical="center" shrinkToFit="1"/>
    </xf>
    <xf numFmtId="41" fontId="8" fillId="3" borderId="95" xfId="0" applyNumberFormat="1" applyFont="1" applyFill="1" applyBorder="1" applyAlignment="1">
      <alignment vertical="center" shrinkToFit="1"/>
    </xf>
    <xf numFmtId="41" fontId="8" fillId="3" borderId="96" xfId="0" applyNumberFormat="1" applyFont="1" applyFill="1" applyBorder="1" applyAlignment="1">
      <alignment vertical="center" shrinkToFit="1"/>
    </xf>
    <xf numFmtId="41" fontId="7" fillId="2" borderId="93" xfId="0" applyNumberFormat="1" applyFont="1" applyFill="1" applyBorder="1" applyAlignment="1">
      <alignment vertical="center"/>
    </xf>
    <xf numFmtId="0" fontId="8" fillId="4" borderId="92" xfId="0" applyFont="1" applyFill="1" applyBorder="1" applyAlignment="1">
      <alignment vertical="center"/>
    </xf>
    <xf numFmtId="0" fontId="8" fillId="4" borderId="91" xfId="0" applyFont="1" applyFill="1" applyBorder="1" applyAlignment="1">
      <alignment vertical="center"/>
    </xf>
    <xf numFmtId="10" fontId="8" fillId="4" borderId="93" xfId="1" applyNumberFormat="1" applyFont="1" applyFill="1" applyBorder="1">
      <alignment vertical="center"/>
    </xf>
    <xf numFmtId="41" fontId="8" fillId="4" borderId="94" xfId="0" applyNumberFormat="1" applyFont="1" applyFill="1" applyBorder="1" applyAlignment="1">
      <alignment vertical="center" shrinkToFit="1"/>
    </xf>
    <xf numFmtId="41" fontId="8" fillId="4" borderId="92" xfId="0" applyNumberFormat="1" applyFont="1" applyFill="1" applyBorder="1" applyAlignment="1">
      <alignment vertical="center" shrinkToFit="1"/>
    </xf>
    <xf numFmtId="41" fontId="8" fillId="4" borderId="95" xfId="0" applyNumberFormat="1" applyFont="1" applyFill="1" applyBorder="1" applyAlignment="1">
      <alignment vertical="center" shrinkToFit="1"/>
    </xf>
    <xf numFmtId="41" fontId="8" fillId="4" borderId="96" xfId="0" applyNumberFormat="1" applyFont="1" applyFill="1" applyBorder="1" applyAlignment="1">
      <alignment vertical="center" shrinkToFit="1"/>
    </xf>
    <xf numFmtId="41" fontId="5" fillId="3" borderId="94" xfId="0" applyNumberFormat="1" applyFont="1" applyFill="1" applyBorder="1" applyAlignment="1">
      <alignment vertical="center" shrinkToFit="1"/>
    </xf>
    <xf numFmtId="41" fontId="5" fillId="3" borderId="92" xfId="0" applyNumberFormat="1" applyFont="1" applyFill="1" applyBorder="1" applyAlignment="1">
      <alignment vertical="center" shrinkToFit="1"/>
    </xf>
    <xf numFmtId="41" fontId="5" fillId="3" borderId="95" xfId="0" applyNumberFormat="1" applyFont="1" applyFill="1" applyBorder="1" applyAlignment="1">
      <alignment vertical="center" shrinkToFit="1"/>
    </xf>
    <xf numFmtId="41" fontId="5" fillId="3" borderId="96" xfId="0" applyNumberFormat="1" applyFont="1" applyFill="1" applyBorder="1" applyAlignment="1">
      <alignment vertical="center" shrinkToFit="1"/>
    </xf>
    <xf numFmtId="49" fontId="14" fillId="2" borderId="98" xfId="0" applyNumberFormat="1" applyFont="1" applyFill="1" applyBorder="1"/>
    <xf numFmtId="0" fontId="8" fillId="2" borderId="99" xfId="0" applyFont="1" applyFill="1" applyBorder="1" applyAlignment="1">
      <alignment horizontal="right" vertical="top"/>
    </xf>
    <xf numFmtId="0" fontId="8" fillId="2" borderId="100" xfId="0" applyFont="1" applyFill="1" applyBorder="1" applyAlignment="1">
      <alignment vertical="center"/>
    </xf>
    <xf numFmtId="0" fontId="8" fillId="2" borderId="99" xfId="0" applyFont="1" applyFill="1" applyBorder="1" applyAlignment="1">
      <alignment vertical="center"/>
    </xf>
    <xf numFmtId="10" fontId="8" fillId="2" borderId="101" xfId="1" applyNumberFormat="1" applyFont="1" applyFill="1" applyBorder="1">
      <alignment vertical="center"/>
    </xf>
    <xf numFmtId="41" fontId="8" fillId="3" borderId="102" xfId="0" applyNumberFormat="1" applyFont="1" applyFill="1" applyBorder="1" applyAlignment="1">
      <alignment vertical="center" shrinkToFit="1"/>
    </xf>
    <xf numFmtId="41" fontId="8" fillId="3" borderId="100" xfId="0" applyNumberFormat="1" applyFont="1" applyFill="1" applyBorder="1" applyAlignment="1">
      <alignment vertical="center" shrinkToFit="1"/>
    </xf>
    <xf numFmtId="41" fontId="8" fillId="3" borderId="103" xfId="0" applyNumberFormat="1" applyFont="1" applyFill="1" applyBorder="1" applyAlignment="1">
      <alignment vertical="center" shrinkToFit="1"/>
    </xf>
    <xf numFmtId="41" fontId="8" fillId="3" borderId="104" xfId="0" applyNumberFormat="1" applyFont="1" applyFill="1" applyBorder="1" applyAlignment="1">
      <alignment vertical="center" shrinkToFit="1"/>
    </xf>
    <xf numFmtId="41" fontId="7" fillId="2" borderId="101" xfId="0" applyNumberFormat="1" applyFont="1" applyFill="1" applyBorder="1" applyAlignment="1">
      <alignment vertical="center"/>
    </xf>
    <xf numFmtId="0" fontId="7" fillId="2" borderId="48" xfId="0" applyFont="1" applyFill="1" applyBorder="1" applyAlignment="1">
      <alignment vertical="center"/>
    </xf>
    <xf numFmtId="10" fontId="3" fillId="2" borderId="4" xfId="1" applyNumberFormat="1" applyFont="1" applyFill="1" applyBorder="1" applyAlignment="1">
      <alignment horizontal="center" vertical="center"/>
    </xf>
    <xf numFmtId="41" fontId="3" fillId="2" borderId="2" xfId="0" applyNumberFormat="1" applyFont="1" applyFill="1" applyBorder="1" applyAlignment="1">
      <alignment vertical="center" shrinkToFit="1"/>
    </xf>
    <xf numFmtId="41" fontId="3" fillId="2" borderId="3" xfId="0" applyNumberFormat="1" applyFont="1" applyFill="1" applyBorder="1" applyAlignment="1">
      <alignment vertical="center" shrinkToFit="1"/>
    </xf>
    <xf numFmtId="41" fontId="3" fillId="2" borderId="6" xfId="0" applyNumberFormat="1" applyFont="1" applyFill="1" applyBorder="1" applyAlignment="1">
      <alignment vertical="center" shrinkToFit="1"/>
    </xf>
    <xf numFmtId="41" fontId="3" fillId="2" borderId="5" xfId="0" applyNumberFormat="1" applyFont="1" applyFill="1" applyBorder="1" applyAlignment="1">
      <alignment vertical="center" shrinkToFit="1"/>
    </xf>
    <xf numFmtId="41" fontId="7" fillId="2" borderId="7" xfId="0" applyNumberFormat="1" applyFont="1" applyFill="1" applyBorder="1" applyAlignment="1">
      <alignment vertical="center" shrinkToFit="1"/>
    </xf>
    <xf numFmtId="41" fontId="7" fillId="2" borderId="3" xfId="0" applyNumberFormat="1" applyFont="1" applyFill="1" applyBorder="1" applyAlignment="1">
      <alignment vertical="center" shrinkToFit="1"/>
    </xf>
    <xf numFmtId="41" fontId="7" fillId="2" borderId="53" xfId="0" applyNumberFormat="1" applyFont="1" applyFill="1" applyBorder="1" applyAlignment="1">
      <alignment vertical="center" shrinkToFit="1"/>
    </xf>
    <xf numFmtId="41" fontId="7" fillId="2" borderId="5" xfId="0" applyNumberFormat="1" applyFont="1" applyFill="1" applyBorder="1" applyAlignment="1">
      <alignment vertical="center" shrinkToFit="1"/>
    </xf>
    <xf numFmtId="41" fontId="7" fillId="2" borderId="6" xfId="0" applyNumberFormat="1" applyFont="1" applyFill="1" applyBorder="1" applyAlignment="1">
      <alignment vertical="center" shrinkToFit="1"/>
    </xf>
    <xf numFmtId="41" fontId="7" fillId="2" borderId="4" xfId="0" applyNumberFormat="1" applyFont="1" applyFill="1" applyBorder="1" applyAlignment="1">
      <alignment vertical="center"/>
    </xf>
    <xf numFmtId="179" fontId="7" fillId="2" borderId="3" xfId="0" applyNumberFormat="1" applyFont="1" applyFill="1" applyBorder="1" applyAlignment="1">
      <alignment vertical="center"/>
    </xf>
    <xf numFmtId="10" fontId="7" fillId="2" borderId="4" xfId="1" applyNumberFormat="1" applyFont="1" applyFill="1" applyBorder="1">
      <alignment vertical="center"/>
    </xf>
    <xf numFmtId="9" fontId="5" fillId="2" borderId="5" xfId="0" applyNumberFormat="1" applyFont="1" applyFill="1" applyBorder="1" applyAlignment="1">
      <alignment vertical="center" shrinkToFit="1"/>
    </xf>
    <xf numFmtId="9" fontId="5" fillId="2" borderId="3" xfId="0" applyNumberFormat="1" applyFont="1" applyFill="1" applyBorder="1" applyAlignment="1">
      <alignment vertical="center" shrinkToFit="1"/>
    </xf>
    <xf numFmtId="9" fontId="5" fillId="2" borderId="6" xfId="0" applyNumberFormat="1" applyFont="1" applyFill="1" applyBorder="1" applyAlignment="1">
      <alignment vertical="center" shrinkToFit="1"/>
    </xf>
    <xf numFmtId="9" fontId="8" fillId="2" borderId="5" xfId="0" applyNumberFormat="1" applyFont="1" applyFill="1" applyBorder="1" applyAlignment="1">
      <alignment vertical="center" shrinkToFit="1"/>
    </xf>
    <xf numFmtId="9" fontId="8" fillId="2" borderId="3" xfId="0" applyNumberFormat="1" applyFont="1" applyFill="1" applyBorder="1" applyAlignment="1">
      <alignment vertical="center" shrinkToFit="1"/>
    </xf>
    <xf numFmtId="9" fontId="8" fillId="2" borderId="53" xfId="0" applyNumberFormat="1" applyFont="1" applyFill="1" applyBorder="1" applyAlignment="1">
      <alignment vertical="center" shrinkToFit="1"/>
    </xf>
    <xf numFmtId="9" fontId="8" fillId="2" borderId="6" xfId="0" applyNumberFormat="1" applyFont="1" applyFill="1" applyBorder="1" applyAlignment="1">
      <alignment vertical="center" shrinkToFit="1"/>
    </xf>
    <xf numFmtId="9" fontId="7" fillId="2" borderId="4" xfId="0" applyNumberFormat="1" applyFont="1" applyFill="1" applyBorder="1" applyAlignment="1">
      <alignment vertical="center"/>
    </xf>
    <xf numFmtId="179" fontId="8" fillId="0" borderId="0" xfId="0" applyNumberFormat="1" applyFont="1" applyAlignment="1">
      <alignment horizontal="left" vertical="center" indent="1"/>
    </xf>
    <xf numFmtId="178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right" vertical="center"/>
    </xf>
    <xf numFmtId="178" fontId="18" fillId="0" borderId="0" xfId="0" applyNumberFormat="1" applyFont="1" applyAlignment="1">
      <alignment horizontal="left" vertical="center"/>
    </xf>
    <xf numFmtId="10" fontId="18" fillId="0" borderId="0" xfId="1" applyNumberFormat="1" applyFont="1" applyAlignment="1">
      <alignment horizontal="left" vertical="center"/>
    </xf>
    <xf numFmtId="43" fontId="5" fillId="0" borderId="0" xfId="0" applyNumberFormat="1" applyFont="1" applyAlignment="1">
      <alignment vertical="center" shrinkToFit="1"/>
    </xf>
    <xf numFmtId="9" fontId="5" fillId="0" borderId="0" xfId="0" applyNumberFormat="1" applyFont="1" applyAlignment="1">
      <alignment vertical="center" shrinkToFit="1"/>
    </xf>
    <xf numFmtId="177" fontId="5" fillId="0" borderId="0" xfId="0" applyNumberFormat="1" applyFont="1" applyAlignment="1">
      <alignment vertical="center" shrinkToFit="1"/>
    </xf>
    <xf numFmtId="177" fontId="9" fillId="0" borderId="0" xfId="0" applyNumberFormat="1" applyFont="1" applyAlignment="1">
      <alignment vertical="center" shrinkToFit="1"/>
    </xf>
    <xf numFmtId="177" fontId="10" fillId="0" borderId="0" xfId="0" applyNumberFormat="1" applyFont="1" applyAlignment="1">
      <alignment vertical="center" shrinkToFit="1"/>
    </xf>
    <xf numFmtId="41" fontId="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41" fontId="9" fillId="0" borderId="0" xfId="0" applyNumberFormat="1" applyFont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41" fontId="8" fillId="2" borderId="86" xfId="0" applyNumberFormat="1" applyFont="1" applyFill="1" applyBorder="1" applyAlignment="1">
      <alignment horizontal="left" vertical="center"/>
    </xf>
    <xf numFmtId="41" fontId="8" fillId="2" borderId="85" xfId="0" applyNumberFormat="1" applyFont="1" applyFill="1" applyBorder="1" applyAlignment="1">
      <alignment horizontal="left" vertical="center"/>
    </xf>
    <xf numFmtId="10" fontId="8" fillId="2" borderId="90" xfId="1" applyNumberFormat="1" applyFont="1" applyFill="1" applyBorder="1" applyAlignment="1">
      <alignment horizontal="left" vertical="center"/>
    </xf>
    <xf numFmtId="41" fontId="5" fillId="3" borderId="105" xfId="0" applyNumberFormat="1" applyFont="1" applyFill="1" applyBorder="1" applyAlignment="1">
      <alignment vertical="center"/>
    </xf>
    <xf numFmtId="41" fontId="5" fillId="3" borderId="85" xfId="0" applyNumberFormat="1" applyFont="1" applyFill="1" applyBorder="1" applyAlignment="1">
      <alignment vertical="center"/>
    </xf>
    <xf numFmtId="41" fontId="5" fillId="3" borderId="89" xfId="0" applyNumberFormat="1" applyFont="1" applyFill="1" applyBorder="1" applyAlignment="1">
      <alignment vertical="center"/>
    </xf>
    <xf numFmtId="41" fontId="5" fillId="3" borderId="106" xfId="0" applyNumberFormat="1" applyFont="1" applyFill="1" applyBorder="1" applyAlignment="1">
      <alignment vertical="center"/>
    </xf>
    <xf numFmtId="41" fontId="7" fillId="2" borderId="107" xfId="0" applyNumberFormat="1" applyFont="1" applyFill="1" applyBorder="1" applyAlignment="1">
      <alignment vertical="center"/>
    </xf>
    <xf numFmtId="41" fontId="8" fillId="2" borderId="17" xfId="0" applyNumberFormat="1" applyFont="1" applyFill="1" applyBorder="1" applyAlignment="1">
      <alignment horizontal="left" vertical="center"/>
    </xf>
    <xf numFmtId="41" fontId="8" fillId="2" borderId="15" xfId="0" applyNumberFormat="1" applyFont="1" applyFill="1" applyBorder="1" applyAlignment="1">
      <alignment horizontal="left" vertical="center"/>
    </xf>
    <xf numFmtId="10" fontId="8" fillId="2" borderId="0" xfId="1" applyNumberFormat="1" applyFont="1" applyFill="1" applyBorder="1" applyAlignment="1">
      <alignment horizontal="left" vertical="center"/>
    </xf>
    <xf numFmtId="41" fontId="5" fillId="3" borderId="73" xfId="0" applyNumberFormat="1" applyFont="1" applyFill="1" applyBorder="1" applyAlignment="1">
      <alignment vertical="center"/>
    </xf>
    <xf numFmtId="41" fontId="5" fillId="3" borderId="74" xfId="0" applyNumberFormat="1" applyFont="1" applyFill="1" applyBorder="1" applyAlignment="1">
      <alignment vertical="center"/>
    </xf>
    <xf numFmtId="41" fontId="7" fillId="2" borderId="108" xfId="0" applyNumberFormat="1" applyFont="1" applyFill="1" applyBorder="1" applyAlignment="1">
      <alignment vertical="center"/>
    </xf>
    <xf numFmtId="41" fontId="8" fillId="2" borderId="100" xfId="0" applyNumberFormat="1" applyFont="1" applyFill="1" applyBorder="1" applyAlignment="1">
      <alignment horizontal="left" vertical="center"/>
    </xf>
    <xf numFmtId="41" fontId="8" fillId="2" borderId="99" xfId="0" applyNumberFormat="1" applyFont="1" applyFill="1" applyBorder="1" applyAlignment="1">
      <alignment horizontal="left" vertical="center"/>
    </xf>
    <xf numFmtId="10" fontId="8" fillId="2" borderId="104" xfId="1" applyNumberFormat="1" applyFont="1" applyFill="1" applyBorder="1" applyAlignment="1">
      <alignment horizontal="left" vertical="center"/>
    </xf>
    <xf numFmtId="41" fontId="5" fillId="3" borderId="110" xfId="0" applyNumberFormat="1" applyFont="1" applyFill="1" applyBorder="1" applyAlignment="1">
      <alignment vertical="center"/>
    </xf>
    <xf numFmtId="41" fontId="5" fillId="3" borderId="99" xfId="0" applyNumberFormat="1" applyFont="1" applyFill="1" applyBorder="1" applyAlignment="1">
      <alignment vertical="center"/>
    </xf>
    <xf numFmtId="41" fontId="5" fillId="3" borderId="103" xfId="0" applyNumberFormat="1" applyFont="1" applyFill="1" applyBorder="1" applyAlignment="1">
      <alignment vertical="center"/>
    </xf>
    <xf numFmtId="41" fontId="5" fillId="3" borderId="111" xfId="0" applyNumberFormat="1" applyFont="1" applyFill="1" applyBorder="1" applyAlignment="1">
      <alignment vertical="center"/>
    </xf>
    <xf numFmtId="41" fontId="7" fillId="2" borderId="11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41" fontId="7" fillId="2" borderId="50" xfId="0" applyNumberFormat="1" applyFont="1" applyFill="1" applyBorder="1" applyAlignment="1">
      <alignment vertical="center"/>
    </xf>
    <xf numFmtId="0" fontId="7" fillId="3" borderId="51" xfId="0" applyFont="1" applyFill="1" applyBorder="1" applyAlignment="1">
      <alignment vertical="center"/>
    </xf>
    <xf numFmtId="178" fontId="3" fillId="3" borderId="51" xfId="0" applyNumberFormat="1" applyFont="1" applyFill="1" applyBorder="1" applyAlignment="1">
      <alignment horizontal="center" vertical="center"/>
    </xf>
    <xf numFmtId="178" fontId="3" fillId="3" borderId="51" xfId="0" applyNumberFormat="1" applyFont="1" applyFill="1" applyBorder="1" applyAlignment="1">
      <alignment horizontal="right" vertical="center"/>
    </xf>
    <xf numFmtId="10" fontId="3" fillId="3" borderId="51" xfId="1" applyNumberFormat="1" applyFont="1" applyFill="1" applyBorder="1" applyAlignment="1">
      <alignment horizontal="center" vertical="center"/>
    </xf>
    <xf numFmtId="41" fontId="3" fillId="3" borderId="51" xfId="0" applyNumberFormat="1" applyFont="1" applyFill="1" applyBorder="1" applyAlignment="1">
      <alignment vertical="center"/>
    </xf>
    <xf numFmtId="41" fontId="7" fillId="3" borderId="51" xfId="0" applyNumberFormat="1" applyFont="1" applyFill="1" applyBorder="1" applyAlignment="1">
      <alignment vertical="center"/>
    </xf>
    <xf numFmtId="0" fontId="19" fillId="2" borderId="2" xfId="0" applyFont="1" applyFill="1" applyBorder="1" applyAlignment="1">
      <alignment vertical="center"/>
    </xf>
    <xf numFmtId="178" fontId="5" fillId="2" borderId="68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right" vertical="center"/>
    </xf>
    <xf numFmtId="41" fontId="8" fillId="2" borderId="53" xfId="0" applyNumberFormat="1" applyFont="1" applyFill="1" applyBorder="1" applyAlignment="1">
      <alignment horizontal="left" vertical="center"/>
    </xf>
    <xf numFmtId="41" fontId="8" fillId="2" borderId="3" xfId="0" applyNumberFormat="1" applyFont="1" applyFill="1" applyBorder="1" applyAlignment="1">
      <alignment horizontal="left" vertical="center"/>
    </xf>
    <xf numFmtId="10" fontId="8" fillId="2" borderId="68" xfId="1" applyNumberFormat="1" applyFont="1" applyFill="1" applyBorder="1" applyAlignment="1">
      <alignment horizontal="left" vertical="center"/>
    </xf>
    <xf numFmtId="41" fontId="5" fillId="3" borderId="2" xfId="0" applyNumberFormat="1" applyFont="1" applyFill="1" applyBorder="1" applyAlignment="1">
      <alignment vertical="center"/>
    </xf>
    <xf numFmtId="41" fontId="5" fillId="3" borderId="3" xfId="0" applyNumberFormat="1" applyFont="1" applyFill="1" applyBorder="1" applyAlignment="1">
      <alignment vertical="center"/>
    </xf>
    <xf numFmtId="41" fontId="5" fillId="3" borderId="6" xfId="0" applyNumberFormat="1" applyFont="1" applyFill="1" applyBorder="1" applyAlignment="1">
      <alignment vertical="center"/>
    </xf>
    <xf numFmtId="41" fontId="5" fillId="3" borderId="7" xfId="0" applyNumberFormat="1" applyFont="1" applyFill="1" applyBorder="1" applyAlignment="1">
      <alignment vertical="center"/>
    </xf>
    <xf numFmtId="41" fontId="5" fillId="3" borderId="5" xfId="0" applyNumberFormat="1" applyFont="1" applyFill="1" applyBorder="1" applyAlignment="1">
      <alignment vertical="center"/>
    </xf>
    <xf numFmtId="0" fontId="3" fillId="2" borderId="68" xfId="0" applyFont="1" applyFill="1" applyBorder="1" applyAlignment="1">
      <alignment horizontal="center" vertical="center"/>
    </xf>
    <xf numFmtId="179" fontId="7" fillId="2" borderId="2" xfId="0" applyNumberFormat="1" applyFont="1" applyFill="1" applyBorder="1" applyAlignment="1">
      <alignment vertical="center"/>
    </xf>
    <xf numFmtId="179" fontId="7" fillId="2" borderId="68" xfId="0" applyNumberFormat="1" applyFont="1" applyFill="1" applyBorder="1" applyAlignment="1">
      <alignment vertical="center"/>
    </xf>
    <xf numFmtId="0" fontId="7" fillId="2" borderId="69" xfId="0" applyFont="1" applyFill="1" applyBorder="1" applyAlignment="1">
      <alignment vertical="top"/>
    </xf>
    <xf numFmtId="0" fontId="7" fillId="2" borderId="73" xfId="0" applyFont="1" applyFill="1" applyBorder="1" applyAlignment="1">
      <alignment vertical="top"/>
    </xf>
    <xf numFmtId="0" fontId="7" fillId="2" borderId="97" xfId="0" applyFont="1" applyFill="1" applyBorder="1" applyAlignment="1">
      <alignment vertical="top"/>
    </xf>
    <xf numFmtId="178" fontId="3" fillId="2" borderId="68" xfId="0" applyNumberFormat="1" applyFont="1" applyFill="1" applyBorder="1" applyAlignment="1">
      <alignment vertical="center"/>
    </xf>
    <xf numFmtId="41" fontId="3" fillId="2" borderId="1" xfId="0" applyNumberFormat="1" applyFont="1" applyFill="1" applyBorder="1" applyAlignment="1">
      <alignment vertical="center" wrapText="1"/>
    </xf>
    <xf numFmtId="41" fontId="3" fillId="2" borderId="70" xfId="0" applyNumberFormat="1" applyFont="1" applyFill="1" applyBorder="1" applyAlignment="1">
      <alignment vertical="center" wrapText="1"/>
    </xf>
    <xf numFmtId="41" fontId="3" fillId="2" borderId="14" xfId="0" applyNumberFormat="1" applyFont="1" applyFill="1" applyBorder="1" applyAlignment="1">
      <alignment vertical="center" wrapText="1"/>
    </xf>
    <xf numFmtId="41" fontId="3" fillId="2" borderId="74" xfId="0" applyNumberFormat="1" applyFont="1" applyFill="1" applyBorder="1" applyAlignment="1">
      <alignment vertical="center" wrapText="1"/>
    </xf>
    <xf numFmtId="41" fontId="3" fillId="2" borderId="48" xfId="0" applyNumberFormat="1" applyFont="1" applyFill="1" applyBorder="1" applyAlignment="1">
      <alignment vertical="center" wrapText="1"/>
    </xf>
    <xf numFmtId="41" fontId="3" fillId="2" borderId="109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top"/>
    </xf>
    <xf numFmtId="0" fontId="7" fillId="2" borderId="14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3" fillId="2" borderId="2" xfId="0" applyFont="1" applyFill="1" applyBorder="1" applyAlignment="1">
      <alignment vertical="center"/>
    </xf>
    <xf numFmtId="0" fontId="3" fillId="2" borderId="68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68" xfId="0" applyFont="1" applyFill="1" applyBorder="1" applyAlignment="1">
      <alignment vertical="center"/>
    </xf>
    <xf numFmtId="0" fontId="24" fillId="3" borderId="0" xfId="0" applyFont="1" applyFill="1" applyAlignment="1">
      <alignment horizontal="left" vertical="top"/>
    </xf>
    <xf numFmtId="0" fontId="25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182" fontId="26" fillId="3" borderId="0" xfId="0" applyNumberFormat="1" applyFont="1" applyFill="1" applyAlignment="1">
      <alignment vertical="center"/>
    </xf>
    <xf numFmtId="182" fontId="26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vertical="center"/>
    </xf>
    <xf numFmtId="41" fontId="3" fillId="2" borderId="2" xfId="0" applyNumberFormat="1" applyFont="1" applyFill="1" applyBorder="1" applyAlignment="1">
      <alignment horizontal="center" vertical="center"/>
    </xf>
    <xf numFmtId="41" fontId="3" fillId="2" borderId="7" xfId="0" applyNumberFormat="1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1" fontId="5" fillId="2" borderId="15" xfId="0" applyNumberFormat="1" applyFont="1" applyFill="1" applyBorder="1" applyAlignment="1">
      <alignment horizontal="left" vertical="center"/>
    </xf>
    <xf numFmtId="41" fontId="5" fillId="2" borderId="15" xfId="0" applyNumberFormat="1" applyFont="1" applyFill="1" applyBorder="1" applyAlignment="1">
      <alignment horizontal="center" vertical="center"/>
    </xf>
    <xf numFmtId="41" fontId="5" fillId="2" borderId="17" xfId="0" applyNumberFormat="1" applyFont="1" applyFill="1" applyBorder="1" applyAlignment="1">
      <alignment horizontal="center" vertical="center"/>
    </xf>
    <xf numFmtId="41" fontId="5" fillId="2" borderId="14" xfId="0" applyNumberFormat="1" applyFont="1" applyFill="1" applyBorder="1" applyAlignment="1">
      <alignment horizontal="center" vertical="center"/>
    </xf>
    <xf numFmtId="178" fontId="5" fillId="2" borderId="15" xfId="0" applyNumberFormat="1" applyFont="1" applyFill="1" applyBorder="1" applyAlignment="1">
      <alignment horizontal="center" vertical="center"/>
    </xf>
    <xf numFmtId="178" fontId="5" fillId="5" borderId="17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183" fontId="5" fillId="2" borderId="18" xfId="0" applyNumberFormat="1" applyFont="1" applyFill="1" applyBorder="1" applyAlignment="1">
      <alignment vertical="center"/>
    </xf>
    <xf numFmtId="41" fontId="5" fillId="6" borderId="73" xfId="0" applyNumberFormat="1" applyFont="1" applyFill="1" applyBorder="1" applyAlignment="1">
      <alignment vertical="center"/>
    </xf>
    <xf numFmtId="41" fontId="5" fillId="6" borderId="74" xfId="0" applyNumberFormat="1" applyFont="1" applyFill="1" applyBorder="1" applyAlignment="1">
      <alignment vertical="center"/>
    </xf>
    <xf numFmtId="41" fontId="5" fillId="6" borderId="18" xfId="0" applyNumberFormat="1" applyFont="1" applyFill="1" applyBorder="1" applyAlignment="1">
      <alignment vertical="center"/>
    </xf>
    <xf numFmtId="41" fontId="5" fillId="2" borderId="19" xfId="0" applyNumberFormat="1" applyFont="1" applyFill="1" applyBorder="1" applyAlignment="1">
      <alignment vertical="center"/>
    </xf>
    <xf numFmtId="41" fontId="5" fillId="2" borderId="18" xfId="0" applyNumberFormat="1" applyFont="1" applyFill="1" applyBorder="1" applyAlignment="1">
      <alignment vertical="center"/>
    </xf>
    <xf numFmtId="177" fontId="5" fillId="2" borderId="17" xfId="0" applyNumberFormat="1" applyFont="1" applyFill="1" applyBorder="1" applyAlignment="1">
      <alignment horizontal="center" vertical="center"/>
    </xf>
    <xf numFmtId="177" fontId="5" fillId="2" borderId="18" xfId="0" applyNumberFormat="1" applyFont="1" applyFill="1" applyBorder="1" applyAlignment="1">
      <alignment horizontal="center" vertical="center"/>
    </xf>
    <xf numFmtId="41" fontId="5" fillId="2" borderId="71" xfId="0" applyNumberFormat="1" applyFont="1" applyFill="1" applyBorder="1" applyAlignment="1">
      <alignment horizontal="left" vertical="center"/>
    </xf>
    <xf numFmtId="41" fontId="5" fillId="2" borderId="28" xfId="0" applyNumberFormat="1" applyFont="1" applyFill="1" applyBorder="1" applyAlignment="1">
      <alignment horizontal="center" vertical="center"/>
    </xf>
    <xf numFmtId="41" fontId="5" fillId="2" borderId="31" xfId="0" applyNumberFormat="1" applyFont="1" applyFill="1" applyBorder="1" applyAlignment="1">
      <alignment horizontal="center" vertical="center"/>
    </xf>
    <xf numFmtId="41" fontId="5" fillId="2" borderId="27" xfId="0" applyNumberFormat="1" applyFont="1" applyFill="1" applyBorder="1" applyAlignment="1">
      <alignment horizontal="center" vertical="center"/>
    </xf>
    <xf numFmtId="178" fontId="5" fillId="2" borderId="28" xfId="0" applyNumberFormat="1" applyFont="1" applyFill="1" applyBorder="1" applyAlignment="1">
      <alignment horizontal="center" vertical="center"/>
    </xf>
    <xf numFmtId="178" fontId="5" fillId="5" borderId="31" xfId="0" applyNumberFormat="1" applyFont="1" applyFill="1" applyBorder="1" applyAlignment="1">
      <alignment horizontal="center" vertical="center"/>
    </xf>
    <xf numFmtId="41" fontId="5" fillId="2" borderId="32" xfId="0" applyNumberFormat="1" applyFont="1" applyFill="1" applyBorder="1" applyAlignment="1">
      <alignment horizontal="center" vertical="center"/>
    </xf>
    <xf numFmtId="41" fontId="5" fillId="2" borderId="39" xfId="0" applyNumberFormat="1" applyFont="1" applyFill="1" applyBorder="1" applyAlignment="1">
      <alignment horizontal="center" vertical="center"/>
    </xf>
    <xf numFmtId="41" fontId="5" fillId="2" borderId="72" xfId="0" applyNumberFormat="1" applyFont="1" applyFill="1" applyBorder="1" applyAlignment="1">
      <alignment horizontal="center" vertical="center"/>
    </xf>
    <xf numFmtId="41" fontId="5" fillId="2" borderId="71" xfId="0" applyNumberFormat="1" applyFont="1" applyFill="1" applyBorder="1" applyAlignment="1">
      <alignment horizontal="center" vertical="center"/>
    </xf>
    <xf numFmtId="41" fontId="5" fillId="2" borderId="35" xfId="0" applyNumberFormat="1" applyFont="1" applyFill="1" applyBorder="1" applyAlignment="1">
      <alignment horizontal="center" vertical="center"/>
    </xf>
    <xf numFmtId="41" fontId="5" fillId="2" borderId="40" xfId="0" applyNumberFormat="1" applyFont="1" applyFill="1" applyBorder="1" applyAlignment="1">
      <alignment horizontal="center" vertical="center"/>
    </xf>
    <xf numFmtId="41" fontId="5" fillId="2" borderId="28" xfId="0" applyNumberFormat="1" applyFont="1" applyFill="1" applyBorder="1" applyAlignment="1">
      <alignment horizontal="left" vertical="center"/>
    </xf>
    <xf numFmtId="180" fontId="5" fillId="2" borderId="32" xfId="0" applyNumberFormat="1" applyFont="1" applyFill="1" applyBorder="1" applyAlignment="1">
      <alignment horizontal="center" vertical="center"/>
    </xf>
    <xf numFmtId="41" fontId="5" fillId="2" borderId="32" xfId="0" applyNumberFormat="1" applyFont="1" applyFill="1" applyBorder="1" applyAlignment="1">
      <alignment vertical="center"/>
    </xf>
    <xf numFmtId="41" fontId="5" fillId="3" borderId="57" xfId="0" applyNumberFormat="1" applyFont="1" applyFill="1" applyBorder="1" applyAlignment="1">
      <alignment vertical="center"/>
    </xf>
    <xf numFmtId="41" fontId="5" fillId="3" borderId="58" xfId="0" applyNumberFormat="1" applyFont="1" applyFill="1" applyBorder="1" applyAlignment="1">
      <alignment vertical="center"/>
    </xf>
    <xf numFmtId="177" fontId="5" fillId="4" borderId="32" xfId="0" applyNumberFormat="1" applyFont="1" applyFill="1" applyBorder="1" applyAlignment="1">
      <alignment vertical="center"/>
    </xf>
    <xf numFmtId="177" fontId="5" fillId="7" borderId="57" xfId="0" applyNumberFormat="1" applyFont="1" applyFill="1" applyBorder="1" applyAlignment="1">
      <alignment vertical="center"/>
    </xf>
    <xf numFmtId="41" fontId="5" fillId="7" borderId="28" xfId="0" applyNumberFormat="1" applyFont="1" applyFill="1" applyBorder="1" applyAlignment="1">
      <alignment vertical="center"/>
    </xf>
    <xf numFmtId="41" fontId="5" fillId="7" borderId="32" xfId="0" applyNumberFormat="1" applyFont="1" applyFill="1" applyBorder="1" applyAlignment="1">
      <alignment vertical="center"/>
    </xf>
    <xf numFmtId="41" fontId="5" fillId="7" borderId="57" xfId="0" applyNumberFormat="1" applyFont="1" applyFill="1" applyBorder="1" applyAlignment="1">
      <alignment vertical="center"/>
    </xf>
    <xf numFmtId="41" fontId="5" fillId="2" borderId="33" xfId="0" applyNumberFormat="1" applyFont="1" applyFill="1" applyBorder="1" applyAlignment="1">
      <alignment vertical="center"/>
    </xf>
    <xf numFmtId="41" fontId="5" fillId="2" borderId="113" xfId="0" applyNumberFormat="1" applyFont="1" applyFill="1" applyBorder="1" applyAlignment="1">
      <alignment horizontal="left" vertical="center"/>
    </xf>
    <xf numFmtId="41" fontId="5" fillId="2" borderId="113" xfId="0" applyNumberFormat="1" applyFont="1" applyFill="1" applyBorder="1" applyAlignment="1">
      <alignment horizontal="center" vertical="center"/>
    </xf>
    <xf numFmtId="41" fontId="5" fillId="2" borderId="114" xfId="0" applyNumberFormat="1" applyFont="1" applyFill="1" applyBorder="1" applyAlignment="1">
      <alignment horizontal="center" vertical="center"/>
    </xf>
    <xf numFmtId="41" fontId="5" fillId="2" borderId="115" xfId="0" applyNumberFormat="1" applyFont="1" applyFill="1" applyBorder="1" applyAlignment="1">
      <alignment horizontal="center" vertical="center"/>
    </xf>
    <xf numFmtId="178" fontId="5" fillId="2" borderId="113" xfId="0" applyNumberFormat="1" applyFont="1" applyFill="1" applyBorder="1" applyAlignment="1">
      <alignment horizontal="center" vertical="center"/>
    </xf>
    <xf numFmtId="178" fontId="5" fillId="5" borderId="114" xfId="0" applyNumberFormat="1" applyFont="1" applyFill="1" applyBorder="1" applyAlignment="1">
      <alignment horizontal="center" vertical="center"/>
    </xf>
    <xf numFmtId="41" fontId="5" fillId="2" borderId="116" xfId="0" applyNumberFormat="1" applyFont="1" applyFill="1" applyBorder="1" applyAlignment="1">
      <alignment horizontal="center" vertical="center"/>
    </xf>
    <xf numFmtId="41" fontId="5" fillId="2" borderId="116" xfId="0" applyNumberFormat="1" applyFont="1" applyFill="1" applyBorder="1" applyAlignment="1">
      <alignment vertical="center"/>
    </xf>
    <xf numFmtId="41" fontId="5" fillId="3" borderId="117" xfId="0" applyNumberFormat="1" applyFont="1" applyFill="1" applyBorder="1" applyAlignment="1">
      <alignment vertical="center"/>
    </xf>
    <xf numFmtId="41" fontId="5" fillId="3" borderId="118" xfId="0" applyNumberFormat="1" applyFont="1" applyFill="1" applyBorder="1" applyAlignment="1">
      <alignment vertical="center"/>
    </xf>
    <xf numFmtId="41" fontId="5" fillId="3" borderId="116" xfId="0" applyNumberFormat="1" applyFont="1" applyFill="1" applyBorder="1" applyAlignment="1">
      <alignment vertical="center"/>
    </xf>
    <xf numFmtId="41" fontId="5" fillId="3" borderId="113" xfId="0" applyNumberFormat="1" applyFont="1" applyFill="1" applyBorder="1" applyAlignment="1">
      <alignment vertical="center"/>
    </xf>
    <xf numFmtId="177" fontId="5" fillId="4" borderId="116" xfId="0" applyNumberFormat="1" applyFont="1" applyFill="1" applyBorder="1" applyAlignment="1">
      <alignment vertical="center"/>
    </xf>
    <xf numFmtId="177" fontId="5" fillId="7" borderId="117" xfId="0" applyNumberFormat="1" applyFont="1" applyFill="1" applyBorder="1" applyAlignment="1">
      <alignment vertical="center"/>
    </xf>
    <xf numFmtId="41" fontId="5" fillId="7" borderId="113" xfId="0" applyNumberFormat="1" applyFont="1" applyFill="1" applyBorder="1" applyAlignment="1">
      <alignment vertical="center"/>
    </xf>
    <xf numFmtId="41" fontId="5" fillId="7" borderId="116" xfId="0" applyNumberFormat="1" applyFont="1" applyFill="1" applyBorder="1" applyAlignment="1">
      <alignment vertical="center"/>
    </xf>
    <xf numFmtId="41" fontId="5" fillId="7" borderId="117" xfId="0" applyNumberFormat="1" applyFont="1" applyFill="1" applyBorder="1" applyAlignment="1">
      <alignment vertical="center"/>
    </xf>
    <xf numFmtId="41" fontId="5" fillId="2" borderId="119" xfId="0" applyNumberFormat="1" applyFont="1" applyFill="1" applyBorder="1" applyAlignment="1">
      <alignment vertical="center"/>
    </xf>
    <xf numFmtId="41" fontId="5" fillId="2" borderId="77" xfId="0" applyNumberFormat="1" applyFont="1" applyFill="1" applyBorder="1" applyAlignment="1">
      <alignment horizontal="left" vertical="center"/>
    </xf>
    <xf numFmtId="41" fontId="5" fillId="2" borderId="77" xfId="0" applyNumberFormat="1" applyFont="1" applyFill="1" applyBorder="1" applyAlignment="1">
      <alignment horizontal="center" vertical="center"/>
    </xf>
    <xf numFmtId="41" fontId="5" fillId="2" borderId="76" xfId="0" applyNumberFormat="1" applyFont="1" applyFill="1" applyBorder="1" applyAlignment="1">
      <alignment horizontal="center" vertical="center"/>
    </xf>
    <xf numFmtId="41" fontId="5" fillId="2" borderId="120" xfId="0" applyNumberFormat="1" applyFont="1" applyFill="1" applyBorder="1" applyAlignment="1">
      <alignment horizontal="center" vertical="center"/>
    </xf>
    <xf numFmtId="178" fontId="5" fillId="2" borderId="77" xfId="0" applyNumberFormat="1" applyFont="1" applyFill="1" applyBorder="1" applyAlignment="1">
      <alignment horizontal="center" vertical="center"/>
    </xf>
    <xf numFmtId="178" fontId="5" fillId="5" borderId="76" xfId="0" applyNumberFormat="1" applyFont="1" applyFill="1" applyBorder="1" applyAlignment="1">
      <alignment horizontal="center" vertical="center"/>
    </xf>
    <xf numFmtId="41" fontId="5" fillId="2" borderId="121" xfId="0" applyNumberFormat="1" applyFont="1" applyFill="1" applyBorder="1" applyAlignment="1">
      <alignment horizontal="center" vertical="center"/>
    </xf>
    <xf numFmtId="41" fontId="5" fillId="2" borderId="121" xfId="0" applyNumberFormat="1" applyFont="1" applyFill="1" applyBorder="1" applyAlignment="1">
      <alignment vertical="center"/>
    </xf>
    <xf numFmtId="41" fontId="5" fillId="4" borderId="73" xfId="0" applyNumberFormat="1" applyFont="1" applyFill="1" applyBorder="1" applyAlignment="1">
      <alignment vertical="center"/>
    </xf>
    <xf numFmtId="41" fontId="5" fillId="7" borderId="74" xfId="0" applyNumberFormat="1" applyFont="1" applyFill="1" applyBorder="1" applyAlignment="1">
      <alignment vertical="center"/>
    </xf>
    <xf numFmtId="41" fontId="5" fillId="7" borderId="18" xfId="0" applyNumberFormat="1" applyFont="1" applyFill="1" applyBorder="1" applyAlignment="1">
      <alignment vertical="center"/>
    </xf>
    <xf numFmtId="41" fontId="5" fillId="7" borderId="73" xfId="0" applyNumberFormat="1" applyFont="1" applyFill="1" applyBorder="1" applyAlignment="1">
      <alignment vertical="center"/>
    </xf>
    <xf numFmtId="41" fontId="5" fillId="7" borderId="15" xfId="0" applyNumberFormat="1" applyFont="1" applyFill="1" applyBorder="1" applyAlignment="1">
      <alignment vertical="center"/>
    </xf>
    <xf numFmtId="41" fontId="5" fillId="4" borderId="122" xfId="0" applyNumberFormat="1" applyFont="1" applyFill="1" applyBorder="1" applyAlignment="1">
      <alignment vertical="center"/>
    </xf>
    <xf numFmtId="41" fontId="5" fillId="7" borderId="123" xfId="0" applyNumberFormat="1" applyFont="1" applyFill="1" applyBorder="1" applyAlignment="1">
      <alignment vertical="center"/>
    </xf>
    <xf numFmtId="41" fontId="5" fillId="7" borderId="121" xfId="0" applyNumberFormat="1" applyFont="1" applyFill="1" applyBorder="1" applyAlignment="1">
      <alignment vertical="center"/>
    </xf>
    <xf numFmtId="41" fontId="5" fillId="7" borderId="122" xfId="0" applyNumberFormat="1" applyFont="1" applyFill="1" applyBorder="1" applyAlignment="1">
      <alignment vertical="center"/>
    </xf>
    <xf numFmtId="41" fontId="5" fillId="7" borderId="77" xfId="0" applyNumberFormat="1" applyFont="1" applyFill="1" applyBorder="1" applyAlignment="1">
      <alignment vertical="center"/>
    </xf>
    <xf numFmtId="41" fontId="5" fillId="2" borderId="108" xfId="0" applyNumberFormat="1" applyFont="1" applyFill="1" applyBorder="1" applyAlignment="1">
      <alignment vertical="center"/>
    </xf>
    <xf numFmtId="41" fontId="5" fillId="4" borderId="117" xfId="0" applyNumberFormat="1" applyFont="1" applyFill="1" applyBorder="1" applyAlignment="1">
      <alignment vertical="center"/>
    </xf>
    <xf numFmtId="41" fontId="5" fillId="7" borderId="118" xfId="0" applyNumberFormat="1" applyFont="1" applyFill="1" applyBorder="1" applyAlignment="1">
      <alignment vertical="center"/>
    </xf>
    <xf numFmtId="178" fontId="5" fillId="5" borderId="113" xfId="0" applyNumberFormat="1" applyFont="1" applyFill="1" applyBorder="1" applyAlignment="1">
      <alignment horizontal="center" vertical="center"/>
    </xf>
    <xf numFmtId="180" fontId="5" fillId="2" borderId="113" xfId="0" applyNumberFormat="1" applyFont="1" applyFill="1" applyBorder="1" applyAlignment="1">
      <alignment horizontal="center" vertical="center"/>
    </xf>
    <xf numFmtId="41" fontId="5" fillId="4" borderId="116" xfId="0" applyNumberFormat="1" applyFont="1" applyFill="1" applyBorder="1" applyAlignment="1">
      <alignment vertical="center"/>
    </xf>
    <xf numFmtId="41" fontId="5" fillId="2" borderId="91" xfId="0" applyNumberFormat="1" applyFont="1" applyFill="1" applyBorder="1" applyAlignment="1">
      <alignment horizontal="left" vertical="center"/>
    </xf>
    <xf numFmtId="41" fontId="5" fillId="2" borderId="91" xfId="0" applyNumberFormat="1" applyFont="1" applyFill="1" applyBorder="1" applyAlignment="1">
      <alignment horizontal="center" vertical="center"/>
    </xf>
    <xf numFmtId="41" fontId="5" fillId="2" borderId="92" xfId="0" applyNumberFormat="1" applyFont="1" applyFill="1" applyBorder="1" applyAlignment="1">
      <alignment horizontal="center" vertical="center"/>
    </xf>
    <xf numFmtId="41" fontId="5" fillId="2" borderId="94" xfId="0" applyNumberFormat="1" applyFont="1" applyFill="1" applyBorder="1" applyAlignment="1">
      <alignment horizontal="center" vertical="center"/>
    </xf>
    <xf numFmtId="178" fontId="5" fillId="2" borderId="91" xfId="0" applyNumberFormat="1" applyFont="1" applyFill="1" applyBorder="1" applyAlignment="1">
      <alignment horizontal="center" vertical="center"/>
    </xf>
    <xf numFmtId="178" fontId="5" fillId="5" borderId="91" xfId="0" applyNumberFormat="1" applyFont="1" applyFill="1" applyBorder="1" applyAlignment="1">
      <alignment horizontal="center" vertical="center"/>
    </xf>
    <xf numFmtId="180" fontId="5" fillId="2" borderId="91" xfId="0" applyNumberFormat="1" applyFont="1" applyFill="1" applyBorder="1" applyAlignment="1">
      <alignment horizontal="center" vertical="center"/>
    </xf>
    <xf numFmtId="41" fontId="5" fillId="2" borderId="95" xfId="0" applyNumberFormat="1" applyFont="1" applyFill="1" applyBorder="1" applyAlignment="1">
      <alignment horizontal="center" vertical="center"/>
    </xf>
    <xf numFmtId="41" fontId="5" fillId="3" borderId="124" xfId="0" applyNumberFormat="1" applyFont="1" applyFill="1" applyBorder="1" applyAlignment="1">
      <alignment vertical="center"/>
    </xf>
    <xf numFmtId="41" fontId="5" fillId="3" borderId="125" xfId="0" applyNumberFormat="1" applyFont="1" applyFill="1" applyBorder="1" applyAlignment="1">
      <alignment vertical="center"/>
    </xf>
    <xf numFmtId="41" fontId="5" fillId="3" borderId="95" xfId="0" applyNumberFormat="1" applyFont="1" applyFill="1" applyBorder="1" applyAlignment="1">
      <alignment vertical="center"/>
    </xf>
    <xf numFmtId="41" fontId="5" fillId="3" borderId="91" xfId="0" applyNumberFormat="1" applyFont="1" applyFill="1" applyBorder="1" applyAlignment="1">
      <alignment vertical="center"/>
    </xf>
    <xf numFmtId="41" fontId="5" fillId="4" borderId="91" xfId="0" applyNumberFormat="1" applyFont="1" applyFill="1" applyBorder="1" applyAlignment="1">
      <alignment vertical="center"/>
    </xf>
    <xf numFmtId="41" fontId="5" fillId="7" borderId="95" xfId="0" applyNumberFormat="1" applyFont="1" applyFill="1" applyBorder="1" applyAlignment="1">
      <alignment vertical="center"/>
    </xf>
    <xf numFmtId="178" fontId="5" fillId="5" borderId="92" xfId="0" applyNumberFormat="1" applyFont="1" applyFill="1" applyBorder="1" applyAlignment="1">
      <alignment horizontal="center" vertical="center"/>
    </xf>
    <xf numFmtId="180" fontId="5" fillId="2" borderId="92" xfId="0" applyNumberFormat="1" applyFont="1" applyFill="1" applyBorder="1" applyAlignment="1">
      <alignment horizontal="center" vertical="center"/>
    </xf>
    <xf numFmtId="41" fontId="5" fillId="2" borderId="95" xfId="0" applyNumberFormat="1" applyFont="1" applyFill="1" applyBorder="1" applyAlignment="1">
      <alignment vertical="center"/>
    </xf>
    <xf numFmtId="41" fontId="5" fillId="2" borderId="75" xfId="0" applyNumberFormat="1" applyFont="1" applyFill="1" applyBorder="1" applyAlignment="1">
      <alignment horizontal="left" vertical="center"/>
    </xf>
    <xf numFmtId="41" fontId="5" fillId="2" borderId="75" xfId="0" applyNumberFormat="1" applyFont="1" applyFill="1" applyBorder="1" applyAlignment="1">
      <alignment horizontal="center" vertical="center"/>
    </xf>
    <xf numFmtId="41" fontId="5" fillId="2" borderId="82" xfId="0" applyNumberFormat="1" applyFont="1" applyFill="1" applyBorder="1" applyAlignment="1">
      <alignment horizontal="center" vertical="center"/>
    </xf>
    <xf numFmtId="41" fontId="5" fillId="2" borderId="126" xfId="0" applyNumberFormat="1" applyFont="1" applyFill="1" applyBorder="1" applyAlignment="1">
      <alignment horizontal="center" vertical="center"/>
    </xf>
    <xf numFmtId="178" fontId="5" fillId="2" borderId="75" xfId="0" applyNumberFormat="1" applyFont="1" applyFill="1" applyBorder="1" applyAlignment="1">
      <alignment horizontal="center" vertical="center"/>
    </xf>
    <xf numFmtId="178" fontId="5" fillId="5" borderId="82" xfId="0" applyNumberFormat="1" applyFont="1" applyFill="1" applyBorder="1" applyAlignment="1">
      <alignment horizontal="center" vertical="center"/>
    </xf>
    <xf numFmtId="180" fontId="5" fillId="2" borderId="82" xfId="0" applyNumberFormat="1" applyFont="1" applyFill="1" applyBorder="1" applyAlignment="1">
      <alignment horizontal="center" vertical="center"/>
    </xf>
    <xf numFmtId="41" fontId="5" fillId="2" borderId="80" xfId="0" applyNumberFormat="1" applyFont="1" applyFill="1" applyBorder="1" applyAlignment="1">
      <alignment horizontal="center" vertical="center"/>
    </xf>
    <xf numFmtId="41" fontId="5" fillId="2" borderId="80" xfId="0" applyNumberFormat="1" applyFont="1" applyFill="1" applyBorder="1" applyAlignment="1">
      <alignment vertical="center"/>
    </xf>
    <xf numFmtId="41" fontId="5" fillId="3" borderId="79" xfId="0" applyNumberFormat="1" applyFont="1" applyFill="1" applyBorder="1" applyAlignment="1">
      <alignment vertical="center"/>
    </xf>
    <xf numFmtId="41" fontId="5" fillId="3" borderId="81" xfId="0" applyNumberFormat="1" applyFont="1" applyFill="1" applyBorder="1" applyAlignment="1">
      <alignment vertical="center"/>
    </xf>
    <xf numFmtId="41" fontId="5" fillId="3" borderId="80" xfId="0" applyNumberFormat="1" applyFont="1" applyFill="1" applyBorder="1" applyAlignment="1">
      <alignment vertical="center"/>
    </xf>
    <xf numFmtId="41" fontId="5" fillId="3" borderId="75" xfId="0" applyNumberFormat="1" applyFont="1" applyFill="1" applyBorder="1" applyAlignment="1">
      <alignment vertical="center"/>
    </xf>
    <xf numFmtId="41" fontId="5" fillId="2" borderId="20" xfId="0" applyNumberFormat="1" applyFont="1" applyFill="1" applyBorder="1" applyAlignment="1">
      <alignment vertical="center"/>
    </xf>
    <xf numFmtId="41" fontId="5" fillId="2" borderId="38" xfId="0" applyNumberFormat="1" applyFont="1" applyFill="1" applyBorder="1" applyAlignment="1">
      <alignment horizontal="center" vertical="center"/>
    </xf>
    <xf numFmtId="41" fontId="5" fillId="4" borderId="0" xfId="0" applyNumberFormat="1" applyFont="1" applyFill="1" applyAlignment="1">
      <alignment horizontal="left" vertical="center"/>
    </xf>
    <xf numFmtId="41" fontId="5" fillId="2" borderId="0" xfId="0" applyNumberFormat="1" applyFont="1" applyFill="1" applyAlignment="1">
      <alignment horizontal="center" vertical="center"/>
    </xf>
    <xf numFmtId="41" fontId="5" fillId="2" borderId="19" xfId="0" applyNumberFormat="1" applyFont="1" applyFill="1" applyBorder="1" applyAlignment="1">
      <alignment horizontal="center" vertical="center"/>
    </xf>
    <xf numFmtId="41" fontId="5" fillId="4" borderId="73" xfId="0" applyNumberFormat="1" applyFont="1" applyFill="1" applyBorder="1" applyAlignment="1">
      <alignment horizontal="center" vertical="center"/>
    </xf>
    <xf numFmtId="41" fontId="5" fillId="2" borderId="74" xfId="0" applyNumberFormat="1" applyFont="1" applyFill="1" applyBorder="1" applyAlignment="1">
      <alignment horizontal="center" vertical="center"/>
    </xf>
    <xf numFmtId="41" fontId="5" fillId="2" borderId="73" xfId="0" applyNumberFormat="1" applyFont="1" applyFill="1" applyBorder="1" applyAlignment="1">
      <alignment horizontal="center" vertical="center"/>
    </xf>
    <xf numFmtId="41" fontId="5" fillId="4" borderId="18" xfId="0" applyNumberFormat="1" applyFont="1" applyFill="1" applyBorder="1" applyAlignment="1">
      <alignment horizontal="center" vertical="center"/>
    </xf>
    <xf numFmtId="41" fontId="5" fillId="4" borderId="15" xfId="0" applyNumberFormat="1" applyFont="1" applyFill="1" applyBorder="1" applyAlignment="1">
      <alignment horizontal="center" vertical="center"/>
    </xf>
    <xf numFmtId="41" fontId="5" fillId="4" borderId="19" xfId="0" applyNumberFormat="1" applyFont="1" applyFill="1" applyBorder="1" applyAlignment="1">
      <alignment horizontal="center" vertical="center"/>
    </xf>
    <xf numFmtId="41" fontId="3" fillId="8" borderId="6" xfId="0" applyNumberFormat="1" applyFont="1" applyFill="1" applyBorder="1" applyAlignment="1">
      <alignment vertical="center"/>
    </xf>
    <xf numFmtId="41" fontId="3" fillId="8" borderId="2" xfId="0" applyNumberFormat="1" applyFont="1" applyFill="1" applyBorder="1" applyAlignment="1">
      <alignment vertical="center"/>
    </xf>
    <xf numFmtId="41" fontId="3" fillId="8" borderId="68" xfId="0" applyNumberFormat="1" applyFont="1" applyFill="1" applyBorder="1" applyAlignment="1">
      <alignment vertical="center"/>
    </xf>
    <xf numFmtId="41" fontId="3" fillId="8" borderId="3" xfId="0" applyNumberFormat="1" applyFont="1" applyFill="1" applyBorder="1" applyAlignment="1">
      <alignment vertical="center"/>
    </xf>
    <xf numFmtId="41" fontId="3" fillId="8" borderId="6" xfId="0" applyNumberFormat="1" applyFont="1" applyFill="1" applyBorder="1" applyAlignment="1">
      <alignment horizontal="center" vertical="center"/>
    </xf>
    <xf numFmtId="41" fontId="3" fillId="8" borderId="54" xfId="0" applyNumberFormat="1" applyFont="1" applyFill="1" applyBorder="1" applyAlignment="1">
      <alignment vertical="center"/>
    </xf>
    <xf numFmtId="41" fontId="3" fillId="8" borderId="5" xfId="0" applyNumberFormat="1" applyFont="1" applyFill="1" applyBorder="1" applyAlignment="1">
      <alignment vertical="center"/>
    </xf>
    <xf numFmtId="41" fontId="3" fillId="8" borderId="7" xfId="0" applyNumberFormat="1" applyFont="1" applyFill="1" applyBorder="1" applyAlignment="1">
      <alignment vertical="center"/>
    </xf>
    <xf numFmtId="41" fontId="28" fillId="3" borderId="0" xfId="0" applyNumberFormat="1" applyFont="1" applyFill="1" applyAlignment="1">
      <alignment horizontal="center" vertical="center"/>
    </xf>
    <xf numFmtId="41" fontId="28" fillId="3" borderId="0" xfId="0" applyNumberFormat="1" applyFont="1" applyFill="1" applyAlignment="1">
      <alignment vertical="center"/>
    </xf>
    <xf numFmtId="182" fontId="25" fillId="3" borderId="0" xfId="0" applyNumberFormat="1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41" fontId="5" fillId="2" borderId="57" xfId="0" applyNumberFormat="1" applyFont="1" applyFill="1" applyBorder="1" applyAlignment="1">
      <alignment horizontal="center" vertical="center"/>
    </xf>
    <xf numFmtId="177" fontId="5" fillId="2" borderId="32" xfId="0" applyNumberFormat="1" applyFont="1" applyFill="1" applyBorder="1" applyAlignment="1">
      <alignment horizontal="center" vertical="center"/>
    </xf>
    <xf numFmtId="41" fontId="3" fillId="2" borderId="39" xfId="0" applyNumberFormat="1" applyFont="1" applyFill="1" applyBorder="1" applyAlignment="1">
      <alignment horizontal="center" vertical="center"/>
    </xf>
    <xf numFmtId="177" fontId="5" fillId="3" borderId="32" xfId="0" applyNumberFormat="1" applyFont="1" applyFill="1" applyBorder="1" applyAlignment="1">
      <alignment vertical="center"/>
    </xf>
    <xf numFmtId="177" fontId="5" fillId="3" borderId="116" xfId="0" applyNumberFormat="1" applyFont="1" applyFill="1" applyBorder="1" applyAlignment="1">
      <alignment vertical="center"/>
    </xf>
    <xf numFmtId="41" fontId="5" fillId="3" borderId="122" xfId="0" applyNumberFormat="1" applyFont="1" applyFill="1" applyBorder="1" applyAlignment="1">
      <alignment vertical="center"/>
    </xf>
    <xf numFmtId="41" fontId="5" fillId="2" borderId="67" xfId="0" applyNumberFormat="1" applyFont="1" applyFill="1" applyBorder="1" applyAlignment="1">
      <alignment horizontal="left" vertical="center"/>
    </xf>
    <xf numFmtId="177" fontId="5" fillId="2" borderId="39" xfId="0" applyNumberFormat="1" applyFont="1" applyFill="1" applyBorder="1" applyAlignment="1">
      <alignment horizontal="center" vertical="center"/>
    </xf>
    <xf numFmtId="41" fontId="3" fillId="2" borderId="68" xfId="0" applyNumberFormat="1" applyFont="1" applyFill="1" applyBorder="1" applyAlignment="1">
      <alignment horizontal="center" vertical="center"/>
    </xf>
    <xf numFmtId="41" fontId="3" fillId="2" borderId="2" xfId="0" applyNumberFormat="1" applyFont="1" applyFill="1" applyBorder="1" applyAlignment="1">
      <alignment vertical="center"/>
    </xf>
    <xf numFmtId="41" fontId="3" fillId="2" borderId="68" xfId="0" applyNumberFormat="1" applyFont="1" applyFill="1" applyBorder="1" applyAlignment="1">
      <alignment vertical="center"/>
    </xf>
    <xf numFmtId="41" fontId="3" fillId="2" borderId="6" xfId="0" applyNumberFormat="1" applyFont="1" applyFill="1" applyBorder="1" applyAlignment="1">
      <alignment horizontal="center" vertical="center"/>
    </xf>
    <xf numFmtId="41" fontId="7" fillId="8" borderId="6" xfId="0" applyNumberFormat="1" applyFont="1" applyFill="1" applyBorder="1" applyAlignment="1">
      <alignment vertical="center"/>
    </xf>
    <xf numFmtId="41" fontId="7" fillId="8" borderId="2" xfId="0" applyNumberFormat="1" applyFont="1" applyFill="1" applyBorder="1" applyAlignment="1">
      <alignment vertical="center"/>
    </xf>
    <xf numFmtId="41" fontId="7" fillId="8" borderId="68" xfId="0" applyNumberFormat="1" applyFont="1" applyFill="1" applyBorder="1" applyAlignment="1">
      <alignment vertical="center"/>
    </xf>
    <xf numFmtId="41" fontId="7" fillId="8" borderId="3" xfId="0" applyNumberFormat="1" applyFont="1" applyFill="1" applyBorder="1" applyAlignment="1">
      <alignment vertical="center"/>
    </xf>
    <xf numFmtId="41" fontId="7" fillId="8" borderId="6" xfId="0" applyNumberFormat="1" applyFont="1" applyFill="1" applyBorder="1" applyAlignment="1">
      <alignment horizontal="center" vertical="center"/>
    </xf>
    <xf numFmtId="41" fontId="29" fillId="8" borderId="54" xfId="0" applyNumberFormat="1" applyFont="1" applyFill="1" applyBorder="1" applyAlignment="1">
      <alignment vertical="center"/>
    </xf>
    <xf numFmtId="41" fontId="7" fillId="8" borderId="5" xfId="0" applyNumberFormat="1" applyFont="1" applyFill="1" applyBorder="1" applyAlignment="1">
      <alignment vertical="center"/>
    </xf>
    <xf numFmtId="41" fontId="7" fillId="8" borderId="54" xfId="0" applyNumberFormat="1" applyFont="1" applyFill="1" applyBorder="1" applyAlignment="1">
      <alignment vertical="center"/>
    </xf>
    <xf numFmtId="41" fontId="7" fillId="3" borderId="68" xfId="0" applyNumberFormat="1" applyFont="1" applyFill="1" applyBorder="1" applyAlignment="1">
      <alignment horizontal="center" vertical="center"/>
    </xf>
    <xf numFmtId="41" fontId="7" fillId="3" borderId="68" xfId="0" applyNumberFormat="1" applyFont="1" applyFill="1" applyBorder="1" applyAlignment="1">
      <alignment vertical="center"/>
    </xf>
    <xf numFmtId="41" fontId="29" fillId="3" borderId="68" xfId="0" applyNumberFormat="1" applyFont="1" applyFill="1" applyBorder="1" applyAlignment="1">
      <alignment vertical="center"/>
    </xf>
    <xf numFmtId="41" fontId="3" fillId="5" borderId="6" xfId="0" applyNumberFormat="1" applyFont="1" applyFill="1" applyBorder="1" applyAlignment="1">
      <alignment vertical="center"/>
    </xf>
    <xf numFmtId="41" fontId="3" fillId="5" borderId="2" xfId="0" applyNumberFormat="1" applyFont="1" applyFill="1" applyBorder="1" applyAlignment="1">
      <alignment vertical="center"/>
    </xf>
    <xf numFmtId="41" fontId="3" fillId="5" borderId="68" xfId="0" applyNumberFormat="1" applyFont="1" applyFill="1" applyBorder="1" applyAlignment="1">
      <alignment vertical="center"/>
    </xf>
    <xf numFmtId="41" fontId="3" fillId="5" borderId="3" xfId="0" applyNumberFormat="1" applyFont="1" applyFill="1" applyBorder="1" applyAlignment="1">
      <alignment vertical="center"/>
    </xf>
    <xf numFmtId="41" fontId="3" fillId="5" borderId="6" xfId="0" applyNumberFormat="1" applyFont="1" applyFill="1" applyBorder="1" applyAlignment="1">
      <alignment horizontal="center" vertical="center"/>
    </xf>
    <xf numFmtId="41" fontId="3" fillId="5" borderId="54" xfId="0" applyNumberFormat="1" applyFont="1" applyFill="1" applyBorder="1" applyAlignment="1">
      <alignment vertical="center"/>
    </xf>
    <xf numFmtId="41" fontId="3" fillId="5" borderId="5" xfId="0" applyNumberFormat="1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6" fontId="7" fillId="2" borderId="54" xfId="0" applyNumberFormat="1" applyFont="1" applyFill="1" applyBorder="1" applyAlignment="1">
      <alignment horizontal="center" vertical="center"/>
    </xf>
    <xf numFmtId="0" fontId="31" fillId="9" borderId="73" xfId="0" applyFont="1" applyFill="1" applyBorder="1" applyAlignment="1">
      <alignment horizontal="center" vertical="center"/>
    </xf>
    <xf numFmtId="0" fontId="31" fillId="9" borderId="74" xfId="0" applyFont="1" applyFill="1" applyBorder="1" applyAlignment="1">
      <alignment vertical="center"/>
    </xf>
    <xf numFmtId="0" fontId="31" fillId="10" borderId="91" xfId="0" applyFont="1" applyFill="1" applyBorder="1" applyAlignment="1">
      <alignment horizontal="center" vertical="center"/>
    </xf>
    <xf numFmtId="0" fontId="31" fillId="10" borderId="91" xfId="0" applyFont="1" applyFill="1" applyBorder="1" applyAlignment="1">
      <alignment horizontal="left" vertical="center"/>
    </xf>
    <xf numFmtId="184" fontId="31" fillId="10" borderId="91" xfId="0" applyNumberFormat="1" applyFont="1" applyFill="1" applyBorder="1" applyAlignment="1">
      <alignment horizontal="center" vertical="center"/>
    </xf>
    <xf numFmtId="0" fontId="31" fillId="10" borderId="93" xfId="0" applyFont="1" applyFill="1" applyBorder="1" applyAlignment="1">
      <alignment horizontal="center" vertical="center"/>
    </xf>
    <xf numFmtId="184" fontId="31" fillId="10" borderId="127" xfId="0" applyNumberFormat="1" applyFont="1" applyFill="1" applyBorder="1" applyAlignment="1">
      <alignment horizontal="center" vertical="center"/>
    </xf>
    <xf numFmtId="41" fontId="8" fillId="0" borderId="96" xfId="0" applyNumberFormat="1" applyFont="1" applyBorder="1" applyAlignment="1">
      <alignment vertical="center"/>
    </xf>
    <xf numFmtId="41" fontId="8" fillId="0" borderId="92" xfId="0" applyNumberFormat="1" applyFont="1" applyBorder="1" applyAlignment="1">
      <alignment vertical="center"/>
    </xf>
    <xf numFmtId="41" fontId="8" fillId="0" borderId="124" xfId="0" applyNumberFormat="1" applyFont="1" applyBorder="1" applyAlignment="1">
      <alignment vertical="center"/>
    </xf>
    <xf numFmtId="41" fontId="8" fillId="0" borderId="125" xfId="0" applyNumberFormat="1" applyFont="1" applyBorder="1" applyAlignment="1">
      <alignment vertical="center"/>
    </xf>
    <xf numFmtId="41" fontId="8" fillId="0" borderId="95" xfId="0" applyNumberFormat="1" applyFont="1" applyBorder="1" applyAlignment="1">
      <alignment vertical="center"/>
    </xf>
    <xf numFmtId="41" fontId="7" fillId="11" borderId="127" xfId="0" applyNumberFormat="1" applyFont="1" applyFill="1" applyBorder="1" applyAlignment="1">
      <alignment vertical="center"/>
    </xf>
    <xf numFmtId="41" fontId="31" fillId="9" borderId="19" xfId="0" applyNumberFormat="1" applyFont="1" applyFill="1" applyBorder="1" applyAlignment="1">
      <alignment vertical="center"/>
    </xf>
    <xf numFmtId="184" fontId="5" fillId="0" borderId="0" xfId="0" applyNumberFormat="1" applyFont="1" applyAlignment="1">
      <alignment vertical="center"/>
    </xf>
    <xf numFmtId="176" fontId="7" fillId="11" borderId="127" xfId="0" applyNumberFormat="1" applyFont="1" applyFill="1" applyBorder="1" applyAlignment="1">
      <alignment horizontal="right" vertical="center"/>
    </xf>
    <xf numFmtId="0" fontId="31" fillId="12" borderId="91" xfId="0" applyFont="1" applyFill="1" applyBorder="1" applyAlignment="1">
      <alignment horizontal="center" vertical="center"/>
    </xf>
    <xf numFmtId="0" fontId="31" fillId="12" borderId="91" xfId="0" applyFont="1" applyFill="1" applyBorder="1" applyAlignment="1">
      <alignment horizontal="left" vertical="center"/>
    </xf>
    <xf numFmtId="184" fontId="3" fillId="12" borderId="91" xfId="0" applyNumberFormat="1" applyFont="1" applyFill="1" applyBorder="1" applyAlignment="1">
      <alignment vertical="center"/>
    </xf>
    <xf numFmtId="0" fontId="3" fillId="12" borderId="93" xfId="0" applyFont="1" applyFill="1" applyBorder="1" applyAlignment="1">
      <alignment horizontal="center" vertical="center"/>
    </xf>
    <xf numFmtId="184" fontId="3" fillId="12" borderId="127" xfId="0" applyNumberFormat="1" applyFont="1" applyFill="1" applyBorder="1" applyAlignment="1">
      <alignment horizontal="center" vertical="center"/>
    </xf>
    <xf numFmtId="41" fontId="8" fillId="4" borderId="96" xfId="0" applyNumberFormat="1" applyFont="1" applyFill="1" applyBorder="1" applyAlignment="1">
      <alignment vertical="center"/>
    </xf>
    <xf numFmtId="41" fontId="8" fillId="4" borderId="92" xfId="0" applyNumberFormat="1" applyFont="1" applyFill="1" applyBorder="1" applyAlignment="1">
      <alignment vertical="center"/>
    </xf>
    <xf numFmtId="41" fontId="8" fillId="4" borderId="95" xfId="0" applyNumberFormat="1" applyFont="1" applyFill="1" applyBorder="1" applyAlignment="1">
      <alignment vertical="center"/>
    </xf>
    <xf numFmtId="41" fontId="8" fillId="4" borderId="91" xfId="0" applyNumberFormat="1" applyFont="1" applyFill="1" applyBorder="1" applyAlignment="1">
      <alignment vertical="center"/>
    </xf>
    <xf numFmtId="41" fontId="8" fillId="4" borderId="93" xfId="0" applyNumberFormat="1" applyFont="1" applyFill="1" applyBorder="1" applyAlignment="1">
      <alignment vertical="center"/>
    </xf>
    <xf numFmtId="41" fontId="8" fillId="4" borderId="94" xfId="0" applyNumberFormat="1" applyFont="1" applyFill="1" applyBorder="1" applyAlignment="1">
      <alignment vertical="center"/>
    </xf>
    <xf numFmtId="0" fontId="31" fillId="9" borderId="0" xfId="0" applyFont="1" applyFill="1" applyAlignment="1">
      <alignment vertical="center"/>
    </xf>
    <xf numFmtId="0" fontId="31" fillId="11" borderId="77" xfId="0" applyFont="1" applyFill="1" applyBorder="1" applyAlignment="1">
      <alignment horizontal="center" vertical="center"/>
    </xf>
    <xf numFmtId="0" fontId="3" fillId="11" borderId="92" xfId="0" applyFont="1" applyFill="1" applyBorder="1" applyAlignment="1">
      <alignment horizontal="left" vertical="center" wrapText="1"/>
    </xf>
    <xf numFmtId="184" fontId="3" fillId="11" borderId="91" xfId="0" applyNumberFormat="1" applyFont="1" applyFill="1" applyBorder="1" applyAlignment="1">
      <alignment vertical="center"/>
    </xf>
    <xf numFmtId="0" fontId="3" fillId="11" borderId="93" xfId="0" applyFont="1" applyFill="1" applyBorder="1" applyAlignment="1">
      <alignment horizontal="center" vertical="center"/>
    </xf>
    <xf numFmtId="184" fontId="3" fillId="11" borderId="127" xfId="0" applyNumberFormat="1" applyFont="1" applyFill="1" applyBorder="1" applyAlignment="1">
      <alignment horizontal="center" vertical="center"/>
    </xf>
    <xf numFmtId="41" fontId="8" fillId="0" borderId="15" xfId="0" applyNumberFormat="1" applyFont="1" applyBorder="1" applyAlignment="1">
      <alignment vertical="center"/>
    </xf>
    <xf numFmtId="41" fontId="8" fillId="0" borderId="17" xfId="0" applyNumberFormat="1" applyFont="1" applyBorder="1" applyAlignment="1">
      <alignment vertical="center"/>
    </xf>
    <xf numFmtId="41" fontId="8" fillId="0" borderId="122" xfId="0" applyNumberFormat="1" applyFont="1" applyBorder="1" applyAlignment="1">
      <alignment vertical="center"/>
    </xf>
    <xf numFmtId="41" fontId="8" fillId="0" borderId="74" xfId="0" applyNumberFormat="1" applyFont="1" applyBorder="1" applyAlignment="1">
      <alignment vertical="center"/>
    </xf>
    <xf numFmtId="41" fontId="8" fillId="0" borderId="16" xfId="0" applyNumberFormat="1" applyFont="1" applyBorder="1" applyAlignment="1">
      <alignment vertical="center"/>
    </xf>
    <xf numFmtId="41" fontId="8" fillId="0" borderId="91" xfId="0" applyNumberFormat="1" applyFont="1" applyBorder="1" applyAlignment="1">
      <alignment vertical="center"/>
    </xf>
    <xf numFmtId="41" fontId="8" fillId="0" borderId="14" xfId="0" applyNumberFormat="1" applyFont="1" applyBorder="1" applyAlignment="1">
      <alignment vertical="center"/>
    </xf>
    <xf numFmtId="0" fontId="31" fillId="9" borderId="21" xfId="0" applyFont="1" applyFill="1" applyBorder="1" applyAlignment="1">
      <alignment vertical="center"/>
    </xf>
    <xf numFmtId="0" fontId="31" fillId="11" borderId="75" xfId="0" applyFont="1" applyFill="1" applyBorder="1" applyAlignment="1">
      <alignment horizontal="center" vertical="center"/>
    </xf>
    <xf numFmtId="41" fontId="8" fillId="0" borderId="93" xfId="0" applyNumberFormat="1" applyFont="1" applyBorder="1" applyAlignment="1">
      <alignment vertical="center"/>
    </xf>
    <xf numFmtId="41" fontId="8" fillId="0" borderId="94" xfId="0" applyNumberFormat="1" applyFont="1" applyBorder="1" applyAlignment="1">
      <alignment vertical="center"/>
    </xf>
    <xf numFmtId="0" fontId="31" fillId="9" borderId="97" xfId="0" applyFont="1" applyFill="1" applyBorder="1" applyAlignment="1">
      <alignment vertical="center"/>
    </xf>
    <xf numFmtId="0" fontId="31" fillId="9" borderId="51" xfId="0" applyFont="1" applyFill="1" applyBorder="1" applyAlignment="1">
      <alignment vertical="center"/>
    </xf>
    <xf numFmtId="0" fontId="31" fillId="9" borderId="44" xfId="0" applyFont="1" applyFill="1" applyBorder="1" applyAlignment="1">
      <alignment vertical="center"/>
    </xf>
    <xf numFmtId="0" fontId="31" fillId="9" borderId="44" xfId="0" applyFont="1" applyFill="1" applyBorder="1" applyAlignment="1">
      <alignment horizontal="center" vertical="center"/>
    </xf>
    <xf numFmtId="184" fontId="32" fillId="9" borderId="42" xfId="0" applyNumberFormat="1" applyFont="1" applyFill="1" applyBorder="1" applyAlignment="1">
      <alignment vertical="center"/>
    </xf>
    <xf numFmtId="41" fontId="32" fillId="11" borderId="43" xfId="0" applyNumberFormat="1" applyFont="1" applyFill="1" applyBorder="1" applyAlignment="1">
      <alignment horizontal="center" vertical="center"/>
    </xf>
    <xf numFmtId="41" fontId="32" fillId="11" borderId="47" xfId="0" applyNumberFormat="1" applyFont="1" applyFill="1" applyBorder="1" applyAlignment="1">
      <alignment horizontal="center" vertical="center"/>
    </xf>
    <xf numFmtId="41" fontId="8" fillId="11" borderId="44" xfId="0" applyNumberFormat="1" applyFont="1" applyFill="1" applyBorder="1" applyAlignment="1">
      <alignment vertical="center"/>
    </xf>
    <xf numFmtId="41" fontId="8" fillId="11" borderId="42" xfId="0" applyNumberFormat="1" applyFont="1" applyFill="1" applyBorder="1" applyAlignment="1">
      <alignment vertical="center"/>
    </xf>
    <xf numFmtId="41" fontId="8" fillId="11" borderId="45" xfId="0" applyNumberFormat="1" applyFont="1" applyFill="1" applyBorder="1" applyAlignment="1">
      <alignment vertical="center"/>
    </xf>
    <xf numFmtId="41" fontId="8" fillId="11" borderId="41" xfId="0" applyNumberFormat="1" applyFont="1" applyFill="1" applyBorder="1" applyAlignment="1">
      <alignment vertical="center"/>
    </xf>
    <xf numFmtId="41" fontId="8" fillId="11" borderId="43" xfId="0" applyNumberFormat="1" applyFont="1" applyFill="1" applyBorder="1" applyAlignment="1">
      <alignment vertical="center"/>
    </xf>
    <xf numFmtId="41" fontId="8" fillId="11" borderId="46" xfId="0" applyNumberFormat="1" applyFont="1" applyFill="1" applyBorder="1" applyAlignment="1">
      <alignment vertical="center"/>
    </xf>
    <xf numFmtId="41" fontId="7" fillId="11" borderId="47" xfId="0" applyNumberFormat="1" applyFont="1" applyFill="1" applyBorder="1" applyAlignment="1">
      <alignment vertical="center"/>
    </xf>
    <xf numFmtId="41" fontId="7" fillId="9" borderId="33" xfId="0" applyNumberFormat="1" applyFont="1" applyFill="1" applyBorder="1" applyAlignment="1">
      <alignment vertical="center"/>
    </xf>
    <xf numFmtId="176" fontId="7" fillId="11" borderId="47" xfId="0" applyNumberFormat="1" applyFont="1" applyFill="1" applyBorder="1" applyAlignment="1">
      <alignment horizontal="right" vertical="center"/>
    </xf>
    <xf numFmtId="0" fontId="31" fillId="9" borderId="73" xfId="0" applyFont="1" applyFill="1" applyBorder="1" applyAlignment="1">
      <alignment vertical="center"/>
    </xf>
    <xf numFmtId="0" fontId="31" fillId="9" borderId="74" xfId="0" applyFont="1" applyFill="1" applyBorder="1" applyAlignment="1">
      <alignment horizontal="left" vertical="center"/>
    </xf>
    <xf numFmtId="0" fontId="31" fillId="11" borderId="85" xfId="0" applyFont="1" applyFill="1" applyBorder="1" applyAlignment="1">
      <alignment horizontal="center" vertical="center"/>
    </xf>
    <xf numFmtId="0" fontId="3" fillId="13" borderId="85" xfId="0" applyFont="1" applyFill="1" applyBorder="1" applyAlignment="1">
      <alignment horizontal="left" vertical="center" wrapText="1"/>
    </xf>
    <xf numFmtId="184" fontId="3" fillId="2" borderId="85" xfId="0" applyNumberFormat="1" applyFont="1" applyFill="1" applyBorder="1" applyAlignment="1">
      <alignment vertical="center"/>
    </xf>
    <xf numFmtId="0" fontId="3" fillId="2" borderId="87" xfId="0" applyFont="1" applyFill="1" applyBorder="1" applyAlignment="1">
      <alignment horizontal="center" vertical="center"/>
    </xf>
    <xf numFmtId="184" fontId="3" fillId="2" borderId="107" xfId="0" applyNumberFormat="1" applyFont="1" applyFill="1" applyBorder="1" applyAlignment="1">
      <alignment horizontal="center" vertical="center"/>
    </xf>
    <xf numFmtId="41" fontId="8" fillId="14" borderId="90" xfId="0" applyNumberFormat="1" applyFont="1" applyFill="1" applyBorder="1" applyAlignment="1">
      <alignment vertical="center"/>
    </xf>
    <xf numFmtId="41" fontId="8" fillId="14" borderId="85" xfId="0" applyNumberFormat="1" applyFont="1" applyFill="1" applyBorder="1" applyAlignment="1">
      <alignment vertical="center"/>
    </xf>
    <xf numFmtId="41" fontId="8" fillId="14" borderId="105" xfId="0" applyNumberFormat="1" applyFont="1" applyFill="1" applyBorder="1" applyAlignment="1">
      <alignment vertical="center"/>
    </xf>
    <xf numFmtId="41" fontId="8" fillId="14" borderId="106" xfId="0" applyNumberFormat="1" applyFont="1" applyFill="1" applyBorder="1" applyAlignment="1">
      <alignment vertical="center"/>
    </xf>
    <xf numFmtId="41" fontId="8" fillId="14" borderId="87" xfId="0" applyNumberFormat="1" applyFont="1" applyFill="1" applyBorder="1" applyAlignment="1">
      <alignment vertical="center"/>
    </xf>
    <xf numFmtId="41" fontId="8" fillId="14" borderId="88" xfId="0" applyNumberFormat="1" applyFont="1" applyFill="1" applyBorder="1" applyAlignment="1">
      <alignment vertical="center"/>
    </xf>
    <xf numFmtId="41" fontId="8" fillId="14" borderId="86" xfId="0" applyNumberFormat="1" applyFont="1" applyFill="1" applyBorder="1" applyAlignment="1">
      <alignment vertical="center"/>
    </xf>
    <xf numFmtId="0" fontId="3" fillId="13" borderId="77" xfId="0" applyFont="1" applyFill="1" applyBorder="1" applyAlignment="1">
      <alignment horizontal="left" vertical="center" wrapText="1"/>
    </xf>
    <xf numFmtId="184" fontId="3" fillId="2" borderId="77" xfId="0" applyNumberFormat="1" applyFont="1" applyFill="1" applyBorder="1" applyAlignment="1">
      <alignment vertical="center"/>
    </xf>
    <xf numFmtId="0" fontId="3" fillId="2" borderId="128" xfId="0" applyFont="1" applyFill="1" applyBorder="1" applyAlignment="1">
      <alignment horizontal="center" vertical="center"/>
    </xf>
    <xf numFmtId="184" fontId="3" fillId="2" borderId="108" xfId="0" applyNumberFormat="1" applyFont="1" applyFill="1" applyBorder="1" applyAlignment="1">
      <alignment horizontal="center" vertical="center"/>
    </xf>
    <xf numFmtId="41" fontId="8" fillId="14" borderId="78" xfId="0" applyNumberFormat="1" applyFont="1" applyFill="1" applyBorder="1" applyAlignment="1">
      <alignment vertical="center"/>
    </xf>
    <xf numFmtId="41" fontId="8" fillId="14" borderId="77" xfId="0" applyNumberFormat="1" applyFont="1" applyFill="1" applyBorder="1" applyAlignment="1">
      <alignment vertical="center"/>
    </xf>
    <xf numFmtId="41" fontId="8" fillId="14" borderId="122" xfId="0" applyNumberFormat="1" applyFont="1" applyFill="1" applyBorder="1" applyAlignment="1">
      <alignment vertical="center"/>
    </xf>
    <xf numFmtId="41" fontId="8" fillId="14" borderId="123" xfId="0" applyNumberFormat="1" applyFont="1" applyFill="1" applyBorder="1" applyAlignment="1">
      <alignment vertical="center"/>
    </xf>
    <xf numFmtId="41" fontId="8" fillId="14" borderId="128" xfId="0" applyNumberFormat="1" applyFont="1" applyFill="1" applyBorder="1" applyAlignment="1">
      <alignment vertical="center"/>
    </xf>
    <xf numFmtId="41" fontId="8" fillId="14" borderId="120" xfId="0" applyNumberFormat="1" applyFont="1" applyFill="1" applyBorder="1" applyAlignment="1">
      <alignment vertical="center"/>
    </xf>
    <xf numFmtId="41" fontId="8" fillId="14" borderId="76" xfId="0" applyNumberFormat="1" applyFont="1" applyFill="1" applyBorder="1" applyAlignment="1">
      <alignment vertical="center"/>
    </xf>
    <xf numFmtId="41" fontId="31" fillId="11" borderId="19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84" fontId="5" fillId="2" borderId="0" xfId="0" applyNumberFormat="1" applyFont="1" applyFill="1" applyAlignment="1">
      <alignment vertical="center"/>
    </xf>
    <xf numFmtId="176" fontId="7" fillId="2" borderId="108" xfId="0" applyNumberFormat="1" applyFont="1" applyFill="1" applyBorder="1" applyAlignment="1">
      <alignment horizontal="right" vertical="center"/>
    </xf>
    <xf numFmtId="0" fontId="31" fillId="9" borderId="77" xfId="0" applyFont="1" applyFill="1" applyBorder="1" applyAlignment="1">
      <alignment horizontal="left" vertical="center"/>
    </xf>
    <xf numFmtId="0" fontId="31" fillId="11" borderId="91" xfId="0" applyFont="1" applyFill="1" applyBorder="1" applyAlignment="1">
      <alignment horizontal="center" vertical="center"/>
    </xf>
    <xf numFmtId="0" fontId="3" fillId="13" borderId="91" xfId="0" applyFont="1" applyFill="1" applyBorder="1" applyAlignment="1">
      <alignment horizontal="left" vertical="center" wrapText="1"/>
    </xf>
    <xf numFmtId="184" fontId="3" fillId="2" borderId="91" xfId="0" applyNumberFormat="1" applyFont="1" applyFill="1" applyBorder="1" applyAlignment="1">
      <alignment vertical="center"/>
    </xf>
    <xf numFmtId="0" fontId="3" fillId="2" borderId="93" xfId="0" applyFont="1" applyFill="1" applyBorder="1" applyAlignment="1">
      <alignment horizontal="center" vertical="center"/>
    </xf>
    <xf numFmtId="184" fontId="3" fillId="2" borderId="127" xfId="0" applyNumberFormat="1" applyFont="1" applyFill="1" applyBorder="1" applyAlignment="1">
      <alignment horizontal="center" vertical="center"/>
    </xf>
    <xf numFmtId="41" fontId="8" fillId="14" borderId="96" xfId="0" applyNumberFormat="1" applyFont="1" applyFill="1" applyBorder="1" applyAlignment="1">
      <alignment vertical="center"/>
    </xf>
    <xf numFmtId="41" fontId="8" fillId="14" borderId="92" xfId="0" applyNumberFormat="1" applyFont="1" applyFill="1" applyBorder="1" applyAlignment="1">
      <alignment vertical="center"/>
    </xf>
    <xf numFmtId="41" fontId="8" fillId="14" borderId="94" xfId="0" applyNumberFormat="1" applyFont="1" applyFill="1" applyBorder="1" applyAlignment="1">
      <alignment vertical="center"/>
    </xf>
    <xf numFmtId="41" fontId="8" fillId="14" borderId="91" xfId="0" applyNumberFormat="1" applyFont="1" applyFill="1" applyBorder="1" applyAlignment="1">
      <alignment vertical="center"/>
    </xf>
    <xf numFmtId="41" fontId="8" fillId="14" borderId="93" xfId="0" applyNumberFormat="1" applyFont="1" applyFill="1" applyBorder="1" applyAlignment="1">
      <alignment vertical="center"/>
    </xf>
    <xf numFmtId="41" fontId="8" fillId="14" borderId="95" xfId="0" applyNumberFormat="1" applyFont="1" applyFill="1" applyBorder="1" applyAlignment="1">
      <alignment vertical="center"/>
    </xf>
    <xf numFmtId="41" fontId="7" fillId="2" borderId="127" xfId="0" applyNumberFormat="1" applyFont="1" applyFill="1" applyBorder="1" applyAlignment="1">
      <alignment vertical="center"/>
    </xf>
    <xf numFmtId="176" fontId="7" fillId="2" borderId="127" xfId="0" applyNumberFormat="1" applyFont="1" applyFill="1" applyBorder="1" applyAlignment="1">
      <alignment horizontal="right" vertical="center"/>
    </xf>
    <xf numFmtId="0" fontId="3" fillId="15" borderId="91" xfId="0" applyFont="1" applyFill="1" applyBorder="1" applyAlignment="1">
      <alignment horizontal="left" vertical="center" wrapText="1"/>
    </xf>
    <xf numFmtId="184" fontId="3" fillId="4" borderId="91" xfId="0" applyNumberFormat="1" applyFont="1" applyFill="1" applyBorder="1" applyAlignment="1">
      <alignment vertical="center"/>
    </xf>
    <xf numFmtId="0" fontId="3" fillId="4" borderId="93" xfId="0" applyFont="1" applyFill="1" applyBorder="1" applyAlignment="1">
      <alignment horizontal="center" vertical="center"/>
    </xf>
    <xf numFmtId="184" fontId="3" fillId="4" borderId="127" xfId="0" applyNumberFormat="1" applyFont="1" applyFill="1" applyBorder="1" applyAlignment="1">
      <alignment horizontal="center" vertical="center"/>
    </xf>
    <xf numFmtId="41" fontId="8" fillId="15" borderId="96" xfId="0" applyNumberFormat="1" applyFont="1" applyFill="1" applyBorder="1" applyAlignment="1">
      <alignment vertical="center"/>
    </xf>
    <xf numFmtId="41" fontId="8" fillId="15" borderId="92" xfId="0" applyNumberFormat="1" applyFont="1" applyFill="1" applyBorder="1" applyAlignment="1">
      <alignment vertical="center"/>
    </xf>
    <xf numFmtId="41" fontId="8" fillId="15" borderId="94" xfId="0" applyNumberFormat="1" applyFont="1" applyFill="1" applyBorder="1" applyAlignment="1">
      <alignment vertical="center"/>
    </xf>
    <xf numFmtId="41" fontId="8" fillId="15" borderId="91" xfId="0" applyNumberFormat="1" applyFont="1" applyFill="1" applyBorder="1" applyAlignment="1">
      <alignment vertical="center"/>
    </xf>
    <xf numFmtId="41" fontId="8" fillId="15" borderId="93" xfId="0" applyNumberFormat="1" applyFont="1" applyFill="1" applyBorder="1" applyAlignment="1">
      <alignment vertical="center"/>
    </xf>
    <xf numFmtId="41" fontId="8" fillId="15" borderId="95" xfId="0" applyNumberFormat="1" applyFont="1" applyFill="1" applyBorder="1" applyAlignment="1">
      <alignment vertical="center"/>
    </xf>
    <xf numFmtId="0" fontId="31" fillId="12" borderId="77" xfId="0" applyFont="1" applyFill="1" applyBorder="1" applyAlignment="1">
      <alignment horizontal="center" vertical="center"/>
    </xf>
    <xf numFmtId="0" fontId="3" fillId="12" borderId="77" xfId="0" applyFont="1" applyFill="1" applyBorder="1" applyAlignment="1">
      <alignment horizontal="left" vertical="center" wrapText="1"/>
    </xf>
    <xf numFmtId="184" fontId="3" fillId="12" borderId="77" xfId="0" applyNumberFormat="1" applyFont="1" applyFill="1" applyBorder="1" applyAlignment="1">
      <alignment vertical="center"/>
    </xf>
    <xf numFmtId="0" fontId="3" fillId="12" borderId="128" xfId="0" applyFont="1" applyFill="1" applyBorder="1" applyAlignment="1">
      <alignment horizontal="center" vertical="center"/>
    </xf>
    <xf numFmtId="184" fontId="3" fillId="12" borderId="108" xfId="0" applyNumberFormat="1" applyFont="1" applyFill="1" applyBorder="1" applyAlignment="1">
      <alignment horizontal="center" vertical="center"/>
    </xf>
    <xf numFmtId="41" fontId="8" fillId="15" borderId="78" xfId="0" applyNumberFormat="1" applyFont="1" applyFill="1" applyBorder="1" applyAlignment="1">
      <alignment vertical="center"/>
    </xf>
    <xf numFmtId="41" fontId="8" fillId="15" borderId="76" xfId="0" applyNumberFormat="1" applyFont="1" applyFill="1" applyBorder="1" applyAlignment="1">
      <alignment vertical="center"/>
    </xf>
    <xf numFmtId="41" fontId="8" fillId="15" borderId="120" xfId="0" applyNumberFormat="1" applyFont="1" applyFill="1" applyBorder="1" applyAlignment="1">
      <alignment vertical="center"/>
    </xf>
    <xf numFmtId="41" fontId="8" fillId="15" borderId="77" xfId="0" applyNumberFormat="1" applyFont="1" applyFill="1" applyBorder="1" applyAlignment="1">
      <alignment vertical="center"/>
    </xf>
    <xf numFmtId="41" fontId="8" fillId="15" borderId="128" xfId="0" applyNumberFormat="1" applyFont="1" applyFill="1" applyBorder="1" applyAlignment="1">
      <alignment vertical="center"/>
    </xf>
    <xf numFmtId="41" fontId="8" fillId="15" borderId="121" xfId="0" applyNumberFormat="1" applyFont="1" applyFill="1" applyBorder="1" applyAlignment="1">
      <alignment vertical="center"/>
    </xf>
    <xf numFmtId="0" fontId="3" fillId="10" borderId="91" xfId="0" applyFont="1" applyFill="1" applyBorder="1" applyAlignment="1">
      <alignment horizontal="left" vertical="center" wrapText="1"/>
    </xf>
    <xf numFmtId="184" fontId="3" fillId="10" borderId="91" xfId="0" applyNumberFormat="1" applyFont="1" applyFill="1" applyBorder="1" applyAlignment="1">
      <alignment vertical="center"/>
    </xf>
    <xf numFmtId="0" fontId="3" fillId="10" borderId="93" xfId="0" applyFont="1" applyFill="1" applyBorder="1" applyAlignment="1">
      <alignment horizontal="center" vertical="center"/>
    </xf>
    <xf numFmtId="184" fontId="3" fillId="10" borderId="127" xfId="0" applyNumberFormat="1" applyFont="1" applyFill="1" applyBorder="1" applyAlignment="1">
      <alignment horizontal="center" vertical="center"/>
    </xf>
    <xf numFmtId="41" fontId="8" fillId="14" borderId="124" xfId="0" applyNumberFormat="1" applyFont="1" applyFill="1" applyBorder="1" applyAlignment="1">
      <alignment vertical="center"/>
    </xf>
    <xf numFmtId="41" fontId="8" fillId="14" borderId="125" xfId="0" applyNumberFormat="1" applyFont="1" applyFill="1" applyBorder="1" applyAlignment="1">
      <alignment vertical="center"/>
    </xf>
    <xf numFmtId="0" fontId="31" fillId="10" borderId="75" xfId="0" applyFont="1" applyFill="1" applyBorder="1" applyAlignment="1">
      <alignment horizontal="center" vertical="center"/>
    </xf>
    <xf numFmtId="0" fontId="31" fillId="10" borderId="75" xfId="0" applyFont="1" applyFill="1" applyBorder="1" applyAlignment="1">
      <alignment horizontal="left" vertical="center"/>
    </xf>
    <xf numFmtId="184" fontId="31" fillId="10" borderId="75" xfId="0" applyNumberFormat="1" applyFont="1" applyFill="1" applyBorder="1" applyAlignment="1">
      <alignment vertical="center"/>
    </xf>
    <xf numFmtId="0" fontId="31" fillId="10" borderId="129" xfId="0" applyFont="1" applyFill="1" applyBorder="1" applyAlignment="1">
      <alignment horizontal="center" vertical="center"/>
    </xf>
    <xf numFmtId="184" fontId="31" fillId="10" borderId="83" xfId="0" applyNumberFormat="1" applyFont="1" applyFill="1" applyBorder="1" applyAlignment="1">
      <alignment horizontal="center" vertical="center"/>
    </xf>
    <xf numFmtId="41" fontId="8" fillId="14" borderId="81" xfId="0" applyNumberFormat="1" applyFont="1" applyFill="1" applyBorder="1" applyAlignment="1">
      <alignment vertical="center"/>
    </xf>
    <xf numFmtId="41" fontId="8" fillId="14" borderId="130" xfId="0" applyNumberFormat="1" applyFont="1" applyFill="1" applyBorder="1" applyAlignment="1">
      <alignment vertical="center"/>
    </xf>
    <xf numFmtId="41" fontId="8" fillId="14" borderId="80" xfId="0" applyNumberFormat="1" applyFont="1" applyFill="1" applyBorder="1" applyAlignment="1">
      <alignment vertical="center"/>
    </xf>
    <xf numFmtId="41" fontId="8" fillId="14" borderId="129" xfId="0" applyNumberFormat="1" applyFont="1" applyFill="1" applyBorder="1" applyAlignment="1">
      <alignment vertical="center"/>
    </xf>
    <xf numFmtId="41" fontId="8" fillId="14" borderId="75" xfId="0" applyNumberFormat="1" applyFont="1" applyFill="1" applyBorder="1" applyAlignment="1">
      <alignment vertical="center"/>
    </xf>
    <xf numFmtId="41" fontId="8" fillId="14" borderId="82" xfId="0" applyNumberFormat="1" applyFont="1" applyFill="1" applyBorder="1" applyAlignment="1">
      <alignment vertical="center"/>
    </xf>
    <xf numFmtId="41" fontId="8" fillId="14" borderId="79" xfId="0" applyNumberFormat="1" applyFont="1" applyFill="1" applyBorder="1" applyAlignment="1">
      <alignment vertical="center"/>
    </xf>
    <xf numFmtId="176" fontId="7" fillId="2" borderId="83" xfId="0" applyNumberFormat="1" applyFont="1" applyFill="1" applyBorder="1" applyAlignment="1">
      <alignment horizontal="right" vertical="center"/>
    </xf>
    <xf numFmtId="0" fontId="31" fillId="9" borderId="58" xfId="0" applyFont="1" applyFill="1" applyBorder="1" applyAlignment="1">
      <alignment horizontal="left" vertical="center"/>
    </xf>
    <xf numFmtId="0" fontId="31" fillId="12" borderId="131" xfId="0" applyFont="1" applyFill="1" applyBorder="1" applyAlignment="1">
      <alignment horizontal="center" vertical="center"/>
    </xf>
    <xf numFmtId="0" fontId="3" fillId="12" borderId="131" xfId="0" applyFont="1" applyFill="1" applyBorder="1" applyAlignment="1">
      <alignment horizontal="left" vertical="center" wrapText="1"/>
    </xf>
    <xf numFmtId="184" fontId="3" fillId="12" borderId="131" xfId="0" applyNumberFormat="1" applyFont="1" applyFill="1" applyBorder="1" applyAlignment="1">
      <alignment vertical="center"/>
    </xf>
    <xf numFmtId="0" fontId="3" fillId="12" borderId="132" xfId="0" applyFont="1" applyFill="1" applyBorder="1" applyAlignment="1">
      <alignment horizontal="center" vertical="center"/>
    </xf>
    <xf numFmtId="184" fontId="3" fillId="12" borderId="133" xfId="0" applyNumberFormat="1" applyFont="1" applyFill="1" applyBorder="1" applyAlignment="1">
      <alignment horizontal="center" vertical="center"/>
    </xf>
    <xf numFmtId="41" fontId="8" fillId="15" borderId="134" xfId="0" applyNumberFormat="1" applyFont="1" applyFill="1" applyBorder="1" applyAlignment="1">
      <alignment vertical="center"/>
    </xf>
    <xf numFmtId="41" fontId="8" fillId="15" borderId="135" xfId="0" applyNumberFormat="1" applyFont="1" applyFill="1" applyBorder="1" applyAlignment="1">
      <alignment vertical="center"/>
    </xf>
    <xf numFmtId="41" fontId="8" fillId="15" borderId="136" xfId="0" applyNumberFormat="1" applyFont="1" applyFill="1" applyBorder="1" applyAlignment="1">
      <alignment vertical="center"/>
    </xf>
    <xf numFmtId="41" fontId="8" fillId="15" borderId="137" xfId="0" applyNumberFormat="1" applyFont="1" applyFill="1" applyBorder="1" applyAlignment="1">
      <alignment vertical="center"/>
    </xf>
    <xf numFmtId="41" fontId="8" fillId="15" borderId="132" xfId="0" applyNumberFormat="1" applyFont="1" applyFill="1" applyBorder="1" applyAlignment="1">
      <alignment vertical="center"/>
    </xf>
    <xf numFmtId="41" fontId="8" fillId="15" borderId="138" xfId="0" applyNumberFormat="1" applyFont="1" applyFill="1" applyBorder="1" applyAlignment="1">
      <alignment vertical="center"/>
    </xf>
    <xf numFmtId="41" fontId="8" fillId="15" borderId="131" xfId="0" applyNumberFormat="1" applyFont="1" applyFill="1" applyBorder="1" applyAlignment="1">
      <alignment vertical="center"/>
    </xf>
    <xf numFmtId="41" fontId="8" fillId="15" borderId="139" xfId="0" applyNumberFormat="1" applyFont="1" applyFill="1" applyBorder="1" applyAlignment="1">
      <alignment vertical="center"/>
    </xf>
    <xf numFmtId="41" fontId="7" fillId="2" borderId="133" xfId="0" applyNumberFormat="1" applyFont="1" applyFill="1" applyBorder="1" applyAlignment="1">
      <alignment vertical="center"/>
    </xf>
    <xf numFmtId="176" fontId="7" fillId="2" borderId="133" xfId="0" applyNumberFormat="1" applyFont="1" applyFill="1" applyBorder="1" applyAlignment="1">
      <alignment horizontal="right" vertical="center"/>
    </xf>
    <xf numFmtId="0" fontId="3" fillId="13" borderId="92" xfId="0" applyFont="1" applyFill="1" applyBorder="1" applyAlignment="1">
      <alignment horizontal="left" vertical="center" wrapText="1"/>
    </xf>
    <xf numFmtId="0" fontId="31" fillId="16" borderId="91" xfId="0" applyFont="1" applyFill="1" applyBorder="1" applyAlignment="1">
      <alignment horizontal="center" vertical="center"/>
    </xf>
    <xf numFmtId="0" fontId="3" fillId="17" borderId="92" xfId="0" applyFont="1" applyFill="1" applyBorder="1" applyAlignment="1">
      <alignment horizontal="left" vertical="center" wrapText="1"/>
    </xf>
    <xf numFmtId="184" fontId="3" fillId="18" borderId="91" xfId="0" applyNumberFormat="1" applyFont="1" applyFill="1" applyBorder="1" applyAlignment="1">
      <alignment vertical="center"/>
    </xf>
    <xf numFmtId="0" fontId="3" fillId="18" borderId="93" xfId="0" applyFont="1" applyFill="1" applyBorder="1" applyAlignment="1">
      <alignment horizontal="center" vertical="center"/>
    </xf>
    <xf numFmtId="184" fontId="3" fillId="18" borderId="127" xfId="0" applyNumberFormat="1" applyFont="1" applyFill="1" applyBorder="1" applyAlignment="1">
      <alignment horizontal="center" vertical="center"/>
    </xf>
    <xf numFmtId="41" fontId="8" fillId="17" borderId="96" xfId="0" applyNumberFormat="1" applyFont="1" applyFill="1" applyBorder="1" applyAlignment="1">
      <alignment vertical="center"/>
    </xf>
    <xf numFmtId="41" fontId="8" fillId="17" borderId="92" xfId="0" applyNumberFormat="1" applyFont="1" applyFill="1" applyBorder="1" applyAlignment="1">
      <alignment vertical="center"/>
    </xf>
    <xf numFmtId="41" fontId="8" fillId="17" borderId="95" xfId="0" applyNumberFormat="1" applyFont="1" applyFill="1" applyBorder="1" applyAlignment="1">
      <alignment vertical="center"/>
    </xf>
    <xf numFmtId="41" fontId="8" fillId="17" borderId="94" xfId="0" applyNumberFormat="1" applyFont="1" applyFill="1" applyBorder="1" applyAlignment="1">
      <alignment vertical="center"/>
    </xf>
    <xf numFmtId="41" fontId="8" fillId="17" borderId="91" xfId="0" applyNumberFormat="1" applyFont="1" applyFill="1" applyBorder="1" applyAlignment="1">
      <alignment vertical="center"/>
    </xf>
    <xf numFmtId="41" fontId="10" fillId="2" borderId="0" xfId="0" applyNumberFormat="1" applyFont="1" applyFill="1" applyAlignment="1">
      <alignment vertical="center"/>
    </xf>
    <xf numFmtId="0" fontId="31" fillId="9" borderId="15" xfId="0" applyFont="1" applyFill="1" applyBorder="1" applyAlignment="1">
      <alignment horizontal="left" vertical="center"/>
    </xf>
    <xf numFmtId="41" fontId="8" fillId="14" borderId="121" xfId="0" applyNumberFormat="1" applyFont="1" applyFill="1" applyBorder="1" applyAlignment="1">
      <alignment vertical="center"/>
    </xf>
    <xf numFmtId="0" fontId="31" fillId="10" borderId="77" xfId="0" applyFont="1" applyFill="1" applyBorder="1" applyAlignment="1">
      <alignment horizontal="center" vertical="center"/>
    </xf>
    <xf numFmtId="0" fontId="3" fillId="19" borderId="76" xfId="0" applyFont="1" applyFill="1" applyBorder="1" applyAlignment="1">
      <alignment horizontal="left" vertical="center" wrapText="1"/>
    </xf>
    <xf numFmtId="184" fontId="3" fillId="20" borderId="77" xfId="0" applyNumberFormat="1" applyFont="1" applyFill="1" applyBorder="1" applyAlignment="1">
      <alignment vertical="center"/>
    </xf>
    <xf numFmtId="0" fontId="3" fillId="20" borderId="128" xfId="0" applyFont="1" applyFill="1" applyBorder="1" applyAlignment="1">
      <alignment horizontal="center" vertical="center"/>
    </xf>
    <xf numFmtId="184" fontId="3" fillId="20" borderId="108" xfId="0" applyNumberFormat="1" applyFont="1" applyFill="1" applyBorder="1" applyAlignment="1">
      <alignment horizontal="center" vertical="center"/>
    </xf>
    <xf numFmtId="41" fontId="31" fillId="11" borderId="16" xfId="0" applyNumberFormat="1" applyFont="1" applyFill="1" applyBorder="1" applyAlignment="1">
      <alignment vertical="center"/>
    </xf>
    <xf numFmtId="0" fontId="31" fillId="16" borderId="77" xfId="0" applyFont="1" applyFill="1" applyBorder="1" applyAlignment="1">
      <alignment horizontal="center" vertical="center"/>
    </xf>
    <xf numFmtId="0" fontId="3" fillId="17" borderId="76" xfId="0" applyFont="1" applyFill="1" applyBorder="1" applyAlignment="1">
      <alignment horizontal="left" vertical="center" wrapText="1"/>
    </xf>
    <xf numFmtId="184" fontId="3" fillId="18" borderId="77" xfId="0" applyNumberFormat="1" applyFont="1" applyFill="1" applyBorder="1" applyAlignment="1">
      <alignment vertical="center"/>
    </xf>
    <xf numFmtId="0" fontId="3" fillId="18" borderId="128" xfId="0" applyFont="1" applyFill="1" applyBorder="1" applyAlignment="1">
      <alignment horizontal="center" vertical="center"/>
    </xf>
    <xf numFmtId="184" fontId="3" fillId="18" borderId="108" xfId="0" applyNumberFormat="1" applyFont="1" applyFill="1" applyBorder="1" applyAlignment="1">
      <alignment horizontal="center" vertical="center"/>
    </xf>
    <xf numFmtId="41" fontId="8" fillId="17" borderId="78" xfId="0" applyNumberFormat="1" applyFont="1" applyFill="1" applyBorder="1" applyAlignment="1">
      <alignment vertical="center"/>
    </xf>
    <xf numFmtId="41" fontId="8" fillId="17" borderId="77" xfId="0" applyNumberFormat="1" applyFont="1" applyFill="1" applyBorder="1" applyAlignment="1">
      <alignment vertical="center"/>
    </xf>
    <xf numFmtId="41" fontId="8" fillId="17" borderId="121" xfId="0" applyNumberFormat="1" applyFont="1" applyFill="1" applyBorder="1" applyAlignment="1">
      <alignment vertical="center"/>
    </xf>
    <xf numFmtId="41" fontId="8" fillId="17" borderId="120" xfId="0" applyNumberFormat="1" applyFont="1" applyFill="1" applyBorder="1" applyAlignment="1">
      <alignment vertical="center"/>
    </xf>
    <xf numFmtId="41" fontId="8" fillId="17" borderId="76" xfId="0" applyNumberFormat="1" applyFont="1" applyFill="1" applyBorder="1" applyAlignment="1">
      <alignment vertical="center"/>
    </xf>
    <xf numFmtId="41" fontId="8" fillId="17" borderId="93" xfId="0" applyNumberFormat="1" applyFont="1" applyFill="1" applyBorder="1" applyAlignment="1">
      <alignment vertical="center"/>
    </xf>
    <xf numFmtId="0" fontId="3" fillId="13" borderId="76" xfId="0" applyFont="1" applyFill="1" applyBorder="1" applyAlignment="1">
      <alignment horizontal="left" vertical="center" wrapText="1"/>
    </xf>
    <xf numFmtId="41" fontId="7" fillId="11" borderId="108" xfId="0" applyNumberFormat="1" applyFont="1" applyFill="1" applyBorder="1" applyAlignment="1">
      <alignment vertical="center"/>
    </xf>
    <xf numFmtId="176" fontId="7" fillId="11" borderId="108" xfId="0" applyNumberFormat="1" applyFont="1" applyFill="1" applyBorder="1" applyAlignment="1">
      <alignment horizontal="right" vertical="center"/>
    </xf>
    <xf numFmtId="0" fontId="31" fillId="9" borderId="21" xfId="0" applyFont="1" applyFill="1" applyBorder="1" applyAlignment="1">
      <alignment horizontal="left" vertical="center"/>
    </xf>
    <xf numFmtId="0" fontId="3" fillId="19" borderId="82" xfId="0" applyFont="1" applyFill="1" applyBorder="1" applyAlignment="1">
      <alignment horizontal="left" vertical="center" wrapText="1"/>
    </xf>
    <xf numFmtId="184" fontId="3" fillId="20" borderId="75" xfId="0" applyNumberFormat="1" applyFont="1" applyFill="1" applyBorder="1" applyAlignment="1">
      <alignment vertical="center"/>
    </xf>
    <xf numFmtId="0" fontId="3" fillId="20" borderId="129" xfId="0" applyFont="1" applyFill="1" applyBorder="1" applyAlignment="1">
      <alignment horizontal="center" vertical="center"/>
    </xf>
    <xf numFmtId="184" fontId="3" fillId="20" borderId="83" xfId="0" applyNumberFormat="1" applyFont="1" applyFill="1" applyBorder="1" applyAlignment="1">
      <alignment horizontal="center" vertical="center"/>
    </xf>
    <xf numFmtId="41" fontId="8" fillId="14" borderId="126" xfId="0" applyNumberFormat="1" applyFont="1" applyFill="1" applyBorder="1" applyAlignment="1">
      <alignment vertical="center"/>
    </xf>
    <xf numFmtId="41" fontId="7" fillId="11" borderId="83" xfId="0" applyNumberFormat="1" applyFont="1" applyFill="1" applyBorder="1" applyAlignment="1">
      <alignment vertical="center"/>
    </xf>
    <xf numFmtId="176" fontId="7" fillId="11" borderId="83" xfId="0" applyNumberFormat="1" applyFont="1" applyFill="1" applyBorder="1" applyAlignment="1">
      <alignment horizontal="right" vertical="center"/>
    </xf>
    <xf numFmtId="0" fontId="3" fillId="15" borderId="139" xfId="0" applyFont="1" applyFill="1" applyBorder="1" applyAlignment="1">
      <alignment horizontal="left" vertical="center" wrapText="1"/>
    </xf>
    <xf numFmtId="184" fontId="3" fillId="4" borderId="131" xfId="0" applyNumberFormat="1" applyFont="1" applyFill="1" applyBorder="1" applyAlignment="1">
      <alignment vertical="center"/>
    </xf>
    <xf numFmtId="0" fontId="3" fillId="4" borderId="132" xfId="0" applyFont="1" applyFill="1" applyBorder="1" applyAlignment="1">
      <alignment horizontal="center" vertical="center"/>
    </xf>
    <xf numFmtId="184" fontId="3" fillId="4" borderId="133" xfId="0" applyNumberFormat="1" applyFont="1" applyFill="1" applyBorder="1" applyAlignment="1">
      <alignment horizontal="center" vertical="center"/>
    </xf>
    <xf numFmtId="0" fontId="31" fillId="12" borderId="77" xfId="0" applyFont="1" applyFill="1" applyBorder="1" applyAlignment="1">
      <alignment horizontal="left" vertical="center"/>
    </xf>
    <xf numFmtId="0" fontId="31" fillId="9" borderId="17" xfId="0" applyFont="1" applyFill="1" applyBorder="1" applyAlignment="1">
      <alignment horizontal="left" vertical="center"/>
    </xf>
    <xf numFmtId="0" fontId="31" fillId="11" borderId="140" xfId="0" applyFont="1" applyFill="1" applyBorder="1" applyAlignment="1">
      <alignment horizontal="center" vertical="center"/>
    </xf>
    <xf numFmtId="0" fontId="31" fillId="11" borderId="91" xfId="0" applyFont="1" applyFill="1" applyBorder="1" applyAlignment="1">
      <alignment horizontal="left" vertical="center" wrapText="1"/>
    </xf>
    <xf numFmtId="0" fontId="31" fillId="11" borderId="91" xfId="0" applyFont="1" applyFill="1" applyBorder="1" applyAlignment="1">
      <alignment horizontal="left" vertical="center"/>
    </xf>
    <xf numFmtId="0" fontId="31" fillId="12" borderId="140" xfId="0" applyFont="1" applyFill="1" applyBorder="1" applyAlignment="1">
      <alignment horizontal="center" vertical="center"/>
    </xf>
    <xf numFmtId="0" fontId="31" fillId="16" borderId="140" xfId="0" applyFont="1" applyFill="1" applyBorder="1" applyAlignment="1">
      <alignment horizontal="center" vertical="center"/>
    </xf>
    <xf numFmtId="0" fontId="31" fillId="16" borderId="91" xfId="0" applyFont="1" applyFill="1" applyBorder="1" applyAlignment="1">
      <alignment horizontal="left" vertical="center"/>
    </xf>
    <xf numFmtId="184" fontId="3" fillId="16" borderId="91" xfId="0" applyNumberFormat="1" applyFont="1" applyFill="1" applyBorder="1" applyAlignment="1">
      <alignment vertical="center"/>
    </xf>
    <xf numFmtId="0" fontId="3" fillId="16" borderId="93" xfId="0" applyFont="1" applyFill="1" applyBorder="1" applyAlignment="1">
      <alignment horizontal="center" vertical="center"/>
    </xf>
    <xf numFmtId="184" fontId="3" fillId="16" borderId="127" xfId="0" applyNumberFormat="1" applyFont="1" applyFill="1" applyBorder="1" applyAlignment="1">
      <alignment horizontal="center" vertical="center"/>
    </xf>
    <xf numFmtId="0" fontId="31" fillId="9" borderId="24" xfId="0" applyFont="1" applyFill="1" applyBorder="1" applyAlignment="1">
      <alignment horizontal="left" vertical="center"/>
    </xf>
    <xf numFmtId="0" fontId="31" fillId="11" borderId="141" xfId="0" applyFont="1" applyFill="1" applyBorder="1" applyAlignment="1">
      <alignment horizontal="center" vertical="center"/>
    </xf>
    <xf numFmtId="0" fontId="31" fillId="11" borderId="75" xfId="0" applyFont="1" applyFill="1" applyBorder="1" applyAlignment="1">
      <alignment horizontal="left" vertical="center"/>
    </xf>
    <xf numFmtId="184" fontId="3" fillId="11" borderId="75" xfId="0" applyNumberFormat="1" applyFont="1" applyFill="1" applyBorder="1" applyAlignment="1">
      <alignment vertical="center"/>
    </xf>
    <xf numFmtId="0" fontId="3" fillId="11" borderId="129" xfId="0" applyFont="1" applyFill="1" applyBorder="1" applyAlignment="1">
      <alignment horizontal="center" vertical="center"/>
    </xf>
    <xf numFmtId="184" fontId="3" fillId="11" borderId="83" xfId="0" applyNumberFormat="1" applyFont="1" applyFill="1" applyBorder="1" applyAlignment="1">
      <alignment horizontal="center" vertical="center"/>
    </xf>
    <xf numFmtId="0" fontId="31" fillId="11" borderId="131" xfId="0" applyFont="1" applyFill="1" applyBorder="1" applyAlignment="1">
      <alignment horizontal="center" vertical="center"/>
    </xf>
    <xf numFmtId="0" fontId="3" fillId="11" borderId="131" xfId="0" applyFont="1" applyFill="1" applyBorder="1" applyAlignment="1">
      <alignment horizontal="left" vertical="center" wrapText="1"/>
    </xf>
    <xf numFmtId="184" fontId="3" fillId="11" borderId="131" xfId="0" applyNumberFormat="1" applyFont="1" applyFill="1" applyBorder="1" applyAlignment="1">
      <alignment vertical="center"/>
    </xf>
    <xf numFmtId="0" fontId="3" fillId="11" borderId="132" xfId="0" applyFont="1" applyFill="1" applyBorder="1" applyAlignment="1">
      <alignment horizontal="center" vertical="center"/>
    </xf>
    <xf numFmtId="184" fontId="3" fillId="11" borderId="133" xfId="0" applyNumberFormat="1" applyFont="1" applyFill="1" applyBorder="1" applyAlignment="1">
      <alignment horizontal="center" vertical="center"/>
    </xf>
    <xf numFmtId="41" fontId="8" fillId="14" borderId="135" xfId="0" applyNumberFormat="1" applyFont="1" applyFill="1" applyBorder="1" applyAlignment="1">
      <alignment vertical="center"/>
    </xf>
    <xf numFmtId="41" fontId="8" fillId="14" borderId="139" xfId="0" applyNumberFormat="1" applyFont="1" applyFill="1" applyBorder="1" applyAlignment="1">
      <alignment vertical="center"/>
    </xf>
    <xf numFmtId="41" fontId="8" fillId="14" borderId="136" xfId="0" applyNumberFormat="1" applyFont="1" applyFill="1" applyBorder="1" applyAlignment="1">
      <alignment vertical="center"/>
    </xf>
    <xf numFmtId="41" fontId="8" fillId="14" borderId="131" xfId="0" applyNumberFormat="1" applyFont="1" applyFill="1" applyBorder="1" applyAlignment="1">
      <alignment vertical="center"/>
    </xf>
    <xf numFmtId="41" fontId="8" fillId="14" borderId="138" xfId="0" applyNumberFormat="1" applyFont="1" applyFill="1" applyBorder="1" applyAlignment="1">
      <alignment vertical="center"/>
    </xf>
    <xf numFmtId="0" fontId="3" fillId="12" borderId="91" xfId="0" applyFont="1" applyFill="1" applyBorder="1" applyAlignment="1">
      <alignment horizontal="left" vertical="center" wrapText="1"/>
    </xf>
    <xf numFmtId="0" fontId="31" fillId="12" borderId="75" xfId="0" applyFont="1" applyFill="1" applyBorder="1" applyAlignment="1">
      <alignment horizontal="center" vertical="center"/>
    </xf>
    <xf numFmtId="0" fontId="3" fillId="12" borderId="75" xfId="0" applyFont="1" applyFill="1" applyBorder="1" applyAlignment="1">
      <alignment horizontal="left" vertical="center" wrapText="1"/>
    </xf>
    <xf numFmtId="184" fontId="3" fillId="12" borderId="75" xfId="0" applyNumberFormat="1" applyFont="1" applyFill="1" applyBorder="1" applyAlignment="1">
      <alignment vertical="center"/>
    </xf>
    <xf numFmtId="0" fontId="3" fillId="12" borderId="129" xfId="0" applyFont="1" applyFill="1" applyBorder="1" applyAlignment="1">
      <alignment horizontal="center" vertical="center"/>
    </xf>
    <xf numFmtId="184" fontId="3" fillId="12" borderId="83" xfId="0" applyNumberFormat="1" applyFont="1" applyFill="1" applyBorder="1" applyAlignment="1">
      <alignment horizontal="center" vertical="center"/>
    </xf>
    <xf numFmtId="41" fontId="8" fillId="15" borderId="130" xfId="0" applyNumberFormat="1" applyFont="1" applyFill="1" applyBorder="1" applyAlignment="1">
      <alignment vertical="center"/>
    </xf>
    <xf numFmtId="41" fontId="8" fillId="15" borderId="82" xfId="0" applyNumberFormat="1" applyFont="1" applyFill="1" applyBorder="1" applyAlignment="1">
      <alignment vertical="center"/>
    </xf>
    <xf numFmtId="41" fontId="8" fillId="15" borderId="80" xfId="0" applyNumberFormat="1" applyFont="1" applyFill="1" applyBorder="1" applyAlignment="1">
      <alignment vertical="center"/>
    </xf>
    <xf numFmtId="41" fontId="8" fillId="15" borderId="75" xfId="0" applyNumberFormat="1" applyFont="1" applyFill="1" applyBorder="1" applyAlignment="1">
      <alignment vertical="center"/>
    </xf>
    <xf numFmtId="41" fontId="8" fillId="15" borderId="126" xfId="0" applyNumberFormat="1" applyFont="1" applyFill="1" applyBorder="1" applyAlignment="1">
      <alignment vertical="center"/>
    </xf>
    <xf numFmtId="0" fontId="31" fillId="9" borderId="51" xfId="0" applyFont="1" applyFill="1" applyBorder="1" applyAlignment="1">
      <alignment horizontal="center" vertical="center"/>
    </xf>
    <xf numFmtId="184" fontId="31" fillId="9" borderId="42" xfId="0" applyNumberFormat="1" applyFont="1" applyFill="1" applyBorder="1" applyAlignment="1">
      <alignment vertical="center"/>
    </xf>
    <xf numFmtId="41" fontId="31" fillId="9" borderId="43" xfId="0" applyNumberFormat="1" applyFont="1" applyFill="1" applyBorder="1" applyAlignment="1">
      <alignment horizontal="center" vertical="center"/>
    </xf>
    <xf numFmtId="41" fontId="31" fillId="9" borderId="47" xfId="0" applyNumberFormat="1" applyFont="1" applyFill="1" applyBorder="1" applyAlignment="1">
      <alignment horizontal="center" vertical="center"/>
    </xf>
    <xf numFmtId="41" fontId="7" fillId="11" borderId="33" xfId="0" applyNumberFormat="1" applyFont="1" applyFill="1" applyBorder="1" applyAlignment="1">
      <alignment vertical="center"/>
    </xf>
    <xf numFmtId="0" fontId="31" fillId="9" borderId="14" xfId="0" applyFont="1" applyFill="1" applyBorder="1" applyAlignment="1">
      <alignment vertical="center"/>
    </xf>
    <xf numFmtId="0" fontId="31" fillId="9" borderId="15" xfId="0" applyFont="1" applyFill="1" applyBorder="1" applyAlignment="1">
      <alignment vertical="center"/>
    </xf>
    <xf numFmtId="0" fontId="31" fillId="11" borderId="125" xfId="0" applyFont="1" applyFill="1" applyBorder="1" applyAlignment="1">
      <alignment horizontal="center" vertical="center"/>
    </xf>
    <xf numFmtId="0" fontId="3" fillId="11" borderId="91" xfId="0" applyFont="1" applyFill="1" applyBorder="1" applyAlignment="1">
      <alignment horizontal="left" vertical="center" wrapText="1"/>
    </xf>
    <xf numFmtId="41" fontId="31" fillId="11" borderId="127" xfId="0" applyNumberFormat="1" applyFont="1" applyFill="1" applyBorder="1" applyAlignment="1">
      <alignment vertical="center"/>
    </xf>
    <xf numFmtId="176" fontId="31" fillId="11" borderId="127" xfId="0" applyNumberFormat="1" applyFont="1" applyFill="1" applyBorder="1" applyAlignment="1">
      <alignment horizontal="right" vertical="center"/>
    </xf>
    <xf numFmtId="184" fontId="31" fillId="11" borderId="91" xfId="0" applyNumberFormat="1" applyFont="1" applyFill="1" applyBorder="1" applyAlignment="1">
      <alignment horizontal="center" vertical="center"/>
    </xf>
    <xf numFmtId="0" fontId="31" fillId="11" borderId="93" xfId="0" applyFont="1" applyFill="1" applyBorder="1" applyAlignment="1">
      <alignment horizontal="center" vertical="center"/>
    </xf>
    <xf numFmtId="184" fontId="31" fillId="11" borderId="127" xfId="0" applyNumberFormat="1" applyFont="1" applyFill="1" applyBorder="1" applyAlignment="1">
      <alignment horizontal="center" vertical="center"/>
    </xf>
    <xf numFmtId="41" fontId="8" fillId="3" borderId="96" xfId="0" applyNumberFormat="1" applyFont="1" applyFill="1" applyBorder="1" applyAlignment="1">
      <alignment vertical="center"/>
    </xf>
    <xf numFmtId="41" fontId="9" fillId="3" borderId="92" xfId="0" applyNumberFormat="1" applyFont="1" applyFill="1" applyBorder="1" applyAlignment="1">
      <alignment vertical="center"/>
    </xf>
    <xf numFmtId="41" fontId="8" fillId="3" borderId="95" xfId="0" applyNumberFormat="1" applyFont="1" applyFill="1" applyBorder="1" applyAlignment="1">
      <alignment vertical="center"/>
    </xf>
    <xf numFmtId="41" fontId="8" fillId="3" borderId="94" xfId="0" applyNumberFormat="1" applyFont="1" applyFill="1" applyBorder="1" applyAlignment="1">
      <alignment vertical="center"/>
    </xf>
    <xf numFmtId="41" fontId="8" fillId="3" borderId="91" xfId="0" applyNumberFormat="1" applyFont="1" applyFill="1" applyBorder="1" applyAlignment="1">
      <alignment vertical="center"/>
    </xf>
    <xf numFmtId="41" fontId="8" fillId="3" borderId="125" xfId="0" applyNumberFormat="1" applyFont="1" applyFill="1" applyBorder="1" applyAlignment="1">
      <alignment vertical="center"/>
    </xf>
    <xf numFmtId="41" fontId="8" fillId="3" borderId="124" xfId="0" applyNumberFormat="1" applyFont="1" applyFill="1" applyBorder="1" applyAlignment="1">
      <alignment vertical="center"/>
    </xf>
    <xf numFmtId="41" fontId="32" fillId="3" borderId="91" xfId="0" applyNumberFormat="1" applyFont="1" applyFill="1" applyBorder="1" applyAlignment="1">
      <alignment vertical="center"/>
    </xf>
    <xf numFmtId="41" fontId="32" fillId="3" borderId="95" xfId="0" applyNumberFormat="1" applyFont="1" applyFill="1" applyBorder="1" applyAlignment="1">
      <alignment vertical="center"/>
    </xf>
    <xf numFmtId="41" fontId="32" fillId="3" borderId="92" xfId="0" applyNumberFormat="1" applyFont="1" applyFill="1" applyBorder="1" applyAlignment="1">
      <alignment vertical="center"/>
    </xf>
    <xf numFmtId="41" fontId="7" fillId="11" borderId="19" xfId="0" applyNumberFormat="1" applyFont="1" applyFill="1" applyBorder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31" fillId="16" borderId="93" xfId="0" applyFont="1" applyFill="1" applyBorder="1" applyAlignment="1">
      <alignment horizontal="center" vertical="center"/>
    </xf>
    <xf numFmtId="41" fontId="8" fillId="3" borderId="92" xfId="0" applyNumberFormat="1" applyFont="1" applyFill="1" applyBorder="1" applyAlignment="1">
      <alignment vertical="center"/>
    </xf>
    <xf numFmtId="177" fontId="8" fillId="3" borderId="96" xfId="0" applyNumberFormat="1" applyFont="1" applyFill="1" applyBorder="1" applyAlignment="1">
      <alignment vertical="center"/>
    </xf>
    <xf numFmtId="177" fontId="8" fillId="3" borderId="92" xfId="0" applyNumberFormat="1" applyFont="1" applyFill="1" applyBorder="1" applyAlignment="1">
      <alignment vertical="center"/>
    </xf>
    <xf numFmtId="177" fontId="8" fillId="3" borderId="95" xfId="0" applyNumberFormat="1" applyFont="1" applyFill="1" applyBorder="1" applyAlignment="1">
      <alignment vertical="center"/>
    </xf>
    <xf numFmtId="177" fontId="10" fillId="2" borderId="0" xfId="0" applyNumberFormat="1" applyFont="1" applyFill="1" applyAlignment="1">
      <alignment vertical="center"/>
    </xf>
    <xf numFmtId="177" fontId="8" fillId="3" borderId="91" xfId="0" applyNumberFormat="1" applyFont="1" applyFill="1" applyBorder="1" applyAlignment="1">
      <alignment vertical="center"/>
    </xf>
    <xf numFmtId="41" fontId="8" fillId="21" borderId="96" xfId="0" applyNumberFormat="1" applyFont="1" applyFill="1" applyBorder="1" applyAlignment="1">
      <alignment vertical="center"/>
    </xf>
    <xf numFmtId="41" fontId="8" fillId="22" borderId="91" xfId="0" applyNumberFormat="1" applyFont="1" applyFill="1" applyBorder="1" applyAlignment="1">
      <alignment vertical="center"/>
    </xf>
    <xf numFmtId="41" fontId="8" fillId="22" borderId="92" xfId="0" applyNumberFormat="1" applyFont="1" applyFill="1" applyBorder="1" applyAlignment="1">
      <alignment vertical="center"/>
    </xf>
    <xf numFmtId="41" fontId="8" fillId="22" borderId="94" xfId="0" applyNumberFormat="1" applyFont="1" applyFill="1" applyBorder="1" applyAlignment="1">
      <alignment vertical="center"/>
    </xf>
    <xf numFmtId="41" fontId="8" fillId="22" borderId="96" xfId="0" applyNumberFormat="1" applyFont="1" applyFill="1" applyBorder="1" applyAlignment="1">
      <alignment vertical="center"/>
    </xf>
    <xf numFmtId="41" fontId="8" fillId="22" borderId="124" xfId="0" applyNumberFormat="1" applyFont="1" applyFill="1" applyBorder="1" applyAlignment="1">
      <alignment vertical="center"/>
    </xf>
    <xf numFmtId="41" fontId="8" fillId="22" borderId="95" xfId="0" applyNumberFormat="1" applyFont="1" applyFill="1" applyBorder="1" applyAlignment="1">
      <alignment vertical="center"/>
    </xf>
    <xf numFmtId="0" fontId="3" fillId="19" borderId="77" xfId="0" applyFont="1" applyFill="1" applyBorder="1" applyAlignment="1">
      <alignment horizontal="left" vertical="center" wrapText="1"/>
    </xf>
    <xf numFmtId="184" fontId="31" fillId="10" borderId="75" xfId="0" applyNumberFormat="1" applyFont="1" applyFill="1" applyBorder="1" applyAlignment="1">
      <alignment horizontal="center" vertical="center"/>
    </xf>
    <xf numFmtId="41" fontId="8" fillId="21" borderId="130" xfId="0" applyNumberFormat="1" applyFont="1" applyFill="1" applyBorder="1" applyAlignment="1">
      <alignment vertical="center"/>
    </xf>
    <xf numFmtId="41" fontId="8" fillId="21" borderId="75" xfId="0" applyNumberFormat="1" applyFont="1" applyFill="1" applyBorder="1" applyAlignment="1">
      <alignment vertical="center"/>
    </xf>
    <xf numFmtId="41" fontId="8" fillId="21" borderId="24" xfId="0" applyNumberFormat="1" applyFont="1" applyFill="1" applyBorder="1" applyAlignment="1">
      <alignment vertical="center"/>
    </xf>
    <xf numFmtId="41" fontId="8" fillId="21" borderId="126" xfId="0" applyNumberFormat="1" applyFont="1" applyFill="1" applyBorder="1" applyAlignment="1">
      <alignment vertical="center"/>
    </xf>
    <xf numFmtId="41" fontId="8" fillId="21" borderId="129" xfId="0" applyNumberFormat="1" applyFont="1" applyFill="1" applyBorder="1" applyAlignment="1">
      <alignment vertical="center"/>
    </xf>
    <xf numFmtId="41" fontId="8" fillId="21" borderId="80" xfId="0" applyNumberFormat="1" applyFont="1" applyFill="1" applyBorder="1" applyAlignment="1">
      <alignment vertical="center"/>
    </xf>
    <xf numFmtId="41" fontId="8" fillId="21" borderId="79" xfId="0" applyNumberFormat="1" applyFont="1" applyFill="1" applyBorder="1" applyAlignment="1">
      <alignment vertical="center"/>
    </xf>
    <xf numFmtId="41" fontId="8" fillId="21" borderId="82" xfId="0" applyNumberFormat="1" applyFont="1" applyFill="1" applyBorder="1" applyAlignment="1">
      <alignment vertical="center"/>
    </xf>
    <xf numFmtId="0" fontId="31" fillId="9" borderId="67" xfId="0" applyFont="1" applyFill="1" applyBorder="1" applyAlignment="1">
      <alignment horizontal="center" vertical="center"/>
    </xf>
    <xf numFmtId="184" fontId="31" fillId="9" borderId="42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/>
    </xf>
    <xf numFmtId="184" fontId="31" fillId="9" borderId="47" xfId="0" applyNumberFormat="1" applyFont="1" applyFill="1" applyBorder="1" applyAlignment="1">
      <alignment horizontal="center" vertical="center"/>
    </xf>
    <xf numFmtId="41" fontId="8" fillId="11" borderId="67" xfId="0" applyNumberFormat="1" applyFont="1" applyFill="1" applyBorder="1" applyAlignment="1">
      <alignment vertical="center"/>
    </xf>
    <xf numFmtId="41" fontId="8" fillId="11" borderId="66" xfId="0" applyNumberFormat="1" applyFont="1" applyFill="1" applyBorder="1" applyAlignment="1">
      <alignment vertical="center"/>
    </xf>
    <xf numFmtId="41" fontId="31" fillId="11" borderId="84" xfId="0" applyNumberFormat="1" applyFont="1" applyFill="1" applyBorder="1" applyAlignment="1">
      <alignment horizontal="right" vertical="center"/>
    </xf>
    <xf numFmtId="41" fontId="31" fillId="11" borderId="54" xfId="0" applyNumberFormat="1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68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0" fontId="31" fillId="9" borderId="54" xfId="0" applyFont="1" applyFill="1" applyBorder="1" applyAlignment="1">
      <alignment horizontal="center" vertical="center"/>
    </xf>
    <xf numFmtId="41" fontId="7" fillId="9" borderId="7" xfId="0" applyNumberFormat="1" applyFont="1" applyFill="1" applyBorder="1" applyAlignment="1">
      <alignment vertical="center"/>
    </xf>
    <xf numFmtId="41" fontId="7" fillId="9" borderId="3" xfId="0" applyNumberFormat="1" applyFont="1" applyFill="1" applyBorder="1" applyAlignment="1">
      <alignment vertical="center"/>
    </xf>
    <xf numFmtId="41" fontId="7" fillId="9" borderId="53" xfId="0" applyNumberFormat="1" applyFont="1" applyFill="1" applyBorder="1" applyAlignment="1">
      <alignment vertical="center"/>
    </xf>
    <xf numFmtId="41" fontId="7" fillId="9" borderId="5" xfId="0" applyNumberFormat="1" applyFont="1" applyFill="1" applyBorder="1" applyAlignment="1">
      <alignment vertical="center"/>
    </xf>
    <xf numFmtId="177" fontId="7" fillId="9" borderId="3" xfId="0" applyNumberFormat="1" applyFont="1" applyFill="1" applyBorder="1" applyAlignment="1">
      <alignment vertical="center"/>
    </xf>
    <xf numFmtId="41" fontId="7" fillId="9" borderId="6" xfId="0" applyNumberFormat="1" applyFont="1" applyFill="1" applyBorder="1" applyAlignment="1">
      <alignment vertical="center"/>
    </xf>
    <xf numFmtId="41" fontId="7" fillId="9" borderId="68" xfId="0" applyNumberFormat="1" applyFont="1" applyFill="1" applyBorder="1" applyAlignment="1">
      <alignment vertical="center"/>
    </xf>
    <xf numFmtId="41" fontId="7" fillId="9" borderId="2" xfId="0" applyNumberFormat="1" applyFont="1" applyFill="1" applyBorder="1" applyAlignment="1">
      <alignment vertical="center"/>
    </xf>
    <xf numFmtId="41" fontId="7" fillId="11" borderId="54" xfId="0" applyNumberFormat="1" applyFont="1" applyFill="1" applyBorder="1" applyAlignment="1">
      <alignment vertical="center"/>
    </xf>
    <xf numFmtId="9" fontId="31" fillId="11" borderId="54" xfId="0" applyNumberFormat="1" applyFont="1" applyFill="1" applyBorder="1" applyAlignment="1">
      <alignment horizontal="center" vertical="center"/>
    </xf>
    <xf numFmtId="176" fontId="7" fillId="11" borderId="54" xfId="0" applyNumberFormat="1" applyFont="1" applyFill="1" applyBorder="1" applyAlignment="1">
      <alignment horizontal="right" vertical="center"/>
    </xf>
    <xf numFmtId="41" fontId="3" fillId="3" borderId="0" xfId="0" applyNumberFormat="1" applyFont="1" applyFill="1" applyAlignment="1">
      <alignment horizontal="center" vertical="center"/>
    </xf>
    <xf numFmtId="41" fontId="3" fillId="3" borderId="0" xfId="0" applyNumberFormat="1" applyFont="1" applyFill="1" applyAlignment="1">
      <alignment vertical="center"/>
    </xf>
    <xf numFmtId="176" fontId="3" fillId="3" borderId="0" xfId="0" applyNumberFormat="1" applyFont="1" applyFill="1" applyAlignment="1">
      <alignment horizontal="right" vertical="center"/>
    </xf>
    <xf numFmtId="41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41" fontId="5" fillId="2" borderId="1" xfId="0" applyNumberFormat="1" applyFont="1" applyFill="1" applyBorder="1" applyAlignment="1">
      <alignment horizontal="left" vertical="center"/>
    </xf>
    <xf numFmtId="41" fontId="5" fillId="2" borderId="11" xfId="0" applyNumberFormat="1" applyFont="1" applyFill="1" applyBorder="1" applyAlignment="1">
      <alignment horizontal="left" vertical="center"/>
    </xf>
    <xf numFmtId="41" fontId="5" fillId="2" borderId="70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7" fontId="5" fillId="3" borderId="69" xfId="0" applyNumberFormat="1" applyFont="1" applyFill="1" applyBorder="1" applyAlignment="1">
      <alignment horizontal="center" vertical="center"/>
    </xf>
    <xf numFmtId="177" fontId="5" fillId="3" borderId="9" xfId="0" applyNumberFormat="1" applyFont="1" applyFill="1" applyBorder="1" applyAlignment="1">
      <alignment horizontal="center" vertical="center"/>
    </xf>
    <xf numFmtId="177" fontId="5" fillId="3" borderId="13" xfId="0" applyNumberFormat="1" applyFont="1" applyFill="1" applyBorder="1" applyAlignment="1">
      <alignment horizontal="center" vertical="center"/>
    </xf>
    <xf numFmtId="177" fontId="8" fillId="3" borderId="69" xfId="0" applyNumberFormat="1" applyFont="1" applyFill="1" applyBorder="1" applyAlignment="1">
      <alignment horizontal="center" vertical="center"/>
    </xf>
    <xf numFmtId="177" fontId="5" fillId="3" borderId="12" xfId="0" applyNumberFormat="1" applyFont="1" applyFill="1" applyBorder="1" applyAlignment="1">
      <alignment horizontal="center" vertical="center"/>
    </xf>
    <xf numFmtId="177" fontId="9" fillId="3" borderId="13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41" fontId="5" fillId="2" borderId="48" xfId="0" applyNumberFormat="1" applyFont="1" applyFill="1" applyBorder="1" applyAlignment="1">
      <alignment horizontal="left" vertical="center"/>
    </xf>
    <xf numFmtId="41" fontId="5" fillId="2" borderId="51" xfId="0" applyNumberFormat="1" applyFont="1" applyFill="1" applyBorder="1" applyAlignment="1">
      <alignment horizontal="left" vertical="center"/>
    </xf>
    <xf numFmtId="41" fontId="5" fillId="2" borderId="109" xfId="0" applyNumberFormat="1" applyFont="1" applyFill="1" applyBorder="1" applyAlignment="1">
      <alignment horizontal="left" vertical="center"/>
    </xf>
    <xf numFmtId="41" fontId="5" fillId="2" borderId="98" xfId="0" applyNumberFormat="1" applyFont="1" applyFill="1" applyBorder="1" applyAlignment="1">
      <alignment vertical="center"/>
    </xf>
    <xf numFmtId="41" fontId="5" fillId="2" borderId="51" xfId="0" applyNumberFormat="1" applyFont="1" applyFill="1" applyBorder="1" applyAlignment="1">
      <alignment vertical="center"/>
    </xf>
    <xf numFmtId="180" fontId="5" fillId="3" borderId="48" xfId="0" applyNumberFormat="1" applyFont="1" applyFill="1" applyBorder="1" applyAlignment="1">
      <alignment vertical="center"/>
    </xf>
    <xf numFmtId="180" fontId="5" fillId="3" borderId="49" xfId="0" applyNumberFormat="1" applyFont="1" applyFill="1" applyBorder="1" applyAlignment="1">
      <alignment vertical="center"/>
    </xf>
    <xf numFmtId="180" fontId="5" fillId="3" borderId="50" xfId="0" applyNumberFormat="1" applyFont="1" applyFill="1" applyBorder="1" applyAlignment="1">
      <alignment vertical="center"/>
    </xf>
    <xf numFmtId="177" fontId="5" fillId="3" borderId="97" xfId="0" applyNumberFormat="1" applyFont="1" applyFill="1" applyBorder="1" applyAlignment="1">
      <alignment vertical="center"/>
    </xf>
    <xf numFmtId="177" fontId="5" fillId="3" borderId="98" xfId="0" applyNumberFormat="1" applyFont="1" applyFill="1" applyBorder="1" applyAlignment="1">
      <alignment vertical="center"/>
    </xf>
    <xf numFmtId="177" fontId="5" fillId="3" borderId="50" xfId="0" applyNumberFormat="1" applyFont="1" applyFill="1" applyBorder="1" applyAlignment="1">
      <alignment vertical="center"/>
    </xf>
    <xf numFmtId="177" fontId="5" fillId="3" borderId="49" xfId="0" applyNumberFormat="1" applyFont="1" applyFill="1" applyBorder="1" applyAlignment="1">
      <alignment vertical="center"/>
    </xf>
    <xf numFmtId="177" fontId="3" fillId="2" borderId="84" xfId="0" applyNumberFormat="1" applyFont="1" applyFill="1" applyBorder="1" applyAlignment="1">
      <alignment vertical="center"/>
    </xf>
    <xf numFmtId="0" fontId="5" fillId="2" borderId="84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176" fontId="3" fillId="2" borderId="84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5" fillId="2" borderId="53" xfId="0" applyFont="1" applyFill="1" applyBorder="1" applyAlignment="1">
      <alignment vertical="center"/>
    </xf>
    <xf numFmtId="0" fontId="5" fillId="2" borderId="68" xfId="0" applyFont="1" applyFill="1" applyBorder="1" applyAlignment="1">
      <alignment vertical="center"/>
    </xf>
    <xf numFmtId="180" fontId="3" fillId="2" borderId="5" xfId="0" applyNumberFormat="1" applyFont="1" applyFill="1" applyBorder="1" applyAlignment="1">
      <alignment vertical="center"/>
    </xf>
    <xf numFmtId="180" fontId="3" fillId="2" borderId="3" xfId="0" applyNumberFormat="1" applyFont="1" applyFill="1" applyBorder="1" applyAlignment="1">
      <alignment vertical="center"/>
    </xf>
    <xf numFmtId="180" fontId="3" fillId="2" borderId="6" xfId="0" applyNumberFormat="1" applyFont="1" applyFill="1" applyBorder="1" applyAlignment="1">
      <alignment vertical="center"/>
    </xf>
    <xf numFmtId="177" fontId="3" fillId="2" borderId="3" xfId="0" applyNumberFormat="1" applyFont="1" applyFill="1" applyBorder="1" applyAlignment="1">
      <alignment vertical="center"/>
    </xf>
    <xf numFmtId="180" fontId="3" fillId="2" borderId="53" xfId="0" applyNumberFormat="1" applyFont="1" applyFill="1" applyBorder="1" applyAlignment="1">
      <alignment vertical="center"/>
    </xf>
    <xf numFmtId="0" fontId="5" fillId="2" borderId="54" xfId="0" applyFont="1" applyFill="1" applyBorder="1" applyAlignment="1">
      <alignment vertical="center"/>
    </xf>
    <xf numFmtId="176" fontId="3" fillId="2" borderId="54" xfId="0" applyNumberFormat="1" applyFont="1" applyFill="1" applyBorder="1" applyAlignment="1">
      <alignment horizontal="right" vertical="center"/>
    </xf>
    <xf numFmtId="41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left" vertical="center"/>
    </xf>
    <xf numFmtId="41" fontId="3" fillId="2" borderId="11" xfId="0" applyNumberFormat="1" applyFont="1" applyFill="1" applyBorder="1" applyAlignment="1">
      <alignment horizontal="left" vertical="center"/>
    </xf>
    <xf numFmtId="41" fontId="3" fillId="2" borderId="11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 wrapText="1"/>
    </xf>
    <xf numFmtId="41" fontId="5" fillId="2" borderId="14" xfId="0" applyNumberFormat="1" applyFont="1" applyFill="1" applyBorder="1" applyAlignment="1">
      <alignment horizontal="left" vertical="center"/>
    </xf>
    <xf numFmtId="41" fontId="5" fillId="2" borderId="0" xfId="0" applyNumberFormat="1" applyFont="1" applyFill="1" applyAlignment="1">
      <alignment horizontal="left" vertical="center"/>
    </xf>
    <xf numFmtId="41" fontId="5" fillId="2" borderId="74" xfId="0" applyNumberFormat="1" applyFont="1" applyFill="1" applyBorder="1" applyAlignment="1">
      <alignment horizontal="left" vertical="center"/>
    </xf>
    <xf numFmtId="0" fontId="33" fillId="2" borderId="15" xfId="0" applyFont="1" applyFill="1" applyBorder="1" applyAlignment="1">
      <alignment vertical="center"/>
    </xf>
    <xf numFmtId="0" fontId="33" fillId="2" borderId="16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177" fontId="5" fillId="3" borderId="73" xfId="0" applyNumberFormat="1" applyFont="1" applyFill="1" applyBorder="1" applyAlignment="1">
      <alignment vertical="center"/>
    </xf>
    <xf numFmtId="177" fontId="5" fillId="3" borderId="15" xfId="0" applyNumberFormat="1" applyFont="1" applyFill="1" applyBorder="1" applyAlignment="1">
      <alignment vertical="center"/>
    </xf>
    <xf numFmtId="177" fontId="5" fillId="3" borderId="18" xfId="0" applyNumberFormat="1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41" fontId="5" fillId="3" borderId="73" xfId="0" applyNumberFormat="1" applyFont="1" applyFill="1" applyBorder="1" applyAlignment="1">
      <alignment horizontal="left" vertical="center" indent="1"/>
    </xf>
    <xf numFmtId="41" fontId="5" fillId="3" borderId="15" xfId="0" applyNumberFormat="1" applyFont="1" applyFill="1" applyBorder="1" applyAlignment="1">
      <alignment horizontal="left" vertical="center" indent="1"/>
    </xf>
    <xf numFmtId="41" fontId="5" fillId="3" borderId="18" xfId="0" applyNumberFormat="1" applyFont="1" applyFill="1" applyBorder="1" applyAlignment="1">
      <alignment horizontal="left" vertical="center" indent="1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177" fontId="5" fillId="0" borderId="73" xfId="0" applyNumberFormat="1" applyFont="1" applyBorder="1" applyAlignment="1">
      <alignment horizontal="left" vertical="center" indent="1"/>
    </xf>
    <xf numFmtId="177" fontId="5" fillId="0" borderId="15" xfId="0" applyNumberFormat="1" applyFont="1" applyBorder="1" applyAlignment="1">
      <alignment horizontal="left" vertical="center" indent="1"/>
    </xf>
    <xf numFmtId="177" fontId="5" fillId="0" borderId="18" xfId="0" applyNumberFormat="1" applyFont="1" applyBorder="1" applyAlignment="1">
      <alignment horizontal="left" vertical="center" indent="1"/>
    </xf>
    <xf numFmtId="0" fontId="5" fillId="2" borderId="19" xfId="0" applyFont="1" applyFill="1" applyBorder="1" applyAlignment="1">
      <alignment vertical="center"/>
    </xf>
    <xf numFmtId="41" fontId="3" fillId="2" borderId="14" xfId="0" applyNumberFormat="1" applyFont="1" applyFill="1" applyBorder="1" applyAlignment="1">
      <alignment horizontal="left" vertical="center"/>
    </xf>
    <xf numFmtId="41" fontId="3" fillId="2" borderId="0" xfId="0" applyNumberFormat="1" applyFont="1" applyFill="1" applyAlignment="1">
      <alignment horizontal="left" vertical="center"/>
    </xf>
    <xf numFmtId="41" fontId="5" fillId="2" borderId="0" xfId="0" applyNumberFormat="1" applyFont="1" applyFill="1" applyAlignment="1">
      <alignment horizontal="left" vertical="center"/>
    </xf>
    <xf numFmtId="41" fontId="5" fillId="2" borderId="48" xfId="0" applyNumberFormat="1" applyFont="1" applyFill="1" applyBorder="1" applyAlignment="1">
      <alignment horizontal="left" vertical="center"/>
    </xf>
    <xf numFmtId="41" fontId="5" fillId="2" borderId="51" xfId="0" applyNumberFormat="1" applyFont="1" applyFill="1" applyBorder="1" applyAlignment="1">
      <alignment horizontal="left" vertical="center"/>
    </xf>
    <xf numFmtId="0" fontId="5" fillId="2" borderId="98" xfId="0" applyFont="1" applyFill="1" applyBorder="1" applyAlignment="1">
      <alignment vertical="center"/>
    </xf>
    <xf numFmtId="0" fontId="5" fillId="2" borderId="52" xfId="0" applyFont="1" applyFill="1" applyBorder="1" applyAlignment="1">
      <alignment vertical="center"/>
    </xf>
    <xf numFmtId="0" fontId="5" fillId="2" borderId="51" xfId="0" applyFont="1" applyFill="1" applyBorder="1" applyAlignment="1">
      <alignment vertical="center"/>
    </xf>
    <xf numFmtId="41" fontId="5" fillId="3" borderId="97" xfId="0" applyNumberFormat="1" applyFont="1" applyFill="1" applyBorder="1" applyAlignment="1">
      <alignment horizontal="left" vertical="center" indent="1"/>
    </xf>
    <xf numFmtId="41" fontId="5" fillId="3" borderId="98" xfId="0" applyNumberFormat="1" applyFont="1" applyFill="1" applyBorder="1" applyAlignment="1">
      <alignment horizontal="left" vertical="center" indent="1"/>
    </xf>
    <xf numFmtId="41" fontId="5" fillId="3" borderId="50" xfId="0" applyNumberFormat="1" applyFont="1" applyFill="1" applyBorder="1" applyAlignment="1">
      <alignment horizontal="left" vertical="center" indent="1"/>
    </xf>
    <xf numFmtId="41" fontId="3" fillId="2" borderId="84" xfId="0" applyNumberFormat="1" applyFont="1" applyFill="1" applyBorder="1" applyAlignment="1">
      <alignment vertical="center"/>
    </xf>
    <xf numFmtId="41" fontId="31" fillId="23" borderId="54" xfId="0" applyNumberFormat="1" applyFont="1" applyFill="1" applyBorder="1" applyAlignment="1">
      <alignment horizontal="right" vertical="center"/>
    </xf>
    <xf numFmtId="41" fontId="31" fillId="23" borderId="5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9" fontId="31" fillId="23" borderId="54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selection activeCell="E27" sqref="E27"/>
    </sheetView>
  </sheetViews>
  <sheetFormatPr defaultRowHeight="16.5" x14ac:dyDescent="0.3"/>
  <cols>
    <col min="1" max="1" width="50.875" bestFit="1" customWidth="1"/>
    <col min="2" max="14" width="13.125" customWidth="1"/>
  </cols>
  <sheetData>
    <row r="1" spans="1:14" ht="17.25" thickBot="1" x14ac:dyDescent="0.35"/>
    <row r="2" spans="1:14" ht="27.75" thickBot="1" x14ac:dyDescent="0.35">
      <c r="A2" s="1" t="s">
        <v>16</v>
      </c>
      <c r="B2" s="2" t="s">
        <v>17</v>
      </c>
      <c r="C2" s="3" t="s">
        <v>18</v>
      </c>
      <c r="D2" s="4" t="s">
        <v>19</v>
      </c>
      <c r="E2" s="5" t="s">
        <v>20</v>
      </c>
      <c r="F2" s="6" t="s">
        <v>21</v>
      </c>
      <c r="G2" s="7" t="s">
        <v>22</v>
      </c>
      <c r="H2" s="8" t="s">
        <v>23</v>
      </c>
      <c r="I2" s="3" t="s">
        <v>24</v>
      </c>
      <c r="J2" s="7" t="s">
        <v>25</v>
      </c>
      <c r="K2" s="9" t="s">
        <v>26</v>
      </c>
      <c r="L2" s="3" t="s">
        <v>27</v>
      </c>
      <c r="M2" s="7" t="s">
        <v>28</v>
      </c>
      <c r="N2" s="10" t="s">
        <v>29</v>
      </c>
    </row>
    <row r="3" spans="1:14" x14ac:dyDescent="0.3">
      <c r="A3" s="11" t="s">
        <v>2</v>
      </c>
      <c r="B3" s="12">
        <v>3611899.5485177394</v>
      </c>
      <c r="C3" s="13">
        <v>3404364.3850612463</v>
      </c>
      <c r="D3" s="14">
        <v>3974269.0065241894</v>
      </c>
      <c r="E3" s="15">
        <v>3782574.344396404</v>
      </c>
      <c r="F3" s="16">
        <v>3766859.1591839315</v>
      </c>
      <c r="G3" s="17">
        <v>3930265.5977238184</v>
      </c>
      <c r="H3" s="18">
        <v>3567532.5597343701</v>
      </c>
      <c r="I3" s="19">
        <v>3390568.4813466584</v>
      </c>
      <c r="J3" s="20">
        <v>3461542.8826226792</v>
      </c>
      <c r="K3" s="21">
        <v>3430141.6380218426</v>
      </c>
      <c r="L3" s="19">
        <v>3055650.1104715532</v>
      </c>
      <c r="M3" s="20">
        <v>2904530.9901602371</v>
      </c>
      <c r="N3" s="22">
        <v>42280198.70376467</v>
      </c>
    </row>
    <row r="4" spans="1:14" x14ac:dyDescent="0.3">
      <c r="A4" s="24" t="s">
        <v>31</v>
      </c>
      <c r="B4" s="25">
        <v>2346417.2034022156</v>
      </c>
      <c r="C4" s="26">
        <v>2140767.3382263812</v>
      </c>
      <c r="D4" s="27">
        <v>2422119.7958621038</v>
      </c>
      <c r="E4" s="28">
        <v>2376403.8990835603</v>
      </c>
      <c r="F4" s="29">
        <v>2367561.6439124541</v>
      </c>
      <c r="G4" s="30">
        <v>2437544.5052503292</v>
      </c>
      <c r="H4" s="31">
        <v>2184793.0500393324</v>
      </c>
      <c r="I4" s="32">
        <v>2103755.0093285381</v>
      </c>
      <c r="J4" s="30">
        <v>2115854.1329262364</v>
      </c>
      <c r="K4" s="33">
        <v>2059084.3976017362</v>
      </c>
      <c r="L4" s="32">
        <v>1916877.8785114645</v>
      </c>
      <c r="M4" s="30">
        <v>1875643.9697287318</v>
      </c>
      <c r="N4" s="34">
        <v>26346822.823873084</v>
      </c>
    </row>
    <row r="5" spans="1:14" x14ac:dyDescent="0.3">
      <c r="A5" s="24" t="s">
        <v>3</v>
      </c>
      <c r="B5" s="25"/>
      <c r="C5" s="26"/>
      <c r="D5" s="27"/>
      <c r="E5" s="28"/>
      <c r="F5" s="29"/>
      <c r="G5" s="30"/>
      <c r="H5" s="31">
        <v>0</v>
      </c>
      <c r="I5" s="32">
        <v>0</v>
      </c>
      <c r="J5" s="30">
        <v>0</v>
      </c>
      <c r="K5" s="33">
        <v>0</v>
      </c>
      <c r="L5" s="32">
        <v>0</v>
      </c>
      <c r="M5" s="30">
        <v>0</v>
      </c>
      <c r="N5" s="34">
        <v>0</v>
      </c>
    </row>
    <row r="6" spans="1:14" x14ac:dyDescent="0.3">
      <c r="A6" s="36"/>
      <c r="B6" s="37">
        <v>0.64963523262022727</v>
      </c>
      <c r="C6" s="38">
        <v>0.6288302590698932</v>
      </c>
      <c r="D6" s="39">
        <v>0.6094503899675473</v>
      </c>
      <c r="E6" s="40">
        <v>0.62825041432537121</v>
      </c>
      <c r="F6" s="41">
        <v>0.6285240684245208</v>
      </c>
      <c r="G6" s="42">
        <v>0.62019841780209806</v>
      </c>
      <c r="H6" s="40">
        <v>0.61241012197012912</v>
      </c>
      <c r="I6" s="41">
        <v>0.62047264961684934</v>
      </c>
      <c r="J6" s="42">
        <v>0.61124596882738436</v>
      </c>
      <c r="K6" s="37">
        <v>0.60029136254245385</v>
      </c>
      <c r="L6" s="41">
        <v>0.62732243850250535</v>
      </c>
      <c r="M6" s="42">
        <v>0.6457648329740342</v>
      </c>
      <c r="N6" s="43">
        <v>0.62314803694447007</v>
      </c>
    </row>
    <row r="7" spans="1:14" x14ac:dyDescent="0.3">
      <c r="A7" s="44" t="s">
        <v>4</v>
      </c>
      <c r="B7" s="45">
        <v>1265482.3451155238</v>
      </c>
      <c r="C7" s="46">
        <v>1263597.0468348651</v>
      </c>
      <c r="D7" s="47">
        <v>1552149.2106620856</v>
      </c>
      <c r="E7" s="48">
        <v>1406170.4453128437</v>
      </c>
      <c r="F7" s="49">
        <v>1399297.5152714774</v>
      </c>
      <c r="G7" s="50">
        <v>1492721.0924734892</v>
      </c>
      <c r="H7" s="48">
        <v>1382739.5096950377</v>
      </c>
      <c r="I7" s="49">
        <v>1286813.4720181203</v>
      </c>
      <c r="J7" s="50">
        <v>1345688.7496964429</v>
      </c>
      <c r="K7" s="45">
        <v>1371057.2404201063</v>
      </c>
      <c r="L7" s="49">
        <v>1138772.2319600887</v>
      </c>
      <c r="M7" s="50">
        <v>1028887.0204315053</v>
      </c>
      <c r="N7" s="51">
        <v>15933375.879891586</v>
      </c>
    </row>
    <row r="8" spans="1:14" x14ac:dyDescent="0.3">
      <c r="A8" s="24" t="s">
        <v>32</v>
      </c>
      <c r="B8" s="25">
        <v>330726.03087654663</v>
      </c>
      <c r="C8" s="26">
        <v>312242.27175474161</v>
      </c>
      <c r="D8" s="27">
        <v>340641.91920271545</v>
      </c>
      <c r="E8" s="28">
        <v>320749.16062105633</v>
      </c>
      <c r="F8" s="29">
        <v>320027.25938798609</v>
      </c>
      <c r="G8" s="53">
        <v>327212.66158740508</v>
      </c>
      <c r="H8" s="28">
        <v>283436.68227415526</v>
      </c>
      <c r="I8" s="29">
        <v>279534.18409066566</v>
      </c>
      <c r="J8" s="53">
        <v>289197.91303921089</v>
      </c>
      <c r="K8" s="25">
        <v>279428.22232137166</v>
      </c>
      <c r="L8" s="29">
        <v>272217.28166077082</v>
      </c>
      <c r="M8" s="53">
        <v>282229.42539146304</v>
      </c>
      <c r="N8" s="51">
        <v>3637643.0122080883</v>
      </c>
    </row>
    <row r="9" spans="1:14" x14ac:dyDescent="0.3">
      <c r="A9" s="36"/>
      <c r="B9" s="37">
        <v>9.1565677958090175E-2</v>
      </c>
      <c r="C9" s="38">
        <v>9.1718228849090783E-2</v>
      </c>
      <c r="D9" s="39">
        <v>8.5711842515822451E-2</v>
      </c>
      <c r="E9" s="40">
        <v>8.4796525175036358E-2</v>
      </c>
      <c r="F9" s="41">
        <v>8.4958647473647023E-2</v>
      </c>
      <c r="G9" s="42">
        <v>8.3254592711726055E-2</v>
      </c>
      <c r="H9" s="40">
        <v>7.9448940557184225E-2</v>
      </c>
      <c r="I9" s="41">
        <v>8.244463594483746E-2</v>
      </c>
      <c r="J9" s="42">
        <v>8.3545957061810727E-2</v>
      </c>
      <c r="K9" s="37">
        <v>8.1462590122814135E-2</v>
      </c>
      <c r="L9" s="41">
        <v>8.9086535375204265E-2</v>
      </c>
      <c r="M9" s="42">
        <v>9.7168674167216584E-2</v>
      </c>
      <c r="N9" s="43">
        <v>8.6036563775283043E-2</v>
      </c>
    </row>
    <row r="10" spans="1:14" x14ac:dyDescent="0.3">
      <c r="A10" s="44" t="s">
        <v>6</v>
      </c>
      <c r="B10" s="54">
        <v>934756.31423897715</v>
      </c>
      <c r="C10" s="55">
        <v>951354.77508012345</v>
      </c>
      <c r="D10" s="56">
        <v>1211507.2914593702</v>
      </c>
      <c r="E10" s="57">
        <v>1085421.2846917873</v>
      </c>
      <c r="F10" s="58">
        <v>1079270.2558834914</v>
      </c>
      <c r="G10" s="59">
        <v>1165508.4308860842</v>
      </c>
      <c r="H10" s="57">
        <v>1099302.8274208824</v>
      </c>
      <c r="I10" s="58">
        <v>1007279.2879274547</v>
      </c>
      <c r="J10" s="59">
        <v>1056490.8366572319</v>
      </c>
      <c r="K10" s="54">
        <v>1091629.0180987348</v>
      </c>
      <c r="L10" s="58">
        <v>866554.95029931795</v>
      </c>
      <c r="M10" s="59">
        <v>746657.59504004219</v>
      </c>
      <c r="N10" s="60">
        <v>12295732.867683496</v>
      </c>
    </row>
    <row r="11" spans="1:14" x14ac:dyDescent="0.3">
      <c r="A11" s="61" t="s">
        <v>7</v>
      </c>
      <c r="B11" s="62">
        <v>62839.858461630472</v>
      </c>
      <c r="C11" s="63">
        <v>58389.348839628103</v>
      </c>
      <c r="D11" s="64">
        <v>57966.715998530322</v>
      </c>
      <c r="E11" s="65">
        <v>57544.083157432535</v>
      </c>
      <c r="F11" s="66">
        <v>57121.450316334747</v>
      </c>
      <c r="G11" s="67">
        <v>56698.81747523696</v>
      </c>
      <c r="H11" s="65">
        <v>53440.337447884165</v>
      </c>
      <c r="I11" s="66">
        <v>53195.378470526739</v>
      </c>
      <c r="J11" s="67">
        <v>52950.419493169305</v>
      </c>
      <c r="K11" s="62">
        <v>50951.024451335586</v>
      </c>
      <c r="L11" s="66">
        <v>50743.223138075104</v>
      </c>
      <c r="M11" s="67">
        <v>50068.894774342647</v>
      </c>
      <c r="N11" s="52">
        <v>661909.55202412663</v>
      </c>
    </row>
    <row r="12" spans="1:14" ht="27" x14ac:dyDescent="0.3">
      <c r="A12" s="68" t="s">
        <v>33</v>
      </c>
      <c r="B12" s="69">
        <v>410653</v>
      </c>
      <c r="C12" s="70">
        <v>30000</v>
      </c>
      <c r="D12" s="71">
        <v>30000</v>
      </c>
      <c r="E12" s="72">
        <v>30000</v>
      </c>
      <c r="F12" s="73">
        <v>30000</v>
      </c>
      <c r="G12" s="74">
        <v>30000</v>
      </c>
      <c r="H12" s="72">
        <v>30000</v>
      </c>
      <c r="I12" s="73">
        <v>30000</v>
      </c>
      <c r="J12" s="74">
        <v>30000</v>
      </c>
      <c r="K12" s="75">
        <v>30000</v>
      </c>
      <c r="L12" s="73">
        <v>30000</v>
      </c>
      <c r="M12" s="74">
        <v>30000</v>
      </c>
      <c r="N12" s="76">
        <v>740653</v>
      </c>
    </row>
    <row r="13" spans="1:14" x14ac:dyDescent="0.3">
      <c r="A13" s="44" t="s">
        <v>8</v>
      </c>
      <c r="B13" s="54">
        <v>461263.45577734662</v>
      </c>
      <c r="C13" s="55">
        <v>862965.42624049541</v>
      </c>
      <c r="D13" s="56">
        <v>1123540.5754608398</v>
      </c>
      <c r="E13" s="57">
        <v>997877.20153435483</v>
      </c>
      <c r="F13" s="58">
        <v>992148.80556715664</v>
      </c>
      <c r="G13" s="59">
        <v>1078809.6134108473</v>
      </c>
      <c r="H13" s="57">
        <v>1015862.4899729983</v>
      </c>
      <c r="I13" s="58">
        <v>924083.90945692791</v>
      </c>
      <c r="J13" s="59">
        <v>973540.41716406262</v>
      </c>
      <c r="K13" s="54">
        <v>1010677.9936473992</v>
      </c>
      <c r="L13" s="58">
        <v>785811.72716124286</v>
      </c>
      <c r="M13" s="59">
        <v>666588.70026569953</v>
      </c>
      <c r="N13" s="52">
        <v>10893170.31565937</v>
      </c>
    </row>
    <row r="14" spans="1:14" x14ac:dyDescent="0.3">
      <c r="A14" s="77" t="s">
        <v>9</v>
      </c>
      <c r="B14" s="78">
        <v>0</v>
      </c>
      <c r="C14" s="79">
        <v>36419.4004516399</v>
      </c>
      <c r="D14" s="80">
        <v>224708.11509216798</v>
      </c>
      <c r="E14" s="81">
        <v>199575.44030687097</v>
      </c>
      <c r="F14" s="82">
        <v>198429.76111343133</v>
      </c>
      <c r="G14" s="83">
        <v>215761.92268216948</v>
      </c>
      <c r="H14" s="84">
        <v>203172.49799459966</v>
      </c>
      <c r="I14" s="85">
        <v>184816.78189138559</v>
      </c>
      <c r="J14" s="83">
        <v>194708.08343281253</v>
      </c>
      <c r="K14" s="86">
        <v>202135.59872947985</v>
      </c>
      <c r="L14" s="85">
        <v>157162.34543224858</v>
      </c>
      <c r="M14" s="83">
        <v>133317.74005313992</v>
      </c>
      <c r="N14" s="87">
        <v>1950207.6871799456</v>
      </c>
    </row>
    <row r="15" spans="1:14" x14ac:dyDescent="0.3">
      <c r="A15" s="88" t="s">
        <v>10</v>
      </c>
      <c r="B15" s="89">
        <v>461263.45577734662</v>
      </c>
      <c r="C15" s="90">
        <v>826546.02578885551</v>
      </c>
      <c r="D15" s="91">
        <v>898832.4603686718</v>
      </c>
      <c r="E15" s="92">
        <v>798301.76122748386</v>
      </c>
      <c r="F15" s="93">
        <v>793719.04445372534</v>
      </c>
      <c r="G15" s="94">
        <v>863047.69072867779</v>
      </c>
      <c r="H15" s="95">
        <v>812689.99197839864</v>
      </c>
      <c r="I15" s="96">
        <v>739267.12756554235</v>
      </c>
      <c r="J15" s="94">
        <v>778832.33373125014</v>
      </c>
      <c r="K15" s="97">
        <v>808542.39491791942</v>
      </c>
      <c r="L15" s="96">
        <v>628649.38172899431</v>
      </c>
      <c r="M15" s="94">
        <v>533270.96021255967</v>
      </c>
      <c r="N15" s="98">
        <v>8942962.6284794249</v>
      </c>
    </row>
    <row r="16" spans="1:14" ht="17.25" thickBot="1" x14ac:dyDescent="0.35">
      <c r="A16" s="99" t="s">
        <v>11</v>
      </c>
      <c r="B16" s="100">
        <v>839799.8245032751</v>
      </c>
      <c r="C16" s="101">
        <v>1244935.6288163119</v>
      </c>
      <c r="D16" s="102">
        <v>1508637.7999310535</v>
      </c>
      <c r="E16" s="103">
        <v>1390925.6559468526</v>
      </c>
      <c r="F16" s="104">
        <v>1390996.2188301547</v>
      </c>
      <c r="G16" s="105">
        <v>1483137.192397363</v>
      </c>
      <c r="H16" s="103">
        <v>1419119.1923578219</v>
      </c>
      <c r="I16" s="104">
        <v>1328325.0806745498</v>
      </c>
      <c r="J16" s="105">
        <v>1377397.2789809708</v>
      </c>
      <c r="K16" s="100">
        <v>1416023.9784870651</v>
      </c>
      <c r="L16" s="104">
        <v>1193759.7128629731</v>
      </c>
      <c r="M16" s="105">
        <v>1077660.3702522863</v>
      </c>
      <c r="N16" s="106">
        <v>15670717.934040677</v>
      </c>
    </row>
    <row r="17" spans="1:14" x14ac:dyDescent="0.3">
      <c r="A17" s="107" t="s">
        <v>12</v>
      </c>
      <c r="B17" s="108">
        <v>239172.70508163734</v>
      </c>
      <c r="C17" s="109">
        <v>247075.37789632267</v>
      </c>
      <c r="D17" s="110">
        <v>252038.25340850221</v>
      </c>
      <c r="E17" s="111">
        <v>261841.63202297769</v>
      </c>
      <c r="F17" s="109">
        <v>268161.66398309427</v>
      </c>
      <c r="G17" s="110">
        <v>274171.60202335072</v>
      </c>
      <c r="H17" s="111">
        <v>279141.56035668403</v>
      </c>
      <c r="I17" s="109">
        <v>281076.38291027374</v>
      </c>
      <c r="J17" s="112">
        <v>282341.51912283787</v>
      </c>
      <c r="K17" s="113">
        <v>286959.94859783788</v>
      </c>
      <c r="L17" s="114">
        <v>290419.35199463274</v>
      </c>
      <c r="M17" s="112">
        <v>294345.97030770965</v>
      </c>
      <c r="N17" s="115">
        <v>3256745.9677058607</v>
      </c>
    </row>
    <row r="18" spans="1:14" x14ac:dyDescent="0.3">
      <c r="A18" s="116" t="s">
        <v>13</v>
      </c>
      <c r="B18" s="117">
        <v>76523.805182660712</v>
      </c>
      <c r="C18" s="118">
        <v>76505.47583986583</v>
      </c>
      <c r="D18" s="119">
        <v>75092.255063180928</v>
      </c>
      <c r="E18" s="120">
        <v>73662.739232087479</v>
      </c>
      <c r="F18" s="118">
        <v>73564.298963568959</v>
      </c>
      <c r="G18" s="119">
        <v>73457.159487927929</v>
      </c>
      <c r="H18" s="120">
        <v>70674.804580255426</v>
      </c>
      <c r="I18" s="118">
        <v>69969.409836821433</v>
      </c>
      <c r="J18" s="119">
        <v>68564.923200901059</v>
      </c>
      <c r="K18" s="117">
        <v>67435.011790492397</v>
      </c>
      <c r="L18" s="118">
        <v>66785.41056902241</v>
      </c>
      <c r="M18" s="119">
        <v>66656.80490453438</v>
      </c>
      <c r="N18" s="121">
        <v>858892.09865131893</v>
      </c>
    </row>
    <row r="19" spans="1:14" ht="17.25" thickBot="1" x14ac:dyDescent="0.35">
      <c r="A19" s="122" t="s">
        <v>14</v>
      </c>
      <c r="B19" s="123">
        <v>315696.51026429806</v>
      </c>
      <c r="C19" s="124">
        <v>323580.8537361885</v>
      </c>
      <c r="D19" s="125">
        <v>327130.50847168313</v>
      </c>
      <c r="E19" s="126">
        <v>335504.3712550652</v>
      </c>
      <c r="F19" s="124">
        <v>341725.96294666326</v>
      </c>
      <c r="G19" s="125">
        <v>347628.76151127863</v>
      </c>
      <c r="H19" s="126">
        <v>349816.36493693944</v>
      </c>
      <c r="I19" s="124">
        <v>351045.79274709517</v>
      </c>
      <c r="J19" s="125">
        <v>350906.44232373894</v>
      </c>
      <c r="K19" s="123">
        <v>354394.96038833028</v>
      </c>
      <c r="L19" s="124">
        <v>357204.76256365515</v>
      </c>
      <c r="M19" s="125">
        <v>361002.77521224401</v>
      </c>
      <c r="N19" s="127">
        <v>4115638.0663571795</v>
      </c>
    </row>
    <row r="20" spans="1:14" ht="17.25" thickBot="1" x14ac:dyDescent="0.35">
      <c r="A20" s="28"/>
      <c r="B20" s="128"/>
      <c r="C20" s="128"/>
      <c r="D20" s="128"/>
      <c r="E20" s="128"/>
      <c r="F20" s="128"/>
      <c r="G20" s="129"/>
      <c r="H20" s="130"/>
      <c r="I20" s="130"/>
      <c r="J20" s="130"/>
      <c r="K20" s="130"/>
      <c r="L20" s="130"/>
      <c r="M20" s="130"/>
      <c r="N20" s="131"/>
    </row>
    <row r="21" spans="1:14" x14ac:dyDescent="0.3">
      <c r="A21" s="11" t="s">
        <v>4</v>
      </c>
      <c r="B21" s="132">
        <v>0.35036476737977268</v>
      </c>
      <c r="C21" s="133">
        <v>0.3711697409301068</v>
      </c>
      <c r="D21" s="134">
        <v>0.39054961003245275</v>
      </c>
      <c r="E21" s="135">
        <v>0.37174958567462874</v>
      </c>
      <c r="F21" s="133">
        <v>0.37147593157547926</v>
      </c>
      <c r="G21" s="134">
        <v>0.379801582197902</v>
      </c>
      <c r="H21" s="135">
        <v>0.38758987802987094</v>
      </c>
      <c r="I21" s="133">
        <v>0.37952735038315066</v>
      </c>
      <c r="J21" s="134">
        <v>0.38875403117261564</v>
      </c>
      <c r="K21" s="132">
        <v>0.3997086374575462</v>
      </c>
      <c r="L21" s="133">
        <v>0.3726775614974947</v>
      </c>
      <c r="M21" s="134">
        <v>0.35423516702596575</v>
      </c>
      <c r="N21" s="136">
        <v>0.37685196305552987</v>
      </c>
    </row>
    <row r="22" spans="1:14" x14ac:dyDescent="0.3">
      <c r="A22" s="61" t="s">
        <v>15</v>
      </c>
      <c r="B22" s="137">
        <v>0.2587990894216825</v>
      </c>
      <c r="C22" s="138">
        <v>0.27945151208101598</v>
      </c>
      <c r="D22" s="139">
        <v>0.30483776751663033</v>
      </c>
      <c r="E22" s="140">
        <v>0.28695306049959241</v>
      </c>
      <c r="F22" s="138">
        <v>0.28651728410183225</v>
      </c>
      <c r="G22" s="139">
        <v>0.29654698948617597</v>
      </c>
      <c r="H22" s="140">
        <v>0.30814093747268667</v>
      </c>
      <c r="I22" s="138">
        <v>0.29708271443831324</v>
      </c>
      <c r="J22" s="139">
        <v>0.30520807411080492</v>
      </c>
      <c r="K22" s="137">
        <v>0.31824604733473211</v>
      </c>
      <c r="L22" s="138">
        <v>0.28359102612229048</v>
      </c>
      <c r="M22" s="139">
        <v>0.25706649285874916</v>
      </c>
      <c r="N22" s="141">
        <v>0.2908153992802468</v>
      </c>
    </row>
    <row r="23" spans="1:14" ht="17.25" thickBot="1" x14ac:dyDescent="0.35">
      <c r="A23" s="142" t="s">
        <v>34</v>
      </c>
      <c r="B23" s="143">
        <v>0.12770661242963999</v>
      </c>
      <c r="C23" s="144">
        <v>0.242790116538593</v>
      </c>
      <c r="D23" s="145">
        <v>0.22616296453338761</v>
      </c>
      <c r="E23" s="146">
        <v>0.21104720979512462</v>
      </c>
      <c r="F23" s="147">
        <v>0.21071110198494389</v>
      </c>
      <c r="G23" s="148">
        <v>0.21959016999474665</v>
      </c>
      <c r="H23" s="146">
        <v>0.22780170282143397</v>
      </c>
      <c r="I23" s="147">
        <v>0.21803633568607997</v>
      </c>
      <c r="J23" s="148">
        <v>0.22499572015735322</v>
      </c>
      <c r="K23" s="149">
        <v>0.23571691208185927</v>
      </c>
      <c r="L23" s="147">
        <v>0.20573343118528059</v>
      </c>
      <c r="M23" s="148">
        <v>0.18359967995491769</v>
      </c>
      <c r="N23" s="150">
        <v>0.2115165704669012</v>
      </c>
    </row>
    <row r="24" spans="1:14" ht="17.25" thickBot="1" x14ac:dyDescent="0.35">
      <c r="A24" s="151"/>
      <c r="B24" s="151"/>
      <c r="C24" s="140"/>
      <c r="D24" s="151"/>
      <c r="E24" s="151"/>
      <c r="F24" s="140"/>
      <c r="G24" s="152"/>
      <c r="H24" s="153"/>
      <c r="I24" s="153"/>
      <c r="J24" s="151"/>
      <c r="K24" s="151"/>
      <c r="L24" s="151"/>
      <c r="M24" s="151"/>
      <c r="N24" s="151"/>
    </row>
    <row r="25" spans="1:14" ht="27.75" thickBot="1" x14ac:dyDescent="0.35">
      <c r="A25" s="154" t="s">
        <v>35</v>
      </c>
      <c r="B25" s="9" t="s">
        <v>17</v>
      </c>
      <c r="C25" s="3" t="s">
        <v>18</v>
      </c>
      <c r="D25" s="7" t="s">
        <v>19</v>
      </c>
      <c r="E25" s="155" t="s">
        <v>20</v>
      </c>
      <c r="F25" s="6" t="s">
        <v>21</v>
      </c>
      <c r="G25" s="156" t="s">
        <v>22</v>
      </c>
      <c r="H25" s="9" t="s">
        <v>23</v>
      </c>
      <c r="I25" s="3" t="s">
        <v>24</v>
      </c>
      <c r="J25" s="7" t="s">
        <v>25</v>
      </c>
      <c r="K25" s="8" t="s">
        <v>26</v>
      </c>
      <c r="L25" s="3" t="s">
        <v>27</v>
      </c>
      <c r="M25" s="156" t="s">
        <v>28</v>
      </c>
      <c r="N25" s="157" t="s">
        <v>29</v>
      </c>
    </row>
    <row r="26" spans="1:14" x14ac:dyDescent="0.3">
      <c r="A26" s="158" t="s">
        <v>36</v>
      </c>
      <c r="B26" s="159">
        <v>0.2</v>
      </c>
      <c r="C26" s="160">
        <v>0.2</v>
      </c>
      <c r="D26" s="161">
        <v>0.2</v>
      </c>
      <c r="E26" s="162">
        <v>0.2</v>
      </c>
      <c r="F26" s="160">
        <v>0.2</v>
      </c>
      <c r="G26" s="163">
        <v>0.2</v>
      </c>
      <c r="H26" s="164">
        <v>0.2</v>
      </c>
      <c r="I26" s="165">
        <v>0.2</v>
      </c>
      <c r="J26" s="166">
        <v>0.2</v>
      </c>
      <c r="K26" s="167">
        <v>0.2</v>
      </c>
      <c r="L26" s="165">
        <v>0.2</v>
      </c>
      <c r="M26" s="163">
        <v>0.2</v>
      </c>
      <c r="N26" s="168">
        <v>0.2</v>
      </c>
    </row>
    <row r="27" spans="1:14" ht="17.25" thickBot="1" x14ac:dyDescent="0.35">
      <c r="A27" s="169" t="s">
        <v>37</v>
      </c>
      <c r="B27" s="170">
        <v>461263.45577734662</v>
      </c>
      <c r="C27" s="171">
        <v>862965.42624049541</v>
      </c>
      <c r="D27" s="172">
        <v>1123540.5754608398</v>
      </c>
      <c r="E27" s="173">
        <v>997877.20153435483</v>
      </c>
      <c r="F27" s="171">
        <v>992148.80556715664</v>
      </c>
      <c r="G27" s="174">
        <v>1078809.6134108473</v>
      </c>
      <c r="H27" s="175">
        <v>1015862.4899729983</v>
      </c>
      <c r="I27" s="176">
        <v>924083.90945692791</v>
      </c>
      <c r="J27" s="177">
        <v>973540.41716406262</v>
      </c>
      <c r="K27" s="178">
        <v>1010677.9936473992</v>
      </c>
      <c r="L27" s="176">
        <v>785811.72716124286</v>
      </c>
      <c r="M27" s="174">
        <v>666588.70026569953</v>
      </c>
      <c r="N27" s="179">
        <v>10893170.315659372</v>
      </c>
    </row>
    <row r="28" spans="1:14" x14ac:dyDescent="0.3">
      <c r="A28" s="180" t="s">
        <v>38</v>
      </c>
      <c r="B28" s="181">
        <v>0</v>
      </c>
      <c r="C28" s="182">
        <v>36419.4004516399</v>
      </c>
      <c r="D28" s="183">
        <v>224708.11509216798</v>
      </c>
      <c r="E28" s="184">
        <v>199575.44030687097</v>
      </c>
      <c r="F28" s="182">
        <v>198429.76111343133</v>
      </c>
      <c r="G28" s="185">
        <v>215761.92268216948</v>
      </c>
      <c r="H28" s="181">
        <v>203172.49799459966</v>
      </c>
      <c r="I28" s="186">
        <v>184816.78189138559</v>
      </c>
      <c r="J28" s="187">
        <v>194708.08343281253</v>
      </c>
      <c r="K28" s="188">
        <v>202135.59872947985</v>
      </c>
      <c r="L28" s="186">
        <v>157162.34543224858</v>
      </c>
      <c r="M28" s="185">
        <v>133317.74005313992</v>
      </c>
      <c r="N28" s="189">
        <v>1950207.6871799456</v>
      </c>
    </row>
    <row r="29" spans="1:14" ht="17.25" thickBot="1" x14ac:dyDescent="0.35">
      <c r="A29" s="190">
        <v>-1142131.8797596425</v>
      </c>
      <c r="B29" s="191">
        <v>-680868.42398229591</v>
      </c>
      <c r="C29" s="192">
        <v>182097.0022581995</v>
      </c>
      <c r="D29" s="193">
        <v>1305637.5777190393</v>
      </c>
      <c r="E29" s="194">
        <v>2303514.7792533943</v>
      </c>
      <c r="F29" s="192">
        <v>3295663.5848205509</v>
      </c>
      <c r="G29" s="195">
        <v>4374473.1982313981</v>
      </c>
      <c r="H29" s="191">
        <v>5390335.6882043965</v>
      </c>
      <c r="I29" s="196">
        <v>6314419.5976613248</v>
      </c>
      <c r="J29" s="197">
        <v>7287960.0148253869</v>
      </c>
      <c r="K29" s="198">
        <v>8298638.0084727863</v>
      </c>
      <c r="L29" s="196">
        <v>9084449.7356340289</v>
      </c>
      <c r="M29" s="195">
        <v>9751038.4358997289</v>
      </c>
      <c r="N29" s="199">
        <v>3476848.2672356348</v>
      </c>
    </row>
    <row r="30" spans="1:14" x14ac:dyDescent="0.3">
      <c r="A30" s="200"/>
      <c r="B30" s="153"/>
      <c r="C30" s="153"/>
      <c r="D30" s="153"/>
      <c r="E30" s="153"/>
      <c r="F30" s="153"/>
      <c r="G30" s="201"/>
      <c r="H30" s="201"/>
      <c r="I30" s="201"/>
      <c r="J30" s="201"/>
      <c r="K30" s="201"/>
      <c r="L30" s="201"/>
      <c r="M30" s="201"/>
      <c r="N30" s="201"/>
    </row>
    <row r="31" spans="1:14" ht="17.25" thickBot="1" x14ac:dyDescent="0.35">
      <c r="A31" s="202"/>
      <c r="B31" s="151"/>
      <c r="C31" s="151"/>
      <c r="D31" s="151"/>
      <c r="E31" s="151"/>
      <c r="F31" s="151"/>
      <c r="G31" s="203"/>
      <c r="H31" s="151"/>
      <c r="I31" s="151"/>
      <c r="J31" s="151"/>
      <c r="K31" s="151"/>
      <c r="L31" s="151"/>
      <c r="M31" s="151"/>
      <c r="N31" s="151"/>
    </row>
    <row r="32" spans="1:14" ht="17.25" thickBot="1" x14ac:dyDescent="0.35">
      <c r="A32" s="204" t="s">
        <v>39</v>
      </c>
      <c r="B32" s="205">
        <v>0.12770661242963999</v>
      </c>
      <c r="C32" s="206">
        <v>0.242790116538593</v>
      </c>
      <c r="D32" s="207">
        <v>0.22616296453338761</v>
      </c>
      <c r="E32" s="208">
        <v>0.21104720979512462</v>
      </c>
      <c r="F32" s="206">
        <v>0.21071110198494389</v>
      </c>
      <c r="G32" s="207">
        <v>0.21959016999474665</v>
      </c>
      <c r="H32" s="208">
        <v>0.22780170282143397</v>
      </c>
      <c r="I32" s="206">
        <v>0.21803633568607997</v>
      </c>
      <c r="J32" s="207">
        <v>0.22499572015735322</v>
      </c>
      <c r="K32" s="205">
        <v>0.23571691208185927</v>
      </c>
      <c r="L32" s="206">
        <v>0.20573343118528059</v>
      </c>
      <c r="M32" s="207">
        <v>0.18359967995491769</v>
      </c>
      <c r="N32" s="209">
        <v>0.2115165704669012</v>
      </c>
    </row>
    <row r="33" spans="1:14" ht="17.25" thickBot="1" x14ac:dyDescent="0.35">
      <c r="A33" s="204" t="s">
        <v>40</v>
      </c>
      <c r="B33" s="205">
        <v>0.12770661242963999</v>
      </c>
      <c r="C33" s="206">
        <v>0.242790116538593</v>
      </c>
      <c r="D33" s="207">
        <v>0.22616296453338761</v>
      </c>
      <c r="E33" s="208">
        <v>0.21104720979512462</v>
      </c>
      <c r="F33" s="206">
        <v>0.21071110198494389</v>
      </c>
      <c r="G33" s="207">
        <v>0.21959016999474665</v>
      </c>
      <c r="H33" s="208">
        <v>0.22780170282143397</v>
      </c>
      <c r="I33" s="206">
        <v>0.21803633568607997</v>
      </c>
      <c r="J33" s="207">
        <v>0.22499572015735322</v>
      </c>
      <c r="K33" s="205">
        <v>0.23571691208185927</v>
      </c>
      <c r="L33" s="206">
        <v>0.20573343118528059</v>
      </c>
      <c r="M33" s="207">
        <v>0.18359967995491769</v>
      </c>
      <c r="N33" s="209"/>
    </row>
  </sheetData>
  <phoneticPr fontId="2" type="noConversion"/>
  <conditionalFormatting sqref="A21:N23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6310-4DF9-4115-83F7-8AF63FD27D31}">
  <dimension ref="A1:S71"/>
  <sheetViews>
    <sheetView topLeftCell="A45" workbookViewId="0">
      <selection activeCell="G74" sqref="G74"/>
    </sheetView>
  </sheetViews>
  <sheetFormatPr defaultRowHeight="16.5" x14ac:dyDescent="0.3"/>
  <cols>
    <col min="2" max="2" width="20" customWidth="1"/>
    <col min="3" max="3" width="4.75" customWidth="1"/>
    <col min="4" max="4" width="31.5" customWidth="1"/>
    <col min="5" max="5" width="23.875" customWidth="1"/>
    <col min="6" max="6" width="12.125" customWidth="1"/>
    <col min="7" max="19" width="10.75" customWidth="1"/>
  </cols>
  <sheetData>
    <row r="1" spans="1:19" ht="17.25" thickBot="1" x14ac:dyDescent="0.35"/>
    <row r="2" spans="1:19" ht="17.25" thickBot="1" x14ac:dyDescent="0.35">
      <c r="A2" s="9" t="s">
        <v>41</v>
      </c>
      <c r="B2" s="210" t="s">
        <v>42</v>
      </c>
      <c r="C2" s="3" t="s">
        <v>43</v>
      </c>
      <c r="D2" s="211" t="s">
        <v>44</v>
      </c>
      <c r="E2" s="212" t="s">
        <v>45</v>
      </c>
      <c r="F2" s="213" t="s">
        <v>46</v>
      </c>
      <c r="G2" s="9" t="s">
        <v>17</v>
      </c>
      <c r="H2" s="3" t="s">
        <v>18</v>
      </c>
      <c r="I2" s="7" t="s">
        <v>19</v>
      </c>
      <c r="J2" s="8" t="s">
        <v>20</v>
      </c>
      <c r="K2" s="3" t="s">
        <v>21</v>
      </c>
      <c r="L2" s="3" t="s">
        <v>22</v>
      </c>
      <c r="M2" s="9" t="s">
        <v>23</v>
      </c>
      <c r="N2" s="3" t="s">
        <v>24</v>
      </c>
      <c r="O2" s="7" t="s">
        <v>25</v>
      </c>
      <c r="P2" s="9" t="s">
        <v>26</v>
      </c>
      <c r="Q2" s="3" t="s">
        <v>27</v>
      </c>
      <c r="R2" s="156" t="s">
        <v>28</v>
      </c>
      <c r="S2" s="214" t="s">
        <v>29</v>
      </c>
    </row>
    <row r="3" spans="1:19" x14ac:dyDescent="0.3">
      <c r="A3" s="475" t="s">
        <v>47</v>
      </c>
      <c r="B3" s="215" t="s">
        <v>48</v>
      </c>
      <c r="C3" s="216">
        <v>1</v>
      </c>
      <c r="D3" s="217" t="s">
        <v>49</v>
      </c>
      <c r="E3" s="218" t="s">
        <v>50</v>
      </c>
      <c r="F3" s="219" t="s">
        <v>51</v>
      </c>
      <c r="G3" s="220">
        <v>894351.35591807787</v>
      </c>
      <c r="H3" s="221">
        <v>791082.94099806028</v>
      </c>
      <c r="I3" s="222">
        <v>942099.13479847647</v>
      </c>
      <c r="J3" s="223">
        <v>906908.61416190851</v>
      </c>
      <c r="K3" s="221">
        <v>895547.05425561219</v>
      </c>
      <c r="L3" s="221">
        <v>912936.79026184627</v>
      </c>
      <c r="M3" s="224">
        <v>701830.11678304302</v>
      </c>
      <c r="N3" s="225">
        <v>667323.73794808541</v>
      </c>
      <c r="O3" s="226">
        <v>684173.30183660076</v>
      </c>
      <c r="P3" s="224">
        <v>672877.67185195605</v>
      </c>
      <c r="Q3" s="225">
        <v>584048.39216275897</v>
      </c>
      <c r="R3" s="227">
        <v>551149.45396327076</v>
      </c>
      <c r="S3" s="228">
        <v>9204328.5649396963</v>
      </c>
    </row>
    <row r="4" spans="1:19" x14ac:dyDescent="0.3">
      <c r="A4" s="476"/>
      <c r="B4" s="229" t="s">
        <v>52</v>
      </c>
      <c r="C4" s="230">
        <v>2</v>
      </c>
      <c r="D4" s="231" t="s">
        <v>53</v>
      </c>
      <c r="E4" s="232" t="s">
        <v>54</v>
      </c>
      <c r="F4" s="233"/>
      <c r="G4" s="234">
        <v>480904.31192632776</v>
      </c>
      <c r="H4" s="235">
        <v>469001.91521103168</v>
      </c>
      <c r="I4" s="236">
        <v>463432.46117342019</v>
      </c>
      <c r="J4" s="237">
        <v>468147.51951692614</v>
      </c>
      <c r="K4" s="235">
        <v>461074.34705356695</v>
      </c>
      <c r="L4" s="235">
        <v>455444.07830717892</v>
      </c>
      <c r="M4" s="238">
        <v>427795.22441595339</v>
      </c>
      <c r="N4" s="239">
        <v>406003.01242023159</v>
      </c>
      <c r="O4" s="240">
        <v>402221.83377336577</v>
      </c>
      <c r="P4" s="238">
        <v>390042.26740001654</v>
      </c>
      <c r="Q4" s="239">
        <v>386113.76929009275</v>
      </c>
      <c r="R4" s="241">
        <v>379957.81843609747</v>
      </c>
      <c r="S4" s="242">
        <v>5190138.5589242084</v>
      </c>
    </row>
    <row r="5" spans="1:19" x14ac:dyDescent="0.3">
      <c r="A5" s="476"/>
      <c r="B5" s="218" t="s">
        <v>55</v>
      </c>
      <c r="C5" s="243">
        <v>3</v>
      </c>
      <c r="D5" s="244" t="s">
        <v>56</v>
      </c>
      <c r="E5" s="245" t="s">
        <v>54</v>
      </c>
      <c r="F5" s="246"/>
      <c r="G5" s="247">
        <v>38339.194584125762</v>
      </c>
      <c r="H5" s="248">
        <v>18386.066384810409</v>
      </c>
      <c r="I5" s="53">
        <v>36038.862071395371</v>
      </c>
      <c r="J5" s="249">
        <v>33457.799382193378</v>
      </c>
      <c r="K5" s="249">
        <v>32606.991110281007</v>
      </c>
      <c r="L5" s="249">
        <v>31929.744903245693</v>
      </c>
      <c r="M5" s="247">
        <v>30892.273226626559</v>
      </c>
      <c r="N5" s="248">
        <v>27021.950130067598</v>
      </c>
      <c r="O5" s="250">
        <v>25527.819015861671</v>
      </c>
      <c r="P5" s="247">
        <v>25987.802064997195</v>
      </c>
      <c r="Q5" s="248">
        <v>23590.233784077609</v>
      </c>
      <c r="R5" s="251">
        <v>24677.735436214047</v>
      </c>
      <c r="S5" s="252">
        <v>348456.47209389636</v>
      </c>
    </row>
    <row r="6" spans="1:19" x14ac:dyDescent="0.3">
      <c r="A6" s="476"/>
      <c r="B6" s="217"/>
      <c r="C6" s="243">
        <v>4</v>
      </c>
      <c r="D6" s="244" t="s">
        <v>57</v>
      </c>
      <c r="E6" s="245" t="s">
        <v>58</v>
      </c>
      <c r="F6" s="246">
        <v>6.0000000000000001E-3</v>
      </c>
      <c r="G6" s="247">
        <v>21671.397291106437</v>
      </c>
      <c r="H6" s="248">
        <v>20426.186310367477</v>
      </c>
      <c r="I6" s="250">
        <v>23845.614039145137</v>
      </c>
      <c r="J6" s="249">
        <v>22695.446066378423</v>
      </c>
      <c r="K6" s="249">
        <v>22601.15495510359</v>
      </c>
      <c r="L6" s="249">
        <v>23581.593586342911</v>
      </c>
      <c r="M6" s="253">
        <v>21405.195358406221</v>
      </c>
      <c r="N6" s="249">
        <v>20343.41088807995</v>
      </c>
      <c r="O6" s="254">
        <v>20769.257295736075</v>
      </c>
      <c r="P6" s="249">
        <v>20580.849828131057</v>
      </c>
      <c r="Q6" s="255">
        <v>18333.900662829321</v>
      </c>
      <c r="R6" s="256">
        <v>17427.185940961423</v>
      </c>
      <c r="S6" s="252">
        <v>253681.19222258803</v>
      </c>
    </row>
    <row r="7" spans="1:19" x14ac:dyDescent="0.3">
      <c r="A7" s="476"/>
      <c r="B7" s="217"/>
      <c r="C7" s="243">
        <v>5</v>
      </c>
      <c r="D7" s="244" t="s">
        <v>59</v>
      </c>
      <c r="E7" s="245" t="s">
        <v>60</v>
      </c>
      <c r="F7" s="246">
        <v>1.1000000000000001E-3</v>
      </c>
      <c r="G7" s="247">
        <v>3973.0895033695137</v>
      </c>
      <c r="H7" s="248">
        <v>3744.800823567371</v>
      </c>
      <c r="I7" s="250">
        <v>4371.6959071766087</v>
      </c>
      <c r="J7" s="249">
        <v>4160.8317788360446</v>
      </c>
      <c r="K7" s="249">
        <v>4143.5450751023245</v>
      </c>
      <c r="L7" s="249">
        <v>4323.2921574962002</v>
      </c>
      <c r="M7" s="253">
        <v>3924.2858157078072</v>
      </c>
      <c r="N7" s="255">
        <v>3729.6253294813246</v>
      </c>
      <c r="O7" s="254">
        <v>3807.6971708849474</v>
      </c>
      <c r="P7" s="253">
        <v>3773.1558018240271</v>
      </c>
      <c r="Q7" s="255">
        <v>3361.2151215187087</v>
      </c>
      <c r="R7" s="257">
        <v>3194.984089176261</v>
      </c>
      <c r="S7" s="252">
        <v>46508.218574141138</v>
      </c>
    </row>
    <row r="8" spans="1:19" x14ac:dyDescent="0.3">
      <c r="A8" s="476"/>
      <c r="B8" s="217"/>
      <c r="C8" s="243">
        <v>6</v>
      </c>
      <c r="D8" s="244" t="s">
        <v>61</v>
      </c>
      <c r="E8" s="245" t="s">
        <v>62</v>
      </c>
      <c r="F8" s="246">
        <v>8.9999999999999998E-4</v>
      </c>
      <c r="G8" s="247">
        <v>3250.7095936659653</v>
      </c>
      <c r="H8" s="248">
        <v>3063.9279465551217</v>
      </c>
      <c r="I8" s="250">
        <v>3576.8421058717704</v>
      </c>
      <c r="J8" s="249">
        <v>3404.3169099567635</v>
      </c>
      <c r="K8" s="249">
        <v>3390.1732432655381</v>
      </c>
      <c r="L8" s="249">
        <v>3537.2390379514363</v>
      </c>
      <c r="M8" s="253">
        <v>3210.7793037609331</v>
      </c>
      <c r="N8" s="255">
        <v>3051.5116332119924</v>
      </c>
      <c r="O8" s="254">
        <v>3115.3885943604114</v>
      </c>
      <c r="P8" s="253">
        <v>3087.1274742196583</v>
      </c>
      <c r="Q8" s="255">
        <v>2750.0850994243979</v>
      </c>
      <c r="R8" s="257">
        <v>2614.0778911442135</v>
      </c>
      <c r="S8" s="252">
        <v>38052.1788333882</v>
      </c>
    </row>
    <row r="9" spans="1:19" x14ac:dyDescent="0.3">
      <c r="A9" s="476"/>
      <c r="B9" s="217"/>
      <c r="C9" s="243">
        <v>7</v>
      </c>
      <c r="D9" s="244" t="s">
        <v>63</v>
      </c>
      <c r="E9" s="245" t="s">
        <v>64</v>
      </c>
      <c r="F9" s="246"/>
      <c r="G9" s="247">
        <v>31500</v>
      </c>
      <c r="H9" s="248">
        <v>31500</v>
      </c>
      <c r="I9" s="250">
        <v>31500</v>
      </c>
      <c r="J9" s="249">
        <v>31500</v>
      </c>
      <c r="K9" s="249">
        <v>31500</v>
      </c>
      <c r="L9" s="249">
        <v>31500</v>
      </c>
      <c r="M9" s="253">
        <v>31500</v>
      </c>
      <c r="N9" s="255">
        <v>31500</v>
      </c>
      <c r="O9" s="254">
        <v>31500</v>
      </c>
      <c r="P9" s="253">
        <v>31500</v>
      </c>
      <c r="Q9" s="255">
        <v>31500</v>
      </c>
      <c r="R9" s="257">
        <v>31500</v>
      </c>
      <c r="S9" s="252">
        <v>378000</v>
      </c>
    </row>
    <row r="10" spans="1:19" x14ac:dyDescent="0.3">
      <c r="A10" s="476"/>
      <c r="B10" s="217"/>
      <c r="C10" s="243">
        <v>8</v>
      </c>
      <c r="D10" s="244" t="s">
        <v>65</v>
      </c>
      <c r="E10" s="245" t="s">
        <v>66</v>
      </c>
      <c r="F10" s="246"/>
      <c r="G10" s="247">
        <v>39564.550409749994</v>
      </c>
      <c r="H10" s="248">
        <v>38173.323137022722</v>
      </c>
      <c r="I10" s="250">
        <v>27793.40045532092</v>
      </c>
      <c r="J10" s="249">
        <v>31540.38962979674</v>
      </c>
      <c r="K10" s="249">
        <v>32804.955112720731</v>
      </c>
      <c r="L10" s="249">
        <v>32524.652082417699</v>
      </c>
      <c r="M10" s="247">
        <v>33448.165639036517</v>
      </c>
      <c r="N10" s="248">
        <v>33167.862608733492</v>
      </c>
      <c r="O10" s="250">
        <v>32143.457843815366</v>
      </c>
      <c r="P10" s="247">
        <v>31863.154813512338</v>
      </c>
      <c r="Q10" s="248">
        <v>32143.457843815366</v>
      </c>
      <c r="R10" s="251">
        <v>33167.862608733492</v>
      </c>
      <c r="S10" s="252">
        <v>398335.23218467535</v>
      </c>
    </row>
    <row r="11" spans="1:19" x14ac:dyDescent="0.3">
      <c r="A11" s="476"/>
      <c r="B11" s="217"/>
      <c r="C11" s="243">
        <v>9</v>
      </c>
      <c r="D11" s="244" t="s">
        <v>67</v>
      </c>
      <c r="E11" s="245" t="s">
        <v>68</v>
      </c>
      <c r="F11" s="246">
        <v>4.4999999999999998E-2</v>
      </c>
      <c r="G11" s="247">
        <v>162535.47968329827</v>
      </c>
      <c r="H11" s="248">
        <v>153196.39732775607</v>
      </c>
      <c r="I11" s="250">
        <v>178842.10529358851</v>
      </c>
      <c r="J11" s="249">
        <v>170215.84549783816</v>
      </c>
      <c r="K11" s="249">
        <v>169508.66216327692</v>
      </c>
      <c r="L11" s="249">
        <v>176861.95189757182</v>
      </c>
      <c r="M11" s="247">
        <v>160538.96518804666</v>
      </c>
      <c r="N11" s="248">
        <v>152575.58166059962</v>
      </c>
      <c r="O11" s="250">
        <v>155769.42971802055</v>
      </c>
      <c r="P11" s="247">
        <v>154356.37371098291</v>
      </c>
      <c r="Q11" s="248">
        <v>137504.2549712199</v>
      </c>
      <c r="R11" s="251">
        <v>130703.89455721066</v>
      </c>
      <c r="S11" s="252">
        <v>1902608.9416694101</v>
      </c>
    </row>
    <row r="12" spans="1:19" x14ac:dyDescent="0.3">
      <c r="A12" s="476"/>
      <c r="B12" s="217"/>
      <c r="C12" s="243">
        <v>10</v>
      </c>
      <c r="D12" s="244" t="s">
        <v>69</v>
      </c>
      <c r="E12" s="245" t="s">
        <v>70</v>
      </c>
      <c r="F12" s="246">
        <v>1.2E-2</v>
      </c>
      <c r="G12" s="247">
        <v>28895.196388141914</v>
      </c>
      <c r="H12" s="248">
        <v>27234.915080489973</v>
      </c>
      <c r="I12" s="250">
        <v>31794.152052193516</v>
      </c>
      <c r="J12" s="249">
        <v>30260.594755171234</v>
      </c>
      <c r="K12" s="249">
        <v>30134.873273471454</v>
      </c>
      <c r="L12" s="249">
        <v>31442.124781790546</v>
      </c>
      <c r="M12" s="253">
        <v>28540.260477874963</v>
      </c>
      <c r="N12" s="255">
        <v>27124.54785077327</v>
      </c>
      <c r="O12" s="254">
        <v>27692.343060981435</v>
      </c>
      <c r="P12" s="253">
        <v>27441.13310417474</v>
      </c>
      <c r="Q12" s="255">
        <v>24445.200883772424</v>
      </c>
      <c r="R12" s="257">
        <v>23236.247921281898</v>
      </c>
      <c r="S12" s="252">
        <v>338241.58963011735</v>
      </c>
    </row>
    <row r="13" spans="1:19" x14ac:dyDescent="0.3">
      <c r="A13" s="476"/>
      <c r="B13" s="217"/>
      <c r="C13" s="243">
        <v>11</v>
      </c>
      <c r="D13" s="244" t="s">
        <v>71</v>
      </c>
      <c r="E13" s="245" t="s">
        <v>72</v>
      </c>
      <c r="F13" s="246"/>
      <c r="G13" s="247">
        <v>4168.0549019607843</v>
      </c>
      <c r="H13" s="248">
        <v>4168.0549019607843</v>
      </c>
      <c r="I13" s="250">
        <v>4168.0549019607843</v>
      </c>
      <c r="J13" s="249">
        <v>4168.0549019607843</v>
      </c>
      <c r="K13" s="249">
        <v>4168.0549019607843</v>
      </c>
      <c r="L13" s="249">
        <v>4168.0549019607843</v>
      </c>
      <c r="M13" s="253">
        <v>4168.0549019607843</v>
      </c>
      <c r="N13" s="255">
        <v>4168.0549019607843</v>
      </c>
      <c r="O13" s="254">
        <v>4168.0549019607843</v>
      </c>
      <c r="P13" s="253">
        <v>4168.0549019607843</v>
      </c>
      <c r="Q13" s="255">
        <v>4168.0549019607843</v>
      </c>
      <c r="R13" s="257">
        <v>4168.0549019607843</v>
      </c>
      <c r="S13" s="252">
        <v>50016.658823529426</v>
      </c>
    </row>
    <row r="14" spans="1:19" x14ac:dyDescent="0.3">
      <c r="A14" s="476"/>
      <c r="B14" s="217"/>
      <c r="C14" s="243">
        <v>12</v>
      </c>
      <c r="D14" s="244" t="s">
        <v>73</v>
      </c>
      <c r="E14" s="245" t="s">
        <v>74</v>
      </c>
      <c r="F14" s="246">
        <v>7.0000000000000001E-3</v>
      </c>
      <c r="G14" s="247">
        <v>25283.296839624174</v>
      </c>
      <c r="H14" s="248">
        <v>23830.550695428723</v>
      </c>
      <c r="I14" s="250">
        <v>27819.883045669321</v>
      </c>
      <c r="J14" s="249">
        <v>26478.020410774825</v>
      </c>
      <c r="K14" s="249">
        <v>26368.014114287518</v>
      </c>
      <c r="L14" s="249">
        <v>27511.859184066725</v>
      </c>
      <c r="M14" s="253">
        <v>24972.727918140587</v>
      </c>
      <c r="N14" s="255">
        <v>23733.979369426608</v>
      </c>
      <c r="O14" s="254">
        <v>24230.800178358753</v>
      </c>
      <c r="P14" s="253">
        <v>24010.991466152896</v>
      </c>
      <c r="Q14" s="255">
        <v>21389.550773300871</v>
      </c>
      <c r="R14" s="257">
        <v>20331.716931121657</v>
      </c>
      <c r="S14" s="252">
        <v>295961.39092635264</v>
      </c>
    </row>
    <row r="15" spans="1:19" x14ac:dyDescent="0.3">
      <c r="A15" s="476"/>
      <c r="B15" s="217"/>
      <c r="C15" s="243">
        <v>13</v>
      </c>
      <c r="D15" s="244" t="s">
        <v>75</v>
      </c>
      <c r="E15" s="245" t="s">
        <v>76</v>
      </c>
      <c r="F15" s="246">
        <v>7.4399999999999998E-4</v>
      </c>
      <c r="G15" s="247">
        <v>2687.2532640971981</v>
      </c>
      <c r="H15" s="248">
        <v>2532.8471024855671</v>
      </c>
      <c r="I15" s="250">
        <v>2956.8561408539967</v>
      </c>
      <c r="J15" s="249">
        <v>2814.2353122309246</v>
      </c>
      <c r="K15" s="249">
        <v>2802.5432144328452</v>
      </c>
      <c r="L15" s="249">
        <v>2924.117604706521</v>
      </c>
      <c r="M15" s="253">
        <v>2654.2442244423714</v>
      </c>
      <c r="N15" s="255">
        <v>2522.5829501219137</v>
      </c>
      <c r="O15" s="254">
        <v>2575.3879046712732</v>
      </c>
      <c r="P15" s="253">
        <v>2552.0253786882508</v>
      </c>
      <c r="Q15" s="255">
        <v>2273.4036821908353</v>
      </c>
      <c r="R15" s="257">
        <v>2160.9710566792164</v>
      </c>
      <c r="S15" s="252">
        <v>31456.46783560091</v>
      </c>
    </row>
    <row r="16" spans="1:19" x14ac:dyDescent="0.3">
      <c r="A16" s="476"/>
      <c r="B16" s="217"/>
      <c r="C16" s="243">
        <v>14</v>
      </c>
      <c r="D16" s="244" t="s">
        <v>77</v>
      </c>
      <c r="E16" s="245" t="s">
        <v>78</v>
      </c>
      <c r="F16" s="246"/>
      <c r="G16" s="247">
        <v>256417.34787858184</v>
      </c>
      <c r="H16" s="248">
        <v>196010.04342676164</v>
      </c>
      <c r="I16" s="250">
        <v>274497.932600406</v>
      </c>
      <c r="J16" s="249">
        <v>263700.86036975135</v>
      </c>
      <c r="K16" s="249">
        <v>267817.43896713475</v>
      </c>
      <c r="L16" s="249">
        <v>308016.04215783806</v>
      </c>
      <c r="M16" s="253">
        <v>318268.89225073805</v>
      </c>
      <c r="N16" s="255">
        <v>310615.37641371641</v>
      </c>
      <c r="O16" s="254">
        <v>306535.85110141046</v>
      </c>
      <c r="P16" s="253">
        <v>272086.56387306505</v>
      </c>
      <c r="Q16" s="255">
        <v>251673.74378558487</v>
      </c>
      <c r="R16" s="257">
        <v>255552.22707328267</v>
      </c>
      <c r="S16" s="252">
        <v>3281192.319898271</v>
      </c>
    </row>
    <row r="17" spans="1:19" x14ac:dyDescent="0.3">
      <c r="A17" s="476"/>
      <c r="B17" s="217"/>
      <c r="C17" s="243">
        <v>15</v>
      </c>
      <c r="D17" s="244" t="s">
        <v>79</v>
      </c>
      <c r="E17" s="245" t="s">
        <v>80</v>
      </c>
      <c r="F17" s="246">
        <v>7.3899999999999997E-4</v>
      </c>
      <c r="G17" s="247">
        <v>2669.1937663546091</v>
      </c>
      <c r="H17" s="248">
        <v>2515.825280560261</v>
      </c>
      <c r="I17" s="250">
        <v>2936.9847958213759</v>
      </c>
      <c r="J17" s="249">
        <v>2795.3224405089422</v>
      </c>
      <c r="K17" s="249">
        <v>2783.7089186369253</v>
      </c>
      <c r="L17" s="249">
        <v>2904.4662767179016</v>
      </c>
      <c r="M17" s="253">
        <v>2636.4065616436992</v>
      </c>
      <c r="N17" s="255">
        <v>2505.6301077151807</v>
      </c>
      <c r="O17" s="254">
        <v>2558.0801902581597</v>
      </c>
      <c r="P17" s="253">
        <v>2534.8746704981418</v>
      </c>
      <c r="Q17" s="255">
        <v>2258.1254316384775</v>
      </c>
      <c r="R17" s="257">
        <v>2146.4484017284149</v>
      </c>
      <c r="S17" s="252">
        <v>31245.066842082088</v>
      </c>
    </row>
    <row r="18" spans="1:19" x14ac:dyDescent="0.3">
      <c r="A18" s="476"/>
      <c r="B18" s="217"/>
      <c r="C18" s="243">
        <v>16</v>
      </c>
      <c r="D18" s="244" t="s">
        <v>81</v>
      </c>
      <c r="E18" s="245" t="s">
        <v>62</v>
      </c>
      <c r="F18" s="246">
        <v>5.5999999999999995E-4</v>
      </c>
      <c r="G18" s="247">
        <v>2022.6637471699344</v>
      </c>
      <c r="H18" s="248">
        <v>1906.4440556342981</v>
      </c>
      <c r="I18" s="250">
        <v>2225.5906436535461</v>
      </c>
      <c r="J18" s="249">
        <v>2118.2416328619865</v>
      </c>
      <c r="K18" s="249">
        <v>2109.4411291430019</v>
      </c>
      <c r="L18" s="249">
        <v>2200.9487347253385</v>
      </c>
      <c r="M18" s="253">
        <v>1997.8182334512474</v>
      </c>
      <c r="N18" s="255">
        <v>1898.718349554129</v>
      </c>
      <c r="O18" s="254">
        <v>1938.4640142687006</v>
      </c>
      <c r="P18" s="253">
        <v>1920.8793172922321</v>
      </c>
      <c r="Q18" s="255">
        <v>1711.1640618640699</v>
      </c>
      <c r="R18" s="257">
        <v>1626.5373544897329</v>
      </c>
      <c r="S18" s="252">
        <v>23676.911274108217</v>
      </c>
    </row>
    <row r="19" spans="1:19" x14ac:dyDescent="0.3">
      <c r="A19" s="476"/>
      <c r="B19" s="217"/>
      <c r="C19" s="243">
        <v>17</v>
      </c>
      <c r="D19" s="244" t="s">
        <v>82</v>
      </c>
      <c r="E19" s="245" t="s">
        <v>83</v>
      </c>
      <c r="F19" s="246"/>
      <c r="G19" s="247">
        <v>229386.70508163734</v>
      </c>
      <c r="H19" s="249">
        <v>237289.37789632267</v>
      </c>
      <c r="I19" s="250">
        <v>242252.25340850221</v>
      </c>
      <c r="J19" s="249">
        <v>252055.63202297769</v>
      </c>
      <c r="K19" s="249">
        <v>258375.66398309424</v>
      </c>
      <c r="L19" s="249">
        <v>264385.60202335072</v>
      </c>
      <c r="M19" s="247">
        <v>269355.56035668403</v>
      </c>
      <c r="N19" s="248">
        <v>271290.38291027374</v>
      </c>
      <c r="O19" s="250">
        <v>272555.51912283787</v>
      </c>
      <c r="P19" s="247">
        <v>277173.94859783788</v>
      </c>
      <c r="Q19" s="248">
        <v>280633.35199463274</v>
      </c>
      <c r="R19" s="251">
        <v>284559.97030770965</v>
      </c>
      <c r="S19" s="252">
        <v>3139313.9677058607</v>
      </c>
    </row>
    <row r="20" spans="1:19" x14ac:dyDescent="0.3">
      <c r="A20" s="476"/>
      <c r="B20" s="217"/>
      <c r="C20" s="243">
        <v>18</v>
      </c>
      <c r="D20" s="244" t="s">
        <v>84</v>
      </c>
      <c r="E20" s="245" t="s">
        <v>83</v>
      </c>
      <c r="F20" s="246"/>
      <c r="G20" s="247">
        <v>60371.584522303419</v>
      </c>
      <c r="H20" s="249">
        <v>60371.584522303419</v>
      </c>
      <c r="I20" s="250">
        <v>60371.584522303419</v>
      </c>
      <c r="J20" s="249">
        <v>60371.584522303419</v>
      </c>
      <c r="K20" s="249">
        <v>60371.584522303419</v>
      </c>
      <c r="L20" s="249">
        <v>60371.584522303419</v>
      </c>
      <c r="M20" s="247">
        <v>60371.584522303419</v>
      </c>
      <c r="N20" s="248">
        <v>60371.584522303419</v>
      </c>
      <c r="O20" s="250">
        <v>60371.584522303419</v>
      </c>
      <c r="P20" s="247">
        <v>60371.584522303419</v>
      </c>
      <c r="Q20" s="248">
        <v>60371.584522303419</v>
      </c>
      <c r="R20" s="251">
        <v>60371.584522303419</v>
      </c>
      <c r="S20" s="252">
        <v>724459.014267641</v>
      </c>
    </row>
    <row r="21" spans="1:19" x14ac:dyDescent="0.3">
      <c r="A21" s="476"/>
      <c r="B21" s="217"/>
      <c r="C21" s="243">
        <v>19</v>
      </c>
      <c r="D21" s="244" t="s">
        <v>85</v>
      </c>
      <c r="E21" s="245" t="s">
        <v>83</v>
      </c>
      <c r="F21" s="246"/>
      <c r="G21" s="247">
        <v>9391.1988135238371</v>
      </c>
      <c r="H21" s="249">
        <v>9372.8694707289651</v>
      </c>
      <c r="I21" s="250">
        <v>8938.0740371813154</v>
      </c>
      <c r="J21" s="249">
        <v>8869.2225232991932</v>
      </c>
      <c r="K21" s="249">
        <v>8869.2225232991932</v>
      </c>
      <c r="L21" s="249">
        <v>8762.0830476581687</v>
      </c>
      <c r="M21" s="247">
        <v>8691.5454602471109</v>
      </c>
      <c r="N21" s="248">
        <v>7986.1507168131129</v>
      </c>
      <c r="O21" s="250">
        <v>6668.8100503916421</v>
      </c>
      <c r="P21" s="247">
        <v>5538.8986399829873</v>
      </c>
      <c r="Q21" s="248">
        <v>5136.2646298419613</v>
      </c>
      <c r="R21" s="251">
        <v>5136.2646298419613</v>
      </c>
      <c r="S21" s="252">
        <v>93360.604542809422</v>
      </c>
    </row>
    <row r="22" spans="1:19" x14ac:dyDescent="0.3">
      <c r="A22" s="476"/>
      <c r="B22" s="217"/>
      <c r="C22" s="243">
        <v>20</v>
      </c>
      <c r="D22" s="244" t="s">
        <v>86</v>
      </c>
      <c r="E22" s="245" t="s">
        <v>72</v>
      </c>
      <c r="F22" s="246"/>
      <c r="G22" s="247">
        <v>2915.6238039215687</v>
      </c>
      <c r="H22" s="248">
        <v>2915.6238039215687</v>
      </c>
      <c r="I22" s="250">
        <v>2915.6238039215687</v>
      </c>
      <c r="J22" s="249">
        <v>2915.6238039215687</v>
      </c>
      <c r="K22" s="249">
        <v>2915.6238039215687</v>
      </c>
      <c r="L22" s="249">
        <v>2915.6238039215687</v>
      </c>
      <c r="M22" s="253">
        <v>2915.6238039215687</v>
      </c>
      <c r="N22" s="255">
        <v>2915.6238039215687</v>
      </c>
      <c r="O22" s="254">
        <v>2915.6238039215687</v>
      </c>
      <c r="P22" s="253">
        <v>2915.6238039215687</v>
      </c>
      <c r="Q22" s="255">
        <v>2915.6238039215687</v>
      </c>
      <c r="R22" s="257">
        <v>2915.6238039215687</v>
      </c>
      <c r="S22" s="252">
        <v>34987.48564705882</v>
      </c>
    </row>
    <row r="23" spans="1:19" x14ac:dyDescent="0.3">
      <c r="A23" s="476"/>
      <c r="B23" s="217"/>
      <c r="C23" s="243">
        <v>21</v>
      </c>
      <c r="D23" s="244" t="s">
        <v>87</v>
      </c>
      <c r="E23" s="245" t="s">
        <v>72</v>
      </c>
      <c r="F23" s="246"/>
      <c r="G23" s="247">
        <v>10000</v>
      </c>
      <c r="H23" s="248">
        <v>10000</v>
      </c>
      <c r="I23" s="250">
        <v>10000</v>
      </c>
      <c r="J23" s="249">
        <v>10000</v>
      </c>
      <c r="K23" s="249">
        <v>10000</v>
      </c>
      <c r="L23" s="256">
        <v>10000</v>
      </c>
      <c r="M23" s="253">
        <v>10000</v>
      </c>
      <c r="N23" s="255">
        <v>10000</v>
      </c>
      <c r="O23" s="254">
        <v>10000</v>
      </c>
      <c r="P23" s="253">
        <v>10000</v>
      </c>
      <c r="Q23" s="255">
        <v>10000</v>
      </c>
      <c r="R23" s="257">
        <v>10000</v>
      </c>
      <c r="S23" s="252">
        <v>120000</v>
      </c>
    </row>
    <row r="24" spans="1:19" x14ac:dyDescent="0.3">
      <c r="A24" s="476"/>
      <c r="B24" s="217"/>
      <c r="C24" s="243">
        <v>22</v>
      </c>
      <c r="D24" s="244" t="s">
        <v>88</v>
      </c>
      <c r="E24" s="245" t="s">
        <v>89</v>
      </c>
      <c r="F24" s="246">
        <v>0.01</v>
      </c>
      <c r="G24" s="247">
        <v>36118.995485177395</v>
      </c>
      <c r="H24" s="248">
        <v>34043.643850612461</v>
      </c>
      <c r="I24" s="250">
        <v>39742.690065241892</v>
      </c>
      <c r="J24" s="249">
        <v>37825.743443964042</v>
      </c>
      <c r="K24" s="249">
        <v>37668.591591839315</v>
      </c>
      <c r="L24" s="249">
        <v>39302.655977238188</v>
      </c>
      <c r="M24" s="253">
        <v>35675.325597343704</v>
      </c>
      <c r="N24" s="255">
        <v>33905.684813466585</v>
      </c>
      <c r="O24" s="254">
        <v>34615.428826226795</v>
      </c>
      <c r="P24" s="253">
        <v>34301.416380218427</v>
      </c>
      <c r="Q24" s="255">
        <v>30556.501104715531</v>
      </c>
      <c r="R24" s="257">
        <v>29045.30990160237</v>
      </c>
      <c r="S24" s="252">
        <v>422801.9870376467</v>
      </c>
    </row>
    <row r="25" spans="1:19" x14ac:dyDescent="0.3">
      <c r="A25" s="476"/>
      <c r="B25" s="258"/>
      <c r="C25" s="259">
        <v>23</v>
      </c>
      <c r="D25" s="260" t="s">
        <v>90</v>
      </c>
      <c r="E25" s="261" t="s">
        <v>91</v>
      </c>
      <c r="F25" s="262"/>
      <c r="G25" s="263">
        <v>243017.90953449905</v>
      </c>
      <c r="H25" s="264">
        <v>200000</v>
      </c>
      <c r="I25" s="265">
        <v>250000</v>
      </c>
      <c r="J25" s="266">
        <v>100000</v>
      </c>
      <c r="K25" s="264"/>
      <c r="L25" s="265"/>
      <c r="M25" s="263"/>
      <c r="N25" s="264"/>
      <c r="O25" s="265"/>
      <c r="P25" s="263"/>
      <c r="Q25" s="264"/>
      <c r="R25" s="267"/>
      <c r="S25" s="268">
        <v>793017.90953449905</v>
      </c>
    </row>
    <row r="26" spans="1:19" ht="17.25" thickBot="1" x14ac:dyDescent="0.35">
      <c r="A26" s="476"/>
      <c r="B26" s="217"/>
      <c r="C26" s="269"/>
      <c r="D26" s="270" t="s">
        <v>92</v>
      </c>
      <c r="E26" s="271"/>
      <c r="F26" s="272"/>
      <c r="G26" s="273">
        <v>971161.53555780998</v>
      </c>
      <c r="H26" s="274">
        <v>880682.4820172895</v>
      </c>
      <c r="I26" s="275">
        <v>1016588.1998902073</v>
      </c>
      <c r="J26" s="276">
        <v>1001347.7654047256</v>
      </c>
      <c r="K26" s="276">
        <v>1010940.2426032751</v>
      </c>
      <c r="L26" s="276">
        <v>1069163.6366813036</v>
      </c>
      <c r="M26" s="277">
        <v>1055167.7088403362</v>
      </c>
      <c r="N26" s="278">
        <v>1030428.2589602208</v>
      </c>
      <c r="O26" s="279">
        <v>1029458.9973162699</v>
      </c>
      <c r="P26" s="277">
        <v>996164.45834976376</v>
      </c>
      <c r="Q26" s="278">
        <v>946715.71705861273</v>
      </c>
      <c r="R26" s="280">
        <v>944536.69732936355</v>
      </c>
      <c r="S26" s="281">
        <v>11952355.700009177</v>
      </c>
    </row>
    <row r="27" spans="1:19" ht="17.25" thickBot="1" x14ac:dyDescent="0.35">
      <c r="A27" s="477"/>
      <c r="B27" s="468" t="s">
        <v>93</v>
      </c>
      <c r="C27" s="468"/>
      <c r="D27" s="468"/>
      <c r="E27" s="210"/>
      <c r="F27" s="282"/>
      <c r="G27" s="283">
        <v>2346417.2034022156</v>
      </c>
      <c r="H27" s="284">
        <v>2140767.3382263812</v>
      </c>
      <c r="I27" s="285">
        <v>2422119.7958621038</v>
      </c>
      <c r="J27" s="286">
        <v>2376403.8990835603</v>
      </c>
      <c r="K27" s="284">
        <v>2367561.6439124541</v>
      </c>
      <c r="L27" s="284">
        <v>2437544.5052503292</v>
      </c>
      <c r="M27" s="287">
        <v>2184793.0500393324</v>
      </c>
      <c r="N27" s="288">
        <v>2103755.0093285381</v>
      </c>
      <c r="O27" s="289">
        <v>2115854.1329262364</v>
      </c>
      <c r="P27" s="287">
        <v>2059084.3976017362</v>
      </c>
      <c r="Q27" s="288">
        <v>1916877.8785114645</v>
      </c>
      <c r="R27" s="290">
        <v>1875643.9697287318</v>
      </c>
      <c r="S27" s="291">
        <v>26346822.82387308</v>
      </c>
    </row>
    <row r="28" spans="1:19" ht="17.25" thickBot="1" x14ac:dyDescent="0.35">
      <c r="A28" s="478" t="s">
        <v>94</v>
      </c>
      <c r="B28" s="479"/>
      <c r="C28" s="479"/>
      <c r="D28" s="479"/>
      <c r="E28" s="3"/>
      <c r="F28" s="282"/>
      <c r="G28" s="283">
        <v>2346417.2034022156</v>
      </c>
      <c r="H28" s="284">
        <v>2140767.3382263812</v>
      </c>
      <c r="I28" s="285">
        <v>2422119.7958621038</v>
      </c>
      <c r="J28" s="286">
        <v>2376403.8990835603</v>
      </c>
      <c r="K28" s="284">
        <v>2367561.6439124541</v>
      </c>
      <c r="L28" s="284">
        <v>2437544.5052503292</v>
      </c>
      <c r="M28" s="287">
        <v>2184793.0500393324</v>
      </c>
      <c r="N28" s="288">
        <v>2103755.0093285381</v>
      </c>
      <c r="O28" s="289">
        <v>2115854.1329262364</v>
      </c>
      <c r="P28" s="287">
        <v>2059084.3976017362</v>
      </c>
      <c r="Q28" s="288">
        <v>1916877.8785114645</v>
      </c>
      <c r="R28" s="290">
        <v>1875643.9697287318</v>
      </c>
      <c r="S28" s="294">
        <v>26346822.823873084</v>
      </c>
    </row>
    <row r="29" spans="1:19" ht="17.25" thickBot="1" x14ac:dyDescent="0.35">
      <c r="A29" s="480" t="s">
        <v>95</v>
      </c>
      <c r="B29" s="481"/>
      <c r="C29" s="481"/>
      <c r="D29" s="481"/>
      <c r="E29" s="295"/>
      <c r="F29" s="296"/>
      <c r="G29" s="283">
        <v>0</v>
      </c>
      <c r="H29" s="284">
        <v>0</v>
      </c>
      <c r="I29" s="285">
        <v>0</v>
      </c>
      <c r="J29" s="286">
        <v>0</v>
      </c>
      <c r="K29" s="286">
        <v>0</v>
      </c>
      <c r="L29" s="297">
        <v>0</v>
      </c>
      <c r="M29" s="298">
        <v>0</v>
      </c>
      <c r="N29" s="299">
        <v>0</v>
      </c>
      <c r="O29" s="300">
        <v>0</v>
      </c>
      <c r="P29" s="298">
        <v>0</v>
      </c>
      <c r="Q29" s="299">
        <v>0</v>
      </c>
      <c r="R29" s="301">
        <v>0</v>
      </c>
      <c r="S29" s="302"/>
    </row>
    <row r="30" spans="1:19" ht="17.25" thickBot="1" x14ac:dyDescent="0.35">
      <c r="A30" s="478" t="s">
        <v>96</v>
      </c>
      <c r="B30" s="479"/>
      <c r="C30" s="479"/>
      <c r="D30" s="479"/>
      <c r="E30" s="3"/>
      <c r="F30" s="282"/>
      <c r="G30" s="303">
        <v>0.64963523262022727</v>
      </c>
      <c r="H30" s="304">
        <v>0.6288302590698932</v>
      </c>
      <c r="I30" s="305">
        <v>0.6094503899675473</v>
      </c>
      <c r="J30" s="306">
        <v>0.62825041432537121</v>
      </c>
      <c r="K30" s="304">
        <v>0.6285240684245208</v>
      </c>
      <c r="L30" s="304">
        <v>0.62019841780209806</v>
      </c>
      <c r="M30" s="307">
        <v>0.61241012197012912</v>
      </c>
      <c r="N30" s="308">
        <v>0.62047264961684934</v>
      </c>
      <c r="O30" s="309">
        <v>0.61124596882738436</v>
      </c>
      <c r="P30" s="307">
        <v>0.60029136254245385</v>
      </c>
      <c r="Q30" s="308">
        <v>0.62732243850250535</v>
      </c>
      <c r="R30" s="310">
        <v>0.6457648329740342</v>
      </c>
      <c r="S30" s="311"/>
    </row>
    <row r="31" spans="1:19" ht="17.25" thickBot="1" x14ac:dyDescent="0.35">
      <c r="A31" s="478" t="s">
        <v>97</v>
      </c>
      <c r="B31" s="479"/>
      <c r="C31" s="479"/>
      <c r="D31" s="479"/>
      <c r="E31" s="3"/>
      <c r="F31" s="282"/>
      <c r="G31" s="303">
        <v>0.64963523262022727</v>
      </c>
      <c r="H31" s="304">
        <v>0.6288302590698932</v>
      </c>
      <c r="I31" s="305">
        <v>0.6094503899675473</v>
      </c>
      <c r="J31" s="306">
        <v>0.62825041432537121</v>
      </c>
      <c r="K31" s="304">
        <v>0.6285240684245208</v>
      </c>
      <c r="L31" s="304">
        <v>0.62019841780209806</v>
      </c>
      <c r="M31" s="307">
        <v>0.61241012197012912</v>
      </c>
      <c r="N31" s="308">
        <v>0.62047264961684934</v>
      </c>
      <c r="O31" s="309">
        <v>0.61124596882738436</v>
      </c>
      <c r="P31" s="307">
        <v>0.60029136254245385</v>
      </c>
      <c r="Q31" s="308">
        <v>0.62732243850250535</v>
      </c>
      <c r="R31" s="310">
        <v>0.6457648329740342</v>
      </c>
      <c r="S31" s="311"/>
    </row>
    <row r="32" spans="1:19" x14ac:dyDescent="0.3">
      <c r="A32" s="312"/>
      <c r="B32" s="312"/>
      <c r="C32" s="313"/>
      <c r="D32" s="314" t="s">
        <v>98</v>
      </c>
      <c r="E32" s="314"/>
      <c r="F32" s="315"/>
      <c r="G32" s="316">
        <v>461263.45577734662</v>
      </c>
      <c r="H32" s="316">
        <v>862965.42624049541</v>
      </c>
      <c r="I32" s="316">
        <v>1123540.5754608398</v>
      </c>
      <c r="J32" s="316">
        <v>997877.20153435483</v>
      </c>
      <c r="K32" s="316">
        <v>992148.80556715664</v>
      </c>
      <c r="L32" s="317">
        <v>1078809.6134108473</v>
      </c>
      <c r="M32" s="317">
        <v>1015862.4899729983</v>
      </c>
      <c r="N32" s="317">
        <v>924083.90945692791</v>
      </c>
      <c r="O32" s="317">
        <v>973540.41716406262</v>
      </c>
      <c r="P32" s="317">
        <v>1010677.9936473992</v>
      </c>
      <c r="Q32" s="317">
        <v>785811.72716124286</v>
      </c>
      <c r="R32" s="317">
        <v>666588.70026569953</v>
      </c>
      <c r="S32" s="317">
        <v>11633823.31565937</v>
      </c>
    </row>
    <row r="33" spans="1:19" x14ac:dyDescent="0.3">
      <c r="A33" s="312"/>
      <c r="B33" s="312"/>
      <c r="C33" s="313"/>
      <c r="D33" s="314" t="s">
        <v>99</v>
      </c>
      <c r="E33" s="314"/>
      <c r="F33" s="315"/>
      <c r="G33" s="318">
        <v>0.12770661242963999</v>
      </c>
      <c r="H33" s="318">
        <v>0.25348797268215173</v>
      </c>
      <c r="I33" s="318">
        <v>0.28270370566673453</v>
      </c>
      <c r="J33" s="318">
        <v>0.26380901224390579</v>
      </c>
      <c r="K33" s="318">
        <v>0.26338887748117984</v>
      </c>
      <c r="L33" s="319">
        <v>0.27448771249343329</v>
      </c>
      <c r="M33" s="319">
        <v>0.28475212852679249</v>
      </c>
      <c r="N33" s="319">
        <v>0.27254541960759993</v>
      </c>
      <c r="O33" s="319">
        <v>0.28124465019669154</v>
      </c>
      <c r="P33" s="319">
        <v>0.29464614010232409</v>
      </c>
      <c r="Q33" s="319">
        <v>0.25716678898160072</v>
      </c>
      <c r="R33" s="319">
        <v>0.22949959994364708</v>
      </c>
      <c r="S33" s="319">
        <v>0.27516009083049753</v>
      </c>
    </row>
    <row r="34" spans="1:19" x14ac:dyDescent="0.3">
      <c r="A34" s="312"/>
      <c r="B34" s="312"/>
      <c r="C34" s="313"/>
      <c r="D34" s="314" t="s">
        <v>100</v>
      </c>
      <c r="E34" s="314"/>
      <c r="F34" s="315"/>
      <c r="G34" s="318">
        <v>6.0424035417156532E-2</v>
      </c>
      <c r="H34" s="318">
        <v>0.19473985486091505</v>
      </c>
      <c r="I34" s="318">
        <v>0.21979905588344148</v>
      </c>
      <c r="J34" s="318">
        <v>0.23737199055042807</v>
      </c>
      <c r="K34" s="318">
        <v>0.26338887748117984</v>
      </c>
      <c r="L34" s="319">
        <v>0.27448771249343329</v>
      </c>
      <c r="M34" s="319">
        <v>0.28475212852679249</v>
      </c>
      <c r="N34" s="319">
        <v>0.27254541960759993</v>
      </c>
      <c r="O34" s="319">
        <v>0.28124465019669154</v>
      </c>
      <c r="P34" s="319">
        <v>0.29464614010232409</v>
      </c>
      <c r="Q34" s="319">
        <v>0.25716678898160072</v>
      </c>
      <c r="R34" s="319">
        <v>0.22949959994364708</v>
      </c>
      <c r="S34" s="319">
        <v>0.25640384242469505</v>
      </c>
    </row>
    <row r="35" spans="1:19" x14ac:dyDescent="0.3">
      <c r="A35" s="320"/>
      <c r="B35" s="320"/>
      <c r="C35" s="321"/>
      <c r="D35" s="320"/>
      <c r="E35" s="320"/>
      <c r="F35" s="322"/>
      <c r="G35" s="323"/>
      <c r="H35" s="323"/>
      <c r="I35" s="323"/>
      <c r="J35" s="324"/>
      <c r="K35" s="324"/>
      <c r="L35" s="325"/>
      <c r="M35" s="325"/>
      <c r="N35" s="325"/>
      <c r="O35" s="325"/>
      <c r="P35" s="325"/>
      <c r="Q35" s="325"/>
      <c r="R35" s="325"/>
      <c r="S35" s="325"/>
    </row>
    <row r="36" spans="1:19" ht="18" thickBot="1" x14ac:dyDescent="0.35">
      <c r="A36" s="326" t="s">
        <v>101</v>
      </c>
      <c r="B36" s="327"/>
      <c r="C36" s="328"/>
      <c r="D36" s="329"/>
      <c r="E36" s="329"/>
      <c r="F36" s="330"/>
      <c r="G36" s="331"/>
      <c r="H36" s="331"/>
      <c r="I36" s="331"/>
      <c r="J36" s="331"/>
      <c r="K36" s="331"/>
      <c r="L36" s="331"/>
      <c r="M36" s="332"/>
      <c r="N36" s="332"/>
      <c r="O36" s="332"/>
      <c r="P36" s="332"/>
      <c r="Q36" s="332"/>
      <c r="R36" s="332"/>
      <c r="S36" s="333" t="s">
        <v>146</v>
      </c>
    </row>
    <row r="37" spans="1:19" ht="17.25" thickBot="1" x14ac:dyDescent="0.35">
      <c r="A37" s="1" t="s">
        <v>41</v>
      </c>
      <c r="B37" s="334" t="s">
        <v>42</v>
      </c>
      <c r="C37" s="3" t="s">
        <v>43</v>
      </c>
      <c r="D37" s="335" t="s">
        <v>44</v>
      </c>
      <c r="E37" s="336" t="s">
        <v>45</v>
      </c>
      <c r="F37" s="337" t="s">
        <v>46</v>
      </c>
      <c r="G37" s="338" t="s">
        <v>17</v>
      </c>
      <c r="H37" s="339" t="s">
        <v>18</v>
      </c>
      <c r="I37" s="340" t="s">
        <v>19</v>
      </c>
      <c r="J37" s="338" t="s">
        <v>20</v>
      </c>
      <c r="K37" s="3" t="s">
        <v>21</v>
      </c>
      <c r="L37" s="340" t="s">
        <v>22</v>
      </c>
      <c r="M37" s="341" t="s">
        <v>23</v>
      </c>
      <c r="N37" s="339" t="s">
        <v>24</v>
      </c>
      <c r="O37" s="342" t="s">
        <v>25</v>
      </c>
      <c r="P37" s="338" t="s">
        <v>26</v>
      </c>
      <c r="Q37" s="339" t="s">
        <v>27</v>
      </c>
      <c r="R37" s="340" t="s">
        <v>28</v>
      </c>
      <c r="S37" s="343" t="s">
        <v>29</v>
      </c>
    </row>
    <row r="38" spans="1:19" x14ac:dyDescent="0.3">
      <c r="A38" s="465" t="s">
        <v>5</v>
      </c>
      <c r="B38" s="344" t="s">
        <v>103</v>
      </c>
      <c r="C38" s="345">
        <v>24</v>
      </c>
      <c r="D38" s="346" t="s">
        <v>53</v>
      </c>
      <c r="E38" s="347" t="s">
        <v>54</v>
      </c>
      <c r="F38" s="348"/>
      <c r="G38" s="349">
        <v>150215.74621363636</v>
      </c>
      <c r="H38" s="350">
        <v>150215.74621363636</v>
      </c>
      <c r="I38" s="351">
        <v>150215.74621363636</v>
      </c>
      <c r="J38" s="349">
        <v>150215.74621363636</v>
      </c>
      <c r="K38" s="350">
        <v>150215.74621363636</v>
      </c>
      <c r="L38" s="351">
        <v>150215.74621363636</v>
      </c>
      <c r="M38" s="352">
        <v>150215.74621363636</v>
      </c>
      <c r="N38" s="350">
        <v>150215.74621363636</v>
      </c>
      <c r="O38" s="350">
        <v>150215.74621363636</v>
      </c>
      <c r="P38" s="349">
        <v>150215.74621363636</v>
      </c>
      <c r="Q38" s="350">
        <v>150215.74621363636</v>
      </c>
      <c r="R38" s="351">
        <v>150215.74621363636</v>
      </c>
      <c r="S38" s="353">
        <v>1802588.9545636363</v>
      </c>
    </row>
    <row r="39" spans="1:19" x14ac:dyDescent="0.3">
      <c r="A39" s="466"/>
      <c r="B39" s="258"/>
      <c r="C39" s="354">
        <v>25</v>
      </c>
      <c r="D39" s="355" t="s">
        <v>56</v>
      </c>
      <c r="E39" s="356" t="s">
        <v>54</v>
      </c>
      <c r="F39" s="357"/>
      <c r="G39" s="358">
        <v>17261.93181818182</v>
      </c>
      <c r="H39" s="359">
        <v>8630.9659090909099</v>
      </c>
      <c r="I39" s="360">
        <v>17261.93181818182</v>
      </c>
      <c r="J39" s="358">
        <v>16598.011363636364</v>
      </c>
      <c r="K39" s="359">
        <v>16598.011363636364</v>
      </c>
      <c r="L39" s="360">
        <v>16598.011363636364</v>
      </c>
      <c r="M39" s="361">
        <v>17925.852272727272</v>
      </c>
      <c r="N39" s="359">
        <v>17261.93181818182</v>
      </c>
      <c r="O39" s="359">
        <v>16598.011363636364</v>
      </c>
      <c r="P39" s="358">
        <v>17925.852272727272</v>
      </c>
      <c r="Q39" s="359">
        <v>16598.011363636364</v>
      </c>
      <c r="R39" s="360">
        <v>17925.852272727272</v>
      </c>
      <c r="S39" s="362">
        <v>197184.37499999997</v>
      </c>
    </row>
    <row r="40" spans="1:19" x14ac:dyDescent="0.3">
      <c r="A40" s="466"/>
      <c r="B40" s="258"/>
      <c r="C40" s="354">
        <v>26</v>
      </c>
      <c r="D40" s="355" t="s">
        <v>104</v>
      </c>
      <c r="E40" s="356" t="s">
        <v>105</v>
      </c>
      <c r="F40" s="357">
        <v>2E-3</v>
      </c>
      <c r="G40" s="358">
        <v>7223.7990970354786</v>
      </c>
      <c r="H40" s="359">
        <v>6808.7287701224932</v>
      </c>
      <c r="I40" s="360">
        <v>17948.538013048379</v>
      </c>
      <c r="J40" s="358">
        <v>7565.1486887928086</v>
      </c>
      <c r="K40" s="359">
        <v>7533.7183183678635</v>
      </c>
      <c r="L40" s="360">
        <v>17860.531195447635</v>
      </c>
      <c r="M40" s="361">
        <v>7135.0651194687407</v>
      </c>
      <c r="N40" s="359">
        <v>6781.1369626933174</v>
      </c>
      <c r="O40" s="359">
        <v>16923.08576524536</v>
      </c>
      <c r="P40" s="358">
        <v>6860.283276043685</v>
      </c>
      <c r="Q40" s="359">
        <v>6111.3002209431061</v>
      </c>
      <c r="R40" s="360">
        <v>15809.061980320475</v>
      </c>
      <c r="S40" s="362">
        <v>124560.39740752934</v>
      </c>
    </row>
    <row r="41" spans="1:19" x14ac:dyDescent="0.3">
      <c r="A41" s="466"/>
      <c r="B41" s="258"/>
      <c r="C41" s="354">
        <v>27</v>
      </c>
      <c r="D41" s="363" t="s">
        <v>106</v>
      </c>
      <c r="E41" s="364" t="s">
        <v>107</v>
      </c>
      <c r="F41" s="365">
        <v>2.8199999999999999E-2</v>
      </c>
      <c r="G41" s="366">
        <v>64921.082687325783</v>
      </c>
      <c r="H41" s="367">
        <v>57776.435679896473</v>
      </c>
      <c r="I41" s="368">
        <v>62314.830006522825</v>
      </c>
      <c r="J41" s="369">
        <v>56352.272184082176</v>
      </c>
      <c r="K41" s="367">
        <v>55831.115575777934</v>
      </c>
      <c r="L41" s="368">
        <v>55283.568230080265</v>
      </c>
      <c r="M41" s="369">
        <v>26110.229253569909</v>
      </c>
      <c r="N41" s="367">
        <v>24624.47489420991</v>
      </c>
      <c r="O41" s="368">
        <v>24454.36125019368</v>
      </c>
      <c r="P41" s="369">
        <v>24119.594972450097</v>
      </c>
      <c r="Q41" s="367">
        <v>22167.704405531927</v>
      </c>
      <c r="R41" s="368">
        <v>22316.476289548162</v>
      </c>
      <c r="S41" s="362">
        <v>496272.14542918914</v>
      </c>
    </row>
    <row r="42" spans="1:19" x14ac:dyDescent="0.3">
      <c r="A42" s="466"/>
      <c r="B42" s="258"/>
      <c r="C42" s="354">
        <v>28</v>
      </c>
      <c r="D42" s="355" t="s">
        <v>108</v>
      </c>
      <c r="E42" s="356" t="s">
        <v>109</v>
      </c>
      <c r="F42" s="357"/>
      <c r="G42" s="358">
        <v>501.4782745098039</v>
      </c>
      <c r="H42" s="359">
        <v>501.4782745098039</v>
      </c>
      <c r="I42" s="360">
        <v>501.4782745098039</v>
      </c>
      <c r="J42" s="358">
        <v>501.4782745098039</v>
      </c>
      <c r="K42" s="359">
        <v>501.4782745098039</v>
      </c>
      <c r="L42" s="360">
        <v>501.4782745098039</v>
      </c>
      <c r="M42" s="361">
        <v>501.4782745098039</v>
      </c>
      <c r="N42" s="359">
        <v>501.4782745098039</v>
      </c>
      <c r="O42" s="359">
        <v>501.4782745098039</v>
      </c>
      <c r="P42" s="358">
        <v>501.4782745098039</v>
      </c>
      <c r="Q42" s="359">
        <v>501.4782745098039</v>
      </c>
      <c r="R42" s="360">
        <v>501.4782745098039</v>
      </c>
      <c r="S42" s="362">
        <v>6017.7392941176449</v>
      </c>
    </row>
    <row r="43" spans="1:19" x14ac:dyDescent="0.3">
      <c r="A43" s="466"/>
      <c r="B43" s="258"/>
      <c r="C43" s="354">
        <v>29</v>
      </c>
      <c r="D43" s="355" t="s">
        <v>110</v>
      </c>
      <c r="E43" s="356" t="s">
        <v>72</v>
      </c>
      <c r="F43" s="357"/>
      <c r="G43" s="358">
        <v>1671.6688235294118</v>
      </c>
      <c r="H43" s="359">
        <v>1671.6688235294118</v>
      </c>
      <c r="I43" s="360">
        <v>1671.6688235294118</v>
      </c>
      <c r="J43" s="358">
        <v>1671.6688235294118</v>
      </c>
      <c r="K43" s="359">
        <v>1671.6688235294118</v>
      </c>
      <c r="L43" s="360">
        <v>1671.6688235294118</v>
      </c>
      <c r="M43" s="361">
        <v>1671.6688235294118</v>
      </c>
      <c r="N43" s="359">
        <v>1671.6688235294118</v>
      </c>
      <c r="O43" s="359">
        <v>1671.6688235294118</v>
      </c>
      <c r="P43" s="358">
        <v>1671.6688235294118</v>
      </c>
      <c r="Q43" s="359">
        <v>1671.6688235294118</v>
      </c>
      <c r="R43" s="360">
        <v>1671.6688235294118</v>
      </c>
      <c r="S43" s="362">
        <v>20060.025882352944</v>
      </c>
    </row>
    <row r="44" spans="1:19" x14ac:dyDescent="0.3">
      <c r="A44" s="466"/>
      <c r="B44" s="258"/>
      <c r="C44" s="354">
        <v>30</v>
      </c>
      <c r="D44" s="355" t="s">
        <v>111</v>
      </c>
      <c r="E44" s="356" t="s">
        <v>112</v>
      </c>
      <c r="F44" s="357"/>
      <c r="G44" s="358">
        <v>9552.6458431372557</v>
      </c>
      <c r="H44" s="359">
        <v>9552.6458431372557</v>
      </c>
      <c r="I44" s="360">
        <v>9552.6458431372557</v>
      </c>
      <c r="J44" s="358">
        <v>9552.6458431372557</v>
      </c>
      <c r="K44" s="359">
        <v>9552.6458431372557</v>
      </c>
      <c r="L44" s="360">
        <v>9552.6458431372557</v>
      </c>
      <c r="M44" s="361">
        <v>9552.6458431372557</v>
      </c>
      <c r="N44" s="359">
        <v>9552.6458431372557</v>
      </c>
      <c r="O44" s="359">
        <v>9552.6458431372557</v>
      </c>
      <c r="P44" s="358">
        <v>9552.6458431372557</v>
      </c>
      <c r="Q44" s="359">
        <v>9552.6458431372557</v>
      </c>
      <c r="R44" s="360">
        <v>9552.6458431372557</v>
      </c>
      <c r="S44" s="362">
        <v>114631.7501176471</v>
      </c>
    </row>
    <row r="45" spans="1:19" x14ac:dyDescent="0.3">
      <c r="A45" s="466"/>
      <c r="B45" s="258"/>
      <c r="C45" s="354">
        <v>31</v>
      </c>
      <c r="D45" s="355" t="s">
        <v>113</v>
      </c>
      <c r="E45" s="356" t="s">
        <v>114</v>
      </c>
      <c r="F45" s="357"/>
      <c r="G45" s="358">
        <v>4272.7547058823529</v>
      </c>
      <c r="H45" s="359">
        <v>4272.7547058823529</v>
      </c>
      <c r="I45" s="360">
        <v>4272.7547058823529</v>
      </c>
      <c r="J45" s="358">
        <v>4272.7547058823529</v>
      </c>
      <c r="K45" s="359">
        <v>4272.7547058823529</v>
      </c>
      <c r="L45" s="360"/>
      <c r="M45" s="361"/>
      <c r="N45" s="359"/>
      <c r="O45" s="359"/>
      <c r="P45" s="358"/>
      <c r="Q45" s="359"/>
      <c r="R45" s="360"/>
      <c r="S45" s="362">
        <v>21363.773529411767</v>
      </c>
    </row>
    <row r="46" spans="1:19" x14ac:dyDescent="0.3">
      <c r="A46" s="466"/>
      <c r="B46" s="258"/>
      <c r="C46" s="354">
        <v>32</v>
      </c>
      <c r="D46" s="363" t="s">
        <v>115</v>
      </c>
      <c r="E46" s="364" t="s">
        <v>116</v>
      </c>
      <c r="F46" s="365">
        <v>0</v>
      </c>
      <c r="G46" s="366"/>
      <c r="H46" s="367"/>
      <c r="I46" s="368"/>
      <c r="J46" s="366"/>
      <c r="K46" s="367"/>
      <c r="L46" s="368"/>
      <c r="M46" s="369"/>
      <c r="N46" s="367"/>
      <c r="O46" s="367"/>
      <c r="P46" s="366"/>
      <c r="Q46" s="367"/>
      <c r="R46" s="368"/>
      <c r="S46" s="362">
        <v>0</v>
      </c>
    </row>
    <row r="47" spans="1:19" x14ac:dyDescent="0.3">
      <c r="A47" s="466"/>
      <c r="B47" s="258"/>
      <c r="C47" s="354">
        <v>33</v>
      </c>
      <c r="D47" s="363" t="s">
        <v>117</v>
      </c>
      <c r="E47" s="364" t="s">
        <v>116</v>
      </c>
      <c r="F47" s="365">
        <v>0</v>
      </c>
      <c r="G47" s="366"/>
      <c r="H47" s="367"/>
      <c r="I47" s="368"/>
      <c r="J47" s="366"/>
      <c r="K47" s="367"/>
      <c r="L47" s="368"/>
      <c r="M47" s="369"/>
      <c r="N47" s="367"/>
      <c r="O47" s="367"/>
      <c r="P47" s="366"/>
      <c r="Q47" s="367"/>
      <c r="R47" s="368"/>
      <c r="S47" s="362">
        <v>0</v>
      </c>
    </row>
    <row r="48" spans="1:19" x14ac:dyDescent="0.3">
      <c r="A48" s="466"/>
      <c r="B48" s="258"/>
      <c r="C48" s="354">
        <v>34</v>
      </c>
      <c r="D48" s="355" t="s">
        <v>118</v>
      </c>
      <c r="E48" s="356" t="s">
        <v>119</v>
      </c>
      <c r="F48" s="357"/>
      <c r="G48" s="358">
        <v>3377.3308231221517</v>
      </c>
      <c r="H48" s="359">
        <v>2581.6925679310039</v>
      </c>
      <c r="I48" s="360">
        <v>3615.4742895696832</v>
      </c>
      <c r="J48" s="358">
        <v>3473.2636117596426</v>
      </c>
      <c r="K48" s="359">
        <v>3527.4839985539529</v>
      </c>
      <c r="L48" s="360">
        <v>4056.9488835378875</v>
      </c>
      <c r="M48" s="361">
        <v>4191.9914886115448</v>
      </c>
      <c r="N48" s="359">
        <v>4091.1853023083208</v>
      </c>
      <c r="O48" s="359">
        <v>4037.4529527034806</v>
      </c>
      <c r="P48" s="358">
        <v>3583.7136072440176</v>
      </c>
      <c r="Q48" s="359">
        <v>3314.8517418567408</v>
      </c>
      <c r="R48" s="360">
        <v>3365.9361215325985</v>
      </c>
      <c r="S48" s="362">
        <v>43217.325388731027</v>
      </c>
    </row>
    <row r="49" spans="1:19" x14ac:dyDescent="0.3">
      <c r="A49" s="466"/>
      <c r="B49" s="258"/>
      <c r="C49" s="354">
        <v>35</v>
      </c>
      <c r="D49" s="355" t="s">
        <v>120</v>
      </c>
      <c r="E49" s="356" t="s">
        <v>121</v>
      </c>
      <c r="F49" s="357"/>
      <c r="G49" s="370">
        <v>0</v>
      </c>
      <c r="H49" s="371">
        <v>0</v>
      </c>
      <c r="I49" s="372">
        <v>0</v>
      </c>
      <c r="J49" s="370">
        <v>0</v>
      </c>
      <c r="K49" s="371">
        <v>0</v>
      </c>
      <c r="L49" s="372">
        <v>0</v>
      </c>
      <c r="M49" s="373">
        <v>0</v>
      </c>
      <c r="N49" s="371">
        <v>0</v>
      </c>
      <c r="O49" s="371">
        <v>0</v>
      </c>
      <c r="P49" s="370">
        <v>0</v>
      </c>
      <c r="Q49" s="371">
        <v>0</v>
      </c>
      <c r="R49" s="372">
        <v>0</v>
      </c>
      <c r="S49" s="362">
        <v>0</v>
      </c>
    </row>
    <row r="50" spans="1:19" x14ac:dyDescent="0.3">
      <c r="A50" s="466"/>
      <c r="B50" s="258"/>
      <c r="C50" s="354">
        <v>36</v>
      </c>
      <c r="D50" s="355" t="s">
        <v>122</v>
      </c>
      <c r="E50" s="356" t="s">
        <v>123</v>
      </c>
      <c r="F50" s="357">
        <v>3.0000000000000001E-3</v>
      </c>
      <c r="G50" s="358">
        <v>10835.698645553219</v>
      </c>
      <c r="H50" s="359">
        <v>10213.093155183738</v>
      </c>
      <c r="I50" s="360">
        <v>11922.807019572569</v>
      </c>
      <c r="J50" s="358">
        <v>11347.723033189211</v>
      </c>
      <c r="K50" s="359">
        <v>11300.577477551795</v>
      </c>
      <c r="L50" s="360">
        <v>11790.796793171456</v>
      </c>
      <c r="M50" s="361">
        <v>10702.597679203111</v>
      </c>
      <c r="N50" s="359">
        <v>10171.705444039975</v>
      </c>
      <c r="O50" s="359">
        <v>10384.628647868038</v>
      </c>
      <c r="P50" s="358">
        <v>10290.424914065528</v>
      </c>
      <c r="Q50" s="359">
        <v>9166.9503314146605</v>
      </c>
      <c r="R50" s="360">
        <v>8713.5929704807113</v>
      </c>
      <c r="S50" s="362">
        <v>126840.59611129401</v>
      </c>
    </row>
    <row r="51" spans="1:19" x14ac:dyDescent="0.3">
      <c r="A51" s="466"/>
      <c r="B51" s="258"/>
      <c r="C51" s="354">
        <v>37</v>
      </c>
      <c r="D51" s="355" t="s">
        <v>124</v>
      </c>
      <c r="E51" s="356" t="s">
        <v>83</v>
      </c>
      <c r="F51" s="357"/>
      <c r="G51" s="358">
        <v>9786</v>
      </c>
      <c r="H51" s="359">
        <v>9786</v>
      </c>
      <c r="I51" s="360">
        <v>9786</v>
      </c>
      <c r="J51" s="358">
        <v>9786</v>
      </c>
      <c r="K51" s="359">
        <v>9786</v>
      </c>
      <c r="L51" s="360">
        <v>9786</v>
      </c>
      <c r="M51" s="361">
        <v>9786</v>
      </c>
      <c r="N51" s="359">
        <v>9786</v>
      </c>
      <c r="O51" s="359">
        <v>9786</v>
      </c>
      <c r="P51" s="358">
        <v>9786</v>
      </c>
      <c r="Q51" s="359">
        <v>9786</v>
      </c>
      <c r="R51" s="360">
        <v>9786</v>
      </c>
      <c r="S51" s="362">
        <v>117432</v>
      </c>
    </row>
    <row r="52" spans="1:19" x14ac:dyDescent="0.3">
      <c r="A52" s="466"/>
      <c r="B52" s="258"/>
      <c r="C52" s="354">
        <v>38</v>
      </c>
      <c r="D52" s="355" t="s">
        <v>13</v>
      </c>
      <c r="E52" s="356" t="s">
        <v>83</v>
      </c>
      <c r="F52" s="357"/>
      <c r="G52" s="358">
        <v>6761.021846833446</v>
      </c>
      <c r="H52" s="359">
        <v>6761.021846833446</v>
      </c>
      <c r="I52" s="360">
        <v>5782.596503696197</v>
      </c>
      <c r="J52" s="358">
        <v>4421.9321864848625</v>
      </c>
      <c r="K52" s="359">
        <v>4323.4919179663439</v>
      </c>
      <c r="L52" s="360">
        <v>4323.4919179663448</v>
      </c>
      <c r="M52" s="361">
        <v>1611.6745977049054</v>
      </c>
      <c r="N52" s="359">
        <v>1611.6745977049043</v>
      </c>
      <c r="O52" s="359">
        <v>1524.5286282059951</v>
      </c>
      <c r="P52" s="358">
        <v>1524.5286282059953</v>
      </c>
      <c r="Q52" s="359">
        <v>1277.5614168770203</v>
      </c>
      <c r="R52" s="360">
        <v>1148.9557523890014</v>
      </c>
      <c r="S52" s="362">
        <v>41072.479840868473</v>
      </c>
    </row>
    <row r="53" spans="1:19" x14ac:dyDescent="0.3">
      <c r="A53" s="466"/>
      <c r="B53" s="258"/>
      <c r="C53" s="354">
        <v>39</v>
      </c>
      <c r="D53" s="355" t="s">
        <v>125</v>
      </c>
      <c r="E53" s="356" t="s">
        <v>126</v>
      </c>
      <c r="F53" s="357"/>
      <c r="G53" s="358">
        <v>971.32682352941174</v>
      </c>
      <c r="H53" s="359">
        <v>971.32682352941174</v>
      </c>
      <c r="I53" s="360">
        <v>971.32682352941174</v>
      </c>
      <c r="J53" s="358">
        <v>971.32682352941174</v>
      </c>
      <c r="K53" s="359">
        <v>971.32682352941174</v>
      </c>
      <c r="L53" s="360">
        <v>971.32682352941174</v>
      </c>
      <c r="M53" s="361">
        <v>971.32682352941174</v>
      </c>
      <c r="N53" s="359">
        <v>971.32682352941174</v>
      </c>
      <c r="O53" s="359">
        <v>971.32682352941174</v>
      </c>
      <c r="P53" s="358">
        <v>971.32682352941174</v>
      </c>
      <c r="Q53" s="359">
        <v>971.32682352941174</v>
      </c>
      <c r="R53" s="360">
        <v>971.32682352941174</v>
      </c>
      <c r="S53" s="362">
        <v>11655.921882352945</v>
      </c>
    </row>
    <row r="54" spans="1:19" x14ac:dyDescent="0.3">
      <c r="A54" s="466"/>
      <c r="B54" s="258"/>
      <c r="C54" s="354">
        <v>40</v>
      </c>
      <c r="D54" s="355" t="s">
        <v>127</v>
      </c>
      <c r="E54" s="356" t="s">
        <v>126</v>
      </c>
      <c r="F54" s="357"/>
      <c r="G54" s="358">
        <v>514.5218431372549</v>
      </c>
      <c r="H54" s="359">
        <v>514.5218431372549</v>
      </c>
      <c r="I54" s="360">
        <v>514.5218431372549</v>
      </c>
      <c r="J54" s="358">
        <v>514.5218431372549</v>
      </c>
      <c r="K54" s="359">
        <v>514.5218431372549</v>
      </c>
      <c r="L54" s="360">
        <v>514.5218431372549</v>
      </c>
      <c r="M54" s="361">
        <v>514.5218431372549</v>
      </c>
      <c r="N54" s="359">
        <v>514.5218431372549</v>
      </c>
      <c r="O54" s="359">
        <v>514.5218431372549</v>
      </c>
      <c r="P54" s="358">
        <v>514.5218431372549</v>
      </c>
      <c r="Q54" s="359">
        <v>514.5218431372549</v>
      </c>
      <c r="R54" s="360">
        <v>514.5218431372549</v>
      </c>
      <c r="S54" s="362">
        <v>6174.2621176470593</v>
      </c>
    </row>
    <row r="55" spans="1:19" x14ac:dyDescent="0.3">
      <c r="A55" s="466"/>
      <c r="B55" s="258"/>
      <c r="C55" s="354">
        <v>41</v>
      </c>
      <c r="D55" s="355" t="s">
        <v>128</v>
      </c>
      <c r="E55" s="356" t="s">
        <v>129</v>
      </c>
      <c r="F55" s="357"/>
      <c r="G55" s="358">
        <v>728.96470588235297</v>
      </c>
      <c r="H55" s="359">
        <v>728.96470588235297</v>
      </c>
      <c r="I55" s="360">
        <v>728.96470588235297</v>
      </c>
      <c r="J55" s="358">
        <v>728.96470588235297</v>
      </c>
      <c r="K55" s="359">
        <v>728.96470588235297</v>
      </c>
      <c r="L55" s="360">
        <v>728.96470588235297</v>
      </c>
      <c r="M55" s="361">
        <v>728.96470588235297</v>
      </c>
      <c r="N55" s="359">
        <v>728.96470588235297</v>
      </c>
      <c r="O55" s="359">
        <v>728.96470588235297</v>
      </c>
      <c r="P55" s="358">
        <v>728.96470588235297</v>
      </c>
      <c r="Q55" s="359">
        <v>728.96470588235297</v>
      </c>
      <c r="R55" s="360">
        <v>728.96470588235297</v>
      </c>
      <c r="S55" s="362">
        <v>8747.5764705882357</v>
      </c>
    </row>
    <row r="56" spans="1:19" x14ac:dyDescent="0.3">
      <c r="A56" s="466"/>
      <c r="B56" s="258"/>
      <c r="C56" s="354">
        <v>42</v>
      </c>
      <c r="D56" s="355" t="s">
        <v>130</v>
      </c>
      <c r="E56" s="356" t="s">
        <v>131</v>
      </c>
      <c r="F56" s="357"/>
      <c r="G56" s="358">
        <v>818.727948582561</v>
      </c>
      <c r="H56" s="359">
        <v>794.7899859430164</v>
      </c>
      <c r="I56" s="360">
        <v>783.58876438537254</v>
      </c>
      <c r="J56" s="358">
        <v>764.60488009658013</v>
      </c>
      <c r="K56" s="359">
        <v>751.0883224882873</v>
      </c>
      <c r="L56" s="360">
        <v>740.32909779032445</v>
      </c>
      <c r="M56" s="361">
        <v>687.49321285185181</v>
      </c>
      <c r="N56" s="359">
        <v>645.84914289905851</v>
      </c>
      <c r="O56" s="359">
        <v>638.62345749800772</v>
      </c>
      <c r="P56" s="358">
        <v>615.34877963850363</v>
      </c>
      <c r="Q56" s="359">
        <v>607.84157247058511</v>
      </c>
      <c r="R56" s="360">
        <v>596.07778970084769</v>
      </c>
      <c r="S56" s="362">
        <v>8444.362954344997</v>
      </c>
    </row>
    <row r="57" spans="1:19" x14ac:dyDescent="0.3">
      <c r="A57" s="466"/>
      <c r="B57" s="258"/>
      <c r="C57" s="354">
        <v>43</v>
      </c>
      <c r="D57" s="355" t="s">
        <v>132</v>
      </c>
      <c r="E57" s="356" t="s">
        <v>133</v>
      </c>
      <c r="F57" s="357"/>
      <c r="G57" s="358">
        <v>3791.6666666666665</v>
      </c>
      <c r="H57" s="359">
        <v>3791.6666666666665</v>
      </c>
      <c r="I57" s="360">
        <v>3791.6666666666665</v>
      </c>
      <c r="J57" s="358">
        <v>3791.6666666666665</v>
      </c>
      <c r="K57" s="359">
        <v>3791.6666666666665</v>
      </c>
      <c r="L57" s="360">
        <v>3791.6666666666665</v>
      </c>
      <c r="M57" s="361">
        <v>3791.6666666666665</v>
      </c>
      <c r="N57" s="359">
        <v>3791.6666666666665</v>
      </c>
      <c r="O57" s="359">
        <v>3791.6666666666665</v>
      </c>
      <c r="P57" s="358">
        <v>3791.6666666666665</v>
      </c>
      <c r="Q57" s="359">
        <v>3791.6666666666665</v>
      </c>
      <c r="R57" s="360">
        <v>3791.6666666666665</v>
      </c>
      <c r="S57" s="362">
        <v>45499.999999999993</v>
      </c>
    </row>
    <row r="58" spans="1:19" x14ac:dyDescent="0.3">
      <c r="A58" s="466"/>
      <c r="B58" s="258"/>
      <c r="C58" s="354">
        <v>44</v>
      </c>
      <c r="D58" s="355" t="s">
        <v>134</v>
      </c>
      <c r="E58" s="356" t="s">
        <v>135</v>
      </c>
      <c r="F58" s="357"/>
      <c r="G58" s="358">
        <v>1693.1816173242348</v>
      </c>
      <c r="H58" s="359">
        <v>1693.1816173242348</v>
      </c>
      <c r="I58" s="360">
        <v>1693.1816173242348</v>
      </c>
      <c r="J58" s="358">
        <v>1693.1816173242348</v>
      </c>
      <c r="K58" s="359">
        <v>1693.1816173242348</v>
      </c>
      <c r="L58" s="360">
        <v>1693.1816173242348</v>
      </c>
      <c r="M58" s="361">
        <v>1693.1816173242348</v>
      </c>
      <c r="N58" s="359">
        <v>1693.1816173242348</v>
      </c>
      <c r="O58" s="359">
        <v>1693.1816173242348</v>
      </c>
      <c r="P58" s="358">
        <v>1693.1816173242348</v>
      </c>
      <c r="Q58" s="359">
        <v>1693.1816173242348</v>
      </c>
      <c r="R58" s="360">
        <v>1693.1816173242348</v>
      </c>
      <c r="S58" s="362">
        <v>20318.179407890813</v>
      </c>
    </row>
    <row r="59" spans="1:19" x14ac:dyDescent="0.3">
      <c r="A59" s="466"/>
      <c r="B59" s="258"/>
      <c r="C59" s="354">
        <v>45</v>
      </c>
      <c r="D59" s="355" t="s">
        <v>136</v>
      </c>
      <c r="E59" s="356" t="s">
        <v>137</v>
      </c>
      <c r="F59" s="357">
        <v>4.1000000000000003E-3</v>
      </c>
      <c r="G59" s="358">
        <v>14808.788148922729</v>
      </c>
      <c r="H59" s="359">
        <v>13957.893978751108</v>
      </c>
      <c r="I59" s="360">
        <v>16294.502926749174</v>
      </c>
      <c r="J59" s="358">
        <v>15508.554812025255</v>
      </c>
      <c r="K59" s="359">
        <v>15444.122552654117</v>
      </c>
      <c r="L59" s="360">
        <v>16114.088950667654</v>
      </c>
      <c r="M59" s="361">
        <v>14626.883494910915</v>
      </c>
      <c r="N59" s="359">
        <v>13901.330773521298</v>
      </c>
      <c r="O59" s="359">
        <v>14192.325818752983</v>
      </c>
      <c r="P59" s="358">
        <v>14063.580715889553</v>
      </c>
      <c r="Q59" s="359">
        <v>12528.165452933366</v>
      </c>
      <c r="R59" s="360">
        <v>11908.577059656971</v>
      </c>
      <c r="S59" s="362">
        <v>173348.81468543512</v>
      </c>
    </row>
    <row r="60" spans="1:19" ht="17.25" thickBot="1" x14ac:dyDescent="0.35">
      <c r="A60" s="467"/>
      <c r="B60" s="374"/>
      <c r="C60" s="375">
        <v>46</v>
      </c>
      <c r="D60" s="376" t="s">
        <v>88</v>
      </c>
      <c r="E60" s="377"/>
      <c r="F60" s="378"/>
      <c r="G60" s="379">
        <v>21017.694343754283</v>
      </c>
      <c r="H60" s="380">
        <v>21017.694343754283</v>
      </c>
      <c r="I60" s="381">
        <v>21017.694343754283</v>
      </c>
      <c r="J60" s="379">
        <v>21017.694343754283</v>
      </c>
      <c r="K60" s="380">
        <v>21017.694343754283</v>
      </c>
      <c r="L60" s="381">
        <v>21017.694343754283</v>
      </c>
      <c r="M60" s="382">
        <v>21017.694343754283</v>
      </c>
      <c r="N60" s="380">
        <v>21017.694343754283</v>
      </c>
      <c r="O60" s="380">
        <v>21017.694343754283</v>
      </c>
      <c r="P60" s="379">
        <v>21017.694343754283</v>
      </c>
      <c r="Q60" s="380">
        <v>21017.694343754283</v>
      </c>
      <c r="R60" s="381">
        <v>21017.694343754283</v>
      </c>
      <c r="S60" s="383">
        <v>252212.33212505144</v>
      </c>
    </row>
    <row r="61" spans="1:19" ht="17.25" thickBot="1" x14ac:dyDescent="0.35">
      <c r="A61" s="384"/>
      <c r="B61" s="468" t="s">
        <v>138</v>
      </c>
      <c r="C61" s="468"/>
      <c r="D61" s="468"/>
      <c r="E61" s="210"/>
      <c r="F61" s="385"/>
      <c r="G61" s="386">
        <v>330726.03087654663</v>
      </c>
      <c r="H61" s="387">
        <v>312242.27175474161</v>
      </c>
      <c r="I61" s="388">
        <v>340641.91920271545</v>
      </c>
      <c r="J61" s="389">
        <v>320749.16062105633</v>
      </c>
      <c r="K61" s="387">
        <v>320027.25938798609</v>
      </c>
      <c r="L61" s="388">
        <v>327212.66158740508</v>
      </c>
      <c r="M61" s="390">
        <v>283436.68227415526</v>
      </c>
      <c r="N61" s="391">
        <v>279534.18409066566</v>
      </c>
      <c r="O61" s="392">
        <v>289197.91303921089</v>
      </c>
      <c r="P61" s="393">
        <v>279428.22232137166</v>
      </c>
      <c r="Q61" s="391">
        <v>272217.28166077082</v>
      </c>
      <c r="R61" s="394">
        <v>282229.42539146304</v>
      </c>
      <c r="S61" s="395">
        <v>3637643.0122080888</v>
      </c>
    </row>
    <row r="62" spans="1:19" ht="17.25" thickBot="1" x14ac:dyDescent="0.35">
      <c r="A62" s="463" t="s">
        <v>139</v>
      </c>
      <c r="B62" s="464"/>
      <c r="C62" s="464"/>
      <c r="D62" s="464"/>
      <c r="E62" s="396"/>
      <c r="F62" s="397"/>
      <c r="G62" s="398">
        <v>9.1565677958090175E-2</v>
      </c>
      <c r="H62" s="399">
        <v>9.1718228849090783E-2</v>
      </c>
      <c r="I62" s="400">
        <v>8.5711842515822451E-2</v>
      </c>
      <c r="J62" s="398">
        <v>8.4796525175036358E-2</v>
      </c>
      <c r="K62" s="399">
        <v>8.4958647473647023E-2</v>
      </c>
      <c r="L62" s="399">
        <v>8.3254592711726055E-2</v>
      </c>
      <c r="M62" s="401">
        <v>7.9448940557184225E-2</v>
      </c>
      <c r="N62" s="402">
        <v>8.244463594483746E-2</v>
      </c>
      <c r="O62" s="403">
        <v>8.3545957061810727E-2</v>
      </c>
      <c r="P62" s="401">
        <v>8.1462590122814135E-2</v>
      </c>
      <c r="Q62" s="402">
        <v>8.9086535375204265E-2</v>
      </c>
      <c r="R62" s="404">
        <v>9.7168674167216584E-2</v>
      </c>
      <c r="S62" s="405">
        <v>8.5781560904944543E-2</v>
      </c>
    </row>
    <row r="63" spans="1:19" x14ac:dyDescent="0.3">
      <c r="A63" s="406"/>
      <c r="B63" s="407"/>
      <c r="C63" s="408"/>
      <c r="D63" s="409"/>
      <c r="E63" s="409"/>
      <c r="F63" s="410"/>
      <c r="G63" s="411"/>
      <c r="H63" s="411"/>
      <c r="I63" s="412"/>
      <c r="J63" s="413"/>
      <c r="K63" s="413"/>
      <c r="L63" s="414"/>
      <c r="M63" s="415"/>
      <c r="N63" s="415"/>
      <c r="O63" s="415"/>
      <c r="P63" s="415"/>
      <c r="Q63" s="415"/>
      <c r="R63" s="415"/>
      <c r="S63" s="416" t="b">
        <v>1</v>
      </c>
    </row>
    <row r="64" spans="1:19" ht="18" thickBot="1" x14ac:dyDescent="0.35">
      <c r="A64" s="417" t="s">
        <v>140</v>
      </c>
      <c r="B64" s="407"/>
      <c r="C64" s="408"/>
      <c r="D64" s="409"/>
      <c r="E64" s="409"/>
      <c r="F64" s="410"/>
      <c r="G64" s="202"/>
      <c r="H64" s="418"/>
      <c r="I64" s="418"/>
      <c r="J64" s="418"/>
      <c r="K64" s="418"/>
      <c r="L64" s="419"/>
      <c r="M64" s="416"/>
      <c r="N64" s="416"/>
      <c r="O64" s="416"/>
      <c r="P64" s="416"/>
      <c r="Q64" s="416"/>
      <c r="R64" s="416"/>
      <c r="S64" s="333" t="s">
        <v>146</v>
      </c>
    </row>
    <row r="65" spans="1:19" ht="17.25" thickBot="1" x14ac:dyDescent="0.35">
      <c r="A65" s="9" t="s">
        <v>41</v>
      </c>
      <c r="B65" s="210" t="s">
        <v>42</v>
      </c>
      <c r="C65" s="3" t="s">
        <v>43</v>
      </c>
      <c r="D65" s="211" t="s">
        <v>44</v>
      </c>
      <c r="E65" s="212"/>
      <c r="F65" s="213"/>
      <c r="G65" s="9" t="s">
        <v>17</v>
      </c>
      <c r="H65" s="3" t="s">
        <v>18</v>
      </c>
      <c r="I65" s="7" t="s">
        <v>19</v>
      </c>
      <c r="J65" s="9" t="s">
        <v>20</v>
      </c>
      <c r="K65" s="3" t="s">
        <v>21</v>
      </c>
      <c r="L65" s="3" t="s">
        <v>22</v>
      </c>
      <c r="M65" s="9" t="s">
        <v>23</v>
      </c>
      <c r="N65" s="3" t="s">
        <v>24</v>
      </c>
      <c r="O65" s="7" t="s">
        <v>25</v>
      </c>
      <c r="P65" s="9" t="s">
        <v>26</v>
      </c>
      <c r="Q65" s="3" t="s">
        <v>27</v>
      </c>
      <c r="R65" s="7" t="s">
        <v>28</v>
      </c>
      <c r="S65" s="420" t="s">
        <v>29</v>
      </c>
    </row>
    <row r="66" spans="1:19" ht="16.5" customHeight="1" x14ac:dyDescent="0.3">
      <c r="A66" s="469" t="s">
        <v>141</v>
      </c>
      <c r="B66" s="470"/>
      <c r="C66" s="354">
        <v>47</v>
      </c>
      <c r="D66" s="421" t="s">
        <v>142</v>
      </c>
      <c r="E66" s="422"/>
      <c r="F66" s="423"/>
      <c r="G66" s="424">
        <v>45000</v>
      </c>
      <c r="H66" s="425">
        <v>45000</v>
      </c>
      <c r="I66" s="426">
        <v>45000</v>
      </c>
      <c r="J66" s="427">
        <v>45000</v>
      </c>
      <c r="K66" s="425">
        <v>45000</v>
      </c>
      <c r="L66" s="425">
        <v>45000</v>
      </c>
      <c r="M66" s="424">
        <v>45000</v>
      </c>
      <c r="N66" s="425">
        <v>45000</v>
      </c>
      <c r="O66" s="426">
        <v>45000</v>
      </c>
      <c r="P66" s="424">
        <v>45000</v>
      </c>
      <c r="Q66" s="425">
        <v>45000</v>
      </c>
      <c r="R66" s="426">
        <v>45000</v>
      </c>
      <c r="S66" s="428">
        <v>540000</v>
      </c>
    </row>
    <row r="67" spans="1:19" x14ac:dyDescent="0.3">
      <c r="A67" s="471"/>
      <c r="B67" s="472"/>
      <c r="C67" s="354">
        <v>48</v>
      </c>
      <c r="D67" s="429" t="s">
        <v>143</v>
      </c>
      <c r="E67" s="430"/>
      <c r="F67" s="431"/>
      <c r="G67" s="432">
        <v>383.29615384615386</v>
      </c>
      <c r="H67" s="26">
        <v>383.29615384615386</v>
      </c>
      <c r="I67" s="53">
        <v>383.29615384615386</v>
      </c>
      <c r="J67" s="433">
        <v>383.29615384615386</v>
      </c>
      <c r="K67" s="26">
        <v>383.29615384615386</v>
      </c>
      <c r="L67" s="26">
        <v>383.29615384615386</v>
      </c>
      <c r="M67" s="432">
        <v>383.29615384615386</v>
      </c>
      <c r="N67" s="26">
        <v>383.29615384615386</v>
      </c>
      <c r="O67" s="53">
        <v>383.29615384615386</v>
      </c>
      <c r="P67" s="432">
        <v>383.29615384615386</v>
      </c>
      <c r="Q67" s="26">
        <v>383.29615384615386</v>
      </c>
      <c r="R67" s="53">
        <v>383.29615384615386</v>
      </c>
      <c r="S67" s="434">
        <v>4599.5538461538472</v>
      </c>
    </row>
    <row r="68" spans="1:19" ht="17.25" thickBot="1" x14ac:dyDescent="0.35">
      <c r="A68" s="473"/>
      <c r="B68" s="474"/>
      <c r="C68" s="354">
        <v>49</v>
      </c>
      <c r="D68" s="435" t="s">
        <v>144</v>
      </c>
      <c r="E68" s="436"/>
      <c r="F68" s="437"/>
      <c r="G68" s="438">
        <v>17456.562307784316</v>
      </c>
      <c r="H68" s="439">
        <v>13006.052685781953</v>
      </c>
      <c r="I68" s="440">
        <v>12583.419844684167</v>
      </c>
      <c r="J68" s="441">
        <v>12160.78700358638</v>
      </c>
      <c r="K68" s="439">
        <v>11738.154162488592</v>
      </c>
      <c r="L68" s="439">
        <v>11315.521321390805</v>
      </c>
      <c r="M68" s="438">
        <v>8057.041294038012</v>
      </c>
      <c r="N68" s="439">
        <v>7812.0823166805831</v>
      </c>
      <c r="O68" s="440">
        <v>7567.1233393231541</v>
      </c>
      <c r="P68" s="438">
        <v>5567.7282974894351</v>
      </c>
      <c r="Q68" s="439">
        <v>5359.9269842289486</v>
      </c>
      <c r="R68" s="440">
        <v>4685.5986204964929</v>
      </c>
      <c r="S68" s="442">
        <v>117309.99817797283</v>
      </c>
    </row>
    <row r="69" spans="1:19" ht="17.25" thickBot="1" x14ac:dyDescent="0.35">
      <c r="A69" s="443"/>
      <c r="B69" s="468" t="s">
        <v>138</v>
      </c>
      <c r="C69" s="468"/>
      <c r="D69" s="468"/>
      <c r="E69" s="210"/>
      <c r="F69" s="282"/>
      <c r="G69" s="283">
        <v>62839.858461630472</v>
      </c>
      <c r="H69" s="284">
        <v>58389.348839628103</v>
      </c>
      <c r="I69" s="285">
        <v>57966.715998530322</v>
      </c>
      <c r="J69" s="286">
        <v>57544.083157432535</v>
      </c>
      <c r="K69" s="284">
        <v>57121.450316334747</v>
      </c>
      <c r="L69" s="284">
        <v>56698.81747523696</v>
      </c>
      <c r="M69" s="283">
        <v>53440.337447884165</v>
      </c>
      <c r="N69" s="284">
        <v>53195.378470526739</v>
      </c>
      <c r="O69" s="285">
        <v>52950.419493169305</v>
      </c>
      <c r="P69" s="283">
        <v>50951.024451335586</v>
      </c>
      <c r="Q69" s="284">
        <v>50743.223138075104</v>
      </c>
      <c r="R69" s="285">
        <v>50068.894774342647</v>
      </c>
      <c r="S69" s="444">
        <v>661909.55202412675</v>
      </c>
    </row>
    <row r="70" spans="1:19" ht="17.25" thickBot="1" x14ac:dyDescent="0.35">
      <c r="A70" s="445"/>
      <c r="B70" s="446"/>
      <c r="C70" s="447"/>
      <c r="D70" s="446"/>
      <c r="E70" s="446"/>
      <c r="F70" s="448"/>
      <c r="G70" s="449"/>
      <c r="H70" s="449"/>
      <c r="I70" s="449"/>
      <c r="J70" s="449"/>
      <c r="K70" s="449"/>
      <c r="L70" s="449"/>
      <c r="M70" s="449"/>
      <c r="N70" s="449"/>
      <c r="O70" s="449"/>
      <c r="P70" s="449"/>
      <c r="Q70" s="449"/>
      <c r="R70" s="449"/>
      <c r="S70" s="450"/>
    </row>
    <row r="71" spans="1:19" ht="18" thickBot="1" x14ac:dyDescent="0.35">
      <c r="A71" s="451" t="s">
        <v>145</v>
      </c>
      <c r="B71" s="452"/>
      <c r="C71" s="453">
        <v>50</v>
      </c>
      <c r="D71" s="454"/>
      <c r="E71" s="455"/>
      <c r="F71" s="456"/>
      <c r="G71" s="457">
        <v>410653</v>
      </c>
      <c r="H71" s="458">
        <v>30000</v>
      </c>
      <c r="I71" s="459">
        <v>30000</v>
      </c>
      <c r="J71" s="460">
        <v>30000</v>
      </c>
      <c r="K71" s="458">
        <v>30000</v>
      </c>
      <c r="L71" s="458">
        <v>30000</v>
      </c>
      <c r="M71" s="461">
        <v>30000</v>
      </c>
      <c r="N71" s="458">
        <v>30000</v>
      </c>
      <c r="O71" s="459">
        <v>30000</v>
      </c>
      <c r="P71" s="461">
        <v>30000</v>
      </c>
      <c r="Q71" s="458">
        <v>30000</v>
      </c>
      <c r="R71" s="459">
        <v>30000</v>
      </c>
      <c r="S71" s="289">
        <v>740653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B904-736F-4381-A402-01F2BCF2F2FD}">
  <dimension ref="A2:X52"/>
  <sheetViews>
    <sheetView workbookViewId="0">
      <selection activeCell="R48" sqref="Q48:R49"/>
    </sheetView>
  </sheetViews>
  <sheetFormatPr defaultRowHeight="16.5" x14ac:dyDescent="0.3"/>
  <cols>
    <col min="5" max="5" width="12.75" customWidth="1"/>
    <col min="9" max="9" width="12.5" customWidth="1"/>
    <col min="24" max="24" width="12.5" customWidth="1"/>
  </cols>
  <sheetData>
    <row r="2" spans="1:24" ht="17.25" thickBot="1" x14ac:dyDescent="0.35">
      <c r="A2" s="482" t="s">
        <v>190</v>
      </c>
      <c r="B2" s="483"/>
      <c r="C2" s="483"/>
      <c r="D2" s="484"/>
      <c r="E2" s="485"/>
      <c r="F2" s="486"/>
      <c r="G2" s="486"/>
      <c r="H2" s="486"/>
      <c r="I2" s="485"/>
      <c r="J2" s="486"/>
      <c r="K2" s="487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333" t="s">
        <v>102</v>
      </c>
    </row>
    <row r="3" spans="1:24" ht="54.75" thickBot="1" x14ac:dyDescent="0.35">
      <c r="A3" s="637" t="s">
        <v>191</v>
      </c>
      <c r="B3" s="286"/>
      <c r="C3" s="3" t="s">
        <v>147</v>
      </c>
      <c r="D3" s="156" t="s">
        <v>148</v>
      </c>
      <c r="E3" s="490" t="s">
        <v>149</v>
      </c>
      <c r="F3" s="491" t="s">
        <v>150</v>
      </c>
      <c r="G3" s="492" t="s">
        <v>151</v>
      </c>
      <c r="H3" s="493" t="s">
        <v>152</v>
      </c>
      <c r="I3" s="490" t="s">
        <v>153</v>
      </c>
      <c r="J3" s="494" t="s">
        <v>192</v>
      </c>
      <c r="K3" s="494" t="s">
        <v>154</v>
      </c>
      <c r="L3" s="8" t="s">
        <v>17</v>
      </c>
      <c r="M3" s="3" t="s">
        <v>18</v>
      </c>
      <c r="N3" s="7" t="s">
        <v>19</v>
      </c>
      <c r="O3" s="9" t="s">
        <v>20</v>
      </c>
      <c r="P3" s="3" t="s">
        <v>21</v>
      </c>
      <c r="Q3" s="7" t="s">
        <v>22</v>
      </c>
      <c r="R3" s="9" t="s">
        <v>23</v>
      </c>
      <c r="S3" s="3" t="s">
        <v>24</v>
      </c>
      <c r="T3" s="7" t="s">
        <v>25</v>
      </c>
      <c r="U3" s="9" t="s">
        <v>26</v>
      </c>
      <c r="V3" s="3" t="s">
        <v>27</v>
      </c>
      <c r="W3" s="7" t="s">
        <v>28</v>
      </c>
      <c r="X3" s="157" t="s">
        <v>29</v>
      </c>
    </row>
    <row r="4" spans="1:24" x14ac:dyDescent="0.3">
      <c r="A4" s="61"/>
      <c r="B4" s="495" t="s">
        <v>193</v>
      </c>
      <c r="C4" s="496" t="s">
        <v>155</v>
      </c>
      <c r="D4" s="497">
        <v>5</v>
      </c>
      <c r="E4" s="497">
        <v>398660.11200000002</v>
      </c>
      <c r="F4" s="498">
        <v>48</v>
      </c>
      <c r="G4" s="499">
        <v>8.1000000000000003E-2</v>
      </c>
      <c r="H4" s="500">
        <v>8.1000000000000003E-2</v>
      </c>
      <c r="I4" s="497">
        <v>53002.092000000019</v>
      </c>
      <c r="J4" s="501">
        <v>8305.42</v>
      </c>
      <c r="K4" s="502">
        <v>0</v>
      </c>
      <c r="L4" s="432">
        <v>8305.42</v>
      </c>
      <c r="M4" s="433">
        <v>8305.42</v>
      </c>
      <c r="N4" s="53">
        <v>8305.42</v>
      </c>
      <c r="O4" s="432">
        <v>8305.42</v>
      </c>
      <c r="P4" s="433">
        <v>8305.42</v>
      </c>
      <c r="Q4" s="53">
        <v>11475.42</v>
      </c>
      <c r="R4" s="503"/>
      <c r="S4" s="504"/>
      <c r="T4" s="505"/>
      <c r="U4" s="503"/>
      <c r="V4" s="504"/>
      <c r="W4" s="505"/>
      <c r="X4" s="506">
        <f t="shared" ref="X4:X9" si="0">SUM(L4:W4)</f>
        <v>53002.52</v>
      </c>
    </row>
    <row r="5" spans="1:24" x14ac:dyDescent="0.3">
      <c r="A5" s="61"/>
      <c r="B5" s="495" t="s">
        <v>156</v>
      </c>
      <c r="C5" s="496" t="s">
        <v>157</v>
      </c>
      <c r="D5" s="497">
        <v>1</v>
      </c>
      <c r="E5" s="497">
        <v>84000</v>
      </c>
      <c r="F5" s="498">
        <v>48</v>
      </c>
      <c r="G5" s="499">
        <v>8.1000000000000003E-2</v>
      </c>
      <c r="H5" s="500">
        <v>8.1000000000000003E-2</v>
      </c>
      <c r="I5" s="497">
        <v>21000</v>
      </c>
      <c r="J5" s="501">
        <v>1750</v>
      </c>
      <c r="K5" s="502">
        <v>0</v>
      </c>
      <c r="L5" s="432">
        <v>1750</v>
      </c>
      <c r="M5" s="433">
        <v>1750</v>
      </c>
      <c r="N5" s="53">
        <v>1750</v>
      </c>
      <c r="O5" s="432">
        <v>1750</v>
      </c>
      <c r="P5" s="433">
        <v>1750</v>
      </c>
      <c r="Q5" s="53">
        <v>1750</v>
      </c>
      <c r="R5" s="432">
        <v>1750</v>
      </c>
      <c r="S5" s="433">
        <v>1750</v>
      </c>
      <c r="T5" s="53">
        <v>1750</v>
      </c>
      <c r="U5" s="432">
        <v>1750</v>
      </c>
      <c r="V5" s="433">
        <v>1750</v>
      </c>
      <c r="W5" s="53">
        <v>1750</v>
      </c>
      <c r="X5" s="506">
        <f t="shared" si="0"/>
        <v>21000</v>
      </c>
    </row>
    <row r="6" spans="1:24" x14ac:dyDescent="0.3">
      <c r="A6" s="61"/>
      <c r="B6" s="495" t="s">
        <v>158</v>
      </c>
      <c r="C6" s="496" t="s">
        <v>159</v>
      </c>
      <c r="D6" s="497">
        <v>40</v>
      </c>
      <c r="E6" s="497">
        <v>252000</v>
      </c>
      <c r="F6" s="498">
        <v>48</v>
      </c>
      <c r="G6" s="499">
        <v>8.1000000000000003E-2</v>
      </c>
      <c r="H6" s="500">
        <v>8.1000000000000003E-2</v>
      </c>
      <c r="I6" s="497">
        <v>63000</v>
      </c>
      <c r="J6" s="501">
        <v>5250</v>
      </c>
      <c r="K6" s="502">
        <v>0</v>
      </c>
      <c r="L6" s="432">
        <v>5250</v>
      </c>
      <c r="M6" s="433">
        <v>5250</v>
      </c>
      <c r="N6" s="53">
        <v>5250</v>
      </c>
      <c r="O6" s="432">
        <v>5250</v>
      </c>
      <c r="P6" s="26">
        <v>5250</v>
      </c>
      <c r="Q6" s="53">
        <v>5250</v>
      </c>
      <c r="R6" s="432">
        <v>5250</v>
      </c>
      <c r="S6" s="26">
        <v>5250</v>
      </c>
      <c r="T6" s="53">
        <v>5250</v>
      </c>
      <c r="U6" s="432">
        <v>5250</v>
      </c>
      <c r="V6" s="26">
        <v>5250</v>
      </c>
      <c r="W6" s="53">
        <v>5250</v>
      </c>
      <c r="X6" s="506">
        <f t="shared" si="0"/>
        <v>63000</v>
      </c>
    </row>
    <row r="7" spans="1:24" x14ac:dyDescent="0.3">
      <c r="A7" s="61"/>
      <c r="B7" s="495" t="s">
        <v>160</v>
      </c>
      <c r="C7" s="496" t="s">
        <v>161</v>
      </c>
      <c r="D7" s="497">
        <v>1</v>
      </c>
      <c r="E7" s="497">
        <v>33863.019</v>
      </c>
      <c r="F7" s="498">
        <v>48</v>
      </c>
      <c r="G7" s="499">
        <v>8.1000000000000003E-2</v>
      </c>
      <c r="H7" s="500">
        <v>8.1000000000000003E-2</v>
      </c>
      <c r="I7" s="497">
        <v>11994.378999999994</v>
      </c>
      <c r="J7" s="501">
        <v>705.44000000000017</v>
      </c>
      <c r="K7" s="507">
        <v>3529.0989999999911</v>
      </c>
      <c r="L7" s="432">
        <v>705.44</v>
      </c>
      <c r="M7" s="433">
        <v>705.44</v>
      </c>
      <c r="N7" s="53">
        <v>705.44</v>
      </c>
      <c r="O7" s="432">
        <v>705.44</v>
      </c>
      <c r="P7" s="433">
        <v>705.44</v>
      </c>
      <c r="Q7" s="53">
        <v>705.44</v>
      </c>
      <c r="R7" s="432">
        <v>705.44</v>
      </c>
      <c r="S7" s="433">
        <v>705.44</v>
      </c>
      <c r="T7" s="53">
        <v>705.44</v>
      </c>
      <c r="U7" s="432">
        <v>705.44</v>
      </c>
      <c r="V7" s="433">
        <v>705.44</v>
      </c>
      <c r="W7" s="53">
        <v>705.44</v>
      </c>
      <c r="X7" s="506">
        <f t="shared" si="0"/>
        <v>8465.2800000000025</v>
      </c>
    </row>
    <row r="8" spans="1:24" x14ac:dyDescent="0.3">
      <c r="A8" s="61"/>
      <c r="B8" s="495" t="s">
        <v>162</v>
      </c>
      <c r="C8" s="496" t="s">
        <v>163</v>
      </c>
      <c r="D8" s="497">
        <v>2</v>
      </c>
      <c r="E8" s="497">
        <v>179446.15384615384</v>
      </c>
      <c r="F8" s="498">
        <v>48</v>
      </c>
      <c r="G8" s="499">
        <v>7.8E-2</v>
      </c>
      <c r="H8" s="500">
        <v>7.8E-2</v>
      </c>
      <c r="I8" s="508">
        <v>175707.69230769231</v>
      </c>
      <c r="J8" s="509">
        <v>3738.4615384615386</v>
      </c>
      <c r="K8" s="507">
        <v>130846.15384615384</v>
      </c>
      <c r="L8" s="432">
        <v>3738.4615384615386</v>
      </c>
      <c r="M8" s="433">
        <v>3738.4615384615386</v>
      </c>
      <c r="N8" s="53">
        <v>3738.4615384615386</v>
      </c>
      <c r="O8" s="432">
        <v>3738.4615384615386</v>
      </c>
      <c r="P8" s="433">
        <v>3738.4615384615386</v>
      </c>
      <c r="Q8" s="53">
        <v>3738.4615384615386</v>
      </c>
      <c r="R8" s="432">
        <v>3738.4615384615386</v>
      </c>
      <c r="S8" s="433">
        <v>3738.4615384615386</v>
      </c>
      <c r="T8" s="53">
        <v>3738.4615384615386</v>
      </c>
      <c r="U8" s="432">
        <v>3738.4615384615386</v>
      </c>
      <c r="V8" s="433">
        <v>3738.4615384615386</v>
      </c>
      <c r="W8" s="53">
        <v>3738.4615384615386</v>
      </c>
      <c r="X8" s="506">
        <f t="shared" si="0"/>
        <v>44861.538461538461</v>
      </c>
    </row>
    <row r="9" spans="1:24" x14ac:dyDescent="0.3">
      <c r="A9" s="61"/>
      <c r="B9" s="495" t="s">
        <v>164</v>
      </c>
      <c r="C9" s="496" t="s">
        <v>163</v>
      </c>
      <c r="D9" s="497">
        <v>1</v>
      </c>
      <c r="E9" s="497">
        <v>125707.41</v>
      </c>
      <c r="F9" s="498">
        <v>48</v>
      </c>
      <c r="G9" s="499">
        <v>7.8E-2</v>
      </c>
      <c r="H9" s="500">
        <v>7.8E-2</v>
      </c>
      <c r="I9" s="508">
        <v>123088.50562500001</v>
      </c>
      <c r="J9" s="509">
        <v>2618.9043750000001</v>
      </c>
      <c r="K9" s="507">
        <v>91661.653125000012</v>
      </c>
      <c r="L9" s="432">
        <v>2618.9043750000001</v>
      </c>
      <c r="M9" s="433">
        <v>2618.9043750000001</v>
      </c>
      <c r="N9" s="53">
        <v>2618.9043750000001</v>
      </c>
      <c r="O9" s="432">
        <v>2618.9043750000001</v>
      </c>
      <c r="P9" s="433">
        <v>2618.9043750000001</v>
      </c>
      <c r="Q9" s="53">
        <v>2618.9043750000001</v>
      </c>
      <c r="R9" s="432">
        <v>2618.9043750000001</v>
      </c>
      <c r="S9" s="433">
        <v>2618.9043750000001</v>
      </c>
      <c r="T9" s="53">
        <v>2618.9043750000001</v>
      </c>
      <c r="U9" s="432">
        <v>2618.9043750000001</v>
      </c>
      <c r="V9" s="433">
        <v>2618.9043750000001</v>
      </c>
      <c r="W9" s="53">
        <v>2618.9043750000001</v>
      </c>
      <c r="X9" s="506">
        <f t="shared" si="0"/>
        <v>31426.852499999994</v>
      </c>
    </row>
    <row r="10" spans="1:24" x14ac:dyDescent="0.3">
      <c r="A10" s="605"/>
      <c r="B10" s="510" t="s">
        <v>194</v>
      </c>
      <c r="C10" s="511"/>
      <c r="D10" s="512"/>
      <c r="E10" s="512">
        <v>1073676.6948461537</v>
      </c>
      <c r="F10" s="513"/>
      <c r="G10" s="514"/>
      <c r="H10" s="515"/>
      <c r="I10" s="512">
        <v>447792.66893269226</v>
      </c>
      <c r="J10" s="516">
        <v>22368.225913461538</v>
      </c>
      <c r="K10" s="517">
        <v>226036.90597115384</v>
      </c>
      <c r="L10" s="518">
        <v>22368.225913461538</v>
      </c>
      <c r="M10" s="519">
        <v>22368.225913461538</v>
      </c>
      <c r="N10" s="517">
        <v>22368.225913461538</v>
      </c>
      <c r="O10" s="519">
        <v>22368.225913461538</v>
      </c>
      <c r="P10" s="520">
        <v>22368.225913461538</v>
      </c>
      <c r="Q10" s="517">
        <v>25538.225913461538</v>
      </c>
      <c r="R10" s="519">
        <v>14062.80591346154</v>
      </c>
      <c r="S10" s="520">
        <v>14062.80591346154</v>
      </c>
      <c r="T10" s="517">
        <v>14062.80591346154</v>
      </c>
      <c r="U10" s="519">
        <v>14062.80591346154</v>
      </c>
      <c r="V10" s="520">
        <v>14062.80591346154</v>
      </c>
      <c r="W10" s="517">
        <v>14062.80591346154</v>
      </c>
      <c r="X10" s="521">
        <f t="shared" ref="M10:X10" si="1">SUM(X4:X9)</f>
        <v>221756.19096153846</v>
      </c>
    </row>
    <row r="11" spans="1:24" x14ac:dyDescent="0.3">
      <c r="A11" s="44" t="s">
        <v>165</v>
      </c>
      <c r="B11" s="522" t="s">
        <v>166</v>
      </c>
      <c r="C11" s="511" t="s">
        <v>167</v>
      </c>
      <c r="D11" s="512">
        <v>5</v>
      </c>
      <c r="E11" s="512">
        <v>114375.98787</v>
      </c>
      <c r="F11" s="513">
        <v>48</v>
      </c>
      <c r="G11" s="514">
        <v>8.6400000000000005E-2</v>
      </c>
      <c r="H11" s="515">
        <v>9.0700000000000003E-2</v>
      </c>
      <c r="I11" s="512">
        <v>63786.608619807688</v>
      </c>
      <c r="J11" s="523">
        <v>2382.8330806250001</v>
      </c>
      <c r="K11" s="524">
        <v>0.28689584615494823</v>
      </c>
      <c r="L11" s="525">
        <v>2126.220287326923</v>
      </c>
      <c r="M11" s="526">
        <v>2126.220287326923</v>
      </c>
      <c r="N11" s="50">
        <v>2126.220287326923</v>
      </c>
      <c r="O11" s="525">
        <v>2126.220287326923</v>
      </c>
      <c r="P11" s="46">
        <v>2126.220287326923</v>
      </c>
      <c r="Q11" s="527">
        <v>53155.22028732692</v>
      </c>
      <c r="R11" s="528"/>
      <c r="S11" s="529"/>
      <c r="T11" s="530"/>
      <c r="U11" s="531"/>
      <c r="V11" s="529"/>
      <c r="W11" s="530"/>
      <c r="X11" s="532">
        <f t="shared" ref="X11:X22" si="2">SUM(L11:W11)</f>
        <v>63786.321723961533</v>
      </c>
    </row>
    <row r="12" spans="1:24" x14ac:dyDescent="0.3">
      <c r="A12" s="61"/>
      <c r="B12" s="533" t="s">
        <v>168</v>
      </c>
      <c r="C12" s="534" t="s">
        <v>167</v>
      </c>
      <c r="D12" s="535">
        <v>51</v>
      </c>
      <c r="E12" s="535">
        <v>745911.81365999999</v>
      </c>
      <c r="F12" s="536">
        <v>48</v>
      </c>
      <c r="G12" s="537">
        <v>8.6400000000000005E-2</v>
      </c>
      <c r="H12" s="538">
        <v>9.0700000000000003E-2</v>
      </c>
      <c r="I12" s="535">
        <v>435979.9426975</v>
      </c>
      <c r="J12" s="539">
        <v>15539.82945125</v>
      </c>
      <c r="K12" s="540">
        <v>0.28834453842137009</v>
      </c>
      <c r="L12" s="541">
        <v>15107.109058826922</v>
      </c>
      <c r="M12" s="542">
        <v>15107.109058826922</v>
      </c>
      <c r="N12" s="543">
        <v>15107.109058826922</v>
      </c>
      <c r="O12" s="541">
        <v>15107.109058826922</v>
      </c>
      <c r="P12" s="544">
        <v>15107.109058826922</v>
      </c>
      <c r="Q12" s="545">
        <v>360444.10905882693</v>
      </c>
      <c r="R12" s="546"/>
      <c r="S12" s="547"/>
      <c r="T12" s="548"/>
      <c r="U12" s="549"/>
      <c r="V12" s="547"/>
      <c r="W12" s="548"/>
      <c r="X12" s="550">
        <f t="shared" si="2"/>
        <v>435979.65435296157</v>
      </c>
    </row>
    <row r="13" spans="1:24" x14ac:dyDescent="0.3">
      <c r="A13" s="61"/>
      <c r="B13" s="551" t="s">
        <v>166</v>
      </c>
      <c r="C13" s="552" t="s">
        <v>169</v>
      </c>
      <c r="D13" s="553">
        <v>2</v>
      </c>
      <c r="E13" s="553">
        <v>54586.687408199999</v>
      </c>
      <c r="F13" s="554">
        <v>60</v>
      </c>
      <c r="G13" s="555">
        <v>9.0399999999999994E-2</v>
      </c>
      <c r="H13" s="556">
        <v>9.3299999999999994E-2</v>
      </c>
      <c r="I13" s="553">
        <v>35271.398017606167</v>
      </c>
      <c r="J13" s="557">
        <v>909.77812346999997</v>
      </c>
      <c r="K13" s="558">
        <v>0.13294742927973857</v>
      </c>
      <c r="L13" s="559">
        <v>35271.265070176887</v>
      </c>
      <c r="M13" s="560"/>
      <c r="N13" s="561"/>
      <c r="O13" s="562"/>
      <c r="P13" s="563"/>
      <c r="Q13" s="561"/>
      <c r="R13" s="562"/>
      <c r="S13" s="563"/>
      <c r="T13" s="561"/>
      <c r="U13" s="562"/>
      <c r="V13" s="563"/>
      <c r="W13" s="561"/>
      <c r="X13" s="506">
        <f t="shared" si="2"/>
        <v>35271.265070176887</v>
      </c>
    </row>
    <row r="14" spans="1:24" x14ac:dyDescent="0.3">
      <c r="A14" s="61"/>
      <c r="B14" s="533" t="s">
        <v>168</v>
      </c>
      <c r="C14" s="534" t="s">
        <v>170</v>
      </c>
      <c r="D14" s="535">
        <v>25</v>
      </c>
      <c r="E14" s="535">
        <v>599814.19570499996</v>
      </c>
      <c r="F14" s="536">
        <v>60</v>
      </c>
      <c r="G14" s="537">
        <v>9.0399999999999994E-2</v>
      </c>
      <c r="H14" s="538">
        <v>9.3299999999999994E-2</v>
      </c>
      <c r="I14" s="535">
        <v>405190.7347835477</v>
      </c>
      <c r="J14" s="539">
        <v>9996.9032617499997</v>
      </c>
      <c r="K14" s="540">
        <v>4.6566128730773926E-10</v>
      </c>
      <c r="L14" s="559">
        <v>405190.73478354723</v>
      </c>
      <c r="M14" s="560"/>
      <c r="N14" s="561"/>
      <c r="O14" s="562"/>
      <c r="P14" s="563"/>
      <c r="Q14" s="561"/>
      <c r="R14" s="562"/>
      <c r="S14" s="563"/>
      <c r="T14" s="561"/>
      <c r="U14" s="562"/>
      <c r="V14" s="563"/>
      <c r="W14" s="561"/>
      <c r="X14" s="506">
        <f t="shared" si="2"/>
        <v>405190.73478354723</v>
      </c>
    </row>
    <row r="15" spans="1:24" x14ac:dyDescent="0.3">
      <c r="A15" s="61"/>
      <c r="B15" s="551" t="s">
        <v>171</v>
      </c>
      <c r="C15" s="552" t="s">
        <v>170</v>
      </c>
      <c r="D15" s="553">
        <v>2</v>
      </c>
      <c r="E15" s="553">
        <v>63580.883126400004</v>
      </c>
      <c r="F15" s="554">
        <v>48</v>
      </c>
      <c r="G15" s="555">
        <v>8.7800000000000003E-2</v>
      </c>
      <c r="H15" s="556">
        <v>9.0700000000000003E-2</v>
      </c>
      <c r="I15" s="553">
        <v>37903.988017661548</v>
      </c>
      <c r="J15" s="557">
        <v>1324.6017318000002</v>
      </c>
      <c r="K15" s="558">
        <v>0</v>
      </c>
      <c r="L15" s="564">
        <v>37903.988017661519</v>
      </c>
      <c r="M15" s="565"/>
      <c r="N15" s="566"/>
      <c r="O15" s="567"/>
      <c r="P15" s="568"/>
      <c r="Q15" s="566"/>
      <c r="R15" s="567"/>
      <c r="S15" s="568"/>
      <c r="T15" s="566"/>
      <c r="U15" s="567"/>
      <c r="V15" s="568"/>
      <c r="W15" s="566"/>
      <c r="X15" s="569">
        <f t="shared" si="2"/>
        <v>37903.988017661519</v>
      </c>
    </row>
    <row r="16" spans="1:24" x14ac:dyDescent="0.3">
      <c r="A16" s="61"/>
      <c r="B16" s="495" t="s">
        <v>172</v>
      </c>
      <c r="C16" s="496" t="s">
        <v>170</v>
      </c>
      <c r="D16" s="497">
        <v>5</v>
      </c>
      <c r="E16" s="497">
        <v>76135.474799999996</v>
      </c>
      <c r="F16" s="498">
        <v>48</v>
      </c>
      <c r="G16" s="499">
        <v>8.7800000000000003E-2</v>
      </c>
      <c r="H16" s="500">
        <v>9.0700000000000003E-2</v>
      </c>
      <c r="I16" s="497">
        <v>45658.516130769211</v>
      </c>
      <c r="J16" s="501">
        <v>1586.1557249999998</v>
      </c>
      <c r="K16" s="507">
        <v>0</v>
      </c>
      <c r="L16" s="559">
        <v>45658.516130769247</v>
      </c>
      <c r="M16" s="560"/>
      <c r="N16" s="561"/>
      <c r="O16" s="562"/>
      <c r="P16" s="563"/>
      <c r="Q16" s="561"/>
      <c r="R16" s="562"/>
      <c r="S16" s="563"/>
      <c r="T16" s="561"/>
      <c r="U16" s="562"/>
      <c r="V16" s="563"/>
      <c r="W16" s="561"/>
      <c r="X16" s="506">
        <f t="shared" si="2"/>
        <v>45658.516130769247</v>
      </c>
    </row>
    <row r="17" spans="1:24" x14ac:dyDescent="0.3">
      <c r="A17" s="61"/>
      <c r="B17" s="533" t="s">
        <v>173</v>
      </c>
      <c r="C17" s="534" t="s">
        <v>170</v>
      </c>
      <c r="D17" s="535">
        <v>1</v>
      </c>
      <c r="E17" s="535">
        <v>28800</v>
      </c>
      <c r="F17" s="536">
        <v>48</v>
      </c>
      <c r="G17" s="537">
        <v>8.7800000000000003E-2</v>
      </c>
      <c r="H17" s="538">
        <v>9.0700000000000003E-2</v>
      </c>
      <c r="I17" s="535">
        <v>21085.074011569232</v>
      </c>
      <c r="J17" s="539">
        <v>600</v>
      </c>
      <c r="K17" s="540">
        <v>0</v>
      </c>
      <c r="L17" s="570">
        <v>21085.074011569246</v>
      </c>
      <c r="M17" s="571"/>
      <c r="N17" s="548"/>
      <c r="O17" s="549"/>
      <c r="P17" s="547"/>
      <c r="Q17" s="548"/>
      <c r="R17" s="549"/>
      <c r="S17" s="547"/>
      <c r="T17" s="548"/>
      <c r="U17" s="562"/>
      <c r="V17" s="563"/>
      <c r="W17" s="561"/>
      <c r="X17" s="506">
        <f t="shared" si="2"/>
        <v>21085.074011569246</v>
      </c>
    </row>
    <row r="18" spans="1:24" x14ac:dyDescent="0.3">
      <c r="A18" s="61"/>
      <c r="B18" s="533" t="s">
        <v>174</v>
      </c>
      <c r="C18" s="534" t="s">
        <v>175</v>
      </c>
      <c r="D18" s="535">
        <v>1</v>
      </c>
      <c r="E18" s="535">
        <v>174172.47456</v>
      </c>
      <c r="F18" s="536">
        <v>60</v>
      </c>
      <c r="G18" s="537">
        <v>8.8400000000000006E-2</v>
      </c>
      <c r="H18" s="572">
        <v>9.1300000000000006E-2</v>
      </c>
      <c r="I18" s="573">
        <v>122813.92438461538</v>
      </c>
      <c r="J18" s="539">
        <v>2902.8745760000002</v>
      </c>
      <c r="K18" s="540">
        <v>0</v>
      </c>
      <c r="L18" s="541">
        <v>2791.2255384615382</v>
      </c>
      <c r="M18" s="542">
        <v>2791.2255384615382</v>
      </c>
      <c r="N18" s="543">
        <v>2791.2255384615382</v>
      </c>
      <c r="O18" s="541">
        <v>2791.2255384615382</v>
      </c>
      <c r="P18" s="544">
        <v>2791.2255384615382</v>
      </c>
      <c r="Q18" s="543">
        <v>2791.2255384615382</v>
      </c>
      <c r="R18" s="541">
        <v>2791.2255384615382</v>
      </c>
      <c r="S18" s="544">
        <v>2791.2255384615382</v>
      </c>
      <c r="T18" s="574">
        <v>100484.12007692305</v>
      </c>
      <c r="U18" s="549"/>
      <c r="V18" s="547"/>
      <c r="W18" s="548"/>
      <c r="X18" s="550">
        <f t="shared" si="2"/>
        <v>122813.92438461535</v>
      </c>
    </row>
    <row r="19" spans="1:24" x14ac:dyDescent="0.3">
      <c r="A19" s="61"/>
      <c r="B19" s="533" t="s">
        <v>176</v>
      </c>
      <c r="C19" s="534" t="s">
        <v>177</v>
      </c>
      <c r="D19" s="535">
        <v>8</v>
      </c>
      <c r="E19" s="535">
        <v>247373.12</v>
      </c>
      <c r="F19" s="536">
        <v>60</v>
      </c>
      <c r="G19" s="537">
        <v>9.1600000000000001E-2</v>
      </c>
      <c r="H19" s="572">
        <v>9.1300000000000006E-2</v>
      </c>
      <c r="I19" s="573">
        <v>174429.76403846155</v>
      </c>
      <c r="J19" s="539">
        <v>4122.8853333333336</v>
      </c>
      <c r="K19" s="540">
        <v>-2.3283064365386963E-10</v>
      </c>
      <c r="L19" s="541">
        <v>3964.3128076923076</v>
      </c>
      <c r="M19" s="542">
        <v>3964.3128076923076</v>
      </c>
      <c r="N19" s="543">
        <v>3964.3128076923076</v>
      </c>
      <c r="O19" s="541">
        <v>3964.3128076923076</v>
      </c>
      <c r="P19" s="544">
        <v>3964.3128076923076</v>
      </c>
      <c r="Q19" s="543">
        <v>3964.3128076923076</v>
      </c>
      <c r="R19" s="541">
        <v>3964.3128076923076</v>
      </c>
      <c r="S19" s="544">
        <v>3964.3128076923076</v>
      </c>
      <c r="T19" s="574">
        <v>142715.26157692331</v>
      </c>
      <c r="U19" s="549"/>
      <c r="V19" s="547"/>
      <c r="W19" s="548"/>
      <c r="X19" s="506">
        <f>SUM(L19:W19)</f>
        <v>174429.76403846178</v>
      </c>
    </row>
    <row r="20" spans="1:24" x14ac:dyDescent="0.3">
      <c r="A20" s="61"/>
      <c r="B20" s="575" t="s">
        <v>178</v>
      </c>
      <c r="C20" s="576" t="s">
        <v>179</v>
      </c>
      <c r="D20" s="577">
        <v>4</v>
      </c>
      <c r="E20" s="577">
        <v>137899.95791999999</v>
      </c>
      <c r="F20" s="578">
        <v>60</v>
      </c>
      <c r="G20" s="579">
        <v>8.9099999999999999E-2</v>
      </c>
      <c r="H20" s="580">
        <v>8.8800000000000004E-2</v>
      </c>
      <c r="I20" s="581">
        <v>86408.467384615389</v>
      </c>
      <c r="J20" s="582">
        <v>2298.3326319999996</v>
      </c>
      <c r="K20" s="540">
        <v>0</v>
      </c>
      <c r="L20" s="583">
        <v>1878.444923076923</v>
      </c>
      <c r="M20" s="584">
        <v>1878.444923076923</v>
      </c>
      <c r="N20" s="585">
        <v>1878.444923076923</v>
      </c>
      <c r="O20" s="583">
        <v>1878.444923076923</v>
      </c>
      <c r="P20" s="586">
        <v>1878.444923076923</v>
      </c>
      <c r="Q20" s="585">
        <v>1878.444923076923</v>
      </c>
      <c r="R20" s="583">
        <v>1878.444923076923</v>
      </c>
      <c r="S20" s="586">
        <v>1878.444923076923</v>
      </c>
      <c r="T20" s="585">
        <v>1878.444923076923</v>
      </c>
      <c r="U20" s="583">
        <v>1878.444923076923</v>
      </c>
      <c r="V20" s="587">
        <v>67624.018153846118</v>
      </c>
      <c r="W20" s="588"/>
      <c r="X20" s="506">
        <f t="shared" si="2"/>
        <v>86408.467384615346</v>
      </c>
    </row>
    <row r="21" spans="1:24" x14ac:dyDescent="0.3">
      <c r="A21" s="61"/>
      <c r="B21" s="575" t="s">
        <v>180</v>
      </c>
      <c r="C21" s="576" t="s">
        <v>181</v>
      </c>
      <c r="D21" s="577">
        <v>4</v>
      </c>
      <c r="E21" s="577">
        <v>330528.23031923076</v>
      </c>
      <c r="F21" s="578">
        <v>60</v>
      </c>
      <c r="G21" s="579">
        <v>8.6099999999999996E-2</v>
      </c>
      <c r="H21" s="589">
        <v>8.5800000000000001E-2</v>
      </c>
      <c r="I21" s="590">
        <v>330528.23031923076</v>
      </c>
      <c r="J21" s="582">
        <v>5508.8038386538456</v>
      </c>
      <c r="K21" s="591">
        <v>247896.17262692307</v>
      </c>
      <c r="L21" s="583">
        <v>6886.0048076923076</v>
      </c>
      <c r="M21" s="584">
        <v>6886.0048076923076</v>
      </c>
      <c r="N21" s="585">
        <v>6886.0048076923076</v>
      </c>
      <c r="O21" s="583">
        <v>6886.0048076923076</v>
      </c>
      <c r="P21" s="586">
        <v>6886.0048076923076</v>
      </c>
      <c r="Q21" s="585">
        <v>6886.0048076923076</v>
      </c>
      <c r="R21" s="583">
        <v>6886.0048076923076</v>
      </c>
      <c r="S21" s="586">
        <v>6886.0048076923076</v>
      </c>
      <c r="T21" s="585">
        <v>6886.0048076923076</v>
      </c>
      <c r="U21" s="583">
        <v>6886.0048076923076</v>
      </c>
      <c r="V21" s="586">
        <v>6886.0048076923076</v>
      </c>
      <c r="W21" s="585">
        <v>6886.0048076923076</v>
      </c>
      <c r="X21" s="506">
        <f t="shared" si="2"/>
        <v>82632.057692307688</v>
      </c>
    </row>
    <row r="22" spans="1:24" x14ac:dyDescent="0.3">
      <c r="A22" s="61"/>
      <c r="B22" s="592" t="s">
        <v>182</v>
      </c>
      <c r="C22" s="593" t="s">
        <v>183</v>
      </c>
      <c r="D22" s="594">
        <v>1</v>
      </c>
      <c r="E22" s="594">
        <v>322962.79019999999</v>
      </c>
      <c r="F22" s="595">
        <v>60</v>
      </c>
      <c r="G22" s="596">
        <v>8.6099999999999996E-2</v>
      </c>
      <c r="H22" s="597">
        <v>8.5800000000000001E-2</v>
      </c>
      <c r="I22" s="598">
        <v>253608.60136461537</v>
      </c>
      <c r="J22" s="599">
        <v>5382.71317</v>
      </c>
      <c r="K22" s="600">
        <v>185289.54967230768</v>
      </c>
      <c r="L22" s="601">
        <v>5693.2543076923075</v>
      </c>
      <c r="M22" s="602">
        <v>5693.2543076923075</v>
      </c>
      <c r="N22" s="603">
        <v>5693.2543076923075</v>
      </c>
      <c r="O22" s="601">
        <v>5693.2543076923075</v>
      </c>
      <c r="P22" s="604">
        <v>5693.2543076923075</v>
      </c>
      <c r="Q22" s="603">
        <v>5693.2543076923075</v>
      </c>
      <c r="R22" s="601">
        <v>5693.2543076923075</v>
      </c>
      <c r="S22" s="604">
        <v>5693.2543076923075</v>
      </c>
      <c r="T22" s="603">
        <v>5693.2543076923075</v>
      </c>
      <c r="U22" s="601">
        <v>5693.2543076923075</v>
      </c>
      <c r="V22" s="604">
        <v>5693.2543076923075</v>
      </c>
      <c r="W22" s="603">
        <v>5693.2543076923075</v>
      </c>
      <c r="X22" s="506">
        <f t="shared" si="2"/>
        <v>68319.051692307708</v>
      </c>
    </row>
    <row r="23" spans="1:24" x14ac:dyDescent="0.3">
      <c r="A23" s="605"/>
      <c r="B23" s="510" t="s">
        <v>194</v>
      </c>
      <c r="C23" s="520"/>
      <c r="D23" s="520"/>
      <c r="E23" s="606">
        <v>2896141.6155688306</v>
      </c>
      <c r="F23" s="518"/>
      <c r="G23" s="520"/>
      <c r="H23" s="606"/>
      <c r="I23" s="606">
        <v>2012665.2497699999</v>
      </c>
      <c r="J23" s="517">
        <v>52555.710923882179</v>
      </c>
      <c r="K23" s="521">
        <v>433186.43048704485</v>
      </c>
      <c r="L23" s="518">
        <v>583556.1497444933</v>
      </c>
      <c r="M23" s="519">
        <v>38446.571730769232</v>
      </c>
      <c r="N23" s="517">
        <v>38446.571730769232</v>
      </c>
      <c r="O23" s="518">
        <v>38446.571730769232</v>
      </c>
      <c r="P23" s="520">
        <v>38446.571730769232</v>
      </c>
      <c r="Q23" s="517">
        <v>434812.57173076918</v>
      </c>
      <c r="R23" s="518">
        <v>21213.242384615383</v>
      </c>
      <c r="S23" s="520">
        <v>21213.242384615383</v>
      </c>
      <c r="T23" s="517">
        <v>257657.08569230791</v>
      </c>
      <c r="U23" s="518">
        <v>14457.704038461539</v>
      </c>
      <c r="V23" s="520">
        <v>80203.277269230734</v>
      </c>
      <c r="W23" s="517">
        <v>12579.259115384615</v>
      </c>
      <c r="X23" s="521">
        <f>SUM(L23:W23)</f>
        <v>1579478.8192829548</v>
      </c>
    </row>
    <row r="24" spans="1:24" ht="17.25" thickBot="1" x14ac:dyDescent="0.35">
      <c r="A24" s="61"/>
      <c r="B24" s="607" t="s">
        <v>184</v>
      </c>
      <c r="C24" s="608"/>
      <c r="D24" s="608"/>
      <c r="E24" s="497"/>
      <c r="F24" s="498"/>
      <c r="G24" s="608"/>
      <c r="H24" s="608"/>
      <c r="I24" s="497"/>
      <c r="J24" s="501"/>
      <c r="K24" s="609"/>
      <c r="L24" s="610">
        <v>10613.845442382675</v>
      </c>
      <c r="M24" s="611"/>
      <c r="N24" s="501"/>
      <c r="O24" s="612"/>
      <c r="P24" s="496"/>
      <c r="Q24" s="613">
        <v>3922.3057612605767</v>
      </c>
      <c r="R24" s="612"/>
      <c r="S24" s="496"/>
      <c r="T24" s="613">
        <v>2340.1184923907695</v>
      </c>
      <c r="U24" s="612"/>
      <c r="V24" s="614">
        <v>611.26808432615394</v>
      </c>
      <c r="W24" s="501"/>
      <c r="X24" s="615">
        <f>SUM(L24:W24)</f>
        <v>17487.537780360177</v>
      </c>
    </row>
    <row r="25" spans="1:24" ht="17.25" thickBot="1" x14ac:dyDescent="0.35">
      <c r="A25" s="617" t="s">
        <v>195</v>
      </c>
      <c r="B25" s="618"/>
      <c r="C25" s="618"/>
      <c r="D25" s="618"/>
      <c r="E25" s="616">
        <f>+E10+E23</f>
        <v>3969818.3104149844</v>
      </c>
      <c r="F25" s="617"/>
      <c r="G25" s="618"/>
      <c r="H25" s="618"/>
      <c r="I25" s="619">
        <f t="shared" ref="I25:K25" si="3">+I10+I23</f>
        <v>2460457.9187026923</v>
      </c>
      <c r="J25" s="620">
        <f t="shared" si="3"/>
        <v>74923.936837343717</v>
      </c>
      <c r="K25" s="621">
        <f t="shared" si="3"/>
        <v>659223.33645819873</v>
      </c>
      <c r="L25" s="622">
        <f>+L10+L23+L24</f>
        <v>616538.22110033745</v>
      </c>
      <c r="M25" s="623">
        <f t="shared" ref="M25:X25" si="4">+M10+M23+M24</f>
        <v>60814.79764423077</v>
      </c>
      <c r="N25" s="616">
        <f t="shared" si="4"/>
        <v>60814.79764423077</v>
      </c>
      <c r="O25" s="622">
        <f t="shared" si="4"/>
        <v>60814.79764423077</v>
      </c>
      <c r="P25" s="619">
        <f t="shared" si="4"/>
        <v>60814.79764423077</v>
      </c>
      <c r="Q25" s="616">
        <f t="shared" si="4"/>
        <v>464273.10340549127</v>
      </c>
      <c r="R25" s="622">
        <f t="shared" si="4"/>
        <v>35276.048298076923</v>
      </c>
      <c r="S25" s="619">
        <f t="shared" si="4"/>
        <v>35276.048298076923</v>
      </c>
      <c r="T25" s="616">
        <f t="shared" si="4"/>
        <v>274060.01009816024</v>
      </c>
      <c r="U25" s="622">
        <f t="shared" si="4"/>
        <v>28520.509951923079</v>
      </c>
      <c r="V25" s="619">
        <f t="shared" si="4"/>
        <v>94877.351267018414</v>
      </c>
      <c r="W25" s="616">
        <f t="shared" si="4"/>
        <v>26642.065028846155</v>
      </c>
      <c r="X25" s="621">
        <f t="shared" si="4"/>
        <v>1818722.5480248535</v>
      </c>
    </row>
    <row r="26" spans="1:24" x14ac:dyDescent="0.3">
      <c r="A26" s="624"/>
      <c r="B26" s="624"/>
      <c r="C26" s="624"/>
      <c r="D26" s="624"/>
      <c r="E26" s="625"/>
      <c r="F26" s="625"/>
      <c r="G26" s="625"/>
      <c r="H26" s="625"/>
      <c r="I26" s="625"/>
      <c r="J26" s="624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</row>
    <row r="27" spans="1:24" ht="17.25" thickBot="1" x14ac:dyDescent="0.35">
      <c r="A27" s="482" t="s">
        <v>196</v>
      </c>
      <c r="B27" s="483"/>
      <c r="C27" s="483"/>
      <c r="D27" s="484"/>
      <c r="E27" s="485"/>
      <c r="F27" s="486"/>
      <c r="G27" s="486"/>
      <c r="H27" s="486"/>
      <c r="I27" s="485"/>
      <c r="J27" s="486"/>
      <c r="K27" s="485"/>
      <c r="L27" s="626"/>
      <c r="M27" s="626"/>
      <c r="N27" s="626"/>
      <c r="O27" s="626"/>
      <c r="P27" s="626"/>
      <c r="Q27" s="626"/>
      <c r="R27" s="485"/>
      <c r="S27" s="485"/>
      <c r="T27" s="485"/>
      <c r="U27" s="485"/>
      <c r="V27" s="485"/>
      <c r="W27" s="485"/>
      <c r="X27" s="485"/>
    </row>
    <row r="28" spans="1:24" ht="54.75" thickBot="1" x14ac:dyDescent="0.35">
      <c r="A28" s="637" t="s">
        <v>191</v>
      </c>
      <c r="B28" s="286"/>
      <c r="C28" s="3" t="s">
        <v>147</v>
      </c>
      <c r="D28" s="156" t="s">
        <v>148</v>
      </c>
      <c r="E28" s="490" t="s">
        <v>185</v>
      </c>
      <c r="F28" s="627" t="s">
        <v>150</v>
      </c>
      <c r="G28" s="493" t="s">
        <v>197</v>
      </c>
      <c r="H28" s="493" t="s">
        <v>152</v>
      </c>
      <c r="I28" s="493" t="s">
        <v>186</v>
      </c>
      <c r="J28" s="494" t="s">
        <v>198</v>
      </c>
      <c r="K28" s="494" t="s">
        <v>187</v>
      </c>
      <c r="L28" s="8" t="str">
        <f t="shared" ref="L28:X28" si="5">L3</f>
        <v>Jan.26</v>
      </c>
      <c r="M28" s="3" t="str">
        <f t="shared" si="5"/>
        <v>Feb.26</v>
      </c>
      <c r="N28" s="7" t="str">
        <f t="shared" si="5"/>
        <v>Mar.26</v>
      </c>
      <c r="O28" s="9" t="str">
        <f t="shared" si="5"/>
        <v>Apr.26</v>
      </c>
      <c r="P28" s="3" t="str">
        <f t="shared" si="5"/>
        <v>May.26</v>
      </c>
      <c r="Q28" s="7" t="str">
        <f t="shared" si="5"/>
        <v>Jun.26</v>
      </c>
      <c r="R28" s="9" t="str">
        <f t="shared" si="5"/>
        <v>Jul.26</v>
      </c>
      <c r="S28" s="3" t="str">
        <f t="shared" si="5"/>
        <v>Aug.26</v>
      </c>
      <c r="T28" s="7" t="str">
        <f t="shared" si="5"/>
        <v>Sep.26</v>
      </c>
      <c r="U28" s="9" t="str">
        <f t="shared" si="5"/>
        <v>Oct.26</v>
      </c>
      <c r="V28" s="3" t="str">
        <f t="shared" si="5"/>
        <v>Nov.26</v>
      </c>
      <c r="W28" s="7" t="str">
        <f t="shared" si="5"/>
        <v>Dec.26</v>
      </c>
      <c r="X28" s="157" t="str">
        <f t="shared" si="5"/>
        <v>2026
Total</v>
      </c>
    </row>
    <row r="29" spans="1:24" x14ac:dyDescent="0.3">
      <c r="A29" s="61"/>
      <c r="B29" s="495" t="str">
        <f>B4</f>
        <v xml:space="preserve">Casting Machine 350V7EX </v>
      </c>
      <c r="C29" s="496" t="s">
        <v>155</v>
      </c>
      <c r="D29" s="497">
        <v>5</v>
      </c>
      <c r="E29" s="497">
        <v>398660.11200000002</v>
      </c>
      <c r="F29" s="612">
        <v>48</v>
      </c>
      <c r="G29" s="499">
        <v>8.1000000000000003E-2</v>
      </c>
      <c r="H29" s="499">
        <v>8.1000000000000003E-2</v>
      </c>
      <c r="I29" s="496">
        <v>53002.092000000019</v>
      </c>
      <c r="J29" s="509">
        <v>107.31459871232882</v>
      </c>
      <c r="K29" s="507"/>
      <c r="L29" s="432">
        <v>352.86324263013717</v>
      </c>
      <c r="M29" s="433">
        <v>297.56962454794535</v>
      </c>
      <c r="N29" s="53">
        <v>242.27600646575357</v>
      </c>
      <c r="O29" s="432">
        <v>186.98238838356176</v>
      </c>
      <c r="P29" s="433">
        <v>131.68877030137</v>
      </c>
      <c r="Q29" s="53">
        <v>76.395152219178215</v>
      </c>
      <c r="R29" s="503"/>
      <c r="S29" s="504"/>
      <c r="T29" s="505"/>
      <c r="U29" s="503"/>
      <c r="V29" s="504"/>
      <c r="W29" s="505"/>
      <c r="X29" s="506">
        <f t="shared" ref="X29:X34" si="6">SUM(L29:W29)</f>
        <v>1287.7751845479459</v>
      </c>
    </row>
    <row r="30" spans="1:24" x14ac:dyDescent="0.3">
      <c r="A30" s="61"/>
      <c r="B30" s="495" t="str">
        <f>B5</f>
        <v>Supplying and installing transformer</v>
      </c>
      <c r="C30" s="496" t="s">
        <v>157</v>
      </c>
      <c r="D30" s="497">
        <v>1</v>
      </c>
      <c r="E30" s="497">
        <v>84000</v>
      </c>
      <c r="F30" s="612">
        <v>48</v>
      </c>
      <c r="G30" s="499">
        <v>8.1000000000000003E-2</v>
      </c>
      <c r="H30" s="499">
        <v>8.1000000000000003E-2</v>
      </c>
      <c r="I30" s="496">
        <v>21000</v>
      </c>
      <c r="J30" s="509">
        <v>75.729452054794521</v>
      </c>
      <c r="K30" s="507"/>
      <c r="L30" s="432">
        <v>139.8082191780822</v>
      </c>
      <c r="M30" s="433">
        <v>128.15753424657535</v>
      </c>
      <c r="N30" s="53">
        <v>116.50684931506849</v>
      </c>
      <c r="O30" s="432">
        <v>104.85616438356165</v>
      </c>
      <c r="P30" s="433">
        <v>93.205479452054789</v>
      </c>
      <c r="Q30" s="53">
        <v>81.554794520547944</v>
      </c>
      <c r="R30" s="432">
        <v>69.904109589041099</v>
      </c>
      <c r="S30" s="433">
        <v>58.253424657534246</v>
      </c>
      <c r="T30" s="53">
        <v>46.602739726027394</v>
      </c>
      <c r="U30" s="432">
        <v>34.952054794520549</v>
      </c>
      <c r="V30" s="433">
        <v>23.301369863013697</v>
      </c>
      <c r="W30" s="53">
        <v>11.650684931506849</v>
      </c>
      <c r="X30" s="506">
        <f t="shared" si="6"/>
        <v>908.75342465753431</v>
      </c>
    </row>
    <row r="31" spans="1:24" x14ac:dyDescent="0.3">
      <c r="A31" s="61"/>
      <c r="B31" s="495" t="str">
        <f>B6</f>
        <v>Ugint PT400SS Samchully machine</v>
      </c>
      <c r="C31" s="496" t="s">
        <v>159</v>
      </c>
      <c r="D31" s="497">
        <v>40</v>
      </c>
      <c r="E31" s="497">
        <v>252000</v>
      </c>
      <c r="F31" s="612">
        <v>48</v>
      </c>
      <c r="G31" s="499">
        <v>8.1000000000000003E-2</v>
      </c>
      <c r="H31" s="499">
        <v>8.1000000000000003E-2</v>
      </c>
      <c r="I31" s="496">
        <v>63000</v>
      </c>
      <c r="J31" s="509">
        <v>227.18835616438352</v>
      </c>
      <c r="K31" s="507"/>
      <c r="L31" s="432">
        <v>419.42465753424659</v>
      </c>
      <c r="M31" s="433">
        <v>384.47260273972603</v>
      </c>
      <c r="N31" s="53">
        <v>349.52054794520546</v>
      </c>
      <c r="O31" s="432">
        <v>314.5684931506849</v>
      </c>
      <c r="P31" s="26">
        <v>279.61643835616439</v>
      </c>
      <c r="Q31" s="53">
        <v>244.66438356164386</v>
      </c>
      <c r="R31" s="432">
        <v>209.7123287671233</v>
      </c>
      <c r="S31" s="26">
        <v>174.76027397260273</v>
      </c>
      <c r="T31" s="53">
        <v>139.8082191780822</v>
      </c>
      <c r="U31" s="432">
        <v>104.85616438356165</v>
      </c>
      <c r="V31" s="26">
        <v>69.904109589041099</v>
      </c>
      <c r="W31" s="53">
        <v>34.952054794520549</v>
      </c>
      <c r="X31" s="506">
        <f t="shared" si="6"/>
        <v>2726.2602739726021</v>
      </c>
    </row>
    <row r="32" spans="1:24" x14ac:dyDescent="0.3">
      <c r="A32" s="61"/>
      <c r="B32" s="495" t="str">
        <f>B7</f>
        <v>3D measuring machine</v>
      </c>
      <c r="C32" s="496" t="s">
        <v>161</v>
      </c>
      <c r="D32" s="497">
        <v>1</v>
      </c>
      <c r="E32" s="497">
        <v>33863.019</v>
      </c>
      <c r="F32" s="612">
        <v>48</v>
      </c>
      <c r="G32" s="499">
        <v>8.1000000000000003E-2</v>
      </c>
      <c r="H32" s="499">
        <v>8.1000000000000003E-2</v>
      </c>
      <c r="I32" s="496">
        <v>11994.378999999994</v>
      </c>
      <c r="J32" s="509">
        <v>54.022288684931475</v>
      </c>
      <c r="K32" s="507"/>
      <c r="L32" s="432">
        <v>79.852988958904064</v>
      </c>
      <c r="M32" s="433">
        <v>75.156497999999957</v>
      </c>
      <c r="N32" s="53">
        <v>70.460007041095849</v>
      </c>
      <c r="O32" s="432">
        <v>65.763516082191757</v>
      </c>
      <c r="P32" s="433">
        <v>61.067025123287635</v>
      </c>
      <c r="Q32" s="53">
        <v>56.370534164383514</v>
      </c>
      <c r="R32" s="432">
        <v>51.674043205479407</v>
      </c>
      <c r="S32" s="433">
        <v>46.977552246575307</v>
      </c>
      <c r="T32" s="53">
        <v>42.281061287671186</v>
      </c>
      <c r="U32" s="432">
        <v>37.584570328767079</v>
      </c>
      <c r="V32" s="433">
        <v>32.888079369862965</v>
      </c>
      <c r="W32" s="53">
        <v>28.191588410958847</v>
      </c>
      <c r="X32" s="506">
        <f t="shared" si="6"/>
        <v>648.26746421917767</v>
      </c>
    </row>
    <row r="33" spans="1:24" x14ac:dyDescent="0.3">
      <c r="A33" s="61"/>
      <c r="B33" s="495" t="s">
        <v>162</v>
      </c>
      <c r="C33" s="496" t="s">
        <v>163</v>
      </c>
      <c r="D33" s="497">
        <v>2</v>
      </c>
      <c r="E33" s="497">
        <v>179446.15384615384</v>
      </c>
      <c r="F33" s="612">
        <v>48</v>
      </c>
      <c r="G33" s="499">
        <v>7.8E-2</v>
      </c>
      <c r="H33" s="499">
        <v>7.8E-2</v>
      </c>
      <c r="I33" s="496">
        <v>175707.69230769231</v>
      </c>
      <c r="J33" s="509">
        <v>3738.4615384615386</v>
      </c>
      <c r="K33" s="507"/>
      <c r="L33" s="432">
        <v>1126.4547945205479</v>
      </c>
      <c r="M33" s="433">
        <v>1102.4876712328767</v>
      </c>
      <c r="N33" s="53">
        <v>1078.5205479452056</v>
      </c>
      <c r="O33" s="432">
        <v>1054.5534246575344</v>
      </c>
      <c r="P33" s="433">
        <v>1030.5863013698629</v>
      </c>
      <c r="Q33" s="53">
        <v>1006.6191780821918</v>
      </c>
      <c r="R33" s="432">
        <v>982.65205479452061</v>
      </c>
      <c r="S33" s="433">
        <v>958.68493150684924</v>
      </c>
      <c r="T33" s="53">
        <v>934.71780821917798</v>
      </c>
      <c r="U33" s="432">
        <v>910.75068493150695</v>
      </c>
      <c r="V33" s="433">
        <v>886.7835616438357</v>
      </c>
      <c r="W33" s="53">
        <v>862.81643835616421</v>
      </c>
      <c r="X33" s="506">
        <f t="shared" si="6"/>
        <v>11935.627397260272</v>
      </c>
    </row>
    <row r="34" spans="1:24" x14ac:dyDescent="0.3">
      <c r="A34" s="61"/>
      <c r="B34" s="495" t="s">
        <v>164</v>
      </c>
      <c r="C34" s="496" t="s">
        <v>163</v>
      </c>
      <c r="D34" s="497">
        <v>1</v>
      </c>
      <c r="E34" s="497">
        <v>125707.41</v>
      </c>
      <c r="F34" s="612">
        <v>48</v>
      </c>
      <c r="G34" s="499">
        <v>7.8E-2</v>
      </c>
      <c r="H34" s="499">
        <v>7.8E-2</v>
      </c>
      <c r="I34" s="496">
        <v>123088.50562500001</v>
      </c>
      <c r="J34" s="509">
        <v>2618.9043750000001</v>
      </c>
      <c r="K34" s="507"/>
      <c r="L34" s="432">
        <v>789.1153511301369</v>
      </c>
      <c r="M34" s="433">
        <v>772.32566280821925</v>
      </c>
      <c r="N34" s="53">
        <v>755.53597448630137</v>
      </c>
      <c r="O34" s="432">
        <v>738.74628616438372</v>
      </c>
      <c r="P34" s="433">
        <v>721.95659784246584</v>
      </c>
      <c r="Q34" s="53">
        <v>705.16690952054796</v>
      </c>
      <c r="R34" s="432">
        <v>688.37722119863008</v>
      </c>
      <c r="S34" s="433">
        <v>671.58753287671232</v>
      </c>
      <c r="T34" s="53">
        <v>654.79784455479455</v>
      </c>
      <c r="U34" s="432">
        <v>638.00815623287679</v>
      </c>
      <c r="V34" s="433">
        <v>621.21846791095902</v>
      </c>
      <c r="W34" s="53">
        <v>604.42877958904126</v>
      </c>
      <c r="X34" s="506">
        <f t="shared" si="6"/>
        <v>8361.264784315068</v>
      </c>
    </row>
    <row r="35" spans="1:24" x14ac:dyDescent="0.3">
      <c r="A35" s="605"/>
      <c r="B35" s="510" t="s">
        <v>194</v>
      </c>
      <c r="C35" s="511"/>
      <c r="D35" s="512"/>
      <c r="E35" s="512">
        <v>768523.13099999994</v>
      </c>
      <c r="F35" s="628"/>
      <c r="G35" s="514"/>
      <c r="H35" s="514"/>
      <c r="I35" s="511">
        <v>447792.66893269226</v>
      </c>
      <c r="J35" s="629">
        <v>6821.620609077977</v>
      </c>
      <c r="K35" s="630"/>
      <c r="L35" s="519">
        <v>2907.5192539520544</v>
      </c>
      <c r="M35" s="520">
        <v>2760.1695935753423</v>
      </c>
      <c r="N35" s="517">
        <v>2612.8199331986302</v>
      </c>
      <c r="O35" s="519">
        <v>2465.4702728219181</v>
      </c>
      <c r="P35" s="520">
        <v>2318.1206124452056</v>
      </c>
      <c r="Q35" s="517">
        <v>2170.770952068493</v>
      </c>
      <c r="R35" s="519">
        <v>2002.3197575547947</v>
      </c>
      <c r="S35" s="520">
        <v>1910.2637152602738</v>
      </c>
      <c r="T35" s="517">
        <v>1818.2076729657533</v>
      </c>
      <c r="U35" s="518">
        <v>1726.1516306712329</v>
      </c>
      <c r="V35" s="520">
        <v>1634.0955883767124</v>
      </c>
      <c r="W35" s="517">
        <v>1542.0395460821917</v>
      </c>
      <c r="X35" s="521">
        <f t="shared" ref="M35:X35" si="7">SUM(X29:X34)</f>
        <v>25867.9485289726</v>
      </c>
    </row>
    <row r="36" spans="1:24" x14ac:dyDescent="0.3">
      <c r="A36" s="44" t="s">
        <v>165</v>
      </c>
      <c r="B36" s="522" t="s">
        <v>166</v>
      </c>
      <c r="C36" s="511" t="s">
        <v>167</v>
      </c>
      <c r="D36" s="512">
        <v>5</v>
      </c>
      <c r="E36" s="512">
        <v>114375.98787</v>
      </c>
      <c r="F36" s="513">
        <v>48</v>
      </c>
      <c r="G36" s="514">
        <v>9.0700000000000003E-2</v>
      </c>
      <c r="H36" s="515">
        <v>9.0700000000000003E-2</v>
      </c>
      <c r="I36" s="512">
        <v>63786.608619807688</v>
      </c>
      <c r="J36" s="523">
        <v>207.61230422008643</v>
      </c>
      <c r="K36" s="524"/>
      <c r="L36" s="525">
        <v>452.97230011655211</v>
      </c>
      <c r="M36" s="526">
        <v>437.87322344600045</v>
      </c>
      <c r="N36" s="50">
        <v>422.77414677544863</v>
      </c>
      <c r="O36" s="525">
        <v>407.67507010489692</v>
      </c>
      <c r="P36" s="46">
        <v>392.57599343434521</v>
      </c>
      <c r="Q36" s="631">
        <v>377.4769167637935</v>
      </c>
      <c r="R36" s="528"/>
      <c r="S36" s="529"/>
      <c r="T36" s="530"/>
      <c r="U36" s="531"/>
      <c r="V36" s="529"/>
      <c r="W36" s="530"/>
      <c r="X36" s="532">
        <f t="shared" ref="X36:X47" si="8">SUM(L36:W36)</f>
        <v>2491.347650641037</v>
      </c>
    </row>
    <row r="37" spans="1:24" x14ac:dyDescent="0.3">
      <c r="A37" s="61"/>
      <c r="B37" s="533" t="s">
        <v>168</v>
      </c>
      <c r="C37" s="534" t="s">
        <v>167</v>
      </c>
      <c r="D37" s="535">
        <v>51</v>
      </c>
      <c r="E37" s="535">
        <v>745911.81365999999</v>
      </c>
      <c r="F37" s="536">
        <v>48</v>
      </c>
      <c r="G37" s="537">
        <v>9.0700000000000003E-2</v>
      </c>
      <c r="H37" s="538">
        <v>9.0700000000000003E-2</v>
      </c>
      <c r="I37" s="535">
        <v>435979.9426975</v>
      </c>
      <c r="J37" s="539">
        <v>1413.9259517407145</v>
      </c>
      <c r="K37" s="540"/>
      <c r="L37" s="541">
        <v>3096.0548259504658</v>
      </c>
      <c r="M37" s="542">
        <v>2988.773656962851</v>
      </c>
      <c r="N37" s="543">
        <v>2881.4924879752361</v>
      </c>
      <c r="O37" s="541">
        <v>2774.2113189876213</v>
      </c>
      <c r="P37" s="544">
        <v>2666.9301500000065</v>
      </c>
      <c r="Q37" s="632">
        <v>2559.6489810123917</v>
      </c>
      <c r="R37" s="546"/>
      <c r="S37" s="547"/>
      <c r="T37" s="548"/>
      <c r="U37" s="549"/>
      <c r="V37" s="547"/>
      <c r="W37" s="548"/>
      <c r="X37" s="550">
        <f t="shared" si="8"/>
        <v>16967.111420888574</v>
      </c>
    </row>
    <row r="38" spans="1:24" x14ac:dyDescent="0.3">
      <c r="A38" s="61"/>
      <c r="B38" s="533" t="s">
        <v>166</v>
      </c>
      <c r="C38" s="534" t="s">
        <v>169</v>
      </c>
      <c r="D38" s="535">
        <v>2</v>
      </c>
      <c r="E38" s="535">
        <v>54586.687408199999</v>
      </c>
      <c r="F38" s="536">
        <v>60</v>
      </c>
      <c r="G38" s="537">
        <v>9.3299999999999994E-2</v>
      </c>
      <c r="H38" s="538">
        <v>9.3299999999999994E-2</v>
      </c>
      <c r="I38" s="535">
        <v>35271.398017606167</v>
      </c>
      <c r="J38" s="539">
        <v>21.839276580764366</v>
      </c>
      <c r="K38" s="540"/>
      <c r="L38" s="432">
        <v>262.07131896917241</v>
      </c>
      <c r="M38" s="560"/>
      <c r="N38" s="561"/>
      <c r="O38" s="562"/>
      <c r="P38" s="563"/>
      <c r="Q38" s="561"/>
      <c r="R38" s="562"/>
      <c r="S38" s="563"/>
      <c r="T38" s="561"/>
      <c r="U38" s="562"/>
      <c r="V38" s="563"/>
      <c r="W38" s="561"/>
      <c r="X38" s="506">
        <f t="shared" si="8"/>
        <v>262.07131896917241</v>
      </c>
    </row>
    <row r="39" spans="1:24" x14ac:dyDescent="0.3">
      <c r="A39" s="61"/>
      <c r="B39" s="533" t="s">
        <v>168</v>
      </c>
      <c r="C39" s="534" t="s">
        <v>170</v>
      </c>
      <c r="D39" s="535">
        <v>25</v>
      </c>
      <c r="E39" s="535">
        <v>599814.19570499996</v>
      </c>
      <c r="F39" s="536">
        <v>60</v>
      </c>
      <c r="G39" s="537">
        <v>9.3299999999999994E-2</v>
      </c>
      <c r="H39" s="538">
        <v>9.3299999999999994E-2</v>
      </c>
      <c r="I39" s="535">
        <v>405190.7347835477</v>
      </c>
      <c r="J39" s="539">
        <v>250.88522208515556</v>
      </c>
      <c r="K39" s="540"/>
      <c r="L39" s="432">
        <v>3010.6226650218669</v>
      </c>
      <c r="M39" s="560"/>
      <c r="N39" s="561"/>
      <c r="O39" s="562"/>
      <c r="P39" s="563"/>
      <c r="Q39" s="561"/>
      <c r="R39" s="562"/>
      <c r="S39" s="563"/>
      <c r="T39" s="561"/>
      <c r="U39" s="562"/>
      <c r="V39" s="563"/>
      <c r="W39" s="561"/>
      <c r="X39" s="506">
        <f t="shared" si="8"/>
        <v>3010.6226650218669</v>
      </c>
    </row>
    <row r="40" spans="1:24" x14ac:dyDescent="0.3">
      <c r="A40" s="61"/>
      <c r="B40" s="575" t="s">
        <v>171</v>
      </c>
      <c r="C40" s="576" t="s">
        <v>170</v>
      </c>
      <c r="D40" s="577">
        <v>2</v>
      </c>
      <c r="E40" s="577">
        <v>63580.883126400004</v>
      </c>
      <c r="F40" s="578">
        <v>48</v>
      </c>
      <c r="G40" s="579">
        <v>9.0700000000000003E-2</v>
      </c>
      <c r="H40" s="589">
        <v>9.0700000000000003E-2</v>
      </c>
      <c r="I40" s="577">
        <v>37903.988017661548</v>
      </c>
      <c r="J40" s="582">
        <v>22.794316081854003</v>
      </c>
      <c r="K40" s="591"/>
      <c r="L40" s="633">
        <v>273.53179298224802</v>
      </c>
      <c r="M40" s="565"/>
      <c r="N40" s="566"/>
      <c r="O40" s="567"/>
      <c r="P40" s="568"/>
      <c r="Q40" s="566"/>
      <c r="R40" s="567"/>
      <c r="S40" s="568"/>
      <c r="T40" s="566"/>
      <c r="U40" s="567"/>
      <c r="V40" s="568"/>
      <c r="W40" s="566"/>
      <c r="X40" s="569">
        <f t="shared" si="8"/>
        <v>273.53179298224802</v>
      </c>
    </row>
    <row r="41" spans="1:24" x14ac:dyDescent="0.3">
      <c r="A41" s="61"/>
      <c r="B41" s="533" t="s">
        <v>172</v>
      </c>
      <c r="C41" s="534" t="s">
        <v>170</v>
      </c>
      <c r="D41" s="535">
        <v>5</v>
      </c>
      <c r="E41" s="535">
        <v>76135.474799999996</v>
      </c>
      <c r="F41" s="536">
        <v>48</v>
      </c>
      <c r="G41" s="537">
        <v>9.0700000000000003E-2</v>
      </c>
      <c r="H41" s="538">
        <v>9.0700000000000003E-2</v>
      </c>
      <c r="I41" s="535">
        <v>45658.516130769211</v>
      </c>
      <c r="J41" s="539">
        <v>27.457655590969427</v>
      </c>
      <c r="K41" s="540"/>
      <c r="L41" s="432">
        <v>329.49186709163314</v>
      </c>
      <c r="M41" s="560"/>
      <c r="N41" s="561"/>
      <c r="O41" s="562"/>
      <c r="P41" s="563"/>
      <c r="Q41" s="561"/>
      <c r="R41" s="562"/>
      <c r="S41" s="563"/>
      <c r="T41" s="561"/>
      <c r="U41" s="562"/>
      <c r="V41" s="563"/>
      <c r="W41" s="561"/>
      <c r="X41" s="506">
        <f t="shared" si="8"/>
        <v>329.49186709163314</v>
      </c>
    </row>
    <row r="42" spans="1:24" x14ac:dyDescent="0.3">
      <c r="A42" s="61"/>
      <c r="B42" s="533" t="s">
        <v>173</v>
      </c>
      <c r="C42" s="534" t="s">
        <v>170</v>
      </c>
      <c r="D42" s="535">
        <v>1</v>
      </c>
      <c r="E42" s="535">
        <v>28800</v>
      </c>
      <c r="F42" s="536">
        <v>48</v>
      </c>
      <c r="G42" s="537">
        <v>9.0700000000000003E-2</v>
      </c>
      <c r="H42" s="538">
        <v>9.0700000000000003E-2</v>
      </c>
      <c r="I42" s="535">
        <v>21085.074011569232</v>
      </c>
      <c r="J42" s="539">
        <v>12.679928069971089</v>
      </c>
      <c r="K42" s="540"/>
      <c r="L42" s="541">
        <v>152.15913683965306</v>
      </c>
      <c r="M42" s="571"/>
      <c r="N42" s="548"/>
      <c r="O42" s="549"/>
      <c r="P42" s="547"/>
      <c r="Q42" s="548"/>
      <c r="R42" s="549"/>
      <c r="S42" s="547"/>
      <c r="T42" s="548"/>
      <c r="U42" s="562"/>
      <c r="V42" s="563"/>
      <c r="W42" s="561"/>
      <c r="X42" s="506">
        <f t="shared" si="8"/>
        <v>152.15913683965306</v>
      </c>
    </row>
    <row r="43" spans="1:24" x14ac:dyDescent="0.3">
      <c r="A43" s="61"/>
      <c r="B43" s="533" t="s">
        <v>174</v>
      </c>
      <c r="C43" s="534" t="s">
        <v>175</v>
      </c>
      <c r="D43" s="535">
        <v>1</v>
      </c>
      <c r="E43" s="535">
        <v>174172.47456</v>
      </c>
      <c r="F43" s="536">
        <v>60</v>
      </c>
      <c r="G43" s="537">
        <v>9.1300000000000006E-2</v>
      </c>
      <c r="H43" s="538">
        <v>9.1300000000000006E-2</v>
      </c>
      <c r="I43" s="535">
        <v>122813.92438461538</v>
      </c>
      <c r="J43" s="539">
        <v>608.41069922465761</v>
      </c>
      <c r="K43" s="540"/>
      <c r="L43" s="541">
        <v>892.33569169315081</v>
      </c>
      <c r="M43" s="542">
        <v>872.05533517808226</v>
      </c>
      <c r="N43" s="543">
        <v>851.77497866301371</v>
      </c>
      <c r="O43" s="541">
        <v>831.49462214794517</v>
      </c>
      <c r="P43" s="544">
        <v>811.21426563287673</v>
      </c>
      <c r="Q43" s="543">
        <v>790.9339091178083</v>
      </c>
      <c r="R43" s="541">
        <v>770.65355260273975</v>
      </c>
      <c r="S43" s="544">
        <v>750.37319608767132</v>
      </c>
      <c r="T43" s="543">
        <v>730.09283957260288</v>
      </c>
      <c r="U43" s="562"/>
      <c r="V43" s="563"/>
      <c r="W43" s="561"/>
      <c r="X43" s="550">
        <f t="shared" si="8"/>
        <v>7300.9283906958917</v>
      </c>
    </row>
    <row r="44" spans="1:24" x14ac:dyDescent="0.3">
      <c r="A44" s="61"/>
      <c r="B44" s="533" t="s">
        <v>176</v>
      </c>
      <c r="C44" s="534" t="s">
        <v>177</v>
      </c>
      <c r="D44" s="535">
        <v>8</v>
      </c>
      <c r="E44" s="535">
        <v>247373.12</v>
      </c>
      <c r="F44" s="536">
        <v>60</v>
      </c>
      <c r="G44" s="537">
        <v>9.1300000000000006E-2</v>
      </c>
      <c r="H44" s="572">
        <v>9.1300000000000006E-2</v>
      </c>
      <c r="I44" s="573">
        <v>174429.76403846155</v>
      </c>
      <c r="J44" s="539">
        <v>895.39164081275032</v>
      </c>
      <c r="K44" s="540"/>
      <c r="L44" s="541">
        <v>1313.2410728155953</v>
      </c>
      <c r="M44" s="542">
        <v>1283.3946848826133</v>
      </c>
      <c r="N44" s="543">
        <v>1253.5482969496315</v>
      </c>
      <c r="O44" s="541">
        <v>1223.7019090166491</v>
      </c>
      <c r="P44" s="544">
        <v>1193.8555210836671</v>
      </c>
      <c r="Q44" s="543">
        <v>1164.0091331506851</v>
      </c>
      <c r="R44" s="541">
        <v>1134.1627452177029</v>
      </c>
      <c r="S44" s="544">
        <v>1104.3163572847211</v>
      </c>
      <c r="T44" s="543">
        <v>1074.4699693517387</v>
      </c>
      <c r="U44" s="562"/>
      <c r="V44" s="563"/>
      <c r="W44" s="561"/>
      <c r="X44" s="506">
        <f>SUM(L44:W44)</f>
        <v>10744.699689753004</v>
      </c>
    </row>
    <row r="45" spans="1:24" x14ac:dyDescent="0.3">
      <c r="A45" s="61"/>
      <c r="B45" s="575" t="s">
        <v>178</v>
      </c>
      <c r="C45" s="576" t="s">
        <v>179</v>
      </c>
      <c r="D45" s="577">
        <v>4</v>
      </c>
      <c r="E45" s="577">
        <v>137899.95791999999</v>
      </c>
      <c r="F45" s="578">
        <v>60</v>
      </c>
      <c r="G45" s="579">
        <v>8.8800000000000004E-2</v>
      </c>
      <c r="H45" s="580">
        <v>8.8800000000000004E-2</v>
      </c>
      <c r="I45" s="581">
        <v>86408.467384615389</v>
      </c>
      <c r="J45" s="582">
        <v>516.87213926491052</v>
      </c>
      <c r="K45" s="591"/>
      <c r="L45" s="583">
        <v>632.79406388788198</v>
      </c>
      <c r="M45" s="584">
        <v>619.03767134162274</v>
      </c>
      <c r="N45" s="585">
        <v>605.28127879536351</v>
      </c>
      <c r="O45" s="583">
        <v>591.52488624910427</v>
      </c>
      <c r="P45" s="586">
        <v>577.76849370284503</v>
      </c>
      <c r="Q45" s="585">
        <v>564.0121011565858</v>
      </c>
      <c r="R45" s="583">
        <v>550.25570861032668</v>
      </c>
      <c r="S45" s="586">
        <v>536.49931606406756</v>
      </c>
      <c r="T45" s="585">
        <v>522.74292351780832</v>
      </c>
      <c r="U45" s="583">
        <v>508.98653097154897</v>
      </c>
      <c r="V45" s="586">
        <v>493.56269688177031</v>
      </c>
      <c r="W45" s="561"/>
      <c r="X45" s="506">
        <f t="shared" si="8"/>
        <v>6202.4656711789257</v>
      </c>
    </row>
    <row r="46" spans="1:24" x14ac:dyDescent="0.3">
      <c r="A46" s="61"/>
      <c r="B46" s="575" t="s">
        <v>180</v>
      </c>
      <c r="C46" s="576" t="s">
        <v>181</v>
      </c>
      <c r="D46" s="577">
        <v>4</v>
      </c>
      <c r="E46" s="577">
        <v>330528.23031923076</v>
      </c>
      <c r="F46" s="578">
        <v>60</v>
      </c>
      <c r="G46" s="579">
        <v>8.5800000000000001E-2</v>
      </c>
      <c r="H46" s="589">
        <v>8.5800000000000001E-2</v>
      </c>
      <c r="I46" s="590">
        <v>330528.23031923076</v>
      </c>
      <c r="J46" s="582">
        <v>2069.9754899844779</v>
      </c>
      <c r="K46" s="591"/>
      <c r="L46" s="583">
        <v>2339.0532025056796</v>
      </c>
      <c r="M46" s="584">
        <v>2290.3229273871334</v>
      </c>
      <c r="N46" s="585">
        <v>2241.5926522685877</v>
      </c>
      <c r="O46" s="583">
        <v>2192.862377150042</v>
      </c>
      <c r="P46" s="586">
        <v>2144.1321020314963</v>
      </c>
      <c r="Q46" s="585">
        <v>2095.4018269129506</v>
      </c>
      <c r="R46" s="583">
        <v>2046.6715517944046</v>
      </c>
      <c r="S46" s="586">
        <v>1997.9412766758585</v>
      </c>
      <c r="T46" s="585">
        <v>1949.2110015573128</v>
      </c>
      <c r="U46" s="583">
        <v>1900.4807264387669</v>
      </c>
      <c r="V46" s="586">
        <v>1845.2983591553425</v>
      </c>
      <c r="W46" s="585">
        <v>1796.7378759361643</v>
      </c>
      <c r="X46" s="506">
        <f t="shared" si="8"/>
        <v>24839.705879813737</v>
      </c>
    </row>
    <row r="47" spans="1:24" x14ac:dyDescent="0.3">
      <c r="A47" s="61"/>
      <c r="B47" s="592" t="s">
        <v>182</v>
      </c>
      <c r="C47" s="593" t="s">
        <v>183</v>
      </c>
      <c r="D47" s="594">
        <v>1</v>
      </c>
      <c r="E47" s="594">
        <v>322962.79019999999</v>
      </c>
      <c r="F47" s="595">
        <v>60</v>
      </c>
      <c r="G47" s="596">
        <v>8.5800000000000001E-2</v>
      </c>
      <c r="H47" s="597">
        <v>8.5800000000000001E-2</v>
      </c>
      <c r="I47" s="598">
        <v>253608.60136461537</v>
      </c>
      <c r="J47" s="599">
        <v>1572.3261804270412</v>
      </c>
      <c r="K47" s="600"/>
      <c r="L47" s="601">
        <v>1794.7151159583602</v>
      </c>
      <c r="M47" s="602">
        <v>1754.4255930083075</v>
      </c>
      <c r="N47" s="603">
        <v>1714.1360700582547</v>
      </c>
      <c r="O47" s="601">
        <v>1673.846547108202</v>
      </c>
      <c r="P47" s="604">
        <v>1633.5570241581495</v>
      </c>
      <c r="Q47" s="603">
        <v>1593.267501208097</v>
      </c>
      <c r="R47" s="601">
        <v>1552.977978258044</v>
      </c>
      <c r="S47" s="604">
        <v>1512.6884553079913</v>
      </c>
      <c r="T47" s="603">
        <v>1472.3989323579385</v>
      </c>
      <c r="U47" s="601">
        <v>1432.1094094078862</v>
      </c>
      <c r="V47" s="604">
        <v>1386.9703398151232</v>
      </c>
      <c r="W47" s="603">
        <v>1346.8211984781367</v>
      </c>
      <c r="X47" s="506">
        <f t="shared" si="8"/>
        <v>18867.914165124494</v>
      </c>
    </row>
    <row r="48" spans="1:24" ht="17.25" thickBot="1" x14ac:dyDescent="0.35">
      <c r="A48" s="605"/>
      <c r="B48" s="634" t="s">
        <v>194</v>
      </c>
      <c r="C48" s="520"/>
      <c r="D48" s="520"/>
      <c r="E48" s="606">
        <v>2896141.6155688306</v>
      </c>
      <c r="F48" s="518"/>
      <c r="G48" s="520"/>
      <c r="H48" s="520"/>
      <c r="I48" s="520">
        <v>2012665.2497699999</v>
      </c>
      <c r="J48" s="635">
        <v>7620.1708040833528</v>
      </c>
      <c r="K48" s="521"/>
      <c r="L48" s="518">
        <v>14549.043053832262</v>
      </c>
      <c r="M48" s="520">
        <v>10245.88309220661</v>
      </c>
      <c r="N48" s="517">
        <v>9970.5999114855367</v>
      </c>
      <c r="O48" s="518">
        <v>9695.3167307644617</v>
      </c>
      <c r="P48" s="520">
        <v>9420.0335500433866</v>
      </c>
      <c r="Q48" s="517">
        <v>9144.7503693223116</v>
      </c>
      <c r="R48" s="518">
        <v>6054.7215364832173</v>
      </c>
      <c r="S48" s="520">
        <v>5901.8186014203093</v>
      </c>
      <c r="T48" s="517">
        <v>5748.9156663574013</v>
      </c>
      <c r="U48" s="518">
        <v>3841.5766668182023</v>
      </c>
      <c r="V48" s="520">
        <v>3725.8313958522358</v>
      </c>
      <c r="W48" s="517">
        <v>3143.559074414301</v>
      </c>
      <c r="X48" s="521">
        <f t="shared" ref="L48:X48" si="9">SUM(X36:X47)</f>
        <v>91442.049649000255</v>
      </c>
    </row>
    <row r="49" spans="1:24" ht="17.25" thickBot="1" x14ac:dyDescent="0.35">
      <c r="A49" s="637" t="s">
        <v>199</v>
      </c>
      <c r="B49" s="638"/>
      <c r="C49" s="638"/>
      <c r="D49" s="638"/>
      <c r="E49" s="285">
        <f>+E35+E48</f>
        <v>3664664.7465688307</v>
      </c>
      <c r="F49" s="637"/>
      <c r="G49" s="638"/>
      <c r="H49" s="638"/>
      <c r="I49" s="284">
        <f>+I35+I48</f>
        <v>2460457.9187026923</v>
      </c>
      <c r="J49" s="639">
        <f>+J35+J48</f>
        <v>14441.791413161329</v>
      </c>
      <c r="K49" s="291"/>
      <c r="L49" s="283">
        <f t="shared" ref="L49:X49" si="10">+L35+L48</f>
        <v>17456.562307784316</v>
      </c>
      <c r="M49" s="284">
        <f t="shared" si="10"/>
        <v>13006.052685781953</v>
      </c>
      <c r="N49" s="285">
        <f t="shared" si="10"/>
        <v>12583.419844684167</v>
      </c>
      <c r="O49" s="283">
        <f t="shared" si="10"/>
        <v>12160.78700358638</v>
      </c>
      <c r="P49" s="284">
        <f t="shared" si="10"/>
        <v>11738.154162488592</v>
      </c>
      <c r="Q49" s="285">
        <f t="shared" si="10"/>
        <v>11315.521321390805</v>
      </c>
      <c r="R49" s="283">
        <f t="shared" si="10"/>
        <v>8057.041294038012</v>
      </c>
      <c r="S49" s="284">
        <f t="shared" si="10"/>
        <v>7812.0823166805831</v>
      </c>
      <c r="T49" s="285">
        <f t="shared" si="10"/>
        <v>7567.1233393231541</v>
      </c>
      <c r="U49" s="283">
        <f t="shared" si="10"/>
        <v>5567.7282974894351</v>
      </c>
      <c r="V49" s="284">
        <f t="shared" si="10"/>
        <v>5359.9269842289486</v>
      </c>
      <c r="W49" s="285">
        <f t="shared" si="10"/>
        <v>4685.5986204964929</v>
      </c>
      <c r="X49" s="291">
        <f t="shared" si="10"/>
        <v>117309.99817797286</v>
      </c>
    </row>
    <row r="50" spans="1:24" ht="17.25" thickBot="1" x14ac:dyDescent="0.35">
      <c r="A50" s="641" t="s">
        <v>188</v>
      </c>
      <c r="B50" s="642"/>
      <c r="C50" s="642"/>
      <c r="D50" s="642"/>
      <c r="E50" s="640"/>
      <c r="F50" s="641"/>
      <c r="G50" s="642"/>
      <c r="H50" s="642"/>
      <c r="I50" s="643"/>
      <c r="J50" s="644"/>
      <c r="K50" s="645"/>
      <c r="L50" s="646">
        <f>+L49</f>
        <v>17456.562307784316</v>
      </c>
      <c r="M50" s="643">
        <f t="shared" ref="M50:N50" si="11">+M49</f>
        <v>13006.052685781953</v>
      </c>
      <c r="N50" s="640">
        <f t="shared" si="11"/>
        <v>12583.419844684167</v>
      </c>
      <c r="O50" s="646">
        <f>+O49</f>
        <v>12160.78700358638</v>
      </c>
      <c r="P50" s="643">
        <f t="shared" ref="P50:X50" si="12">+P49</f>
        <v>11738.154162488592</v>
      </c>
      <c r="Q50" s="640">
        <f t="shared" si="12"/>
        <v>11315.521321390805</v>
      </c>
      <c r="R50" s="646">
        <f t="shared" si="12"/>
        <v>8057.041294038012</v>
      </c>
      <c r="S50" s="643">
        <f t="shared" si="12"/>
        <v>7812.0823166805831</v>
      </c>
      <c r="T50" s="640">
        <f t="shared" si="12"/>
        <v>7567.1233393231541</v>
      </c>
      <c r="U50" s="646">
        <f t="shared" si="12"/>
        <v>5567.7282974894351</v>
      </c>
      <c r="V50" s="643">
        <f t="shared" si="12"/>
        <v>5359.9269842289486</v>
      </c>
      <c r="W50" s="640">
        <f t="shared" si="12"/>
        <v>4685.5986204964929</v>
      </c>
      <c r="X50" s="647">
        <f t="shared" si="12"/>
        <v>117309.99817797286</v>
      </c>
    </row>
    <row r="51" spans="1:24" ht="17.25" thickBot="1" x14ac:dyDescent="0.35">
      <c r="A51" s="648"/>
      <c r="B51" s="648"/>
      <c r="C51" s="648"/>
      <c r="D51" s="648"/>
      <c r="E51" s="649"/>
      <c r="F51" s="649"/>
      <c r="G51" s="649"/>
      <c r="H51" s="649"/>
      <c r="I51" s="649"/>
      <c r="J51" s="648"/>
      <c r="K51" s="650"/>
      <c r="L51" s="649"/>
      <c r="M51" s="649"/>
      <c r="N51" s="649"/>
      <c r="O51" s="649"/>
      <c r="P51" s="649"/>
      <c r="Q51" s="649"/>
      <c r="R51" s="649"/>
      <c r="S51" s="649"/>
      <c r="T51" s="649"/>
      <c r="U51" s="649"/>
      <c r="V51" s="649"/>
      <c r="W51" s="649"/>
      <c r="X51" s="649"/>
    </row>
    <row r="52" spans="1:24" ht="17.25" thickBot="1" x14ac:dyDescent="0.35">
      <c r="A52" s="652" t="s">
        <v>189</v>
      </c>
      <c r="B52" s="653"/>
      <c r="C52" s="653"/>
      <c r="D52" s="653"/>
      <c r="E52" s="651"/>
      <c r="F52" s="652"/>
      <c r="G52" s="653"/>
      <c r="H52" s="653"/>
      <c r="I52" s="654"/>
      <c r="J52" s="655"/>
      <c r="K52" s="656"/>
      <c r="L52" s="657">
        <f t="shared" ref="L52:X52" si="13">+L25+L50</f>
        <v>633994.78340812179</v>
      </c>
      <c r="M52" s="654">
        <f t="shared" si="13"/>
        <v>73820.850330012719</v>
      </c>
      <c r="N52" s="651">
        <f t="shared" si="13"/>
        <v>73398.217488914932</v>
      </c>
      <c r="O52" s="657">
        <f t="shared" si="13"/>
        <v>72975.584647817144</v>
      </c>
      <c r="P52" s="654">
        <f t="shared" si="13"/>
        <v>72552.951806719357</v>
      </c>
      <c r="Q52" s="651">
        <f t="shared" si="13"/>
        <v>475588.62472688209</v>
      </c>
      <c r="R52" s="657">
        <f t="shared" si="13"/>
        <v>43333.089592114935</v>
      </c>
      <c r="S52" s="654">
        <f t="shared" si="13"/>
        <v>43088.130614757509</v>
      </c>
      <c r="T52" s="651">
        <f t="shared" si="13"/>
        <v>281627.1334374834</v>
      </c>
      <c r="U52" s="657">
        <f t="shared" si="13"/>
        <v>34088.238249412512</v>
      </c>
      <c r="V52" s="654">
        <f t="shared" si="13"/>
        <v>100237.27825124736</v>
      </c>
      <c r="W52" s="651">
        <f t="shared" si="13"/>
        <v>31327.663649342649</v>
      </c>
      <c r="X52" s="656">
        <f t="shared" si="13"/>
        <v>1936032.5462028263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0518-CB96-4DD2-8C0C-AC6918D675B3}">
  <dimension ref="A1:AD88"/>
  <sheetViews>
    <sheetView tabSelected="1" topLeftCell="A71" workbookViewId="0">
      <selection activeCell="P93" sqref="P93"/>
    </sheetView>
  </sheetViews>
  <sheetFormatPr defaultRowHeight="16.5" x14ac:dyDescent="0.3"/>
  <cols>
    <col min="4" max="4" width="27.25" customWidth="1"/>
    <col min="5" max="7" width="15.5" customWidth="1"/>
    <col min="8" max="20" width="11" customWidth="1"/>
  </cols>
  <sheetData>
    <row r="1" spans="1:30" ht="26.25" x14ac:dyDescent="0.3">
      <c r="A1" s="658" t="s">
        <v>200</v>
      </c>
      <c r="B1" s="658"/>
      <c r="C1" s="658"/>
      <c r="D1" s="659"/>
      <c r="E1" s="659"/>
      <c r="F1" s="659"/>
      <c r="G1" s="659"/>
      <c r="H1" s="151"/>
      <c r="I1" s="418"/>
      <c r="J1" s="418"/>
      <c r="K1" s="418"/>
      <c r="L1" s="331"/>
      <c r="M1" s="418"/>
      <c r="N1" s="418"/>
      <c r="O1" s="418"/>
      <c r="P1" s="418"/>
      <c r="Q1" s="418"/>
      <c r="R1" s="418"/>
      <c r="S1" s="418"/>
      <c r="T1" s="418"/>
      <c r="U1" s="151"/>
      <c r="V1" s="660"/>
      <c r="W1" s="151"/>
      <c r="X1" s="151"/>
      <c r="Y1" s="151"/>
      <c r="Z1" s="151"/>
      <c r="AA1" s="151"/>
      <c r="AB1" s="151"/>
      <c r="AC1" s="418"/>
      <c r="AD1" s="661"/>
    </row>
    <row r="2" spans="1:30" x14ac:dyDescent="0.3">
      <c r="A2" s="662"/>
      <c r="B2" s="662"/>
      <c r="C2" s="662"/>
      <c r="D2" s="151"/>
      <c r="E2" s="151"/>
      <c r="F2" s="151"/>
      <c r="G2" s="151"/>
      <c r="H2" s="151"/>
      <c r="I2" s="151"/>
      <c r="J2" s="151"/>
      <c r="K2" s="151"/>
      <c r="L2" s="331"/>
      <c r="M2" s="151"/>
      <c r="N2" s="151"/>
      <c r="O2" s="151"/>
      <c r="P2" s="151"/>
      <c r="Q2" s="151"/>
      <c r="R2" s="151"/>
      <c r="S2" s="151"/>
      <c r="T2" s="151"/>
      <c r="U2" s="151"/>
      <c r="V2" s="660"/>
      <c r="W2" s="660"/>
      <c r="X2" s="151"/>
      <c r="Y2" s="151"/>
      <c r="Z2" s="151"/>
      <c r="AA2" s="151"/>
      <c r="AB2" s="151"/>
      <c r="AC2" s="151"/>
      <c r="AD2" s="661"/>
    </row>
    <row r="3" spans="1:30" ht="18" thickBot="1" x14ac:dyDescent="0.35">
      <c r="A3" s="417" t="s">
        <v>201</v>
      </c>
      <c r="B3" s="417"/>
      <c r="C3" s="417"/>
      <c r="D3" s="151"/>
      <c r="E3" s="151"/>
      <c r="F3" s="151"/>
      <c r="G3" s="151"/>
      <c r="H3" s="151"/>
      <c r="I3" s="151"/>
      <c r="J3" s="151"/>
      <c r="K3" s="151"/>
      <c r="L3" s="331"/>
      <c r="M3" s="151"/>
      <c r="N3" s="151"/>
      <c r="O3" s="151"/>
      <c r="P3" s="151"/>
      <c r="Q3" s="151"/>
      <c r="R3" s="151"/>
      <c r="S3" s="151"/>
      <c r="T3" s="663" t="s">
        <v>202</v>
      </c>
      <c r="U3" s="151"/>
      <c r="V3" s="660"/>
      <c r="W3" s="660"/>
      <c r="X3" s="151"/>
      <c r="Y3" s="151"/>
      <c r="Z3" s="151"/>
      <c r="AA3" s="151"/>
      <c r="AB3" s="151"/>
      <c r="AC3" s="663"/>
      <c r="AD3" s="661"/>
    </row>
    <row r="4" spans="1:30" ht="17.25" thickBot="1" x14ac:dyDescent="0.35">
      <c r="A4" s="292" t="s">
        <v>203</v>
      </c>
      <c r="B4" s="664"/>
      <c r="C4" s="462" t="s">
        <v>204</v>
      </c>
      <c r="D4" s="3" t="s">
        <v>205</v>
      </c>
      <c r="E4" s="3" t="s">
        <v>206</v>
      </c>
      <c r="F4" s="4" t="s">
        <v>207</v>
      </c>
      <c r="G4" s="665" t="s">
        <v>208</v>
      </c>
      <c r="H4" s="666" t="s">
        <v>17</v>
      </c>
      <c r="I4" s="667" t="s">
        <v>18</v>
      </c>
      <c r="J4" s="668" t="s">
        <v>19</v>
      </c>
      <c r="K4" s="154" t="s">
        <v>20</v>
      </c>
      <c r="L4" s="667" t="s">
        <v>21</v>
      </c>
      <c r="M4" s="669" t="s">
        <v>22</v>
      </c>
      <c r="N4" s="670" t="s">
        <v>23</v>
      </c>
      <c r="O4" s="668" t="s">
        <v>24</v>
      </c>
      <c r="P4" s="669" t="s">
        <v>25</v>
      </c>
      <c r="Q4" s="670" t="s">
        <v>26</v>
      </c>
      <c r="R4" s="667" t="s">
        <v>27</v>
      </c>
      <c r="S4" s="669" t="s">
        <v>28</v>
      </c>
      <c r="T4" s="670" t="s">
        <v>29</v>
      </c>
      <c r="U4" s="157" t="s">
        <v>209</v>
      </c>
      <c r="V4" s="660" t="s">
        <v>210</v>
      </c>
      <c r="W4" s="660" t="s">
        <v>211</v>
      </c>
      <c r="X4" s="151"/>
      <c r="Y4" s="151"/>
      <c r="Z4" s="151"/>
      <c r="AA4" s="151"/>
      <c r="AB4" s="151"/>
      <c r="AC4" s="670" t="s">
        <v>0</v>
      </c>
      <c r="AD4" s="671" t="s">
        <v>1</v>
      </c>
    </row>
    <row r="5" spans="1:30" x14ac:dyDescent="0.3">
      <c r="A5" s="672"/>
      <c r="B5" s="673" t="s">
        <v>212</v>
      </c>
      <c r="C5" s="674">
        <v>1</v>
      </c>
      <c r="D5" s="675" t="s">
        <v>213</v>
      </c>
      <c r="E5" s="676">
        <v>47374</v>
      </c>
      <c r="F5" s="677">
        <v>1</v>
      </c>
      <c r="G5" s="678">
        <f t="shared" ref="G5:G9" si="0">E5*F5</f>
        <v>47374</v>
      </c>
      <c r="H5" s="679"/>
      <c r="I5" s="680">
        <f>E5*50%</f>
        <v>23687</v>
      </c>
      <c r="J5" s="680">
        <f>E5*50%</f>
        <v>23687</v>
      </c>
      <c r="K5" s="681"/>
      <c r="L5" s="682"/>
      <c r="M5" s="679"/>
      <c r="N5" s="681"/>
      <c r="O5" s="680"/>
      <c r="P5" s="683"/>
      <c r="Q5" s="680"/>
      <c r="R5" s="680"/>
      <c r="S5" s="683"/>
      <c r="T5" s="684">
        <f t="shared" ref="T5:T11" si="1">SUM(H5:S5)</f>
        <v>47374</v>
      </c>
      <c r="U5" s="685"/>
      <c r="V5" s="660"/>
      <c r="W5" s="660"/>
      <c r="X5" s="151"/>
      <c r="Y5" s="151"/>
      <c r="Z5" s="151"/>
      <c r="AA5" s="151"/>
      <c r="AB5" s="686"/>
      <c r="AC5" s="684">
        <v>47374</v>
      </c>
      <c r="AD5" s="687">
        <f>T5-AC5</f>
        <v>0</v>
      </c>
    </row>
    <row r="6" spans="1:30" x14ac:dyDescent="0.3">
      <c r="A6" s="672"/>
      <c r="B6" s="673"/>
      <c r="C6" s="674">
        <v>2</v>
      </c>
      <c r="D6" s="675" t="s">
        <v>214</v>
      </c>
      <c r="E6" s="676">
        <v>50000</v>
      </c>
      <c r="F6" s="677">
        <v>1</v>
      </c>
      <c r="G6" s="678">
        <f>F6*E6</f>
        <v>50000</v>
      </c>
      <c r="H6" s="679">
        <f>G6*0.7</f>
        <v>35000</v>
      </c>
      <c r="I6" s="680"/>
      <c r="J6" s="683"/>
      <c r="K6" s="681"/>
      <c r="L6" s="682"/>
      <c r="M6" s="683"/>
      <c r="N6" s="679"/>
      <c r="O6" s="680"/>
      <c r="P6" s="683"/>
      <c r="Q6" s="679"/>
      <c r="R6" s="680"/>
      <c r="S6" s="683"/>
      <c r="T6" s="684">
        <f t="shared" si="1"/>
        <v>35000</v>
      </c>
      <c r="U6" s="685"/>
      <c r="V6" s="660"/>
      <c r="W6" s="660"/>
      <c r="X6" s="151"/>
      <c r="Y6" s="151"/>
      <c r="Z6" s="151"/>
      <c r="AA6" s="151"/>
      <c r="AB6" s="686"/>
      <c r="AC6" s="684">
        <v>35000</v>
      </c>
      <c r="AD6" s="687">
        <f t="shared" ref="AD6:AD69" si="2">T6-AC6</f>
        <v>0</v>
      </c>
    </row>
    <row r="7" spans="1:30" x14ac:dyDescent="0.3">
      <c r="A7" s="672"/>
      <c r="B7" s="673"/>
      <c r="C7" s="688">
        <v>3</v>
      </c>
      <c r="D7" s="689" t="s">
        <v>215</v>
      </c>
      <c r="E7" s="690">
        <v>50000</v>
      </c>
      <c r="F7" s="691">
        <v>1</v>
      </c>
      <c r="G7" s="692">
        <f t="shared" si="0"/>
        <v>50000</v>
      </c>
      <c r="H7" s="693"/>
      <c r="I7" s="694"/>
      <c r="J7" s="695"/>
      <c r="K7" s="693"/>
      <c r="L7" s="696"/>
      <c r="M7" s="697"/>
      <c r="N7" s="693"/>
      <c r="O7" s="696"/>
      <c r="P7" s="694"/>
      <c r="Q7" s="698"/>
      <c r="R7" s="694"/>
      <c r="S7" s="695"/>
      <c r="T7" s="684">
        <f t="shared" si="1"/>
        <v>0</v>
      </c>
      <c r="U7" s="685"/>
      <c r="V7" s="660"/>
      <c r="W7" s="660"/>
      <c r="X7" s="151"/>
      <c r="Y7" s="151"/>
      <c r="Z7" s="151"/>
      <c r="AA7" s="151"/>
      <c r="AB7" s="686"/>
      <c r="AC7" s="684">
        <v>50000</v>
      </c>
      <c r="AD7" s="687">
        <f t="shared" si="2"/>
        <v>-50000</v>
      </c>
    </row>
    <row r="8" spans="1:30" ht="27" x14ac:dyDescent="0.3">
      <c r="A8" s="672"/>
      <c r="B8" s="699"/>
      <c r="C8" s="700">
        <v>4</v>
      </c>
      <c r="D8" s="701" t="s">
        <v>216</v>
      </c>
      <c r="E8" s="702">
        <v>200000</v>
      </c>
      <c r="F8" s="703">
        <v>1</v>
      </c>
      <c r="G8" s="704">
        <f>E8*F8</f>
        <v>200000</v>
      </c>
      <c r="H8" s="416"/>
      <c r="I8" s="705"/>
      <c r="J8" s="706"/>
      <c r="K8" s="707"/>
      <c r="L8" s="708"/>
      <c r="M8" s="709"/>
      <c r="N8" s="681">
        <v>50000</v>
      </c>
      <c r="O8" s="710">
        <v>50000</v>
      </c>
      <c r="P8" s="683">
        <v>50000</v>
      </c>
      <c r="Q8" s="711">
        <v>50000</v>
      </c>
      <c r="R8" s="706"/>
      <c r="S8" s="706"/>
      <c r="T8" s="684">
        <f t="shared" si="1"/>
        <v>200000</v>
      </c>
      <c r="U8" s="685"/>
      <c r="V8" s="660"/>
      <c r="W8" s="660"/>
      <c r="X8" s="151"/>
      <c r="Y8" s="151"/>
      <c r="Z8" s="151"/>
      <c r="AA8" s="151"/>
      <c r="AB8" s="686"/>
      <c r="AC8" s="684">
        <v>200000</v>
      </c>
      <c r="AD8" s="687">
        <f t="shared" si="2"/>
        <v>0</v>
      </c>
    </row>
    <row r="9" spans="1:30" x14ac:dyDescent="0.3">
      <c r="A9" s="672"/>
      <c r="B9" s="712"/>
      <c r="C9" s="713">
        <v>5</v>
      </c>
      <c r="D9" s="701" t="s">
        <v>217</v>
      </c>
      <c r="E9" s="702">
        <v>800000</v>
      </c>
      <c r="F9" s="703">
        <v>1</v>
      </c>
      <c r="G9" s="704">
        <f t="shared" si="0"/>
        <v>800000</v>
      </c>
      <c r="H9" s="682"/>
      <c r="I9" s="710"/>
      <c r="J9" s="680"/>
      <c r="K9" s="681"/>
      <c r="L9" s="682"/>
      <c r="M9" s="714"/>
      <c r="N9" s="715"/>
      <c r="O9" s="710"/>
      <c r="P9" s="680"/>
      <c r="Q9" s="715">
        <v>100000</v>
      </c>
      <c r="R9" s="680">
        <f>Q9</f>
        <v>100000</v>
      </c>
      <c r="S9" s="680">
        <f>R9</f>
        <v>100000</v>
      </c>
      <c r="T9" s="684">
        <f t="shared" si="1"/>
        <v>300000</v>
      </c>
      <c r="U9" s="685"/>
      <c r="V9" s="660"/>
      <c r="W9" s="660"/>
      <c r="X9" s="151"/>
      <c r="Y9" s="151"/>
      <c r="Z9" s="151"/>
      <c r="AA9" s="151"/>
      <c r="AB9" s="686"/>
      <c r="AC9" s="684">
        <v>800000</v>
      </c>
      <c r="AD9" s="687">
        <f t="shared" si="2"/>
        <v>-500000</v>
      </c>
    </row>
    <row r="10" spans="1:30" ht="17.25" thickBot="1" x14ac:dyDescent="0.35">
      <c r="A10" s="716"/>
      <c r="B10" s="717"/>
      <c r="C10" s="718"/>
      <c r="D10" s="719" t="s">
        <v>218</v>
      </c>
      <c r="E10" s="720"/>
      <c r="F10" s="721"/>
      <c r="G10" s="722"/>
      <c r="H10" s="723">
        <f t="shared" ref="H10:S10" si="3">SUM(H5:H9)</f>
        <v>35000</v>
      </c>
      <c r="I10" s="724">
        <f t="shared" si="3"/>
        <v>23687</v>
      </c>
      <c r="J10" s="725">
        <f t="shared" si="3"/>
        <v>23687</v>
      </c>
      <c r="K10" s="726">
        <f t="shared" si="3"/>
        <v>0</v>
      </c>
      <c r="L10" s="724">
        <f t="shared" si="3"/>
        <v>0</v>
      </c>
      <c r="M10" s="727">
        <f t="shared" si="3"/>
        <v>0</v>
      </c>
      <c r="N10" s="726">
        <f t="shared" si="3"/>
        <v>50000</v>
      </c>
      <c r="O10" s="724">
        <f t="shared" si="3"/>
        <v>50000</v>
      </c>
      <c r="P10" s="728">
        <f t="shared" si="3"/>
        <v>50000</v>
      </c>
      <c r="Q10" s="726">
        <f t="shared" si="3"/>
        <v>150000</v>
      </c>
      <c r="R10" s="725">
        <f t="shared" si="3"/>
        <v>100000</v>
      </c>
      <c r="S10" s="728">
        <f t="shared" si="3"/>
        <v>100000</v>
      </c>
      <c r="T10" s="729">
        <f t="shared" si="1"/>
        <v>582374</v>
      </c>
      <c r="U10" s="730"/>
      <c r="V10" s="660"/>
      <c r="W10" s="660"/>
      <c r="X10" s="151"/>
      <c r="Y10" s="151"/>
      <c r="Z10" s="151"/>
      <c r="AA10" s="151"/>
      <c r="AB10" s="686"/>
      <c r="AC10" s="729">
        <v>1132374</v>
      </c>
      <c r="AD10" s="731">
        <f t="shared" si="2"/>
        <v>-550000</v>
      </c>
    </row>
    <row r="11" spans="1:30" x14ac:dyDescent="0.3">
      <c r="A11" s="732"/>
      <c r="B11" s="733" t="s">
        <v>219</v>
      </c>
      <c r="C11" s="734">
        <v>1</v>
      </c>
      <c r="D11" s="735" t="s">
        <v>220</v>
      </c>
      <c r="E11" s="736">
        <v>150000</v>
      </c>
      <c r="F11" s="737">
        <v>1</v>
      </c>
      <c r="G11" s="738">
        <f t="shared" ref="G11:G15" si="4">E11*F11</f>
        <v>150000</v>
      </c>
      <c r="H11" s="739"/>
      <c r="I11" s="740"/>
      <c r="J11" s="739">
        <f>G11*0.3</f>
        <v>45000</v>
      </c>
      <c r="K11" s="741"/>
      <c r="L11" s="742"/>
      <c r="M11" s="743">
        <f>G11*0.6</f>
        <v>90000</v>
      </c>
      <c r="N11" s="744"/>
      <c r="O11" s="745">
        <f>G11*0.1</f>
        <v>15000</v>
      </c>
      <c r="P11" s="745"/>
      <c r="Q11" s="741"/>
      <c r="R11" s="745"/>
      <c r="S11" s="745"/>
      <c r="T11" s="684">
        <f t="shared" si="1"/>
        <v>150000</v>
      </c>
      <c r="U11" s="685"/>
      <c r="V11" s="660"/>
      <c r="W11" s="660"/>
      <c r="X11" s="151"/>
      <c r="Y11" s="151"/>
      <c r="Z11" s="151"/>
      <c r="AA11" s="151"/>
      <c r="AB11" s="686"/>
      <c r="AC11" s="684">
        <v>150000</v>
      </c>
      <c r="AD11" s="687">
        <f t="shared" si="2"/>
        <v>0</v>
      </c>
    </row>
    <row r="12" spans="1:30" x14ac:dyDescent="0.3">
      <c r="A12" s="732"/>
      <c r="B12" s="733"/>
      <c r="C12" s="700">
        <v>2</v>
      </c>
      <c r="D12" s="746" t="s">
        <v>221</v>
      </c>
      <c r="E12" s="747">
        <v>150000</v>
      </c>
      <c r="F12" s="748">
        <v>1</v>
      </c>
      <c r="G12" s="749">
        <f t="shared" si="4"/>
        <v>150000</v>
      </c>
      <c r="H12" s="750"/>
      <c r="I12" s="751"/>
      <c r="J12" s="750"/>
      <c r="K12" s="752">
        <f>G12*0.3</f>
        <v>45000</v>
      </c>
      <c r="L12" s="753"/>
      <c r="M12" s="754"/>
      <c r="N12" s="755">
        <f>G12*0.6</f>
        <v>90000</v>
      </c>
      <c r="O12" s="756">
        <f>G12*0.1</f>
        <v>15000</v>
      </c>
      <c r="P12" s="756"/>
      <c r="Q12" s="752"/>
      <c r="R12" s="756"/>
      <c r="S12" s="756"/>
      <c r="T12" s="434">
        <f t="shared" ref="T12:T54" si="5">SUM(H12:S12)</f>
        <v>150000</v>
      </c>
      <c r="U12" s="757"/>
      <c r="V12" s="758"/>
      <c r="W12" s="758"/>
      <c r="X12" s="759"/>
      <c r="Y12" s="759"/>
      <c r="Z12" s="759"/>
      <c r="AA12" s="759"/>
      <c r="AB12" s="760"/>
      <c r="AC12" s="434">
        <v>150000</v>
      </c>
      <c r="AD12" s="761">
        <f t="shared" si="2"/>
        <v>0</v>
      </c>
    </row>
    <row r="13" spans="1:30" x14ac:dyDescent="0.3">
      <c r="A13" s="732"/>
      <c r="B13" s="762" t="s">
        <v>222</v>
      </c>
      <c r="C13" s="763">
        <v>1</v>
      </c>
      <c r="D13" s="764" t="s">
        <v>223</v>
      </c>
      <c r="E13" s="765">
        <f>300000000/26000</f>
        <v>11538.461538461539</v>
      </c>
      <c r="F13" s="766">
        <v>7</v>
      </c>
      <c r="G13" s="767">
        <f t="shared" si="4"/>
        <v>80769.23076923078</v>
      </c>
      <c r="H13" s="768">
        <f>$F$13*$E$13*30%</f>
        <v>24230.769230769234</v>
      </c>
      <c r="I13" s="769"/>
      <c r="J13" s="769"/>
      <c r="K13" s="770">
        <f>$F$13*$E$13*70%</f>
        <v>56538.461538461546</v>
      </c>
      <c r="L13" s="771"/>
      <c r="M13" s="772"/>
      <c r="N13" s="770"/>
      <c r="O13" s="771"/>
      <c r="P13" s="769"/>
      <c r="Q13" s="770"/>
      <c r="R13" s="769"/>
      <c r="S13" s="773"/>
      <c r="T13" s="774">
        <f t="shared" si="5"/>
        <v>80769.23076923078</v>
      </c>
      <c r="U13" s="757"/>
      <c r="V13" s="758"/>
      <c r="W13" s="758"/>
      <c r="X13" s="759"/>
      <c r="Y13" s="759"/>
      <c r="Z13" s="759"/>
      <c r="AA13" s="759"/>
      <c r="AB13" s="760"/>
      <c r="AC13" s="774">
        <v>80769.23076923078</v>
      </c>
      <c r="AD13" s="775">
        <f t="shared" si="2"/>
        <v>0</v>
      </c>
    </row>
    <row r="14" spans="1:30" x14ac:dyDescent="0.3">
      <c r="A14" s="732"/>
      <c r="B14" s="733"/>
      <c r="C14" s="688">
        <v>2</v>
      </c>
      <c r="D14" s="776" t="s">
        <v>224</v>
      </c>
      <c r="E14" s="777">
        <v>12000</v>
      </c>
      <c r="F14" s="778">
        <v>5</v>
      </c>
      <c r="G14" s="779">
        <f t="shared" si="4"/>
        <v>60000</v>
      </c>
      <c r="H14" s="780"/>
      <c r="I14" s="781"/>
      <c r="J14" s="781"/>
      <c r="K14" s="782"/>
      <c r="L14" s="783"/>
      <c r="M14" s="784"/>
      <c r="N14" s="780"/>
      <c r="O14" s="781"/>
      <c r="P14" s="785"/>
      <c r="Q14" s="780"/>
      <c r="R14" s="783"/>
      <c r="S14" s="784"/>
      <c r="T14" s="774">
        <f t="shared" si="5"/>
        <v>0</v>
      </c>
      <c r="U14" s="757"/>
      <c r="V14" s="758"/>
      <c r="W14" s="758"/>
      <c r="X14" s="759"/>
      <c r="Y14" s="759"/>
      <c r="Z14" s="759"/>
      <c r="AA14" s="759"/>
      <c r="AB14" s="760"/>
      <c r="AC14" s="774">
        <v>27272.727272727272</v>
      </c>
      <c r="AD14" s="775">
        <f t="shared" si="2"/>
        <v>-27272.727272727272</v>
      </c>
    </row>
    <row r="15" spans="1:30" x14ac:dyDescent="0.3">
      <c r="A15" s="732"/>
      <c r="B15" s="733"/>
      <c r="C15" s="688">
        <v>3</v>
      </c>
      <c r="D15" s="776" t="s">
        <v>225</v>
      </c>
      <c r="E15" s="777">
        <v>10000</v>
      </c>
      <c r="F15" s="778">
        <v>8</v>
      </c>
      <c r="G15" s="779">
        <f t="shared" si="4"/>
        <v>80000</v>
      </c>
      <c r="H15" s="780"/>
      <c r="I15" s="781"/>
      <c r="J15" s="781"/>
      <c r="K15" s="782"/>
      <c r="L15" s="783"/>
      <c r="M15" s="784"/>
      <c r="N15" s="780"/>
      <c r="O15" s="781"/>
      <c r="P15" s="785"/>
      <c r="Q15" s="780"/>
      <c r="R15" s="783"/>
      <c r="S15" s="784"/>
      <c r="T15" s="774">
        <f t="shared" si="5"/>
        <v>0</v>
      </c>
      <c r="U15" s="757"/>
      <c r="V15" s="758"/>
      <c r="W15" s="758"/>
      <c r="X15" s="759"/>
      <c r="Y15" s="759"/>
      <c r="Z15" s="759"/>
      <c r="AA15" s="759"/>
      <c r="AB15" s="760"/>
      <c r="AC15" s="774">
        <v>91428.571428571435</v>
      </c>
      <c r="AD15" s="775">
        <f t="shared" si="2"/>
        <v>-91428.571428571435</v>
      </c>
    </row>
    <row r="16" spans="1:30" x14ac:dyDescent="0.3">
      <c r="A16" s="732"/>
      <c r="B16" s="733"/>
      <c r="C16" s="786">
        <v>4</v>
      </c>
      <c r="D16" s="787" t="s">
        <v>226</v>
      </c>
      <c r="E16" s="788">
        <v>700000</v>
      </c>
      <c r="F16" s="789">
        <v>1</v>
      </c>
      <c r="G16" s="790">
        <f>E16*F16</f>
        <v>700000</v>
      </c>
      <c r="H16" s="791"/>
      <c r="I16" s="792"/>
      <c r="J16" s="792"/>
      <c r="K16" s="793"/>
      <c r="L16" s="794"/>
      <c r="M16" s="795"/>
      <c r="N16" s="791"/>
      <c r="O16" s="792"/>
      <c r="P16" s="796"/>
      <c r="Q16" s="791"/>
      <c r="R16" s="794"/>
      <c r="S16" s="795"/>
      <c r="T16" s="434">
        <f t="shared" si="5"/>
        <v>0</v>
      </c>
      <c r="U16" s="757"/>
      <c r="V16" s="758"/>
      <c r="W16" s="758"/>
      <c r="X16" s="759"/>
      <c r="Y16" s="759"/>
      <c r="Z16" s="759"/>
      <c r="AA16" s="759"/>
      <c r="AB16" s="760"/>
      <c r="AC16" s="434">
        <v>700000</v>
      </c>
      <c r="AD16" s="761">
        <f t="shared" si="2"/>
        <v>-700000</v>
      </c>
    </row>
    <row r="17" spans="1:30" x14ac:dyDescent="0.3">
      <c r="A17" s="732"/>
      <c r="B17" s="733"/>
      <c r="C17" s="786">
        <v>5</v>
      </c>
      <c r="D17" s="787" t="s">
        <v>227</v>
      </c>
      <c r="E17" s="788">
        <v>70000</v>
      </c>
      <c r="F17" s="789">
        <v>1</v>
      </c>
      <c r="G17" s="790">
        <f>E17*F17</f>
        <v>70000</v>
      </c>
      <c r="H17" s="791"/>
      <c r="I17" s="792"/>
      <c r="J17" s="785"/>
      <c r="K17" s="791"/>
      <c r="L17" s="794"/>
      <c r="M17" s="795"/>
      <c r="N17" s="791"/>
      <c r="O17" s="792"/>
      <c r="P17" s="796"/>
      <c r="Q17" s="791"/>
      <c r="R17" s="794"/>
      <c r="S17" s="795"/>
      <c r="T17" s="434">
        <f t="shared" si="5"/>
        <v>0</v>
      </c>
      <c r="U17" s="757"/>
      <c r="V17" s="758"/>
      <c r="W17" s="758"/>
      <c r="X17" s="759"/>
      <c r="Y17" s="759"/>
      <c r="Z17" s="759"/>
      <c r="AA17" s="759"/>
      <c r="AB17" s="760"/>
      <c r="AC17" s="434">
        <v>70000</v>
      </c>
      <c r="AD17" s="761">
        <f t="shared" si="2"/>
        <v>-70000</v>
      </c>
    </row>
    <row r="18" spans="1:30" x14ac:dyDescent="0.3">
      <c r="A18" s="732"/>
      <c r="B18" s="733"/>
      <c r="C18" s="674">
        <v>6</v>
      </c>
      <c r="D18" s="797" t="s">
        <v>228</v>
      </c>
      <c r="E18" s="798">
        <v>3200</v>
      </c>
      <c r="F18" s="799">
        <v>5</v>
      </c>
      <c r="G18" s="800">
        <f>E18*F18</f>
        <v>16000</v>
      </c>
      <c r="H18" s="801">
        <f>G18*0.7/2</f>
        <v>5600</v>
      </c>
      <c r="I18" s="771"/>
      <c r="J18" s="773">
        <f>G18*0.3/2</f>
        <v>2400</v>
      </c>
      <c r="K18" s="802"/>
      <c r="L18" s="771">
        <f>G18*0.7/2</f>
        <v>5600</v>
      </c>
      <c r="M18" s="773"/>
      <c r="N18" s="802"/>
      <c r="O18" s="771"/>
      <c r="P18" s="773"/>
      <c r="Q18" s="750"/>
      <c r="R18" s="751"/>
      <c r="S18" s="754"/>
      <c r="T18" s="774">
        <f t="shared" si="5"/>
        <v>13600</v>
      </c>
      <c r="U18" s="757"/>
      <c r="V18" s="758"/>
      <c r="W18" s="758"/>
      <c r="X18" s="759"/>
      <c r="Y18" s="759"/>
      <c r="Z18" s="759"/>
      <c r="AA18" s="759"/>
      <c r="AB18" s="760"/>
      <c r="AC18" s="774">
        <v>13600</v>
      </c>
      <c r="AD18" s="775">
        <f t="shared" si="2"/>
        <v>0</v>
      </c>
    </row>
    <row r="19" spans="1:30" x14ac:dyDescent="0.3">
      <c r="A19" s="732"/>
      <c r="B19" s="733"/>
      <c r="C19" s="803">
        <v>7</v>
      </c>
      <c r="D19" s="804" t="s">
        <v>229</v>
      </c>
      <c r="E19" s="805">
        <v>33040</v>
      </c>
      <c r="F19" s="806">
        <v>2</v>
      </c>
      <c r="G19" s="807">
        <f t="shared" ref="G19" si="6">E19*F19</f>
        <v>66080</v>
      </c>
      <c r="H19" s="808"/>
      <c r="I19" s="809"/>
      <c r="J19" s="810">
        <v>38400</v>
      </c>
      <c r="K19" s="808"/>
      <c r="L19" s="808"/>
      <c r="M19" s="811"/>
      <c r="N19" s="809"/>
      <c r="O19" s="812"/>
      <c r="P19" s="813"/>
      <c r="Q19" s="814"/>
      <c r="R19" s="751"/>
      <c r="S19" s="754"/>
      <c r="T19" s="268"/>
      <c r="U19" s="757"/>
      <c r="V19" s="758"/>
      <c r="W19" s="758"/>
      <c r="X19" s="759"/>
      <c r="Y19" s="759"/>
      <c r="Z19" s="759"/>
      <c r="AA19" s="759"/>
      <c r="AB19" s="760"/>
      <c r="AC19" s="268"/>
      <c r="AD19" s="815">
        <f t="shared" si="2"/>
        <v>0</v>
      </c>
    </row>
    <row r="20" spans="1:30" ht="27" x14ac:dyDescent="0.3">
      <c r="A20" s="732"/>
      <c r="B20" s="816" t="s">
        <v>230</v>
      </c>
      <c r="C20" s="817">
        <v>1</v>
      </c>
      <c r="D20" s="818" t="s">
        <v>231</v>
      </c>
      <c r="E20" s="819"/>
      <c r="F20" s="820">
        <v>1</v>
      </c>
      <c r="G20" s="821"/>
      <c r="H20" s="822"/>
      <c r="I20" s="823"/>
      <c r="J20" s="824"/>
      <c r="K20" s="825"/>
      <c r="L20" s="822"/>
      <c r="M20" s="826"/>
      <c r="N20" s="827"/>
      <c r="O20" s="828"/>
      <c r="P20" s="829"/>
      <c r="Q20" s="827"/>
      <c r="R20" s="829"/>
      <c r="S20" s="824"/>
      <c r="T20" s="830">
        <f t="shared" si="5"/>
        <v>0</v>
      </c>
      <c r="U20" s="757"/>
      <c r="V20" s="758"/>
      <c r="W20" s="758"/>
      <c r="X20" s="759"/>
      <c r="Y20" s="759"/>
      <c r="Z20" s="759"/>
      <c r="AA20" s="759"/>
      <c r="AB20" s="760"/>
      <c r="AC20" s="830">
        <v>0</v>
      </c>
      <c r="AD20" s="831">
        <f t="shared" si="2"/>
        <v>0</v>
      </c>
    </row>
    <row r="21" spans="1:30" x14ac:dyDescent="0.3">
      <c r="A21" s="732"/>
      <c r="B21" s="733"/>
      <c r="C21" s="763">
        <v>2</v>
      </c>
      <c r="D21" s="701" t="s">
        <v>232</v>
      </c>
      <c r="E21" s="702">
        <v>21000</v>
      </c>
      <c r="F21" s="703">
        <v>10</v>
      </c>
      <c r="G21" s="704">
        <f t="shared" ref="G21:G41" si="7">E21*F21</f>
        <v>210000</v>
      </c>
      <c r="H21" s="768"/>
      <c r="I21" s="769">
        <f>G21/5</f>
        <v>42000</v>
      </c>
      <c r="J21" s="769">
        <f>I21</f>
        <v>42000</v>
      </c>
      <c r="K21" s="770">
        <f>J21</f>
        <v>42000</v>
      </c>
      <c r="L21" s="771">
        <f>K21</f>
        <v>42000</v>
      </c>
      <c r="M21" s="772">
        <f>L21</f>
        <v>42000</v>
      </c>
      <c r="N21" s="770"/>
      <c r="O21" s="771"/>
      <c r="P21" s="768"/>
      <c r="Q21" s="770"/>
      <c r="R21" s="769"/>
      <c r="S21" s="773"/>
      <c r="T21" s="774">
        <f t="shared" si="5"/>
        <v>210000</v>
      </c>
      <c r="U21" s="757"/>
      <c r="V21" s="758"/>
      <c r="W21" s="758"/>
      <c r="X21" s="759"/>
      <c r="Y21" s="759"/>
      <c r="Z21" s="759"/>
      <c r="AA21" s="759"/>
      <c r="AB21" s="760"/>
      <c r="AC21" s="774">
        <v>0</v>
      </c>
      <c r="AD21" s="775">
        <f t="shared" si="2"/>
        <v>210000</v>
      </c>
    </row>
    <row r="22" spans="1:30" ht="27" x14ac:dyDescent="0.3">
      <c r="A22" s="732"/>
      <c r="B22" s="733"/>
      <c r="C22" s="763">
        <v>3</v>
      </c>
      <c r="D22" s="832" t="s">
        <v>233</v>
      </c>
      <c r="E22" s="765">
        <v>400</v>
      </c>
      <c r="F22" s="766">
        <v>100</v>
      </c>
      <c r="G22" s="767">
        <f t="shared" si="7"/>
        <v>40000</v>
      </c>
      <c r="H22" s="768">
        <f>G22</f>
        <v>40000</v>
      </c>
      <c r="I22" s="769"/>
      <c r="J22" s="773"/>
      <c r="K22" s="768"/>
      <c r="L22" s="771"/>
      <c r="M22" s="768"/>
      <c r="N22" s="770"/>
      <c r="O22" s="771"/>
      <c r="P22" s="768"/>
      <c r="Q22" s="770"/>
      <c r="R22" s="769"/>
      <c r="S22" s="773"/>
      <c r="T22" s="774">
        <f t="shared" si="5"/>
        <v>40000</v>
      </c>
      <c r="U22" s="757"/>
      <c r="V22" s="758"/>
      <c r="W22" s="758"/>
      <c r="X22" s="759"/>
      <c r="Y22" s="759"/>
      <c r="Z22" s="759"/>
      <c r="AA22" s="759"/>
      <c r="AB22" s="760"/>
      <c r="AC22" s="774">
        <v>0</v>
      </c>
      <c r="AD22" s="775">
        <f t="shared" si="2"/>
        <v>40000</v>
      </c>
    </row>
    <row r="23" spans="1:30" ht="27" x14ac:dyDescent="0.3">
      <c r="A23" s="732"/>
      <c r="B23" s="733"/>
      <c r="C23" s="763">
        <v>4</v>
      </c>
      <c r="D23" s="701" t="s">
        <v>234</v>
      </c>
      <c r="E23" s="702">
        <v>7000</v>
      </c>
      <c r="F23" s="703"/>
      <c r="G23" s="704">
        <f t="shared" si="7"/>
        <v>0</v>
      </c>
      <c r="H23" s="768"/>
      <c r="I23" s="769"/>
      <c r="J23" s="773"/>
      <c r="K23" s="768"/>
      <c r="L23" s="771"/>
      <c r="M23" s="768"/>
      <c r="N23" s="770"/>
      <c r="O23" s="771">
        <f t="shared" ref="O23:S23" si="8">N23</f>
        <v>0</v>
      </c>
      <c r="P23" s="768">
        <f t="shared" si="8"/>
        <v>0</v>
      </c>
      <c r="Q23" s="770">
        <f t="shared" si="8"/>
        <v>0</v>
      </c>
      <c r="R23" s="769">
        <f t="shared" si="8"/>
        <v>0</v>
      </c>
      <c r="S23" s="773">
        <f t="shared" si="8"/>
        <v>0</v>
      </c>
      <c r="T23" s="774">
        <f t="shared" si="5"/>
        <v>0</v>
      </c>
      <c r="U23" s="757"/>
      <c r="V23" s="758"/>
      <c r="W23" s="758"/>
      <c r="X23" s="759"/>
      <c r="Y23" s="759"/>
      <c r="Z23" s="759"/>
      <c r="AA23" s="759"/>
      <c r="AB23" s="760"/>
      <c r="AC23" s="774">
        <v>0</v>
      </c>
      <c r="AD23" s="775">
        <f t="shared" si="2"/>
        <v>0</v>
      </c>
    </row>
    <row r="24" spans="1:30" ht="27" x14ac:dyDescent="0.3">
      <c r="A24" s="732"/>
      <c r="B24" s="733"/>
      <c r="C24" s="763">
        <v>5</v>
      </c>
      <c r="D24" s="832" t="s">
        <v>235</v>
      </c>
      <c r="E24" s="765">
        <v>46500</v>
      </c>
      <c r="F24" s="766">
        <v>3</v>
      </c>
      <c r="G24" s="767">
        <f t="shared" si="7"/>
        <v>139500</v>
      </c>
      <c r="H24" s="768">
        <f>G24*0.5</f>
        <v>69750</v>
      </c>
      <c r="I24" s="769">
        <f>G24*0.5</f>
        <v>69750</v>
      </c>
      <c r="J24" s="773"/>
      <c r="K24" s="768"/>
      <c r="L24" s="771"/>
      <c r="M24" s="768"/>
      <c r="N24" s="770"/>
      <c r="O24" s="771"/>
      <c r="P24" s="768"/>
      <c r="Q24" s="770"/>
      <c r="R24" s="769"/>
      <c r="S24" s="773"/>
      <c r="T24" s="774">
        <f t="shared" si="5"/>
        <v>139500</v>
      </c>
      <c r="U24" s="757"/>
      <c r="V24" s="758"/>
      <c r="W24" s="758"/>
      <c r="X24" s="759"/>
      <c r="Y24" s="759"/>
      <c r="Z24" s="759"/>
      <c r="AA24" s="759"/>
      <c r="AB24" s="760"/>
      <c r="AC24" s="774">
        <v>0</v>
      </c>
      <c r="AD24" s="775">
        <f t="shared" si="2"/>
        <v>139500</v>
      </c>
    </row>
    <row r="25" spans="1:30" ht="27" x14ac:dyDescent="0.3">
      <c r="A25" s="732"/>
      <c r="B25" s="733"/>
      <c r="C25" s="833">
        <v>6</v>
      </c>
      <c r="D25" s="834" t="s">
        <v>236</v>
      </c>
      <c r="E25" s="835">
        <v>46500</v>
      </c>
      <c r="F25" s="836">
        <v>3</v>
      </c>
      <c r="G25" s="837">
        <f t="shared" si="7"/>
        <v>139500</v>
      </c>
      <c r="H25" s="838"/>
      <c r="I25" s="839"/>
      <c r="J25" s="840"/>
      <c r="K25" s="841">
        <f>G25*0.3</f>
        <v>41850</v>
      </c>
      <c r="L25" s="842">
        <f>G25*0.5</f>
        <v>69750</v>
      </c>
      <c r="M25" s="838">
        <f>G25*0.2</f>
        <v>27900</v>
      </c>
      <c r="N25" s="841"/>
      <c r="O25" s="842"/>
      <c r="P25" s="838"/>
      <c r="Q25" s="841"/>
      <c r="R25" s="839"/>
      <c r="S25" s="840"/>
      <c r="T25" s="774">
        <f t="shared" si="5"/>
        <v>139500</v>
      </c>
      <c r="U25" s="757"/>
      <c r="V25" s="758"/>
      <c r="W25" s="758"/>
      <c r="X25" s="759"/>
      <c r="Y25" s="759"/>
      <c r="Z25" s="759"/>
      <c r="AA25" s="759"/>
      <c r="AB25" s="760"/>
      <c r="AC25" s="774">
        <v>0</v>
      </c>
      <c r="AD25" s="775"/>
    </row>
    <row r="26" spans="1:30" x14ac:dyDescent="0.3">
      <c r="A26" s="732"/>
      <c r="B26" s="733"/>
      <c r="C26" s="833">
        <v>7</v>
      </c>
      <c r="D26" s="834" t="s">
        <v>237</v>
      </c>
      <c r="E26" s="835">
        <v>18988</v>
      </c>
      <c r="F26" s="836">
        <v>2</v>
      </c>
      <c r="G26" s="837">
        <f t="shared" si="7"/>
        <v>37976</v>
      </c>
      <c r="H26" s="838"/>
      <c r="I26" s="839"/>
      <c r="J26" s="840"/>
      <c r="K26" s="841">
        <f>G26*0.3</f>
        <v>11392.8</v>
      </c>
      <c r="L26" s="842">
        <f>G26*0.5</f>
        <v>18988</v>
      </c>
      <c r="M26" s="838">
        <f>G26*0.2</f>
        <v>7595.2000000000007</v>
      </c>
      <c r="N26" s="841"/>
      <c r="O26" s="842"/>
      <c r="P26" s="838"/>
      <c r="Q26" s="841"/>
      <c r="R26" s="839"/>
      <c r="S26" s="840"/>
      <c r="T26" s="774">
        <f t="shared" si="5"/>
        <v>37976</v>
      </c>
      <c r="U26" s="757"/>
      <c r="V26" s="758"/>
      <c r="W26" s="758"/>
      <c r="X26" s="759"/>
      <c r="Y26" s="759"/>
      <c r="Z26" s="759"/>
      <c r="AA26" s="759"/>
      <c r="AB26" s="760"/>
      <c r="AC26" s="774">
        <v>0</v>
      </c>
      <c r="AD26" s="775">
        <f t="shared" si="2"/>
        <v>37976</v>
      </c>
    </row>
    <row r="27" spans="1:30" x14ac:dyDescent="0.3">
      <c r="A27" s="732"/>
      <c r="B27" s="733"/>
      <c r="C27" s="763">
        <v>8</v>
      </c>
      <c r="D27" s="764" t="s">
        <v>238</v>
      </c>
      <c r="E27" s="765">
        <v>20000</v>
      </c>
      <c r="F27" s="766">
        <v>5</v>
      </c>
      <c r="G27" s="767">
        <f t="shared" si="7"/>
        <v>100000</v>
      </c>
      <c r="H27" s="768"/>
      <c r="I27" s="769"/>
      <c r="J27" s="773">
        <f>G27*0.3</f>
        <v>30000</v>
      </c>
      <c r="K27" s="768"/>
      <c r="L27" s="771">
        <f>G27*0.6</f>
        <v>60000</v>
      </c>
      <c r="M27" s="768"/>
      <c r="N27" s="770">
        <f>G27*0.1</f>
        <v>10000</v>
      </c>
      <c r="O27" s="771"/>
      <c r="P27" s="768"/>
      <c r="Q27" s="770"/>
      <c r="R27" s="769"/>
      <c r="S27" s="773"/>
      <c r="T27" s="774">
        <f t="shared" si="5"/>
        <v>100000</v>
      </c>
      <c r="U27" s="757"/>
      <c r="V27" s="843"/>
      <c r="W27" s="758"/>
      <c r="X27" s="759"/>
      <c r="Y27" s="759"/>
      <c r="Z27" s="759"/>
      <c r="AA27" s="759"/>
      <c r="AB27" s="760"/>
      <c r="AC27" s="774">
        <v>0</v>
      </c>
      <c r="AD27" s="775">
        <f t="shared" si="2"/>
        <v>100000</v>
      </c>
    </row>
    <row r="28" spans="1:30" x14ac:dyDescent="0.3">
      <c r="A28" s="732"/>
      <c r="B28" s="844"/>
      <c r="C28" s="700">
        <v>9</v>
      </c>
      <c r="D28" s="746" t="s">
        <v>239</v>
      </c>
      <c r="E28" s="747">
        <v>50000</v>
      </c>
      <c r="F28" s="748">
        <v>2</v>
      </c>
      <c r="G28" s="749">
        <f t="shared" si="7"/>
        <v>100000</v>
      </c>
      <c r="H28" s="750"/>
      <c r="I28" s="751"/>
      <c r="J28" s="750"/>
      <c r="K28" s="755">
        <f>G28*0.3</f>
        <v>30000</v>
      </c>
      <c r="L28" s="751"/>
      <c r="M28" s="754">
        <f>G28*0.7</f>
        <v>70000</v>
      </c>
      <c r="N28" s="755"/>
      <c r="O28" s="751"/>
      <c r="P28" s="756"/>
      <c r="Q28" s="755"/>
      <c r="R28" s="756"/>
      <c r="S28" s="845"/>
      <c r="T28" s="434">
        <f t="shared" si="5"/>
        <v>100000</v>
      </c>
      <c r="U28" s="757"/>
      <c r="V28" s="758"/>
      <c r="W28" s="758"/>
      <c r="X28" s="759"/>
      <c r="Y28" s="759"/>
      <c r="Z28" s="759"/>
      <c r="AA28" s="759"/>
      <c r="AB28" s="760"/>
      <c r="AC28" s="434">
        <v>0</v>
      </c>
      <c r="AD28" s="761">
        <f t="shared" si="2"/>
        <v>100000</v>
      </c>
    </row>
    <row r="29" spans="1:30" x14ac:dyDescent="0.3">
      <c r="A29" s="732"/>
      <c r="B29" s="844"/>
      <c r="C29" s="846">
        <v>10</v>
      </c>
      <c r="D29" s="847" t="s">
        <v>240</v>
      </c>
      <c r="E29" s="848">
        <v>18000</v>
      </c>
      <c r="F29" s="849">
        <v>2</v>
      </c>
      <c r="G29" s="850">
        <f t="shared" si="7"/>
        <v>36000</v>
      </c>
      <c r="H29" s="750">
        <v>7200</v>
      </c>
      <c r="I29" s="751"/>
      <c r="J29" s="845"/>
      <c r="K29" s="750"/>
      <c r="L29" s="751"/>
      <c r="M29" s="750"/>
      <c r="N29" s="755"/>
      <c r="O29" s="751"/>
      <c r="P29" s="750"/>
      <c r="Q29" s="755"/>
      <c r="R29" s="756"/>
      <c r="S29" s="845"/>
      <c r="T29" s="434">
        <f t="shared" si="5"/>
        <v>7200</v>
      </c>
      <c r="U29" s="851"/>
      <c r="V29" s="758"/>
      <c r="W29" s="758"/>
      <c r="X29" s="759"/>
      <c r="Y29" s="759"/>
      <c r="Z29" s="759"/>
      <c r="AA29" s="759"/>
      <c r="AB29" s="760"/>
      <c r="AC29" s="434">
        <v>0</v>
      </c>
      <c r="AD29" s="761">
        <f t="shared" si="2"/>
        <v>7200</v>
      </c>
    </row>
    <row r="30" spans="1:30" x14ac:dyDescent="0.3">
      <c r="A30" s="732"/>
      <c r="B30" s="844"/>
      <c r="C30" s="852">
        <v>11</v>
      </c>
      <c r="D30" s="853" t="s">
        <v>241</v>
      </c>
      <c r="E30" s="854">
        <v>18000</v>
      </c>
      <c r="F30" s="855">
        <v>3</v>
      </c>
      <c r="G30" s="856">
        <f t="shared" si="7"/>
        <v>54000</v>
      </c>
      <c r="H30" s="857"/>
      <c r="I30" s="858"/>
      <c r="J30" s="859"/>
      <c r="K30" s="860">
        <f>G30*0.3</f>
        <v>16200</v>
      </c>
      <c r="L30" s="858">
        <f>G30*0.5</f>
        <v>27000</v>
      </c>
      <c r="M30" s="838">
        <f>G30*0.2</f>
        <v>10800</v>
      </c>
      <c r="N30" s="860"/>
      <c r="O30" s="858"/>
      <c r="P30" s="838"/>
      <c r="Q30" s="860"/>
      <c r="R30" s="861"/>
      <c r="S30" s="859"/>
      <c r="T30" s="434">
        <f t="shared" si="5"/>
        <v>54000</v>
      </c>
      <c r="U30" s="851"/>
      <c r="V30" s="758"/>
      <c r="W30" s="758"/>
      <c r="X30" s="759"/>
      <c r="Y30" s="759"/>
      <c r="Z30" s="759"/>
      <c r="AA30" s="759"/>
      <c r="AB30" s="760"/>
      <c r="AC30" s="434">
        <v>0</v>
      </c>
      <c r="AD30" s="761"/>
    </row>
    <row r="31" spans="1:30" x14ac:dyDescent="0.3">
      <c r="A31" s="732"/>
      <c r="B31" s="844"/>
      <c r="C31" s="846">
        <v>12</v>
      </c>
      <c r="D31" s="847" t="s">
        <v>242</v>
      </c>
      <c r="E31" s="848">
        <v>31700</v>
      </c>
      <c r="F31" s="849">
        <v>1</v>
      </c>
      <c r="G31" s="850">
        <f t="shared" si="7"/>
        <v>31700</v>
      </c>
      <c r="H31" s="750">
        <v>15850</v>
      </c>
      <c r="I31" s="751">
        <v>6340</v>
      </c>
      <c r="J31" s="773"/>
      <c r="K31" s="750"/>
      <c r="L31" s="751"/>
      <c r="M31" s="750"/>
      <c r="N31" s="755"/>
      <c r="O31" s="751"/>
      <c r="P31" s="750"/>
      <c r="Q31" s="755"/>
      <c r="R31" s="756"/>
      <c r="S31" s="845"/>
      <c r="T31" s="434">
        <f t="shared" si="5"/>
        <v>22190</v>
      </c>
      <c r="U31" s="851"/>
      <c r="V31" s="758"/>
      <c r="W31" s="758"/>
      <c r="X31" s="759"/>
      <c r="Y31" s="759"/>
      <c r="Z31" s="759"/>
      <c r="AA31" s="759"/>
      <c r="AB31" s="760"/>
      <c r="AC31" s="434">
        <v>0</v>
      </c>
      <c r="AD31" s="761">
        <f t="shared" si="2"/>
        <v>22190</v>
      </c>
    </row>
    <row r="32" spans="1:30" ht="27" x14ac:dyDescent="0.3">
      <c r="A32" s="732"/>
      <c r="B32" s="844"/>
      <c r="C32" s="852">
        <v>13</v>
      </c>
      <c r="D32" s="853" t="s">
        <v>243</v>
      </c>
      <c r="E32" s="854">
        <v>31700</v>
      </c>
      <c r="F32" s="855">
        <v>2</v>
      </c>
      <c r="G32" s="856">
        <f t="shared" si="7"/>
        <v>63400</v>
      </c>
      <c r="H32" s="857"/>
      <c r="I32" s="858"/>
      <c r="J32" s="862"/>
      <c r="K32" s="860"/>
      <c r="L32" s="858">
        <f>G32*0.3</f>
        <v>19020</v>
      </c>
      <c r="M32" s="838">
        <f>G32*0.5</f>
        <v>31700</v>
      </c>
      <c r="N32" s="860">
        <f>G32*0.2</f>
        <v>12680</v>
      </c>
      <c r="O32" s="858"/>
      <c r="P32" s="838"/>
      <c r="Q32" s="860"/>
      <c r="R32" s="861"/>
      <c r="S32" s="859"/>
      <c r="T32" s="434">
        <f t="shared" si="5"/>
        <v>63400</v>
      </c>
      <c r="U32" s="851"/>
      <c r="V32" s="758"/>
      <c r="W32" s="758"/>
      <c r="X32" s="759"/>
      <c r="Y32" s="759"/>
      <c r="Z32" s="759"/>
      <c r="AA32" s="759"/>
      <c r="AB32" s="760"/>
      <c r="AC32" s="434">
        <v>0</v>
      </c>
      <c r="AD32" s="761"/>
    </row>
    <row r="33" spans="1:30" x14ac:dyDescent="0.3">
      <c r="A33" s="732"/>
      <c r="B33" s="844"/>
      <c r="C33" s="852">
        <v>14</v>
      </c>
      <c r="D33" s="853" t="s">
        <v>244</v>
      </c>
      <c r="E33" s="854">
        <v>35000</v>
      </c>
      <c r="F33" s="855">
        <v>4</v>
      </c>
      <c r="G33" s="856">
        <f t="shared" si="7"/>
        <v>140000</v>
      </c>
      <c r="H33" s="857"/>
      <c r="I33" s="858"/>
      <c r="J33" s="862">
        <f>G33*0.3</f>
        <v>42000</v>
      </c>
      <c r="K33" s="857">
        <f>G33*0.5</f>
        <v>70000</v>
      </c>
      <c r="L33" s="858">
        <f>G33*0.2</f>
        <v>28000</v>
      </c>
      <c r="M33" s="857"/>
      <c r="N33" s="860"/>
      <c r="O33" s="858"/>
      <c r="P33" s="838"/>
      <c r="Q33" s="860"/>
      <c r="R33" s="861"/>
      <c r="S33" s="859"/>
      <c r="T33" s="434">
        <f t="shared" si="5"/>
        <v>140000</v>
      </c>
      <c r="U33" s="851"/>
      <c r="V33" s="758"/>
      <c r="W33" s="758"/>
      <c r="X33" s="759"/>
      <c r="Y33" s="759"/>
      <c r="Z33" s="759"/>
      <c r="AA33" s="759"/>
      <c r="AB33" s="760"/>
      <c r="AC33" s="434"/>
      <c r="AD33" s="761"/>
    </row>
    <row r="34" spans="1:30" x14ac:dyDescent="0.3">
      <c r="A34" s="732"/>
      <c r="B34" s="844"/>
      <c r="C34" s="852">
        <v>15</v>
      </c>
      <c r="D34" s="853" t="s">
        <v>245</v>
      </c>
      <c r="E34" s="854">
        <v>20000</v>
      </c>
      <c r="F34" s="855">
        <v>3</v>
      </c>
      <c r="G34" s="856">
        <f t="shared" si="7"/>
        <v>60000</v>
      </c>
      <c r="H34" s="857"/>
      <c r="I34" s="858"/>
      <c r="J34" s="862">
        <f>G34*0.3</f>
        <v>18000</v>
      </c>
      <c r="K34" s="857">
        <f>G34*0.5</f>
        <v>30000</v>
      </c>
      <c r="L34" s="858">
        <f>G34*0.2</f>
        <v>12000</v>
      </c>
      <c r="M34" s="857"/>
      <c r="N34" s="860"/>
      <c r="O34" s="858"/>
      <c r="P34" s="838"/>
      <c r="Q34" s="860"/>
      <c r="R34" s="861"/>
      <c r="S34" s="859"/>
      <c r="T34" s="434">
        <f t="shared" si="5"/>
        <v>60000</v>
      </c>
      <c r="U34" s="851"/>
      <c r="V34" s="758"/>
      <c r="W34" s="758"/>
      <c r="X34" s="759"/>
      <c r="Y34" s="759"/>
      <c r="Z34" s="759"/>
      <c r="AA34" s="759"/>
      <c r="AB34" s="760"/>
      <c r="AC34" s="434"/>
      <c r="AD34" s="761"/>
    </row>
    <row r="35" spans="1:30" x14ac:dyDescent="0.3">
      <c r="A35" s="732"/>
      <c r="B35" s="844"/>
      <c r="C35" s="763">
        <v>16</v>
      </c>
      <c r="D35" s="832" t="s">
        <v>246</v>
      </c>
      <c r="E35" s="765">
        <v>15000</v>
      </c>
      <c r="F35" s="766">
        <v>1</v>
      </c>
      <c r="G35" s="767">
        <f t="shared" si="7"/>
        <v>15000</v>
      </c>
      <c r="H35" s="770"/>
      <c r="I35" s="771">
        <f>G35*0.5</f>
        <v>7500</v>
      </c>
      <c r="J35" s="772"/>
      <c r="K35" s="768">
        <f>G35*0.3</f>
        <v>4500</v>
      </c>
      <c r="L35" s="771">
        <f>G35*0.2</f>
        <v>3000</v>
      </c>
      <c r="M35" s="768"/>
      <c r="N35" s="770"/>
      <c r="O35" s="771"/>
      <c r="P35" s="768"/>
      <c r="Q35" s="770"/>
      <c r="R35" s="769"/>
      <c r="S35" s="773"/>
      <c r="T35" s="684">
        <f t="shared" si="5"/>
        <v>15000</v>
      </c>
      <c r="U35" s="851"/>
      <c r="V35" s="758"/>
      <c r="W35" s="758"/>
      <c r="X35" s="759"/>
      <c r="Y35" s="759"/>
      <c r="Z35" s="759"/>
      <c r="AA35" s="759"/>
      <c r="AB35" s="760"/>
      <c r="AC35" s="684">
        <v>0</v>
      </c>
      <c r="AD35" s="687">
        <f t="shared" si="2"/>
        <v>15000</v>
      </c>
    </row>
    <row r="36" spans="1:30" x14ac:dyDescent="0.3">
      <c r="A36" s="732"/>
      <c r="B36" s="733"/>
      <c r="C36" s="700">
        <v>17</v>
      </c>
      <c r="D36" s="863" t="s">
        <v>247</v>
      </c>
      <c r="E36" s="747">
        <v>30000</v>
      </c>
      <c r="F36" s="748">
        <v>1</v>
      </c>
      <c r="G36" s="749">
        <f t="shared" si="7"/>
        <v>30000</v>
      </c>
      <c r="H36" s="755"/>
      <c r="I36" s="751">
        <f>G36*0.5</f>
        <v>15000</v>
      </c>
      <c r="J36" s="754"/>
      <c r="K36" s="750">
        <f>G36*0.3</f>
        <v>9000</v>
      </c>
      <c r="L36" s="751">
        <f>G36*0.2</f>
        <v>6000</v>
      </c>
      <c r="M36" s="750"/>
      <c r="N36" s="755"/>
      <c r="O36" s="751"/>
      <c r="P36" s="750"/>
      <c r="Q36" s="755"/>
      <c r="R36" s="756"/>
      <c r="S36" s="845"/>
      <c r="T36" s="864">
        <f t="shared" si="5"/>
        <v>30000</v>
      </c>
      <c r="U36" s="851"/>
      <c r="V36" s="758"/>
      <c r="W36" s="758"/>
      <c r="X36" s="759"/>
      <c r="Y36" s="759"/>
      <c r="Z36" s="759"/>
      <c r="AA36" s="759"/>
      <c r="AB36" s="760"/>
      <c r="AC36" s="864">
        <v>0</v>
      </c>
      <c r="AD36" s="865">
        <f t="shared" si="2"/>
        <v>30000</v>
      </c>
    </row>
    <row r="37" spans="1:30" ht="27" x14ac:dyDescent="0.3">
      <c r="A37" s="732"/>
      <c r="B37" s="733"/>
      <c r="C37" s="700">
        <v>18</v>
      </c>
      <c r="D37" s="863" t="s">
        <v>248</v>
      </c>
      <c r="E37" s="747">
        <v>150000</v>
      </c>
      <c r="F37" s="748">
        <v>1</v>
      </c>
      <c r="G37" s="749">
        <f t="shared" si="7"/>
        <v>150000</v>
      </c>
      <c r="H37" s="770">
        <f>G37*0.3</f>
        <v>45000</v>
      </c>
      <c r="I37" s="771"/>
      <c r="J37" s="772">
        <f>G37*0.5</f>
        <v>75000</v>
      </c>
      <c r="K37" s="768">
        <f>G37*0.2</f>
        <v>30000</v>
      </c>
      <c r="L37" s="771"/>
      <c r="M37" s="768"/>
      <c r="N37" s="770"/>
      <c r="O37" s="771"/>
      <c r="P37" s="768"/>
      <c r="Q37" s="770"/>
      <c r="R37" s="769"/>
      <c r="S37" s="773"/>
      <c r="T37" s="684">
        <f t="shared" si="5"/>
        <v>150000</v>
      </c>
      <c r="U37" s="851"/>
      <c r="V37" s="758"/>
      <c r="W37" s="758"/>
      <c r="X37" s="759"/>
      <c r="Y37" s="759"/>
      <c r="Z37" s="759"/>
      <c r="AA37" s="759"/>
      <c r="AB37" s="760"/>
      <c r="AC37" s="684">
        <v>0</v>
      </c>
      <c r="AD37" s="687">
        <f t="shared" si="2"/>
        <v>150000</v>
      </c>
    </row>
    <row r="38" spans="1:30" x14ac:dyDescent="0.3">
      <c r="A38" s="732"/>
      <c r="B38" s="844"/>
      <c r="C38" s="700">
        <v>19</v>
      </c>
      <c r="D38" s="832" t="s">
        <v>249</v>
      </c>
      <c r="E38" s="765">
        <v>2000</v>
      </c>
      <c r="F38" s="766">
        <v>20</v>
      </c>
      <c r="G38" s="767">
        <f t="shared" si="7"/>
        <v>40000</v>
      </c>
      <c r="H38" s="770">
        <v>8000</v>
      </c>
      <c r="I38" s="771">
        <v>8000</v>
      </c>
      <c r="J38" s="773">
        <v>8000</v>
      </c>
      <c r="K38" s="768">
        <v>8000</v>
      </c>
      <c r="L38" s="771">
        <v>8000</v>
      </c>
      <c r="M38" s="768"/>
      <c r="N38" s="770"/>
      <c r="O38" s="771"/>
      <c r="P38" s="768"/>
      <c r="Q38" s="770"/>
      <c r="R38" s="769"/>
      <c r="S38" s="773"/>
      <c r="T38" s="684">
        <f t="shared" si="5"/>
        <v>40000</v>
      </c>
      <c r="U38" s="851"/>
      <c r="V38" s="758"/>
      <c r="W38" s="758"/>
      <c r="X38" s="759"/>
      <c r="Y38" s="759"/>
      <c r="Z38" s="759"/>
      <c r="AA38" s="759"/>
      <c r="AB38" s="760"/>
      <c r="AC38" s="684">
        <v>0</v>
      </c>
      <c r="AD38" s="687">
        <f t="shared" si="2"/>
        <v>40000</v>
      </c>
    </row>
    <row r="39" spans="1:30" x14ac:dyDescent="0.3">
      <c r="A39" s="732"/>
      <c r="B39" s="844"/>
      <c r="C39" s="852">
        <v>20</v>
      </c>
      <c r="D39" s="853" t="s">
        <v>250</v>
      </c>
      <c r="E39" s="835">
        <v>48000</v>
      </c>
      <c r="F39" s="836">
        <v>1</v>
      </c>
      <c r="G39" s="837">
        <f t="shared" si="7"/>
        <v>48000</v>
      </c>
      <c r="H39" s="841"/>
      <c r="I39" s="842"/>
      <c r="J39" s="840">
        <f>G39*0.5</f>
        <v>24000</v>
      </c>
      <c r="K39" s="838">
        <f>G39*0.5</f>
        <v>24000</v>
      </c>
      <c r="L39" s="842"/>
      <c r="M39" s="838"/>
      <c r="N39" s="841"/>
      <c r="O39" s="842"/>
      <c r="P39" s="838"/>
      <c r="Q39" s="841"/>
      <c r="R39" s="839"/>
      <c r="S39" s="840"/>
      <c r="T39" s="684">
        <f t="shared" ref="T39" si="9">SUM(H39:S39)</f>
        <v>48000</v>
      </c>
      <c r="U39" s="851"/>
      <c r="V39" s="758"/>
      <c r="W39" s="758"/>
      <c r="X39" s="759"/>
      <c r="Y39" s="759"/>
      <c r="Z39" s="759"/>
      <c r="AA39" s="759"/>
      <c r="AB39" s="760"/>
      <c r="AC39" s="684">
        <v>1</v>
      </c>
      <c r="AD39" s="687">
        <f t="shared" si="2"/>
        <v>47999</v>
      </c>
    </row>
    <row r="40" spans="1:30" x14ac:dyDescent="0.3">
      <c r="A40" s="732"/>
      <c r="B40" s="844"/>
      <c r="C40" s="852">
        <v>20</v>
      </c>
      <c r="D40" s="853" t="s">
        <v>251</v>
      </c>
      <c r="E40" s="854">
        <v>200000</v>
      </c>
      <c r="F40" s="855">
        <v>1</v>
      </c>
      <c r="G40" s="856">
        <f t="shared" si="7"/>
        <v>200000</v>
      </c>
      <c r="H40" s="860"/>
      <c r="I40" s="858"/>
      <c r="J40" s="859"/>
      <c r="K40" s="857">
        <f>G40*0.3</f>
        <v>60000</v>
      </c>
      <c r="L40" s="858"/>
      <c r="M40" s="857">
        <f>G40*0.5</f>
        <v>100000</v>
      </c>
      <c r="N40" s="860">
        <f>G40*0.2</f>
        <v>40000</v>
      </c>
      <c r="O40" s="858"/>
      <c r="P40" s="857"/>
      <c r="Q40" s="860"/>
      <c r="R40" s="861"/>
      <c r="S40" s="859"/>
      <c r="T40" s="684">
        <f t="shared" si="5"/>
        <v>200000</v>
      </c>
      <c r="U40" s="851"/>
      <c r="V40" s="758"/>
      <c r="W40" s="758"/>
      <c r="X40" s="759"/>
      <c r="Y40" s="759"/>
      <c r="Z40" s="759"/>
      <c r="AA40" s="759"/>
      <c r="AB40" s="760"/>
      <c r="AC40" s="864"/>
      <c r="AD40" s="865"/>
    </row>
    <row r="41" spans="1:30" x14ac:dyDescent="0.3">
      <c r="A41" s="732"/>
      <c r="B41" s="866"/>
      <c r="C41" s="846">
        <v>21</v>
      </c>
      <c r="D41" s="867" t="s">
        <v>252</v>
      </c>
      <c r="E41" s="868">
        <v>81400</v>
      </c>
      <c r="F41" s="869">
        <v>6</v>
      </c>
      <c r="G41" s="870">
        <f t="shared" si="7"/>
        <v>488400</v>
      </c>
      <c r="H41" s="871">
        <v>30000</v>
      </c>
      <c r="I41" s="812">
        <v>40000</v>
      </c>
      <c r="J41" s="810"/>
      <c r="K41" s="809"/>
      <c r="L41" s="812"/>
      <c r="M41" s="809"/>
      <c r="N41" s="871"/>
      <c r="O41" s="812"/>
      <c r="P41" s="809"/>
      <c r="Q41" s="871"/>
      <c r="R41" s="813"/>
      <c r="S41" s="810"/>
      <c r="T41" s="872">
        <f t="shared" si="5"/>
        <v>70000</v>
      </c>
      <c r="U41" s="851"/>
      <c r="V41" s="758"/>
      <c r="W41" s="758"/>
      <c r="X41" s="759"/>
      <c r="Y41" s="759"/>
      <c r="Z41" s="759"/>
      <c r="AA41" s="759"/>
      <c r="AB41" s="760"/>
      <c r="AC41" s="872">
        <v>0</v>
      </c>
      <c r="AD41" s="873">
        <f t="shared" si="2"/>
        <v>70000</v>
      </c>
    </row>
    <row r="42" spans="1:30" ht="27" x14ac:dyDescent="0.3">
      <c r="A42" s="732"/>
      <c r="B42" s="733" t="s">
        <v>253</v>
      </c>
      <c r="C42" s="817">
        <v>1</v>
      </c>
      <c r="D42" s="874" t="s">
        <v>254</v>
      </c>
      <c r="E42" s="875">
        <v>30000</v>
      </c>
      <c r="F42" s="876">
        <v>10</v>
      </c>
      <c r="G42" s="877"/>
      <c r="H42" s="823"/>
      <c r="I42" s="829">
        <f>G42/5</f>
        <v>0</v>
      </c>
      <c r="J42" s="824"/>
      <c r="K42" s="823"/>
      <c r="L42" s="828">
        <f>I42</f>
        <v>0</v>
      </c>
      <c r="M42" s="823"/>
      <c r="N42" s="827"/>
      <c r="O42" s="828">
        <f>G42-I42-L42</f>
        <v>0</v>
      </c>
      <c r="P42" s="823"/>
      <c r="Q42" s="827"/>
      <c r="R42" s="829"/>
      <c r="S42" s="824"/>
      <c r="T42" s="830">
        <f t="shared" si="5"/>
        <v>0</v>
      </c>
      <c r="U42" s="757"/>
      <c r="V42" s="758"/>
      <c r="W42" s="758"/>
      <c r="X42" s="759"/>
      <c r="Y42" s="759"/>
      <c r="Z42" s="759"/>
      <c r="AA42" s="759"/>
      <c r="AB42" s="760"/>
      <c r="AC42" s="830">
        <v>300000</v>
      </c>
      <c r="AD42" s="831">
        <f t="shared" si="2"/>
        <v>-300000</v>
      </c>
    </row>
    <row r="43" spans="1:30" x14ac:dyDescent="0.3">
      <c r="A43" s="732"/>
      <c r="B43" s="733"/>
      <c r="C43" s="786">
        <v>2</v>
      </c>
      <c r="D43" s="878" t="s">
        <v>255</v>
      </c>
      <c r="E43" s="788">
        <v>40000</v>
      </c>
      <c r="F43" s="789">
        <v>3</v>
      </c>
      <c r="G43" s="790"/>
      <c r="H43" s="791"/>
      <c r="I43" s="792"/>
      <c r="J43" s="796"/>
      <c r="K43" s="791"/>
      <c r="L43" s="794"/>
      <c r="M43" s="791"/>
      <c r="N43" s="793">
        <f>G43*0.4</f>
        <v>0</v>
      </c>
      <c r="O43" s="794"/>
      <c r="P43" s="792">
        <f>G43*0.6</f>
        <v>0</v>
      </c>
      <c r="Q43" s="793"/>
      <c r="R43" s="792"/>
      <c r="S43" s="796"/>
      <c r="T43" s="434">
        <f t="shared" si="5"/>
        <v>0</v>
      </c>
      <c r="U43" s="757"/>
      <c r="V43" s="758"/>
      <c r="W43" s="758"/>
      <c r="X43" s="759"/>
      <c r="Y43" s="759"/>
      <c r="Z43" s="759"/>
      <c r="AA43" s="759"/>
      <c r="AB43" s="760"/>
      <c r="AC43" s="434">
        <v>120000</v>
      </c>
      <c r="AD43" s="761">
        <f t="shared" si="2"/>
        <v>-120000</v>
      </c>
    </row>
    <row r="44" spans="1:30" ht="27" x14ac:dyDescent="0.3">
      <c r="A44" s="732"/>
      <c r="B44" s="879"/>
      <c r="C44" s="880">
        <v>3</v>
      </c>
      <c r="D44" s="881" t="s">
        <v>256</v>
      </c>
      <c r="E44" s="702">
        <v>18000</v>
      </c>
      <c r="F44" s="703">
        <v>1</v>
      </c>
      <c r="G44" s="704">
        <f>E44*F44</f>
        <v>18000</v>
      </c>
      <c r="H44" s="770">
        <v>18000</v>
      </c>
      <c r="I44" s="769"/>
      <c r="J44" s="773"/>
      <c r="K44" s="768"/>
      <c r="L44" s="771"/>
      <c r="M44" s="768"/>
      <c r="N44" s="770"/>
      <c r="O44" s="771"/>
      <c r="P44" s="769"/>
      <c r="Q44" s="770"/>
      <c r="R44" s="769"/>
      <c r="S44" s="769"/>
      <c r="T44" s="774">
        <f t="shared" ref="T44:T51" si="10">SUM(H44:S44)</f>
        <v>18000</v>
      </c>
      <c r="U44" s="851"/>
      <c r="V44" s="758"/>
      <c r="W44" s="758"/>
      <c r="X44" s="759"/>
      <c r="Y44" s="759"/>
      <c r="Z44" s="759"/>
      <c r="AA44" s="759"/>
      <c r="AB44" s="760"/>
      <c r="AC44" s="774">
        <v>18000</v>
      </c>
      <c r="AD44" s="775">
        <f t="shared" si="2"/>
        <v>0</v>
      </c>
    </row>
    <row r="45" spans="1:30" x14ac:dyDescent="0.3">
      <c r="A45" s="732"/>
      <c r="B45" s="879"/>
      <c r="C45" s="880">
        <v>4</v>
      </c>
      <c r="D45" s="882" t="s">
        <v>257</v>
      </c>
      <c r="E45" s="702">
        <v>10000</v>
      </c>
      <c r="F45" s="703">
        <v>1</v>
      </c>
      <c r="G45" s="704">
        <f t="shared" ref="G45:G54" si="11">E45*F45</f>
        <v>10000</v>
      </c>
      <c r="H45" s="770">
        <v>10000</v>
      </c>
      <c r="I45" s="769"/>
      <c r="J45" s="773"/>
      <c r="K45" s="768"/>
      <c r="L45" s="771"/>
      <c r="M45" s="768"/>
      <c r="N45" s="770"/>
      <c r="O45" s="771"/>
      <c r="P45" s="769"/>
      <c r="Q45" s="770"/>
      <c r="R45" s="769"/>
      <c r="S45" s="769"/>
      <c r="T45" s="774">
        <f t="shared" si="10"/>
        <v>10000</v>
      </c>
      <c r="U45" s="851"/>
      <c r="V45" s="758"/>
      <c r="W45" s="758"/>
      <c r="X45" s="759"/>
      <c r="Y45" s="759"/>
      <c r="Z45" s="759"/>
      <c r="AA45" s="759"/>
      <c r="AB45" s="760"/>
      <c r="AC45" s="774">
        <v>10000</v>
      </c>
      <c r="AD45" s="775">
        <f t="shared" si="2"/>
        <v>0</v>
      </c>
    </row>
    <row r="46" spans="1:30" x14ac:dyDescent="0.3">
      <c r="A46" s="732"/>
      <c r="B46" s="879"/>
      <c r="C46" s="883">
        <v>5</v>
      </c>
      <c r="D46" s="689" t="s">
        <v>258</v>
      </c>
      <c r="E46" s="690">
        <v>50000</v>
      </c>
      <c r="F46" s="691">
        <v>1</v>
      </c>
      <c r="G46" s="692"/>
      <c r="H46" s="782"/>
      <c r="I46" s="781"/>
      <c r="J46" s="785"/>
      <c r="K46" s="780">
        <f>G46*0.5</f>
        <v>0</v>
      </c>
      <c r="L46" s="783"/>
      <c r="M46" s="780"/>
      <c r="N46" s="782">
        <f>G46*0.3</f>
        <v>0</v>
      </c>
      <c r="O46" s="783"/>
      <c r="P46" s="781">
        <f>G46*0.2</f>
        <v>0</v>
      </c>
      <c r="Q46" s="782"/>
      <c r="R46" s="781"/>
      <c r="S46" s="781"/>
      <c r="T46" s="774">
        <f t="shared" si="10"/>
        <v>0</v>
      </c>
      <c r="U46" s="851"/>
      <c r="V46" s="758"/>
      <c r="W46" s="758"/>
      <c r="X46" s="759"/>
      <c r="Y46" s="759"/>
      <c r="Z46" s="759"/>
      <c r="AA46" s="759"/>
      <c r="AB46" s="760"/>
      <c r="AC46" s="774">
        <v>50000</v>
      </c>
      <c r="AD46" s="775">
        <f t="shared" si="2"/>
        <v>-50000</v>
      </c>
    </row>
    <row r="47" spans="1:30" x14ac:dyDescent="0.3">
      <c r="A47" s="732"/>
      <c r="B47" s="879"/>
      <c r="C47" s="880">
        <v>6</v>
      </c>
      <c r="D47" s="882" t="s">
        <v>259</v>
      </c>
      <c r="E47" s="702">
        <v>11035</v>
      </c>
      <c r="F47" s="703">
        <v>1</v>
      </c>
      <c r="G47" s="704">
        <f t="shared" si="11"/>
        <v>11035</v>
      </c>
      <c r="H47" s="770"/>
      <c r="I47" s="769"/>
      <c r="J47" s="773"/>
      <c r="K47" s="768"/>
      <c r="L47" s="771">
        <f>G47*0.5</f>
        <v>5517.5</v>
      </c>
      <c r="M47" s="768"/>
      <c r="N47" s="770">
        <f>G47*0.5</f>
        <v>5517.5</v>
      </c>
      <c r="O47" s="771"/>
      <c r="P47" s="769"/>
      <c r="Q47" s="770"/>
      <c r="R47" s="769"/>
      <c r="S47" s="769"/>
      <c r="T47" s="774">
        <f t="shared" si="10"/>
        <v>11035</v>
      </c>
      <c r="U47" s="851"/>
      <c r="V47" s="758"/>
      <c r="W47" s="758"/>
      <c r="X47" s="759"/>
      <c r="Y47" s="759"/>
      <c r="Z47" s="759"/>
      <c r="AA47" s="759"/>
      <c r="AB47" s="760"/>
      <c r="AC47" s="774">
        <v>11035</v>
      </c>
      <c r="AD47" s="775">
        <f t="shared" si="2"/>
        <v>0</v>
      </c>
    </row>
    <row r="48" spans="1:30" x14ac:dyDescent="0.3">
      <c r="A48" s="732"/>
      <c r="B48" s="879"/>
      <c r="C48" s="883">
        <v>7</v>
      </c>
      <c r="D48" s="689" t="s">
        <v>260</v>
      </c>
      <c r="E48" s="690">
        <v>57000</v>
      </c>
      <c r="F48" s="691">
        <v>4</v>
      </c>
      <c r="G48" s="692"/>
      <c r="H48" s="782"/>
      <c r="I48" s="781"/>
      <c r="J48" s="785"/>
      <c r="K48" s="780"/>
      <c r="L48" s="783"/>
      <c r="M48" s="780"/>
      <c r="N48" s="782"/>
      <c r="O48" s="783"/>
      <c r="P48" s="781"/>
      <c r="Q48" s="782"/>
      <c r="R48" s="781"/>
      <c r="S48" s="781"/>
      <c r="T48" s="774">
        <f t="shared" si="10"/>
        <v>0</v>
      </c>
      <c r="U48" s="851"/>
      <c r="V48" s="758"/>
      <c r="W48" s="758"/>
      <c r="X48" s="759"/>
      <c r="Y48" s="759"/>
      <c r="Z48" s="759"/>
      <c r="AA48" s="759"/>
      <c r="AB48" s="760"/>
      <c r="AC48" s="774">
        <v>228000</v>
      </c>
      <c r="AD48" s="775">
        <f t="shared" si="2"/>
        <v>-228000</v>
      </c>
    </row>
    <row r="49" spans="1:30" x14ac:dyDescent="0.3">
      <c r="A49" s="732"/>
      <c r="B49" s="879"/>
      <c r="C49" s="883">
        <v>8</v>
      </c>
      <c r="D49" s="689" t="s">
        <v>261</v>
      </c>
      <c r="E49" s="690">
        <v>57000</v>
      </c>
      <c r="F49" s="691">
        <v>2</v>
      </c>
      <c r="G49" s="692"/>
      <c r="H49" s="782"/>
      <c r="I49" s="781"/>
      <c r="J49" s="785">
        <f>G49*0.5</f>
        <v>0</v>
      </c>
      <c r="K49" s="780"/>
      <c r="L49" s="783">
        <f>G49*0.3</f>
        <v>0</v>
      </c>
      <c r="M49" s="780">
        <f>L49*0.2</f>
        <v>0</v>
      </c>
      <c r="N49" s="782"/>
      <c r="O49" s="783"/>
      <c r="P49" s="781"/>
      <c r="Q49" s="782"/>
      <c r="R49" s="781"/>
      <c r="S49" s="781"/>
      <c r="T49" s="774">
        <f>SUM(H49:S49)</f>
        <v>0</v>
      </c>
      <c r="U49" s="851"/>
      <c r="V49" s="758"/>
      <c r="W49" s="758"/>
      <c r="X49" s="759"/>
      <c r="Y49" s="759"/>
      <c r="Z49" s="759"/>
      <c r="AA49" s="759"/>
      <c r="AB49" s="760"/>
      <c r="AC49" s="774">
        <v>98040</v>
      </c>
      <c r="AD49" s="775">
        <f t="shared" si="2"/>
        <v>-98040</v>
      </c>
    </row>
    <row r="50" spans="1:30" x14ac:dyDescent="0.3">
      <c r="A50" s="732"/>
      <c r="B50" s="879"/>
      <c r="C50" s="884">
        <v>9</v>
      </c>
      <c r="D50" s="885" t="s">
        <v>262</v>
      </c>
      <c r="E50" s="886">
        <v>18850</v>
      </c>
      <c r="F50" s="887">
        <v>1</v>
      </c>
      <c r="G50" s="888">
        <v>18850</v>
      </c>
      <c r="H50" s="841"/>
      <c r="I50" s="839">
        <f>G50*0.5</f>
        <v>9425</v>
      </c>
      <c r="J50" s="840"/>
      <c r="K50" s="838">
        <f>G50*0.3</f>
        <v>5655</v>
      </c>
      <c r="L50" s="842">
        <f>G50*0.2</f>
        <v>3770</v>
      </c>
      <c r="M50" s="838"/>
      <c r="N50" s="841"/>
      <c r="O50" s="842"/>
      <c r="P50" s="839"/>
      <c r="Q50" s="841"/>
      <c r="R50" s="839"/>
      <c r="S50" s="839"/>
      <c r="T50" s="774">
        <f t="shared" si="10"/>
        <v>18850</v>
      </c>
      <c r="U50" s="851"/>
      <c r="V50" s="758"/>
      <c r="W50" s="758"/>
      <c r="X50" s="759"/>
      <c r="Y50" s="759"/>
      <c r="Z50" s="759"/>
      <c r="AA50" s="759"/>
      <c r="AB50" s="760"/>
      <c r="AC50" s="774">
        <v>18850</v>
      </c>
      <c r="AD50" s="775">
        <f t="shared" si="2"/>
        <v>0</v>
      </c>
    </row>
    <row r="51" spans="1:30" x14ac:dyDescent="0.3">
      <c r="A51" s="732"/>
      <c r="B51" s="889"/>
      <c r="C51" s="890">
        <v>10</v>
      </c>
      <c r="D51" s="891" t="s">
        <v>263</v>
      </c>
      <c r="E51" s="892">
        <v>12500</v>
      </c>
      <c r="F51" s="893">
        <v>1</v>
      </c>
      <c r="G51" s="894">
        <f t="shared" si="11"/>
        <v>12500</v>
      </c>
      <c r="H51" s="871"/>
      <c r="I51" s="813"/>
      <c r="J51" s="810">
        <f>G51*0.5</f>
        <v>6250</v>
      </c>
      <c r="K51" s="809"/>
      <c r="L51" s="812">
        <f>G51*0.3</f>
        <v>3750</v>
      </c>
      <c r="M51" s="809">
        <f>G51*0.2</f>
        <v>2500</v>
      </c>
      <c r="N51" s="871"/>
      <c r="O51" s="812"/>
      <c r="P51" s="813"/>
      <c r="Q51" s="871"/>
      <c r="R51" s="813"/>
      <c r="S51" s="813"/>
      <c r="T51" s="268">
        <f t="shared" si="10"/>
        <v>12500</v>
      </c>
      <c r="U51" s="851"/>
      <c r="V51" s="758"/>
      <c r="W51" s="758"/>
      <c r="X51" s="759"/>
      <c r="Y51" s="759"/>
      <c r="Z51" s="759"/>
      <c r="AA51" s="759"/>
      <c r="AB51" s="760"/>
      <c r="AC51" s="268">
        <v>12500</v>
      </c>
      <c r="AD51" s="815">
        <f t="shared" si="2"/>
        <v>0</v>
      </c>
    </row>
    <row r="52" spans="1:30" x14ac:dyDescent="0.3">
      <c r="A52" s="732"/>
      <c r="B52" s="816" t="s">
        <v>264</v>
      </c>
      <c r="C52" s="895">
        <v>1</v>
      </c>
      <c r="D52" s="896" t="s">
        <v>265</v>
      </c>
      <c r="E52" s="897">
        <v>100000</v>
      </c>
      <c r="F52" s="898">
        <v>1</v>
      </c>
      <c r="G52" s="899">
        <f t="shared" si="11"/>
        <v>100000</v>
      </c>
      <c r="H52" s="900"/>
      <c r="I52" s="901"/>
      <c r="J52" s="902"/>
      <c r="K52" s="900"/>
      <c r="L52" s="903"/>
      <c r="M52" s="900"/>
      <c r="N52" s="904"/>
      <c r="O52" s="903"/>
      <c r="P52" s="901"/>
      <c r="Q52" s="904">
        <f>G52*0.3</f>
        <v>30000</v>
      </c>
      <c r="R52" s="901"/>
      <c r="S52" s="901">
        <f>G52*0.7</f>
        <v>70000</v>
      </c>
      <c r="T52" s="830">
        <f t="shared" si="5"/>
        <v>100000</v>
      </c>
      <c r="U52" s="757"/>
      <c r="V52" s="758"/>
      <c r="W52" s="758"/>
      <c r="X52" s="759"/>
      <c r="Y52" s="759"/>
      <c r="Z52" s="759"/>
      <c r="AA52" s="759"/>
      <c r="AB52" s="760"/>
      <c r="AC52" s="830">
        <v>100000</v>
      </c>
      <c r="AD52" s="831">
        <f t="shared" si="2"/>
        <v>0</v>
      </c>
    </row>
    <row r="53" spans="1:30" x14ac:dyDescent="0.3">
      <c r="A53" s="732"/>
      <c r="B53" s="673"/>
      <c r="C53" s="688">
        <v>2</v>
      </c>
      <c r="D53" s="905" t="s">
        <v>266</v>
      </c>
      <c r="E53" s="690">
        <v>100000</v>
      </c>
      <c r="F53" s="691">
        <v>1</v>
      </c>
      <c r="G53" s="692">
        <f t="shared" si="11"/>
        <v>100000</v>
      </c>
      <c r="H53" s="780"/>
      <c r="I53" s="781"/>
      <c r="J53" s="785"/>
      <c r="K53" s="780"/>
      <c r="L53" s="783"/>
      <c r="M53" s="780"/>
      <c r="N53" s="782"/>
      <c r="O53" s="783"/>
      <c r="P53" s="781"/>
      <c r="Q53" s="782"/>
      <c r="R53" s="781"/>
      <c r="S53" s="781"/>
      <c r="T53" s="774">
        <f t="shared" si="5"/>
        <v>0</v>
      </c>
      <c r="U53" s="757"/>
      <c r="V53" s="758"/>
      <c r="W53" s="758"/>
      <c r="X53" s="759"/>
      <c r="Y53" s="759"/>
      <c r="Z53" s="759"/>
      <c r="AA53" s="759"/>
      <c r="AB53" s="760"/>
      <c r="AC53" s="774">
        <v>100000</v>
      </c>
      <c r="AD53" s="775">
        <f t="shared" si="2"/>
        <v>-100000</v>
      </c>
    </row>
    <row r="54" spans="1:30" x14ac:dyDescent="0.3">
      <c r="A54" s="732"/>
      <c r="B54" s="712"/>
      <c r="C54" s="906">
        <v>3</v>
      </c>
      <c r="D54" s="907" t="s">
        <v>267</v>
      </c>
      <c r="E54" s="908">
        <v>100000</v>
      </c>
      <c r="F54" s="909">
        <v>1</v>
      </c>
      <c r="G54" s="910">
        <f t="shared" si="11"/>
        <v>100000</v>
      </c>
      <c r="H54" s="911"/>
      <c r="I54" s="912"/>
      <c r="J54" s="913"/>
      <c r="K54" s="911"/>
      <c r="L54" s="914"/>
      <c r="M54" s="911"/>
      <c r="N54" s="915"/>
      <c r="O54" s="914"/>
      <c r="P54" s="912"/>
      <c r="Q54" s="915"/>
      <c r="R54" s="912"/>
      <c r="S54" s="912"/>
      <c r="T54" s="268">
        <f t="shared" si="5"/>
        <v>0</v>
      </c>
      <c r="U54" s="757"/>
      <c r="V54" s="758"/>
      <c r="W54" s="758"/>
      <c r="X54" s="759"/>
      <c r="Y54" s="759"/>
      <c r="Z54" s="759"/>
      <c r="AA54" s="759"/>
      <c r="AB54" s="760"/>
      <c r="AC54" s="268">
        <v>100000</v>
      </c>
      <c r="AD54" s="815">
        <f t="shared" si="2"/>
        <v>-100000</v>
      </c>
    </row>
    <row r="55" spans="1:30" ht="17.25" thickBot="1" x14ac:dyDescent="0.35">
      <c r="A55" s="716"/>
      <c r="B55" s="717"/>
      <c r="C55" s="916"/>
      <c r="D55" s="916" t="s">
        <v>218</v>
      </c>
      <c r="E55" s="917"/>
      <c r="F55" s="918"/>
      <c r="G55" s="919"/>
      <c r="H55" s="723">
        <f t="shared" ref="H55:S55" si="12">SUM(H11:H54)</f>
        <v>273630.76923076925</v>
      </c>
      <c r="I55" s="724">
        <f t="shared" si="12"/>
        <v>198015</v>
      </c>
      <c r="J55" s="725">
        <f t="shared" si="12"/>
        <v>331050</v>
      </c>
      <c r="K55" s="726">
        <f t="shared" si="12"/>
        <v>484136.26153846155</v>
      </c>
      <c r="L55" s="724">
        <f t="shared" si="12"/>
        <v>312395.5</v>
      </c>
      <c r="M55" s="727">
        <f t="shared" si="12"/>
        <v>382495.2</v>
      </c>
      <c r="N55" s="726">
        <f t="shared" si="12"/>
        <v>158197.5</v>
      </c>
      <c r="O55" s="724">
        <f t="shared" si="12"/>
        <v>30000</v>
      </c>
      <c r="P55" s="728">
        <f t="shared" si="12"/>
        <v>0</v>
      </c>
      <c r="Q55" s="726">
        <f t="shared" si="12"/>
        <v>30000</v>
      </c>
      <c r="R55" s="725">
        <f t="shared" si="12"/>
        <v>0</v>
      </c>
      <c r="S55" s="728">
        <f t="shared" si="12"/>
        <v>70000</v>
      </c>
      <c r="T55" s="729">
        <f>SUM(H55:S55)</f>
        <v>2269920.230769231</v>
      </c>
      <c r="U55" s="920"/>
      <c r="V55" s="758"/>
      <c r="W55" s="758"/>
      <c r="X55" s="759"/>
      <c r="Y55" s="759"/>
      <c r="Z55" s="759"/>
      <c r="AA55" s="759"/>
      <c r="AB55" s="760"/>
      <c r="AC55" s="729">
        <v>3343235.5294705294</v>
      </c>
      <c r="AD55" s="731">
        <f t="shared" si="2"/>
        <v>-1073315.2987012984</v>
      </c>
    </row>
    <row r="56" spans="1:30" x14ac:dyDescent="0.3">
      <c r="A56" s="921" t="s">
        <v>268</v>
      </c>
      <c r="B56" s="922"/>
      <c r="C56" s="923">
        <v>1</v>
      </c>
      <c r="D56" s="924" t="s">
        <v>269</v>
      </c>
      <c r="E56" s="702">
        <v>181818.18181818182</v>
      </c>
      <c r="F56" s="703">
        <v>1</v>
      </c>
      <c r="G56" s="704">
        <f t="shared" ref="G56:G66" si="13">E56*F56</f>
        <v>181818.18181818182</v>
      </c>
      <c r="H56" s="768"/>
      <c r="I56" s="769">
        <v>72727.272727272735</v>
      </c>
      <c r="J56" s="769"/>
      <c r="K56" s="801">
        <v>54545.454545454544</v>
      </c>
      <c r="L56" s="802">
        <v>54545.454545454544</v>
      </c>
      <c r="M56" s="772"/>
      <c r="N56" s="770"/>
      <c r="O56" s="771"/>
      <c r="P56" s="769"/>
      <c r="Q56" s="770"/>
      <c r="R56" s="769"/>
      <c r="S56" s="773"/>
      <c r="T56" s="925">
        <f>SUM(H56:S56)</f>
        <v>181818.18181818182</v>
      </c>
      <c r="U56" s="757"/>
      <c r="V56" s="758"/>
      <c r="W56" s="758"/>
      <c r="X56" s="759"/>
      <c r="Y56" s="759"/>
      <c r="Z56" s="759"/>
      <c r="AA56" s="759"/>
      <c r="AB56" s="760"/>
      <c r="AC56" s="925">
        <v>181818.18181818182</v>
      </c>
      <c r="AD56" s="926">
        <f t="shared" si="2"/>
        <v>0</v>
      </c>
    </row>
    <row r="57" spans="1:30" x14ac:dyDescent="0.3">
      <c r="A57" s="921"/>
      <c r="B57" s="922"/>
      <c r="C57" s="763">
        <v>2</v>
      </c>
      <c r="D57" s="882" t="s">
        <v>270</v>
      </c>
      <c r="E57" s="927">
        <v>46682</v>
      </c>
      <c r="F57" s="928">
        <v>8</v>
      </c>
      <c r="G57" s="929">
        <f>(E57*F57)</f>
        <v>373456</v>
      </c>
      <c r="H57" s="930">
        <v>93364</v>
      </c>
      <c r="I57" s="931"/>
      <c r="J57" s="932"/>
      <c r="K57" s="933">
        <v>93364</v>
      </c>
      <c r="L57" s="934"/>
      <c r="M57" s="935">
        <v>93364</v>
      </c>
      <c r="N57" s="936"/>
      <c r="O57" s="937">
        <v>93364</v>
      </c>
      <c r="P57" s="938"/>
      <c r="Q57" s="937"/>
      <c r="R57" s="939"/>
      <c r="S57" s="938"/>
      <c r="T57" s="925">
        <f t="shared" ref="T57:T67" si="14">SUM(H57:S57)</f>
        <v>373456</v>
      </c>
      <c r="U57" s="940"/>
      <c r="V57" s="758"/>
      <c r="W57" s="760"/>
      <c r="X57" s="941"/>
      <c r="Y57" s="759"/>
      <c r="Z57" s="759"/>
      <c r="AA57" s="759"/>
      <c r="AB57" s="760"/>
      <c r="AC57" s="925">
        <v>373456</v>
      </c>
      <c r="AD57" s="926">
        <f t="shared" si="2"/>
        <v>0</v>
      </c>
    </row>
    <row r="58" spans="1:30" x14ac:dyDescent="0.3">
      <c r="A58" s="921"/>
      <c r="B58" s="922"/>
      <c r="C58" s="763">
        <v>3</v>
      </c>
      <c r="D58" s="882" t="s">
        <v>271</v>
      </c>
      <c r="E58" s="927">
        <v>37944</v>
      </c>
      <c r="F58" s="942">
        <v>2</v>
      </c>
      <c r="G58" s="929">
        <f>(E58*F58)</f>
        <v>75888</v>
      </c>
      <c r="H58" s="930"/>
      <c r="I58" s="943">
        <v>75888</v>
      </c>
      <c r="J58" s="932"/>
      <c r="K58" s="933"/>
      <c r="L58" s="934"/>
      <c r="M58" s="930"/>
      <c r="N58" s="933"/>
      <c r="O58" s="939"/>
      <c r="P58" s="938"/>
      <c r="Q58" s="939"/>
      <c r="R58" s="939"/>
      <c r="S58" s="938"/>
      <c r="T58" s="925">
        <f t="shared" si="14"/>
        <v>75888</v>
      </c>
      <c r="U58" s="940"/>
      <c r="V58" s="758"/>
      <c r="W58" s="759"/>
      <c r="X58" s="760"/>
      <c r="Y58" s="759"/>
      <c r="Z58" s="759"/>
      <c r="AA58" s="759"/>
      <c r="AB58" s="760"/>
      <c r="AC58" s="925">
        <v>151776</v>
      </c>
      <c r="AD58" s="926">
        <f t="shared" si="2"/>
        <v>-75888</v>
      </c>
    </row>
    <row r="59" spans="1:30" x14ac:dyDescent="0.3">
      <c r="A59" s="921"/>
      <c r="B59" s="922"/>
      <c r="C59" s="674">
        <v>5</v>
      </c>
      <c r="D59" s="675" t="s">
        <v>272</v>
      </c>
      <c r="E59" s="676">
        <f>2484000000/26000</f>
        <v>95538.461538461532</v>
      </c>
      <c r="F59" s="677">
        <v>1</v>
      </c>
      <c r="G59" s="678">
        <f>E59*F59</f>
        <v>95538.461538461532</v>
      </c>
      <c r="H59" s="944"/>
      <c r="I59" s="945">
        <v>36875</v>
      </c>
      <c r="J59" s="946">
        <v>36875</v>
      </c>
      <c r="K59" s="933"/>
      <c r="L59" s="934"/>
      <c r="M59" s="930"/>
      <c r="N59" s="933"/>
      <c r="O59" s="939"/>
      <c r="P59" s="938"/>
      <c r="Q59" s="939"/>
      <c r="R59" s="939"/>
      <c r="S59" s="938"/>
      <c r="T59" s="925">
        <f t="shared" si="14"/>
        <v>73750</v>
      </c>
      <c r="U59" s="940" t="s">
        <v>273</v>
      </c>
      <c r="V59" s="947">
        <v>73750</v>
      </c>
      <c r="W59" s="760"/>
      <c r="X59" s="941"/>
      <c r="Y59" s="759"/>
      <c r="Z59" s="759"/>
      <c r="AA59" s="759"/>
      <c r="AB59" s="760"/>
      <c r="AC59" s="925">
        <v>73750</v>
      </c>
      <c r="AD59" s="926">
        <f t="shared" si="2"/>
        <v>0</v>
      </c>
    </row>
    <row r="60" spans="1:30" x14ac:dyDescent="0.3">
      <c r="A60" s="921"/>
      <c r="B60" s="922"/>
      <c r="C60" s="674">
        <v>6</v>
      </c>
      <c r="D60" s="675" t="s">
        <v>274</v>
      </c>
      <c r="E60" s="676">
        <v>20000</v>
      </c>
      <c r="F60" s="677">
        <v>8</v>
      </c>
      <c r="G60" s="678">
        <f>E60*F60</f>
        <v>160000</v>
      </c>
      <c r="H60" s="944"/>
      <c r="I60" s="948">
        <v>27694.25</v>
      </c>
      <c r="J60" s="946">
        <v>27694.25</v>
      </c>
      <c r="K60" s="933">
        <v>27694.25</v>
      </c>
      <c r="L60" s="934">
        <v>27694.25</v>
      </c>
      <c r="M60" s="930"/>
      <c r="N60" s="933"/>
      <c r="O60" s="939"/>
      <c r="P60" s="938"/>
      <c r="Q60" s="939"/>
      <c r="R60" s="939"/>
      <c r="S60" s="938"/>
      <c r="T60" s="925">
        <f t="shared" si="14"/>
        <v>110777</v>
      </c>
      <c r="U60" s="940" t="s">
        <v>275</v>
      </c>
      <c r="V60" s="947">
        <v>110776.92307692309</v>
      </c>
      <c r="W60" s="759"/>
      <c r="X60" s="760">
        <v>49223.0769230769</v>
      </c>
      <c r="Y60" s="759"/>
      <c r="Z60" s="759"/>
      <c r="AA60" s="759"/>
      <c r="AB60" s="760"/>
      <c r="AC60" s="925">
        <v>110777</v>
      </c>
      <c r="AD60" s="926">
        <f t="shared" si="2"/>
        <v>0</v>
      </c>
    </row>
    <row r="61" spans="1:30" x14ac:dyDescent="0.3">
      <c r="A61" s="921"/>
      <c r="B61" s="922"/>
      <c r="C61" s="674">
        <v>7</v>
      </c>
      <c r="D61" s="675" t="s">
        <v>276</v>
      </c>
      <c r="E61" s="676">
        <v>96369.230769230795</v>
      </c>
      <c r="F61" s="677">
        <v>1</v>
      </c>
      <c r="G61" s="678">
        <f>E61*F61</f>
        <v>96369.230769230795</v>
      </c>
      <c r="H61" s="944">
        <v>19273.84615384616</v>
      </c>
      <c r="I61" s="948">
        <v>19273.84615384616</v>
      </c>
      <c r="J61" s="946"/>
      <c r="K61" s="933">
        <v>57821.538461538476</v>
      </c>
      <c r="L61" s="934"/>
      <c r="M61" s="930"/>
      <c r="N61" s="933"/>
      <c r="O61" s="939"/>
      <c r="P61" s="938"/>
      <c r="Q61" s="939"/>
      <c r="R61" s="939"/>
      <c r="S61" s="938"/>
      <c r="T61" s="925">
        <f t="shared" si="14"/>
        <v>96369.230769230795</v>
      </c>
      <c r="U61" s="940" t="s">
        <v>277</v>
      </c>
      <c r="V61" s="947">
        <v>69726.153846153844</v>
      </c>
      <c r="W61" s="760">
        <v>2505600000</v>
      </c>
      <c r="X61" s="941">
        <f>+W61/26000</f>
        <v>96369.230769230766</v>
      </c>
      <c r="Y61" s="759">
        <f>+$X$61*20%</f>
        <v>19273.846153846152</v>
      </c>
      <c r="Z61" s="759">
        <f>+$X$61*20%</f>
        <v>19273.846153846152</v>
      </c>
      <c r="AA61" s="759">
        <f>+$X$61*60%</f>
        <v>57821.538461538461</v>
      </c>
      <c r="AB61" s="760"/>
      <c r="AC61" s="925">
        <v>96369.230769230795</v>
      </c>
      <c r="AD61" s="926">
        <f t="shared" si="2"/>
        <v>0</v>
      </c>
    </row>
    <row r="62" spans="1:30" x14ac:dyDescent="0.3">
      <c r="A62" s="921"/>
      <c r="B62" s="922"/>
      <c r="C62" s="674">
        <v>8</v>
      </c>
      <c r="D62" s="675" t="s">
        <v>278</v>
      </c>
      <c r="E62" s="676">
        <v>87230.769230769234</v>
      </c>
      <c r="F62" s="677">
        <v>1</v>
      </c>
      <c r="G62" s="678">
        <f>E62*F62</f>
        <v>87230.769230769234</v>
      </c>
      <c r="H62" s="944">
        <v>21807.692307692309</v>
      </c>
      <c r="I62" s="948"/>
      <c r="J62" s="946">
        <v>47976.923076923085</v>
      </c>
      <c r="K62" s="933"/>
      <c r="L62" s="934"/>
      <c r="M62" s="930"/>
      <c r="N62" s="933"/>
      <c r="O62" s="939"/>
      <c r="P62" s="938"/>
      <c r="Q62" s="939"/>
      <c r="R62" s="939"/>
      <c r="S62" s="938"/>
      <c r="T62" s="925">
        <f t="shared" si="14"/>
        <v>69784.61538461539</v>
      </c>
      <c r="U62" s="940" t="s">
        <v>279</v>
      </c>
      <c r="V62" s="947">
        <v>62705.846153846156</v>
      </c>
      <c r="W62" s="760">
        <v>2268000000</v>
      </c>
      <c r="X62" s="941">
        <f>+W62/26000</f>
        <v>87230.769230769234</v>
      </c>
      <c r="Y62" s="759">
        <f>+W62*20%/26000</f>
        <v>17446.153846153848</v>
      </c>
      <c r="Z62" s="759">
        <f>+X62*25%</f>
        <v>21807.692307692309</v>
      </c>
      <c r="AA62" s="759"/>
      <c r="AB62" s="760"/>
      <c r="AC62" s="925">
        <v>69784.61538461539</v>
      </c>
      <c r="AD62" s="926">
        <f t="shared" si="2"/>
        <v>0</v>
      </c>
    </row>
    <row r="63" spans="1:30" x14ac:dyDescent="0.3">
      <c r="A63" s="921"/>
      <c r="B63" s="922"/>
      <c r="C63" s="674">
        <v>9</v>
      </c>
      <c r="D63" s="675" t="s">
        <v>280</v>
      </c>
      <c r="E63" s="676">
        <v>250000</v>
      </c>
      <c r="F63" s="677">
        <v>1</v>
      </c>
      <c r="G63" s="678">
        <f t="shared" si="13"/>
        <v>250000</v>
      </c>
      <c r="H63" s="949"/>
      <c r="I63" s="950"/>
      <c r="J63" s="951"/>
      <c r="K63" s="952"/>
      <c r="L63" s="771"/>
      <c r="M63" s="953"/>
      <c r="N63" s="801">
        <v>50000</v>
      </c>
      <c r="O63" s="951"/>
      <c r="P63" s="771">
        <v>50000</v>
      </c>
      <c r="Q63" s="954">
        <v>50000</v>
      </c>
      <c r="R63" s="771">
        <v>50000</v>
      </c>
      <c r="S63" s="771">
        <v>50000</v>
      </c>
      <c r="T63" s="925">
        <f t="shared" si="14"/>
        <v>250000</v>
      </c>
      <c r="U63" s="940" t="s">
        <v>281</v>
      </c>
      <c r="V63" s="947">
        <v>119192.4705882353</v>
      </c>
      <c r="W63" s="758"/>
      <c r="X63" s="759"/>
      <c r="Y63" s="759"/>
      <c r="Z63" s="759"/>
      <c r="AA63" s="759"/>
      <c r="AB63" s="760"/>
      <c r="AC63" s="925">
        <v>250000</v>
      </c>
      <c r="AD63" s="926">
        <f t="shared" si="2"/>
        <v>0</v>
      </c>
    </row>
    <row r="64" spans="1:30" x14ac:dyDescent="0.3">
      <c r="A64" s="921"/>
      <c r="B64" s="922"/>
      <c r="C64" s="763">
        <v>10</v>
      </c>
      <c r="D64" s="882" t="s">
        <v>282</v>
      </c>
      <c r="E64" s="927">
        <v>150000</v>
      </c>
      <c r="F64" s="928">
        <v>1</v>
      </c>
      <c r="G64" s="929">
        <f t="shared" si="13"/>
        <v>150000</v>
      </c>
      <c r="H64" s="949"/>
      <c r="I64" s="950"/>
      <c r="J64" s="951"/>
      <c r="K64" s="952"/>
      <c r="L64" s="950"/>
      <c r="M64" s="953"/>
      <c r="N64" s="952"/>
      <c r="O64" s="771">
        <v>30000</v>
      </c>
      <c r="P64" s="955">
        <v>30000</v>
      </c>
      <c r="Q64" s="771">
        <v>30000</v>
      </c>
      <c r="R64" s="951">
        <v>30000</v>
      </c>
      <c r="S64" s="771">
        <v>30000</v>
      </c>
      <c r="T64" s="925">
        <f t="shared" si="14"/>
        <v>150000</v>
      </c>
      <c r="U64" s="757"/>
      <c r="V64" s="758"/>
      <c r="W64" s="758"/>
      <c r="X64" s="759"/>
      <c r="Y64" s="759"/>
      <c r="Z64" s="759"/>
      <c r="AA64" s="759"/>
      <c r="AB64" s="760"/>
      <c r="AC64" s="925">
        <v>150000</v>
      </c>
      <c r="AD64" s="926">
        <f t="shared" si="2"/>
        <v>0</v>
      </c>
    </row>
    <row r="65" spans="1:30" x14ac:dyDescent="0.3">
      <c r="A65" s="921"/>
      <c r="B65" s="922"/>
      <c r="C65" s="763">
        <v>11</v>
      </c>
      <c r="D65" s="746" t="s">
        <v>283</v>
      </c>
      <c r="E65" s="765">
        <v>150000</v>
      </c>
      <c r="F65" s="766">
        <v>1</v>
      </c>
      <c r="G65" s="767">
        <f t="shared" si="13"/>
        <v>150000</v>
      </c>
      <c r="H65" s="768"/>
      <c r="I65" s="769"/>
      <c r="J65" s="773"/>
      <c r="K65" s="768"/>
      <c r="L65" s="771"/>
      <c r="M65" s="768">
        <v>20000</v>
      </c>
      <c r="N65" s="770">
        <v>20000</v>
      </c>
      <c r="O65" s="771">
        <v>20000</v>
      </c>
      <c r="P65" s="769">
        <v>20000</v>
      </c>
      <c r="Q65" s="770">
        <v>20000</v>
      </c>
      <c r="R65" s="839">
        <v>20000</v>
      </c>
      <c r="S65" s="839">
        <v>30000</v>
      </c>
      <c r="T65" s="925">
        <f t="shared" si="14"/>
        <v>150000</v>
      </c>
      <c r="U65" s="757"/>
      <c r="V65" s="758"/>
      <c r="W65" s="758"/>
      <c r="X65" s="759"/>
      <c r="Y65" s="759"/>
      <c r="Z65" s="759"/>
      <c r="AA65" s="759"/>
      <c r="AB65" s="760"/>
      <c r="AC65" s="925">
        <v>150000</v>
      </c>
      <c r="AD65" s="926">
        <f t="shared" si="2"/>
        <v>0</v>
      </c>
    </row>
    <row r="66" spans="1:30" x14ac:dyDescent="0.3">
      <c r="A66" s="921"/>
      <c r="B66" s="922"/>
      <c r="C66" s="674">
        <v>12</v>
      </c>
      <c r="D66" s="956" t="s">
        <v>284</v>
      </c>
      <c r="E66" s="848">
        <v>15000</v>
      </c>
      <c r="F66" s="849">
        <v>1</v>
      </c>
      <c r="G66" s="850">
        <f t="shared" si="13"/>
        <v>15000</v>
      </c>
      <c r="H66" s="750">
        <v>15000</v>
      </c>
      <c r="I66" s="756"/>
      <c r="J66" s="773"/>
      <c r="K66" s="750"/>
      <c r="L66" s="751"/>
      <c r="M66" s="750"/>
      <c r="N66" s="755"/>
      <c r="O66" s="751"/>
      <c r="P66" s="756"/>
      <c r="Q66" s="755"/>
      <c r="R66" s="756"/>
      <c r="S66" s="756"/>
      <c r="T66" s="925">
        <f t="shared" si="14"/>
        <v>15000</v>
      </c>
      <c r="U66" s="757"/>
      <c r="V66" s="758"/>
      <c r="W66" s="758"/>
      <c r="X66" s="759"/>
      <c r="Y66" s="759"/>
      <c r="Z66" s="759"/>
      <c r="AA66" s="759"/>
      <c r="AB66" s="760"/>
      <c r="AC66" s="925">
        <v>15000</v>
      </c>
      <c r="AD66" s="926">
        <f t="shared" si="2"/>
        <v>0</v>
      </c>
    </row>
    <row r="67" spans="1:30" ht="41.25" thickBot="1" x14ac:dyDescent="0.35">
      <c r="A67" s="921"/>
      <c r="B67" s="922"/>
      <c r="C67" s="803">
        <v>13</v>
      </c>
      <c r="D67" s="956" t="s">
        <v>285</v>
      </c>
      <c r="E67" s="957">
        <v>240000</v>
      </c>
      <c r="F67" s="806">
        <v>1</v>
      </c>
      <c r="G67" s="807">
        <f>(E67*F67)+71000</f>
        <v>311000</v>
      </c>
      <c r="H67" s="958">
        <v>91000</v>
      </c>
      <c r="I67" s="959">
        <v>20000</v>
      </c>
      <c r="J67" s="960">
        <f>I67</f>
        <v>20000</v>
      </c>
      <c r="K67" s="961">
        <f t="shared" ref="K67:S67" si="15">J67</f>
        <v>20000</v>
      </c>
      <c r="L67" s="959">
        <f t="shared" si="15"/>
        <v>20000</v>
      </c>
      <c r="M67" s="962">
        <f t="shared" si="15"/>
        <v>20000</v>
      </c>
      <c r="N67" s="961">
        <f t="shared" si="15"/>
        <v>20000</v>
      </c>
      <c r="O67" s="959">
        <f t="shared" si="15"/>
        <v>20000</v>
      </c>
      <c r="P67" s="963">
        <f t="shared" si="15"/>
        <v>20000</v>
      </c>
      <c r="Q67" s="964">
        <f t="shared" si="15"/>
        <v>20000</v>
      </c>
      <c r="R67" s="965">
        <f t="shared" si="15"/>
        <v>20000</v>
      </c>
      <c r="S67" s="963">
        <f t="shared" si="15"/>
        <v>20000</v>
      </c>
      <c r="T67" s="925">
        <f t="shared" si="14"/>
        <v>311000</v>
      </c>
      <c r="U67" s="757"/>
      <c r="V67" s="758"/>
      <c r="W67" s="758"/>
      <c r="X67" s="759"/>
      <c r="Y67" s="759"/>
      <c r="Z67" s="759"/>
      <c r="AA67" s="759"/>
      <c r="AB67" s="760"/>
      <c r="AC67" s="925">
        <v>311000</v>
      </c>
      <c r="AD67" s="926">
        <f t="shared" si="2"/>
        <v>0</v>
      </c>
    </row>
    <row r="68" spans="1:30" ht="17.25" thickBot="1" x14ac:dyDescent="0.35">
      <c r="A68" s="716"/>
      <c r="B68" s="717"/>
      <c r="C68" s="717"/>
      <c r="D68" s="966" t="s">
        <v>286</v>
      </c>
      <c r="E68" s="967"/>
      <c r="F68" s="968"/>
      <c r="G68" s="969">
        <f>SUM(G5:G67)</f>
        <v>6960384.8741258746</v>
      </c>
      <c r="H68" s="970">
        <f t="shared" ref="H68:T68" si="16">SUM(H56:H67)</f>
        <v>240445.53846153847</v>
      </c>
      <c r="I68" s="724">
        <f t="shared" si="16"/>
        <v>252458.36888111889</v>
      </c>
      <c r="J68" s="725">
        <f t="shared" si="16"/>
        <v>132546.17307692309</v>
      </c>
      <c r="K68" s="971">
        <f t="shared" si="16"/>
        <v>253425.243006993</v>
      </c>
      <c r="L68" s="724">
        <f t="shared" si="16"/>
        <v>102239.70454545454</v>
      </c>
      <c r="M68" s="725">
        <f t="shared" si="16"/>
        <v>133364</v>
      </c>
      <c r="N68" s="971">
        <f t="shared" si="16"/>
        <v>90000</v>
      </c>
      <c r="O68" s="725">
        <f t="shared" si="16"/>
        <v>163364</v>
      </c>
      <c r="P68" s="728">
        <f t="shared" si="16"/>
        <v>120000</v>
      </c>
      <c r="Q68" s="971">
        <f t="shared" si="16"/>
        <v>120000</v>
      </c>
      <c r="R68" s="725">
        <f t="shared" si="16"/>
        <v>120000</v>
      </c>
      <c r="S68" s="728">
        <f t="shared" si="16"/>
        <v>130000</v>
      </c>
      <c r="T68" s="729">
        <f t="shared" si="16"/>
        <v>1857843.0279720281</v>
      </c>
      <c r="U68" s="972" t="s">
        <v>287</v>
      </c>
      <c r="V68" s="973" t="s">
        <v>30</v>
      </c>
      <c r="W68" s="758"/>
      <c r="X68" s="759"/>
      <c r="Y68" s="759"/>
      <c r="Z68" s="759"/>
      <c r="AA68" s="759"/>
      <c r="AB68" s="760"/>
      <c r="AC68" s="729">
        <v>1883731.0279720281</v>
      </c>
      <c r="AD68" s="731">
        <f t="shared" si="2"/>
        <v>-25888</v>
      </c>
    </row>
    <row r="69" spans="1:30" ht="17.25" thickBot="1" x14ac:dyDescent="0.35">
      <c r="A69" s="974" t="s">
        <v>288</v>
      </c>
      <c r="B69" s="975"/>
      <c r="C69" s="975"/>
      <c r="D69" s="976"/>
      <c r="E69" s="977"/>
      <c r="F69" s="978"/>
      <c r="G69" s="979"/>
      <c r="H69" s="980">
        <f t="shared" ref="H69:S69" si="17">H68+H55+H10</f>
        <v>549076.30769230775</v>
      </c>
      <c r="I69" s="981">
        <f t="shared" si="17"/>
        <v>474160.36888111889</v>
      </c>
      <c r="J69" s="982">
        <f t="shared" si="17"/>
        <v>487283.17307692312</v>
      </c>
      <c r="K69" s="983">
        <f t="shared" si="17"/>
        <v>737561.50454545452</v>
      </c>
      <c r="L69" s="984">
        <f t="shared" si="17"/>
        <v>414635.20454545453</v>
      </c>
      <c r="M69" s="985">
        <f t="shared" si="17"/>
        <v>515859.20000000001</v>
      </c>
      <c r="N69" s="986">
        <f t="shared" si="17"/>
        <v>298197.5</v>
      </c>
      <c r="O69" s="981">
        <f t="shared" si="17"/>
        <v>243364</v>
      </c>
      <c r="P69" s="982">
        <f t="shared" si="17"/>
        <v>170000</v>
      </c>
      <c r="Q69" s="987">
        <f t="shared" si="17"/>
        <v>300000</v>
      </c>
      <c r="R69" s="982">
        <f t="shared" si="17"/>
        <v>220000</v>
      </c>
      <c r="S69" s="985">
        <f t="shared" si="17"/>
        <v>300000</v>
      </c>
      <c r="T69" s="988">
        <f>T55+T68+T10</f>
        <v>4710137.2587412596</v>
      </c>
      <c r="U69" s="973">
        <v>4229903.2865159577</v>
      </c>
      <c r="V69" s="989"/>
      <c r="W69" s="758"/>
      <c r="X69" s="759"/>
      <c r="Y69" s="759"/>
      <c r="Z69" s="759"/>
      <c r="AA69" s="759"/>
      <c r="AB69" s="760"/>
      <c r="AC69" s="988">
        <v>6359340.5574425571</v>
      </c>
      <c r="AD69" s="990">
        <f t="shared" si="2"/>
        <v>-1649203.2987012975</v>
      </c>
    </row>
    <row r="70" spans="1:30" x14ac:dyDescent="0.3">
      <c r="A70" s="320"/>
      <c r="B70" s="320"/>
      <c r="C70" s="320"/>
      <c r="D70" s="320"/>
      <c r="E70" s="991"/>
      <c r="F70" s="320"/>
      <c r="G70" s="320"/>
      <c r="H70" s="992"/>
      <c r="I70" s="992"/>
      <c r="J70" s="992"/>
      <c r="K70" s="992"/>
      <c r="L70" s="131"/>
      <c r="M70" s="992"/>
      <c r="N70" s="992"/>
      <c r="O70" s="992"/>
      <c r="P70" s="992"/>
      <c r="Q70" s="992"/>
      <c r="R70" s="992"/>
      <c r="S70" s="992"/>
      <c r="T70" s="992" t="b">
        <f>SUM(H69:S69)=T69</f>
        <v>1</v>
      </c>
      <c r="U70" s="992"/>
      <c r="V70" s="660"/>
      <c r="W70" s="660"/>
      <c r="X70" s="151"/>
      <c r="Y70" s="151"/>
      <c r="Z70" s="151"/>
      <c r="AA70" s="151"/>
      <c r="AB70" s="151"/>
      <c r="AC70" s="992" t="b">
        <v>1</v>
      </c>
      <c r="AD70" s="993" t="b">
        <v>1</v>
      </c>
    </row>
    <row r="71" spans="1:30" ht="18" thickBot="1" x14ac:dyDescent="0.35">
      <c r="A71" s="417" t="s">
        <v>289</v>
      </c>
      <c r="B71" s="417"/>
      <c r="C71" s="417"/>
      <c r="D71" s="202"/>
      <c r="E71" s="663"/>
      <c r="F71" s="663"/>
      <c r="G71" s="663"/>
      <c r="H71" s="663"/>
      <c r="I71" s="994"/>
      <c r="J71" s="994"/>
      <c r="K71" s="994"/>
      <c r="L71" s="995"/>
      <c r="M71" s="663"/>
      <c r="N71" s="663"/>
      <c r="O71" s="663"/>
      <c r="P71" s="663"/>
      <c r="Q71" s="663"/>
      <c r="R71" s="151"/>
      <c r="S71" s="151"/>
      <c r="T71" s="151"/>
      <c r="U71" s="663" t="s">
        <v>202</v>
      </c>
      <c r="V71" s="660"/>
      <c r="W71" s="151"/>
      <c r="X71" s="151"/>
      <c r="Y71" s="151"/>
      <c r="Z71" s="151"/>
      <c r="AA71" s="151"/>
      <c r="AB71" s="151"/>
      <c r="AC71" s="151"/>
      <c r="AD71" s="661"/>
    </row>
    <row r="72" spans="1:30" ht="27.75" thickBot="1" x14ac:dyDescent="0.35">
      <c r="A72" s="292" t="s">
        <v>290</v>
      </c>
      <c r="B72" s="293"/>
      <c r="C72" s="293"/>
      <c r="D72" s="664"/>
      <c r="E72" s="3" t="s">
        <v>206</v>
      </c>
      <c r="F72" s="462"/>
      <c r="G72" s="462"/>
      <c r="H72" s="9" t="s">
        <v>17</v>
      </c>
      <c r="I72" s="3" t="s">
        <v>18</v>
      </c>
      <c r="J72" s="7" t="s">
        <v>19</v>
      </c>
      <c r="K72" s="9" t="s">
        <v>20</v>
      </c>
      <c r="L72" s="3" t="s">
        <v>21</v>
      </c>
      <c r="M72" s="7" t="s">
        <v>22</v>
      </c>
      <c r="N72" s="9" t="s">
        <v>23</v>
      </c>
      <c r="O72" s="156" t="s">
        <v>24</v>
      </c>
      <c r="P72" s="7" t="s">
        <v>25</v>
      </c>
      <c r="Q72" s="9" t="s">
        <v>26</v>
      </c>
      <c r="R72" s="3" t="s">
        <v>27</v>
      </c>
      <c r="S72" s="7" t="s">
        <v>28</v>
      </c>
      <c r="T72" s="157" t="s">
        <v>29</v>
      </c>
      <c r="U72" s="157" t="s">
        <v>209</v>
      </c>
      <c r="V72" s="660"/>
      <c r="W72" s="151"/>
      <c r="X72" s="151"/>
      <c r="Y72" s="151"/>
      <c r="Z72" s="151"/>
      <c r="AA72" s="151"/>
      <c r="AB72" s="151"/>
      <c r="AC72" s="670" t="s">
        <v>0</v>
      </c>
      <c r="AD72" s="671" t="s">
        <v>1</v>
      </c>
    </row>
    <row r="73" spans="1:30" x14ac:dyDescent="0.3">
      <c r="A73" s="996" t="s">
        <v>291</v>
      </c>
      <c r="B73" s="997"/>
      <c r="C73" s="997"/>
      <c r="D73" s="998"/>
      <c r="E73" s="999"/>
      <c r="F73" s="1000"/>
      <c r="G73" s="1000"/>
      <c r="H73" s="1001"/>
      <c r="I73" s="1002"/>
      <c r="J73" s="1003"/>
      <c r="K73" s="1002"/>
      <c r="L73" s="1002"/>
      <c r="M73" s="1002"/>
      <c r="N73" s="1004"/>
      <c r="O73" s="1005"/>
      <c r="P73" s="1003"/>
      <c r="Q73" s="1002"/>
      <c r="R73" s="1002"/>
      <c r="S73" s="1006"/>
      <c r="T73" s="1007">
        <f>SUM(H73:S73)</f>
        <v>0</v>
      </c>
      <c r="U73" s="1008"/>
      <c r="V73" s="660"/>
      <c r="W73" s="151"/>
      <c r="X73" s="151"/>
      <c r="Y73" s="151"/>
      <c r="Z73" s="151"/>
      <c r="AA73" s="151"/>
      <c r="AB73" s="151"/>
      <c r="AC73" s="1007">
        <v>0</v>
      </c>
      <c r="AD73" s="23">
        <f t="shared" ref="AD73:AD75" si="18">T73-AC73</f>
        <v>0</v>
      </c>
    </row>
    <row r="74" spans="1:30" ht="17.25" thickBot="1" x14ac:dyDescent="0.35">
      <c r="A74" s="1009" t="s">
        <v>292</v>
      </c>
      <c r="B74" s="1010"/>
      <c r="C74" s="1010"/>
      <c r="D74" s="1011"/>
      <c r="E74" s="1012"/>
      <c r="F74" s="1013"/>
      <c r="G74" s="1013"/>
      <c r="H74" s="1014">
        <f>+H69-H73</f>
        <v>549076.30769230775</v>
      </c>
      <c r="I74" s="1015">
        <f t="shared" ref="I74:S74" si="19">+I69-I73</f>
        <v>474160.36888111889</v>
      </c>
      <c r="J74" s="1016">
        <f t="shared" si="19"/>
        <v>487283.17307692312</v>
      </c>
      <c r="K74" s="1017">
        <f t="shared" si="19"/>
        <v>737561.50454545452</v>
      </c>
      <c r="L74" s="1018">
        <f t="shared" si="19"/>
        <v>414635.20454545453</v>
      </c>
      <c r="M74" s="1019">
        <f t="shared" si="19"/>
        <v>515859.20000000001</v>
      </c>
      <c r="N74" s="1017">
        <f t="shared" si="19"/>
        <v>298197.5</v>
      </c>
      <c r="O74" s="1020">
        <f t="shared" si="19"/>
        <v>243364</v>
      </c>
      <c r="P74" s="1019">
        <f t="shared" si="19"/>
        <v>170000</v>
      </c>
      <c r="Q74" s="1017">
        <f t="shared" si="19"/>
        <v>300000</v>
      </c>
      <c r="R74" s="1018">
        <f t="shared" si="19"/>
        <v>220000</v>
      </c>
      <c r="S74" s="1019">
        <f t="shared" si="19"/>
        <v>300000</v>
      </c>
      <c r="T74" s="1021">
        <f>SUM(H74:S74)</f>
        <v>4710137.2587412596</v>
      </c>
      <c r="U74" s="1022"/>
      <c r="V74" s="1023"/>
      <c r="W74" s="128"/>
      <c r="X74" s="128"/>
      <c r="Y74" s="128"/>
      <c r="Z74" s="128"/>
      <c r="AA74" s="128"/>
      <c r="AB74" s="128"/>
      <c r="AC74" s="1021">
        <v>6359340.557442558</v>
      </c>
      <c r="AD74" s="1024">
        <f t="shared" si="18"/>
        <v>-1649203.2987012984</v>
      </c>
    </row>
    <row r="75" spans="1:30" ht="17.25" thickBot="1" x14ac:dyDescent="0.35">
      <c r="A75" s="488" t="s">
        <v>293</v>
      </c>
      <c r="B75" s="636"/>
      <c r="C75" s="636"/>
      <c r="D75" s="489"/>
      <c r="E75" s="1025"/>
      <c r="F75" s="1026"/>
      <c r="G75" s="1027"/>
      <c r="H75" s="1028">
        <f>SUM(H73:H74)</f>
        <v>549076.30769230775</v>
      </c>
      <c r="I75" s="1029">
        <f>SUM(I73:I74)</f>
        <v>474160.36888111889</v>
      </c>
      <c r="J75" s="1030">
        <f t="shared" ref="J75:S75" si="20">SUM(J73:J74)-J73</f>
        <v>487283.17307692312</v>
      </c>
      <c r="K75" s="1028">
        <f t="shared" si="20"/>
        <v>737561.50454545452</v>
      </c>
      <c r="L75" s="1031">
        <f t="shared" si="20"/>
        <v>414635.20454545453</v>
      </c>
      <c r="M75" s="1030">
        <f t="shared" si="20"/>
        <v>515859.20000000001</v>
      </c>
      <c r="N75" s="1028">
        <f t="shared" si="20"/>
        <v>298197.5</v>
      </c>
      <c r="O75" s="1032">
        <f t="shared" si="20"/>
        <v>243364</v>
      </c>
      <c r="P75" s="1030">
        <f t="shared" si="20"/>
        <v>170000</v>
      </c>
      <c r="Q75" s="1028">
        <f t="shared" si="20"/>
        <v>300000</v>
      </c>
      <c r="R75" s="1029">
        <f t="shared" si="20"/>
        <v>220000</v>
      </c>
      <c r="S75" s="1030">
        <f t="shared" si="20"/>
        <v>300000</v>
      </c>
      <c r="T75" s="291">
        <f>SUM(T73:T74)</f>
        <v>4710137.2587412596</v>
      </c>
      <c r="U75" s="1033"/>
      <c r="V75" s="660"/>
      <c r="W75" s="151"/>
      <c r="X75" s="151"/>
      <c r="Y75" s="151"/>
      <c r="Z75" s="151"/>
      <c r="AA75" s="151"/>
      <c r="AB75" s="151"/>
      <c r="AC75" s="291">
        <v>6359340.557442558</v>
      </c>
      <c r="AD75" s="1034">
        <f t="shared" si="18"/>
        <v>-1649203.2987012984</v>
      </c>
    </row>
    <row r="76" spans="1:30" x14ac:dyDescent="0.3">
      <c r="A76" s="1035"/>
      <c r="B76" s="1035"/>
      <c r="C76" s="1035"/>
      <c r="D76" s="1035"/>
      <c r="E76" s="151"/>
      <c r="F76" s="151"/>
      <c r="G76" s="151"/>
      <c r="H76" s="1036"/>
      <c r="I76" s="1036"/>
      <c r="J76" s="1036"/>
      <c r="K76" s="1036"/>
      <c r="L76" s="1037"/>
      <c r="M76" s="1036"/>
      <c r="N76" s="1036"/>
      <c r="O76" s="1036"/>
      <c r="P76" s="1036"/>
      <c r="Q76" s="1036"/>
      <c r="R76" s="1036"/>
      <c r="S76" s="1036"/>
      <c r="T76" s="1038" t="b">
        <f>SUM(H75:S75)=T75</f>
        <v>1</v>
      </c>
      <c r="U76" s="151"/>
      <c r="V76" s="660"/>
      <c r="W76" s="151"/>
      <c r="X76" s="151"/>
      <c r="Y76" s="151"/>
      <c r="Z76" s="151"/>
      <c r="AA76" s="151"/>
      <c r="AB76" s="151"/>
      <c r="AC76" s="1038" t="b">
        <v>1</v>
      </c>
      <c r="AD76" s="1039" t="b">
        <v>1</v>
      </c>
    </row>
    <row r="77" spans="1:30" ht="18" thickBot="1" x14ac:dyDescent="0.35">
      <c r="A77" s="417" t="s">
        <v>294</v>
      </c>
      <c r="B77" s="417"/>
      <c r="C77" s="417"/>
      <c r="D77" s="659"/>
      <c r="E77" s="659"/>
      <c r="F77" s="659"/>
      <c r="G77" s="659"/>
      <c r="H77" s="659"/>
      <c r="I77" s="1038"/>
      <c r="J77" s="1040"/>
      <c r="K77" s="659"/>
      <c r="L77" s="1037"/>
      <c r="M77" s="659"/>
      <c r="N77" s="659"/>
      <c r="O77" s="659"/>
      <c r="P77" s="659"/>
      <c r="Q77" s="659"/>
      <c r="R77" s="1041"/>
      <c r="S77" s="659"/>
      <c r="T77" s="659"/>
      <c r="U77" s="663" t="s">
        <v>295</v>
      </c>
      <c r="V77" s="660"/>
      <c r="W77" s="151"/>
      <c r="X77" s="151"/>
      <c r="Y77" s="151"/>
      <c r="Z77" s="151"/>
      <c r="AA77" s="151"/>
      <c r="AB77" s="151"/>
      <c r="AC77" s="659"/>
      <c r="AD77" s="1039"/>
    </row>
    <row r="78" spans="1:30" ht="27.75" thickBot="1" x14ac:dyDescent="0.35">
      <c r="A78" s="292" t="s">
        <v>290</v>
      </c>
      <c r="B78" s="293"/>
      <c r="C78" s="293"/>
      <c r="D78" s="664"/>
      <c r="E78" s="339" t="s">
        <v>206</v>
      </c>
      <c r="F78" s="1042"/>
      <c r="G78" s="1043"/>
      <c r="H78" s="9" t="s">
        <v>17</v>
      </c>
      <c r="I78" s="3" t="s">
        <v>18</v>
      </c>
      <c r="J78" s="7" t="s">
        <v>19</v>
      </c>
      <c r="K78" s="9" t="s">
        <v>20</v>
      </c>
      <c r="L78" s="3" t="s">
        <v>21</v>
      </c>
      <c r="M78" s="7" t="s">
        <v>22</v>
      </c>
      <c r="N78" s="9" t="s">
        <v>23</v>
      </c>
      <c r="O78" s="3" t="s">
        <v>24</v>
      </c>
      <c r="P78" s="7" t="s">
        <v>25</v>
      </c>
      <c r="Q78" s="9" t="s">
        <v>26</v>
      </c>
      <c r="R78" s="3" t="s">
        <v>27</v>
      </c>
      <c r="S78" s="7" t="s">
        <v>28</v>
      </c>
      <c r="T78" s="157" t="s">
        <v>29</v>
      </c>
      <c r="U78" s="157" t="s">
        <v>209</v>
      </c>
      <c r="V78" s="660"/>
      <c r="W78" s="151"/>
      <c r="X78" s="151"/>
      <c r="Y78" s="151"/>
      <c r="Z78" s="151"/>
      <c r="AA78" s="151"/>
      <c r="AB78" s="151"/>
      <c r="AC78" s="670" t="s">
        <v>0</v>
      </c>
      <c r="AD78" s="671" t="s">
        <v>1</v>
      </c>
    </row>
    <row r="79" spans="1:30" x14ac:dyDescent="0.3">
      <c r="A79" s="1044" t="s">
        <v>296</v>
      </c>
      <c r="B79" s="1045"/>
      <c r="C79" s="1045"/>
      <c r="D79" s="1046"/>
      <c r="E79" s="339"/>
      <c r="F79" s="1042"/>
      <c r="G79" s="1043"/>
      <c r="H79" s="1001">
        <f>SUM(H80:H84)</f>
        <v>308540.68723098841</v>
      </c>
      <c r="I79" s="1002">
        <f t="shared" ref="I79" si="21">SUM(I80:I84)</f>
        <v>316406.701360084</v>
      </c>
      <c r="J79" s="1003">
        <f>SUM(J80:J84)</f>
        <v>320499.98600516829</v>
      </c>
      <c r="K79" s="1001">
        <f t="shared" ref="K79:S79" si="22">SUM(K80:K84)</f>
        <v>330165.6615918795</v>
      </c>
      <c r="L79" s="1002">
        <f t="shared" si="22"/>
        <v>336485.69355199602</v>
      </c>
      <c r="M79" s="1003">
        <f t="shared" si="22"/>
        <v>342281.35264097049</v>
      </c>
      <c r="N79" s="1001">
        <f t="shared" si="22"/>
        <v>347110.23579948168</v>
      </c>
      <c r="O79" s="1002">
        <f t="shared" si="22"/>
        <v>347634.26886620338</v>
      </c>
      <c r="P79" s="1003">
        <f t="shared" si="22"/>
        <v>346264.7237459246</v>
      </c>
      <c r="Q79" s="1001">
        <f t="shared" si="22"/>
        <v>348623.33040010725</v>
      </c>
      <c r="R79" s="1002">
        <f t="shared" si="22"/>
        <v>351277.46577662008</v>
      </c>
      <c r="S79" s="1003">
        <f t="shared" si="22"/>
        <v>355204.08408969699</v>
      </c>
      <c r="T79" s="1047">
        <f>SUM(T80:T84)</f>
        <v>4050494.1910591209</v>
      </c>
      <c r="U79" s="10"/>
      <c r="V79" s="660"/>
      <c r="W79" s="151"/>
      <c r="X79" s="151"/>
      <c r="Y79" s="151"/>
      <c r="Z79" s="151"/>
      <c r="AA79" s="151"/>
      <c r="AB79" s="151"/>
      <c r="AC79" s="1047">
        <v>4678740.1202242663</v>
      </c>
      <c r="AD79" s="35">
        <f t="shared" ref="AD79:AD88" si="23">T79-AC79</f>
        <v>-628245.92916514538</v>
      </c>
    </row>
    <row r="80" spans="1:30" x14ac:dyDescent="0.3">
      <c r="A80" s="1048" t="s">
        <v>297</v>
      </c>
      <c r="B80" s="1049"/>
      <c r="C80" s="1049"/>
      <c r="D80" s="1050"/>
      <c r="E80" s="1051"/>
      <c r="F80" s="1052"/>
      <c r="G80" s="1053"/>
      <c r="H80" s="1054">
        <f>35000+SUM(H69)/5/12</f>
        <v>44151.271794871798</v>
      </c>
      <c r="I80" s="1055">
        <f t="shared" ref="I80:S80" si="24">H80+SUM(I69)/5/12</f>
        <v>52053.944609557111</v>
      </c>
      <c r="J80" s="1056">
        <f t="shared" si="24"/>
        <v>60175.33082750583</v>
      </c>
      <c r="K80" s="1054">
        <f t="shared" si="24"/>
        <v>72468.022569930064</v>
      </c>
      <c r="L80" s="1055">
        <f t="shared" si="24"/>
        <v>79378.609312354311</v>
      </c>
      <c r="M80" s="1056">
        <f t="shared" si="24"/>
        <v>87976.262645687646</v>
      </c>
      <c r="N80" s="1054">
        <f t="shared" si="24"/>
        <v>92946.220979020974</v>
      </c>
      <c r="O80" s="1055">
        <f t="shared" si="24"/>
        <v>97002.28764568764</v>
      </c>
      <c r="P80" s="1056">
        <f t="shared" si="24"/>
        <v>99835.620979020969</v>
      </c>
      <c r="Q80" s="1054">
        <f t="shared" si="24"/>
        <v>104835.62097902097</v>
      </c>
      <c r="R80" s="1055">
        <f t="shared" si="24"/>
        <v>108502.28764568764</v>
      </c>
      <c r="S80" s="1056">
        <f t="shared" si="24"/>
        <v>113502.28764568764</v>
      </c>
      <c r="T80" s="51">
        <f t="shared" ref="T80:T87" si="25">SUM(H80:S80)</f>
        <v>1012827.7676340325</v>
      </c>
      <c r="U80" s="1057"/>
      <c r="V80" s="660"/>
      <c r="W80" s="151"/>
      <c r="X80" s="151"/>
      <c r="Y80" s="151"/>
      <c r="Z80" s="151"/>
      <c r="AA80" s="151"/>
      <c r="AB80" s="151"/>
      <c r="AC80" s="51">
        <v>1205390.8755994006</v>
      </c>
      <c r="AD80" s="35">
        <f t="shared" si="23"/>
        <v>-192563.10796536808</v>
      </c>
    </row>
    <row r="81" spans="1:30" x14ac:dyDescent="0.3">
      <c r="A81" s="1048" t="s">
        <v>298</v>
      </c>
      <c r="B81" s="1049"/>
      <c r="C81" s="1049"/>
      <c r="D81" s="1050"/>
      <c r="E81" s="1051"/>
      <c r="F81" s="1052"/>
      <c r="G81" s="1053"/>
      <c r="H81" s="1058">
        <v>48226.66956900213</v>
      </c>
      <c r="I81" s="1059">
        <v>48226.66956900213</v>
      </c>
      <c r="J81" s="1060">
        <v>48226.66956900213</v>
      </c>
      <c r="K81" s="1058">
        <v>48226.66956900213</v>
      </c>
      <c r="L81" s="1059">
        <v>48226.66956900213</v>
      </c>
      <c r="M81" s="1060">
        <v>48226.66956900213</v>
      </c>
      <c r="N81" s="1058">
        <v>48226.66956900213</v>
      </c>
      <c r="O81" s="1059">
        <v>48226.66956900213</v>
      </c>
      <c r="P81" s="1060">
        <v>48226.66956900213</v>
      </c>
      <c r="Q81" s="1058">
        <v>48226.66956900213</v>
      </c>
      <c r="R81" s="1059">
        <v>48226.66956900213</v>
      </c>
      <c r="S81" s="1060">
        <v>48226.66956900213</v>
      </c>
      <c r="T81" s="51">
        <f t="shared" si="25"/>
        <v>578720.0348280255</v>
      </c>
      <c r="U81" s="1057"/>
      <c r="V81" s="660"/>
      <c r="W81" s="151"/>
      <c r="X81" s="151"/>
      <c r="Y81" s="151"/>
      <c r="Z81" s="151"/>
      <c r="AA81" s="151"/>
      <c r="AB81" s="151"/>
      <c r="AC81" s="51">
        <v>578720.0348280255</v>
      </c>
      <c r="AD81" s="35">
        <f t="shared" si="23"/>
        <v>0</v>
      </c>
    </row>
    <row r="82" spans="1:30" x14ac:dyDescent="0.3">
      <c r="A82" s="1048" t="s">
        <v>124</v>
      </c>
      <c r="B82" s="1049"/>
      <c r="C82" s="1049"/>
      <c r="D82" s="1050"/>
      <c r="E82" s="1061"/>
      <c r="F82" s="1062"/>
      <c r="G82" s="759"/>
      <c r="H82" s="1058">
        <v>137008.76371776342</v>
      </c>
      <c r="I82" s="1059">
        <v>137008.76371776342</v>
      </c>
      <c r="J82" s="1060">
        <v>133850.25301199424</v>
      </c>
      <c r="K82" s="1058">
        <v>131360.93988404551</v>
      </c>
      <c r="L82" s="1059">
        <v>130770.3851017378</v>
      </c>
      <c r="M82" s="1060">
        <v>128182.66980866092</v>
      </c>
      <c r="N82" s="1058">
        <v>128182.66980866092</v>
      </c>
      <c r="O82" s="1059">
        <v>126061.42569558398</v>
      </c>
      <c r="P82" s="1060">
        <v>124493.22857481477</v>
      </c>
      <c r="Q82" s="1058">
        <v>124111.65804981478</v>
      </c>
      <c r="R82" s="1059">
        <v>123904.39477994299</v>
      </c>
      <c r="S82" s="1060">
        <v>122831.01309301989</v>
      </c>
      <c r="T82" s="51">
        <f t="shared" si="25"/>
        <v>1547766.1652438026</v>
      </c>
      <c r="U82" s="506"/>
      <c r="V82" s="660"/>
      <c r="W82" s="151"/>
      <c r="X82" s="151"/>
      <c r="Y82" s="151"/>
      <c r="Z82" s="151"/>
      <c r="AA82" s="151"/>
      <c r="AB82" s="151"/>
      <c r="AC82" s="51">
        <v>1547766.1652438026</v>
      </c>
      <c r="AD82" s="35">
        <f t="shared" si="23"/>
        <v>0</v>
      </c>
    </row>
    <row r="83" spans="1:30" x14ac:dyDescent="0.3">
      <c r="A83" s="1048" t="s">
        <v>13</v>
      </c>
      <c r="B83" s="1049"/>
      <c r="C83" s="1049"/>
      <c r="D83" s="1050"/>
      <c r="E83" s="1061"/>
      <c r="F83" s="1062"/>
      <c r="G83" s="759"/>
      <c r="H83" s="1063">
        <v>60371.584522303419</v>
      </c>
      <c r="I83" s="1064">
        <v>60371.584522303419</v>
      </c>
      <c r="J83" s="1065">
        <v>60371.584522303419</v>
      </c>
      <c r="K83" s="1063">
        <v>60371.584522303419</v>
      </c>
      <c r="L83" s="1064">
        <v>60371.584522303419</v>
      </c>
      <c r="M83" s="1065">
        <v>60371.584522303419</v>
      </c>
      <c r="N83" s="1063">
        <v>60371.584522303419</v>
      </c>
      <c r="O83" s="1064">
        <v>60371.584522303419</v>
      </c>
      <c r="P83" s="1065">
        <v>60371.584522303419</v>
      </c>
      <c r="Q83" s="1063">
        <v>60371.584522303419</v>
      </c>
      <c r="R83" s="1064">
        <v>60371.584522303419</v>
      </c>
      <c r="S83" s="1065">
        <v>60371.584522303419</v>
      </c>
      <c r="T83" s="51">
        <f t="shared" si="25"/>
        <v>724459.014267641</v>
      </c>
      <c r="U83" s="1066"/>
      <c r="V83" s="758"/>
      <c r="W83" s="759"/>
      <c r="X83" s="759"/>
      <c r="Y83" s="759"/>
      <c r="Z83" s="759"/>
      <c r="AA83" s="759"/>
      <c r="AB83" s="759"/>
      <c r="AC83" s="51">
        <v>724459.014267641</v>
      </c>
      <c r="AD83" s="35">
        <f t="shared" si="23"/>
        <v>0</v>
      </c>
    </row>
    <row r="84" spans="1:30" x14ac:dyDescent="0.3">
      <c r="A84" s="1048" t="s">
        <v>299</v>
      </c>
      <c r="B84" s="1049"/>
      <c r="C84" s="1049"/>
      <c r="D84" s="1050"/>
      <c r="E84" s="1061"/>
      <c r="F84" s="1062"/>
      <c r="G84" s="759"/>
      <c r="H84" s="1058">
        <v>18782.397627047674</v>
      </c>
      <c r="I84" s="1059">
        <v>18745.73894145793</v>
      </c>
      <c r="J84" s="1060">
        <v>17876.148074362631</v>
      </c>
      <c r="K84" s="1058">
        <v>17738.445046598386</v>
      </c>
      <c r="L84" s="1059">
        <v>17738.445046598386</v>
      </c>
      <c r="M84" s="1060">
        <v>17524.166095316337</v>
      </c>
      <c r="N84" s="1058">
        <v>17383.090920494222</v>
      </c>
      <c r="O84" s="1059">
        <v>15972.301433626226</v>
      </c>
      <c r="P84" s="1060">
        <v>13337.620100783284</v>
      </c>
      <c r="Q84" s="1058">
        <v>11077.797279965975</v>
      </c>
      <c r="R84" s="1059">
        <v>10272.529259683923</v>
      </c>
      <c r="S84" s="1060">
        <v>10272.529259683923</v>
      </c>
      <c r="T84" s="51">
        <f t="shared" si="25"/>
        <v>186721.20908561884</v>
      </c>
      <c r="U84" s="1066"/>
      <c r="V84" s="758"/>
      <c r="W84" s="759"/>
      <c r="X84" s="759"/>
      <c r="Y84" s="759"/>
      <c r="Z84" s="759"/>
      <c r="AA84" s="759"/>
      <c r="AB84" s="759"/>
      <c r="AC84" s="51">
        <v>622404.03028539638</v>
      </c>
      <c r="AD84" s="35">
        <f t="shared" si="23"/>
        <v>-435682.82119977754</v>
      </c>
    </row>
    <row r="85" spans="1:30" x14ac:dyDescent="0.3">
      <c r="A85" s="1067" t="s">
        <v>300</v>
      </c>
      <c r="B85" s="1068"/>
      <c r="C85" s="1068"/>
      <c r="D85" s="1069"/>
      <c r="E85" s="1061"/>
      <c r="F85" s="1062"/>
      <c r="G85" s="759"/>
      <c r="H85" s="1058">
        <v>10613.063718039215</v>
      </c>
      <c r="I85" s="1059">
        <v>10613.063718039215</v>
      </c>
      <c r="J85" s="1060">
        <v>10613.063718039215</v>
      </c>
      <c r="K85" s="1058">
        <v>10613.063718039215</v>
      </c>
      <c r="L85" s="1059">
        <v>10613.063718039215</v>
      </c>
      <c r="M85" s="1060">
        <v>10613.063718039215</v>
      </c>
      <c r="N85" s="1058">
        <v>10613.063718039215</v>
      </c>
      <c r="O85" s="1059">
        <v>10613.063718039215</v>
      </c>
      <c r="P85" s="1060">
        <v>10613.063718039215</v>
      </c>
      <c r="Q85" s="1058">
        <v>10613.063718039215</v>
      </c>
      <c r="R85" s="1059">
        <v>10613.063718039215</v>
      </c>
      <c r="S85" s="1060">
        <v>10613.063718039215</v>
      </c>
      <c r="T85" s="51">
        <f t="shared" si="25"/>
        <v>127356.76461647061</v>
      </c>
      <c r="U85" s="1066"/>
      <c r="V85" s="660"/>
      <c r="W85" s="151"/>
      <c r="X85" s="151"/>
      <c r="Y85" s="151"/>
      <c r="Z85" s="151"/>
      <c r="AA85" s="151"/>
      <c r="AB85" s="151"/>
      <c r="AC85" s="51">
        <v>127356.76461647061</v>
      </c>
      <c r="AD85" s="35">
        <f t="shared" si="23"/>
        <v>0</v>
      </c>
    </row>
    <row r="86" spans="1:30" ht="17.25" thickBot="1" x14ac:dyDescent="0.35">
      <c r="A86" s="1048" t="s">
        <v>124</v>
      </c>
      <c r="B86" s="1049"/>
      <c r="C86" s="1049"/>
      <c r="D86" s="1050"/>
      <c r="E86" s="1061"/>
      <c r="F86" s="1062"/>
      <c r="G86" s="759"/>
      <c r="H86" s="1058">
        <v>9786</v>
      </c>
      <c r="I86" s="1059">
        <f>+H86</f>
        <v>9786</v>
      </c>
      <c r="J86" s="1060">
        <f t="shared" ref="J86:S86" si="26">+H86</f>
        <v>9786</v>
      </c>
      <c r="K86" s="1058">
        <f t="shared" si="26"/>
        <v>9786</v>
      </c>
      <c r="L86" s="1059">
        <f t="shared" si="26"/>
        <v>9786</v>
      </c>
      <c r="M86" s="1060">
        <f t="shared" si="26"/>
        <v>9786</v>
      </c>
      <c r="N86" s="1058">
        <f t="shared" si="26"/>
        <v>9786</v>
      </c>
      <c r="O86" s="1059">
        <f t="shared" si="26"/>
        <v>9786</v>
      </c>
      <c r="P86" s="1060">
        <f t="shared" si="26"/>
        <v>9786</v>
      </c>
      <c r="Q86" s="1058">
        <f t="shared" si="26"/>
        <v>9786</v>
      </c>
      <c r="R86" s="1059">
        <f t="shared" si="26"/>
        <v>9786</v>
      </c>
      <c r="S86" s="1060">
        <f t="shared" si="26"/>
        <v>9786</v>
      </c>
      <c r="T86" s="51">
        <f t="shared" si="25"/>
        <v>117432</v>
      </c>
      <c r="U86" s="1066"/>
      <c r="V86" s="660"/>
      <c r="W86" s="151"/>
      <c r="X86" s="151"/>
      <c r="Y86" s="151"/>
      <c r="Z86" s="151"/>
      <c r="AA86" s="151"/>
      <c r="AB86" s="151"/>
      <c r="AC86" s="51">
        <v>117432</v>
      </c>
      <c r="AD86" s="35">
        <f t="shared" si="23"/>
        <v>0</v>
      </c>
    </row>
    <row r="87" spans="1:30" ht="17.25" thickBot="1" x14ac:dyDescent="0.35">
      <c r="A87" s="1070" t="s">
        <v>13</v>
      </c>
      <c r="B87" s="1071"/>
      <c r="C87" s="1071"/>
      <c r="D87" s="1071"/>
      <c r="E87" s="1072"/>
      <c r="F87" s="1073"/>
      <c r="G87" s="1074"/>
      <c r="H87" s="1075">
        <v>6761.021846833446</v>
      </c>
      <c r="I87" s="1076">
        <v>6761.021846833446</v>
      </c>
      <c r="J87" s="1077">
        <v>5782.596503696197</v>
      </c>
      <c r="K87" s="1075">
        <v>4421.9321864848625</v>
      </c>
      <c r="L87" s="1076">
        <v>4323.4919179663439</v>
      </c>
      <c r="M87" s="1077">
        <v>4323.4919179663448</v>
      </c>
      <c r="N87" s="1075">
        <v>1611.6745977049054</v>
      </c>
      <c r="O87" s="1076">
        <v>1611.6745977049043</v>
      </c>
      <c r="P87" s="1077">
        <v>1524.5286282059951</v>
      </c>
      <c r="Q87" s="1075">
        <v>1524.5286282059953</v>
      </c>
      <c r="R87" s="1076">
        <v>1277.5614168770203</v>
      </c>
      <c r="S87" s="1077">
        <v>1148.9557523890014</v>
      </c>
      <c r="T87" s="1078">
        <f t="shared" si="25"/>
        <v>41072.479840868473</v>
      </c>
      <c r="U87" s="1079" t="s">
        <v>287</v>
      </c>
      <c r="V87" s="1080" t="s">
        <v>30</v>
      </c>
      <c r="W87" s="151"/>
      <c r="X87" s="151"/>
      <c r="Y87" s="151"/>
      <c r="Z87" s="151"/>
      <c r="AA87" s="151"/>
      <c r="AB87" s="151"/>
      <c r="AC87" s="1078">
        <v>41072.479840868473</v>
      </c>
      <c r="AD87" s="1024">
        <f t="shared" si="23"/>
        <v>0</v>
      </c>
    </row>
    <row r="88" spans="1:30" ht="17.25" thickBot="1" x14ac:dyDescent="0.35">
      <c r="A88" s="292" t="s">
        <v>293</v>
      </c>
      <c r="B88" s="293"/>
      <c r="C88" s="293"/>
      <c r="D88" s="664"/>
      <c r="E88" s="1025"/>
      <c r="F88" s="1081"/>
      <c r="G88" s="1027"/>
      <c r="H88" s="1028">
        <f>+H79+H85</f>
        <v>319153.7509490276</v>
      </c>
      <c r="I88" s="1029">
        <f t="shared" ref="I88:S88" si="27">+I79+I85</f>
        <v>327019.76507812319</v>
      </c>
      <c r="J88" s="1030">
        <f t="shared" si="27"/>
        <v>331113.04972320748</v>
      </c>
      <c r="K88" s="1028">
        <f t="shared" si="27"/>
        <v>340778.72530991869</v>
      </c>
      <c r="L88" s="1031">
        <f t="shared" si="27"/>
        <v>347098.75727003522</v>
      </c>
      <c r="M88" s="1030">
        <f t="shared" si="27"/>
        <v>352894.41635900969</v>
      </c>
      <c r="N88" s="1028">
        <f t="shared" si="27"/>
        <v>357723.29951752088</v>
      </c>
      <c r="O88" s="1029">
        <f t="shared" si="27"/>
        <v>358247.33258424257</v>
      </c>
      <c r="P88" s="1030">
        <f t="shared" si="27"/>
        <v>356877.78746396379</v>
      </c>
      <c r="Q88" s="1028">
        <f t="shared" si="27"/>
        <v>359236.39411814645</v>
      </c>
      <c r="R88" s="1029">
        <f t="shared" si="27"/>
        <v>361890.52949465928</v>
      </c>
      <c r="S88" s="1030">
        <f t="shared" si="27"/>
        <v>365817.14780773618</v>
      </c>
      <c r="T88" s="291">
        <f>+T79+T85</f>
        <v>4177850.9556755917</v>
      </c>
      <c r="U88" s="1080"/>
      <c r="V88" s="1082"/>
      <c r="W88" s="151"/>
      <c r="X88" s="151"/>
      <c r="Y88" s="151"/>
      <c r="Z88" s="151"/>
      <c r="AA88" s="151"/>
      <c r="AB88" s="151"/>
      <c r="AC88" s="291">
        <v>4806096.8848407371</v>
      </c>
      <c r="AD88" s="1034">
        <f t="shared" si="23"/>
        <v>-628245.92916514538</v>
      </c>
    </row>
  </sheetData>
  <mergeCells count="14">
    <mergeCell ref="A86:D86"/>
    <mergeCell ref="A88:D88"/>
    <mergeCell ref="A78:D78"/>
    <mergeCell ref="A80:D80"/>
    <mergeCell ref="A81:D81"/>
    <mergeCell ref="A82:D82"/>
    <mergeCell ref="A83:D83"/>
    <mergeCell ref="A84:D84"/>
    <mergeCell ref="A4:B4"/>
    <mergeCell ref="A69:D69"/>
    <mergeCell ref="A72:D72"/>
    <mergeCell ref="A73:D73"/>
    <mergeCell ref="A74:D74"/>
    <mergeCell ref="A75:D7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PL</vt:lpstr>
      <vt:lpstr>비용계획</vt:lpstr>
      <vt:lpstr>FA Loan</vt:lpstr>
      <vt:lpstr>투자계획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dcterms:created xsi:type="dcterms:W3CDTF">2015-06-05T18:19:34Z</dcterms:created>
  <dcterms:modified xsi:type="dcterms:W3CDTF">2026-02-26T07:19:16Z</dcterms:modified>
</cp:coreProperties>
</file>