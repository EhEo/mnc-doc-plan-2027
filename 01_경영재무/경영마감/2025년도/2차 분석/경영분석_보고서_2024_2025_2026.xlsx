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2024 vs 2025 비교" sheetId="2" state="visible" r:id="rId4"/>
    <sheet name="2026 계획 분석" sheetId="3" state="visible" r:id="rId5"/>
    <sheet name="2026 보완사항" sheetId="4" state="visible" r:id="rId6"/>
    <sheet name="투자계획 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<sst xmlns="http://schemas.openxmlformats.org/spreadsheetml/2006/main" count="175" uniqueCount="149">
  <si>
    <r>
      <rPr>
        <b val="true"/>
        <sz val="16"/>
        <color rgb="FF2F5496"/>
        <rFont val="DejaVu Sans"/>
        <family val="2"/>
      </rPr>
      <t xml:space="preserve">경영분석 보고서 </t>
    </r>
    <r>
      <rPr>
        <b val="true"/>
        <sz val="16"/>
        <color rgb="FF2F5496"/>
        <rFont val="Arial"/>
        <family val="0"/>
        <charset val="1"/>
      </rPr>
      <t xml:space="preserve">- Executive Summary</t>
    </r>
  </si>
  <si>
    <r>
      <rPr>
        <i val="true"/>
        <sz val="10"/>
        <color rgb="FF808080"/>
        <rFont val="DejaVu Sans"/>
        <family val="2"/>
      </rPr>
      <t xml:space="preserve">작성일</t>
    </r>
    <r>
      <rPr>
        <i val="true"/>
        <sz val="10"/>
        <color rgb="FF808080"/>
        <rFont val="Arial"/>
        <family val="0"/>
        <charset val="1"/>
      </rPr>
      <t xml:space="preserve">: 2026</t>
    </r>
    <r>
      <rPr>
        <i val="true"/>
        <sz val="10"/>
        <color rgb="FF808080"/>
        <rFont val="DejaVu Sans"/>
        <family val="2"/>
      </rPr>
      <t xml:space="preserve">년 </t>
    </r>
    <r>
      <rPr>
        <i val="true"/>
        <sz val="10"/>
        <color rgb="FF808080"/>
        <rFont val="Arial"/>
        <family val="0"/>
        <charset val="1"/>
      </rPr>
      <t xml:space="preserve">2</t>
    </r>
    <r>
      <rPr>
        <i val="true"/>
        <sz val="10"/>
        <color rgb="FF808080"/>
        <rFont val="DejaVu Sans"/>
        <family val="2"/>
      </rPr>
      <t xml:space="preserve">월 </t>
    </r>
    <r>
      <rPr>
        <i val="true"/>
        <sz val="10"/>
        <color rgb="FF808080"/>
        <rFont val="Arial"/>
        <family val="0"/>
        <charset val="1"/>
      </rPr>
      <t xml:space="preserve">28</t>
    </r>
    <r>
      <rPr>
        <i val="true"/>
        <sz val="10"/>
        <color rgb="FF808080"/>
        <rFont val="DejaVu Sans"/>
        <family val="2"/>
      </rPr>
      <t xml:space="preserve">일 </t>
    </r>
    <r>
      <rPr>
        <i val="true"/>
        <sz val="10"/>
        <color rgb="FF808080"/>
        <rFont val="Arial"/>
        <family val="0"/>
        <charset val="1"/>
      </rPr>
      <t xml:space="preserve">| </t>
    </r>
    <r>
      <rPr>
        <i val="true"/>
        <sz val="10"/>
        <color rgb="FF808080"/>
        <rFont val="DejaVu Sans"/>
        <family val="2"/>
      </rPr>
      <t xml:space="preserve">대상</t>
    </r>
    <r>
      <rPr>
        <i val="true"/>
        <sz val="10"/>
        <color rgb="FF808080"/>
        <rFont val="Arial"/>
        <family val="0"/>
        <charset val="1"/>
      </rPr>
      <t xml:space="preserve">: </t>
    </r>
    <r>
      <rPr>
        <i val="true"/>
        <sz val="10"/>
        <color rgb="FF808080"/>
        <rFont val="DejaVu Sans"/>
        <family val="2"/>
      </rPr>
      <t xml:space="preserve">베트남 법인 </t>
    </r>
    <r>
      <rPr>
        <i val="true"/>
        <sz val="10"/>
        <color rgb="FF808080"/>
        <rFont val="Arial"/>
        <family val="0"/>
        <charset val="1"/>
      </rPr>
      <t xml:space="preserve">USD </t>
    </r>
    <r>
      <rPr>
        <i val="true"/>
        <sz val="10"/>
        <color rgb="FF808080"/>
        <rFont val="DejaVu Sans"/>
        <family val="2"/>
      </rPr>
      <t xml:space="preserve">기준</t>
    </r>
  </si>
  <si>
    <t xml:space="preserve">핵심 지표</t>
  </si>
  <si>
    <r>
      <rPr>
        <b val="true"/>
        <sz val="12"/>
        <color rgb="FFFFFFFF"/>
        <rFont val="Arial"/>
        <family val="0"/>
        <charset val="1"/>
      </rPr>
      <t xml:space="preserve">2024 </t>
    </r>
    <r>
      <rPr>
        <b val="true"/>
        <sz val="12"/>
        <color rgb="FFFFFFFF"/>
        <rFont val="DejaVu Sans"/>
        <family val="2"/>
      </rPr>
      <t xml:space="preserve">실적</t>
    </r>
  </si>
  <si>
    <r>
      <rPr>
        <b val="true"/>
        <sz val="12"/>
        <color rgb="FFFFFFFF"/>
        <rFont val="Arial"/>
        <family val="0"/>
        <charset val="1"/>
      </rPr>
      <t xml:space="preserve">2025 </t>
    </r>
    <r>
      <rPr>
        <b val="true"/>
        <sz val="12"/>
        <color rgb="FFFFFFFF"/>
        <rFont val="DejaVu Sans"/>
        <family val="2"/>
      </rPr>
      <t xml:space="preserve">실적</t>
    </r>
  </si>
  <si>
    <r>
      <rPr>
        <b val="true"/>
        <sz val="12"/>
        <color rgb="FFFFFFFF"/>
        <rFont val="Arial"/>
        <family val="0"/>
        <charset val="1"/>
      </rPr>
      <t xml:space="preserve">2026 </t>
    </r>
    <r>
      <rPr>
        <b val="true"/>
        <sz val="12"/>
        <color rgb="FFFFFFFF"/>
        <rFont val="DejaVu Sans"/>
        <family val="2"/>
      </rPr>
      <t xml:space="preserve">계획</t>
    </r>
  </si>
  <si>
    <t xml:space="preserve">매출액</t>
  </si>
  <si>
    <t xml:space="preserve">$45.96M</t>
  </si>
  <si>
    <t xml:space="preserve">$47.31M</t>
  </si>
  <si>
    <t xml:space="preserve">$42.28M</t>
  </si>
  <si>
    <t xml:space="preserve">매출총이익률</t>
  </si>
  <si>
    <t xml:space="preserve">20.3%</t>
  </si>
  <si>
    <t xml:space="preserve">28.6%</t>
  </si>
  <si>
    <t xml:space="preserve">37.7%</t>
  </si>
  <si>
    <t xml:space="preserve">영업이익률</t>
  </si>
  <si>
    <t xml:space="preserve">5.3%</t>
  </si>
  <si>
    <t xml:space="preserve">12.0%</t>
  </si>
  <si>
    <t xml:space="preserve">29.1%</t>
  </si>
  <si>
    <t xml:space="preserve">당기순이익률</t>
  </si>
  <si>
    <t xml:space="preserve">3.4%</t>
  </si>
  <si>
    <t xml:space="preserve">15.5%</t>
  </si>
  <si>
    <t xml:space="preserve">21.2%</t>
  </si>
  <si>
    <t xml:space="preserve">EBITDA</t>
  </si>
  <si>
    <t xml:space="preserve">$5.15M</t>
  </si>
  <si>
    <t xml:space="preserve">$11.56M</t>
  </si>
  <si>
    <t xml:space="preserve">$15.67M</t>
  </si>
  <si>
    <r>
      <rPr>
        <b val="true"/>
        <sz val="10"/>
        <rFont val="Arial"/>
        <family val="0"/>
        <charset val="1"/>
      </rPr>
      <t xml:space="preserve">CAPEX (</t>
    </r>
    <r>
      <rPr>
        <b val="true"/>
        <sz val="10"/>
        <rFont val="DejaVu Sans"/>
        <family val="2"/>
      </rPr>
      <t xml:space="preserve">투자</t>
    </r>
    <r>
      <rPr>
        <b val="true"/>
        <sz val="10"/>
        <rFont val="Arial"/>
        <family val="0"/>
        <charset val="1"/>
      </rPr>
      <t xml:space="preserve">)</t>
    </r>
  </si>
  <si>
    <t xml:space="preserve">-</t>
  </si>
  <si>
    <t xml:space="preserve">$4.71M</t>
  </si>
  <si>
    <r>
      <rPr>
        <b val="true"/>
        <sz val="10"/>
        <rFont val="DejaVu Sans"/>
        <family val="2"/>
      </rPr>
      <t xml:space="preserve">대출잔액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연말</t>
    </r>
    <r>
      <rPr>
        <b val="true"/>
        <sz val="10"/>
        <rFont val="Arial"/>
        <family val="0"/>
        <charset val="1"/>
      </rPr>
      <t xml:space="preserve">)</t>
    </r>
  </si>
  <si>
    <t xml:space="preserve">$0.66M</t>
  </si>
  <si>
    <t xml:space="preserve">■ 종합 평가</t>
  </si>
  <si>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년은 </t>
    </r>
    <r>
      <rPr>
        <sz val="10"/>
        <rFont val="Arial"/>
        <family val="0"/>
        <charset val="1"/>
      </rPr>
      <t xml:space="preserve">COGS </t>
    </r>
    <r>
      <rPr>
        <sz val="10"/>
        <rFont val="DejaVu Sans"/>
        <family val="2"/>
      </rPr>
      <t xml:space="preserve">효율화를 통해 수익성이 크게 개선된 해였습니다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순이익률 </t>
    </r>
    <r>
      <rPr>
        <sz val="10"/>
        <rFont val="Arial"/>
        <family val="0"/>
        <charset val="1"/>
      </rPr>
      <t xml:space="preserve">3.4% → 15.5%).
2026</t>
    </r>
    <r>
      <rPr>
        <sz val="10"/>
        <rFont val="DejaVu Sans"/>
        <family val="2"/>
      </rPr>
      <t xml:space="preserve">년 계획은 이 추세를 이어 </t>
    </r>
    <r>
      <rPr>
        <sz val="10"/>
        <rFont val="Arial"/>
        <family val="0"/>
        <charset val="1"/>
      </rPr>
      <t xml:space="preserve">GP Margin 37.7%, </t>
    </r>
    <r>
      <rPr>
        <sz val="10"/>
        <rFont val="DejaVu Sans"/>
        <family val="2"/>
      </rPr>
      <t xml:space="preserve">영업이익률 </t>
    </r>
    <r>
      <rPr>
        <sz val="10"/>
        <rFont val="Arial"/>
        <family val="0"/>
        <charset val="1"/>
      </rPr>
      <t xml:space="preserve">29.1%</t>
    </r>
    <r>
      <rPr>
        <sz val="10"/>
        <rFont val="DejaVu Sans"/>
        <family val="2"/>
      </rPr>
      <t xml:space="preserve">을 목표로 하고 있으나</t>
    </r>
    <r>
      <rPr>
        <sz val="10"/>
        <rFont val="Arial"/>
        <family val="0"/>
        <charset val="1"/>
      </rPr>
      <t xml:space="preserve">,
</t>
    </r>
    <r>
      <rPr>
        <sz val="10"/>
        <rFont val="DejaVu Sans"/>
        <family val="2"/>
      </rPr>
      <t xml:space="preserve">매출 </t>
    </r>
    <r>
      <rPr>
        <sz val="10"/>
        <rFont val="Arial"/>
        <family val="0"/>
        <charset val="1"/>
      </rPr>
      <t xml:space="preserve">10.6% </t>
    </r>
    <r>
      <rPr>
        <sz val="10"/>
        <rFont val="DejaVu Sans"/>
        <family val="2"/>
      </rPr>
      <t xml:space="preserve">감소 가정과 </t>
    </r>
    <r>
      <rPr>
        <sz val="10"/>
        <rFont val="Arial"/>
        <family val="0"/>
        <charset val="1"/>
      </rPr>
      <t xml:space="preserve">SG&amp;A 53.7% </t>
    </r>
    <r>
      <rPr>
        <sz val="10"/>
        <rFont val="DejaVu Sans"/>
        <family val="2"/>
      </rPr>
      <t xml:space="preserve">삭감은 상당히 공격적입니다</t>
    </r>
    <r>
      <rPr>
        <sz val="10"/>
        <rFont val="Arial"/>
        <family val="0"/>
        <charset val="1"/>
      </rPr>
      <t xml:space="preserve">.</t>
    </r>
  </si>
  <si>
    <t xml:space="preserve">■ 핵심 성공 요인</t>
  </si>
  <si>
    <r>
      <rPr>
        <sz val="10"/>
        <rFont val="Arial"/>
        <family val="0"/>
        <charset val="1"/>
      </rPr>
      <t xml:space="preserve">1) COGS </t>
    </r>
    <r>
      <rPr>
        <sz val="10"/>
        <rFont val="DejaVu Sans"/>
        <family val="2"/>
      </rPr>
      <t xml:space="preserve">비율 </t>
    </r>
    <r>
      <rPr>
        <sz val="10"/>
        <rFont val="Arial"/>
        <family val="0"/>
        <charset val="1"/>
      </rPr>
      <t xml:space="preserve">62.3% </t>
    </r>
    <r>
      <rPr>
        <sz val="10"/>
        <rFont val="DejaVu Sans"/>
        <family val="2"/>
      </rPr>
      <t xml:space="preserve">달성을 위한 구체적 실행계획 수립
</t>
    </r>
    <r>
      <rPr>
        <sz val="10"/>
        <rFont val="Arial"/>
        <family val="0"/>
        <charset val="1"/>
      </rPr>
      <t xml:space="preserve">2) </t>
    </r>
    <r>
      <rPr>
        <sz val="10"/>
        <rFont val="DejaVu Sans"/>
        <family val="2"/>
      </rPr>
      <t xml:space="preserve">매출 역성장 대비 신규 사업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거래처 개발 노력
</t>
    </r>
    <r>
      <rPr>
        <sz val="10"/>
        <rFont val="Arial"/>
        <family val="0"/>
        <charset val="1"/>
      </rPr>
      <t xml:space="preserve">3) SG&amp;A </t>
    </r>
    <r>
      <rPr>
        <sz val="10"/>
        <rFont val="DejaVu Sans"/>
        <family val="2"/>
      </rPr>
      <t xml:space="preserve">삭감의 실현 가능성 및 부작용 관리
</t>
    </r>
    <r>
      <rPr>
        <sz val="10"/>
        <rFont val="Arial"/>
        <family val="0"/>
        <charset val="1"/>
      </rPr>
      <t xml:space="preserve">4) </t>
    </r>
    <r>
      <rPr>
        <sz val="10"/>
        <rFont val="DejaVu Sans"/>
        <family val="2"/>
      </rPr>
      <t xml:space="preserve">월별 실적 모니터링 및 조기 대응 체계 가동</t>
    </r>
  </si>
  <si>
    <t xml:space="preserve">■ 주의 필요 사항</t>
  </si>
  <si>
    <r>
      <rPr>
        <sz val="10"/>
        <rFont val="Arial"/>
        <family val="0"/>
        <charset val="1"/>
      </rPr>
      <t xml:space="preserve">1) </t>
    </r>
    <r>
      <rPr>
        <sz val="10"/>
        <rFont val="DejaVu Sans"/>
        <family val="2"/>
      </rPr>
      <t xml:space="preserve">매출 감소 </t>
    </r>
    <r>
      <rPr>
        <sz val="10"/>
        <rFont val="Arial"/>
        <family val="0"/>
        <charset val="1"/>
      </rPr>
      <t xml:space="preserve">+ COGS </t>
    </r>
    <r>
      <rPr>
        <sz val="10"/>
        <rFont val="DejaVu Sans"/>
        <family val="2"/>
      </rPr>
      <t xml:space="preserve">공격적 개선 동시 달성의 실현 가능성
</t>
    </r>
    <r>
      <rPr>
        <sz val="10"/>
        <rFont val="Arial"/>
        <family val="0"/>
        <charset val="1"/>
      </rPr>
      <t xml:space="preserve">2) </t>
    </r>
    <r>
      <rPr>
        <sz val="10"/>
        <rFont val="DejaVu Sans"/>
        <family val="2"/>
      </rPr>
      <t xml:space="preserve">법인세 </t>
    </r>
    <r>
      <rPr>
        <sz val="10"/>
        <rFont val="Arial"/>
        <family val="0"/>
        <charset val="1"/>
      </rPr>
      <t xml:space="preserve">$1.95M </t>
    </r>
    <r>
      <rPr>
        <sz val="10"/>
        <rFont val="DejaVu Sans"/>
        <family val="2"/>
      </rPr>
      <t xml:space="preserve">신규 반영으로 인한 순이익 압박
</t>
    </r>
    <r>
      <rPr>
        <sz val="10"/>
        <rFont val="Arial"/>
        <family val="0"/>
        <charset val="1"/>
      </rPr>
      <t xml:space="preserve">3) </t>
    </r>
    <r>
      <rPr>
        <sz val="10"/>
        <rFont val="DejaVu Sans"/>
        <family val="2"/>
      </rPr>
      <t xml:space="preserve">투자 이연 항목</t>
    </r>
    <r>
      <rPr>
        <sz val="10"/>
        <rFont val="Arial"/>
        <family val="0"/>
        <charset val="1"/>
      </rPr>
      <t xml:space="preserve">($1.65M)</t>
    </r>
    <r>
      <rPr>
        <sz val="10"/>
        <rFont val="DejaVu Sans"/>
        <family val="2"/>
      </rPr>
      <t xml:space="preserve">의 생산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품질 영향
</t>
    </r>
    <r>
      <rPr>
        <sz val="10"/>
        <rFont val="Arial"/>
        <family val="0"/>
        <charset val="1"/>
      </rPr>
      <t xml:space="preserve">4) </t>
    </r>
    <r>
      <rPr>
        <sz val="10"/>
        <rFont val="DejaVu Sans"/>
        <family val="2"/>
      </rPr>
      <t xml:space="preserve">환율 변동에 따른 실적 변동 리스크</t>
    </r>
  </si>
  <si>
    <r>
      <rPr>
        <b val="true"/>
        <sz val="14"/>
        <color rgb="FF2F5496"/>
        <rFont val="Arial"/>
        <family val="0"/>
        <charset val="1"/>
      </rPr>
      <t xml:space="preserve">2024</t>
    </r>
    <r>
      <rPr>
        <b val="true"/>
        <sz val="14"/>
        <color rgb="FF2F5496"/>
        <rFont val="DejaVu Sans"/>
        <family val="2"/>
      </rPr>
      <t xml:space="preserve">년 </t>
    </r>
    <r>
      <rPr>
        <b val="true"/>
        <sz val="14"/>
        <color rgb="FF2F5496"/>
        <rFont val="Arial"/>
        <family val="0"/>
        <charset val="1"/>
      </rPr>
      <t xml:space="preserve">vs 2025</t>
    </r>
    <r>
      <rPr>
        <b val="true"/>
        <sz val="14"/>
        <color rgb="FF2F5496"/>
        <rFont val="DejaVu Sans"/>
        <family val="2"/>
      </rPr>
      <t xml:space="preserve">년 손익계산서</t>
    </r>
    <r>
      <rPr>
        <b val="true"/>
        <sz val="14"/>
        <color rgb="FF2F5496"/>
        <rFont val="Arial"/>
        <family val="0"/>
        <charset val="1"/>
      </rPr>
      <t xml:space="preserve">(P&amp;L) </t>
    </r>
    <r>
      <rPr>
        <b val="true"/>
        <sz val="14"/>
        <color rgb="FF2F5496"/>
        <rFont val="DejaVu Sans"/>
        <family val="2"/>
      </rPr>
      <t xml:space="preserve">비교분석</t>
    </r>
  </si>
  <si>
    <t xml:space="preserve">항목</t>
  </si>
  <si>
    <r>
      <rPr>
        <b val="true"/>
        <sz val="12"/>
        <color rgb="FFFFFFFF"/>
        <rFont val="Arial"/>
        <family val="0"/>
        <charset val="1"/>
      </rPr>
      <t xml:space="preserve">2024 </t>
    </r>
    <r>
      <rPr>
        <b val="true"/>
        <sz val="12"/>
        <color rgb="FFFFFFFF"/>
        <rFont val="DejaVu Sans"/>
        <family val="2"/>
      </rPr>
      <t xml:space="preserve">실적 </t>
    </r>
    <r>
      <rPr>
        <b val="true"/>
        <sz val="12"/>
        <color rgb="FFFFFFFF"/>
        <rFont val="Arial"/>
        <family val="0"/>
        <charset val="1"/>
      </rPr>
      <t xml:space="preserve">(USD)</t>
    </r>
  </si>
  <si>
    <r>
      <rPr>
        <b val="true"/>
        <sz val="12"/>
        <color rgb="FFFFFFFF"/>
        <rFont val="Arial"/>
        <family val="0"/>
        <charset val="1"/>
      </rPr>
      <t xml:space="preserve">2025 </t>
    </r>
    <r>
      <rPr>
        <b val="true"/>
        <sz val="12"/>
        <color rgb="FFFFFFFF"/>
        <rFont val="DejaVu Sans"/>
        <family val="2"/>
      </rPr>
      <t xml:space="preserve">실적 </t>
    </r>
    <r>
      <rPr>
        <b val="true"/>
        <sz val="12"/>
        <color rgb="FFFFFFFF"/>
        <rFont val="Arial"/>
        <family val="0"/>
        <charset val="1"/>
      </rPr>
      <t xml:space="preserve">(USD)</t>
    </r>
  </si>
  <si>
    <r>
      <rPr>
        <b val="true"/>
        <sz val="12"/>
        <color rgb="FFFFFFFF"/>
        <rFont val="DejaVu Sans"/>
        <family val="2"/>
      </rPr>
      <t xml:space="preserve">증감액 </t>
    </r>
    <r>
      <rPr>
        <b val="true"/>
        <sz val="12"/>
        <color rgb="FFFFFFFF"/>
        <rFont val="Arial"/>
        <family val="0"/>
        <charset val="1"/>
      </rPr>
      <t xml:space="preserve">(USD)</t>
    </r>
  </si>
  <si>
    <t xml:space="preserve">증감률</t>
  </si>
  <si>
    <r>
      <rPr>
        <b val="true"/>
        <sz val="12"/>
        <color rgb="FFFFFFFF"/>
        <rFont val="DejaVu Sans"/>
        <family val="2"/>
      </rPr>
      <t xml:space="preserve">매출비중 </t>
    </r>
    <r>
      <rPr>
        <b val="true"/>
        <sz val="12"/>
        <color rgb="FFFFFFFF"/>
        <rFont val="Arial"/>
        <family val="0"/>
        <charset val="1"/>
      </rPr>
      <t xml:space="preserve">2024</t>
    </r>
  </si>
  <si>
    <r>
      <rPr>
        <b val="true"/>
        <sz val="12"/>
        <color rgb="FFFFFFFF"/>
        <rFont val="DejaVu Sans"/>
        <family val="2"/>
      </rPr>
      <t xml:space="preserve">매출비중 </t>
    </r>
    <r>
      <rPr>
        <b val="true"/>
        <sz val="12"/>
        <color rgb="FFFFFFFF"/>
        <rFont val="Arial"/>
        <family val="0"/>
        <charset val="1"/>
      </rPr>
      <t xml:space="preserve">2025</t>
    </r>
  </si>
  <si>
    <r>
      <rPr>
        <sz val="10"/>
        <rFont val="DejaVu Sans"/>
        <family val="2"/>
      </rPr>
      <t xml:space="preserve">매출액 </t>
    </r>
    <r>
      <rPr>
        <sz val="10"/>
        <rFont val="Arial"/>
        <family val="0"/>
        <charset val="1"/>
      </rPr>
      <t xml:space="preserve">(Total Income)</t>
    </r>
  </si>
  <si>
    <r>
      <rPr>
        <sz val="10"/>
        <rFont val="DejaVu Sans"/>
        <family val="2"/>
      </rPr>
      <t xml:space="preserve">매출원가 </t>
    </r>
    <r>
      <rPr>
        <sz val="10"/>
        <rFont val="Arial"/>
        <family val="0"/>
        <charset val="1"/>
      </rPr>
      <t xml:space="preserve">(COGS)</t>
    </r>
  </si>
  <si>
    <r>
      <rPr>
        <b val="true"/>
        <sz val="10"/>
        <rFont val="DejaVu Sans"/>
        <family val="2"/>
      </rPr>
      <t xml:space="preserve">매출총이익 </t>
    </r>
    <r>
      <rPr>
        <b val="true"/>
        <sz val="10"/>
        <rFont val="Arial"/>
        <family val="0"/>
        <charset val="1"/>
      </rPr>
      <t xml:space="preserve">(Gross Profit)</t>
    </r>
  </si>
  <si>
    <r>
      <rPr>
        <sz val="10"/>
        <rFont val="DejaVu Sans"/>
        <family val="2"/>
      </rPr>
      <t xml:space="preserve">판관비 </t>
    </r>
    <r>
      <rPr>
        <sz val="10"/>
        <rFont val="Arial"/>
        <family val="0"/>
        <charset val="1"/>
      </rPr>
      <t xml:space="preserve">(SA&amp;GA)</t>
    </r>
  </si>
  <si>
    <r>
      <rPr>
        <b val="true"/>
        <sz val="10"/>
        <rFont val="DejaVu Sans"/>
        <family val="2"/>
      </rPr>
      <t xml:space="preserve">영업이익 </t>
    </r>
    <r>
      <rPr>
        <b val="true"/>
        <sz val="10"/>
        <rFont val="Arial"/>
        <family val="0"/>
        <charset val="1"/>
      </rPr>
      <t xml:space="preserve">(Operating Profit)</t>
    </r>
  </si>
  <si>
    <r>
      <rPr>
        <sz val="10"/>
        <rFont val="DejaVu Sans"/>
        <family val="2"/>
      </rPr>
      <t xml:space="preserve">기타수익 </t>
    </r>
    <r>
      <rPr>
        <sz val="10"/>
        <rFont val="Arial"/>
        <family val="0"/>
        <charset val="1"/>
      </rPr>
      <t xml:space="preserve">(Other Income)</t>
    </r>
  </si>
  <si>
    <r>
      <rPr>
        <sz val="10"/>
        <rFont val="DejaVu Sans"/>
        <family val="2"/>
      </rPr>
      <t xml:space="preserve">기타비용 </t>
    </r>
    <r>
      <rPr>
        <sz val="10"/>
        <rFont val="Arial"/>
        <family val="0"/>
        <charset val="1"/>
      </rPr>
      <t xml:space="preserve">(Other Expenses)</t>
    </r>
  </si>
  <si>
    <r>
      <rPr>
        <sz val="10"/>
        <rFont val="DejaVu Sans"/>
        <family val="2"/>
      </rPr>
      <t xml:space="preserve">이자비용 </t>
    </r>
    <r>
      <rPr>
        <sz val="10"/>
        <rFont val="Arial"/>
        <family val="0"/>
        <charset val="1"/>
      </rPr>
      <t xml:space="preserve">(Interest)</t>
    </r>
  </si>
  <si>
    <r>
      <rPr>
        <b val="true"/>
        <sz val="10"/>
        <rFont val="DejaVu Sans"/>
        <family val="2"/>
      </rPr>
      <t xml:space="preserve">당기순이익 </t>
    </r>
    <r>
      <rPr>
        <b val="true"/>
        <sz val="10"/>
        <rFont val="Arial"/>
        <family val="0"/>
        <charset val="1"/>
      </rPr>
      <t xml:space="preserve">(Net Profit)</t>
    </r>
  </si>
  <si>
    <r>
      <rPr>
        <sz val="10"/>
        <rFont val="DejaVu Sans"/>
        <family val="2"/>
      </rPr>
      <t xml:space="preserve">감가상각비 </t>
    </r>
    <r>
      <rPr>
        <sz val="10"/>
        <rFont val="Arial"/>
        <family val="0"/>
        <charset val="1"/>
      </rPr>
      <t xml:space="preserve">(Depreciation)</t>
    </r>
  </si>
  <si>
    <r>
      <rPr>
        <sz val="10"/>
        <rFont val="DejaVu Sans"/>
        <family val="2"/>
      </rPr>
      <t xml:space="preserve">무형자산상각 </t>
    </r>
    <r>
      <rPr>
        <sz val="10"/>
        <rFont val="Arial"/>
        <family val="0"/>
        <charset val="1"/>
      </rPr>
      <t xml:space="preserve">(Amortization)</t>
    </r>
  </si>
  <si>
    <r>
      <rPr>
        <b val="true"/>
        <sz val="11"/>
        <color rgb="FF008000"/>
        <rFont val="Arial"/>
        <family val="0"/>
        <charset val="1"/>
      </rPr>
      <t xml:space="preserve">■ 2025</t>
    </r>
    <r>
      <rPr>
        <b val="true"/>
        <sz val="11"/>
        <color rgb="FF008000"/>
        <rFont val="DejaVu Sans"/>
        <family val="2"/>
      </rPr>
      <t xml:space="preserve">년 주요 개선점</t>
    </r>
  </si>
  <si>
    <r>
      <rPr>
        <sz val="10"/>
        <color rgb="FF008000"/>
        <rFont val="Arial"/>
        <family val="0"/>
        <charset val="1"/>
      </rPr>
      <t xml:space="preserve">  1. </t>
    </r>
    <r>
      <rPr>
        <sz val="10"/>
        <color rgb="FF008000"/>
        <rFont val="DejaVu Sans"/>
        <family val="2"/>
      </rPr>
      <t xml:space="preserve">매출총이익률 </t>
    </r>
    <r>
      <rPr>
        <sz val="10"/>
        <color rgb="FF008000"/>
        <rFont val="Arial"/>
        <family val="0"/>
        <charset val="1"/>
      </rPr>
      <t xml:space="preserve">20.3% → 28.6% (+8.3%p): COGS </t>
    </r>
    <r>
      <rPr>
        <sz val="10"/>
        <color rgb="FF008000"/>
        <rFont val="DejaVu Sans"/>
        <family val="2"/>
      </rPr>
      <t xml:space="preserve">효율성 대폭 개선</t>
    </r>
  </si>
  <si>
    <r>
      <rPr>
        <sz val="10"/>
        <color rgb="FF008000"/>
        <rFont val="Arial"/>
        <family val="0"/>
        <charset val="1"/>
      </rPr>
      <t xml:space="preserve">  2. </t>
    </r>
    <r>
      <rPr>
        <sz val="10"/>
        <color rgb="FF008000"/>
        <rFont val="DejaVu Sans"/>
        <family val="2"/>
      </rPr>
      <t xml:space="preserve">영업이익 </t>
    </r>
    <r>
      <rPr>
        <sz val="10"/>
        <color rgb="FF008000"/>
        <rFont val="Arial"/>
        <family val="0"/>
        <charset val="1"/>
      </rPr>
      <t xml:space="preserve">$2.4M → $5.7M (+134.5%): </t>
    </r>
    <r>
      <rPr>
        <sz val="10"/>
        <color rgb="FF008000"/>
        <rFont val="DejaVu Sans"/>
        <family val="2"/>
      </rPr>
      <t xml:space="preserve">수익성 크게 향상</t>
    </r>
  </si>
  <si>
    <r>
      <rPr>
        <sz val="10"/>
        <color rgb="FF008000"/>
        <rFont val="Arial"/>
        <family val="0"/>
        <charset val="1"/>
      </rPr>
      <t xml:space="preserve">  3. </t>
    </r>
    <r>
      <rPr>
        <sz val="10"/>
        <color rgb="FF008000"/>
        <rFont val="DejaVu Sans"/>
        <family val="2"/>
      </rPr>
      <t xml:space="preserve">당기순이익 </t>
    </r>
    <r>
      <rPr>
        <sz val="10"/>
        <color rgb="FF008000"/>
        <rFont val="Arial"/>
        <family val="0"/>
        <charset val="1"/>
      </rPr>
      <t xml:space="preserve">$1.6M → $7.3M (+364%): </t>
    </r>
    <r>
      <rPr>
        <sz val="10"/>
        <color rgb="FF008000"/>
        <rFont val="DejaVu Sans"/>
        <family val="2"/>
      </rPr>
      <t xml:space="preserve">순이익률 </t>
    </r>
    <r>
      <rPr>
        <sz val="10"/>
        <color rgb="FF008000"/>
        <rFont val="Arial"/>
        <family val="0"/>
        <charset val="1"/>
      </rPr>
      <t xml:space="preserve">3.4% → 15.5%</t>
    </r>
  </si>
  <si>
    <r>
      <rPr>
        <sz val="10"/>
        <color rgb="FF008000"/>
        <rFont val="Arial"/>
        <family val="0"/>
        <charset val="1"/>
      </rPr>
      <t xml:space="preserve">  4. EBITDA $5.2M → $11.6M (+124.4%): </t>
    </r>
    <r>
      <rPr>
        <sz val="10"/>
        <color rgb="FF008000"/>
        <rFont val="DejaVu Sans"/>
        <family val="2"/>
      </rPr>
      <t xml:space="preserve">현금창출력 </t>
    </r>
    <r>
      <rPr>
        <sz val="10"/>
        <color rgb="FF008000"/>
        <rFont val="Arial"/>
        <family val="0"/>
        <charset val="1"/>
      </rPr>
      <t xml:space="preserve">2</t>
    </r>
    <r>
      <rPr>
        <sz val="10"/>
        <color rgb="FF008000"/>
        <rFont val="DejaVu Sans"/>
        <family val="2"/>
      </rPr>
      <t xml:space="preserve">배 이상 증가</t>
    </r>
  </si>
  <si>
    <r>
      <rPr>
        <sz val="10"/>
        <color rgb="FF008000"/>
        <rFont val="Arial"/>
        <family val="0"/>
        <charset val="1"/>
      </rPr>
      <t xml:space="preserve">  5. COGS </t>
    </r>
    <r>
      <rPr>
        <sz val="10"/>
        <color rgb="FF008000"/>
        <rFont val="DejaVu Sans"/>
        <family val="2"/>
      </rPr>
      <t xml:space="preserve">비율 </t>
    </r>
    <r>
      <rPr>
        <sz val="10"/>
        <color rgb="FF008000"/>
        <rFont val="Arial"/>
        <family val="0"/>
        <charset val="1"/>
      </rPr>
      <t xml:space="preserve">79.7% → 71.4% (-8.3%p): </t>
    </r>
    <r>
      <rPr>
        <sz val="10"/>
        <color rgb="FF008000"/>
        <rFont val="DejaVu Sans"/>
        <family val="2"/>
      </rPr>
      <t xml:space="preserve">원가관리 성과</t>
    </r>
  </si>
  <si>
    <r>
      <rPr>
        <b val="true"/>
        <sz val="11"/>
        <color rgb="FFFF0000"/>
        <rFont val="Arial"/>
        <family val="0"/>
        <charset val="1"/>
      </rPr>
      <t xml:space="preserve">■ 2025</t>
    </r>
    <r>
      <rPr>
        <b val="true"/>
        <sz val="11"/>
        <color rgb="FFFF0000"/>
        <rFont val="DejaVu Sans"/>
        <family val="2"/>
      </rPr>
      <t xml:space="preserve">년 주요 문제점</t>
    </r>
    <r>
      <rPr>
        <b val="true"/>
        <sz val="11"/>
        <color rgb="FFFF0000"/>
        <rFont val="Arial"/>
        <family val="0"/>
        <charset val="1"/>
      </rPr>
      <t xml:space="preserve">/</t>
    </r>
    <r>
      <rPr>
        <b val="true"/>
        <sz val="11"/>
        <color rgb="FFFF0000"/>
        <rFont val="DejaVu Sans"/>
        <family val="2"/>
      </rPr>
      <t xml:space="preserve">리스크</t>
    </r>
  </si>
  <si>
    <r>
      <rPr>
        <sz val="10"/>
        <color rgb="FFFF0000"/>
        <rFont val="Arial"/>
        <family val="0"/>
        <charset val="1"/>
      </rPr>
      <t xml:space="preserve">  1. </t>
    </r>
    <r>
      <rPr>
        <sz val="10"/>
        <color rgb="FFFF0000"/>
        <rFont val="DejaVu Sans"/>
        <family val="2"/>
      </rPr>
      <t xml:space="preserve">매출 성장률 </t>
    </r>
    <r>
      <rPr>
        <sz val="10"/>
        <color rgb="FFFF0000"/>
        <rFont val="Arial"/>
        <family val="0"/>
        <charset val="1"/>
      </rPr>
      <t xml:space="preserve">+2.9%: </t>
    </r>
    <r>
      <rPr>
        <sz val="10"/>
        <color rgb="FFFF0000"/>
        <rFont val="DejaVu Sans"/>
        <family val="2"/>
      </rPr>
      <t xml:space="preserve">물가상승 감안 시 실질 성장 미미</t>
    </r>
  </si>
  <si>
    <r>
      <rPr>
        <sz val="10"/>
        <color rgb="FFFF0000"/>
        <rFont val="Arial"/>
        <family val="0"/>
        <charset val="1"/>
      </rPr>
      <t xml:space="preserve">  2. </t>
    </r>
    <r>
      <rPr>
        <sz val="10"/>
        <color rgb="FFFF0000"/>
        <rFont val="DejaVu Sans"/>
        <family val="2"/>
      </rPr>
      <t xml:space="preserve">판관비 </t>
    </r>
    <r>
      <rPr>
        <sz val="10"/>
        <color rgb="FFFF0000"/>
        <rFont val="Arial"/>
        <family val="0"/>
        <charset val="1"/>
      </rPr>
      <t xml:space="preserve">$6.9M → $7.9M (+13.7%): </t>
    </r>
    <r>
      <rPr>
        <sz val="10"/>
        <color rgb="FFFF0000"/>
        <rFont val="DejaVu Sans"/>
        <family val="2"/>
      </rPr>
      <t xml:space="preserve">비용 통제 미흡</t>
    </r>
  </si>
  <si>
    <r>
      <rPr>
        <sz val="10"/>
        <color rgb="FFFF0000"/>
        <rFont val="Arial"/>
        <family val="0"/>
        <charset val="1"/>
      </rPr>
      <t xml:space="preserve">  3. </t>
    </r>
    <r>
      <rPr>
        <sz val="10"/>
        <color rgb="FFFF0000"/>
        <rFont val="DejaVu Sans"/>
        <family val="2"/>
      </rPr>
      <t xml:space="preserve">기타수익 </t>
    </r>
    <r>
      <rPr>
        <sz val="10"/>
        <color rgb="FFFF0000"/>
        <rFont val="Arial"/>
        <family val="0"/>
        <charset val="1"/>
      </rPr>
      <t xml:space="preserve">$3.5M → $0.7M (-79.1%): </t>
    </r>
    <r>
      <rPr>
        <sz val="10"/>
        <color rgb="FFFF0000"/>
        <rFont val="DejaVu Sans"/>
        <family val="2"/>
      </rPr>
      <t xml:space="preserve">비경상 수익 급감</t>
    </r>
  </si>
  <si>
    <r>
      <rPr>
        <sz val="10"/>
        <color rgb="FFFF0000"/>
        <rFont val="Arial"/>
        <family val="0"/>
        <charset val="1"/>
      </rPr>
      <t xml:space="preserve">  4. </t>
    </r>
    <r>
      <rPr>
        <sz val="10"/>
        <color rgb="FFFF0000"/>
        <rFont val="DejaVu Sans"/>
        <family val="2"/>
      </rPr>
      <t xml:space="preserve">이자비용 </t>
    </r>
    <r>
      <rPr>
        <sz val="10"/>
        <color rgb="FFFF0000"/>
        <rFont val="Arial"/>
        <family val="0"/>
        <charset val="1"/>
      </rPr>
      <t xml:space="preserve">$0.74M → $0.76M (+3.1%): </t>
    </r>
    <r>
      <rPr>
        <sz val="10"/>
        <color rgb="FFFF0000"/>
        <rFont val="DejaVu Sans"/>
        <family val="2"/>
      </rPr>
      <t xml:space="preserve">차입금 부담 지속</t>
    </r>
  </si>
  <si>
    <r>
      <rPr>
        <sz val="10"/>
        <color rgb="FFFF0000"/>
        <rFont val="Arial"/>
        <family val="0"/>
        <charset val="1"/>
      </rPr>
      <t xml:space="preserve">  5. </t>
    </r>
    <r>
      <rPr>
        <sz val="10"/>
        <color rgb="FFFF0000"/>
        <rFont val="DejaVu Sans"/>
        <family val="2"/>
      </rPr>
      <t xml:space="preserve">환율 변동 리스크</t>
    </r>
    <r>
      <rPr>
        <sz val="10"/>
        <color rgb="FFFF0000"/>
        <rFont val="Arial"/>
        <family val="0"/>
        <charset val="1"/>
      </rPr>
      <t xml:space="preserve">: FX Rate 25,000 → 26,000 (</t>
    </r>
    <r>
      <rPr>
        <sz val="10"/>
        <color rgb="FFFF0000"/>
        <rFont val="DejaVu Sans"/>
        <family val="2"/>
      </rPr>
      <t xml:space="preserve">연중 </t>
    </r>
    <r>
      <rPr>
        <sz val="10"/>
        <color rgb="FFFF0000"/>
        <rFont val="Arial"/>
        <family val="0"/>
        <charset val="1"/>
      </rPr>
      <t xml:space="preserve">4% </t>
    </r>
    <r>
      <rPr>
        <sz val="10"/>
        <color rgb="FFFF0000"/>
        <rFont val="DejaVu Sans"/>
        <family val="2"/>
      </rPr>
      <t xml:space="preserve">절하</t>
    </r>
    <r>
      <rPr>
        <sz val="10"/>
        <color rgb="FFFF0000"/>
        <rFont val="Arial"/>
        <family val="0"/>
        <charset val="1"/>
      </rPr>
      <t xml:space="preserve">)</t>
    </r>
  </si>
  <si>
    <r>
      <rPr>
        <b val="true"/>
        <sz val="14"/>
        <color rgb="FF2F5496"/>
        <rFont val="Arial"/>
        <family val="0"/>
        <charset val="1"/>
      </rPr>
      <t xml:space="preserve">2026</t>
    </r>
    <r>
      <rPr>
        <b val="true"/>
        <sz val="14"/>
        <color rgb="FF2F5496"/>
        <rFont val="DejaVu Sans"/>
        <family val="2"/>
      </rPr>
      <t xml:space="preserve">년 계획 </t>
    </r>
    <r>
      <rPr>
        <b val="true"/>
        <sz val="14"/>
        <color rgb="FF2F5496"/>
        <rFont val="Arial"/>
        <family val="0"/>
        <charset val="1"/>
      </rPr>
      <t xml:space="preserve">vs 2024/2025 </t>
    </r>
    <r>
      <rPr>
        <b val="true"/>
        <sz val="14"/>
        <color rgb="FF2F5496"/>
        <rFont val="DejaVu Sans"/>
        <family val="2"/>
      </rPr>
      <t xml:space="preserve">실적 비교분석</t>
    </r>
  </si>
  <si>
    <r>
      <rPr>
        <b val="true"/>
        <sz val="12"/>
        <color rgb="FFFFFFFF"/>
        <rFont val="Arial"/>
        <family val="0"/>
        <charset val="1"/>
      </rPr>
      <t xml:space="preserve">25→26 </t>
    </r>
    <r>
      <rPr>
        <b val="true"/>
        <sz val="12"/>
        <color rgb="FFFFFFFF"/>
        <rFont val="DejaVu Sans"/>
        <family val="2"/>
      </rPr>
      <t xml:space="preserve">증감액</t>
    </r>
  </si>
  <si>
    <r>
      <rPr>
        <b val="true"/>
        <sz val="12"/>
        <color rgb="FFFFFFFF"/>
        <rFont val="Arial"/>
        <family val="0"/>
        <charset val="1"/>
      </rPr>
      <t xml:space="preserve">25→26 </t>
    </r>
    <r>
      <rPr>
        <b val="true"/>
        <sz val="12"/>
        <color rgb="FFFFFFFF"/>
        <rFont val="DejaVu Sans"/>
        <family val="2"/>
      </rPr>
      <t xml:space="preserve">증감률</t>
    </r>
  </si>
  <si>
    <r>
      <rPr>
        <b val="true"/>
        <sz val="12"/>
        <color rgb="FFFFFFFF"/>
        <rFont val="DejaVu Sans"/>
        <family val="2"/>
      </rPr>
      <t xml:space="preserve">매출비중 </t>
    </r>
    <r>
      <rPr>
        <b val="true"/>
        <sz val="12"/>
        <color rgb="FFFFFFFF"/>
        <rFont val="Arial"/>
        <family val="0"/>
        <charset val="1"/>
      </rPr>
      <t xml:space="preserve">2026</t>
    </r>
  </si>
  <si>
    <t xml:space="preserve">매출원가</t>
  </si>
  <si>
    <t xml:space="preserve">매출총이익</t>
  </si>
  <si>
    <r>
      <rPr>
        <b val="true"/>
        <sz val="10"/>
        <rFont val="DejaVu Sans"/>
        <family val="2"/>
      </rPr>
      <t xml:space="preserve">판관비</t>
    </r>
    <r>
      <rPr>
        <b val="true"/>
        <sz val="10"/>
        <rFont val="Arial"/>
        <family val="0"/>
        <charset val="1"/>
      </rPr>
      <t xml:space="preserve">/SG&amp;A</t>
    </r>
  </si>
  <si>
    <t xml:space="preserve">영업이익</t>
  </si>
  <si>
    <t xml:space="preserve">이자비용</t>
  </si>
  <si>
    <r>
      <rPr>
        <b val="true"/>
        <sz val="10"/>
        <rFont val="DejaVu Sans"/>
        <family val="2"/>
      </rPr>
      <t xml:space="preserve">기타비용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순</t>
    </r>
    <r>
      <rPr>
        <b val="true"/>
        <sz val="10"/>
        <rFont val="Arial"/>
        <family val="0"/>
        <charset val="1"/>
      </rPr>
      <t xml:space="preserve">)</t>
    </r>
  </si>
  <si>
    <t xml:space="preserve">법인세</t>
  </si>
  <si>
    <t xml:space="preserve">당기순이익</t>
  </si>
  <si>
    <t xml:space="preserve">감가상각비</t>
  </si>
  <si>
    <t xml:space="preserve">무형자산상각</t>
  </si>
  <si>
    <r>
      <rPr>
        <b val="true"/>
        <sz val="11"/>
        <color rgb="FF008000"/>
        <rFont val="Arial"/>
        <family val="0"/>
        <charset val="1"/>
      </rPr>
      <t xml:space="preserve">■ 2026 </t>
    </r>
    <r>
      <rPr>
        <b val="true"/>
        <sz val="11"/>
        <color rgb="FF008000"/>
        <rFont val="DejaVu Sans"/>
        <family val="2"/>
      </rPr>
      <t xml:space="preserve">계획 주요 개선사항</t>
    </r>
  </si>
  <si>
    <r>
      <rPr>
        <sz val="10"/>
        <color rgb="FF008000"/>
        <rFont val="Arial"/>
        <family val="0"/>
        <charset val="1"/>
      </rPr>
      <t xml:space="preserve">  1. GP Margin 28.6% → 37.7% (+9.1%p): COGS </t>
    </r>
    <r>
      <rPr>
        <sz val="10"/>
        <color rgb="FF008000"/>
        <rFont val="DejaVu Sans"/>
        <family val="2"/>
      </rPr>
      <t xml:space="preserve">비율 </t>
    </r>
    <r>
      <rPr>
        <sz val="10"/>
        <color rgb="FF008000"/>
        <rFont val="Arial"/>
        <family val="0"/>
        <charset val="1"/>
      </rPr>
      <t xml:space="preserve">62.3%</t>
    </r>
    <r>
      <rPr>
        <sz val="10"/>
        <color rgb="FF008000"/>
        <rFont val="DejaVu Sans"/>
        <family val="2"/>
      </rPr>
      <t xml:space="preserve">로 추가 개선 목표</t>
    </r>
  </si>
  <si>
    <r>
      <rPr>
        <sz val="10"/>
        <color rgb="FF008000"/>
        <rFont val="Arial"/>
        <family val="0"/>
        <charset val="1"/>
      </rPr>
      <t xml:space="preserve">  2. SG&amp;A $7.9M → $3.6M (-53.7%): </t>
    </r>
    <r>
      <rPr>
        <sz val="10"/>
        <color rgb="FF008000"/>
        <rFont val="DejaVu Sans"/>
        <family val="2"/>
      </rPr>
      <t xml:space="preserve">판관비 대폭 절감 계획</t>
    </r>
  </si>
  <si>
    <r>
      <rPr>
        <sz val="10"/>
        <color rgb="FF008000"/>
        <rFont val="Arial"/>
        <family val="0"/>
        <charset val="1"/>
      </rPr>
      <t xml:space="preserve">  3. </t>
    </r>
    <r>
      <rPr>
        <sz val="10"/>
        <color rgb="FF008000"/>
        <rFont val="DejaVu Sans"/>
        <family val="2"/>
      </rPr>
      <t xml:space="preserve">영업이익률 </t>
    </r>
    <r>
      <rPr>
        <sz val="10"/>
        <color rgb="FF008000"/>
        <rFont val="Arial"/>
        <family val="0"/>
        <charset val="1"/>
      </rPr>
      <t xml:space="preserve">12.0% → 29.1% (+17.1%p): </t>
    </r>
    <r>
      <rPr>
        <sz val="10"/>
        <color rgb="FF008000"/>
        <rFont val="DejaVu Sans"/>
        <family val="2"/>
      </rPr>
      <t xml:space="preserve">대폭적 수익성 개선 목표</t>
    </r>
  </si>
  <si>
    <r>
      <rPr>
        <sz val="10"/>
        <color rgb="FF008000"/>
        <rFont val="Arial"/>
        <family val="0"/>
        <charset val="1"/>
      </rPr>
      <t xml:space="preserve">  4. EBITDA $11.6M → $15.7M (+35.6%): </t>
    </r>
    <r>
      <rPr>
        <sz val="10"/>
        <color rgb="FF008000"/>
        <rFont val="DejaVu Sans"/>
        <family val="2"/>
      </rPr>
      <t xml:space="preserve">현금창출력 추가 성장</t>
    </r>
  </si>
  <si>
    <r>
      <rPr>
        <sz val="10"/>
        <color rgb="FF008000"/>
        <rFont val="Arial"/>
        <family val="0"/>
        <charset val="1"/>
      </rPr>
      <t xml:space="preserve">  5. </t>
    </r>
    <r>
      <rPr>
        <sz val="10"/>
        <color rgb="FF008000"/>
        <rFont val="DejaVu Sans"/>
        <family val="2"/>
      </rPr>
      <t xml:space="preserve">이자비용 </t>
    </r>
    <r>
      <rPr>
        <sz val="10"/>
        <color rgb="FF008000"/>
        <rFont val="Arial"/>
        <family val="0"/>
        <charset val="1"/>
      </rPr>
      <t xml:space="preserve">$0.76M → $0.66M (-13.4%): </t>
    </r>
    <r>
      <rPr>
        <sz val="10"/>
        <color rgb="FF008000"/>
        <rFont val="DejaVu Sans"/>
        <family val="2"/>
      </rPr>
      <t xml:space="preserve">차입금 상환 효과</t>
    </r>
  </si>
  <si>
    <r>
      <rPr>
        <sz val="10"/>
        <color rgb="FF008000"/>
        <rFont val="Arial"/>
        <family val="0"/>
        <charset val="1"/>
      </rPr>
      <t xml:space="preserve">  6. </t>
    </r>
    <r>
      <rPr>
        <sz val="10"/>
        <color rgb="FF008000"/>
        <rFont val="DejaVu Sans"/>
        <family val="2"/>
      </rPr>
      <t xml:space="preserve">투자계획 합리화</t>
    </r>
    <r>
      <rPr>
        <sz val="10"/>
        <color rgb="FF008000"/>
        <rFont val="Arial"/>
        <family val="0"/>
        <charset val="1"/>
      </rPr>
      <t xml:space="preserve">: </t>
    </r>
    <r>
      <rPr>
        <sz val="10"/>
        <color rgb="FF008000"/>
        <rFont val="DejaVu Sans"/>
        <family val="2"/>
      </rPr>
      <t xml:space="preserve">기존 </t>
    </r>
    <r>
      <rPr>
        <sz val="10"/>
        <color rgb="FF008000"/>
        <rFont val="Arial"/>
        <family val="0"/>
        <charset val="1"/>
      </rPr>
      <t xml:space="preserve">$6.4M → $4.7M (25.9% </t>
    </r>
    <r>
      <rPr>
        <sz val="10"/>
        <color rgb="FF008000"/>
        <rFont val="DejaVu Sans"/>
        <family val="2"/>
      </rPr>
      <t xml:space="preserve">절감</t>
    </r>
    <r>
      <rPr>
        <sz val="10"/>
        <color rgb="FF008000"/>
        <rFont val="Arial"/>
        <family val="0"/>
        <charset val="1"/>
      </rPr>
      <t xml:space="preserve">)</t>
    </r>
  </si>
  <si>
    <r>
      <rPr>
        <b val="true"/>
        <sz val="11"/>
        <color rgb="FFFF0000"/>
        <rFont val="Arial"/>
        <family val="0"/>
        <charset val="1"/>
      </rPr>
      <t xml:space="preserve">■ 2026 </t>
    </r>
    <r>
      <rPr>
        <b val="true"/>
        <sz val="11"/>
        <color rgb="FFFF0000"/>
        <rFont val="DejaVu Sans"/>
        <family val="2"/>
      </rPr>
      <t xml:space="preserve">계획 주요 리스크</t>
    </r>
  </si>
  <si>
    <r>
      <rPr>
        <sz val="10"/>
        <color rgb="FFFF0000"/>
        <rFont val="Arial"/>
        <family val="0"/>
        <charset val="1"/>
      </rPr>
      <t xml:space="preserve">  1. </t>
    </r>
    <r>
      <rPr>
        <sz val="10"/>
        <color rgb="FFFF0000"/>
        <rFont val="DejaVu Sans"/>
        <family val="2"/>
      </rPr>
      <t xml:space="preserve">매출 </t>
    </r>
    <r>
      <rPr>
        <sz val="10"/>
        <color rgb="FFFF0000"/>
        <rFont val="Arial"/>
        <family val="0"/>
        <charset val="1"/>
      </rPr>
      <t xml:space="preserve">-10.6% </t>
    </r>
    <r>
      <rPr>
        <sz val="10"/>
        <color rgb="FFFF0000"/>
        <rFont val="DejaVu Sans"/>
        <family val="2"/>
      </rPr>
      <t xml:space="preserve">감소 가정</t>
    </r>
    <r>
      <rPr>
        <sz val="10"/>
        <color rgb="FFFF0000"/>
        <rFont val="Arial"/>
        <family val="0"/>
        <charset val="1"/>
      </rPr>
      <t xml:space="preserve">: $47.3M → $42.3M, </t>
    </r>
    <r>
      <rPr>
        <sz val="10"/>
        <color rgb="FFFF0000"/>
        <rFont val="DejaVu Sans"/>
        <family val="2"/>
      </rPr>
      <t xml:space="preserve">역성장 리스크</t>
    </r>
  </si>
  <si>
    <r>
      <rPr>
        <sz val="10"/>
        <color rgb="FFFF0000"/>
        <rFont val="Arial"/>
        <family val="0"/>
        <charset val="1"/>
      </rPr>
      <t xml:space="preserve">  2. COGS </t>
    </r>
    <r>
      <rPr>
        <sz val="10"/>
        <color rgb="FFFF0000"/>
        <rFont val="DejaVu Sans"/>
        <family val="2"/>
      </rPr>
      <t xml:space="preserve">비율 </t>
    </r>
    <r>
      <rPr>
        <sz val="10"/>
        <color rgb="FFFF0000"/>
        <rFont val="Arial"/>
        <family val="0"/>
        <charset val="1"/>
      </rPr>
      <t xml:space="preserve">9.1%p </t>
    </r>
    <r>
      <rPr>
        <sz val="10"/>
        <color rgb="FFFF0000"/>
        <rFont val="DejaVu Sans"/>
        <family val="2"/>
      </rPr>
      <t xml:space="preserve">추가 개선은 매우 공격적 </t>
    </r>
    <r>
      <rPr>
        <sz val="10"/>
        <color rgb="FFFF0000"/>
        <rFont val="Arial"/>
        <family val="0"/>
        <charset val="1"/>
      </rPr>
      <t xml:space="preserve">(2</t>
    </r>
    <r>
      <rPr>
        <sz val="10"/>
        <color rgb="FFFF0000"/>
        <rFont val="DejaVu Sans"/>
        <family val="2"/>
      </rPr>
      <t xml:space="preserve">년 연속 대폭 개선 필요</t>
    </r>
    <r>
      <rPr>
        <sz val="10"/>
        <color rgb="FFFF0000"/>
        <rFont val="Arial"/>
        <family val="0"/>
        <charset val="1"/>
      </rPr>
      <t xml:space="preserve">)</t>
    </r>
  </si>
  <si>
    <r>
      <rPr>
        <sz val="10"/>
        <color rgb="FFFF0000"/>
        <rFont val="Arial"/>
        <family val="0"/>
        <charset val="1"/>
      </rPr>
      <t xml:space="preserve">  3. SG&amp;A 53.7% </t>
    </r>
    <r>
      <rPr>
        <sz val="10"/>
        <color rgb="FFFF0000"/>
        <rFont val="DejaVu Sans"/>
        <family val="2"/>
      </rPr>
      <t xml:space="preserve">삭감</t>
    </r>
    <r>
      <rPr>
        <sz val="10"/>
        <color rgb="FFFF0000"/>
        <rFont val="Arial"/>
        <family val="0"/>
        <charset val="1"/>
      </rPr>
      <t xml:space="preserve">: </t>
    </r>
    <r>
      <rPr>
        <sz val="10"/>
        <color rgb="FFFF0000"/>
        <rFont val="DejaVu Sans"/>
        <family val="2"/>
      </rPr>
      <t xml:space="preserve">인력</t>
    </r>
    <r>
      <rPr>
        <sz val="10"/>
        <color rgb="FFFF0000"/>
        <rFont val="Arial"/>
        <family val="0"/>
        <charset val="1"/>
      </rPr>
      <t xml:space="preserve">/</t>
    </r>
    <r>
      <rPr>
        <sz val="10"/>
        <color rgb="FFFF0000"/>
        <rFont val="DejaVu Sans"/>
        <family val="2"/>
      </rPr>
      <t xml:space="preserve">조직 운영에 실질적 영향 가능성</t>
    </r>
  </si>
  <si>
    <r>
      <rPr>
        <sz val="10"/>
        <color rgb="FFFF0000"/>
        <rFont val="Arial"/>
        <family val="0"/>
        <charset val="1"/>
      </rPr>
      <t xml:space="preserve">  4. </t>
    </r>
    <r>
      <rPr>
        <sz val="10"/>
        <color rgb="FFFF0000"/>
        <rFont val="DejaVu Sans"/>
        <family val="2"/>
      </rPr>
      <t xml:space="preserve">법인세 </t>
    </r>
    <r>
      <rPr>
        <sz val="10"/>
        <color rgb="FFFF0000"/>
        <rFont val="Arial"/>
        <family val="0"/>
        <charset val="1"/>
      </rPr>
      <t xml:space="preserve">20% </t>
    </r>
    <r>
      <rPr>
        <sz val="10"/>
        <color rgb="FFFF0000"/>
        <rFont val="DejaVu Sans"/>
        <family val="2"/>
      </rPr>
      <t xml:space="preserve">신규 반영</t>
    </r>
    <r>
      <rPr>
        <sz val="10"/>
        <color rgb="FFFF0000"/>
        <rFont val="Arial"/>
        <family val="0"/>
        <charset val="1"/>
      </rPr>
      <t xml:space="preserve">: </t>
    </r>
    <r>
      <rPr>
        <sz val="10"/>
        <color rgb="FFFF0000"/>
        <rFont val="DejaVu Sans"/>
        <family val="2"/>
      </rPr>
      <t xml:space="preserve">이전 </t>
    </r>
    <r>
      <rPr>
        <sz val="10"/>
        <color rgb="FFFF0000"/>
        <rFont val="Arial"/>
        <family val="0"/>
        <charset val="1"/>
      </rPr>
      <t xml:space="preserve">2</t>
    </r>
    <r>
      <rPr>
        <sz val="10"/>
        <color rgb="FFFF0000"/>
        <rFont val="DejaVu Sans"/>
        <family val="2"/>
      </rPr>
      <t xml:space="preserve">년간 없던 비용 </t>
    </r>
    <r>
      <rPr>
        <sz val="10"/>
        <color rgb="FFFF0000"/>
        <rFont val="Arial"/>
        <family val="0"/>
        <charset val="1"/>
      </rPr>
      <t xml:space="preserve">$1.95M</t>
    </r>
  </si>
  <si>
    <r>
      <rPr>
        <sz val="10"/>
        <color rgb="FFFF0000"/>
        <rFont val="Arial"/>
        <family val="0"/>
        <charset val="1"/>
      </rPr>
      <t xml:space="preserve">  5. </t>
    </r>
    <r>
      <rPr>
        <sz val="10"/>
        <color rgb="FFFF0000"/>
        <rFont val="DejaVu Sans"/>
        <family val="2"/>
      </rPr>
      <t xml:space="preserve">감가상각비 </t>
    </r>
    <r>
      <rPr>
        <sz val="10"/>
        <color rgb="FFFF0000"/>
        <rFont val="Arial"/>
        <family val="0"/>
        <charset val="1"/>
      </rPr>
      <t xml:space="preserve">46.3% </t>
    </r>
    <r>
      <rPr>
        <sz val="10"/>
        <color rgb="FFFF0000"/>
        <rFont val="DejaVu Sans"/>
        <family val="2"/>
      </rPr>
      <t xml:space="preserve">증가</t>
    </r>
    <r>
      <rPr>
        <sz val="10"/>
        <color rgb="FFFF0000"/>
        <rFont val="Arial"/>
        <family val="0"/>
        <charset val="1"/>
      </rPr>
      <t xml:space="preserve">: </t>
    </r>
    <r>
      <rPr>
        <sz val="10"/>
        <color rgb="FFFF0000"/>
        <rFont val="DejaVu Sans"/>
        <family val="2"/>
      </rPr>
      <t xml:space="preserve">설비투자 확대에 따른 고정비 부담</t>
    </r>
  </si>
  <si>
    <r>
      <rPr>
        <sz val="10"/>
        <color rgb="FFFF0000"/>
        <rFont val="Arial"/>
        <family val="0"/>
        <charset val="1"/>
      </rPr>
      <t xml:space="preserve">  6. </t>
    </r>
    <r>
      <rPr>
        <sz val="10"/>
        <color rgb="FFFF0000"/>
        <rFont val="DejaVu Sans"/>
        <family val="2"/>
      </rPr>
      <t xml:space="preserve">환율</t>
    </r>
    <r>
      <rPr>
        <sz val="10"/>
        <color rgb="FFFF0000"/>
        <rFont val="Arial"/>
        <family val="0"/>
        <charset val="1"/>
      </rPr>
      <t xml:space="preserve">/</t>
    </r>
    <r>
      <rPr>
        <sz val="10"/>
        <color rgb="FFFF0000"/>
        <rFont val="DejaVu Sans"/>
        <family val="2"/>
      </rPr>
      <t xml:space="preserve">인플레 리스크</t>
    </r>
    <r>
      <rPr>
        <sz val="10"/>
        <color rgb="FFFF0000"/>
        <rFont val="Arial"/>
        <family val="0"/>
        <charset val="1"/>
      </rPr>
      <t xml:space="preserve">: </t>
    </r>
    <r>
      <rPr>
        <sz val="10"/>
        <color rgb="FFFF0000"/>
        <rFont val="DejaVu Sans"/>
        <family val="2"/>
      </rPr>
      <t xml:space="preserve">베트남 동화 추가 절하 가능성</t>
    </r>
  </si>
  <si>
    <r>
      <rPr>
        <b val="true"/>
        <sz val="14"/>
        <color rgb="FF2F5496"/>
        <rFont val="Arial"/>
        <family val="0"/>
        <charset val="1"/>
      </rPr>
      <t xml:space="preserve">2026</t>
    </r>
    <r>
      <rPr>
        <b val="true"/>
        <sz val="14"/>
        <color rgb="FF2F5496"/>
        <rFont val="DejaVu Sans"/>
        <family val="2"/>
      </rPr>
      <t xml:space="preserve">년 계획 추가 보완사항</t>
    </r>
  </si>
  <si>
    <t xml:space="preserve">분류</t>
  </si>
  <si>
    <t xml:space="preserve">보완 필요 사항</t>
  </si>
  <si>
    <t xml:space="preserve">상세 내용</t>
  </si>
  <si>
    <t xml:space="preserve">우선순위</t>
  </si>
  <si>
    <t xml:space="preserve">매출 계획</t>
  </si>
  <si>
    <t xml:space="preserve">매출 감소 근거 및 대응방안 수립</t>
  </si>
  <si>
    <r>
      <rPr>
        <sz val="10"/>
        <rFont val="DejaVu Sans"/>
        <family val="2"/>
      </rPr>
      <t xml:space="preserve">매출 </t>
    </r>
    <r>
      <rPr>
        <sz val="10"/>
        <rFont val="Arial"/>
        <family val="0"/>
        <charset val="1"/>
      </rPr>
      <t xml:space="preserve">10.6% </t>
    </r>
    <r>
      <rPr>
        <sz val="10"/>
        <rFont val="DejaVu Sans"/>
        <family val="2"/>
      </rPr>
      <t xml:space="preserve">감소 가정의 배경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거래처 축소</t>
    </r>
    <r>
      <rPr>
        <sz val="10"/>
        <rFont val="Arial"/>
        <family val="0"/>
        <charset val="1"/>
      </rPr>
      <t xml:space="preserve">? </t>
    </r>
    <r>
      <rPr>
        <sz val="10"/>
        <rFont val="DejaVu Sans"/>
        <family val="2"/>
      </rPr>
      <t xml:space="preserve">단가 하락</t>
    </r>
    <r>
      <rPr>
        <sz val="10"/>
        <rFont val="Arial"/>
        <family val="0"/>
        <charset val="1"/>
      </rPr>
      <t xml:space="preserve">?) </t>
    </r>
    <r>
      <rPr>
        <sz val="10"/>
        <rFont val="DejaVu Sans"/>
        <family val="2"/>
      </rPr>
      <t xml:space="preserve">명시 필요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신규 거래처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제품 확보 계획 포함 필요</t>
    </r>
    <r>
      <rPr>
        <sz val="10"/>
        <rFont val="Arial"/>
        <family val="0"/>
        <charset val="1"/>
      </rPr>
      <t xml:space="preserve">.</t>
    </r>
  </si>
  <si>
    <t xml:space="preserve">★★★</t>
  </si>
  <si>
    <t xml:space="preserve">월별 매출 시나리오 분석 추가</t>
  </si>
  <si>
    <r>
      <rPr>
        <sz val="10"/>
        <rFont val="Arial"/>
        <family val="0"/>
        <charset val="1"/>
      </rPr>
      <t xml:space="preserve">Best/Base/Worst </t>
    </r>
    <r>
      <rPr>
        <sz val="10"/>
        <rFont val="DejaVu Sans"/>
        <family val="2"/>
      </rPr>
      <t xml:space="preserve">시나리오별 매출 전망 수립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분기별 매출 마일스톤 및 </t>
    </r>
    <r>
      <rPr>
        <sz val="10"/>
        <rFont val="Arial"/>
        <family val="0"/>
        <charset val="1"/>
      </rPr>
      <t xml:space="preserve">KPI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</t>
    </r>
  </si>
  <si>
    <t xml:space="preserve">원가 관리</t>
  </si>
  <si>
    <r>
      <rPr>
        <b val="true"/>
        <sz val="10"/>
        <rFont val="Arial"/>
        <family val="0"/>
        <charset val="1"/>
      </rPr>
      <t xml:space="preserve">COGS </t>
    </r>
    <r>
      <rPr>
        <b val="true"/>
        <sz val="10"/>
        <rFont val="DejaVu Sans"/>
        <family val="2"/>
      </rPr>
      <t xml:space="preserve">개선 실행계획 구체화</t>
    </r>
  </si>
  <si>
    <r>
      <rPr>
        <sz val="10"/>
        <rFont val="Arial"/>
        <family val="0"/>
        <charset val="1"/>
      </rPr>
      <t xml:space="preserve">COGS </t>
    </r>
    <r>
      <rPr>
        <sz val="10"/>
        <rFont val="DejaVu Sans"/>
        <family val="2"/>
      </rPr>
      <t xml:space="preserve">비율 </t>
    </r>
    <r>
      <rPr>
        <sz val="10"/>
        <rFont val="Arial"/>
        <family val="0"/>
        <charset val="1"/>
      </rPr>
      <t xml:space="preserve">71.4%→62.3% </t>
    </r>
    <r>
      <rPr>
        <sz val="10"/>
        <rFont val="DejaVu Sans"/>
        <family val="2"/>
      </rPr>
      <t xml:space="preserve">달성을 위한 구체적 액션플랜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자재비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인건비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제조경비 항목별 절감 목표치 설정</t>
    </r>
    <r>
      <rPr>
        <sz val="10"/>
        <rFont val="Arial"/>
        <family val="0"/>
        <charset val="1"/>
      </rPr>
      <t xml:space="preserve">.</t>
    </r>
  </si>
  <si>
    <t xml:space="preserve">원자재 가격 변동 헤지 전략</t>
  </si>
  <si>
    <r>
      <rPr>
        <sz val="10"/>
        <rFont val="DejaVu Sans"/>
        <family val="2"/>
      </rPr>
      <t xml:space="preserve">주요 원자재 가격 추이 모니터링 체계 구축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장기 구매 계약 또는 대체 공급처 확보 계획</t>
    </r>
    <r>
      <rPr>
        <sz val="10"/>
        <rFont val="Arial"/>
        <family val="0"/>
        <charset val="1"/>
      </rPr>
      <t xml:space="preserve">.</t>
    </r>
  </si>
  <si>
    <t xml:space="preserve">★★☆</t>
  </si>
  <si>
    <t xml:space="preserve">판관비</t>
  </si>
  <si>
    <r>
      <rPr>
        <b val="true"/>
        <sz val="10"/>
        <rFont val="Arial"/>
        <family val="0"/>
        <charset val="1"/>
      </rPr>
      <t xml:space="preserve">SG&amp;A 53.7% </t>
    </r>
    <r>
      <rPr>
        <b val="true"/>
        <sz val="10"/>
        <rFont val="DejaVu Sans"/>
        <family val="2"/>
      </rPr>
      <t xml:space="preserve">삭감의 세부 실행계획</t>
    </r>
  </si>
  <si>
    <r>
      <rPr>
        <sz val="10"/>
        <rFont val="DejaVu Sans"/>
        <family val="2"/>
      </rPr>
      <t xml:space="preserve">삭감 대상 항목별 금액 및 실행 일정 명시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인력 구조조정 수반 시 법적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운영 리스크 검토</t>
    </r>
    <r>
      <rPr>
        <sz val="10"/>
        <rFont val="Arial"/>
        <family val="0"/>
        <charset val="1"/>
      </rPr>
      <t xml:space="preserve">.
R&amp;D </t>
    </r>
    <r>
      <rPr>
        <sz val="10"/>
        <rFont val="DejaVu Sans"/>
        <family val="2"/>
      </rPr>
      <t xml:space="preserve">비용 포함 여부 확인 </t>
    </r>
    <r>
      <rPr>
        <sz val="10"/>
        <rFont val="Arial"/>
        <family val="0"/>
        <charset val="1"/>
      </rPr>
      <t xml:space="preserve">(2025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R&amp;D</t>
    </r>
    <r>
      <rPr>
        <sz val="10"/>
        <rFont val="DejaVu Sans"/>
        <family val="2"/>
      </rPr>
      <t xml:space="preserve">별도 → </t>
    </r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미표시</t>
    </r>
    <r>
      <rPr>
        <sz val="10"/>
        <rFont val="Arial"/>
        <family val="0"/>
        <charset val="1"/>
      </rPr>
      <t xml:space="preserve">).</t>
    </r>
  </si>
  <si>
    <t xml:space="preserve">재무 전략</t>
  </si>
  <si>
    <t xml:space="preserve">차입금 상환 계획과 재무구조 개선</t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</si>
  <si>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년말 대출잔액 </t>
    </r>
    <r>
      <rPr>
        <sz val="10"/>
        <rFont val="Arial"/>
        <family val="0"/>
        <charset val="1"/>
      </rPr>
      <t xml:space="preserve">$659K </t>
    </r>
    <r>
      <rPr>
        <sz val="10"/>
        <rFont val="DejaVu Sans"/>
        <family val="2"/>
      </rPr>
      <t xml:space="preserve">예상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추가 차입 계획 여부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이자비용 절감 효과 검증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운전자본 관리 계획 추가</t>
    </r>
    <r>
      <rPr>
        <sz val="10"/>
        <rFont val="Arial"/>
        <family val="0"/>
        <charset val="1"/>
      </rPr>
      <t xml:space="preserve">.</t>
    </r>
  </si>
  <si>
    <t xml:space="preserve">법인세 계획 정확성 검증</t>
  </si>
  <si>
    <r>
      <rPr>
        <sz val="10"/>
        <rFont val="Arial"/>
        <family val="0"/>
        <charset val="1"/>
      </rPr>
      <t xml:space="preserve">2024-2025</t>
    </r>
    <r>
      <rPr>
        <sz val="10"/>
        <rFont val="DejaVu Sans"/>
        <family val="2"/>
      </rPr>
      <t xml:space="preserve">년 법인세 미계상 → </t>
    </r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20% </t>
    </r>
    <r>
      <rPr>
        <sz val="10"/>
        <rFont val="DejaVu Sans"/>
        <family val="2"/>
      </rPr>
      <t xml:space="preserve">적용 근거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베트남 법인세율</t>
    </r>
    <r>
      <rPr>
        <sz val="10"/>
        <rFont val="Arial"/>
        <family val="0"/>
        <charset val="1"/>
      </rPr>
      <t xml:space="preserve">(20%) </t>
    </r>
    <r>
      <rPr>
        <sz val="10"/>
        <rFont val="DejaVu Sans"/>
        <family val="2"/>
      </rPr>
      <t xml:space="preserve">적용 조건 및 인센티브 확인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이연법인세 자산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부채 검토</t>
    </r>
    <r>
      <rPr>
        <sz val="10"/>
        <rFont val="Arial"/>
        <family val="0"/>
        <charset val="1"/>
      </rPr>
      <t xml:space="preserve">.</t>
    </r>
  </si>
  <si>
    <t xml:space="preserve">투자 계획</t>
  </si>
  <si>
    <t xml:space="preserve">이연 투자항목 관리 방안</t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</si>
  <si>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이연된 </t>
    </r>
    <r>
      <rPr>
        <sz val="10"/>
        <rFont val="Arial"/>
        <family val="0"/>
        <charset val="1"/>
      </rPr>
      <t xml:space="preserve">$1.65M </t>
    </r>
    <r>
      <rPr>
        <sz val="10"/>
        <rFont val="DejaVu Sans"/>
        <family val="2"/>
      </rPr>
      <t xml:space="preserve">투자의 향후 집행 계획</t>
    </r>
    <r>
      <rPr>
        <sz val="10"/>
        <rFont val="Arial"/>
        <family val="0"/>
        <charset val="1"/>
      </rPr>
      <t xml:space="preserve">.
Production 1 $889K </t>
    </r>
    <r>
      <rPr>
        <sz val="10"/>
        <rFont val="DejaVu Sans"/>
        <family val="2"/>
      </rPr>
      <t xml:space="preserve">이연이 생산능력에 미치는 영향</t>
    </r>
    <r>
      <rPr>
        <sz val="10"/>
        <rFont val="Arial"/>
        <family val="0"/>
        <charset val="1"/>
      </rPr>
      <t xml:space="preserve">.
QC $796K </t>
    </r>
    <r>
      <rPr>
        <sz val="10"/>
        <rFont val="DejaVu Sans"/>
        <family val="2"/>
      </rPr>
      <t xml:space="preserve">이연이 품질관리에 미치는 영향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</si>
  <si>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투자 </t>
    </r>
    <r>
      <rPr>
        <b val="true"/>
        <sz val="10"/>
        <rFont val="Arial"/>
        <family val="0"/>
        <charset val="1"/>
      </rPr>
      <t xml:space="preserve">ROI </t>
    </r>
    <r>
      <rPr>
        <b val="true"/>
        <sz val="10"/>
        <rFont val="DejaVu Sans"/>
        <family val="2"/>
      </rPr>
      <t xml:space="preserve">분석 추가</t>
    </r>
  </si>
  <si>
    <r>
      <rPr>
        <sz val="10"/>
        <rFont val="DejaVu Sans"/>
        <family val="2"/>
      </rPr>
      <t xml:space="preserve">주요 투자항목별 기대 효과 및 회수기간 산출</t>
    </r>
    <r>
      <rPr>
        <sz val="10"/>
        <rFont val="Arial"/>
        <family val="0"/>
        <charset val="1"/>
      </rPr>
      <t xml:space="preserve">.
IT </t>
    </r>
    <r>
      <rPr>
        <sz val="10"/>
        <rFont val="DejaVu Sans"/>
        <family val="2"/>
      </rPr>
      <t xml:space="preserve">투자 </t>
    </r>
    <r>
      <rPr>
        <sz val="10"/>
        <rFont val="Arial"/>
        <family val="0"/>
        <charset val="1"/>
      </rPr>
      <t xml:space="preserve">$550K </t>
    </r>
    <r>
      <rPr>
        <sz val="10"/>
        <rFont val="DejaVu Sans"/>
        <family val="2"/>
      </rPr>
      <t xml:space="preserve">삭감의 디지털화 영향 평가</t>
    </r>
    <r>
      <rPr>
        <sz val="10"/>
        <rFont val="Arial"/>
        <family val="0"/>
        <charset val="1"/>
      </rPr>
      <t xml:space="preserve">.</t>
    </r>
  </si>
  <si>
    <t xml:space="preserve">리스크 관리</t>
  </si>
  <si>
    <t xml:space="preserve">환율 변동 대응 전략 수립</t>
  </si>
  <si>
    <r>
      <rPr>
        <sz val="10"/>
        <rFont val="Arial"/>
        <family val="0"/>
        <charset val="1"/>
      </rPr>
      <t xml:space="preserve">VND/USD </t>
    </r>
    <r>
      <rPr>
        <sz val="10"/>
        <rFont val="DejaVu Sans"/>
        <family val="2"/>
      </rPr>
      <t xml:space="preserve">환율 시나리오별 손익 영향 분석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자연 헤지 또는 파생상품 활용 전략</t>
    </r>
    <r>
      <rPr>
        <sz val="10"/>
        <rFont val="Arial"/>
        <family val="0"/>
        <charset val="1"/>
      </rPr>
      <t xml:space="preserve">.</t>
    </r>
  </si>
  <si>
    <t xml:space="preserve">월별 실적 모니터링 체계 구축</t>
  </si>
  <si>
    <r>
      <rPr>
        <sz val="10"/>
        <rFont val="DejaVu Sans"/>
        <family val="2"/>
      </rPr>
      <t xml:space="preserve">계획 대비 실적 차이 분석 주기 및 보고 체계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조기 경보 지표</t>
    </r>
    <r>
      <rPr>
        <sz val="10"/>
        <rFont val="Arial"/>
        <family val="0"/>
        <charset val="1"/>
      </rPr>
      <t xml:space="preserve">(Leading Indicators)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
Quarterly Business Review </t>
    </r>
    <r>
      <rPr>
        <sz val="10"/>
        <rFont val="DejaVu Sans"/>
        <family val="2"/>
      </rPr>
      <t xml:space="preserve">프레임워크 수립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</si>
  <si>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2F5496"/>
        <rFont val="Arial"/>
        <family val="0"/>
        <charset val="1"/>
      </rPr>
      <t xml:space="preserve">2026</t>
    </r>
    <r>
      <rPr>
        <b val="true"/>
        <sz val="14"/>
        <color rgb="FF2F5496"/>
        <rFont val="DejaVu Sans"/>
        <family val="2"/>
      </rPr>
      <t xml:space="preserve">년 투자계획 요약</t>
    </r>
  </si>
  <si>
    <t xml:space="preserve">투자 구분</t>
  </si>
  <si>
    <r>
      <rPr>
        <b val="true"/>
        <sz val="12"/>
        <color rgb="FFFFFFFF"/>
        <rFont val="Arial"/>
        <family val="0"/>
        <charset val="1"/>
      </rPr>
      <t xml:space="preserve">2026 </t>
    </r>
    <r>
      <rPr>
        <b val="true"/>
        <sz val="12"/>
        <color rgb="FFFFFFFF"/>
        <rFont val="DejaVu Sans"/>
        <family val="2"/>
      </rPr>
      <t xml:space="preserve">계획 </t>
    </r>
    <r>
      <rPr>
        <b val="true"/>
        <sz val="12"/>
        <color rgb="FFFFFFFF"/>
        <rFont val="Arial"/>
        <family val="0"/>
        <charset val="1"/>
      </rPr>
      <t xml:space="preserve">(USD)</t>
    </r>
  </si>
  <si>
    <r>
      <rPr>
        <b val="true"/>
        <sz val="12"/>
        <color rgb="FFFFFFFF"/>
        <rFont val="DejaVu Sans"/>
        <family val="2"/>
      </rPr>
      <t xml:space="preserve">기존 계획 </t>
    </r>
    <r>
      <rPr>
        <b val="true"/>
        <sz val="12"/>
        <color rgb="FFFFFFFF"/>
        <rFont val="Arial"/>
        <family val="0"/>
        <charset val="1"/>
      </rPr>
      <t xml:space="preserve">(USD)</t>
    </r>
  </si>
  <si>
    <r>
      <rPr>
        <b val="true"/>
        <sz val="12"/>
        <color rgb="FFFFFFFF"/>
        <rFont val="DejaVu Sans"/>
        <family val="2"/>
      </rPr>
      <t xml:space="preserve">차이 </t>
    </r>
    <r>
      <rPr>
        <b val="true"/>
        <sz val="12"/>
        <color rgb="FFFFFFFF"/>
        <rFont val="Arial"/>
        <family val="0"/>
        <charset val="1"/>
      </rPr>
      <t xml:space="preserve">(USD)</t>
    </r>
  </si>
  <si>
    <t xml:space="preserve">IT</t>
  </si>
  <si>
    <t xml:space="preserve">Mold</t>
  </si>
  <si>
    <t xml:space="preserve">Production 1</t>
  </si>
  <si>
    <t xml:space="preserve">Production 2</t>
  </si>
  <si>
    <t xml:space="preserve">QC</t>
  </si>
  <si>
    <t xml:space="preserve">Warehouse</t>
  </si>
  <si>
    <t xml:space="preserve">Other &amp; Repair</t>
  </si>
  <si>
    <t xml:space="preserve">Grand Total</t>
  </si>
  <si>
    <r>
      <rPr>
        <b val="true"/>
        <sz val="11"/>
        <color rgb="FF2F5496"/>
        <rFont val="Arial"/>
        <family val="0"/>
        <charset val="1"/>
      </rPr>
      <t xml:space="preserve">■ FA Loan </t>
    </r>
    <r>
      <rPr>
        <b val="true"/>
        <sz val="11"/>
        <color rgb="FF2F5496"/>
        <rFont val="DejaVu Sans"/>
        <family val="2"/>
      </rPr>
      <t xml:space="preserve">현황 </t>
    </r>
    <r>
      <rPr>
        <b val="true"/>
        <sz val="11"/>
        <color rgb="FF2F5496"/>
        <rFont val="Arial"/>
        <family val="0"/>
        <charset val="1"/>
      </rPr>
      <t xml:space="preserve">(2026</t>
    </r>
    <r>
      <rPr>
        <b val="true"/>
        <sz val="11"/>
        <color rgb="FF2F5496"/>
        <rFont val="DejaVu Sans"/>
        <family val="2"/>
      </rPr>
      <t xml:space="preserve">년</t>
    </r>
    <r>
      <rPr>
        <b val="true"/>
        <sz val="11"/>
        <color rgb="FF2F5496"/>
        <rFont val="Arial"/>
        <family val="0"/>
        <charset val="1"/>
      </rPr>
      <t xml:space="preserve">)</t>
    </r>
  </si>
  <si>
    <t xml:space="preserve">대출 원금 합계</t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</si>
  <si>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월 잔액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</si>
  <si>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월 잔액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</si>
  <si>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상환 예정액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</si>
</sst>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DejaVu Sans"/>
      <family val="2"/>
    </font>
    <font>
      <b val="true"/>
      <sz val="16"/>
      <color rgb="FF2F5496"/>
      <name val="Arial"/>
      <family val="0"/>
      <charset val="1"/>
    </font>
    <font>
      <i val="true"/>
      <sz val="10"/>
      <color rgb="FF808080"/>
      <name val="DejaVu Sans"/>
      <family val="2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DejaVu Sans"/>
      <family val="2"/>
    </font>
    <font>
      <sz val="10"/>
      <name val="DejaVu Sans"/>
      <family val="2"/>
    </font>
    <font>
      <b val="true"/>
      <sz val="11"/>
      <color rgb="FF008000"/>
      <name val="DejaVu Sans"/>
      <family val="2"/>
    </font>
    <font>
      <b val="true"/>
      <sz val="11"/>
      <color rgb="FFFF0000"/>
      <name val="DejaVu Sans"/>
      <family val="2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DejaVu Sans"/>
      <family val="2"/>
    </font>
    <font>
      <b val="true"/>
      <sz val="11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8000"/>
      <name val="DejaVu Sans"/>
      <family val="2"/>
    </font>
    <font>
      <b val="true"/>
      <sz val="11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FF0000"/>
      <name val="DejaVu Sans"/>
      <family val="2"/>
    </font>
    <font>
      <b val="true"/>
      <sz val="10"/>
      <color rgb="FFFF0000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34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s">
        <v>7</v>
      </c>
      <c r="C5" s="6" t="s">
        <v>8</v>
      </c>
      <c r="D5" s="6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6" t="s">
        <v>12</v>
      </c>
      <c r="D6" s="6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6" t="s">
        <v>16</v>
      </c>
      <c r="D7" s="6" t="s">
        <v>17</v>
      </c>
    </row>
    <row r="8" customFormat="false" ht="15" hidden="false" customHeight="false" outlineLevel="0" collapsed="false">
      <c r="A8" s="5" t="s">
        <v>18</v>
      </c>
      <c r="B8" s="6" t="s">
        <v>19</v>
      </c>
      <c r="C8" s="6" t="s">
        <v>20</v>
      </c>
      <c r="D8" s="6" t="s">
        <v>21</v>
      </c>
    </row>
    <row r="9" customFormat="false" ht="15" hidden="false" customHeight="false" outlineLevel="0" collapsed="false">
      <c r="A9" s="7" t="s">
        <v>22</v>
      </c>
      <c r="B9" s="6" t="s">
        <v>23</v>
      </c>
      <c r="C9" s="6" t="s">
        <v>24</v>
      </c>
      <c r="D9" s="6" t="s">
        <v>25</v>
      </c>
    </row>
    <row r="10" customFormat="false" ht="15" hidden="false" customHeight="false" outlineLevel="0" collapsed="false">
      <c r="A10" s="7" t="s">
        <v>26</v>
      </c>
      <c r="B10" s="6" t="s">
        <v>27</v>
      </c>
      <c r="C10" s="6" t="s">
        <v>27</v>
      </c>
      <c r="D10" s="6" t="s">
        <v>28</v>
      </c>
    </row>
    <row r="11" customFormat="false" ht="15" hidden="false" customHeight="false" outlineLevel="0" collapsed="false">
      <c r="A11" s="5" t="s">
        <v>29</v>
      </c>
      <c r="B11" s="6" t="s">
        <v>27</v>
      </c>
      <c r="C11" s="6" t="s">
        <v>27</v>
      </c>
      <c r="D11" s="6" t="s">
        <v>30</v>
      </c>
    </row>
    <row r="14" customFormat="false" ht="15" hidden="false" customHeight="false" outlineLevel="0" collapsed="false">
      <c r="A14" s="8" t="s">
        <v>31</v>
      </c>
      <c r="B14" s="8"/>
      <c r="C14" s="8"/>
      <c r="D14" s="8"/>
    </row>
    <row r="15" customFormat="false" ht="69.75" hidden="false" customHeight="true" outlineLevel="0" collapsed="false">
      <c r="A15" s="9" t="s">
        <v>32</v>
      </c>
      <c r="B15" s="9"/>
      <c r="C15" s="9"/>
      <c r="D15" s="9"/>
    </row>
    <row r="17" customFormat="false" ht="15" hidden="false" customHeight="false" outlineLevel="0" collapsed="false">
      <c r="A17" s="10" t="s">
        <v>33</v>
      </c>
      <c r="B17" s="10"/>
      <c r="C17" s="10"/>
      <c r="D17" s="10"/>
    </row>
    <row r="18" customFormat="false" ht="69.75" hidden="false" customHeight="true" outlineLevel="0" collapsed="false">
      <c r="A18" s="9" t="s">
        <v>34</v>
      </c>
      <c r="B18" s="9"/>
      <c r="C18" s="9"/>
      <c r="D18" s="9"/>
    </row>
    <row r="20" customFormat="false" ht="15" hidden="false" customHeight="false" outlineLevel="0" collapsed="false">
      <c r="A20" s="11" t="s">
        <v>35</v>
      </c>
      <c r="B20" s="11"/>
      <c r="C20" s="11"/>
      <c r="D20" s="11"/>
    </row>
    <row r="21" customFormat="false" ht="69.75" hidden="false" customHeight="true" outlineLevel="0" collapsed="false">
      <c r="A21" s="9" t="s">
        <v>36</v>
      </c>
      <c r="B21" s="9"/>
      <c r="C21" s="9"/>
      <c r="D21" s="9"/>
    </row>
  </sheetData>
  <mergeCells count="8">
    <mergeCell ref="A1:C1"/>
    <mergeCell ref="A2:C2"/>
    <mergeCell ref="A14:D14"/>
    <mergeCell ref="A15:D15"/>
    <mergeCell ref="A17:D17"/>
    <mergeCell ref="A18:D18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8"/>
  </cols>
  <sheetData>
    <row r="1" customFormat="false" ht="30" hidden="false" customHeight="true" outlineLevel="0" collapsed="false">
      <c r="A1" s="12" t="s">
        <v>37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3" t="s">
        <v>38</v>
      </c>
      <c r="B3" s="4" t="s">
        <v>39</v>
      </c>
      <c r="C3" s="4" t="s">
        <v>40</v>
      </c>
      <c r="D3" s="3" t="s">
        <v>41</v>
      </c>
      <c r="E3" s="3" t="s">
        <v>42</v>
      </c>
      <c r="F3" s="3" t="s">
        <v>43</v>
      </c>
      <c r="G3" s="3" t="s">
        <v>44</v>
      </c>
    </row>
    <row r="4" customFormat="false" ht="15" hidden="false" customHeight="false" outlineLevel="0" collapsed="false">
      <c r="A4" s="13" t="s">
        <v>45</v>
      </c>
      <c r="B4" s="14" t="n">
        <v>45961674</v>
      </c>
      <c r="C4" s="14" t="n">
        <v>47312883</v>
      </c>
      <c r="D4" s="14" t="n">
        <f aca="false">C4-B4</f>
        <v>1351209</v>
      </c>
      <c r="E4" s="15" t="n">
        <f aca="false">IF(B4=0,0,(C4-B4)/ABS(B4))</f>
        <v>0.0293986028446222</v>
      </c>
      <c r="F4" s="15" t="n">
        <f aca="false">IF($B$4=0,0,B4/$B$4)</f>
        <v>1</v>
      </c>
      <c r="G4" s="15" t="n">
        <f aca="false">IF($C$4=0,0,C4/$C$4)</f>
        <v>1</v>
      </c>
    </row>
    <row r="5" customFormat="false" ht="15" hidden="false" customHeight="false" outlineLevel="0" collapsed="false">
      <c r="A5" s="13" t="s">
        <v>46</v>
      </c>
      <c r="B5" s="14" t="n">
        <v>36627960</v>
      </c>
      <c r="C5" s="14" t="n">
        <v>33784587</v>
      </c>
      <c r="D5" s="14" t="n">
        <f aca="false">C5-B5</f>
        <v>-2843373</v>
      </c>
      <c r="E5" s="15" t="n">
        <f aca="false">IF(B5=0,0,(C5-B5)/ABS(B5))</f>
        <v>-0.0776284838140044</v>
      </c>
      <c r="F5" s="15" t="n">
        <f aca="false">IF($B$4=0,0,B5/$B$4)</f>
        <v>0.796923976267705</v>
      </c>
      <c r="G5" s="15" t="n">
        <f aca="false">IF($C$4=0,0,C5/$C$4)</f>
        <v>0.714067392595797</v>
      </c>
    </row>
    <row r="6" customFormat="false" ht="15" hidden="false" customHeight="false" outlineLevel="0" collapsed="false">
      <c r="A6" s="16" t="s">
        <v>47</v>
      </c>
      <c r="B6" s="17" t="n">
        <v>9333714</v>
      </c>
      <c r="C6" s="17" t="n">
        <v>13528296</v>
      </c>
      <c r="D6" s="17" t="n">
        <f aca="false">C6-B6</f>
        <v>4194582</v>
      </c>
      <c r="E6" s="18" t="n">
        <f aca="false">IF(B6=0,0,(C6-B6)/ABS(B6))</f>
        <v>0.449401170852246</v>
      </c>
      <c r="F6" s="18" t="n">
        <f aca="false">IF($B$4=0,0,B6/$B$4)</f>
        <v>0.203076023732295</v>
      </c>
      <c r="G6" s="18" t="n">
        <f aca="false">IF($C$4=0,0,C6/$C$4)</f>
        <v>0.285932607404203</v>
      </c>
    </row>
    <row r="7" customFormat="false" ht="15" hidden="false" customHeight="false" outlineLevel="0" collapsed="false">
      <c r="A7" s="13" t="s">
        <v>48</v>
      </c>
      <c r="B7" s="14" t="n">
        <v>6919229</v>
      </c>
      <c r="C7" s="14" t="n">
        <v>7865757</v>
      </c>
      <c r="D7" s="14" t="n">
        <f aca="false">C7-B7</f>
        <v>946528</v>
      </c>
      <c r="E7" s="15" t="n">
        <f aca="false">IF(B7=0,0,(C7-B7)/ABS(B7))</f>
        <v>0.136796744261535</v>
      </c>
      <c r="F7" s="15" t="n">
        <f aca="false">IF($B$4=0,0,B7/$B$4)</f>
        <v>0.150543450614962</v>
      </c>
      <c r="G7" s="15" t="n">
        <f aca="false">IF($C$4=0,0,C7/$C$4)</f>
        <v>0.166249792894675</v>
      </c>
    </row>
    <row r="8" customFormat="false" ht="15" hidden="false" customHeight="false" outlineLevel="0" collapsed="false">
      <c r="A8" s="16" t="s">
        <v>49</v>
      </c>
      <c r="B8" s="17" t="n">
        <v>2414485</v>
      </c>
      <c r="C8" s="17" t="n">
        <v>5662539</v>
      </c>
      <c r="D8" s="17" t="n">
        <f aca="false">C8-B8</f>
        <v>3248054</v>
      </c>
      <c r="E8" s="18" t="n">
        <f aca="false">IF(B8=0,0,(C8-B8)/ABS(B8))</f>
        <v>1.3452367689176</v>
      </c>
      <c r="F8" s="18" t="n">
        <f aca="false">IF($B$4=0,0,B8/$B$4)</f>
        <v>0.0525325731173325</v>
      </c>
      <c r="G8" s="18" t="n">
        <f aca="false">IF($C$4=0,0,C8/$C$4)</f>
        <v>0.119682814509528</v>
      </c>
    </row>
    <row r="9" customFormat="false" ht="15" hidden="false" customHeight="false" outlineLevel="0" collapsed="false">
      <c r="A9" s="13" t="s">
        <v>50</v>
      </c>
      <c r="B9" s="14" t="n">
        <v>3515915</v>
      </c>
      <c r="C9" s="14" t="n">
        <v>733411</v>
      </c>
      <c r="D9" s="14" t="n">
        <f aca="false">C9-B9</f>
        <v>-2782504</v>
      </c>
      <c r="E9" s="15" t="n">
        <f aca="false">IF(B9=0,0,(C9-B9)/ABS(B9))</f>
        <v>-0.791402522529697</v>
      </c>
      <c r="F9" s="15" t="n">
        <f aca="false">IF($B$4=0,0,B9/$B$4)</f>
        <v>0.076496669812331</v>
      </c>
      <c r="G9" s="15" t="n">
        <f aca="false">IF($C$4=0,0,C9/$C$4)</f>
        <v>0.0155012959155332</v>
      </c>
    </row>
    <row r="10" customFormat="false" ht="15" hidden="false" customHeight="false" outlineLevel="0" collapsed="false">
      <c r="A10" s="13" t="s">
        <v>51</v>
      </c>
      <c r="B10" s="14" t="n">
        <v>4350164</v>
      </c>
      <c r="C10" s="14" t="n">
        <v>1264687</v>
      </c>
      <c r="D10" s="14" t="n">
        <f aca="false">C10-B10</f>
        <v>-3085477</v>
      </c>
      <c r="E10" s="15" t="n">
        <f aca="false">IF(B10=0,0,(C10-B10)/ABS(B10))</f>
        <v>-0.709278316863456</v>
      </c>
      <c r="F10" s="15" t="n">
        <f aca="false">IF($B$4=0,0,B10/$B$4)</f>
        <v>0.0946476405537362</v>
      </c>
      <c r="G10" s="15" t="n">
        <f aca="false">IF($C$4=0,0,C10/$C$4)</f>
        <v>0.0267302882388292</v>
      </c>
    </row>
    <row r="11" customFormat="false" ht="15" hidden="false" customHeight="false" outlineLevel="0" collapsed="false">
      <c r="A11" s="13" t="s">
        <v>52</v>
      </c>
      <c r="B11" s="14" t="n">
        <v>741686</v>
      </c>
      <c r="C11" s="14" t="n">
        <v>764574</v>
      </c>
      <c r="D11" s="14" t="n">
        <f aca="false">C11-B11</f>
        <v>22888</v>
      </c>
      <c r="E11" s="15" t="n">
        <f aca="false">IF(B11=0,0,(C11-B11)/ABS(B11))</f>
        <v>0.0308594202937631</v>
      </c>
      <c r="F11" s="15" t="n">
        <f aca="false">IF($B$4=0,0,B11/$B$4)</f>
        <v>0.0161370536678016</v>
      </c>
      <c r="G11" s="15" t="n">
        <f aca="false">IF($C$4=0,0,C11/$C$4)</f>
        <v>0.0161599537276137</v>
      </c>
    </row>
    <row r="12" customFormat="false" ht="15" hidden="false" customHeight="false" outlineLevel="0" collapsed="false">
      <c r="A12" s="16" t="s">
        <v>53</v>
      </c>
      <c r="B12" s="17" t="n">
        <v>1580236</v>
      </c>
      <c r="C12" s="17" t="n">
        <v>7334481</v>
      </c>
      <c r="D12" s="17" t="n">
        <f aca="false">C12-B12</f>
        <v>5754245</v>
      </c>
      <c r="E12" s="18" t="n">
        <f aca="false">IF(B12=0,0,(C12-B12)/ABS(B12))</f>
        <v>3.641383312366</v>
      </c>
      <c r="F12" s="18" t="n">
        <f aca="false">IF($B$4=0,0,B12/$B$4)</f>
        <v>0.0343816023759274</v>
      </c>
      <c r="G12" s="18" t="n">
        <f aca="false">IF($C$4=0,0,C12/$C$4)</f>
        <v>0.155020800571379</v>
      </c>
    </row>
    <row r="13" customFormat="false" ht="15" hidden="false" customHeight="false" outlineLevel="0" collapsed="false">
      <c r="A13" s="19" t="s">
        <v>22</v>
      </c>
      <c r="B13" s="17" t="n">
        <v>5151343</v>
      </c>
      <c r="C13" s="17" t="n">
        <v>11558493</v>
      </c>
      <c r="D13" s="17" t="n">
        <f aca="false">C13-B13</f>
        <v>6407150</v>
      </c>
      <c r="E13" s="18" t="n">
        <f aca="false">IF(B13=0,0,(C13-B13)/ABS(B13))</f>
        <v>1.24378244663576</v>
      </c>
      <c r="F13" s="18" t="n">
        <f aca="false">IF($B$4=0,0,B13/$B$4)</f>
        <v>0.112079098772599</v>
      </c>
      <c r="G13" s="18" t="n">
        <f aca="false">IF($C$4=0,0,C13/$C$4)</f>
        <v>0.244299063322774</v>
      </c>
    </row>
    <row r="14" customFormat="false" ht="15" hidden="false" customHeight="false" outlineLevel="0" collapsed="false">
      <c r="A14" s="13" t="s">
        <v>54</v>
      </c>
      <c r="B14" s="14" t="n">
        <v>1914470</v>
      </c>
      <c r="C14" s="14" t="n">
        <v>2226147</v>
      </c>
      <c r="D14" s="14" t="n">
        <f aca="false">C14-B14</f>
        <v>311677</v>
      </c>
      <c r="E14" s="15" t="n">
        <f aca="false">IF(B14=0,0,(C14-B14)/ABS(B14))</f>
        <v>0.162800670681703</v>
      </c>
      <c r="F14" s="15" t="n">
        <f aca="false">IF($B$4=0,0,B14/$B$4)</f>
        <v>0.0416536177511724</v>
      </c>
      <c r="G14" s="15" t="n">
        <f aca="false">IF($C$4=0,0,C14/$C$4)</f>
        <v>0.0470516032599409</v>
      </c>
    </row>
    <row r="15" customFormat="false" ht="15" hidden="false" customHeight="false" outlineLevel="0" collapsed="false">
      <c r="A15" s="13" t="s">
        <v>55</v>
      </c>
      <c r="B15" s="14" t="n">
        <v>914951</v>
      </c>
      <c r="C15" s="14" t="n">
        <v>1233292</v>
      </c>
      <c r="D15" s="14" t="n">
        <f aca="false">C15-B15</f>
        <v>318341</v>
      </c>
      <c r="E15" s="15" t="n">
        <f aca="false">IF(B15=0,0,(C15-B15)/ABS(B15))</f>
        <v>0.347932293641955</v>
      </c>
      <c r="F15" s="15" t="n">
        <f aca="false">IF($B$4=0,0,B15/$B$4)</f>
        <v>0.0199068249776977</v>
      </c>
      <c r="G15" s="15" t="n">
        <f aca="false">IF($C$4=0,0,C15/$C$4)</f>
        <v>0.0260667268997326</v>
      </c>
    </row>
    <row r="18" customFormat="false" ht="14.9" hidden="false" customHeight="false" outlineLevel="0" collapsed="false">
      <c r="A18" s="20" t="s">
        <v>56</v>
      </c>
      <c r="B18" s="20"/>
      <c r="C18" s="20"/>
      <c r="D18" s="20"/>
      <c r="E18" s="20"/>
      <c r="F18" s="20"/>
      <c r="G18" s="20"/>
    </row>
    <row r="19" customFormat="false" ht="12.65" hidden="false" customHeight="false" outlineLevel="0" collapsed="false">
      <c r="A19" s="21" t="s">
        <v>57</v>
      </c>
      <c r="B19" s="21"/>
      <c r="C19" s="21"/>
      <c r="D19" s="21"/>
      <c r="E19" s="21"/>
      <c r="F19" s="21"/>
      <c r="G19" s="21"/>
    </row>
    <row r="20" customFormat="false" ht="12.65" hidden="false" customHeight="false" outlineLevel="0" collapsed="false">
      <c r="A20" s="21" t="s">
        <v>58</v>
      </c>
      <c r="B20" s="21"/>
      <c r="C20" s="21"/>
      <c r="D20" s="21"/>
      <c r="E20" s="21"/>
      <c r="F20" s="21"/>
      <c r="G20" s="21"/>
    </row>
    <row r="21" customFormat="false" ht="12.65" hidden="false" customHeight="false" outlineLevel="0" collapsed="false">
      <c r="A21" s="21" t="s">
        <v>59</v>
      </c>
      <c r="B21" s="21"/>
      <c r="C21" s="21"/>
      <c r="D21" s="21"/>
      <c r="E21" s="21"/>
      <c r="F21" s="21"/>
      <c r="G21" s="21"/>
    </row>
    <row r="22" customFormat="false" ht="12.65" hidden="false" customHeight="false" outlineLevel="0" collapsed="false">
      <c r="A22" s="21" t="s">
        <v>60</v>
      </c>
      <c r="B22" s="21"/>
      <c r="C22" s="21"/>
      <c r="D22" s="21"/>
      <c r="E22" s="21"/>
      <c r="F22" s="21"/>
      <c r="G22" s="21"/>
    </row>
    <row r="23" customFormat="false" ht="12.65" hidden="false" customHeight="false" outlineLevel="0" collapsed="false">
      <c r="A23" s="21" t="s">
        <v>61</v>
      </c>
      <c r="B23" s="21"/>
      <c r="C23" s="21"/>
      <c r="D23" s="21"/>
      <c r="E23" s="21"/>
      <c r="F23" s="21"/>
      <c r="G23" s="21"/>
    </row>
    <row r="25" customFormat="false" ht="14.9" hidden="false" customHeight="false" outlineLevel="0" collapsed="false">
      <c r="A25" s="22" t="s">
        <v>62</v>
      </c>
      <c r="B25" s="22"/>
      <c r="C25" s="22"/>
      <c r="D25" s="22"/>
      <c r="E25" s="22"/>
      <c r="F25" s="22"/>
      <c r="G25" s="22"/>
    </row>
    <row r="26" customFormat="false" ht="12.65" hidden="false" customHeight="false" outlineLevel="0" collapsed="false">
      <c r="A26" s="23" t="s">
        <v>63</v>
      </c>
      <c r="B26" s="23"/>
      <c r="C26" s="23"/>
      <c r="D26" s="23"/>
      <c r="E26" s="23"/>
      <c r="F26" s="23"/>
      <c r="G26" s="23"/>
    </row>
    <row r="27" customFormat="false" ht="12.65" hidden="false" customHeight="false" outlineLevel="0" collapsed="false">
      <c r="A27" s="23" t="s">
        <v>64</v>
      </c>
      <c r="B27" s="23"/>
      <c r="C27" s="23"/>
      <c r="D27" s="23"/>
      <c r="E27" s="23"/>
      <c r="F27" s="23"/>
      <c r="G27" s="23"/>
    </row>
    <row r="28" customFormat="false" ht="12.65" hidden="false" customHeight="false" outlineLevel="0" collapsed="false">
      <c r="A28" s="23" t="s">
        <v>65</v>
      </c>
      <c r="B28" s="23"/>
      <c r="C28" s="23"/>
      <c r="D28" s="23"/>
      <c r="E28" s="23"/>
      <c r="F28" s="23"/>
      <c r="G28" s="23"/>
    </row>
    <row r="29" customFormat="false" ht="12.65" hidden="false" customHeight="false" outlineLevel="0" collapsed="false">
      <c r="A29" s="23" t="s">
        <v>66</v>
      </c>
      <c r="B29" s="23"/>
      <c r="C29" s="23"/>
      <c r="D29" s="23"/>
      <c r="E29" s="23"/>
      <c r="F29" s="23"/>
      <c r="G29" s="23"/>
    </row>
    <row r="30" customFormat="false" ht="12.65" hidden="false" customHeight="false" outlineLevel="0" collapsed="false">
      <c r="A30" s="23" t="s">
        <v>67</v>
      </c>
      <c r="B30" s="23"/>
      <c r="C30" s="23"/>
      <c r="D30" s="23"/>
      <c r="E30" s="23"/>
      <c r="F30" s="23"/>
      <c r="G30" s="23"/>
    </row>
  </sheetData>
  <mergeCells count="13">
    <mergeCell ref="A1:G1"/>
    <mergeCell ref="A18:G18"/>
    <mergeCell ref="A19:G19"/>
    <mergeCell ref="A20:G20"/>
    <mergeCell ref="A21:G21"/>
    <mergeCell ref="A22:G22"/>
    <mergeCell ref="A23:G23"/>
    <mergeCell ref="A25:G25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7"/>
  </cols>
  <sheetData>
    <row r="1" customFormat="false" ht="30" hidden="false" customHeight="true" outlineLevel="0" collapsed="false">
      <c r="A1" s="12" t="s">
        <v>68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3" t="s">
        <v>38</v>
      </c>
      <c r="B3" s="4" t="s">
        <v>3</v>
      </c>
      <c r="C3" s="4" t="s">
        <v>4</v>
      </c>
      <c r="D3" s="4" t="s">
        <v>5</v>
      </c>
      <c r="E3" s="4" t="s">
        <v>69</v>
      </c>
      <c r="F3" s="4" t="s">
        <v>70</v>
      </c>
      <c r="G3" s="3" t="s">
        <v>44</v>
      </c>
      <c r="H3" s="3" t="s">
        <v>71</v>
      </c>
    </row>
    <row r="4" customFormat="false" ht="15" hidden="false" customHeight="false" outlineLevel="0" collapsed="false">
      <c r="A4" s="24" t="s">
        <v>6</v>
      </c>
      <c r="B4" s="25" t="n">
        <v>45961674</v>
      </c>
      <c r="C4" s="25" t="n">
        <v>47312883</v>
      </c>
      <c r="D4" s="25" t="n">
        <v>42280199</v>
      </c>
      <c r="E4" s="25" t="n">
        <f aca="false">D4-C4</f>
        <v>-5032684</v>
      </c>
      <c r="F4" s="26" t="n">
        <f aca="false">IF(C4=0,0,(D4-C4)/ABS(C4))</f>
        <v>-0.106370267058129</v>
      </c>
      <c r="G4" s="26" t="n">
        <f aca="false">IF($C$4=0,0,C4/$C$4)</f>
        <v>1</v>
      </c>
      <c r="H4" s="26" t="n">
        <f aca="false">IF($D$4=0,0,D4/$D$4)</f>
        <v>1</v>
      </c>
    </row>
    <row r="5" customFormat="false" ht="15" hidden="false" customHeight="false" outlineLevel="0" collapsed="false">
      <c r="A5" s="24" t="s">
        <v>72</v>
      </c>
      <c r="B5" s="25" t="n">
        <v>36627960</v>
      </c>
      <c r="C5" s="25" t="n">
        <v>33784587</v>
      </c>
      <c r="D5" s="25" t="n">
        <v>26346823</v>
      </c>
      <c r="E5" s="25" t="n">
        <f aca="false">D5-C5</f>
        <v>-7437764</v>
      </c>
      <c r="F5" s="26" t="n">
        <f aca="false">IF(C5=0,0,(D5-C5)/ABS(C5))</f>
        <v>-0.220152580228375</v>
      </c>
      <c r="G5" s="26" t="n">
        <f aca="false">IF($C$4=0,0,C5/$C$4)</f>
        <v>0.714067392595797</v>
      </c>
      <c r="H5" s="26" t="n">
        <f aca="false">IF($D$4=0,0,D5/$D$4)</f>
        <v>0.623148036744103</v>
      </c>
    </row>
    <row r="6" customFormat="false" ht="15" hidden="false" customHeight="false" outlineLevel="0" collapsed="false">
      <c r="A6" s="16" t="s">
        <v>73</v>
      </c>
      <c r="B6" s="17" t="n">
        <v>9333714</v>
      </c>
      <c r="C6" s="17" t="n">
        <v>13528296</v>
      </c>
      <c r="D6" s="17" t="n">
        <v>15933376</v>
      </c>
      <c r="E6" s="17" t="n">
        <f aca="false">D6-C6</f>
        <v>2405080</v>
      </c>
      <c r="F6" s="18" t="n">
        <f aca="false">IF(C6=0,0,(D6-C6)/ABS(C6))</f>
        <v>0.1777814441671</v>
      </c>
      <c r="G6" s="18" t="n">
        <f aca="false">IF($C$4=0,0,C6/$C$4)</f>
        <v>0.285932607404203</v>
      </c>
      <c r="H6" s="18" t="n">
        <f aca="false">IF($D$4=0,0,D6/$D$4)</f>
        <v>0.376851963255897</v>
      </c>
    </row>
    <row r="7" customFormat="false" ht="15" hidden="false" customHeight="false" outlineLevel="0" collapsed="false">
      <c r="A7" s="24" t="s">
        <v>74</v>
      </c>
      <c r="B7" s="25" t="n">
        <v>6919229</v>
      </c>
      <c r="C7" s="25" t="n">
        <v>7865757</v>
      </c>
      <c r="D7" s="25" t="n">
        <v>3637643</v>
      </c>
      <c r="E7" s="25" t="n">
        <f aca="false">D7-C7</f>
        <v>-4228114</v>
      </c>
      <c r="F7" s="26" t="n">
        <f aca="false">IF(C7=0,0,(D7-C7)/ABS(C7))</f>
        <v>-0.537534276739035</v>
      </c>
      <c r="G7" s="26" t="n">
        <f aca="false">IF($C$4=0,0,C7/$C$4)</f>
        <v>0.166249792894675</v>
      </c>
      <c r="H7" s="26" t="n">
        <f aca="false">IF($D$4=0,0,D7/$D$4)</f>
        <v>0.0860365628837272</v>
      </c>
    </row>
    <row r="8" customFormat="false" ht="15" hidden="false" customHeight="false" outlineLevel="0" collapsed="false">
      <c r="A8" s="16" t="s">
        <v>75</v>
      </c>
      <c r="B8" s="17" t="n">
        <v>2414485</v>
      </c>
      <c r="C8" s="17" t="n">
        <v>5662539</v>
      </c>
      <c r="D8" s="17" t="n">
        <v>12295733</v>
      </c>
      <c r="E8" s="17" t="n">
        <f aca="false">D8-C8</f>
        <v>6633194</v>
      </c>
      <c r="F8" s="18" t="n">
        <f aca="false">IF(C8=0,0,(D8-C8)/ABS(C8))</f>
        <v>1.1714169209254</v>
      </c>
      <c r="G8" s="18" t="n">
        <f aca="false">IF($C$4=0,0,C8/$C$4)</f>
        <v>0.119682814509528</v>
      </c>
      <c r="H8" s="18" t="n">
        <f aca="false">IF($D$4=0,0,D8/$D$4)</f>
        <v>0.290815400372169</v>
      </c>
    </row>
    <row r="9" customFormat="false" ht="15" hidden="false" customHeight="false" outlineLevel="0" collapsed="false">
      <c r="A9" s="24" t="s">
        <v>76</v>
      </c>
      <c r="B9" s="25" t="n">
        <v>741686</v>
      </c>
      <c r="C9" s="25" t="n">
        <v>764574</v>
      </c>
      <c r="D9" s="25" t="n">
        <v>661910</v>
      </c>
      <c r="E9" s="25" t="n">
        <f aca="false">D9-C9</f>
        <v>-102664</v>
      </c>
      <c r="F9" s="26" t="n">
        <f aca="false">IF(C9=0,0,(D9-C9)/ABS(C9))</f>
        <v>-0.134276080536351</v>
      </c>
      <c r="G9" s="26" t="n">
        <f aca="false">IF($C$4=0,0,C9/$C$4)</f>
        <v>0.0161599537276137</v>
      </c>
      <c r="H9" s="26" t="n">
        <f aca="false">IF($D$4=0,0,D9/$D$4)</f>
        <v>0.0156553189354667</v>
      </c>
    </row>
    <row r="10" customFormat="false" ht="15" hidden="false" customHeight="false" outlineLevel="0" collapsed="false">
      <c r="A10" s="24" t="s">
        <v>77</v>
      </c>
      <c r="B10" s="25" t="n">
        <v>834249</v>
      </c>
      <c r="C10" s="25" t="n">
        <v>531276</v>
      </c>
      <c r="D10" s="25" t="n">
        <v>740653</v>
      </c>
      <c r="E10" s="25" t="n">
        <f aca="false">D10-C10</f>
        <v>209377</v>
      </c>
      <c r="F10" s="26" t="n">
        <f aca="false">IF(C10=0,0,(D10-C10)/ABS(C10))</f>
        <v>0.394102123943111</v>
      </c>
      <c r="G10" s="26" t="n">
        <f aca="false">IF($C$4=0,0,C10/$C$4)</f>
        <v>0.011228992323296</v>
      </c>
      <c r="H10" s="26" t="n">
        <f aca="false">IF($D$4=0,0,D10/$D$4)</f>
        <v>0.01751772738818</v>
      </c>
    </row>
    <row r="11" customFormat="false" ht="15" hidden="false" customHeight="false" outlineLevel="0" collapsed="false">
      <c r="A11" s="24" t="s">
        <v>78</v>
      </c>
      <c r="B11" s="25" t="n">
        <v>0</v>
      </c>
      <c r="C11" s="25" t="n">
        <v>0</v>
      </c>
      <c r="D11" s="25" t="n">
        <v>1950208</v>
      </c>
      <c r="E11" s="25" t="n">
        <f aca="false">D11-C11</f>
        <v>1950208</v>
      </c>
      <c r="F11" s="26" t="n">
        <f aca="false">IF(C11=0,0,(D11-C11)/ABS(C11))</f>
        <v>0</v>
      </c>
      <c r="G11" s="26" t="n">
        <f aca="false">IF($C$4=0,0,C11/$C$4)</f>
        <v>0</v>
      </c>
      <c r="H11" s="26" t="n">
        <f aca="false">IF($D$4=0,0,D11/$D$4)</f>
        <v>0.0461257999282359</v>
      </c>
    </row>
    <row r="12" customFormat="false" ht="15" hidden="false" customHeight="false" outlineLevel="0" collapsed="false">
      <c r="A12" s="16" t="s">
        <v>79</v>
      </c>
      <c r="B12" s="17" t="n">
        <v>1580236</v>
      </c>
      <c r="C12" s="17" t="n">
        <v>7334481</v>
      </c>
      <c r="D12" s="17" t="n">
        <v>8942963</v>
      </c>
      <c r="E12" s="17" t="n">
        <f aca="false">D12-C12</f>
        <v>1608482</v>
      </c>
      <c r="F12" s="18" t="n">
        <f aca="false">IF(C12=0,0,(D12-C12)/ABS(C12))</f>
        <v>0.21930413344857</v>
      </c>
      <c r="G12" s="18" t="n">
        <f aca="false">IF($C$4=0,0,C12/$C$4)</f>
        <v>0.155020800571379</v>
      </c>
      <c r="H12" s="18" t="n">
        <f aca="false">IF($D$4=0,0,D12/$D$4)</f>
        <v>0.21151657777202</v>
      </c>
    </row>
    <row r="13" customFormat="false" ht="15" hidden="false" customHeight="false" outlineLevel="0" collapsed="false">
      <c r="A13" s="19" t="s">
        <v>22</v>
      </c>
      <c r="B13" s="17" t="n">
        <v>5151343</v>
      </c>
      <c r="C13" s="17" t="n">
        <v>11558493</v>
      </c>
      <c r="D13" s="17" t="n">
        <v>15670718</v>
      </c>
      <c r="E13" s="17" t="n">
        <f aca="false">D13-C13</f>
        <v>4112225</v>
      </c>
      <c r="F13" s="18" t="n">
        <f aca="false">IF(C13=0,0,(D13-C13)/ABS(C13))</f>
        <v>0.355775186263469</v>
      </c>
      <c r="G13" s="18" t="n">
        <f aca="false">IF($C$4=0,0,C13/$C$4)</f>
        <v>0.244299063322774</v>
      </c>
      <c r="H13" s="18" t="n">
        <f aca="false">IF($D$4=0,0,D13/$D$4)</f>
        <v>0.370639646232507</v>
      </c>
    </row>
    <row r="14" customFormat="false" ht="15" hidden="false" customHeight="false" outlineLevel="0" collapsed="false">
      <c r="A14" s="24" t="s">
        <v>80</v>
      </c>
      <c r="B14" s="25" t="n">
        <v>1914470</v>
      </c>
      <c r="C14" s="25" t="n">
        <v>2226147</v>
      </c>
      <c r="D14" s="25" t="n">
        <v>3256746</v>
      </c>
      <c r="E14" s="25" t="n">
        <f aca="false">D14-C14</f>
        <v>1030599</v>
      </c>
      <c r="F14" s="26" t="n">
        <f aca="false">IF(C14=0,0,(D14-C14)/ABS(C14))</f>
        <v>0.462951907488589</v>
      </c>
      <c r="G14" s="26" t="n">
        <f aca="false">IF($C$4=0,0,C14/$C$4)</f>
        <v>0.0470516032599409</v>
      </c>
      <c r="H14" s="26" t="n">
        <f aca="false">IF($D$4=0,0,D14/$D$4)</f>
        <v>0.0770276885404442</v>
      </c>
    </row>
    <row r="15" customFormat="false" ht="15" hidden="false" customHeight="false" outlineLevel="0" collapsed="false">
      <c r="A15" s="24" t="s">
        <v>81</v>
      </c>
      <c r="B15" s="25" t="n">
        <v>914951</v>
      </c>
      <c r="C15" s="25" t="n">
        <v>1233292</v>
      </c>
      <c r="D15" s="25" t="n">
        <v>858892</v>
      </c>
      <c r="E15" s="25" t="n">
        <f aca="false">D15-C15</f>
        <v>-374400</v>
      </c>
      <c r="F15" s="26" t="n">
        <f aca="false">IF(C15=0,0,(D15-C15)/ABS(C15))</f>
        <v>-0.303577741524311</v>
      </c>
      <c r="G15" s="26" t="n">
        <f aca="false">IF($C$4=0,0,C15/$C$4)</f>
        <v>0.0260667268997326</v>
      </c>
      <c r="H15" s="26" t="n">
        <f aca="false">IF($D$4=0,0,D15/$D$4)</f>
        <v>0.0203142847080734</v>
      </c>
    </row>
    <row r="18" customFormat="false" ht="14.9" hidden="false" customHeight="false" outlineLevel="0" collapsed="false">
      <c r="A18" s="20" t="s">
        <v>82</v>
      </c>
      <c r="B18" s="20"/>
      <c r="C18" s="20"/>
      <c r="D18" s="20"/>
      <c r="E18" s="20"/>
      <c r="F18" s="20"/>
      <c r="G18" s="20"/>
      <c r="H18" s="20"/>
    </row>
    <row r="19" customFormat="false" ht="12.65" hidden="false" customHeight="false" outlineLevel="0" collapsed="false">
      <c r="A19" s="21" t="s">
        <v>83</v>
      </c>
      <c r="B19" s="21"/>
      <c r="C19" s="21"/>
      <c r="D19" s="21"/>
      <c r="E19" s="21"/>
      <c r="F19" s="21"/>
      <c r="G19" s="21"/>
      <c r="H19" s="21"/>
    </row>
    <row r="20" customFormat="false" ht="12.65" hidden="false" customHeight="false" outlineLevel="0" collapsed="false">
      <c r="A20" s="21" t="s">
        <v>84</v>
      </c>
      <c r="B20" s="21"/>
      <c r="C20" s="21"/>
      <c r="D20" s="21"/>
      <c r="E20" s="21"/>
      <c r="F20" s="21"/>
      <c r="G20" s="21"/>
      <c r="H20" s="21"/>
    </row>
    <row r="21" customFormat="false" ht="12.65" hidden="false" customHeight="false" outlineLevel="0" collapsed="false">
      <c r="A21" s="21" t="s">
        <v>85</v>
      </c>
      <c r="B21" s="21"/>
      <c r="C21" s="21"/>
      <c r="D21" s="21"/>
      <c r="E21" s="21"/>
      <c r="F21" s="21"/>
      <c r="G21" s="21"/>
      <c r="H21" s="21"/>
    </row>
    <row r="22" customFormat="false" ht="12.65" hidden="false" customHeight="false" outlineLevel="0" collapsed="false">
      <c r="A22" s="21" t="s">
        <v>86</v>
      </c>
      <c r="B22" s="21"/>
      <c r="C22" s="21"/>
      <c r="D22" s="21"/>
      <c r="E22" s="21"/>
      <c r="F22" s="21"/>
      <c r="G22" s="21"/>
      <c r="H22" s="21"/>
    </row>
    <row r="23" customFormat="false" ht="12.65" hidden="false" customHeight="false" outlineLevel="0" collapsed="false">
      <c r="A23" s="21" t="s">
        <v>87</v>
      </c>
      <c r="B23" s="21"/>
      <c r="C23" s="21"/>
      <c r="D23" s="21"/>
      <c r="E23" s="21"/>
      <c r="F23" s="21"/>
      <c r="G23" s="21"/>
      <c r="H23" s="21"/>
    </row>
    <row r="24" customFormat="false" ht="12.65" hidden="false" customHeight="false" outlineLevel="0" collapsed="false">
      <c r="A24" s="21" t="s">
        <v>88</v>
      </c>
      <c r="B24" s="21"/>
      <c r="C24" s="21"/>
      <c r="D24" s="21"/>
      <c r="E24" s="21"/>
      <c r="F24" s="21"/>
      <c r="G24" s="21"/>
      <c r="H24" s="21"/>
    </row>
    <row r="26" customFormat="false" ht="14.9" hidden="false" customHeight="false" outlineLevel="0" collapsed="false">
      <c r="A26" s="22" t="s">
        <v>89</v>
      </c>
      <c r="B26" s="22"/>
      <c r="C26" s="22"/>
      <c r="D26" s="22"/>
      <c r="E26" s="22"/>
      <c r="F26" s="22"/>
      <c r="G26" s="22"/>
      <c r="H26" s="22"/>
    </row>
    <row r="27" customFormat="false" ht="12.65" hidden="false" customHeight="false" outlineLevel="0" collapsed="false">
      <c r="A27" s="23" t="s">
        <v>90</v>
      </c>
      <c r="B27" s="23"/>
      <c r="C27" s="23"/>
      <c r="D27" s="23"/>
      <c r="E27" s="23"/>
      <c r="F27" s="23"/>
      <c r="G27" s="23"/>
      <c r="H27" s="23"/>
    </row>
    <row r="28" customFormat="false" ht="12.65" hidden="false" customHeight="false" outlineLevel="0" collapsed="false">
      <c r="A28" s="23" t="s">
        <v>91</v>
      </c>
      <c r="B28" s="23"/>
      <c r="C28" s="23"/>
      <c r="D28" s="23"/>
      <c r="E28" s="23"/>
      <c r="F28" s="23"/>
      <c r="G28" s="23"/>
      <c r="H28" s="23"/>
    </row>
    <row r="29" customFormat="false" ht="12.65" hidden="false" customHeight="false" outlineLevel="0" collapsed="false">
      <c r="A29" s="23" t="s">
        <v>92</v>
      </c>
      <c r="B29" s="23"/>
      <c r="C29" s="23"/>
      <c r="D29" s="23"/>
      <c r="E29" s="23"/>
      <c r="F29" s="23"/>
      <c r="G29" s="23"/>
      <c r="H29" s="23"/>
    </row>
    <row r="30" customFormat="false" ht="12.65" hidden="false" customHeight="false" outlineLevel="0" collapsed="false">
      <c r="A30" s="23" t="s">
        <v>93</v>
      </c>
      <c r="B30" s="23"/>
      <c r="C30" s="23"/>
      <c r="D30" s="23"/>
      <c r="E30" s="23"/>
      <c r="F30" s="23"/>
      <c r="G30" s="23"/>
      <c r="H30" s="23"/>
    </row>
    <row r="31" customFormat="false" ht="12.65" hidden="false" customHeight="false" outlineLevel="0" collapsed="false">
      <c r="A31" s="23" t="s">
        <v>94</v>
      </c>
      <c r="B31" s="23"/>
      <c r="C31" s="23"/>
      <c r="D31" s="23"/>
      <c r="E31" s="23"/>
      <c r="F31" s="23"/>
      <c r="G31" s="23"/>
      <c r="H31" s="23"/>
    </row>
    <row r="32" customFormat="false" ht="12.65" hidden="false" customHeight="false" outlineLevel="0" collapsed="false">
      <c r="A32" s="23" t="s">
        <v>95</v>
      </c>
      <c r="B32" s="23"/>
      <c r="C32" s="23"/>
      <c r="D32" s="23"/>
      <c r="E32" s="23"/>
      <c r="F32" s="23"/>
      <c r="G32" s="23"/>
      <c r="H32" s="23"/>
    </row>
  </sheetData>
  <mergeCells count="15">
    <mergeCell ref="A1:H1"/>
    <mergeCell ref="A18:H18"/>
    <mergeCell ref="A19:H19"/>
    <mergeCell ref="A20:H20"/>
    <mergeCell ref="A21:H21"/>
    <mergeCell ref="A22:H22"/>
    <mergeCell ref="A23:H23"/>
    <mergeCell ref="A24:H24"/>
    <mergeCell ref="A26:H26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5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2" t="s">
        <v>96</v>
      </c>
      <c r="B1" s="12"/>
      <c r="C1" s="12"/>
      <c r="D1" s="12"/>
    </row>
    <row r="3" customFormat="false" ht="15" hidden="false" customHeight="false" outlineLevel="0" collapsed="false">
      <c r="A3" s="3" t="s">
        <v>97</v>
      </c>
      <c r="B3" s="3" t="s">
        <v>98</v>
      </c>
      <c r="C3" s="3" t="s">
        <v>99</v>
      </c>
      <c r="D3" s="3" t="s">
        <v>100</v>
      </c>
    </row>
    <row r="4" customFormat="false" ht="60" hidden="false" customHeight="true" outlineLevel="0" collapsed="false">
      <c r="A4" s="27" t="s">
        <v>101</v>
      </c>
      <c r="B4" s="27" t="s">
        <v>102</v>
      </c>
      <c r="C4" s="28" t="s">
        <v>103</v>
      </c>
      <c r="D4" s="29" t="s">
        <v>104</v>
      </c>
    </row>
    <row r="5" customFormat="false" ht="60" hidden="false" customHeight="true" outlineLevel="0" collapsed="false">
      <c r="A5" s="27" t="s">
        <v>101</v>
      </c>
      <c r="B5" s="27" t="s">
        <v>105</v>
      </c>
      <c r="C5" s="30" t="s">
        <v>106</v>
      </c>
      <c r="D5" s="29" t="s">
        <v>104</v>
      </c>
    </row>
    <row r="6" customFormat="false" ht="60" hidden="false" customHeight="true" outlineLevel="0" collapsed="false">
      <c r="A6" s="27" t="s">
        <v>107</v>
      </c>
      <c r="B6" s="31" t="s">
        <v>108</v>
      </c>
      <c r="C6" s="30" t="s">
        <v>109</v>
      </c>
      <c r="D6" s="29" t="s">
        <v>104</v>
      </c>
    </row>
    <row r="7" customFormat="false" ht="60" hidden="false" customHeight="true" outlineLevel="0" collapsed="false">
      <c r="A7" s="27" t="s">
        <v>107</v>
      </c>
      <c r="B7" s="27" t="s">
        <v>110</v>
      </c>
      <c r="C7" s="28" t="s">
        <v>111</v>
      </c>
      <c r="D7" s="31" t="s">
        <v>112</v>
      </c>
    </row>
    <row r="8" customFormat="false" ht="60" hidden="false" customHeight="true" outlineLevel="0" collapsed="false">
      <c r="A8" s="27" t="s">
        <v>113</v>
      </c>
      <c r="B8" s="31" t="s">
        <v>114</v>
      </c>
      <c r="C8" s="28" t="s">
        <v>115</v>
      </c>
      <c r="D8" s="29" t="s">
        <v>104</v>
      </c>
    </row>
    <row r="9" customFormat="false" ht="60" hidden="false" customHeight="true" outlineLevel="0" collapsed="false">
      <c r="A9" s="27" t="s">
        <v>116</v>
      </c>
      <c r="B9" s="27" t="s">
        <v>117</v>
      </c>
      <c r="C9" s="30" t="s">
        <v>118</v>
      </c>
      <c r="D9" s="31" t="s">
        <v>112</v>
      </c>
    </row>
    <row r="10" customFormat="false" ht="60" hidden="false" customHeight="true" outlineLevel="0" collapsed="false">
      <c r="A10" s="27" t="s">
        <v>116</v>
      </c>
      <c r="B10" s="27" t="s">
        <v>119</v>
      </c>
      <c r="C10" s="30" t="s">
        <v>120</v>
      </c>
      <c r="D10" s="31" t="s">
        <v>112</v>
      </c>
    </row>
    <row r="11" customFormat="false" ht="60" hidden="false" customHeight="true" outlineLevel="0" collapsed="false">
      <c r="A11" s="27" t="s">
        <v>121</v>
      </c>
      <c r="B11" s="27" t="s">
        <v>122</v>
      </c>
      <c r="C11" s="30" t="s">
        <v>123</v>
      </c>
      <c r="D11" s="29" t="s">
        <v>104</v>
      </c>
    </row>
    <row r="12" customFormat="false" ht="60" hidden="false" customHeight="true" outlineLevel="0" collapsed="false">
      <c r="A12" s="27" t="s">
        <v>121</v>
      </c>
      <c r="B12" s="27" t="s">
        <v>124</v>
      </c>
      <c r="C12" s="28" t="s">
        <v>125</v>
      </c>
      <c r="D12" s="31" t="s">
        <v>112</v>
      </c>
    </row>
    <row r="13" customFormat="false" ht="60" hidden="false" customHeight="true" outlineLevel="0" collapsed="false">
      <c r="A13" s="27" t="s">
        <v>126</v>
      </c>
      <c r="B13" s="27" t="s">
        <v>127</v>
      </c>
      <c r="C13" s="30" t="s">
        <v>128</v>
      </c>
      <c r="D13" s="31" t="s">
        <v>112</v>
      </c>
    </row>
    <row r="14" customFormat="false" ht="60" hidden="false" customHeight="true" outlineLevel="0" collapsed="false">
      <c r="A14" s="27" t="s">
        <v>126</v>
      </c>
      <c r="B14" s="27" t="s">
        <v>129</v>
      </c>
      <c r="C14" s="28" t="s">
        <v>130</v>
      </c>
      <c r="D14" s="29" t="s">
        <v>104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30" hidden="false" customHeight="true" outlineLevel="0" collapsed="false">
      <c r="A1" s="12" t="s">
        <v>131</v>
      </c>
      <c r="B1" s="12"/>
      <c r="C1" s="12"/>
      <c r="D1" s="12"/>
      <c r="E1" s="12"/>
    </row>
    <row r="3" customFormat="false" ht="15" hidden="false" customHeight="false" outlineLevel="0" collapsed="false">
      <c r="A3" s="3" t="s">
        <v>132</v>
      </c>
      <c r="B3" s="4" t="s">
        <v>133</v>
      </c>
      <c r="C3" s="3" t="s">
        <v>134</v>
      </c>
      <c r="D3" s="3" t="s">
        <v>135</v>
      </c>
      <c r="E3" s="3" t="s">
        <v>42</v>
      </c>
    </row>
    <row r="4" customFormat="false" ht="15" hidden="false" customHeight="false" outlineLevel="0" collapsed="false">
      <c r="A4" s="32" t="s">
        <v>136</v>
      </c>
      <c r="B4" s="25"/>
      <c r="C4" s="25"/>
      <c r="D4" s="25" t="n">
        <v>-550000</v>
      </c>
      <c r="E4" s="26"/>
    </row>
    <row r="5" customFormat="false" ht="15" hidden="false" customHeight="false" outlineLevel="0" collapsed="false">
      <c r="A5" s="32" t="s">
        <v>137</v>
      </c>
      <c r="B5" s="25"/>
      <c r="C5" s="25"/>
      <c r="D5" s="25" t="n">
        <v>0</v>
      </c>
      <c r="E5" s="26"/>
    </row>
    <row r="6" customFormat="false" ht="15" hidden="false" customHeight="false" outlineLevel="0" collapsed="false">
      <c r="A6" s="32" t="s">
        <v>138</v>
      </c>
      <c r="B6" s="25"/>
      <c r="C6" s="25"/>
      <c r="D6" s="25" t="n">
        <v>-889000</v>
      </c>
      <c r="E6" s="26"/>
    </row>
    <row r="7" customFormat="false" ht="15" hidden="false" customHeight="false" outlineLevel="0" collapsed="false">
      <c r="A7" s="32" t="s">
        <v>139</v>
      </c>
      <c r="B7" s="25"/>
      <c r="C7" s="25"/>
      <c r="D7" s="25"/>
      <c r="E7" s="26"/>
    </row>
    <row r="8" customFormat="false" ht="15" hidden="false" customHeight="false" outlineLevel="0" collapsed="false">
      <c r="A8" s="32" t="s">
        <v>140</v>
      </c>
      <c r="B8" s="25"/>
      <c r="C8" s="25"/>
      <c r="D8" s="25" t="n">
        <v>-796000</v>
      </c>
      <c r="E8" s="26"/>
    </row>
    <row r="9" customFormat="false" ht="15" hidden="false" customHeight="false" outlineLevel="0" collapsed="false">
      <c r="A9" s="32" t="s">
        <v>141</v>
      </c>
      <c r="B9" s="25"/>
      <c r="C9" s="25"/>
      <c r="D9" s="25" t="n">
        <v>-200000</v>
      </c>
      <c r="E9" s="26"/>
    </row>
    <row r="10" customFormat="false" ht="15" hidden="false" customHeight="false" outlineLevel="0" collapsed="false">
      <c r="A10" s="32" t="s">
        <v>142</v>
      </c>
      <c r="B10" s="25"/>
      <c r="C10" s="25"/>
      <c r="D10" s="25" t="n">
        <v>-26000</v>
      </c>
      <c r="E10" s="26"/>
    </row>
    <row r="11" customFormat="false" ht="15" hidden="false" customHeight="false" outlineLevel="0" collapsed="false">
      <c r="A11" s="19" t="s">
        <v>143</v>
      </c>
      <c r="B11" s="17" t="n">
        <v>4710137</v>
      </c>
      <c r="C11" s="17" t="n">
        <v>6359341</v>
      </c>
      <c r="D11" s="17" t="n">
        <f aca="false">B11-C11</f>
        <v>-1649204</v>
      </c>
      <c r="E11" s="18" t="n">
        <f aca="false">IF(C11=0,0,(B11-C11)/ABS(C11))</f>
        <v>-0.259335676448236</v>
      </c>
    </row>
    <row r="14" customFormat="false" ht="14.9" hidden="false" customHeight="false" outlineLevel="0" collapsed="false">
      <c r="A14" s="33" t="s">
        <v>144</v>
      </c>
      <c r="B14" s="33"/>
      <c r="C14" s="33"/>
      <c r="D14" s="33"/>
      <c r="E14" s="33"/>
    </row>
    <row r="15" customFormat="false" ht="15" hidden="false" customHeight="false" outlineLevel="0" collapsed="false">
      <c r="A15" s="13" t="s">
        <v>145</v>
      </c>
      <c r="B15" s="25" t="n">
        <v>3969818</v>
      </c>
      <c r="C15" s="34"/>
      <c r="D15" s="34"/>
      <c r="E15" s="34"/>
    </row>
    <row r="16" customFormat="false" ht="15" hidden="false" customHeight="false" outlineLevel="0" collapsed="false">
      <c r="A16" s="32" t="s">
        <v>146</v>
      </c>
      <c r="B16" s="25" t="n">
        <v>2460458</v>
      </c>
      <c r="C16" s="34"/>
      <c r="D16" s="34"/>
      <c r="E16" s="34"/>
    </row>
    <row r="17" customFormat="false" ht="15" hidden="false" customHeight="false" outlineLevel="0" collapsed="false">
      <c r="A17" s="32" t="s">
        <v>147</v>
      </c>
      <c r="B17" s="25" t="n">
        <v>659223</v>
      </c>
      <c r="C17" s="34"/>
      <c r="D17" s="34"/>
      <c r="E17" s="34"/>
    </row>
    <row r="18" customFormat="false" ht="15" hidden="false" customHeight="false" outlineLevel="0" collapsed="false">
      <c r="A18" s="32" t="s">
        <v>148</v>
      </c>
      <c r="B18" s="25" t="n">
        <v>1801235</v>
      </c>
      <c r="C18" s="34"/>
      <c r="D18" s="34"/>
      <c r="E18" s="34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2026-02-28T06:26:31Z</dcterms:created>
  <dc:creator>openpyxl</dc:creator>
  <dc:description/>
  <dc:language>en-US</dc:language>
  <cp:lastModifiedBy/>
  <dcterms:modified xsi:type="dcterms:W3CDTF">2026-02-28T06:26:31Z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