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customProperty4.bin" ContentType="application/vnd.openxmlformats-officedocument.spreadsheetml.customProperty"/>
  <Override PartName="/xl/comments2.xml" ContentType="application/vnd.openxmlformats-officedocument.spreadsheetml.comments+xml"/>
  <Override PartName="/xl/customProperty5.bin" ContentType="application/vnd.openxmlformats-officedocument.spreadsheetml.customProperty"/>
  <Override PartName="/xl/comments3.xml" ContentType="application/vnd.openxmlformats-officedocument.spreadsheetml.comments+xml"/>
  <Override PartName="/xl/customProperty6.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sexycoke-my.sharepoint.com/personal/jhlim_lcinc_world/Documents/Cowork/01_경영재무/경영마감/2026년04월/"/>
    </mc:Choice>
  </mc:AlternateContent>
  <xr:revisionPtr revIDLastSave="2" documentId="8_{EDBE5074-7684-4E5C-9EA5-4E086D7BC33F}" xr6:coauthVersionLast="47" xr6:coauthVersionMax="47" xr10:uidLastSave="{5B67BAB3-88E9-4200-AD34-75E746D52EF8}"/>
  <bookViews>
    <workbookView xWindow="480" yWindow="0" windowWidth="20640" windowHeight="15585" firstSheet="1" activeTab="2" xr2:uid="{00000000-000D-0000-FFFF-FFFF00000000}"/>
  </bookViews>
  <sheets>
    <sheet name="Sale detail by code" sheetId="9" state="hidden" r:id="rId1"/>
    <sheet name="Sch 1 - Sales" sheetId="4" r:id="rId2"/>
    <sheet name="02.Income Statement " sheetId="3" r:id="rId3"/>
    <sheet name="PL USD" sheetId="1" r:id="rId4"/>
    <sheet name="Sch 2 - Manufacturing State" sheetId="2" r:id="rId5"/>
    <sheet name="NG by Customers" sheetId="6" r:id="rId6"/>
    <sheet name="NG by model" sheetId="5" r:id="rId7"/>
    <sheet name="비용 증가 사유" sheetId="10" r:id="rId8"/>
    <sheet name="전기사용량" sheetId="11" r:id="rId9"/>
  </sheets>
  <definedNames>
    <definedName name="_________?" localSheetId="1" hidden="1">{#N/A,#N/A,FALSE,"Aging Summary";#N/A,#N/A,FALSE,"Ratio Analysis";#N/A,#N/A,FALSE,"Test 120 Day Accts";#N/A,#N/A,FALSE,"Tickmarks"}</definedName>
    <definedName name="_________?" localSheetId="4" hidden="1">{#N/A,#N/A,FALSE,"Aging Summary";#N/A,#N/A,FALSE,"Ratio Analysis";#N/A,#N/A,FALSE,"Test 120 Day Accts";#N/A,#N/A,FALSE,"Tickmarks"}</definedName>
    <definedName name="_________?" hidden="1">{#N/A,#N/A,FALSE,"Aging Summary";#N/A,#N/A,FALSE,"Ratio Analysis";#N/A,#N/A,FALSE,"Test 120 Day Accts";#N/A,#N/A,FALSE,"Tickmarks"}</definedName>
    <definedName name="__________?" localSheetId="1" hidden="1">{#N/A,#N/A,FALSE,"Aging Summary";#N/A,#N/A,FALSE,"Ratio Analysis";#N/A,#N/A,FALSE,"Test 120 Day Accts";#N/A,#N/A,FALSE,"Tickmarks"}</definedName>
    <definedName name="__________?" localSheetId="4" hidden="1">{#N/A,#N/A,FALSE,"Aging Summary";#N/A,#N/A,FALSE,"Ratio Analysis";#N/A,#N/A,FALSE,"Test 120 Day Accts";#N/A,#N/A,FALSE,"Tickmarks"}</definedName>
    <definedName name="__________?" hidden="1">{#N/A,#N/A,FALSE,"Aging Summary";#N/A,#N/A,FALSE,"Ratio Analysis";#N/A,#N/A,FALSE,"Test 120 Day Accts";#N/A,#N/A,FALSE,"Tickmarks"}</definedName>
    <definedName name="___________?" localSheetId="1" hidden="1">{#N/A,#N/A,FALSE,"Aging Summary";#N/A,#N/A,FALSE,"Ratio Analysis";#N/A,#N/A,FALSE,"Test 120 Day Accts";#N/A,#N/A,FALSE,"Tickmarks"}</definedName>
    <definedName name="___________?" localSheetId="4" hidden="1">{#N/A,#N/A,FALSE,"Aging Summary";#N/A,#N/A,FALSE,"Ratio Analysis";#N/A,#N/A,FALSE,"Test 120 Day Accts";#N/A,#N/A,FALSE,"Tickmarks"}</definedName>
    <definedName name="___________?" hidden="1">{#N/A,#N/A,FALSE,"Aging Summary";#N/A,#N/A,FALSE,"Ratio Analysis";#N/A,#N/A,FALSE,"Test 120 Day Accts";#N/A,#N/A,FALSE,"Tickmarks"}</definedName>
    <definedName name="_____________cc1" localSheetId="1" hidden="1">{#N/A,#N/A,FALSE,"Aging Summary";#N/A,#N/A,FALSE,"Ratio Analysis";#N/A,#N/A,FALSE,"Test 120 Day Accts";#N/A,#N/A,FALSE,"Tickmarks"}</definedName>
    <definedName name="_____________cc1" localSheetId="4" hidden="1">{#N/A,#N/A,FALSE,"Aging Summary";#N/A,#N/A,FALSE,"Ratio Analysis";#N/A,#N/A,FALSE,"Test 120 Day Accts";#N/A,#N/A,FALSE,"Tickmarks"}</definedName>
    <definedName name="_____________cc1" hidden="1">{#N/A,#N/A,FALSE,"Aging Summary";#N/A,#N/A,FALSE,"Ratio Analysis";#N/A,#N/A,FALSE,"Test 120 Day Accts";#N/A,#N/A,FALSE,"Tickmarks"}</definedName>
    <definedName name="_____________t1" localSheetId="1" hidden="1">{#N/A,#N/A,FALSE,"Aging Summary";#N/A,#N/A,FALSE,"Ratio Analysis";#N/A,#N/A,FALSE,"Test 120 Day Accts";#N/A,#N/A,FALSE,"Tickmarks"}</definedName>
    <definedName name="_____________t1" localSheetId="4" hidden="1">{#N/A,#N/A,FALSE,"Aging Summary";#N/A,#N/A,FALSE,"Ratio Analysis";#N/A,#N/A,FALSE,"Test 120 Day Accts";#N/A,#N/A,FALSE,"Tickmarks"}</definedName>
    <definedName name="_____________t1" hidden="1">{#N/A,#N/A,FALSE,"Aging Summary";#N/A,#N/A,FALSE,"Ratio Analysis";#N/A,#N/A,FALSE,"Test 120 Day Accts";#N/A,#N/A,FALSE,"Tickmarks"}</definedName>
    <definedName name="____________cc1" localSheetId="1" hidden="1">{#N/A,#N/A,FALSE,"Aging Summary";#N/A,#N/A,FALSE,"Ratio Analysis";#N/A,#N/A,FALSE,"Test 120 Day Accts";#N/A,#N/A,FALSE,"Tickmarks"}</definedName>
    <definedName name="____________cc1" localSheetId="4" hidden="1">{#N/A,#N/A,FALSE,"Aging Summary";#N/A,#N/A,FALSE,"Ratio Analysis";#N/A,#N/A,FALSE,"Test 120 Day Accts";#N/A,#N/A,FALSE,"Tickmarks"}</definedName>
    <definedName name="____________cc1" hidden="1">{#N/A,#N/A,FALSE,"Aging Summary";#N/A,#N/A,FALSE,"Ratio Analysis";#N/A,#N/A,FALSE,"Test 120 Day Accts";#N/A,#N/A,FALSE,"Tickmarks"}</definedName>
    <definedName name="____________t1" localSheetId="1" hidden="1">{#N/A,#N/A,FALSE,"Aging Summary";#N/A,#N/A,FALSE,"Ratio Analysis";#N/A,#N/A,FALSE,"Test 120 Day Accts";#N/A,#N/A,FALSE,"Tickmarks"}</definedName>
    <definedName name="____________t1" localSheetId="4" hidden="1">{#N/A,#N/A,FALSE,"Aging Summary";#N/A,#N/A,FALSE,"Ratio Analysis";#N/A,#N/A,FALSE,"Test 120 Day Accts";#N/A,#N/A,FALSE,"Tickmarks"}</definedName>
    <definedName name="____________t1" hidden="1">{#N/A,#N/A,FALSE,"Aging Summary";#N/A,#N/A,FALSE,"Ratio Analysis";#N/A,#N/A,FALSE,"Test 120 Day Accts";#N/A,#N/A,FALSE,"Tickmarks"}</definedName>
    <definedName name="___________cc1" localSheetId="1" hidden="1">{#N/A,#N/A,FALSE,"Aging Summary";#N/A,#N/A,FALSE,"Ratio Analysis";#N/A,#N/A,FALSE,"Test 120 Day Accts";#N/A,#N/A,FALSE,"Tickmarks"}</definedName>
    <definedName name="___________cc1" localSheetId="4" hidden="1">{#N/A,#N/A,FALSE,"Aging Summary";#N/A,#N/A,FALSE,"Ratio Analysis";#N/A,#N/A,FALSE,"Test 120 Day Accts";#N/A,#N/A,FALSE,"Tickmarks"}</definedName>
    <definedName name="___________cc1" hidden="1">{#N/A,#N/A,FALSE,"Aging Summary";#N/A,#N/A,FALSE,"Ratio Analysis";#N/A,#N/A,FALSE,"Test 120 Day Accts";#N/A,#N/A,FALSE,"Tickmarks"}</definedName>
    <definedName name="___________t1" localSheetId="1" hidden="1">{#N/A,#N/A,FALSE,"Aging Summary";#N/A,#N/A,FALSE,"Ratio Analysis";#N/A,#N/A,FALSE,"Test 120 Day Accts";#N/A,#N/A,FALSE,"Tickmarks"}</definedName>
    <definedName name="___________t1" localSheetId="4" hidden="1">{#N/A,#N/A,FALSE,"Aging Summary";#N/A,#N/A,FALSE,"Ratio Analysis";#N/A,#N/A,FALSE,"Test 120 Day Accts";#N/A,#N/A,FALSE,"Tickmarks"}</definedName>
    <definedName name="___________t1" hidden="1">{#N/A,#N/A,FALSE,"Aging Summary";#N/A,#N/A,FALSE,"Ratio Analysis";#N/A,#N/A,FALSE,"Test 120 Day Accts";#N/A,#N/A,FALSE,"Tickmarks"}</definedName>
    <definedName name="__________a1" localSheetId="1" hidden="1">{"'Sheet1'!$L$16"}</definedName>
    <definedName name="__________a1" localSheetId="4" hidden="1">{"'Sheet1'!$L$16"}</definedName>
    <definedName name="__________a1" hidden="1">{"'Sheet1'!$L$16"}</definedName>
    <definedName name="__________a10" localSheetId="1" hidden="1">{"'Sheet1'!$L$16"}</definedName>
    <definedName name="__________a10" localSheetId="4" hidden="1">{"'Sheet1'!$L$16"}</definedName>
    <definedName name="__________a10" hidden="1">{"'Sheet1'!$L$16"}</definedName>
    <definedName name="__________a11" localSheetId="1" hidden="1">{"'Sheet1'!$L$16"}</definedName>
    <definedName name="__________a11" localSheetId="4" hidden="1">{"'Sheet1'!$L$16"}</definedName>
    <definedName name="__________a11" hidden="1">{"'Sheet1'!$L$16"}</definedName>
    <definedName name="__________a12" localSheetId="1" hidden="1">{"'Sheet1'!$L$16"}</definedName>
    <definedName name="__________a12" localSheetId="4" hidden="1">{"'Sheet1'!$L$16"}</definedName>
    <definedName name="__________a12" hidden="1">{"'Sheet1'!$L$16"}</definedName>
    <definedName name="__________a2" localSheetId="1" hidden="1">{"'Sheet1'!$L$16"}</definedName>
    <definedName name="__________a2" localSheetId="4" hidden="1">{"'Sheet1'!$L$16"}</definedName>
    <definedName name="__________a2" hidden="1">{"'Sheet1'!$L$16"}</definedName>
    <definedName name="__________a3" localSheetId="1" hidden="1">{"'Sheet1'!$L$16"}</definedName>
    <definedName name="__________a3" localSheetId="4" hidden="1">{"'Sheet1'!$L$16"}</definedName>
    <definedName name="__________a3" hidden="1">{"'Sheet1'!$L$16"}</definedName>
    <definedName name="__________a4" localSheetId="1" hidden="1">{"'Sheet1'!$L$16"}</definedName>
    <definedName name="__________a4" localSheetId="4" hidden="1">{"'Sheet1'!$L$16"}</definedName>
    <definedName name="__________a4" hidden="1">{"'Sheet1'!$L$16"}</definedName>
    <definedName name="__________a5" localSheetId="1" hidden="1">{"'Sheet1'!$L$16"}</definedName>
    <definedName name="__________a5" localSheetId="4" hidden="1">{"'Sheet1'!$L$16"}</definedName>
    <definedName name="__________a5" hidden="1">{"'Sheet1'!$L$16"}</definedName>
    <definedName name="__________a7" localSheetId="1" hidden="1">{"'Sheet1'!$L$16"}</definedName>
    <definedName name="__________a7" localSheetId="4" hidden="1">{"'Sheet1'!$L$16"}</definedName>
    <definedName name="__________a7" hidden="1">{"'Sheet1'!$L$16"}</definedName>
    <definedName name="__________a8" localSheetId="1" hidden="1">{"'Sheet1'!$L$16"}</definedName>
    <definedName name="__________a8" localSheetId="4" hidden="1">{"'Sheet1'!$L$16"}</definedName>
    <definedName name="__________a8" hidden="1">{"'Sheet1'!$L$16"}</definedName>
    <definedName name="__________a9" localSheetId="1" hidden="1">{"'Sheet1'!$L$16"}</definedName>
    <definedName name="__________a9" localSheetId="4" hidden="1">{"'Sheet1'!$L$16"}</definedName>
    <definedName name="__________a9" hidden="1">{"'Sheet1'!$L$16"}</definedName>
    <definedName name="__________f5" localSheetId="1" hidden="1">{"'Sheet1'!$L$16"}</definedName>
    <definedName name="__________f5" localSheetId="4" hidden="1">{"'Sheet1'!$L$16"}</definedName>
    <definedName name="__________f5" hidden="1">{"'Sheet1'!$L$16"}</definedName>
    <definedName name="__________T01" localSheetId="1" hidden="1">#REF!</definedName>
    <definedName name="__________T01" localSheetId="4" hidden="1">#REF!</definedName>
    <definedName name="__________T01" hidden="1">#REF!</definedName>
    <definedName name="_________a1" localSheetId="1" hidden="1">{"'Sheet1'!$L$16"}</definedName>
    <definedName name="_________a1" localSheetId="4" hidden="1">{"'Sheet1'!$L$16"}</definedName>
    <definedName name="_________a1" hidden="1">{"'Sheet1'!$L$16"}</definedName>
    <definedName name="_________a10" localSheetId="1" hidden="1">{"'Sheet1'!$L$16"}</definedName>
    <definedName name="_________a10" localSheetId="4" hidden="1">{"'Sheet1'!$L$16"}</definedName>
    <definedName name="_________a10" hidden="1">{"'Sheet1'!$L$16"}</definedName>
    <definedName name="_________a11" localSheetId="1" hidden="1">{"'Sheet1'!$L$16"}</definedName>
    <definedName name="_________a11" localSheetId="4" hidden="1">{"'Sheet1'!$L$16"}</definedName>
    <definedName name="_________a11" hidden="1">{"'Sheet1'!$L$16"}</definedName>
    <definedName name="_________a12" localSheetId="1" hidden="1">{"'Sheet1'!$L$16"}</definedName>
    <definedName name="_________a12" localSheetId="4" hidden="1">{"'Sheet1'!$L$16"}</definedName>
    <definedName name="_________a12" hidden="1">{"'Sheet1'!$L$16"}</definedName>
    <definedName name="_________a2" localSheetId="1" hidden="1">{"'Sheet1'!$L$16"}</definedName>
    <definedName name="_________a2" localSheetId="4" hidden="1">{"'Sheet1'!$L$16"}</definedName>
    <definedName name="_________a2" hidden="1">{"'Sheet1'!$L$16"}</definedName>
    <definedName name="_________a3" localSheetId="1" hidden="1">{"'Sheet1'!$L$16"}</definedName>
    <definedName name="_________a3" localSheetId="4" hidden="1">{"'Sheet1'!$L$16"}</definedName>
    <definedName name="_________a3" hidden="1">{"'Sheet1'!$L$16"}</definedName>
    <definedName name="_________a4" localSheetId="1" hidden="1">{"'Sheet1'!$L$16"}</definedName>
    <definedName name="_________a4" localSheetId="4" hidden="1">{"'Sheet1'!$L$16"}</definedName>
    <definedName name="_________a4" hidden="1">{"'Sheet1'!$L$16"}</definedName>
    <definedName name="_________a5" localSheetId="1" hidden="1">{"'Sheet1'!$L$16"}</definedName>
    <definedName name="_________a5" localSheetId="4" hidden="1">{"'Sheet1'!$L$16"}</definedName>
    <definedName name="_________a5" hidden="1">{"'Sheet1'!$L$16"}</definedName>
    <definedName name="_________a7" localSheetId="1" hidden="1">{"'Sheet1'!$L$16"}</definedName>
    <definedName name="_________a7" localSheetId="4" hidden="1">{"'Sheet1'!$L$16"}</definedName>
    <definedName name="_________a7" hidden="1">{"'Sheet1'!$L$16"}</definedName>
    <definedName name="_________a8" localSheetId="1" hidden="1">{"'Sheet1'!$L$16"}</definedName>
    <definedName name="_________a8" localSheetId="4" hidden="1">{"'Sheet1'!$L$16"}</definedName>
    <definedName name="_________a8" hidden="1">{"'Sheet1'!$L$16"}</definedName>
    <definedName name="_________a9" localSheetId="1" hidden="1">{"'Sheet1'!$L$16"}</definedName>
    <definedName name="_________a9" localSheetId="4" hidden="1">{"'Sheet1'!$L$16"}</definedName>
    <definedName name="_________a9" hidden="1">{"'Sheet1'!$L$16"}</definedName>
    <definedName name="_________f5" localSheetId="1" hidden="1">{"'Sheet1'!$L$16"}</definedName>
    <definedName name="_________f5" localSheetId="4" hidden="1">{"'Sheet1'!$L$16"}</definedName>
    <definedName name="_________f5" hidden="1">{"'Sheet1'!$L$16"}</definedName>
    <definedName name="_________T01" localSheetId="1" hidden="1">#REF!</definedName>
    <definedName name="_________T01" localSheetId="4" hidden="1">#REF!</definedName>
    <definedName name="_________T01" hidden="1">#REF!</definedName>
    <definedName name="_________T1" localSheetId="1" hidden="1">{"'Sheet1'!$L$16"}</definedName>
    <definedName name="_________T1" localSheetId="4" hidden="1">{"'Sheet1'!$L$16"}</definedName>
    <definedName name="_________T1" hidden="1">{"'Sheet1'!$L$16"}</definedName>
    <definedName name="________a1" localSheetId="1" hidden="1">{"'Sheet1'!$L$16"}</definedName>
    <definedName name="________a1" localSheetId="4" hidden="1">{"'Sheet1'!$L$16"}</definedName>
    <definedName name="________a1" hidden="1">{"'Sheet1'!$L$16"}</definedName>
    <definedName name="________a10" localSheetId="1" hidden="1">{"'Sheet1'!$L$16"}</definedName>
    <definedName name="________a10" localSheetId="4" hidden="1">{"'Sheet1'!$L$16"}</definedName>
    <definedName name="________a10" hidden="1">{"'Sheet1'!$L$16"}</definedName>
    <definedName name="________a11" localSheetId="1" hidden="1">{"'Sheet1'!$L$16"}</definedName>
    <definedName name="________a11" localSheetId="4" hidden="1">{"'Sheet1'!$L$16"}</definedName>
    <definedName name="________a11" hidden="1">{"'Sheet1'!$L$16"}</definedName>
    <definedName name="________a12" localSheetId="1" hidden="1">{"'Sheet1'!$L$16"}</definedName>
    <definedName name="________a12" localSheetId="4" hidden="1">{"'Sheet1'!$L$16"}</definedName>
    <definedName name="________a12" hidden="1">{"'Sheet1'!$L$16"}</definedName>
    <definedName name="________a2" localSheetId="1" hidden="1">{"'Sheet1'!$L$16"}</definedName>
    <definedName name="________a2" localSheetId="4" hidden="1">{"'Sheet1'!$L$16"}</definedName>
    <definedName name="________a2" hidden="1">{"'Sheet1'!$L$16"}</definedName>
    <definedName name="________a3" localSheetId="1" hidden="1">{"'Sheet1'!$L$16"}</definedName>
    <definedName name="________a3" localSheetId="4" hidden="1">{"'Sheet1'!$L$16"}</definedName>
    <definedName name="________a3" hidden="1">{"'Sheet1'!$L$16"}</definedName>
    <definedName name="________a4" localSheetId="1" hidden="1">{"'Sheet1'!$L$16"}</definedName>
    <definedName name="________a4" localSheetId="4" hidden="1">{"'Sheet1'!$L$16"}</definedName>
    <definedName name="________a4" hidden="1">{"'Sheet1'!$L$16"}</definedName>
    <definedName name="________a5" localSheetId="1" hidden="1">{"'Sheet1'!$L$16"}</definedName>
    <definedName name="________a5" localSheetId="4" hidden="1">{"'Sheet1'!$L$16"}</definedName>
    <definedName name="________a5" hidden="1">{"'Sheet1'!$L$16"}</definedName>
    <definedName name="________a7" localSheetId="1" hidden="1">{"'Sheet1'!$L$16"}</definedName>
    <definedName name="________a7" localSheetId="4" hidden="1">{"'Sheet1'!$L$16"}</definedName>
    <definedName name="________a7" hidden="1">{"'Sheet1'!$L$16"}</definedName>
    <definedName name="________a8" localSheetId="1" hidden="1">{"'Sheet1'!$L$16"}</definedName>
    <definedName name="________a8" localSheetId="4" hidden="1">{"'Sheet1'!$L$16"}</definedName>
    <definedName name="________a8" hidden="1">{"'Sheet1'!$L$16"}</definedName>
    <definedName name="________a9" localSheetId="1" hidden="1">{"'Sheet1'!$L$16"}</definedName>
    <definedName name="________a9" localSheetId="4" hidden="1">{"'Sheet1'!$L$16"}</definedName>
    <definedName name="________a9" hidden="1">{"'Sheet1'!$L$16"}</definedName>
    <definedName name="________f5" localSheetId="1" hidden="1">{"'Sheet1'!$L$16"}</definedName>
    <definedName name="________f5" localSheetId="4" hidden="1">{"'Sheet1'!$L$16"}</definedName>
    <definedName name="________f5" hidden="1">{"'Sheet1'!$L$16"}</definedName>
    <definedName name="________T01" localSheetId="1" hidden="1">#REF!</definedName>
    <definedName name="________T01" localSheetId="4" hidden="1">#REF!</definedName>
    <definedName name="________T01" hidden="1">#REF!</definedName>
    <definedName name="________T1" localSheetId="1" hidden="1">{"'Sheet1'!$L$16"}</definedName>
    <definedName name="________T1" localSheetId="4" hidden="1">{"'Sheet1'!$L$16"}</definedName>
    <definedName name="________T1" hidden="1">{"'Sheet1'!$L$16"}</definedName>
    <definedName name="_______a1" localSheetId="1" hidden="1">{"'Sheet1'!$L$16"}</definedName>
    <definedName name="_______a1" localSheetId="4" hidden="1">{"'Sheet1'!$L$16"}</definedName>
    <definedName name="_______a1" hidden="1">{"'Sheet1'!$L$16"}</definedName>
    <definedName name="_______a10" localSheetId="1" hidden="1">{"'Sheet1'!$L$16"}</definedName>
    <definedName name="_______a10" localSheetId="4" hidden="1">{"'Sheet1'!$L$16"}</definedName>
    <definedName name="_______a10" hidden="1">{"'Sheet1'!$L$16"}</definedName>
    <definedName name="_______a11" localSheetId="1" hidden="1">{"'Sheet1'!$L$16"}</definedName>
    <definedName name="_______a11" localSheetId="4" hidden="1">{"'Sheet1'!$L$16"}</definedName>
    <definedName name="_______a11" hidden="1">{"'Sheet1'!$L$16"}</definedName>
    <definedName name="_______a12" localSheetId="1" hidden="1">{"'Sheet1'!$L$16"}</definedName>
    <definedName name="_______a12" localSheetId="4" hidden="1">{"'Sheet1'!$L$16"}</definedName>
    <definedName name="_______a12" hidden="1">{"'Sheet1'!$L$16"}</definedName>
    <definedName name="_______a2" localSheetId="1" hidden="1">{"'Sheet1'!$L$16"}</definedName>
    <definedName name="_______a2" localSheetId="4" hidden="1">{"'Sheet1'!$L$16"}</definedName>
    <definedName name="_______a2" hidden="1">{"'Sheet1'!$L$16"}</definedName>
    <definedName name="_______a3" localSheetId="1" hidden="1">{"'Sheet1'!$L$16"}</definedName>
    <definedName name="_______a3" localSheetId="4" hidden="1">{"'Sheet1'!$L$16"}</definedName>
    <definedName name="_______a3" hidden="1">{"'Sheet1'!$L$16"}</definedName>
    <definedName name="_______a4" localSheetId="1" hidden="1">{"'Sheet1'!$L$16"}</definedName>
    <definedName name="_______a4" localSheetId="4" hidden="1">{"'Sheet1'!$L$16"}</definedName>
    <definedName name="_______a4" hidden="1">{"'Sheet1'!$L$16"}</definedName>
    <definedName name="_______a5" localSheetId="1" hidden="1">{"'Sheet1'!$L$16"}</definedName>
    <definedName name="_______a5" localSheetId="4" hidden="1">{"'Sheet1'!$L$16"}</definedName>
    <definedName name="_______a5" hidden="1">{"'Sheet1'!$L$16"}</definedName>
    <definedName name="_______a7" localSheetId="1" hidden="1">{"'Sheet1'!$L$16"}</definedName>
    <definedName name="_______a7" localSheetId="4" hidden="1">{"'Sheet1'!$L$16"}</definedName>
    <definedName name="_______a7" hidden="1">{"'Sheet1'!$L$16"}</definedName>
    <definedName name="_______a8" localSheetId="1" hidden="1">{"'Sheet1'!$L$16"}</definedName>
    <definedName name="_______a8" localSheetId="4" hidden="1">{"'Sheet1'!$L$16"}</definedName>
    <definedName name="_______a8" hidden="1">{"'Sheet1'!$L$16"}</definedName>
    <definedName name="_______a9" localSheetId="1" hidden="1">{"'Sheet1'!$L$16"}</definedName>
    <definedName name="_______a9" localSheetId="4" hidden="1">{"'Sheet1'!$L$16"}</definedName>
    <definedName name="_______a9" hidden="1">{"'Sheet1'!$L$16"}</definedName>
    <definedName name="_______f5" localSheetId="1" hidden="1">{"'Sheet1'!$L$16"}</definedName>
    <definedName name="_______f5" localSheetId="4" hidden="1">{"'Sheet1'!$L$16"}</definedName>
    <definedName name="_______f5" hidden="1">{"'Sheet1'!$L$16"}</definedName>
    <definedName name="_______T01" localSheetId="1" hidden="1">#REF!</definedName>
    <definedName name="_______T01" localSheetId="4" hidden="1">#REF!</definedName>
    <definedName name="_______T01" hidden="1">#REF!</definedName>
    <definedName name="_______T1" localSheetId="1" hidden="1">{"'Sheet1'!$L$16"}</definedName>
    <definedName name="_______T1" localSheetId="4" hidden="1">{"'Sheet1'!$L$16"}</definedName>
    <definedName name="_______T1" hidden="1">{"'Sheet1'!$L$16"}</definedName>
    <definedName name="______a1" localSheetId="1" hidden="1">{"'Sheet1'!$L$16"}</definedName>
    <definedName name="______a1" localSheetId="4" hidden="1">{"'Sheet1'!$L$16"}</definedName>
    <definedName name="______a1" hidden="1">{"'Sheet1'!$L$16"}</definedName>
    <definedName name="______a10" localSheetId="1" hidden="1">{"'Sheet1'!$L$16"}</definedName>
    <definedName name="______a10" localSheetId="4" hidden="1">{"'Sheet1'!$L$16"}</definedName>
    <definedName name="______a10" hidden="1">{"'Sheet1'!$L$16"}</definedName>
    <definedName name="______a11" localSheetId="1" hidden="1">{"'Sheet1'!$L$16"}</definedName>
    <definedName name="______a11" localSheetId="4" hidden="1">{"'Sheet1'!$L$16"}</definedName>
    <definedName name="______a11" hidden="1">{"'Sheet1'!$L$16"}</definedName>
    <definedName name="______a12" localSheetId="1" hidden="1">{"'Sheet1'!$L$16"}</definedName>
    <definedName name="______a12" localSheetId="4" hidden="1">{"'Sheet1'!$L$16"}</definedName>
    <definedName name="______a12" hidden="1">{"'Sheet1'!$L$16"}</definedName>
    <definedName name="______a2" localSheetId="1" hidden="1">{"'Sheet1'!$L$16"}</definedName>
    <definedName name="______a2" localSheetId="4" hidden="1">{"'Sheet1'!$L$16"}</definedName>
    <definedName name="______a2" hidden="1">{"'Sheet1'!$L$16"}</definedName>
    <definedName name="______a3" localSheetId="1" hidden="1">{"'Sheet1'!$L$16"}</definedName>
    <definedName name="______a3" localSheetId="4" hidden="1">{"'Sheet1'!$L$16"}</definedName>
    <definedName name="______a3" hidden="1">{"'Sheet1'!$L$16"}</definedName>
    <definedName name="______a4" localSheetId="1" hidden="1">{"'Sheet1'!$L$16"}</definedName>
    <definedName name="______a4" localSheetId="4" hidden="1">{"'Sheet1'!$L$16"}</definedName>
    <definedName name="______a4" hidden="1">{"'Sheet1'!$L$16"}</definedName>
    <definedName name="______a5" localSheetId="1" hidden="1">{"'Sheet1'!$L$16"}</definedName>
    <definedName name="______a5" localSheetId="4" hidden="1">{"'Sheet1'!$L$16"}</definedName>
    <definedName name="______a5" hidden="1">{"'Sheet1'!$L$16"}</definedName>
    <definedName name="______a7" localSheetId="1" hidden="1">{"'Sheet1'!$L$16"}</definedName>
    <definedName name="______a7" localSheetId="4" hidden="1">{"'Sheet1'!$L$16"}</definedName>
    <definedName name="______a7" hidden="1">{"'Sheet1'!$L$16"}</definedName>
    <definedName name="______a8" localSheetId="1" hidden="1">{"'Sheet1'!$L$16"}</definedName>
    <definedName name="______a8" localSheetId="4" hidden="1">{"'Sheet1'!$L$16"}</definedName>
    <definedName name="______a8" hidden="1">{"'Sheet1'!$L$16"}</definedName>
    <definedName name="______a9" localSheetId="1" hidden="1">{"'Sheet1'!$L$16"}</definedName>
    <definedName name="______a9" localSheetId="4" hidden="1">{"'Sheet1'!$L$16"}</definedName>
    <definedName name="______a9" hidden="1">{"'Sheet1'!$L$16"}</definedName>
    <definedName name="______f5" localSheetId="1" hidden="1">{"'Sheet1'!$L$16"}</definedName>
    <definedName name="______f5" localSheetId="4" hidden="1">{"'Sheet1'!$L$16"}</definedName>
    <definedName name="______f5" hidden="1">{"'Sheet1'!$L$16"}</definedName>
    <definedName name="______T01" localSheetId="1" hidden="1">#REF!</definedName>
    <definedName name="______T01" localSheetId="4" hidden="1">#REF!</definedName>
    <definedName name="______T01" hidden="1">#REF!</definedName>
    <definedName name="______T1" localSheetId="1" hidden="1">{"'Sheet1'!$L$16"}</definedName>
    <definedName name="______T1" localSheetId="4" hidden="1">{"'Sheet1'!$L$16"}</definedName>
    <definedName name="______T1" hidden="1">{"'Sheet1'!$L$16"}</definedName>
    <definedName name="_____a1" localSheetId="1" hidden="1">{"'Sheet1'!$L$16"}</definedName>
    <definedName name="_____a1" localSheetId="4" hidden="1">{"'Sheet1'!$L$16"}</definedName>
    <definedName name="_____a1" hidden="1">{"'Sheet1'!$L$16"}</definedName>
    <definedName name="_____a10" localSheetId="1" hidden="1">{"'Sheet1'!$L$16"}</definedName>
    <definedName name="_____a10" localSheetId="4" hidden="1">{"'Sheet1'!$L$16"}</definedName>
    <definedName name="_____a10" hidden="1">{"'Sheet1'!$L$16"}</definedName>
    <definedName name="_____a11" localSheetId="1" hidden="1">{"'Sheet1'!$L$16"}</definedName>
    <definedName name="_____a11" localSheetId="4" hidden="1">{"'Sheet1'!$L$16"}</definedName>
    <definedName name="_____a11" hidden="1">{"'Sheet1'!$L$16"}</definedName>
    <definedName name="_____a12" localSheetId="1" hidden="1">{"'Sheet1'!$L$16"}</definedName>
    <definedName name="_____a12" localSheetId="4" hidden="1">{"'Sheet1'!$L$16"}</definedName>
    <definedName name="_____a12" hidden="1">{"'Sheet1'!$L$16"}</definedName>
    <definedName name="_____a2" localSheetId="1" hidden="1">{"'Sheet1'!$L$16"}</definedName>
    <definedName name="_____a2" localSheetId="4" hidden="1">{"'Sheet1'!$L$16"}</definedName>
    <definedName name="_____a2" hidden="1">{"'Sheet1'!$L$16"}</definedName>
    <definedName name="_____a3" localSheetId="1" hidden="1">{"'Sheet1'!$L$16"}</definedName>
    <definedName name="_____a3" localSheetId="4" hidden="1">{"'Sheet1'!$L$16"}</definedName>
    <definedName name="_____a3" hidden="1">{"'Sheet1'!$L$16"}</definedName>
    <definedName name="_____a4" localSheetId="1" hidden="1">{"'Sheet1'!$L$16"}</definedName>
    <definedName name="_____a4" localSheetId="4" hidden="1">{"'Sheet1'!$L$16"}</definedName>
    <definedName name="_____a4" hidden="1">{"'Sheet1'!$L$16"}</definedName>
    <definedName name="_____a5" localSheetId="1" hidden="1">{"'Sheet1'!$L$16"}</definedName>
    <definedName name="_____a5" localSheetId="4" hidden="1">{"'Sheet1'!$L$16"}</definedName>
    <definedName name="_____a5" hidden="1">{"'Sheet1'!$L$16"}</definedName>
    <definedName name="_____a7" localSheetId="1" hidden="1">{"'Sheet1'!$L$16"}</definedName>
    <definedName name="_____a7" localSheetId="4" hidden="1">{"'Sheet1'!$L$16"}</definedName>
    <definedName name="_____a7" hidden="1">{"'Sheet1'!$L$16"}</definedName>
    <definedName name="_____a8" localSheetId="1" hidden="1">{"'Sheet1'!$L$16"}</definedName>
    <definedName name="_____a8" localSheetId="4" hidden="1">{"'Sheet1'!$L$16"}</definedName>
    <definedName name="_____a8" hidden="1">{"'Sheet1'!$L$16"}</definedName>
    <definedName name="_____a9" localSheetId="1" hidden="1">{"'Sheet1'!$L$16"}</definedName>
    <definedName name="_____a9" localSheetId="4" hidden="1">{"'Sheet1'!$L$16"}</definedName>
    <definedName name="_____a9" hidden="1">{"'Sheet1'!$L$16"}</definedName>
    <definedName name="_____f5" localSheetId="1" hidden="1">{"'Sheet1'!$L$16"}</definedName>
    <definedName name="_____f5" localSheetId="4" hidden="1">{"'Sheet1'!$L$16"}</definedName>
    <definedName name="_____f5" hidden="1">{"'Sheet1'!$L$16"}</definedName>
    <definedName name="_____T01" localSheetId="1" hidden="1">#REF!</definedName>
    <definedName name="_____T01" localSheetId="4" hidden="1">#REF!</definedName>
    <definedName name="_____T01" hidden="1">#REF!</definedName>
    <definedName name="_____T1" localSheetId="1" hidden="1">{"'Sheet1'!$L$16"}</definedName>
    <definedName name="_____T1" localSheetId="4" hidden="1">{"'Sheet1'!$L$16"}</definedName>
    <definedName name="_____T1" hidden="1">{"'Sheet1'!$L$16"}</definedName>
    <definedName name="____a1" localSheetId="1" hidden="1">{"'Sheet1'!$L$16"}</definedName>
    <definedName name="____a1" localSheetId="4" hidden="1">{"'Sheet1'!$L$16"}</definedName>
    <definedName name="____a1" hidden="1">{"'Sheet1'!$L$16"}</definedName>
    <definedName name="____a10" localSheetId="1" hidden="1">{"'Sheet1'!$L$16"}</definedName>
    <definedName name="____a10" localSheetId="4" hidden="1">{"'Sheet1'!$L$16"}</definedName>
    <definedName name="____a10" hidden="1">{"'Sheet1'!$L$16"}</definedName>
    <definedName name="____a11" localSheetId="1" hidden="1">{"'Sheet1'!$L$16"}</definedName>
    <definedName name="____a11" localSheetId="4" hidden="1">{"'Sheet1'!$L$16"}</definedName>
    <definedName name="____a11" hidden="1">{"'Sheet1'!$L$16"}</definedName>
    <definedName name="____a12" localSheetId="1" hidden="1">{"'Sheet1'!$L$16"}</definedName>
    <definedName name="____a12" localSheetId="4" hidden="1">{"'Sheet1'!$L$16"}</definedName>
    <definedName name="____a12" hidden="1">{"'Sheet1'!$L$16"}</definedName>
    <definedName name="____a2" localSheetId="1" hidden="1">{"'Sheet1'!$L$16"}</definedName>
    <definedName name="____a2" localSheetId="4" hidden="1">{"'Sheet1'!$L$16"}</definedName>
    <definedName name="____a2" hidden="1">{"'Sheet1'!$L$16"}</definedName>
    <definedName name="____a3" localSheetId="1" hidden="1">{"'Sheet1'!$L$16"}</definedName>
    <definedName name="____a3" localSheetId="4" hidden="1">{"'Sheet1'!$L$16"}</definedName>
    <definedName name="____a3" hidden="1">{"'Sheet1'!$L$16"}</definedName>
    <definedName name="____a4" localSheetId="1" hidden="1">{"'Sheet1'!$L$16"}</definedName>
    <definedName name="____a4" localSheetId="4" hidden="1">{"'Sheet1'!$L$16"}</definedName>
    <definedName name="____a4" hidden="1">{"'Sheet1'!$L$16"}</definedName>
    <definedName name="____a5" localSheetId="1" hidden="1">{"'Sheet1'!$L$16"}</definedName>
    <definedName name="____a5" localSheetId="4" hidden="1">{"'Sheet1'!$L$16"}</definedName>
    <definedName name="____a5" hidden="1">{"'Sheet1'!$L$16"}</definedName>
    <definedName name="____a7" localSheetId="1" hidden="1">{"'Sheet1'!$L$16"}</definedName>
    <definedName name="____a7" localSheetId="4" hidden="1">{"'Sheet1'!$L$16"}</definedName>
    <definedName name="____a7" hidden="1">{"'Sheet1'!$L$16"}</definedName>
    <definedName name="____a8" localSheetId="1" hidden="1">{"'Sheet1'!$L$16"}</definedName>
    <definedName name="____a8" localSheetId="4" hidden="1">{"'Sheet1'!$L$16"}</definedName>
    <definedName name="____a8" hidden="1">{"'Sheet1'!$L$16"}</definedName>
    <definedName name="____a9" localSheetId="1" hidden="1">{"'Sheet1'!$L$16"}</definedName>
    <definedName name="____a9" localSheetId="4" hidden="1">{"'Sheet1'!$L$16"}</definedName>
    <definedName name="____a9" hidden="1">{"'Sheet1'!$L$16"}</definedName>
    <definedName name="____f5" localSheetId="1" hidden="1">{"'Sheet1'!$L$16"}</definedName>
    <definedName name="____f5" localSheetId="4" hidden="1">{"'Sheet1'!$L$16"}</definedName>
    <definedName name="____f5" hidden="1">{"'Sheet1'!$L$16"}</definedName>
    <definedName name="____NSO2" localSheetId="1" hidden="1">{"'Sheet1'!$L$16"}</definedName>
    <definedName name="____NSO2" localSheetId="4" hidden="1">{"'Sheet1'!$L$16"}</definedName>
    <definedName name="____NSO2" hidden="1">{"'Sheet1'!$L$16"}</definedName>
    <definedName name="____T01" localSheetId="1" hidden="1">#REF!</definedName>
    <definedName name="____T01" localSheetId="4" hidden="1">#REF!</definedName>
    <definedName name="____T01" hidden="1">#REF!</definedName>
    <definedName name="____T1" localSheetId="1" hidden="1">{"'Sheet1'!$L$16"}</definedName>
    <definedName name="____T1" localSheetId="4" hidden="1">{"'Sheet1'!$L$16"}</definedName>
    <definedName name="____T1" hidden="1">{"'Sheet1'!$L$16"}</definedName>
    <definedName name="___a1" localSheetId="1" hidden="1">{"'Sheet1'!$L$16"}</definedName>
    <definedName name="___a1" localSheetId="4" hidden="1">{"'Sheet1'!$L$16"}</definedName>
    <definedName name="___a1" hidden="1">{"'Sheet1'!$L$16"}</definedName>
    <definedName name="___a10" localSheetId="1" hidden="1">{"'Sheet1'!$L$16"}</definedName>
    <definedName name="___a10" localSheetId="4" hidden="1">{"'Sheet1'!$L$16"}</definedName>
    <definedName name="___a10" hidden="1">{"'Sheet1'!$L$16"}</definedName>
    <definedName name="___a11" localSheetId="1" hidden="1">{"'Sheet1'!$L$16"}</definedName>
    <definedName name="___a11" localSheetId="4" hidden="1">{"'Sheet1'!$L$16"}</definedName>
    <definedName name="___a11" hidden="1">{"'Sheet1'!$L$16"}</definedName>
    <definedName name="___a12" localSheetId="1" hidden="1">{"'Sheet1'!$L$16"}</definedName>
    <definedName name="___a12" localSheetId="4" hidden="1">{"'Sheet1'!$L$16"}</definedName>
    <definedName name="___a12" hidden="1">{"'Sheet1'!$L$16"}</definedName>
    <definedName name="___a2" localSheetId="1" hidden="1">{"'Sheet1'!$L$16"}</definedName>
    <definedName name="___a2" localSheetId="4" hidden="1">{"'Sheet1'!$L$16"}</definedName>
    <definedName name="___a2" hidden="1">{"'Sheet1'!$L$16"}</definedName>
    <definedName name="___a3" localSheetId="1" hidden="1">{"'Sheet1'!$L$16"}</definedName>
    <definedName name="___a3" localSheetId="4" hidden="1">{"'Sheet1'!$L$16"}</definedName>
    <definedName name="___a3" hidden="1">{"'Sheet1'!$L$16"}</definedName>
    <definedName name="___a4" localSheetId="1" hidden="1">{"'Sheet1'!$L$16"}</definedName>
    <definedName name="___a4" localSheetId="4" hidden="1">{"'Sheet1'!$L$16"}</definedName>
    <definedName name="___a4" hidden="1">{"'Sheet1'!$L$16"}</definedName>
    <definedName name="___a5" localSheetId="1" hidden="1">{"'Sheet1'!$L$16"}</definedName>
    <definedName name="___a5" localSheetId="4" hidden="1">{"'Sheet1'!$L$16"}</definedName>
    <definedName name="___a5" hidden="1">{"'Sheet1'!$L$16"}</definedName>
    <definedName name="___a7" localSheetId="1" hidden="1">{"'Sheet1'!$L$16"}</definedName>
    <definedName name="___a7" localSheetId="4" hidden="1">{"'Sheet1'!$L$16"}</definedName>
    <definedName name="___a7" hidden="1">{"'Sheet1'!$L$16"}</definedName>
    <definedName name="___a8" localSheetId="1" hidden="1">{"'Sheet1'!$L$16"}</definedName>
    <definedName name="___a8" localSheetId="4" hidden="1">{"'Sheet1'!$L$16"}</definedName>
    <definedName name="___a8" hidden="1">{"'Sheet1'!$L$16"}</definedName>
    <definedName name="___a9" localSheetId="1" hidden="1">{"'Sheet1'!$L$16"}</definedName>
    <definedName name="___a9" localSheetId="4" hidden="1">{"'Sheet1'!$L$16"}</definedName>
    <definedName name="___a9" hidden="1">{"'Sheet1'!$L$16"}</definedName>
    <definedName name="___cc1" localSheetId="1" hidden="1">{#N/A,#N/A,FALSE,"Aging Summary";#N/A,#N/A,FALSE,"Ratio Analysis";#N/A,#N/A,FALSE,"Test 120 Day Accts";#N/A,#N/A,FALSE,"Tickmarks"}</definedName>
    <definedName name="___cc1" localSheetId="4" hidden="1">{#N/A,#N/A,FALSE,"Aging Summary";#N/A,#N/A,FALSE,"Ratio Analysis";#N/A,#N/A,FALSE,"Test 120 Day Accts";#N/A,#N/A,FALSE,"Tickmarks"}</definedName>
    <definedName name="___cc1" hidden="1">{#N/A,#N/A,FALSE,"Aging Summary";#N/A,#N/A,FALSE,"Ratio Analysis";#N/A,#N/A,FALSE,"Test 120 Day Accts";#N/A,#N/A,FALSE,"Tickmarks"}</definedName>
    <definedName name="___D10" hidden="1">#NAME?</definedName>
    <definedName name="___D100" hidden="1">#NAME?</definedName>
    <definedName name="___D102" hidden="1">#NAME?</definedName>
    <definedName name="___D103" hidden="1">#NAME?</definedName>
    <definedName name="___D104" hidden="1">#NAME?</definedName>
    <definedName name="___D108" hidden="1">#NAME?</definedName>
    <definedName name="___D109" hidden="1">#NAME?</definedName>
    <definedName name="___D11" hidden="1">#NAME?</definedName>
    <definedName name="___D110" hidden="1">#NAME?</definedName>
    <definedName name="___D111" hidden="1">#NAME?</definedName>
    <definedName name="___D112" hidden="1">#NAME?</definedName>
    <definedName name="___D113" hidden="1">#NAME?</definedName>
    <definedName name="___D114" hidden="1">#NAME?</definedName>
    <definedName name="___D115" hidden="1">#NAME?</definedName>
    <definedName name="___D116" hidden="1">#NAME?</definedName>
    <definedName name="___D117" hidden="1">#NAME?</definedName>
    <definedName name="___D118" hidden="1">#NAME?</definedName>
    <definedName name="___D119" hidden="1">#NAME?</definedName>
    <definedName name="___D12" hidden="1">#NAME?</definedName>
    <definedName name="___D120" hidden="1">#NAME?</definedName>
    <definedName name="___D121" hidden="1">#NAME?</definedName>
    <definedName name="___D122" hidden="1">#NAME?</definedName>
    <definedName name="___D123" hidden="1">#NAME?</definedName>
    <definedName name="___D124" hidden="1">#NAME?</definedName>
    <definedName name="___D125" hidden="1">#NAME?</definedName>
    <definedName name="___D126" hidden="1">#NAME?</definedName>
    <definedName name="___D127" hidden="1">#NAME?</definedName>
    <definedName name="___D128" hidden="1">#NAME?</definedName>
    <definedName name="___D129" hidden="1">#NAME?</definedName>
    <definedName name="___D13" hidden="1">#NAME?</definedName>
    <definedName name="___D130" hidden="1">#NAME?</definedName>
    <definedName name="___D131" hidden="1">#NAME?</definedName>
    <definedName name="___D132" hidden="1">#NAME?</definedName>
    <definedName name="___D133" hidden="1">#NAME?</definedName>
    <definedName name="___D134" hidden="1">#NAME?</definedName>
    <definedName name="___D135" hidden="1">#NAME?</definedName>
    <definedName name="___D136" hidden="1">#NAME?</definedName>
    <definedName name="___D137" hidden="1">#NAME?</definedName>
    <definedName name="___D138" hidden="1">#NAME?</definedName>
    <definedName name="___D139" hidden="1">#NAME?</definedName>
    <definedName name="___D14" hidden="1">#NAME?</definedName>
    <definedName name="___D140" hidden="1">#NAME?</definedName>
    <definedName name="___D141" hidden="1">#NAME?</definedName>
    <definedName name="___D142" hidden="1">#NAME?</definedName>
    <definedName name="___D143" hidden="1">#NAME?</definedName>
    <definedName name="___D144" hidden="1">#NAME?</definedName>
    <definedName name="___D145" hidden="1">#NAME?</definedName>
    <definedName name="___D146" hidden="1">#NAME?</definedName>
    <definedName name="___D15" hidden="1">#NAME?</definedName>
    <definedName name="___D16" hidden="1">#NAME?</definedName>
    <definedName name="___D17" hidden="1">#NAME?</definedName>
    <definedName name="___D18" hidden="1">#NAME?</definedName>
    <definedName name="___D19" hidden="1">#NAME?</definedName>
    <definedName name="___D20" hidden="1">#NAME?</definedName>
    <definedName name="___D21" hidden="1">#NAME?</definedName>
    <definedName name="___D22" hidden="1">#NAME?</definedName>
    <definedName name="___D23" hidden="1">#NAME?</definedName>
    <definedName name="___D24" hidden="1">#NAME?</definedName>
    <definedName name="___D25" hidden="1">#NAME?</definedName>
    <definedName name="___D26" hidden="1">#NAME?</definedName>
    <definedName name="___D28" hidden="1">#NAME?</definedName>
    <definedName name="___D32" hidden="1">#NAME?</definedName>
    <definedName name="___D33" hidden="1">#NAME?</definedName>
    <definedName name="___D34" hidden="1">#NAME?</definedName>
    <definedName name="___D38" hidden="1">#NAME?</definedName>
    <definedName name="___D39" hidden="1">#NAME?</definedName>
    <definedName name="___D40" hidden="1">#NAME?</definedName>
    <definedName name="___D44" hidden="1">#NAME?</definedName>
    <definedName name="___D46" hidden="1">#NAME?</definedName>
    <definedName name="___D47" hidden="1">#NAME?</definedName>
    <definedName name="___D48" hidden="1">#NAME?</definedName>
    <definedName name="___D49" hidden="1">#NAME?</definedName>
    <definedName name="___D50" hidden="1">#NAME?</definedName>
    <definedName name="___D55" hidden="1">#NAME?</definedName>
    <definedName name="___D56" hidden="1">#NAME?</definedName>
    <definedName name="___D57" hidden="1">#NAME?</definedName>
    <definedName name="___D58" hidden="1">#NAME?</definedName>
    <definedName name="___D59" hidden="1">#NAME?</definedName>
    <definedName name="___D73" hidden="1">#NAME?</definedName>
    <definedName name="___D74" hidden="1">#NAME?</definedName>
    <definedName name="___D75" hidden="1">#NAME?</definedName>
    <definedName name="___D76" hidden="1">#NAME?</definedName>
    <definedName name="___D77" hidden="1">#NAME?</definedName>
    <definedName name="___D78" hidden="1">#NAME?</definedName>
    <definedName name="___D79" hidden="1">#NAME?</definedName>
    <definedName name="___D80" hidden="1">#NAME?</definedName>
    <definedName name="___D81" hidden="1">#NAME?</definedName>
    <definedName name="___D82" hidden="1">#NAME?</definedName>
    <definedName name="___D83" hidden="1">#NAME?</definedName>
    <definedName name="___D84" hidden="1">#NAME?</definedName>
    <definedName name="___D85" hidden="1">#NAME?</definedName>
    <definedName name="___D86" hidden="1">#NAME?</definedName>
    <definedName name="___D87" hidden="1">#NAME?</definedName>
    <definedName name="___D88" hidden="1">#NAME?</definedName>
    <definedName name="___D89" hidden="1">#NAME?</definedName>
    <definedName name="___D9" hidden="1">#NAME?</definedName>
    <definedName name="___D90" hidden="1">#NAME?</definedName>
    <definedName name="___D91" hidden="1">#NAME?</definedName>
    <definedName name="___D92" hidden="1">#NAME?</definedName>
    <definedName name="___D93" hidden="1">#NAME?</definedName>
    <definedName name="___D94" hidden="1">#NAME?</definedName>
    <definedName name="___D95" hidden="1">#NAME?</definedName>
    <definedName name="___D96" hidden="1">#NAME?</definedName>
    <definedName name="___D97" hidden="1">#NAME?</definedName>
    <definedName name="___D98" hidden="1">#NAME?</definedName>
    <definedName name="___D99" hidden="1">#NAME?</definedName>
    <definedName name="___F121" hidden="1">#NAME?</definedName>
    <definedName name="___F123" hidden="1">#NAME?</definedName>
    <definedName name="___F128" hidden="1">#NAME?</definedName>
    <definedName name="___F129" hidden="1">#NAME?</definedName>
    <definedName name="___F130" hidden="1">#NAME?</definedName>
    <definedName name="___F137" hidden="1">#NAME?</definedName>
    <definedName name="___F138" hidden="1">#NAME?</definedName>
    <definedName name="___F140" hidden="1">#NAME?</definedName>
    <definedName name="___F143" hidden="1">#NAME?</definedName>
    <definedName name="___F145" hidden="1">#NAME?</definedName>
    <definedName name="___F150" hidden="1">#NAME?</definedName>
    <definedName name="___F151" hidden="1">#NAME?</definedName>
    <definedName name="___F152" hidden="1">#NAME?</definedName>
    <definedName name="___F153" hidden="1">#NAME?</definedName>
    <definedName name="___F155" hidden="1">#NAME?</definedName>
    <definedName name="___F157" hidden="1">#NAME?</definedName>
    <definedName name="___F159" hidden="1">#NAME?</definedName>
    <definedName name="___F160" hidden="1">#NAME?</definedName>
    <definedName name="___F162" hidden="1">#NAME?</definedName>
    <definedName name="___F163" hidden="1">#NAME?</definedName>
    <definedName name="___F164" hidden="1">#NAME?</definedName>
    <definedName name="___F167" hidden="1">#NAME?</definedName>
    <definedName name="___F171" hidden="1">#NAME?</definedName>
    <definedName name="___F172" hidden="1">#NAME?</definedName>
    <definedName name="___F173" hidden="1">#NAME?</definedName>
    <definedName name="___F174" hidden="1">#NAME?</definedName>
    <definedName name="___F175" hidden="1">#NAME?</definedName>
    <definedName name="___F177" hidden="1">#NAME?</definedName>
    <definedName name="___F178" hidden="1">#NAME?</definedName>
    <definedName name="___F179" hidden="1">#NAME?</definedName>
    <definedName name="___F180" hidden="1">#NAME?</definedName>
    <definedName name="___F185" hidden="1">#NAME?</definedName>
    <definedName name="___F186" hidden="1">#NAME?</definedName>
    <definedName name="___F187" hidden="1">#NAME?</definedName>
    <definedName name="___F189" hidden="1">#NAME?</definedName>
    <definedName name="___F194" hidden="1">#NAME?</definedName>
    <definedName name="___F195" hidden="1">#NAME?</definedName>
    <definedName name="___F197" hidden="1">#NAME?</definedName>
    <definedName name="___F202" hidden="1">#NAME?</definedName>
    <definedName name="___F208" hidden="1">#NAME?</definedName>
    <definedName name="___F210" hidden="1">#NAME?</definedName>
    <definedName name="___F212" hidden="1">#NAME?</definedName>
    <definedName name="___f5" localSheetId="1" hidden="1">{"'Sheet1'!$L$16"}</definedName>
    <definedName name="___f5" localSheetId="4" hidden="1">{"'Sheet1'!$L$16"}</definedName>
    <definedName name="___f5" hidden="1">{"'Sheet1'!$L$16"}</definedName>
    <definedName name="___G177" hidden="1">#NAME?</definedName>
    <definedName name="___G179" hidden="1">#NAME?</definedName>
    <definedName name="___G184" hidden="1">#NAME?</definedName>
    <definedName name="___G185" hidden="1">#NAME?</definedName>
    <definedName name="___G186" hidden="1">#NAME?</definedName>
    <definedName name="___G193" hidden="1">#NAME?</definedName>
    <definedName name="___G194" hidden="1">#NAME?</definedName>
    <definedName name="___G196" hidden="1">#NAME?</definedName>
    <definedName name="___G201" hidden="1">#NAME?</definedName>
    <definedName name="___G207" hidden="1">#NAME?</definedName>
    <definedName name="___G209" hidden="1">#NAME?</definedName>
    <definedName name="___G211" hidden="1">#NAME?</definedName>
    <definedName name="___NS03" localSheetId="1" hidden="1">{"'Sheet1'!$L$16"}</definedName>
    <definedName name="___NS03" localSheetId="4" hidden="1">{"'Sheet1'!$L$16"}</definedName>
    <definedName name="___NS03" hidden="1">{"'Sheet1'!$L$16"}</definedName>
    <definedName name="___NSO2" localSheetId="1" hidden="1">{"'Sheet1'!$L$16"}</definedName>
    <definedName name="___NSO2" localSheetId="4" hidden="1">{"'Sheet1'!$L$16"}</definedName>
    <definedName name="___NSO2" hidden="1">{"'Sheet1'!$L$16"}</definedName>
    <definedName name="___NSO3" localSheetId="1" hidden="1">{"'Sheet1'!$L$16"}</definedName>
    <definedName name="___NSO3" localSheetId="4" hidden="1">{"'Sheet1'!$L$16"}</definedName>
    <definedName name="___NSO3" hidden="1">{"'Sheet1'!$L$16"}</definedName>
    <definedName name="___NSO4" localSheetId="1" hidden="1">{"'Sheet1'!$L$16"}</definedName>
    <definedName name="___NSO4" localSheetId="4" hidden="1">{"'Sheet1'!$L$16"}</definedName>
    <definedName name="___NSO4" hidden="1">{"'Sheet1'!$L$16"}</definedName>
    <definedName name="___T01" localSheetId="1" hidden="1">#REF!</definedName>
    <definedName name="___T01" localSheetId="4" hidden="1">#REF!</definedName>
    <definedName name="___T01" hidden="1">#REF!</definedName>
    <definedName name="___t1" localSheetId="1" hidden="1">{#N/A,#N/A,FALSE,"Aging Summary";#N/A,#N/A,FALSE,"Ratio Analysis";#N/A,#N/A,FALSE,"Test 120 Day Accts";#N/A,#N/A,FALSE,"Tickmarks"}</definedName>
    <definedName name="___t1" localSheetId="4" hidden="1">{#N/A,#N/A,FALSE,"Aging Summary";#N/A,#N/A,FALSE,"Ratio Analysis";#N/A,#N/A,FALSE,"Test 120 Day Accts";#N/A,#N/A,FALSE,"Tickmarks"}</definedName>
    <definedName name="___t1" hidden="1">{#N/A,#N/A,FALSE,"Aging Summary";#N/A,#N/A,FALSE,"Ratio Analysis";#N/A,#N/A,FALSE,"Test 120 Day Accts";#N/A,#N/A,FALSE,"Tickmarks"}</definedName>
    <definedName name="__a10" localSheetId="1" hidden="1">{"'Sheet1'!$L$16"}</definedName>
    <definedName name="__a10" localSheetId="4" hidden="1">{"'Sheet1'!$L$16"}</definedName>
    <definedName name="__a10" hidden="1">{"'Sheet1'!$L$16"}</definedName>
    <definedName name="__a11" localSheetId="1" hidden="1">{"'Sheet1'!$L$16"}</definedName>
    <definedName name="__a11" localSheetId="4" hidden="1">{"'Sheet1'!$L$16"}</definedName>
    <definedName name="__a11" hidden="1">{"'Sheet1'!$L$16"}</definedName>
    <definedName name="__a12" localSheetId="1" hidden="1">{"'Sheet1'!$L$16"}</definedName>
    <definedName name="__a12" localSheetId="4" hidden="1">{"'Sheet1'!$L$16"}</definedName>
    <definedName name="__a12" hidden="1">{"'Sheet1'!$L$16"}</definedName>
    <definedName name="__a2" localSheetId="1" hidden="1">{"'Sheet1'!$L$16"}</definedName>
    <definedName name="__a2" localSheetId="4" hidden="1">{"'Sheet1'!$L$16"}</definedName>
    <definedName name="__a2" hidden="1">{"'Sheet1'!$L$16"}</definedName>
    <definedName name="__a3" localSheetId="1" hidden="1">{"'Sheet1'!$L$16"}</definedName>
    <definedName name="__a3" localSheetId="4" hidden="1">{"'Sheet1'!$L$16"}</definedName>
    <definedName name="__a3" hidden="1">{"'Sheet1'!$L$16"}</definedName>
    <definedName name="__a4" localSheetId="1" hidden="1">{"'Sheet1'!$L$16"}</definedName>
    <definedName name="__a4" localSheetId="4" hidden="1">{"'Sheet1'!$L$16"}</definedName>
    <definedName name="__a4" hidden="1">{"'Sheet1'!$L$16"}</definedName>
    <definedName name="__a5" localSheetId="1" hidden="1">{"'Sheet1'!$L$16"}</definedName>
    <definedName name="__a5" localSheetId="4" hidden="1">{"'Sheet1'!$L$16"}</definedName>
    <definedName name="__a5" hidden="1">{"'Sheet1'!$L$16"}</definedName>
    <definedName name="__a7" localSheetId="1" hidden="1">{"'Sheet1'!$L$16"}</definedName>
    <definedName name="__a7" localSheetId="4" hidden="1">{"'Sheet1'!$L$16"}</definedName>
    <definedName name="__a7" hidden="1">{"'Sheet1'!$L$16"}</definedName>
    <definedName name="__a8" localSheetId="1" hidden="1">{"'Sheet1'!$L$16"}</definedName>
    <definedName name="__a8" localSheetId="4" hidden="1">{"'Sheet1'!$L$16"}</definedName>
    <definedName name="__a8" hidden="1">{"'Sheet1'!$L$16"}</definedName>
    <definedName name="__a9" localSheetId="1" hidden="1">{"'Sheet1'!$L$16"}</definedName>
    <definedName name="__a9" localSheetId="4" hidden="1">{"'Sheet1'!$L$16"}</definedName>
    <definedName name="__a9" hidden="1">{"'Sheet1'!$L$16"}</definedName>
    <definedName name="__D10" hidden="1">#NAME?</definedName>
    <definedName name="__D100" hidden="1">#NAME?</definedName>
    <definedName name="__D102" hidden="1">#NAME?</definedName>
    <definedName name="__D103" hidden="1">#NAME?</definedName>
    <definedName name="__D104" hidden="1">#NAME?</definedName>
    <definedName name="__D108" hidden="1">#NAME?</definedName>
    <definedName name="__D109" hidden="1">#NAME?</definedName>
    <definedName name="__D11" hidden="1">#NAME?</definedName>
    <definedName name="__D110" hidden="1">#NAME?</definedName>
    <definedName name="__D111" hidden="1">#NAME?</definedName>
    <definedName name="__D112" hidden="1">#NAME?</definedName>
    <definedName name="__D113" hidden="1">#NAME?</definedName>
    <definedName name="__D114" hidden="1">#NAME?</definedName>
    <definedName name="__D115" hidden="1">#NAME?</definedName>
    <definedName name="__D116" hidden="1">#NAME?</definedName>
    <definedName name="__D117" hidden="1">#NAME?</definedName>
    <definedName name="__D118" hidden="1">#NAME?</definedName>
    <definedName name="__D119" hidden="1">#NAME?</definedName>
    <definedName name="__D12" hidden="1">#NAME?</definedName>
    <definedName name="__D120" hidden="1">#NAME?</definedName>
    <definedName name="__D121" hidden="1">#NAME?</definedName>
    <definedName name="__D122" hidden="1">#NAME?</definedName>
    <definedName name="__D123" hidden="1">#NAME?</definedName>
    <definedName name="__D124" hidden="1">#NAME?</definedName>
    <definedName name="__D125" hidden="1">#NAME?</definedName>
    <definedName name="__D126" hidden="1">#NAME?</definedName>
    <definedName name="__D127" hidden="1">#NAME?</definedName>
    <definedName name="__D128" hidden="1">#NAME?</definedName>
    <definedName name="__D129" hidden="1">#NAME?</definedName>
    <definedName name="__D13" hidden="1">#NAME?</definedName>
    <definedName name="__D130" hidden="1">#NAME?</definedName>
    <definedName name="__D131" hidden="1">#NAME?</definedName>
    <definedName name="__D132" hidden="1">#NAME?</definedName>
    <definedName name="__D133" hidden="1">#NAME?</definedName>
    <definedName name="__D134" hidden="1">#NAME?</definedName>
    <definedName name="__D135" hidden="1">#NAME?</definedName>
    <definedName name="__D136" hidden="1">#NAME?</definedName>
    <definedName name="__D137" hidden="1">#NAME?</definedName>
    <definedName name="__D138" hidden="1">#NAME?</definedName>
    <definedName name="__D139" hidden="1">#NAME?</definedName>
    <definedName name="__D14" hidden="1">#NAME?</definedName>
    <definedName name="__D140" hidden="1">#NAME?</definedName>
    <definedName name="__D141" hidden="1">#NAME?</definedName>
    <definedName name="__D142" hidden="1">#NAME?</definedName>
    <definedName name="__D143" hidden="1">#NAME?</definedName>
    <definedName name="__D144" hidden="1">#NAME?</definedName>
    <definedName name="__D145" hidden="1">#NAME?</definedName>
    <definedName name="__D146" hidden="1">#NAME?</definedName>
    <definedName name="__D15" hidden="1">#NAME?</definedName>
    <definedName name="__D16" hidden="1">#NAME?</definedName>
    <definedName name="__D17" hidden="1">#NAME?</definedName>
    <definedName name="__D18" hidden="1">#NAME?</definedName>
    <definedName name="__D19" hidden="1">#NAME?</definedName>
    <definedName name="__D20" hidden="1">#NAME?</definedName>
    <definedName name="__D21" hidden="1">#NAME?</definedName>
    <definedName name="__D22" hidden="1">#NAME?</definedName>
    <definedName name="__D23" hidden="1">#NAME?</definedName>
    <definedName name="__D24" hidden="1">#NAME?</definedName>
    <definedName name="__D25" hidden="1">#NAME?</definedName>
    <definedName name="__D26" hidden="1">#NAME?</definedName>
    <definedName name="__D28" hidden="1">#NAME?</definedName>
    <definedName name="__D32" hidden="1">#NAME?</definedName>
    <definedName name="__D33" hidden="1">#NAME?</definedName>
    <definedName name="__D34" hidden="1">#NAME?</definedName>
    <definedName name="__D38" hidden="1">#NAME?</definedName>
    <definedName name="__D39" hidden="1">#NAME?</definedName>
    <definedName name="__D40" hidden="1">#NAME?</definedName>
    <definedName name="__D44" hidden="1">#NAME?</definedName>
    <definedName name="__D46" hidden="1">#NAME?</definedName>
    <definedName name="__D47" hidden="1">#NAME?</definedName>
    <definedName name="__D48" hidden="1">#NAME?</definedName>
    <definedName name="__D49" hidden="1">#NAME?</definedName>
    <definedName name="__D50" hidden="1">#NAME?</definedName>
    <definedName name="__D55" hidden="1">#NAME?</definedName>
    <definedName name="__D56" hidden="1">#NAME?</definedName>
    <definedName name="__D57" hidden="1">#NAME?</definedName>
    <definedName name="__D58" hidden="1">#NAME?</definedName>
    <definedName name="__D59" hidden="1">#NAME?</definedName>
    <definedName name="__D73" hidden="1">#NAME?</definedName>
    <definedName name="__D74" hidden="1">#NAME?</definedName>
    <definedName name="__D75" hidden="1">#NAME?</definedName>
    <definedName name="__D76" hidden="1">#NAME?</definedName>
    <definedName name="__D77" hidden="1">#NAME?</definedName>
    <definedName name="__D78" hidden="1">#NAME?</definedName>
    <definedName name="__D79" hidden="1">#NAME?</definedName>
    <definedName name="__D80" hidden="1">#NAME?</definedName>
    <definedName name="__D81" hidden="1">#NAME?</definedName>
    <definedName name="__D82" hidden="1">#NAME?</definedName>
    <definedName name="__D83" hidden="1">#NAME?</definedName>
    <definedName name="__D84" hidden="1">#NAME?</definedName>
    <definedName name="__D85" hidden="1">#NAME?</definedName>
    <definedName name="__D86" hidden="1">#NAME?</definedName>
    <definedName name="__D87" hidden="1">#NAME?</definedName>
    <definedName name="__D88" hidden="1">#NAME?</definedName>
    <definedName name="__D89" hidden="1">#NAME?</definedName>
    <definedName name="__D9" hidden="1">#NAME?</definedName>
    <definedName name="__D90" hidden="1">#NAME?</definedName>
    <definedName name="__D91" hidden="1">#NAME?</definedName>
    <definedName name="__D92" hidden="1">#NAME?</definedName>
    <definedName name="__D93" hidden="1">#NAME?</definedName>
    <definedName name="__D94" hidden="1">#NAME?</definedName>
    <definedName name="__D95" hidden="1">#NAME?</definedName>
    <definedName name="__D96" hidden="1">#NAME?</definedName>
    <definedName name="__D97" hidden="1">#NAME?</definedName>
    <definedName name="__D98" hidden="1">#NAME?</definedName>
    <definedName name="__D99" hidden="1">#NAME?</definedName>
    <definedName name="__DemandLoad">TRUE</definedName>
    <definedName name="__F121" hidden="1">#NAME?</definedName>
    <definedName name="__F123" hidden="1">#NAME?</definedName>
    <definedName name="__F128" hidden="1">#NAME?</definedName>
    <definedName name="__F129" hidden="1">#NAME?</definedName>
    <definedName name="__F130" hidden="1">#NAME?</definedName>
    <definedName name="__F137" hidden="1">#NAME?</definedName>
    <definedName name="__F138" hidden="1">#NAME?</definedName>
    <definedName name="__F140" hidden="1">#NAME?</definedName>
    <definedName name="__F143" hidden="1">#NAME?</definedName>
    <definedName name="__F145" hidden="1">#NAME?</definedName>
    <definedName name="__F150" hidden="1">#NAME?</definedName>
    <definedName name="__F151" hidden="1">#NAME?</definedName>
    <definedName name="__F152" hidden="1">#NAME?</definedName>
    <definedName name="__F153" hidden="1">#NAME?</definedName>
    <definedName name="__F155" hidden="1">#NAME?</definedName>
    <definedName name="__F157" hidden="1">#NAME?</definedName>
    <definedName name="__F159" hidden="1">#NAME?</definedName>
    <definedName name="__F160" hidden="1">#NAME?</definedName>
    <definedName name="__F162" hidden="1">#NAME?</definedName>
    <definedName name="__F163" hidden="1">#NAME?</definedName>
    <definedName name="__F164" hidden="1">#NAME?</definedName>
    <definedName name="__F167" hidden="1">#NAME?</definedName>
    <definedName name="__F171" hidden="1">#NAME?</definedName>
    <definedName name="__F172" hidden="1">#NAME?</definedName>
    <definedName name="__F173" hidden="1">#NAME?</definedName>
    <definedName name="__F174" hidden="1">#NAME?</definedName>
    <definedName name="__F175" hidden="1">#NAME?</definedName>
    <definedName name="__F177" hidden="1">#NAME?</definedName>
    <definedName name="__F178" hidden="1">#NAME?</definedName>
    <definedName name="__F179" hidden="1">#NAME?</definedName>
    <definedName name="__F180" hidden="1">#NAME?</definedName>
    <definedName name="__F185" hidden="1">#NAME?</definedName>
    <definedName name="__F186" hidden="1">#NAME?</definedName>
    <definedName name="__F187" hidden="1">#NAME?</definedName>
    <definedName name="__F189" hidden="1">#NAME?</definedName>
    <definedName name="__F194" hidden="1">#NAME?</definedName>
    <definedName name="__F195" hidden="1">#NAME?</definedName>
    <definedName name="__F197" hidden="1">#NAME?</definedName>
    <definedName name="__F202" hidden="1">#NAME?</definedName>
    <definedName name="__F208" hidden="1">#NAME?</definedName>
    <definedName name="__F210" hidden="1">#NAME?</definedName>
    <definedName name="__F212" hidden="1">#NAME?</definedName>
    <definedName name="__f5" localSheetId="1" hidden="1">{"'Sheet1'!$L$16"}</definedName>
    <definedName name="__f5" localSheetId="4" hidden="1">{"'Sheet1'!$L$16"}</definedName>
    <definedName name="__f5" hidden="1">{"'Sheet1'!$L$16"}</definedName>
    <definedName name="__G177" hidden="1">#NAME?</definedName>
    <definedName name="__G179" hidden="1">#NAME?</definedName>
    <definedName name="__G184" hidden="1">#NAME?</definedName>
    <definedName name="__G185" hidden="1">#NAME?</definedName>
    <definedName name="__G186" hidden="1">#NAME?</definedName>
    <definedName name="__G193" hidden="1">#NAME?</definedName>
    <definedName name="__G194" hidden="1">#NAME?</definedName>
    <definedName name="__G196" hidden="1">#NAME?</definedName>
    <definedName name="__G201" hidden="1">#NAME?</definedName>
    <definedName name="__G207" hidden="1">#NAME?</definedName>
    <definedName name="__G209" hidden="1">#NAME?</definedName>
    <definedName name="__G211" hidden="1">#NAME?</definedName>
    <definedName name="__IntlFixup">TRUE</definedName>
    <definedName name="__NS03" localSheetId="1" hidden="1">{"'Sheet1'!$L$16"}</definedName>
    <definedName name="__NS03" localSheetId="4" hidden="1">{"'Sheet1'!$L$16"}</definedName>
    <definedName name="__NS03" hidden="1">{"'Sheet1'!$L$16"}</definedName>
    <definedName name="__NSO2" localSheetId="1" hidden="1">{"'Sheet1'!$L$16"}</definedName>
    <definedName name="__NSO2" localSheetId="4" hidden="1">{"'Sheet1'!$L$16"}</definedName>
    <definedName name="__NSO2" hidden="1">{"'Sheet1'!$L$16"}</definedName>
    <definedName name="__NSO3" localSheetId="1" hidden="1">{"'Sheet1'!$L$16"}</definedName>
    <definedName name="__NSO3" localSheetId="4" hidden="1">{"'Sheet1'!$L$16"}</definedName>
    <definedName name="__NSO3" hidden="1">{"'Sheet1'!$L$16"}</definedName>
    <definedName name="__NSO4" localSheetId="1" hidden="1">{"'Sheet1'!$L$16"}</definedName>
    <definedName name="__NSO4" localSheetId="4" hidden="1">{"'Sheet1'!$L$16"}</definedName>
    <definedName name="__NSO4" hidden="1">{"'Sheet1'!$L$16"}</definedName>
    <definedName name="__s1" localSheetId="2" hidden="1">{#N/A,#N/A,FALSE,"UNIT";#N/A,#N/A,FALSE,"UNIT";#N/A,#N/A,FALSE,"계정"}</definedName>
    <definedName name="__s1" localSheetId="1" hidden="1">{#N/A,#N/A,FALSE,"UNIT";#N/A,#N/A,FALSE,"UNIT";#N/A,#N/A,FALSE,"계정"}</definedName>
    <definedName name="__s1" localSheetId="4" hidden="1">{#N/A,#N/A,FALSE,"UNIT";#N/A,#N/A,FALSE,"UNIT";#N/A,#N/A,FALSE,"계정"}</definedName>
    <definedName name="__s1" hidden="1">{#N/A,#N/A,FALSE,"UNIT";#N/A,#N/A,FALSE,"UNIT";#N/A,#N/A,FALSE,"계정"}</definedName>
    <definedName name="__s10" localSheetId="2" hidden="1">{#N/A,#N/A,FALSE,"UNIT";#N/A,#N/A,FALSE,"UNIT";#N/A,#N/A,FALSE,"계정"}</definedName>
    <definedName name="__s10" localSheetId="1" hidden="1">{#N/A,#N/A,FALSE,"UNIT";#N/A,#N/A,FALSE,"UNIT";#N/A,#N/A,FALSE,"계정"}</definedName>
    <definedName name="__s10" localSheetId="4" hidden="1">{#N/A,#N/A,FALSE,"UNIT";#N/A,#N/A,FALSE,"UNIT";#N/A,#N/A,FALSE,"계정"}</definedName>
    <definedName name="__s10" hidden="1">{#N/A,#N/A,FALSE,"UNIT";#N/A,#N/A,FALSE,"UNIT";#N/A,#N/A,FALSE,"계정"}</definedName>
    <definedName name="__s11" localSheetId="2" hidden="1">{#N/A,#N/A,FALSE,"UNIT";#N/A,#N/A,FALSE,"UNIT";#N/A,#N/A,FALSE,"계정"}</definedName>
    <definedName name="__s11" localSheetId="1" hidden="1">{#N/A,#N/A,FALSE,"UNIT";#N/A,#N/A,FALSE,"UNIT";#N/A,#N/A,FALSE,"계정"}</definedName>
    <definedName name="__s11" localSheetId="4" hidden="1">{#N/A,#N/A,FALSE,"UNIT";#N/A,#N/A,FALSE,"UNIT";#N/A,#N/A,FALSE,"계정"}</definedName>
    <definedName name="__s11" hidden="1">{#N/A,#N/A,FALSE,"UNIT";#N/A,#N/A,FALSE,"UNIT";#N/A,#N/A,FALSE,"계정"}</definedName>
    <definedName name="__s12" localSheetId="2" hidden="1">{#N/A,#N/A,FALSE,"UNIT";#N/A,#N/A,FALSE,"UNIT";#N/A,#N/A,FALSE,"계정"}</definedName>
    <definedName name="__s12" localSheetId="1" hidden="1">{#N/A,#N/A,FALSE,"UNIT";#N/A,#N/A,FALSE,"UNIT";#N/A,#N/A,FALSE,"계정"}</definedName>
    <definedName name="__s12" localSheetId="4" hidden="1">{#N/A,#N/A,FALSE,"UNIT";#N/A,#N/A,FALSE,"UNIT";#N/A,#N/A,FALSE,"계정"}</definedName>
    <definedName name="__s12" hidden="1">{#N/A,#N/A,FALSE,"UNIT";#N/A,#N/A,FALSE,"UNIT";#N/A,#N/A,FALSE,"계정"}</definedName>
    <definedName name="__s13" localSheetId="2" hidden="1">{#N/A,#N/A,FALSE,"UNIT";#N/A,#N/A,FALSE,"UNIT";#N/A,#N/A,FALSE,"계정"}</definedName>
    <definedName name="__s13" localSheetId="1" hidden="1">{#N/A,#N/A,FALSE,"UNIT";#N/A,#N/A,FALSE,"UNIT";#N/A,#N/A,FALSE,"계정"}</definedName>
    <definedName name="__s13" localSheetId="4" hidden="1">{#N/A,#N/A,FALSE,"UNIT";#N/A,#N/A,FALSE,"UNIT";#N/A,#N/A,FALSE,"계정"}</definedName>
    <definedName name="__s13" hidden="1">{#N/A,#N/A,FALSE,"UNIT";#N/A,#N/A,FALSE,"UNIT";#N/A,#N/A,FALSE,"계정"}</definedName>
    <definedName name="__s14" localSheetId="2" hidden="1">{#N/A,#N/A,FALSE,"UNIT";#N/A,#N/A,FALSE,"UNIT";#N/A,#N/A,FALSE,"계정"}</definedName>
    <definedName name="__s14" localSheetId="1" hidden="1">{#N/A,#N/A,FALSE,"UNIT";#N/A,#N/A,FALSE,"UNIT";#N/A,#N/A,FALSE,"계정"}</definedName>
    <definedName name="__s14" localSheetId="4" hidden="1">{#N/A,#N/A,FALSE,"UNIT";#N/A,#N/A,FALSE,"UNIT";#N/A,#N/A,FALSE,"계정"}</definedName>
    <definedName name="__s14" hidden="1">{#N/A,#N/A,FALSE,"UNIT";#N/A,#N/A,FALSE,"UNIT";#N/A,#N/A,FALSE,"계정"}</definedName>
    <definedName name="__s16" localSheetId="2" hidden="1">{#N/A,#N/A,FALSE,"UNIT";#N/A,#N/A,FALSE,"UNIT";#N/A,#N/A,FALSE,"계정"}</definedName>
    <definedName name="__s16" localSheetId="1" hidden="1">{#N/A,#N/A,FALSE,"UNIT";#N/A,#N/A,FALSE,"UNIT";#N/A,#N/A,FALSE,"계정"}</definedName>
    <definedName name="__s16" localSheetId="4" hidden="1">{#N/A,#N/A,FALSE,"UNIT";#N/A,#N/A,FALSE,"UNIT";#N/A,#N/A,FALSE,"계정"}</definedName>
    <definedName name="__s16" hidden="1">{#N/A,#N/A,FALSE,"UNIT";#N/A,#N/A,FALSE,"UNIT";#N/A,#N/A,FALSE,"계정"}</definedName>
    <definedName name="__s17" localSheetId="2" hidden="1">{#N/A,#N/A,FALSE,"UNIT";#N/A,#N/A,FALSE,"UNIT";#N/A,#N/A,FALSE,"계정"}</definedName>
    <definedName name="__s17" localSheetId="1" hidden="1">{#N/A,#N/A,FALSE,"UNIT";#N/A,#N/A,FALSE,"UNIT";#N/A,#N/A,FALSE,"계정"}</definedName>
    <definedName name="__s17" localSheetId="4" hidden="1">{#N/A,#N/A,FALSE,"UNIT";#N/A,#N/A,FALSE,"UNIT";#N/A,#N/A,FALSE,"계정"}</definedName>
    <definedName name="__s17" hidden="1">{#N/A,#N/A,FALSE,"UNIT";#N/A,#N/A,FALSE,"UNIT";#N/A,#N/A,FALSE,"계정"}</definedName>
    <definedName name="__s2" localSheetId="2" hidden="1">{#N/A,#N/A,FALSE,"UNIT";#N/A,#N/A,FALSE,"UNIT";#N/A,#N/A,FALSE,"계정"}</definedName>
    <definedName name="__s2" localSheetId="1" hidden="1">{#N/A,#N/A,FALSE,"UNIT";#N/A,#N/A,FALSE,"UNIT";#N/A,#N/A,FALSE,"계정"}</definedName>
    <definedName name="__s2" localSheetId="4" hidden="1">{#N/A,#N/A,FALSE,"UNIT";#N/A,#N/A,FALSE,"UNIT";#N/A,#N/A,FALSE,"계정"}</definedName>
    <definedName name="__s2" hidden="1">{#N/A,#N/A,FALSE,"UNIT";#N/A,#N/A,FALSE,"UNIT";#N/A,#N/A,FALSE,"계정"}</definedName>
    <definedName name="__s3" localSheetId="2" hidden="1">{#N/A,#N/A,FALSE,"UNIT";#N/A,#N/A,FALSE,"UNIT";#N/A,#N/A,FALSE,"계정"}</definedName>
    <definedName name="__s3" localSheetId="1" hidden="1">{#N/A,#N/A,FALSE,"UNIT";#N/A,#N/A,FALSE,"UNIT";#N/A,#N/A,FALSE,"계정"}</definedName>
    <definedName name="__s3" localSheetId="4" hidden="1">{#N/A,#N/A,FALSE,"UNIT";#N/A,#N/A,FALSE,"UNIT";#N/A,#N/A,FALSE,"계정"}</definedName>
    <definedName name="__s3" hidden="1">{#N/A,#N/A,FALSE,"UNIT";#N/A,#N/A,FALSE,"UNIT";#N/A,#N/A,FALSE,"계정"}</definedName>
    <definedName name="__s4" localSheetId="2" hidden="1">{#N/A,#N/A,FALSE,"UNIT";#N/A,#N/A,FALSE,"UNIT";#N/A,#N/A,FALSE,"계정"}</definedName>
    <definedName name="__s4" localSheetId="1" hidden="1">{#N/A,#N/A,FALSE,"UNIT";#N/A,#N/A,FALSE,"UNIT";#N/A,#N/A,FALSE,"계정"}</definedName>
    <definedName name="__s4" localSheetId="4" hidden="1">{#N/A,#N/A,FALSE,"UNIT";#N/A,#N/A,FALSE,"UNIT";#N/A,#N/A,FALSE,"계정"}</definedName>
    <definedName name="__s4" hidden="1">{#N/A,#N/A,FALSE,"UNIT";#N/A,#N/A,FALSE,"UNIT";#N/A,#N/A,FALSE,"계정"}</definedName>
    <definedName name="__s5" localSheetId="2" hidden="1">{#N/A,#N/A,FALSE,"UNIT";#N/A,#N/A,FALSE,"UNIT";#N/A,#N/A,FALSE,"계정"}</definedName>
    <definedName name="__s5" localSheetId="1" hidden="1">{#N/A,#N/A,FALSE,"UNIT";#N/A,#N/A,FALSE,"UNIT";#N/A,#N/A,FALSE,"계정"}</definedName>
    <definedName name="__s5" localSheetId="4" hidden="1">{#N/A,#N/A,FALSE,"UNIT";#N/A,#N/A,FALSE,"UNIT";#N/A,#N/A,FALSE,"계정"}</definedName>
    <definedName name="__s5" hidden="1">{#N/A,#N/A,FALSE,"UNIT";#N/A,#N/A,FALSE,"UNIT";#N/A,#N/A,FALSE,"계정"}</definedName>
    <definedName name="__s6" localSheetId="2" hidden="1">{#N/A,#N/A,FALSE,"UNIT";#N/A,#N/A,FALSE,"UNIT";#N/A,#N/A,FALSE,"계정"}</definedName>
    <definedName name="__s6" localSheetId="1" hidden="1">{#N/A,#N/A,FALSE,"UNIT";#N/A,#N/A,FALSE,"UNIT";#N/A,#N/A,FALSE,"계정"}</definedName>
    <definedName name="__s6" localSheetId="4" hidden="1">{#N/A,#N/A,FALSE,"UNIT";#N/A,#N/A,FALSE,"UNIT";#N/A,#N/A,FALSE,"계정"}</definedName>
    <definedName name="__s6" hidden="1">{#N/A,#N/A,FALSE,"UNIT";#N/A,#N/A,FALSE,"UNIT";#N/A,#N/A,FALSE,"계정"}</definedName>
    <definedName name="__s9" localSheetId="2" hidden="1">{#N/A,#N/A,FALSE,"UNIT";#N/A,#N/A,FALSE,"UNIT";#N/A,#N/A,FALSE,"계정"}</definedName>
    <definedName name="__s9" localSheetId="1" hidden="1">{#N/A,#N/A,FALSE,"UNIT";#N/A,#N/A,FALSE,"UNIT";#N/A,#N/A,FALSE,"계정"}</definedName>
    <definedName name="__s9" localSheetId="4" hidden="1">{#N/A,#N/A,FALSE,"UNIT";#N/A,#N/A,FALSE,"UNIT";#N/A,#N/A,FALSE,"계정"}</definedName>
    <definedName name="__s9" hidden="1">{#N/A,#N/A,FALSE,"UNIT";#N/A,#N/A,FALSE,"UNIT";#N/A,#N/A,FALSE,"계정"}</definedName>
    <definedName name="__T01" localSheetId="1" hidden="1">#REF!</definedName>
    <definedName name="__T01" localSheetId="4" hidden="1">#REF!</definedName>
    <definedName name="__T01" hidden="1">#REF!</definedName>
    <definedName name="__T1" localSheetId="1" hidden="1">{"'Sheet1'!$L$16"}</definedName>
    <definedName name="__T1" localSheetId="4" hidden="1">{"'Sheet1'!$L$16"}</definedName>
    <definedName name="__T1" hidden="1">{"'Sheet1'!$L$16"}</definedName>
    <definedName name="_1">#N/A</definedName>
    <definedName name="_2">#N/A</definedName>
    <definedName name="_2_?" localSheetId="1" hidden="1">{#N/A,#N/A,FALSE,"Aging Summary";#N/A,#N/A,FALSE,"Ratio Analysis";#N/A,#N/A,FALSE,"Test 120 Day Accts";#N/A,#N/A,FALSE,"Tickmarks"}</definedName>
    <definedName name="_2_?" localSheetId="4" hidden="1">{#N/A,#N/A,FALSE,"Aging Summary";#N/A,#N/A,FALSE,"Ratio Analysis";#N/A,#N/A,FALSE,"Test 120 Day Accts";#N/A,#N/A,FALSE,"Tickmarks"}</definedName>
    <definedName name="_2_?" hidden="1">{#N/A,#N/A,FALSE,"Aging Summary";#N/A,#N/A,FALSE,"Ratio Analysis";#N/A,#N/A,FALSE,"Test 120 Day Accts";#N/A,#N/A,FALSE,"Tickmarks"}</definedName>
    <definedName name="_24__123Graph_BCHART_1" localSheetId="1" hidden="1">#REF!</definedName>
    <definedName name="_24__123Graph_BCHART_1" localSheetId="4" hidden="1">#REF!</definedName>
    <definedName name="_24__123Graph_BCHART_1" hidden="1">#REF!</definedName>
    <definedName name="_25__123Graph_BCHART_2" localSheetId="1" hidden="1">#REF!</definedName>
    <definedName name="_25__123Graph_BCHART_2" localSheetId="4" hidden="1">#REF!</definedName>
    <definedName name="_25__123Graph_BCHART_2" hidden="1">#REF!</definedName>
    <definedName name="_26__123Graph_BCHART_3" localSheetId="1" hidden="1">#REF!</definedName>
    <definedName name="_26__123Graph_BCHART_3" localSheetId="4" hidden="1">#REF!</definedName>
    <definedName name="_26__123Graph_BCHART_3" hidden="1">#REF!</definedName>
    <definedName name="_27__123Graph_BCHART_4" localSheetId="1" hidden="1">#REF!</definedName>
    <definedName name="_27__123Graph_BCHART_4" localSheetId="4" hidden="1">#REF!</definedName>
    <definedName name="_27__123Graph_BCHART_4" hidden="1">#REF!</definedName>
    <definedName name="_28__123Graph_BCHART_5" localSheetId="1" hidden="1">#REF!</definedName>
    <definedName name="_28__123Graph_BCHART_5" localSheetId="4" hidden="1">#REF!</definedName>
    <definedName name="_28__123Graph_BCHART_5" hidden="1">#REF!</definedName>
    <definedName name="_29__123Graph_BCHART_6" localSheetId="1" hidden="1">#REF!</definedName>
    <definedName name="_29__123Graph_BCHART_6" localSheetId="4" hidden="1">#REF!</definedName>
    <definedName name="_29__123Graph_BCHART_6" hidden="1">#REF!</definedName>
    <definedName name="_3">#N/A</definedName>
    <definedName name="_30__123Graph_BCHART_7" localSheetId="1" hidden="1">#REF!</definedName>
    <definedName name="_30__123Graph_BCHART_7" localSheetId="4" hidden="1">#REF!</definedName>
    <definedName name="_30__123Graph_BCHART_7" hidden="1">#REF!</definedName>
    <definedName name="_4">#N/A</definedName>
    <definedName name="_5">#N/A</definedName>
    <definedName name="_6">#N/A</definedName>
    <definedName name="_81T2_" localSheetId="1" hidden="1">{#N/A,#N/A,FALSE,"단축1";#N/A,#N/A,FALSE,"단축2";#N/A,#N/A,FALSE,"단축3";#N/A,#N/A,FALSE,"장축";#N/A,#N/A,FALSE,"4WD"}</definedName>
    <definedName name="_81T2_" localSheetId="4" hidden="1">{#N/A,#N/A,FALSE,"단축1";#N/A,#N/A,FALSE,"단축2";#N/A,#N/A,FALSE,"단축3";#N/A,#N/A,FALSE,"장축";#N/A,#N/A,FALSE,"4WD"}</definedName>
    <definedName name="_81T2_" hidden="1">{#N/A,#N/A,FALSE,"단축1";#N/A,#N/A,FALSE,"단축2";#N/A,#N/A,FALSE,"단축3";#N/A,#N/A,FALSE,"장축";#N/A,#N/A,FALSE,"4WD"}</definedName>
    <definedName name="_a" localSheetId="1" hidden="1">{"'Sheet1'!$L$16"}</definedName>
    <definedName name="_a" localSheetId="4" hidden="1">{"'Sheet1'!$L$16"}</definedName>
    <definedName name="_a" hidden="1">{"'Sheet1'!$L$16"}</definedName>
    <definedName name="_a10" localSheetId="1" hidden="1">{"'Sheet1'!$L$16"}</definedName>
    <definedName name="_a10" localSheetId="4" hidden="1">{"'Sheet1'!$L$16"}</definedName>
    <definedName name="_a10" hidden="1">{"'Sheet1'!$L$16"}</definedName>
    <definedName name="_a11" localSheetId="1" hidden="1">{"'Sheet1'!$L$16"}</definedName>
    <definedName name="_a11" localSheetId="4" hidden="1">{"'Sheet1'!$L$16"}</definedName>
    <definedName name="_a11" hidden="1">{"'Sheet1'!$L$16"}</definedName>
    <definedName name="_a12" localSheetId="1" hidden="1">{"'Sheet1'!$L$16"}</definedName>
    <definedName name="_a12" localSheetId="4" hidden="1">{"'Sheet1'!$L$16"}</definedName>
    <definedName name="_a12" hidden="1">{"'Sheet1'!$L$16"}</definedName>
    <definedName name="_a2" localSheetId="1" hidden="1">{"'Sheet1'!$L$16"}</definedName>
    <definedName name="_a2" localSheetId="4" hidden="1">{"'Sheet1'!$L$16"}</definedName>
    <definedName name="_a2" hidden="1">{"'Sheet1'!$L$16"}</definedName>
    <definedName name="_a3" localSheetId="1" hidden="1">{"'Sheet1'!$L$16"}</definedName>
    <definedName name="_a3" localSheetId="4" hidden="1">{"'Sheet1'!$L$16"}</definedName>
    <definedName name="_a3" hidden="1">{"'Sheet1'!$L$16"}</definedName>
    <definedName name="_a4" localSheetId="1" hidden="1">{"'Sheet1'!$L$16"}</definedName>
    <definedName name="_a4" localSheetId="4" hidden="1">{"'Sheet1'!$L$16"}</definedName>
    <definedName name="_a4" hidden="1">{"'Sheet1'!$L$16"}</definedName>
    <definedName name="_a5" localSheetId="1" hidden="1">{"'Sheet1'!$L$16"}</definedName>
    <definedName name="_a5" localSheetId="4" hidden="1">{"'Sheet1'!$L$16"}</definedName>
    <definedName name="_a5" hidden="1">{"'Sheet1'!$L$16"}</definedName>
    <definedName name="_a7" localSheetId="1" hidden="1">{"'Sheet1'!$L$16"}</definedName>
    <definedName name="_a7" localSheetId="4" hidden="1">{"'Sheet1'!$L$16"}</definedName>
    <definedName name="_a7" hidden="1">{"'Sheet1'!$L$16"}</definedName>
    <definedName name="_a8" localSheetId="1" hidden="1">{"'Sheet1'!$L$16"}</definedName>
    <definedName name="_a8" localSheetId="4" hidden="1">{"'Sheet1'!$L$16"}</definedName>
    <definedName name="_a8" hidden="1">{"'Sheet1'!$L$16"}</definedName>
    <definedName name="_a9" localSheetId="1" hidden="1">{"'Sheet1'!$L$16"}</definedName>
    <definedName name="_a9" localSheetId="4" hidden="1">{"'Sheet1'!$L$16"}</definedName>
    <definedName name="_a9" hidden="1">{"'Sheet1'!$L$16"}</definedName>
    <definedName name="_cc1" localSheetId="1" hidden="1">{#N/A,#N/A,FALSE,"Aging Summary";#N/A,#N/A,FALSE,"Ratio Analysis";#N/A,#N/A,FALSE,"Test 120 Day Accts";#N/A,#N/A,FALSE,"Tickmarks"}</definedName>
    <definedName name="_cc1" localSheetId="4" hidden="1">{#N/A,#N/A,FALSE,"Aging Summary";#N/A,#N/A,FALSE,"Ratio Analysis";#N/A,#N/A,FALSE,"Test 120 Day Accts";#N/A,#N/A,FALSE,"Tickmarks"}</definedName>
    <definedName name="_cc1" hidden="1">{#N/A,#N/A,FALSE,"Aging Summary";#N/A,#N/A,FALSE,"Ratio Analysis";#N/A,#N/A,FALSE,"Test 120 Day Accts";#N/A,#N/A,FALSE,"Tickmarks"}</definedName>
    <definedName name="_D10" hidden="1">#NAME?</definedName>
    <definedName name="_D100" hidden="1">#NAME?</definedName>
    <definedName name="_D102" hidden="1">#NAME?</definedName>
    <definedName name="_D103" hidden="1">#NAME?</definedName>
    <definedName name="_D104" hidden="1">#NAME?</definedName>
    <definedName name="_D108" hidden="1">#NAME?</definedName>
    <definedName name="_D109" hidden="1">#NAME?</definedName>
    <definedName name="_D11" hidden="1">#NAME?</definedName>
    <definedName name="_D110" hidden="1">#NAME?</definedName>
    <definedName name="_D111" hidden="1">#NAME?</definedName>
    <definedName name="_D112" hidden="1">#NAME?</definedName>
    <definedName name="_D113" hidden="1">#NAME?</definedName>
    <definedName name="_D114" hidden="1">#NAME?</definedName>
    <definedName name="_D115" hidden="1">#NAME?</definedName>
    <definedName name="_D116" hidden="1">#NAME?</definedName>
    <definedName name="_D117" hidden="1">#NAME?</definedName>
    <definedName name="_D118" hidden="1">#NAME?</definedName>
    <definedName name="_D119" hidden="1">#NAME?</definedName>
    <definedName name="_D12" hidden="1">#NAME?</definedName>
    <definedName name="_D120" hidden="1">#NAME?</definedName>
    <definedName name="_D121" hidden="1">#NAME?</definedName>
    <definedName name="_D122" hidden="1">#NAME?</definedName>
    <definedName name="_D123" hidden="1">#NAME?</definedName>
    <definedName name="_D124" hidden="1">#NAME?</definedName>
    <definedName name="_D125" hidden="1">#NAME?</definedName>
    <definedName name="_D126" hidden="1">#NAME?</definedName>
    <definedName name="_D127" hidden="1">#NAME?</definedName>
    <definedName name="_D128" hidden="1">#NAME?</definedName>
    <definedName name="_D129" hidden="1">#NAME?</definedName>
    <definedName name="_D13" hidden="1">#NAME?</definedName>
    <definedName name="_D130" hidden="1">#NAME?</definedName>
    <definedName name="_D131" hidden="1">#NAME?</definedName>
    <definedName name="_D132" hidden="1">#NAME?</definedName>
    <definedName name="_D133" hidden="1">#NAME?</definedName>
    <definedName name="_D134" hidden="1">#NAME?</definedName>
    <definedName name="_D135" hidden="1">#NAME?</definedName>
    <definedName name="_D136" hidden="1">#NAME?</definedName>
    <definedName name="_D137" hidden="1">#NAME?</definedName>
    <definedName name="_D138" hidden="1">#NAME?</definedName>
    <definedName name="_D139" hidden="1">#NAME?</definedName>
    <definedName name="_D14" hidden="1">#NAME?</definedName>
    <definedName name="_D140" hidden="1">#NAME?</definedName>
    <definedName name="_D141" hidden="1">#NAME?</definedName>
    <definedName name="_D142" hidden="1">#NAME?</definedName>
    <definedName name="_D143" hidden="1">#NAME?</definedName>
    <definedName name="_D144" hidden="1">#NAME?</definedName>
    <definedName name="_D145" hidden="1">#NAME?</definedName>
    <definedName name="_D146" hidden="1">#NAME?</definedName>
    <definedName name="_D15" hidden="1">#NAME?</definedName>
    <definedName name="_D16" hidden="1">#NAME?</definedName>
    <definedName name="_D17" hidden="1">#NAME?</definedName>
    <definedName name="_D18" hidden="1">#NAME?</definedName>
    <definedName name="_D19" hidden="1">#NAME?</definedName>
    <definedName name="_D20" hidden="1">#NAME?</definedName>
    <definedName name="_D21" hidden="1">#NAME?</definedName>
    <definedName name="_D22" hidden="1">#NAME?</definedName>
    <definedName name="_D23" hidden="1">#NAME?</definedName>
    <definedName name="_D24" hidden="1">#NAME?</definedName>
    <definedName name="_D25" hidden="1">#NAME?</definedName>
    <definedName name="_D26" hidden="1">#NAME?</definedName>
    <definedName name="_D28" hidden="1">#NAME?</definedName>
    <definedName name="_D32" hidden="1">#NAME?</definedName>
    <definedName name="_D33" hidden="1">#NAME?</definedName>
    <definedName name="_D34" hidden="1">#NAME?</definedName>
    <definedName name="_D38" hidden="1">#NAME?</definedName>
    <definedName name="_D39" hidden="1">#NAME?</definedName>
    <definedName name="_D40" hidden="1">#NAME?</definedName>
    <definedName name="_D44" hidden="1">#NAME?</definedName>
    <definedName name="_D46" hidden="1">#NAME?</definedName>
    <definedName name="_D47" hidden="1">#NAME?</definedName>
    <definedName name="_D48" hidden="1">#NAME?</definedName>
    <definedName name="_D49" hidden="1">#NAME?</definedName>
    <definedName name="_D50" hidden="1">#NAME?</definedName>
    <definedName name="_D55" hidden="1">#NAME?</definedName>
    <definedName name="_D56" hidden="1">#NAME?</definedName>
    <definedName name="_D57" hidden="1">#NAME?</definedName>
    <definedName name="_D58" hidden="1">#NAME?</definedName>
    <definedName name="_D59" hidden="1">#NAME?</definedName>
    <definedName name="_D73" hidden="1">#NAME?</definedName>
    <definedName name="_D74" hidden="1">#NAME?</definedName>
    <definedName name="_D75" hidden="1">#NAME?</definedName>
    <definedName name="_D76" hidden="1">#NAME?</definedName>
    <definedName name="_D77" hidden="1">#NAME?</definedName>
    <definedName name="_D78" hidden="1">#NAME?</definedName>
    <definedName name="_D79" hidden="1">#NAME?</definedName>
    <definedName name="_D80" hidden="1">#NAME?</definedName>
    <definedName name="_D81" hidden="1">#NAME?</definedName>
    <definedName name="_D82" hidden="1">#NAME?</definedName>
    <definedName name="_D83" hidden="1">#NAME?</definedName>
    <definedName name="_D84" hidden="1">#NAME?</definedName>
    <definedName name="_D85" hidden="1">#NAME?</definedName>
    <definedName name="_D86" hidden="1">#NAME?</definedName>
    <definedName name="_D87" hidden="1">#NAME?</definedName>
    <definedName name="_D88" hidden="1">#NAME?</definedName>
    <definedName name="_D89" hidden="1">#NAME?</definedName>
    <definedName name="_D9" hidden="1">#NAME?</definedName>
    <definedName name="_D90" hidden="1">#NAME?</definedName>
    <definedName name="_D91" hidden="1">#NAME?</definedName>
    <definedName name="_D92" hidden="1">#NAME?</definedName>
    <definedName name="_D93" hidden="1">#NAME?</definedName>
    <definedName name="_D94" hidden="1">#NAME?</definedName>
    <definedName name="_D95" hidden="1">#NAME?</definedName>
    <definedName name="_D96" hidden="1">#NAME?</definedName>
    <definedName name="_D97" hidden="1">#NAME?</definedName>
    <definedName name="_D98" hidden="1">#NAME?</definedName>
    <definedName name="_D99" hidden="1">#NAME?</definedName>
    <definedName name="_F1" localSheetId="1" hidden="1">{"'Sheet1'!$L$16"}</definedName>
    <definedName name="_F1" localSheetId="4" hidden="1">{"'Sheet1'!$L$16"}</definedName>
    <definedName name="_F1" hidden="1">{"'Sheet1'!$L$16"}</definedName>
    <definedName name="_F121" hidden="1">#NAME?</definedName>
    <definedName name="_F123" hidden="1">#NAME?</definedName>
    <definedName name="_F128" hidden="1">#NAME?</definedName>
    <definedName name="_F129" hidden="1">#NAME?</definedName>
    <definedName name="_F130" hidden="1">#NAME?</definedName>
    <definedName name="_F137" hidden="1">#NAME?</definedName>
    <definedName name="_F138" hidden="1">#NAME?</definedName>
    <definedName name="_F140" hidden="1">#NAME?</definedName>
    <definedName name="_F143" hidden="1">#NAME?</definedName>
    <definedName name="_F145" hidden="1">#NAME?</definedName>
    <definedName name="_F150" hidden="1">#NAME?</definedName>
    <definedName name="_F151" hidden="1">#NAME?</definedName>
    <definedName name="_F152" hidden="1">#NAME?</definedName>
    <definedName name="_F153" hidden="1">#NAME?</definedName>
    <definedName name="_F155" hidden="1">#NAME?</definedName>
    <definedName name="_F157" hidden="1">#NAME?</definedName>
    <definedName name="_F159" hidden="1">#NAME?</definedName>
    <definedName name="_F160" hidden="1">#NAME?</definedName>
    <definedName name="_F162" hidden="1">#NAME?</definedName>
    <definedName name="_F163" hidden="1">#NAME?</definedName>
    <definedName name="_F164" hidden="1">#NAME?</definedName>
    <definedName name="_F167" hidden="1">#NAME?</definedName>
    <definedName name="_F171" hidden="1">#NAME?</definedName>
    <definedName name="_F172" hidden="1">#NAME?</definedName>
    <definedName name="_F173" hidden="1">#NAME?</definedName>
    <definedName name="_F174" hidden="1">#NAME?</definedName>
    <definedName name="_F175" hidden="1">#NAME?</definedName>
    <definedName name="_F177" hidden="1">#NAME?</definedName>
    <definedName name="_F178" hidden="1">#NAME?</definedName>
    <definedName name="_F179" hidden="1">#NAME?</definedName>
    <definedName name="_F180" hidden="1">#NAME?</definedName>
    <definedName name="_F185" hidden="1">#NAME?</definedName>
    <definedName name="_F186" hidden="1">#NAME?</definedName>
    <definedName name="_F187" hidden="1">#NAME?</definedName>
    <definedName name="_F189" hidden="1">#NAME?</definedName>
    <definedName name="_F194" hidden="1">#NAME?</definedName>
    <definedName name="_F195" hidden="1">#NAME?</definedName>
    <definedName name="_F197" hidden="1">#NAME?</definedName>
    <definedName name="_F202" hidden="1">#NAME?</definedName>
    <definedName name="_F208" hidden="1">#NAME?</definedName>
    <definedName name="_F210" hidden="1">#NAME?</definedName>
    <definedName name="_F212" hidden="1">#NAME?</definedName>
    <definedName name="_f5" localSheetId="1" hidden="1">{"'Sheet1'!$L$16"}</definedName>
    <definedName name="_f5" localSheetId="4" hidden="1">{"'Sheet1'!$L$16"}</definedName>
    <definedName name="_f5" hidden="1">{"'Sheet1'!$L$16"}</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'NG by model'!$A$3:$AC$82</definedName>
    <definedName name="_xlnm._FilterDatabase" localSheetId="0" hidden="1">'Sale detail by code'!$A$235:$N$382</definedName>
    <definedName name="_xlnm._FilterDatabase" localSheetId="1" hidden="1">'Sch 1 - Sales'!$A$3:$T$33</definedName>
    <definedName name="_xlnm._FilterDatabase" localSheetId="4" hidden="1">#REF!</definedName>
    <definedName name="_xlnm._FilterDatabase" hidden="1">#REF!</definedName>
    <definedName name="_G177" hidden="1">#NAME?</definedName>
    <definedName name="_G179" hidden="1">#NAME?</definedName>
    <definedName name="_G184" hidden="1">#NAME?</definedName>
    <definedName name="_G185" hidden="1">#NAME?</definedName>
    <definedName name="_G186" hidden="1">#NAME?</definedName>
    <definedName name="_G193" hidden="1">#NAME?</definedName>
    <definedName name="_G194" hidden="1">#NAME?</definedName>
    <definedName name="_G196" hidden="1">#NAME?</definedName>
    <definedName name="_G201" hidden="1">#NAME?</definedName>
    <definedName name="_G207" hidden="1">#NAME?</definedName>
    <definedName name="_G209" hidden="1">#NAME?</definedName>
    <definedName name="_G211" hidden="1">#NAME?</definedName>
    <definedName name="_huy1" localSheetId="1" hidden="1">{"'Sheet1'!$L$16"}</definedName>
    <definedName name="_huy1" localSheetId="4" hidden="1">{"'Sheet1'!$L$16"}</definedName>
    <definedName name="_huy1" hidden="1">{"'Sheet1'!$L$16"}</definedName>
    <definedName name="_Key1" localSheetId="2" hidden="1">#REF!</definedName>
    <definedName name="_Key1" localSheetId="1" hidden="1">#REF!</definedName>
    <definedName name="_Key1" localSheetId="4" hidden="1">#REF!</definedName>
    <definedName name="_Key1" hidden="1">#REF!</definedName>
    <definedName name="_Key2" localSheetId="2" hidden="1">#REF!</definedName>
    <definedName name="_Key2" localSheetId="1" hidden="1">#REF!</definedName>
    <definedName name="_Key2" localSheetId="4" hidden="1">#REF!</definedName>
    <definedName name="_Key2" hidden="1">#REF!</definedName>
    <definedName name="_key3" localSheetId="1" hidden="1">#REF!</definedName>
    <definedName name="_key3" localSheetId="4" hidden="1">#REF!</definedName>
    <definedName name="_key3" hidden="1">#REF!</definedName>
    <definedName name="_MatInverse_Out" localSheetId="2" hidden="1">#REF!</definedName>
    <definedName name="_MatInverse_Out" localSheetId="1" hidden="1">#REF!</definedName>
    <definedName name="_MatInverse_Out" localSheetId="4" hidden="1">#REF!</definedName>
    <definedName name="_MatInverse_Out" hidden="1">#REF!</definedName>
    <definedName name="_MatMult_B" localSheetId="2" hidden="1">#REF!</definedName>
    <definedName name="_MatMult_B" localSheetId="1" hidden="1">#REF!</definedName>
    <definedName name="_MatMult_B" localSheetId="4" hidden="1">#REF!</definedName>
    <definedName name="_MatMult_B" hidden="1">#REF!</definedName>
    <definedName name="_NS03" localSheetId="1" hidden="1">{"'Sheet1'!$L$16"}</definedName>
    <definedName name="_NS03" localSheetId="4" hidden="1">{"'Sheet1'!$L$16"}</definedName>
    <definedName name="_NS03" hidden="1">{"'Sheet1'!$L$16"}</definedName>
    <definedName name="_NSO2" localSheetId="1" hidden="1">{"'Sheet1'!$L$16"}</definedName>
    <definedName name="_NSO2" localSheetId="4" hidden="1">{"'Sheet1'!$L$16"}</definedName>
    <definedName name="_NSO2" hidden="1">{"'Sheet1'!$L$16"}</definedName>
    <definedName name="_NSO3" localSheetId="1" hidden="1">{"'Sheet1'!$L$16"}</definedName>
    <definedName name="_NSO3" localSheetId="4" hidden="1">{"'Sheet1'!$L$16"}</definedName>
    <definedName name="_NSO3" hidden="1">{"'Sheet1'!$L$16"}</definedName>
    <definedName name="_NSO4" localSheetId="1" hidden="1">{"'Sheet1'!$L$16"}</definedName>
    <definedName name="_NSO4" localSheetId="4" hidden="1">{"'Sheet1'!$L$16"}</definedName>
    <definedName name="_NSO4" hidden="1">{"'Sheet1'!$L$16"}</definedName>
    <definedName name="_Order1">255</definedName>
    <definedName name="_Order2">255</definedName>
    <definedName name="_Regression_Int">1</definedName>
    <definedName name="_s1" localSheetId="2" hidden="1">{#N/A,#N/A,FALSE,"UNIT";#N/A,#N/A,FALSE,"UNIT";#N/A,#N/A,FALSE,"계정"}</definedName>
    <definedName name="_s1" localSheetId="1" hidden="1">{#N/A,#N/A,FALSE,"UNIT";#N/A,#N/A,FALSE,"UNIT";#N/A,#N/A,FALSE,"계정"}</definedName>
    <definedName name="_s1" localSheetId="4" hidden="1">{#N/A,#N/A,FALSE,"UNIT";#N/A,#N/A,FALSE,"UNIT";#N/A,#N/A,FALSE,"계정"}</definedName>
    <definedName name="_s1" hidden="1">{#N/A,#N/A,FALSE,"UNIT";#N/A,#N/A,FALSE,"UNIT";#N/A,#N/A,FALSE,"계정"}</definedName>
    <definedName name="_s10" localSheetId="2" hidden="1">{#N/A,#N/A,FALSE,"UNIT";#N/A,#N/A,FALSE,"UNIT";#N/A,#N/A,FALSE,"계정"}</definedName>
    <definedName name="_s10" localSheetId="1" hidden="1">{#N/A,#N/A,FALSE,"UNIT";#N/A,#N/A,FALSE,"UNIT";#N/A,#N/A,FALSE,"계정"}</definedName>
    <definedName name="_s10" localSheetId="4" hidden="1">{#N/A,#N/A,FALSE,"UNIT";#N/A,#N/A,FALSE,"UNIT";#N/A,#N/A,FALSE,"계정"}</definedName>
    <definedName name="_s10" hidden="1">{#N/A,#N/A,FALSE,"UNIT";#N/A,#N/A,FALSE,"UNIT";#N/A,#N/A,FALSE,"계정"}</definedName>
    <definedName name="_s11" localSheetId="2" hidden="1">{#N/A,#N/A,FALSE,"UNIT";#N/A,#N/A,FALSE,"UNIT";#N/A,#N/A,FALSE,"계정"}</definedName>
    <definedName name="_s11" localSheetId="1" hidden="1">{#N/A,#N/A,FALSE,"UNIT";#N/A,#N/A,FALSE,"UNIT";#N/A,#N/A,FALSE,"계정"}</definedName>
    <definedName name="_s11" localSheetId="4" hidden="1">{#N/A,#N/A,FALSE,"UNIT";#N/A,#N/A,FALSE,"UNIT";#N/A,#N/A,FALSE,"계정"}</definedName>
    <definedName name="_s11" hidden="1">{#N/A,#N/A,FALSE,"UNIT";#N/A,#N/A,FALSE,"UNIT";#N/A,#N/A,FALSE,"계정"}</definedName>
    <definedName name="_s12" localSheetId="2" hidden="1">{#N/A,#N/A,FALSE,"UNIT";#N/A,#N/A,FALSE,"UNIT";#N/A,#N/A,FALSE,"계정"}</definedName>
    <definedName name="_s12" localSheetId="1" hidden="1">{#N/A,#N/A,FALSE,"UNIT";#N/A,#N/A,FALSE,"UNIT";#N/A,#N/A,FALSE,"계정"}</definedName>
    <definedName name="_s12" localSheetId="4" hidden="1">{#N/A,#N/A,FALSE,"UNIT";#N/A,#N/A,FALSE,"UNIT";#N/A,#N/A,FALSE,"계정"}</definedName>
    <definedName name="_s12" hidden="1">{#N/A,#N/A,FALSE,"UNIT";#N/A,#N/A,FALSE,"UNIT";#N/A,#N/A,FALSE,"계정"}</definedName>
    <definedName name="_s13" localSheetId="2" hidden="1">{#N/A,#N/A,FALSE,"UNIT";#N/A,#N/A,FALSE,"UNIT";#N/A,#N/A,FALSE,"계정"}</definedName>
    <definedName name="_s13" localSheetId="1" hidden="1">{#N/A,#N/A,FALSE,"UNIT";#N/A,#N/A,FALSE,"UNIT";#N/A,#N/A,FALSE,"계정"}</definedName>
    <definedName name="_s13" localSheetId="4" hidden="1">{#N/A,#N/A,FALSE,"UNIT";#N/A,#N/A,FALSE,"UNIT";#N/A,#N/A,FALSE,"계정"}</definedName>
    <definedName name="_s13" hidden="1">{#N/A,#N/A,FALSE,"UNIT";#N/A,#N/A,FALSE,"UNIT";#N/A,#N/A,FALSE,"계정"}</definedName>
    <definedName name="_s14" localSheetId="2" hidden="1">{#N/A,#N/A,FALSE,"UNIT";#N/A,#N/A,FALSE,"UNIT";#N/A,#N/A,FALSE,"계정"}</definedName>
    <definedName name="_s14" localSheetId="1" hidden="1">{#N/A,#N/A,FALSE,"UNIT";#N/A,#N/A,FALSE,"UNIT";#N/A,#N/A,FALSE,"계정"}</definedName>
    <definedName name="_s14" localSheetId="4" hidden="1">{#N/A,#N/A,FALSE,"UNIT";#N/A,#N/A,FALSE,"UNIT";#N/A,#N/A,FALSE,"계정"}</definedName>
    <definedName name="_s14" hidden="1">{#N/A,#N/A,FALSE,"UNIT";#N/A,#N/A,FALSE,"UNIT";#N/A,#N/A,FALSE,"계정"}</definedName>
    <definedName name="_s16" localSheetId="2" hidden="1">{#N/A,#N/A,FALSE,"UNIT";#N/A,#N/A,FALSE,"UNIT";#N/A,#N/A,FALSE,"계정"}</definedName>
    <definedName name="_s16" localSheetId="1" hidden="1">{#N/A,#N/A,FALSE,"UNIT";#N/A,#N/A,FALSE,"UNIT";#N/A,#N/A,FALSE,"계정"}</definedName>
    <definedName name="_s16" localSheetId="4" hidden="1">{#N/A,#N/A,FALSE,"UNIT";#N/A,#N/A,FALSE,"UNIT";#N/A,#N/A,FALSE,"계정"}</definedName>
    <definedName name="_s16" hidden="1">{#N/A,#N/A,FALSE,"UNIT";#N/A,#N/A,FALSE,"UNIT";#N/A,#N/A,FALSE,"계정"}</definedName>
    <definedName name="_s17" localSheetId="2" hidden="1">{#N/A,#N/A,FALSE,"UNIT";#N/A,#N/A,FALSE,"UNIT";#N/A,#N/A,FALSE,"계정"}</definedName>
    <definedName name="_s17" localSheetId="1" hidden="1">{#N/A,#N/A,FALSE,"UNIT";#N/A,#N/A,FALSE,"UNIT";#N/A,#N/A,FALSE,"계정"}</definedName>
    <definedName name="_s17" localSheetId="4" hidden="1">{#N/A,#N/A,FALSE,"UNIT";#N/A,#N/A,FALSE,"UNIT";#N/A,#N/A,FALSE,"계정"}</definedName>
    <definedName name="_s17" hidden="1">{#N/A,#N/A,FALSE,"UNIT";#N/A,#N/A,FALSE,"UNIT";#N/A,#N/A,FALSE,"계정"}</definedName>
    <definedName name="_s2" localSheetId="2" hidden="1">{#N/A,#N/A,FALSE,"UNIT";#N/A,#N/A,FALSE,"UNIT";#N/A,#N/A,FALSE,"계정"}</definedName>
    <definedName name="_s2" localSheetId="1" hidden="1">{#N/A,#N/A,FALSE,"UNIT";#N/A,#N/A,FALSE,"UNIT";#N/A,#N/A,FALSE,"계정"}</definedName>
    <definedName name="_s2" localSheetId="4" hidden="1">{#N/A,#N/A,FALSE,"UNIT";#N/A,#N/A,FALSE,"UNIT";#N/A,#N/A,FALSE,"계정"}</definedName>
    <definedName name="_s2" hidden="1">{#N/A,#N/A,FALSE,"UNIT";#N/A,#N/A,FALSE,"UNIT";#N/A,#N/A,FALSE,"계정"}</definedName>
    <definedName name="_s3" localSheetId="2" hidden="1">{#N/A,#N/A,FALSE,"UNIT";#N/A,#N/A,FALSE,"UNIT";#N/A,#N/A,FALSE,"계정"}</definedName>
    <definedName name="_s3" localSheetId="1" hidden="1">{#N/A,#N/A,FALSE,"UNIT";#N/A,#N/A,FALSE,"UNIT";#N/A,#N/A,FALSE,"계정"}</definedName>
    <definedName name="_s3" localSheetId="4" hidden="1">{#N/A,#N/A,FALSE,"UNIT";#N/A,#N/A,FALSE,"UNIT";#N/A,#N/A,FALSE,"계정"}</definedName>
    <definedName name="_s3" hidden="1">{#N/A,#N/A,FALSE,"UNIT";#N/A,#N/A,FALSE,"UNIT";#N/A,#N/A,FALSE,"계정"}</definedName>
    <definedName name="_s4" localSheetId="2" hidden="1">{#N/A,#N/A,FALSE,"UNIT";#N/A,#N/A,FALSE,"UNIT";#N/A,#N/A,FALSE,"계정"}</definedName>
    <definedName name="_s4" localSheetId="1" hidden="1">{#N/A,#N/A,FALSE,"UNIT";#N/A,#N/A,FALSE,"UNIT";#N/A,#N/A,FALSE,"계정"}</definedName>
    <definedName name="_s4" localSheetId="4" hidden="1">{#N/A,#N/A,FALSE,"UNIT";#N/A,#N/A,FALSE,"UNIT";#N/A,#N/A,FALSE,"계정"}</definedName>
    <definedName name="_s4" hidden="1">{#N/A,#N/A,FALSE,"UNIT";#N/A,#N/A,FALSE,"UNIT";#N/A,#N/A,FALSE,"계정"}</definedName>
    <definedName name="_s5" localSheetId="2" hidden="1">{#N/A,#N/A,FALSE,"UNIT";#N/A,#N/A,FALSE,"UNIT";#N/A,#N/A,FALSE,"계정"}</definedName>
    <definedName name="_s5" localSheetId="1" hidden="1">{#N/A,#N/A,FALSE,"UNIT";#N/A,#N/A,FALSE,"UNIT";#N/A,#N/A,FALSE,"계정"}</definedName>
    <definedName name="_s5" localSheetId="4" hidden="1">{#N/A,#N/A,FALSE,"UNIT";#N/A,#N/A,FALSE,"UNIT";#N/A,#N/A,FALSE,"계정"}</definedName>
    <definedName name="_s5" hidden="1">{#N/A,#N/A,FALSE,"UNIT";#N/A,#N/A,FALSE,"UNIT";#N/A,#N/A,FALSE,"계정"}</definedName>
    <definedName name="_s6" localSheetId="2" hidden="1">{#N/A,#N/A,FALSE,"UNIT";#N/A,#N/A,FALSE,"UNIT";#N/A,#N/A,FALSE,"계정"}</definedName>
    <definedName name="_s6" localSheetId="1" hidden="1">{#N/A,#N/A,FALSE,"UNIT";#N/A,#N/A,FALSE,"UNIT";#N/A,#N/A,FALSE,"계정"}</definedName>
    <definedName name="_s6" localSheetId="4" hidden="1">{#N/A,#N/A,FALSE,"UNIT";#N/A,#N/A,FALSE,"UNIT";#N/A,#N/A,FALSE,"계정"}</definedName>
    <definedName name="_s6" hidden="1">{#N/A,#N/A,FALSE,"UNIT";#N/A,#N/A,FALSE,"UNIT";#N/A,#N/A,FALSE,"계정"}</definedName>
    <definedName name="_s9" localSheetId="2" hidden="1">{#N/A,#N/A,FALSE,"UNIT";#N/A,#N/A,FALSE,"UNIT";#N/A,#N/A,FALSE,"계정"}</definedName>
    <definedName name="_s9" localSheetId="1" hidden="1">{#N/A,#N/A,FALSE,"UNIT";#N/A,#N/A,FALSE,"UNIT";#N/A,#N/A,FALSE,"계정"}</definedName>
    <definedName name="_s9" localSheetId="4" hidden="1">{#N/A,#N/A,FALSE,"UNIT";#N/A,#N/A,FALSE,"UNIT";#N/A,#N/A,FALSE,"계정"}</definedName>
    <definedName name="_s9" hidden="1">{#N/A,#N/A,FALSE,"UNIT";#N/A,#N/A,FALSE,"UNIT";#N/A,#N/A,FALSE,"계정"}</definedName>
    <definedName name="_SDW1" localSheetId="1" hidden="1">#REF!</definedName>
    <definedName name="_SDW1" localSheetId="4" hidden="1">#REF!</definedName>
    <definedName name="_SDW1" hidden="1">#REF!</definedName>
    <definedName name="_Sort" localSheetId="2" hidden="1">#REF!</definedName>
    <definedName name="_Sort" localSheetId="1" hidden="1">#REF!</definedName>
    <definedName name="_Sort" localSheetId="4" hidden="1">#REF!</definedName>
    <definedName name="_Sort" hidden="1">#REF!</definedName>
    <definedName name="_Sort2" localSheetId="1" hidden="1">#REF!</definedName>
    <definedName name="_Sort2" localSheetId="4" hidden="1">#REF!</definedName>
    <definedName name="_Sort2" hidden="1">#REF!</definedName>
    <definedName name="_T01" localSheetId="1" hidden="1">#REF!</definedName>
    <definedName name="_T01" localSheetId="4" hidden="1">#REF!</definedName>
    <definedName name="_T01" hidden="1">#REF!</definedName>
    <definedName name="_t1" localSheetId="1" hidden="1">{#N/A,#N/A,FALSE,"Aging Summary";#N/A,#N/A,FALSE,"Ratio Analysis";#N/A,#N/A,FALSE,"Test 120 Day Accts";#N/A,#N/A,FALSE,"Tickmarks"}</definedName>
    <definedName name="_t1" localSheetId="4" hidden="1">{#N/A,#N/A,FALSE,"Aging Summary";#N/A,#N/A,FALSE,"Ratio Analysis";#N/A,#N/A,FALSE,"Test 120 Day Accts";#N/A,#N/A,FALSE,"Tickmarks"}</definedName>
    <definedName name="_t1" hidden="1">{#N/A,#N/A,FALSE,"Aging Summary";#N/A,#N/A,FALSE,"Ratio Analysis";#N/A,#N/A,FALSE,"Test 120 Day Accts";#N/A,#N/A,FALSE,"Tickmarks"}</definedName>
    <definedName name="\\" localSheetId="1" hidden="1">{#N/A,#N/A,FALSE,"단축1";#N/A,#N/A,FALSE,"단축2";#N/A,#N/A,FALSE,"단축3";#N/A,#N/A,FALSE,"장축";#N/A,#N/A,FALSE,"4WD"}</definedName>
    <definedName name="\\" localSheetId="4" hidden="1">{#N/A,#N/A,FALSE,"단축1";#N/A,#N/A,FALSE,"단축2";#N/A,#N/A,FALSE,"단축3";#N/A,#N/A,FALSE,"장축";#N/A,#N/A,FALSE,"4WD"}</definedName>
    <definedName name="\\" hidden="1">{#N/A,#N/A,FALSE,"단축1";#N/A,#N/A,FALSE,"단축2";#N/A,#N/A,FALSE,"단축3";#N/A,#N/A,FALSE,"장축";#N/A,#N/A,FALSE,"4WD"}</definedName>
    <definedName name="\a">#N/A</definedName>
    <definedName name="\b">#N/A</definedName>
    <definedName name="\e">#N/A</definedName>
    <definedName name="\m">#N/A</definedName>
    <definedName name="\q">#N/A</definedName>
    <definedName name="\r">#N/A</definedName>
    <definedName name="\s">#N/A</definedName>
    <definedName name="â" localSheetId="1" hidden="1">{#N/A,#N/A,FALSE,"Aging Summary";#N/A,#N/A,FALSE,"Ratio Analysis";#N/A,#N/A,FALSE,"Test 120 Day Accts";#N/A,#N/A,FALSE,"Tickmarks"}</definedName>
    <definedName name="â" localSheetId="4" hidden="1">{#N/A,#N/A,FALSE,"Aging Summary";#N/A,#N/A,FALSE,"Ratio Analysis";#N/A,#N/A,FALSE,"Test 120 Day Accts";#N/A,#N/A,FALSE,"Tickmarks"}</definedName>
    <definedName name="â" hidden="1">{#N/A,#N/A,FALSE,"Aging Summary";#N/A,#N/A,FALSE,"Ratio Analysis";#N/A,#N/A,FALSE,"Test 120 Day Accts";#N/A,#N/A,FALSE,"Tickmarks"}</definedName>
    <definedName name="A1_00근거" localSheetId="1"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a">#N/A</definedName>
    <definedName name="aaa">#N/A</definedName>
    <definedName name="aaaa">#N/A</definedName>
    <definedName name="aaaaa">#N/A</definedName>
    <definedName name="aaaaaa">#N/A</definedName>
    <definedName name="AAAAAAAAAAAAA" localSheetId="1" hidden="1">#REF!</definedName>
    <definedName name="AAAAAAAAAAAAA" localSheetId="4" hidden="1">#REF!</definedName>
    <definedName name="AAAAAAAAAAAAA" hidden="1">#REF!</definedName>
    <definedName name="aaif" localSheetId="1" hidden="1">{#N/A,#N/A,FALSE,"단축1";#N/A,#N/A,FALSE,"단축2";#N/A,#N/A,FALSE,"단축3";#N/A,#N/A,FALSE,"장축";#N/A,#N/A,FALSE,"4WD"}</definedName>
    <definedName name="aaif" localSheetId="4" hidden="1">{#N/A,#N/A,FALSE,"단축1";#N/A,#N/A,FALSE,"단축2";#N/A,#N/A,FALSE,"단축3";#N/A,#N/A,FALSE,"장축";#N/A,#N/A,FALSE,"4WD"}</definedName>
    <definedName name="aaif" hidden="1">{#N/A,#N/A,FALSE,"단축1";#N/A,#N/A,FALSE,"단축2";#N/A,#N/A,FALSE,"단축3";#N/A,#N/A,FALSE,"장축";#N/A,#N/A,FALSE,"4WD"}</definedName>
    <definedName name="abc" localSheetId="1" hidden="1">#REF!</definedName>
    <definedName name="abc" localSheetId="4" hidden="1">#REF!</definedName>
    <definedName name="abc" hidden="1">#REF!</definedName>
    <definedName name="AccessDatabase" hidden="1">"C:\MAI\the kho.mdb"</definedName>
    <definedName name="ad" localSheetId="1"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 localSheetId="4"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f" localSheetId="1"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df" localSheetId="4"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df"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ff" localSheetId="1" hidden="1">{#N/A,#N/A,FALSE,"단축1";#N/A,#N/A,FALSE,"단축2";#N/A,#N/A,FALSE,"단축3";#N/A,#N/A,FALSE,"장축";#N/A,#N/A,FALSE,"4WD"}</definedName>
    <definedName name="aff" localSheetId="4" hidden="1">{#N/A,#N/A,FALSE,"단축1";#N/A,#N/A,FALSE,"단축2";#N/A,#N/A,FALSE,"단축3";#N/A,#N/A,FALSE,"장축";#N/A,#N/A,FALSE,"4WD"}</definedName>
    <definedName name="aff" hidden="1">{#N/A,#N/A,FALSE,"단축1";#N/A,#N/A,FALSE,"단축2";#N/A,#N/A,FALSE,"단축3";#N/A,#N/A,FALSE,"장축";#N/A,#N/A,FALSE,"4WD"}</definedName>
    <definedName name="ale" localSheetId="1" hidden="1">{#N/A,#N/A,TRUE,"Report_PF";#N/A,#N/A,TRUE,"Report_ORG";#N/A,#N/A,TRUE,"Report_DEP"}</definedName>
    <definedName name="ale" localSheetId="4" hidden="1">{#N/A,#N/A,TRUE,"Report_PF";#N/A,#N/A,TRUE,"Report_ORG";#N/A,#N/A,TRUE,"Report_DEP"}</definedName>
    <definedName name="ale" hidden="1">{#N/A,#N/A,TRUE,"Report_PF";#N/A,#N/A,TRUE,"Report_ORG";#N/A,#N/A,TRUE,"Report_DEP"}</definedName>
    <definedName name="anscount" hidden="1">2</definedName>
    <definedName name="as">#N/A</definedName>
    <definedName name="AS2DocOpenMode">"AS2DocumentEdit"</definedName>
    <definedName name="AS2HasNoAutoHeaderFooter" hidden="1">" "</definedName>
    <definedName name="AS2ReportLS">1</definedName>
    <definedName name="AS2StaticLS" localSheetId="2" hidden="1">#REF!</definedName>
    <definedName name="AS2StaticLS" localSheetId="1" hidden="1">#REF!</definedName>
    <definedName name="AS2StaticLS" localSheetId="4" hidden="1">#REF!</definedName>
    <definedName name="AS2StaticLS" hidden="1">#REF!</definedName>
    <definedName name="AS2SyncStepLS">0</definedName>
    <definedName name="AS2TickmarkLS" localSheetId="2" hidden="1">#REF!</definedName>
    <definedName name="AS2TickmarkLS" localSheetId="1" hidden="1">#REF!</definedName>
    <definedName name="AS2TickmarkLS" localSheetId="4" hidden="1">#REF!</definedName>
    <definedName name="AS2TickmarkLS" hidden="1">#REF!</definedName>
    <definedName name="AS2VersionLS">300</definedName>
    <definedName name="asasasws" localSheetId="1" hidden="1">{#N/A,#N/A,FALSE,"단축1";#N/A,#N/A,FALSE,"단축2";#N/A,#N/A,FALSE,"단축3";#N/A,#N/A,FALSE,"장축";#N/A,#N/A,FALSE,"4WD"}</definedName>
    <definedName name="asasasws" localSheetId="4" hidden="1">{#N/A,#N/A,FALSE,"단축1";#N/A,#N/A,FALSE,"단축2";#N/A,#N/A,FALSE,"단축3";#N/A,#N/A,FALSE,"장축";#N/A,#N/A,FALSE,"4WD"}</definedName>
    <definedName name="asasasws" hidden="1">{#N/A,#N/A,FALSE,"단축1";#N/A,#N/A,FALSE,"단축2";#N/A,#N/A,FALSE,"단축3";#N/A,#N/A,FALSE,"장축";#N/A,#N/A,FALSE,"4WD"}</definedName>
    <definedName name="asd">#N/A</definedName>
    <definedName name="asda" localSheetId="1" hidden="1">{"Other Statement CY AF",#N/A,FALSE,"Other Income"}</definedName>
    <definedName name="asda" localSheetId="4" hidden="1">{"Other Statement CY AF",#N/A,FALSE,"Other Income"}</definedName>
    <definedName name="asda" hidden="1">{"Other Statement CY AF",#N/A,FALSE,"Other Income"}</definedName>
    <definedName name="asdf">#N/A</definedName>
    <definedName name="asdfg">#N/A</definedName>
    <definedName name="asdg" localSheetId="1" hidden="1">{"'1-TheatreBkgs'!$A$1:$L$102"}</definedName>
    <definedName name="asdg" localSheetId="4" hidden="1">{"'1-TheatreBkgs'!$A$1:$L$102"}</definedName>
    <definedName name="asdg" hidden="1">{"'1-TheatreBkgs'!$A$1:$L$102"}</definedName>
    <definedName name="assdewdwe" localSheetId="1" hidden="1">{#N/A,#N/A,FALSE,"단축1";#N/A,#N/A,FALSE,"단축2";#N/A,#N/A,FALSE,"단축3";#N/A,#N/A,FALSE,"장축";#N/A,#N/A,FALSE,"4WD"}</definedName>
    <definedName name="assdewdwe" localSheetId="4" hidden="1">{#N/A,#N/A,FALSE,"단축1";#N/A,#N/A,FALSE,"단축2";#N/A,#N/A,FALSE,"단축3";#N/A,#N/A,FALSE,"장축";#N/A,#N/A,FALSE,"4WD"}</definedName>
    <definedName name="assdewdwe" hidden="1">{#N/A,#N/A,FALSE,"단축1";#N/A,#N/A,FALSE,"단축2";#N/A,#N/A,FALSE,"단축3";#N/A,#N/A,FALSE,"장축";#N/A,#N/A,FALSE,"4WD"}</definedName>
    <definedName name="asss" localSheetId="1" hidden="1">{"'1-TheatreBkgs'!$A$1:$L$102"}</definedName>
    <definedName name="asss" localSheetId="4" hidden="1">{"'1-TheatreBkgs'!$A$1:$L$102"}</definedName>
    <definedName name="asss" hidden="1">{"'1-TheatreBkgs'!$A$1:$L$102"}</definedName>
    <definedName name="asxz">#N/A</definedName>
    <definedName name="Aug.05" localSheetId="1" hidden="1">{"'Sheet1'!$L$16"}</definedName>
    <definedName name="Aug.05" localSheetId="4" hidden="1">{"'Sheet1'!$L$16"}</definedName>
    <definedName name="Aug.05" hidden="1">{"'Sheet1'!$L$16"}</definedName>
    <definedName name="Bao" localSheetId="1" hidden="1">{#N/A,#N/A,FALSE,"Chi tiÆt"}</definedName>
    <definedName name="Bao" localSheetId="4" hidden="1">{#N/A,#N/A,FALSE,"Chi tiÆt"}</definedName>
    <definedName name="Bao" hidden="1">{#N/A,#N/A,FALSE,"Chi tiÆt"}</definedName>
    <definedName name="bbb">#N/A</definedName>
    <definedName name="bbbbb">#N/A</definedName>
    <definedName name="bcong5.03" localSheetId="1" hidden="1">{"'Sheet1'!$L$16"}</definedName>
    <definedName name="bcong5.03" localSheetId="4" hidden="1">{"'Sheet1'!$L$16"}</definedName>
    <definedName name="bcong5.03" hidden="1">{"'Sheet1'!$L$16"}</definedName>
    <definedName name="BG_Del">15</definedName>
    <definedName name="BG_Ins">4</definedName>
    <definedName name="BG_Mod">6</definedName>
    <definedName name="binh" localSheetId="1" hidden="1">{#N/A,#N/A,FALSE,"Aging Summary";#N/A,#N/A,FALSE,"Ratio Analysis";#N/A,#N/A,FALSE,"Test 120 Day Accts";#N/A,#N/A,FALSE,"Tickmarks"}</definedName>
    <definedName name="binh" localSheetId="4" hidden="1">{#N/A,#N/A,FALSE,"Aging Summary";#N/A,#N/A,FALSE,"Ratio Analysis";#N/A,#N/A,FALSE,"Test 120 Day Accts";#N/A,#N/A,FALSE,"Tickmarks"}</definedName>
    <definedName name="binh" hidden="1">{#N/A,#N/A,FALSE,"Aging Summary";#N/A,#N/A,FALSE,"Ratio Analysis";#N/A,#N/A,FALSE,"Test 120 Day Accts";#N/A,#N/A,FALSE,"Tickmarks"}</definedName>
    <definedName name="book">#N/A</definedName>
    <definedName name="book1" localSheetId="2" hidden="1">{#N/A,#N/A,FALSE,"UNIT";#N/A,#N/A,FALSE,"UNIT";#N/A,#N/A,FALSE,"계정"}</definedName>
    <definedName name="book1" localSheetId="1" hidden="1">{#N/A,#N/A,FALSE,"UNIT";#N/A,#N/A,FALSE,"UNIT";#N/A,#N/A,FALSE,"계정"}</definedName>
    <definedName name="book1" localSheetId="4" hidden="1">{#N/A,#N/A,FALSE,"UNIT";#N/A,#N/A,FALSE,"UNIT";#N/A,#N/A,FALSE,"계정"}</definedName>
    <definedName name="book1" hidden="1">{#N/A,#N/A,FALSE,"UNIT";#N/A,#N/A,FALSE,"UNIT";#N/A,#N/A,FALSE,"계정"}</definedName>
    <definedName name="book2">#N/A</definedName>
    <definedName name="book3">#N/A</definedName>
    <definedName name="Brand" localSheetId="1" hidden="1">{#N/A,#N/A,TRUE,"Report_PF";#N/A,#N/A,TRUE,"Report_ORG";#N/A,#N/A,TRUE,"Report_DEP"}</definedName>
    <definedName name="Brand" localSheetId="4" hidden="1">{#N/A,#N/A,TRUE,"Report_PF";#N/A,#N/A,TRUE,"Report_ORG";#N/A,#N/A,TRUE,"Report_DEP"}</definedName>
    <definedName name="Brand" hidden="1">{#N/A,#N/A,TRUE,"Report_PF";#N/A,#N/A,TRUE,"Report_ORG";#N/A,#N/A,TRUE,"Report_DEP"}</definedName>
    <definedName name="btl" localSheetId="1" hidden="1">{"'Sheet1'!$L$16"}</definedName>
    <definedName name="btl" localSheetId="4" hidden="1">{"'Sheet1'!$L$16"}</definedName>
    <definedName name="btl" hidden="1">{"'Sheet1'!$L$16"}</definedName>
    <definedName name="CA_FY07" localSheetId="1" hidden="1">{"'1-TheatreBkgs'!$A$1:$L$102"}</definedName>
    <definedName name="CA_FY07" localSheetId="4" hidden="1">{"'1-TheatreBkgs'!$A$1:$L$102"}</definedName>
    <definedName name="CA_FY07" hidden="1">{"'1-TheatreBkgs'!$A$1:$L$102"}</definedName>
    <definedName name="CAE해석" localSheetId="1" hidden="1">{#N/A,#N/A,FALSE,"단축1";#N/A,#N/A,FALSE,"단축2";#N/A,#N/A,FALSE,"단축3";#N/A,#N/A,FALSE,"장축";#N/A,#N/A,FALSE,"4WD"}</definedName>
    <definedName name="CAE해석" localSheetId="4" hidden="1">{#N/A,#N/A,FALSE,"단축1";#N/A,#N/A,FALSE,"단축2";#N/A,#N/A,FALSE,"단축3";#N/A,#N/A,FALSE,"장축";#N/A,#N/A,FALSE,"4WD"}</definedName>
    <definedName name="CAE해석" hidden="1">{#N/A,#N/A,FALSE,"단축1";#N/A,#N/A,FALSE,"단축2";#N/A,#N/A,FALSE,"단축3";#N/A,#N/A,FALSE,"장축";#N/A,#N/A,FALSE,"4WD"}</definedName>
    <definedName name="casdsdsd" localSheetId="1" hidden="1">{#N/A,#N/A,TRUE,"Report_PF";#N/A,#N/A,TRUE,"Report_ORG";#N/A,#N/A,TRUE,"Report_DEP"}</definedName>
    <definedName name="casdsdsd" localSheetId="4" hidden="1">{#N/A,#N/A,TRUE,"Report_PF";#N/A,#N/A,TRUE,"Report_ORG";#N/A,#N/A,TRUE,"Report_DEP"}</definedName>
    <definedName name="casdsdsd" hidden="1">{#N/A,#N/A,TRUE,"Report_PF";#N/A,#N/A,TRUE,"Report_ORG";#N/A,#N/A,TRUE,"Report_DEP"}</definedName>
    <definedName name="ccc">#N/A</definedName>
    <definedName name="cccccccccccccccccccccc">#N/A</definedName>
    <definedName name="cha" localSheetId="1" hidden="1">{#N/A,#N/A,FALSE,"Aging Summary";#N/A,#N/A,FALSE,"Ratio Analysis";#N/A,#N/A,FALSE,"Test 120 Day Accts";#N/A,#N/A,FALSE,"Tickmarks"}</definedName>
    <definedName name="cha" localSheetId="4" hidden="1">{#N/A,#N/A,FALSE,"Aging Summary";#N/A,#N/A,FALSE,"Ratio Analysis";#N/A,#N/A,FALSE,"Test 120 Day Accts";#N/A,#N/A,FALSE,"Tickmarks"}</definedName>
    <definedName name="cha" hidden="1">{#N/A,#N/A,FALSE,"Aging Summary";#N/A,#N/A,FALSE,"Ratio Analysis";#N/A,#N/A,FALSE,"Test 120 Day Accts";#N/A,#N/A,FALSE,"Tickmarks"}</definedName>
    <definedName name="chamcongt3" localSheetId="1" hidden="1">{"'Sheet1'!$L$16"}</definedName>
    <definedName name="chamcongt3" localSheetId="4" hidden="1">{"'Sheet1'!$L$16"}</definedName>
    <definedName name="chamcongt3" hidden="1">{"'Sheet1'!$L$16"}</definedName>
    <definedName name="chuyen" localSheetId="1" hidden="1">{"'Sheet1'!$L$16"}</definedName>
    <definedName name="chuyen" localSheetId="4" hidden="1">{"'Sheet1'!$L$16"}</definedName>
    <definedName name="chuyen" hidden="1">{"'Sheet1'!$L$16"}</definedName>
    <definedName name="ci" localSheetId="1"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jhjkkfkl" localSheetId="1" hidden="1">{"'Sheet1'!$L$16"}</definedName>
    <definedName name="cjhjkkfkl" localSheetId="4" hidden="1">{"'Sheet1'!$L$16"}</definedName>
    <definedName name="cjhjkkfkl" hidden="1">{"'Sheet1'!$L$16"}</definedName>
    <definedName name="CONCEPT" localSheetId="1" hidden="1">{#N/A,#N/A,FALSE,"단축1";#N/A,#N/A,FALSE,"단축2";#N/A,#N/A,FALSE,"단축3";#N/A,#N/A,FALSE,"장축";#N/A,#N/A,FALSE,"4WD"}</definedName>
    <definedName name="CONCEPT" localSheetId="4" hidden="1">{#N/A,#N/A,FALSE,"단축1";#N/A,#N/A,FALSE,"단축2";#N/A,#N/A,FALSE,"단축3";#N/A,#N/A,FALSE,"장축";#N/A,#N/A,FALSE,"4WD"}</definedName>
    <definedName name="CONCEPT" hidden="1">{#N/A,#N/A,FALSE,"단축1";#N/A,#N/A,FALSE,"단축2";#N/A,#N/A,FALSE,"단축3";#N/A,#N/A,FALSE,"장축";#N/A,#N/A,FALSE,"4WD"}</definedName>
    <definedName name="CT" localSheetId="1" hidden="1">{#N/A,#N/A,TRUE,"BT M200 da 10x20"}</definedName>
    <definedName name="CT" localSheetId="4" hidden="1">{#N/A,#N/A,TRUE,"BT M200 da 10x20"}</definedName>
    <definedName name="CT" hidden="1">{#N/A,#N/A,TRUE,"BT M200 da 10x20"}</definedName>
    <definedName name="CV"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CV"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CV"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d" localSheetId="2" hidden="1">{#N/A,#N/A,FALSE,"UNIT";#N/A,#N/A,FALSE,"UNIT";#N/A,#N/A,FALSE,"계정"}</definedName>
    <definedName name="d" localSheetId="1" hidden="1">{#N/A,#N/A,FALSE,"UNIT";#N/A,#N/A,FALSE,"UNIT";#N/A,#N/A,FALSE,"계정"}</definedName>
    <definedName name="d" localSheetId="4" hidden="1">{#N/A,#N/A,FALSE,"UNIT";#N/A,#N/A,FALSE,"UNIT";#N/A,#N/A,FALSE,"계정"}</definedName>
    <definedName name="d" hidden="1">{#N/A,#N/A,FALSE,"UNIT";#N/A,#N/A,FALSE,"UNIT";#N/A,#N/A,FALSE,"계정"}</definedName>
    <definedName name="đ" localSheetId="1" hidden="1">{#N/A,#N/A,FALSE,"Aging Summary";#N/A,#N/A,FALSE,"Ratio Analysis";#N/A,#N/A,FALSE,"Test 120 Day Accts";#N/A,#N/A,FALSE,"Tickmarks"}</definedName>
    <definedName name="đ" localSheetId="4" hidden="1">{#N/A,#N/A,FALSE,"Aging Summary";#N/A,#N/A,FALSE,"Ratio Analysis";#N/A,#N/A,FALSE,"Test 120 Day Accts";#N/A,#N/A,FALSE,"Tickmarks"}</definedName>
    <definedName name="đ" hidden="1">{#N/A,#N/A,FALSE,"Aging Summary";#N/A,#N/A,FALSE,"Ratio Analysis";#N/A,#N/A,FALSE,"Test 120 Day Accts";#N/A,#N/A,FALSE,"Tickmarks"}</definedName>
    <definedName name="dafs"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fs"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fs"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ta1" localSheetId="1" hidden="1">#REF!</definedName>
    <definedName name="data1" localSheetId="4" hidden="1">#REF!</definedName>
    <definedName name="data1" hidden="1">#REF!</definedName>
    <definedName name="dd">#N/A</definedName>
    <definedName name="ddd">#N/A</definedName>
    <definedName name="DDF" localSheetId="1" hidden="1">{#N/A,#N/A,FALSE,"Aging Summary";#N/A,#N/A,FALSE,"Ratio Analysis";#N/A,#N/A,FALSE,"Test 120 Day Accts";#N/A,#N/A,FALSE,"Tickmarks"}</definedName>
    <definedName name="DDF" localSheetId="4" hidden="1">{#N/A,#N/A,FALSE,"Aging Summary";#N/A,#N/A,FALSE,"Ratio Analysis";#N/A,#N/A,FALSE,"Test 120 Day Accts";#N/A,#N/A,FALSE,"Tickmarks"}</definedName>
    <definedName name="DDF" hidden="1">{#N/A,#N/A,FALSE,"Aging Summary";#N/A,#N/A,FALSE,"Ratio Analysis";#N/A,#N/A,FALSE,"Test 120 Day Accts";#N/A,#N/A,FALSE,"Tickmarks"}</definedName>
    <definedName name="df" localSheetId="1" hidden="1">{#N/A,#N/A,FALSE,"Aging Summary";#N/A,#N/A,FALSE,"Ratio Analysis";#N/A,#N/A,FALSE,"Test 120 Day Accts";#N/A,#N/A,FALSE,"Tickmarks"}</definedName>
    <definedName name="df" localSheetId="4" hidden="1">{#N/A,#N/A,FALSE,"Aging Summary";#N/A,#N/A,FALSE,"Ratio Analysis";#N/A,#N/A,FALSE,"Test 120 Day Accts";#N/A,#N/A,FALSE,"Tickmarks"}</definedName>
    <definedName name="df" hidden="1">{#N/A,#N/A,FALSE,"Aging Summary";#N/A,#N/A,FALSE,"Ratio Analysis";#N/A,#N/A,FALSE,"Test 120 Day Accts";#N/A,#N/A,FALSE,"Tickmarks"}</definedName>
    <definedName name="dfasd" localSheetId="1"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asd" localSheetId="4"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asd"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dfdf" localSheetId="1" hidden="1">{"'Sheet1'!$L$16"}</definedName>
    <definedName name="dfdfdf" localSheetId="4" hidden="1">{"'Sheet1'!$L$16"}</definedName>
    <definedName name="dfdfdf" hidden="1">{"'Sheet1'!$L$16"}</definedName>
    <definedName name="dfhdfhdfh" localSheetId="1" hidden="1">{"Balance Sheet CY PP",#N/A,FALSE,"Balance Sheet"}</definedName>
    <definedName name="dfhdfhdfh" localSheetId="4" hidden="1">{"Balance Sheet CY PP",#N/A,FALSE,"Balance Sheet"}</definedName>
    <definedName name="dfhdfhdfh" hidden="1">{"Balance Sheet CY PP",#N/A,FALSE,"Balance Sheet"}</definedName>
    <definedName name="dfhfhgf" localSheetId="1" hidden="1">{#N/A,#N/A,TRUE,"Report_PF";#N/A,#N/A,TRUE,"Report_ORG";#N/A,#N/A,TRUE,"Report_DEP"}</definedName>
    <definedName name="dfhfhgf" localSheetId="4" hidden="1">{#N/A,#N/A,TRUE,"Report_PF";#N/A,#N/A,TRUE,"Report_ORG";#N/A,#N/A,TRUE,"Report_DEP"}</definedName>
    <definedName name="dfhfhgf" hidden="1">{#N/A,#N/A,TRUE,"Report_PF";#N/A,#N/A,TRUE,"Report_ORG";#N/A,#N/A,TRUE,"Report_DEP"}</definedName>
    <definedName name="DGF" localSheetId="1" hidden="1">{#N/A,#N/A,FALSE,"단축1";#N/A,#N/A,FALSE,"단축2";#N/A,#N/A,FALSE,"단축3";#N/A,#N/A,FALSE,"장축";#N/A,#N/A,FALSE,"4WD"}</definedName>
    <definedName name="DGF" localSheetId="4" hidden="1">{#N/A,#N/A,FALSE,"단축1";#N/A,#N/A,FALSE,"단축2";#N/A,#N/A,FALSE,"단축3";#N/A,#N/A,FALSE,"장축";#N/A,#N/A,FALSE,"4WD"}</definedName>
    <definedName name="DGF" hidden="1">{#N/A,#N/A,FALSE,"단축1";#N/A,#N/A,FALSE,"단축2";#N/A,#N/A,FALSE,"단축3";#N/A,#N/A,FALSE,"장축";#N/A,#N/A,FALSE,"4WD"}</definedName>
    <definedName name="Discount" localSheetId="1" hidden="1">#REF!</definedName>
    <definedName name="Discount" localSheetId="4" hidden="1">#REF!</definedName>
    <definedName name="Discount" hidden="1">#REF!</definedName>
    <definedName name="dkf" localSheetId="1" hidden="1">{#N/A,#N/A,FALSE,"단축1";#N/A,#N/A,FALSE,"단축2";#N/A,#N/A,FALSE,"단축3";#N/A,#N/A,FALSE,"장축";#N/A,#N/A,FALSE,"4WD"}</definedName>
    <definedName name="dkf" localSheetId="4" hidden="1">{#N/A,#N/A,FALSE,"단축1";#N/A,#N/A,FALSE,"단축2";#N/A,#N/A,FALSE,"단축3";#N/A,#N/A,FALSE,"장축";#N/A,#N/A,FALSE,"4WD"}</definedName>
    <definedName name="dkf" hidden="1">{#N/A,#N/A,FALSE,"단축1";#N/A,#N/A,FALSE,"단축2";#N/A,#N/A,FALSE,"단축3";#N/A,#N/A,FALSE,"장축";#N/A,#N/A,FALSE,"4WD"}</definedName>
    <definedName name="DLATL" localSheetId="1" hidden="1">{#N/A,#N/A,FALSE,"단축1";#N/A,#N/A,FALSE,"단축2";#N/A,#N/A,FALSE,"단축3";#N/A,#N/A,FALSE,"장축";#N/A,#N/A,FALSE,"4WD"}</definedName>
    <definedName name="DLATL" localSheetId="4" hidden="1">{#N/A,#N/A,FALSE,"단축1";#N/A,#N/A,FALSE,"단축2";#N/A,#N/A,FALSE,"단축3";#N/A,#N/A,FALSE,"장축";#N/A,#N/A,FALSE,"4WD"}</definedName>
    <definedName name="DLATL" hidden="1">{#N/A,#N/A,FALSE,"단축1";#N/A,#N/A,FALSE,"단축2";#N/A,#N/A,FALSE,"단축3";#N/A,#N/A,FALSE,"장축";#N/A,#N/A,FALSE,"4WD"}</definedName>
    <definedName name="dohppwv" localSheetId="1" hidden="1">{"qtrvspyr",#N/A,FALSE,"qtrvspryrqtr"}</definedName>
    <definedName name="dohppwv" localSheetId="4" hidden="1">{"qtrvspyr",#N/A,FALSE,"qtrvspryrqtr"}</definedName>
    <definedName name="dohppwv" hidden="1">{"qtrvspyr",#N/A,FALSE,"qtrvspryrqtr"}</definedName>
    <definedName name="DRIVEABILITY" localSheetId="1" hidden="1">{#N/A,#N/A,FALSE,"단축1";#N/A,#N/A,FALSE,"단축2";#N/A,#N/A,FALSE,"단축3";#N/A,#N/A,FALSE,"장축";#N/A,#N/A,FALSE,"4WD"}</definedName>
    <definedName name="DRIVEABILITY" localSheetId="4" hidden="1">{#N/A,#N/A,FALSE,"단축1";#N/A,#N/A,FALSE,"단축2";#N/A,#N/A,FALSE,"단축3";#N/A,#N/A,FALSE,"장축";#N/A,#N/A,FALSE,"4WD"}</definedName>
    <definedName name="DRIVEABILITY" hidden="1">{#N/A,#N/A,FALSE,"단축1";#N/A,#N/A,FALSE,"단축2";#N/A,#N/A,FALSE,"단축3";#N/A,#N/A,FALSE,"장축";#N/A,#N/A,FALSE,"4WD"}</definedName>
    <definedName name="dsds" localSheetId="1" hidden="1">{#N/A,#N/A,FALSE,"Title";#N/A,#N/A,FALSE,"Bal.sheet";#N/A,#N/A,FALSE,"Income";#N/A,#N/A,FALSE,"sale";#N/A,#N/A,FALSE,"cash";#N/A,#N/A,FALSE,"AR";#N/A,#N/A,FALSE,"AR-other";#N/A,#N/A,FALSE,"asset";#N/A,#N/A,FALSE,"Pre-Op";#N/A,#N/A,FALSE,"AP";#N/A,#N/A,FALSE,"Parent";#N/A,#N/A,FALSE,"Qty";#N/A,#N/A,FALSE,"COGS";#N/A,#N/A,FALSE,"GOH-Sell";#N/A,#N/A,FALSE,"Interest"}</definedName>
    <definedName name="dsds" localSheetId="4"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FDSF">#N/A</definedName>
    <definedName name="dsfs" localSheetId="1" hidden="1">{#N/A,#N/A,FALSE,"Aging Summary";#N/A,#N/A,FALSE,"Ratio Analysis";#N/A,#N/A,FALSE,"Test 120 Day Accts";#N/A,#N/A,FALSE,"Tickmarks"}</definedName>
    <definedName name="dsfs" localSheetId="4" hidden="1">{#N/A,#N/A,FALSE,"Aging Summary";#N/A,#N/A,FALSE,"Ratio Analysis";#N/A,#N/A,FALSE,"Test 120 Day Accts";#N/A,#N/A,FALSE,"Tickmarks"}</definedName>
    <definedName name="dsfs" hidden="1">{#N/A,#N/A,FALSE,"Aging Summary";#N/A,#N/A,FALSE,"Ratio Analysis";#N/A,#N/A,FALSE,"Test 120 Day Accts";#N/A,#N/A,FALSE,"Tickmarks"}</definedName>
    <definedName name="dtctnd" localSheetId="1" hidden="1">{"'Sheet1'!$L$16"}</definedName>
    <definedName name="dtctnd" localSheetId="4" hidden="1">{"'Sheet1'!$L$16"}</definedName>
    <definedName name="dtctnd" hidden="1">{"'Sheet1'!$L$16"}</definedName>
    <definedName name="EADAF" localSheetId="1" hidden="1">{#N/A,#N/A,FALSE,"단축1";#N/A,#N/A,FALSE,"단축2";#N/A,#N/A,FALSE,"단축3";#N/A,#N/A,FALSE,"장축";#N/A,#N/A,FALSE,"4WD"}</definedName>
    <definedName name="EADAF" localSheetId="4" hidden="1">{#N/A,#N/A,FALSE,"단축1";#N/A,#N/A,FALSE,"단축2";#N/A,#N/A,FALSE,"단축3";#N/A,#N/A,FALSE,"장축";#N/A,#N/A,FALSE,"4WD"}</definedName>
    <definedName name="EADAF" hidden="1">{#N/A,#N/A,FALSE,"단축1";#N/A,#N/A,FALSE,"단축2";#N/A,#N/A,FALSE,"단축3";#N/A,#N/A,FALSE,"장축";#N/A,#N/A,FALSE,"4WD"}</definedName>
    <definedName name="edfewfef" localSheetId="1" hidden="1">{#N/A,#N/A,TRUE,"Report_PF";#N/A,#N/A,TRUE,"Report_ORG";#N/A,#N/A,TRUE,"Report_DEP"}</definedName>
    <definedName name="edfewfef" localSheetId="4" hidden="1">{#N/A,#N/A,TRUE,"Report_PF";#N/A,#N/A,TRUE,"Report_ORG";#N/A,#N/A,TRUE,"Report_DEP"}</definedName>
    <definedName name="edfewfef" hidden="1">{#N/A,#N/A,TRUE,"Report_PF";#N/A,#N/A,TRUE,"Report_ORG";#N/A,#N/A,TRUE,"Report_DEP"}</definedName>
    <definedName name="edfweg" localSheetId="1" hidden="1">{"X_STAB_01",#N/A,TRUE,"X_STAB";"X_STAB_02",#N/A,TRUE,"X_STAB"}</definedName>
    <definedName name="edfweg" localSheetId="4" hidden="1">{"X_STAB_01",#N/A,TRUE,"X_STAB";"X_STAB_02",#N/A,TRUE,"X_STAB"}</definedName>
    <definedName name="edfweg" hidden="1">{"X_STAB_01",#N/A,TRUE,"X_STAB";"X_STAB_02",#N/A,TRUE,"X_STAB"}</definedName>
    <definedName name="EF제동" localSheetId="1" hidden="1">{#N/A,#N/A,FALSE,"단축1";#N/A,#N/A,FALSE,"단축2";#N/A,#N/A,FALSE,"단축3";#N/A,#N/A,FALSE,"장축";#N/A,#N/A,FALSE,"4WD"}</definedName>
    <definedName name="EF제동" localSheetId="4" hidden="1">{#N/A,#N/A,FALSE,"단축1";#N/A,#N/A,FALSE,"단축2";#N/A,#N/A,FALSE,"단축3";#N/A,#N/A,FALSE,"장축";#N/A,#N/A,FALSE,"4WD"}</definedName>
    <definedName name="EF제동" hidden="1">{#N/A,#N/A,FALSE,"단축1";#N/A,#N/A,FALSE,"단축2";#N/A,#N/A,FALSE,"단축3";#N/A,#N/A,FALSE,"장축";#N/A,#N/A,FALSE,"4WD"}</definedName>
    <definedName name="ererer" localSheetId="2" hidden="1">{#N/A,#N/A,FALSE,"UNIT";#N/A,#N/A,FALSE,"UNIT";#N/A,#N/A,FALSE,"계정"}</definedName>
    <definedName name="ererer" localSheetId="1" hidden="1">{#N/A,#N/A,FALSE,"UNIT";#N/A,#N/A,FALSE,"UNIT";#N/A,#N/A,FALSE,"계정"}</definedName>
    <definedName name="ererer" localSheetId="4" hidden="1">{#N/A,#N/A,FALSE,"UNIT";#N/A,#N/A,FALSE,"UNIT";#N/A,#N/A,FALSE,"계정"}</definedName>
    <definedName name="ererer" hidden="1">{#N/A,#N/A,FALSE,"UNIT";#N/A,#N/A,FALSE,"UNIT";#N/A,#N/A,FALSE,"계정"}</definedName>
    <definedName name="erre">#N/A</definedName>
    <definedName name="ExactAddinConnection" hidden="1">"200"</definedName>
    <definedName name="ExactAddinConnection.002" hidden="1">"NEVN;002;ACS1;1"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ExactAddinReports" hidden="1">24</definedName>
    <definedName name="FCode" localSheetId="1" hidden="1">#REF!</definedName>
    <definedName name="FCode" localSheetId="4" hidden="1">#REF!</definedName>
    <definedName name="FCode" hidden="1">#REF!</definedName>
    <definedName name="fdkjkj" localSheetId="1" hidden="1">{#N/A,#N/A,FALSE,"단축1";#N/A,#N/A,FALSE,"단축2";#N/A,#N/A,FALSE,"단축3";#N/A,#N/A,FALSE,"장축";#N/A,#N/A,FALSE,"4WD"}</definedName>
    <definedName name="fdkjkj" localSheetId="4" hidden="1">{#N/A,#N/A,FALSE,"단축1";#N/A,#N/A,FALSE,"단축2";#N/A,#N/A,FALSE,"단축3";#N/A,#N/A,FALSE,"장축";#N/A,#N/A,FALSE,"4WD"}</definedName>
    <definedName name="fdkjkj" hidden="1">{#N/A,#N/A,FALSE,"단축1";#N/A,#N/A,FALSE,"단축2";#N/A,#N/A,FALSE,"단축3";#N/A,#N/A,FALSE,"장축";#N/A,#N/A,FALSE,"4WD"}</definedName>
    <definedName name="fdsa" localSheetId="1" hidden="1">{#N/A,#N/A,FALSE,"단축1";#N/A,#N/A,FALSE,"단축2";#N/A,#N/A,FALSE,"단축3";#N/A,#N/A,FALSE,"장축";#N/A,#N/A,FALSE,"4WD"}</definedName>
    <definedName name="fdsa" localSheetId="4" hidden="1">{#N/A,#N/A,FALSE,"단축1";#N/A,#N/A,FALSE,"단축2";#N/A,#N/A,FALSE,"단축3";#N/A,#N/A,FALSE,"장축";#N/A,#N/A,FALSE,"4WD"}</definedName>
    <definedName name="fdsa" hidden="1">{#N/A,#N/A,FALSE,"단축1";#N/A,#N/A,FALSE,"단축2";#N/A,#N/A,FALSE,"단축3";#N/A,#N/A,FALSE,"장축";#N/A,#N/A,FALSE,"4WD"}</definedName>
    <definedName name="ff" localSheetId="1" hidden="1">{#N/A,#N/A,FALSE,"Aging Summary";#N/A,#N/A,FALSE,"Ratio Analysis";#N/A,#N/A,FALSE,"Test 120 Day Accts";#N/A,#N/A,FALSE,"Tickmarks"}</definedName>
    <definedName name="ff" localSheetId="4" hidden="1">{#N/A,#N/A,FALSE,"Aging Summary";#N/A,#N/A,FALSE,"Ratio Analysis";#N/A,#N/A,FALSE,"Test 120 Day Accts";#N/A,#N/A,FALSE,"Tickmarks"}</definedName>
    <definedName name="ff" hidden="1">{#N/A,#N/A,FALSE,"Aging Summary";#N/A,#N/A,FALSE,"Ratio Analysis";#N/A,#N/A,FALSE,"Test 120 Day Accts";#N/A,#N/A,FALSE,"Tickmarks"}</definedName>
    <definedName name="fff">#N/A</definedName>
    <definedName name="FFFFFFFFFFFFFFFFFFFFFFFFFFFFFFFFFFFFFFFF" localSheetId="1"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FFFFFFFFFFFFFFFFFFFFFFFFFFFFFFFFFFFFF" localSheetId="4"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FFFFFFFFFFFFFFFFFFFFFFFFFFFFFFFFFFFFF"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hfrfgfg" localSheetId="1" hidden="1">{#N/A,#N/A,TRUE,"Report_PF";#N/A,#N/A,TRUE,"Report_ORG";#N/A,#N/A,TRUE,"Report_DEP"}</definedName>
    <definedName name="fffhfrfgfg" localSheetId="4" hidden="1">{#N/A,#N/A,TRUE,"Report_PF";#N/A,#N/A,TRUE,"Report_ORG";#N/A,#N/A,TRUE,"Report_DEP"}</definedName>
    <definedName name="fffhfrfgfg" hidden="1">{#N/A,#N/A,TRUE,"Report_PF";#N/A,#N/A,TRUE,"Report_ORG";#N/A,#N/A,TRUE,"Report_DEP"}</definedName>
    <definedName name="FGF" localSheetId="1" hidden="1">{#N/A,#N/A,FALSE,"단축1";#N/A,#N/A,FALSE,"단축2";#N/A,#N/A,FALSE,"단축3";#N/A,#N/A,FALSE,"장축";#N/A,#N/A,FALSE,"4WD"}</definedName>
    <definedName name="FGF" localSheetId="4" hidden="1">{#N/A,#N/A,FALSE,"단축1";#N/A,#N/A,FALSE,"단축2";#N/A,#N/A,FALSE,"단축3";#N/A,#N/A,FALSE,"장축";#N/A,#N/A,FALSE,"4WD"}</definedName>
    <definedName name="FGF" hidden="1">{#N/A,#N/A,FALSE,"단축1";#N/A,#N/A,FALSE,"단축2";#N/A,#N/A,FALSE,"단축3";#N/A,#N/A,FALSE,"장축";#N/A,#N/A,FALSE,"4WD"}</definedName>
    <definedName name="fghgfjk">#N/A</definedName>
    <definedName name="FJD" localSheetId="1" hidden="1">{#N/A,#N/A,FALSE,"단축1";#N/A,#N/A,FALSE,"단축2";#N/A,#N/A,FALSE,"단축3";#N/A,#N/A,FALSE,"장축";#N/A,#N/A,FALSE,"4WD"}</definedName>
    <definedName name="FJD" localSheetId="4" hidden="1">{#N/A,#N/A,FALSE,"단축1";#N/A,#N/A,FALSE,"단축2";#N/A,#N/A,FALSE,"단축3";#N/A,#N/A,FALSE,"장축";#N/A,#N/A,FALSE,"4WD"}</definedName>
    <definedName name="FJD" hidden="1">{#N/A,#N/A,FALSE,"단축1";#N/A,#N/A,FALSE,"단축2";#N/A,#N/A,FALSE,"단축3";#N/A,#N/A,FALSE,"장축";#N/A,#N/A,FALSE,"4WD"}</definedName>
    <definedName name="FOB가" localSheetId="1" hidden="1">{#N/A,#N/A,FALSE,"단축1";#N/A,#N/A,FALSE,"단축2";#N/A,#N/A,FALSE,"단축3";#N/A,#N/A,FALSE,"장축";#N/A,#N/A,FALSE,"4WD"}</definedName>
    <definedName name="FOB가" localSheetId="4" hidden="1">{#N/A,#N/A,FALSE,"단축1";#N/A,#N/A,FALSE,"단축2";#N/A,#N/A,FALSE,"단축3";#N/A,#N/A,FALSE,"장축";#N/A,#N/A,FALSE,"4WD"}</definedName>
    <definedName name="FOB가" hidden="1">{#N/A,#N/A,FALSE,"단축1";#N/A,#N/A,FALSE,"단축2";#N/A,#N/A,FALSE,"단축3";#N/A,#N/A,FALSE,"장축";#N/A,#N/A,FALSE,"4WD"}</definedName>
    <definedName name="gdgggfegf" localSheetId="1" hidden="1">{#N/A,#N/A,TRUE,"Report_PF";#N/A,#N/A,TRUE,"Report_ORG";#N/A,#N/A,TRUE,"Report_DEP"}</definedName>
    <definedName name="gdgggfegf" localSheetId="4" hidden="1">{#N/A,#N/A,TRUE,"Report_PF";#N/A,#N/A,TRUE,"Report_ORG";#N/A,#N/A,TRUE,"Report_DEP"}</definedName>
    <definedName name="gdgggfegf" hidden="1">{#N/A,#N/A,TRUE,"Report_PF";#N/A,#N/A,TRUE,"Report_ORG";#N/A,#N/A,TRUE,"Report_DEP"}</definedName>
    <definedName name="gfgfgf">#N/A</definedName>
    <definedName name="gg" localSheetId="2" hidden="1">{#N/A,#N/A,FALSE,"Aging Summary";#N/A,#N/A,FALSE,"Ratio Analysis";#N/A,#N/A,FALSE,"Test 120 Day Accts";#N/A,#N/A,FALSE,"Tickmarks"}</definedName>
    <definedName name="gg" localSheetId="1" hidden="1">{#N/A,#N/A,FALSE,"Aging Summary";#N/A,#N/A,FALSE,"Ratio Analysis";#N/A,#N/A,FALSE,"Test 120 Day Accts";#N/A,#N/A,FALSE,"Tickmarks"}</definedName>
    <definedName name="gg" localSheetId="4" hidden="1">{#N/A,#N/A,FALSE,"Aging Summary";#N/A,#N/A,FALSE,"Ratio Analysis";#N/A,#N/A,FALSE,"Test 120 Day Accts";#N/A,#N/A,FALSE,"Tickmarks"}</definedName>
    <definedName name="gg" hidden="1">{#N/A,#N/A,FALSE,"Aging Summary";#N/A,#N/A,FALSE,"Ratio Analysis";#N/A,#N/A,FALSE,"Test 120 Day Accts";#N/A,#N/A,FALSE,"Tickmarks"}</definedName>
    <definedName name="ggg">#N/A</definedName>
    <definedName name="ghf" localSheetId="1" hidden="1">{#N/A,#N/A,TRUE,"Report_PF";#N/A,#N/A,TRUE,"Report_ORG";#N/A,#N/A,TRUE,"Report_DEP"}</definedName>
    <definedName name="ghf" localSheetId="4" hidden="1">{#N/A,#N/A,TRUE,"Report_PF";#N/A,#N/A,TRUE,"Report_ORG";#N/A,#N/A,TRUE,"Report_DEP"}</definedName>
    <definedName name="ghf" hidden="1">{#N/A,#N/A,TRUE,"Report_PF";#N/A,#N/A,TRUE,"Report_ORG";#N/A,#N/A,TRUE,"Report_DEP"}</definedName>
    <definedName name="GHJ">#N/A</definedName>
    <definedName name="gi" localSheetId="1" hidden="1">{#N/A,#N/A,FALSE,"Aging Summary";#N/A,#N/A,FALSE,"Ratio Analysis";#N/A,#N/A,FALSE,"Test 120 Day Accts";#N/A,#N/A,FALSE,"Tickmarks"}</definedName>
    <definedName name="gi" localSheetId="4" hidden="1">{#N/A,#N/A,FALSE,"Aging Summary";#N/A,#N/A,FALSE,"Ratio Analysis";#N/A,#N/A,FALSE,"Test 120 Day Accts";#N/A,#N/A,FALSE,"Tickmarks"}</definedName>
    <definedName name="gi" hidden="1">{#N/A,#N/A,FALSE,"Aging Summary";#N/A,#N/A,FALSE,"Ratio Analysis";#N/A,#N/A,FALSE,"Test 120 Day Accts";#N/A,#N/A,FALSE,"Tickmarks"}</definedName>
    <definedName name="giam" localSheetId="1" hidden="1">{#N/A,#N/A,FALSE,"Aging Summary";#N/A,#N/A,FALSE,"Ratio Analysis";#N/A,#N/A,FALSE,"Test 120 Day Accts";#N/A,#N/A,FALSE,"Tickmarks"}</definedName>
    <definedName name="giam" localSheetId="4" hidden="1">{#N/A,#N/A,FALSE,"Aging Summary";#N/A,#N/A,FALSE,"Ratio Analysis";#N/A,#N/A,FALSE,"Test 120 Day Accts";#N/A,#N/A,FALSE,"Tickmarks"}</definedName>
    <definedName name="giam" hidden="1">{#N/A,#N/A,FALSE,"Aging Summary";#N/A,#N/A,FALSE,"Ratio Analysis";#N/A,#N/A,FALSE,"Test 120 Day Accts";#N/A,#N/A,FALSE,"Tickmarks"}</definedName>
    <definedName name="GO">#N/A</definedName>
    <definedName name="GoAssetChart">#N/A</definedName>
    <definedName name="GoBack">#N/A</definedName>
    <definedName name="GoBalanceSheet">#N/A</definedName>
    <definedName name="GoCashFlow">#N/A</definedName>
    <definedName name="GoData">#N/A</definedName>
    <definedName name="GoIncomeChart">#N/A</definedName>
    <definedName name="grfgfg" localSheetId="1" hidden="1">{#N/A,#N/A,TRUE,"Report_PF";#N/A,#N/A,TRUE,"Report_ORG";#N/A,#N/A,TRUE,"Report_DEP"}</definedName>
    <definedName name="grfgfg" localSheetId="4" hidden="1">{#N/A,#N/A,TRUE,"Report_PF";#N/A,#N/A,TRUE,"Report_ORG";#N/A,#N/A,TRUE,"Report_DEP"}</definedName>
    <definedName name="grfgfg" hidden="1">{#N/A,#N/A,TRUE,"Report_PF";#N/A,#N/A,TRUE,"Report_ORG";#N/A,#N/A,TRUE,"Report_DEP"}</definedName>
    <definedName name="gsfgfg" hidden="1">"465LO2IMC161YCHZR576G9JKX"</definedName>
    <definedName name="gsgafa" localSheetId="1" hidden="1">{"Admin Stat Variance Report",#N/A,FALSE,"Admin. Stat."}</definedName>
    <definedName name="gsgafa" localSheetId="4" hidden="1">{"Admin Stat Variance Report",#N/A,FALSE,"Admin. Stat."}</definedName>
    <definedName name="gsgafa" hidden="1">{"Admin Stat Variance Report",#N/A,FALSE,"Admin. Stat."}</definedName>
    <definedName name="h">#N/A</definedName>
    <definedName name="han">#N/A</definedName>
    <definedName name="hanh" localSheetId="1" hidden="1">{"'Sheet1'!$L$16"}</definedName>
    <definedName name="hanh" localSheetId="4" hidden="1">{"'Sheet1'!$L$16"}</definedName>
    <definedName name="hanh" hidden="1">{"'Sheet1'!$L$16"}</definedName>
    <definedName name="hfjjgjgjg" localSheetId="1" hidden="1">{"'Sheet1'!$L$16"}</definedName>
    <definedName name="hfjjgjgjg" localSheetId="4" hidden="1">{"'Sheet1'!$L$16"}</definedName>
    <definedName name="hfjjgjgjg" hidden="1">{"'Sheet1'!$L$16"}</definedName>
    <definedName name="hg">#N/A</definedName>
    <definedName name="hgfn" localSheetId="1" hidden="1">{#N/A,#N/A,FALSE,"Aging Summary";#N/A,#N/A,FALSE,"Ratio Analysis";#N/A,#N/A,FALSE,"Test 120 Day Accts";#N/A,#N/A,FALSE,"Tickmarks"}</definedName>
    <definedName name="hgfn" localSheetId="4" hidden="1">{#N/A,#N/A,FALSE,"Aging Summary";#N/A,#N/A,FALSE,"Ratio Analysis";#N/A,#N/A,FALSE,"Test 120 Day Accts";#N/A,#N/A,FALSE,"Tickmarks"}</definedName>
    <definedName name="hgfn" hidden="1">{#N/A,#N/A,FALSE,"Aging Summary";#N/A,#N/A,FALSE,"Ratio Analysis";#N/A,#N/A,FALSE,"Test 120 Day Accts";#N/A,#N/A,FALSE,"Tickmarks"}</definedName>
    <definedName name="hghghghghghkf">#N/A</definedName>
    <definedName name="hhh">#N/A</definedName>
    <definedName name="hhhh" localSheetId="1" hidden="1">{"'Sheet1'!$L$16"}</definedName>
    <definedName name="hhhh" localSheetId="4" hidden="1">{"'Sheet1'!$L$16"}</definedName>
    <definedName name="hhhh" hidden="1">{"'Sheet1'!$L$16"}</definedName>
    <definedName name="hhhhhhh">#N/A</definedName>
    <definedName name="hhhhhhhhhhhhhhhh">#N/A</definedName>
    <definedName name="hhhjj">#N/A</definedName>
    <definedName name="HiddenRows" localSheetId="1" hidden="1">#REF!</definedName>
    <definedName name="HiddenRows" localSheetId="4" hidden="1">#REF!</definedName>
    <definedName name="HiddenRows" hidden="1">#REF!</definedName>
    <definedName name="HJHG" localSheetId="1" hidden="1">{#N/A,#N/A,FALSE,"단축1";#N/A,#N/A,FALSE,"단축2";#N/A,#N/A,FALSE,"단축3";#N/A,#N/A,FALSE,"장축";#N/A,#N/A,FALSE,"4WD"}</definedName>
    <definedName name="HJHG" localSheetId="4" hidden="1">{#N/A,#N/A,FALSE,"단축1";#N/A,#N/A,FALSE,"단축2";#N/A,#N/A,FALSE,"단축3";#N/A,#N/A,FALSE,"장축";#N/A,#N/A,FALSE,"4WD"}</definedName>
    <definedName name="HJHG" hidden="1">{#N/A,#N/A,FALSE,"단축1";#N/A,#N/A,FALSE,"단축2";#N/A,#N/A,FALSE,"단축3";#N/A,#N/A,FALSE,"장축";#N/A,#N/A,FALSE,"4WD"}</definedName>
    <definedName name="hjjkl" localSheetId="1" hidden="1">{"'Sheet1'!$L$16"}</definedName>
    <definedName name="hjjkl" localSheetId="4" hidden="1">{"'Sheet1'!$L$16"}</definedName>
    <definedName name="hjjkl" hidden="1">{"'Sheet1'!$L$16"}</definedName>
    <definedName name="hnam" localSheetId="1" hidden="1">{#N/A,#N/A,FALSE,"Aging Summary";#N/A,#N/A,FALSE,"Ratio Analysis";#N/A,#N/A,FALSE,"Test 120 Day Accts";#N/A,#N/A,FALSE,"Tickmarks"}</definedName>
    <definedName name="hnam" localSheetId="4" hidden="1">{#N/A,#N/A,FALSE,"Aging Summary";#N/A,#N/A,FALSE,"Ratio Analysis";#N/A,#N/A,FALSE,"Test 120 Day Accts";#N/A,#N/A,FALSE,"Tickmarks"}</definedName>
    <definedName name="hnam" hidden="1">{#N/A,#N/A,FALSE,"Aging Summary";#N/A,#N/A,FALSE,"Ratio Analysis";#N/A,#N/A,FALSE,"Test 120 Day Accts";#N/A,#N/A,FALSE,"Tickmarks"}</definedName>
    <definedName name="hong" localSheetId="1" hidden="1">{"'Sheet1'!$L$16"}</definedName>
    <definedName name="hong" localSheetId="4" hidden="1">{"'Sheet1'!$L$16"}</definedName>
    <definedName name="hong" hidden="1">{"'Sheet1'!$L$16"}</definedName>
    <definedName name="htg" localSheetId="1" hidden="1">{#N/A,#N/A,TRUE,"BT M200 da 10x20"}</definedName>
    <definedName name="htg" localSheetId="4" hidden="1">{#N/A,#N/A,TRUE,"BT M200 da 10x20"}</definedName>
    <definedName name="htg" hidden="1">{#N/A,#N/A,TRUE,"BT M200 da 10x20"}</definedName>
    <definedName name="HTML_CodePage" hidden="1">950</definedName>
    <definedName name="HTML_Control" localSheetId="1"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TML1_1" hidden="1">"[reppiano.xls]CE_Merc!$A$1:$O$58"</definedName>
    <definedName name="HTML1_10" hidden="1">"acensi@mbox.vol.it"</definedName>
    <definedName name="HTML1_11" hidden="1">1</definedName>
    <definedName name="HTML1_12" hidden="1">"C:\Documenti\MyHTML.htm"</definedName>
    <definedName name="HTML1_2" hidden="1">1</definedName>
    <definedName name="HTML1_3" hidden="1">"Demo Reporting in Internet World Wide Web"</definedName>
    <definedName name="HTML1_4" hidden="1">"Conto Economico per Mercato"</definedName>
    <definedName name="HTML1_5" hidden="1">""</definedName>
    <definedName name="HTML1_6" hidden="1">1</definedName>
    <definedName name="HTML1_7" hidden="1">1</definedName>
    <definedName name="HTML1_8" hidden="1">"30/04/96"</definedName>
    <definedName name="HTML1_9" hidden="1">"Andrea Censi"</definedName>
    <definedName name="HTMLCount" hidden="1">1</definedName>
    <definedName name="huy" localSheetId="1" hidden="1">{"'Sheet1'!$L$16"}</definedName>
    <definedName name="huy" localSheetId="4" hidden="1">{"'Sheet1'!$L$16"}</definedName>
    <definedName name="huy" hidden="1">{"'Sheet1'!$L$16"}</definedName>
    <definedName name="ic" localSheetId="1"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ii">#N/A</definedName>
    <definedName name="Input" localSheetId="1" hidden="1">{#N/A,#N/A,FALSE,"Aging Summary";#N/A,#N/A,FALSE,"Ratio Analysis";#N/A,#N/A,FALSE,"Test 120 Day Accts";#N/A,#N/A,FALSE,"Tickmarks"}</definedName>
    <definedName name="Input" localSheetId="4" hidden="1">{#N/A,#N/A,FALSE,"Aging Summary";#N/A,#N/A,FALSE,"Ratio Analysis";#N/A,#N/A,FALSE,"Test 120 Day Accts";#N/A,#N/A,FALSE,"Tickmarks"}</definedName>
    <definedName name="Input" hidden="1">{#N/A,#N/A,FALSE,"Aging Summary";#N/A,#N/A,FALSE,"Ratio Analysis";#N/A,#N/A,FALSE,"Test 120 Day Accts";#N/A,#N/A,FALSE,"Tickmarks"}</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LIST" hidden="1">"c13505"</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ERSION_COMMON_FFIEC" hidden="1">"c12964"</definedName>
    <definedName name="IQ_CONVERSION_PREF_FFIEC" hidden="1">"c12962"</definedName>
    <definedName name="IQ_CONVERT" hidden="1">"c2536"</definedName>
    <definedName name="IQ_CONVERT_PCT" hidden="1">"c2537"</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REUT" hidden="1">"c5453"</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REV" hidden="1">"c2113"</definedName>
    <definedName name="IQ_EST_ACT_REV_CIQ" hidden="1">"c3666"</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NEXT_EARNINGS_DATE" hidden="1">"c13591"</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CIPAL_INVEST_SECURITIES_FFIEC" hidden="1">"c13459"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INC_AFTER_CAP_ALLOCATION_FOREIGN_FFIEC" hidden="1">"c15390"</definedName>
    <definedName name="IQ_PRETAX_INC_BEFORE_CAP_ALLOCATION_FOREIGN_FFIEC" hidden="1">"c15388"</definedName>
    <definedName name="IQ_PRETAX_OPERATING_INC_AVG_ASSETS_FFIEC" hidden="1">"c13365"</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40070.7415972222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NAME" hidden="1">"c15159"</definedName>
    <definedName name="IQ_SECURITY_OWN" hidden="1">"c1153"</definedName>
    <definedName name="IQ_SECURITY_RESELL" hidden="1">"c1154"</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URED_NOTES_INVEST_SECURITIES_FFIEC" hidden="1">"c13468"</definedName>
    <definedName name="IQ_STRUCTURING_NOTES_TIER_1_FFIEC" hidden="1">"c13344"</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Z_SCORE" hidden="1">"c1339"</definedName>
    <definedName name="iuiuiuiu">#N/A</definedName>
    <definedName name="iuiuiuiuiuiu">#N/A</definedName>
    <definedName name="IUUIUIUIU">#N/A</definedName>
    <definedName name="jálf?ê?r" localSheetId="1" hidden="1">{#N/A,#N/A,FALSE,"Aging Summary";#N/A,#N/A,FALSE,"Ratio Analysis";#N/A,#N/A,FALSE,"Test 120 Day Accts";#N/A,#N/A,FALSE,"Tickmarks"}</definedName>
    <definedName name="jálf?ê?r" localSheetId="4" hidden="1">{#N/A,#N/A,FALSE,"Aging Summary";#N/A,#N/A,FALSE,"Ratio Analysis";#N/A,#N/A,FALSE,"Test 120 Day Accts";#N/A,#N/A,FALSE,"Tickmarks"}</definedName>
    <definedName name="jálf?ê?r" hidden="1">{#N/A,#N/A,FALSE,"Aging Summary";#N/A,#N/A,FALSE,"Ratio Analysis";#N/A,#N/A,FALSE,"Test 120 Day Accts";#N/A,#N/A,FALSE,"Tickmarks"}</definedName>
    <definedName name="jálfửêưr" localSheetId="1" hidden="1">{#N/A,#N/A,FALSE,"Aging Summary";#N/A,#N/A,FALSE,"Ratio Analysis";#N/A,#N/A,FALSE,"Test 120 Day Accts";#N/A,#N/A,FALSE,"Tickmarks"}</definedName>
    <definedName name="jálfửêưr" localSheetId="4" hidden="1">{#N/A,#N/A,FALSE,"Aging Summary";#N/A,#N/A,FALSE,"Ratio Analysis";#N/A,#N/A,FALSE,"Test 120 Day Accts";#N/A,#N/A,FALSE,"Tickmarks"}</definedName>
    <definedName name="jálfửêưr" hidden="1">{#N/A,#N/A,FALSE,"Aging Summary";#N/A,#N/A,FALSE,"Ratio Analysis";#N/A,#N/A,FALSE,"Test 120 Day Accts";#N/A,#N/A,FALSE,"Tickmarks"}</definedName>
    <definedName name="jgfdj" localSheetId="1" hidden="1">{#N/A,#N/A,FALSE,"Aging Summary";#N/A,#N/A,FALSE,"Ratio Analysis";#N/A,#N/A,FALSE,"Test 120 Day Accts";#N/A,#N/A,FALSE,"Tickmarks"}</definedName>
    <definedName name="jgfdj" localSheetId="4" hidden="1">{#N/A,#N/A,FALSE,"Aging Summary";#N/A,#N/A,FALSE,"Ratio Analysis";#N/A,#N/A,FALSE,"Test 120 Day Accts";#N/A,#N/A,FALSE,"Tickmarks"}</definedName>
    <definedName name="jgfdj" hidden="1">{#N/A,#N/A,FALSE,"Aging Summary";#N/A,#N/A,FALSE,"Ratio Analysis";#N/A,#N/A,FALSE,"Test 120 Day Accts";#N/A,#N/A,FALSE,"Tickmarks"}</definedName>
    <definedName name="jhjhjhjjhjh">#N/A</definedName>
    <definedName name="jj" localSheetId="1" hidden="1">{#N/A,#N/A,FALSE,"Aging Summary";#N/A,#N/A,FALSE,"Ratio Analysis";#N/A,#N/A,FALSE,"Test 120 Day Accts";#N/A,#N/A,FALSE,"Tickmarks"}</definedName>
    <definedName name="jj" localSheetId="4" hidden="1">{#N/A,#N/A,FALSE,"Aging Summary";#N/A,#N/A,FALSE,"Ratio Analysis";#N/A,#N/A,FALSE,"Test 120 Day Accts";#N/A,#N/A,FALSE,"Tickmarks"}</definedName>
    <definedName name="jj" hidden="1">{#N/A,#N/A,FALSE,"Aging Summary";#N/A,#N/A,FALSE,"Ratio Analysis";#N/A,#N/A,FALSE,"Test 120 Day Accts";#N/A,#N/A,FALSE,"Tickmarks"}</definedName>
    <definedName name="jjj" localSheetId="1" hidden="1">{#N/A,#N/A,FALSE,"Aging Summary";#N/A,#N/A,FALSE,"Ratio Analysis";#N/A,#N/A,FALSE,"Test 120 Day Accts";#N/A,#N/A,FALSE,"Tickmarks"}</definedName>
    <definedName name="jjj" localSheetId="4" hidden="1">{#N/A,#N/A,FALSE,"Aging Summary";#N/A,#N/A,FALSE,"Ratio Analysis";#N/A,#N/A,FALSE,"Test 120 Day Accts";#N/A,#N/A,FALSE,"Tickmarks"}</definedName>
    <definedName name="jjj" hidden="1">{#N/A,#N/A,FALSE,"Aging Summary";#N/A,#N/A,FALSE,"Ratio Analysis";#N/A,#N/A,FALSE,"Test 120 Day Accts";#N/A,#N/A,FALSE,"Tickmarks"}</definedName>
    <definedName name="jkldsjkl" localSheetId="1" hidden="1">{"'Sheet1'!$L$16"}</definedName>
    <definedName name="jkldsjkl" localSheetId="4" hidden="1">{"'Sheet1'!$L$16"}</definedName>
    <definedName name="jkldsjkl" hidden="1">{"'Sheet1'!$L$16"}</definedName>
    <definedName name="JL" localSheetId="1" hidden="1">{#N/A,#N/A,FALSE,"단축1";#N/A,#N/A,FALSE,"단축2";#N/A,#N/A,FALSE,"단축3";#N/A,#N/A,FALSE,"장축";#N/A,#N/A,FALSE,"4WD"}</definedName>
    <definedName name="JL" localSheetId="4" hidden="1">{#N/A,#N/A,FALSE,"단축1";#N/A,#N/A,FALSE,"단축2";#N/A,#N/A,FALSE,"단축3";#N/A,#N/A,FALSE,"장축";#N/A,#N/A,FALSE,"4WD"}</definedName>
    <definedName name="JL" hidden="1">{#N/A,#N/A,FALSE,"단축1";#N/A,#N/A,FALSE,"단축2";#N/A,#N/A,FALSE,"단축3";#N/A,#N/A,FALSE,"장축";#N/A,#N/A,FALSE,"4WD"}</definedName>
    <definedName name="JMGFMJ" localSheetId="1" hidden="1">{#N/A,#N/A,TRUE,"Report_PF";#N/A,#N/A,TRUE,"Report_ORG";#N/A,#N/A,TRUE,"Report_DEP"}</definedName>
    <definedName name="JMGFMJ" localSheetId="4" hidden="1">{#N/A,#N/A,TRUE,"Report_PF";#N/A,#N/A,TRUE,"Report_ORG";#N/A,#N/A,TRUE,"Report_DEP"}</definedName>
    <definedName name="JMGFMJ" hidden="1">{#N/A,#N/A,TRUE,"Report_PF";#N/A,#N/A,TRUE,"Report_ORG";#N/A,#N/A,TRUE,"Report_DEP"}</definedName>
    <definedName name="JUN" localSheetId="1" hidden="1">{"'Sheet1'!$L$16"}</definedName>
    <definedName name="JUN" localSheetId="4" hidden="1">{"'Sheet1'!$L$16"}</definedName>
    <definedName name="JUN" hidden="1">{"'Sheet1'!$L$16"}</definedName>
    <definedName name="JYFUJ" localSheetId="2">BLCH</definedName>
    <definedName name="JYFUJ" localSheetId="1">BLCH</definedName>
    <definedName name="JYFUJ" localSheetId="4">BLCH</definedName>
    <definedName name="JYFUJ">BLCH</definedName>
    <definedName name="ka" localSheetId="1" hidden="1">{#N/A,#N/A,FALSE,"단축1";#N/A,#N/A,FALSE,"단축2";#N/A,#N/A,FALSE,"단축3";#N/A,#N/A,FALSE,"장축";#N/A,#N/A,FALSE,"4WD"}</definedName>
    <definedName name="ka" localSheetId="4" hidden="1">{#N/A,#N/A,FALSE,"단축1";#N/A,#N/A,FALSE,"단축2";#N/A,#N/A,FALSE,"단축3";#N/A,#N/A,FALSE,"장축";#N/A,#N/A,FALSE,"4WD"}</definedName>
    <definedName name="ka" hidden="1">{#N/A,#N/A,FALSE,"단축1";#N/A,#N/A,FALSE,"단축2";#N/A,#N/A,FALSE,"단축3";#N/A,#N/A,FALSE,"장축";#N/A,#N/A,FALSE,"4WD"}</definedName>
    <definedName name="khhjguyftdy">#N/A</definedName>
    <definedName name="KHSX" localSheetId="1" hidden="1">{"'Sheet1'!$L$16"}</definedName>
    <definedName name="KHSX" localSheetId="4" hidden="1">{"'Sheet1'!$L$16"}</definedName>
    <definedName name="KHSX" hidden="1">{"'Sheet1'!$L$16"}</definedName>
    <definedName name="KIM" localSheetId="1" hidden="1">{#N/A,#N/A,FALSE,"단축1";#N/A,#N/A,FALSE,"단축2";#N/A,#N/A,FALSE,"단축3";#N/A,#N/A,FALSE,"장축";#N/A,#N/A,FALSE,"4WD"}</definedName>
    <definedName name="KIM" localSheetId="4" hidden="1">{#N/A,#N/A,FALSE,"단축1";#N/A,#N/A,FALSE,"단축2";#N/A,#N/A,FALSE,"단축3";#N/A,#N/A,FALSE,"장축";#N/A,#N/A,FALSE,"4WD"}</definedName>
    <definedName name="KIM" hidden="1">{#N/A,#N/A,FALSE,"단축1";#N/A,#N/A,FALSE,"단축2";#N/A,#N/A,FALSE,"단축3";#N/A,#N/A,FALSE,"장축";#N/A,#N/A,FALSE,"4WD"}</definedName>
    <definedName name="kjh">#N/A</definedName>
    <definedName name="kkk">#N/A</definedName>
    <definedName name="kkkkkkkkkkkkkkkkkkkkkkkkkk">#N/A</definedName>
    <definedName name="KUGHIKJ" localSheetId="2">BLCH</definedName>
    <definedName name="KUGHIKJ" localSheetId="1">BLCH</definedName>
    <definedName name="KUGHIKJ" localSheetId="4">BLCH</definedName>
    <definedName name="KUGHIKJ">BLCH</definedName>
    <definedName name="lan" localSheetId="1" hidden="1">{#N/A,#N/A,TRUE,"BT M200 da 10x20"}</definedName>
    <definedName name="lan" localSheetId="4" hidden="1">{#N/A,#N/A,TRUE,"BT M200 da 10x20"}</definedName>
    <definedName name="lan" hidden="1">{#N/A,#N/A,TRUE,"BT M200 da 10x20"}</definedName>
    <definedName name="lig" localSheetId="1" hidden="1">{"'1-TheatreBkgs'!$A$1:$L$102"}</definedName>
    <definedName name="lig" localSheetId="4" hidden="1">{"'1-TheatreBkgs'!$A$1:$L$102"}</definedName>
    <definedName name="lig" hidden="1">{"'1-TheatreBkgs'!$A$1:$L$102"}</definedName>
    <definedName name="Lina" localSheetId="1" hidden="1">{#N/A,#N/A,TRUE,"BT M200 da 10x20"}</definedName>
    <definedName name="Lina" localSheetId="4" hidden="1">{#N/A,#N/A,TRUE,"BT M200 da 10x20"}</definedName>
    <definedName name="Lina" hidden="1">{#N/A,#N/A,TRUE,"BT M200 da 10x20"}</definedName>
    <definedName name="ListOffset" hidden="1">1</definedName>
    <definedName name="lkiolki9olkiol">#N/A</definedName>
    <definedName name="lkjgh">#N/A</definedName>
    <definedName name="lkjhgfbnm">#N/A</definedName>
    <definedName name="lkjhghfd">#N/A</definedName>
    <definedName name="lkjhghyufy">#N/A</definedName>
    <definedName name="lkjkj">#N/A</definedName>
    <definedName name="LKKLKKK">#N/A</definedName>
    <definedName name="lkkllkkllkkl">#N/A</definedName>
    <definedName name="lklklklk">#N/A</definedName>
    <definedName name="ll" localSheetId="1" hidden="1">{#N/A,#N/A,FALSE,"Aging Summary";#N/A,#N/A,FALSE,"Ratio Analysis";#N/A,#N/A,FALSE,"Test 120 Day Accts";#N/A,#N/A,FALSE,"Tickmarks"}</definedName>
    <definedName name="ll" localSheetId="4" hidden="1">{#N/A,#N/A,FALSE,"Aging Summary";#N/A,#N/A,FALSE,"Ratio Analysis";#N/A,#N/A,FALSE,"Test 120 Day Accts";#N/A,#N/A,FALSE,"Tickmarks"}</definedName>
    <definedName name="ll" hidden="1">{#N/A,#N/A,FALSE,"Aging Summary";#N/A,#N/A,FALSE,"Ratio Analysis";#N/A,#N/A,FALSE,"Test 120 Day Accts";#N/A,#N/A,FALSE,"Tickmarks"}</definedName>
    <definedName name="lllllll">#N/A</definedName>
    <definedName name="LP" localSheetId="1" hidden="1">{#N/A,#N/A,FALSE,"단축1";#N/A,#N/A,FALSE,"단축2";#N/A,#N/A,FALSE,"단축3";#N/A,#N/A,FALSE,"장축";#N/A,#N/A,FALSE,"4WD"}</definedName>
    <definedName name="LP" localSheetId="4" hidden="1">{#N/A,#N/A,FALSE,"단축1";#N/A,#N/A,FALSE,"단축2";#N/A,#N/A,FALSE,"단축3";#N/A,#N/A,FALSE,"장축";#N/A,#N/A,FALSE,"4WD"}</definedName>
    <definedName name="LP" hidden="1">{#N/A,#N/A,FALSE,"단축1";#N/A,#N/A,FALSE,"단축2";#N/A,#N/A,FALSE,"단축3";#N/A,#N/A,FALSE,"장축";#N/A,#N/A,FALSE,"4WD"}</definedName>
    <definedName name="LP능력검토" localSheetId="1" hidden="1">{#N/A,#N/A,FALSE,"단축1";#N/A,#N/A,FALSE,"단축2";#N/A,#N/A,FALSE,"단축3";#N/A,#N/A,FALSE,"장축";#N/A,#N/A,FALSE,"4WD"}</definedName>
    <definedName name="LP능력검토" localSheetId="4" hidden="1">{#N/A,#N/A,FALSE,"단축1";#N/A,#N/A,FALSE,"단축2";#N/A,#N/A,FALSE,"단축3";#N/A,#N/A,FALSE,"장축";#N/A,#N/A,FALSE,"4WD"}</definedName>
    <definedName name="LP능력검토" hidden="1">{#N/A,#N/A,FALSE,"단축1";#N/A,#N/A,FALSE,"단축2";#N/A,#N/A,FALSE,"단축3";#N/A,#N/A,FALSE,"장축";#N/A,#N/A,FALSE,"4WD"}</definedName>
    <definedName name="LP투자비" localSheetId="1" hidden="1">{#N/A,#N/A,FALSE,"단축1";#N/A,#N/A,FALSE,"단축2";#N/A,#N/A,FALSE,"단축3";#N/A,#N/A,FALSE,"장축";#N/A,#N/A,FALSE,"4WD"}</definedName>
    <definedName name="LP투자비" localSheetId="4" hidden="1">{#N/A,#N/A,FALSE,"단축1";#N/A,#N/A,FALSE,"단축2";#N/A,#N/A,FALSE,"단축3";#N/A,#N/A,FALSE,"장축";#N/A,#N/A,FALSE,"4WD"}</definedName>
    <definedName name="LP투자비" hidden="1">{#N/A,#N/A,FALSE,"단축1";#N/A,#N/A,FALSE,"단축2";#N/A,#N/A,FALSE,"단축3";#N/A,#N/A,FALSE,"장축";#N/A,#N/A,FALSE,"4WD"}</definedName>
    <definedName name="LT" localSheetId="1" hidden="1">{#N/A,#N/A,FALSE,"단축1";#N/A,#N/A,FALSE,"단축2";#N/A,#N/A,FALSE,"단축3";#N/A,#N/A,FALSE,"장축";#N/A,#N/A,FALSE,"4WD"}</definedName>
    <definedName name="LT" localSheetId="4" hidden="1">{#N/A,#N/A,FALSE,"단축1";#N/A,#N/A,FALSE,"단축2";#N/A,#N/A,FALSE,"단축3";#N/A,#N/A,FALSE,"장축";#N/A,#N/A,FALSE,"4WD"}</definedName>
    <definedName name="LT" hidden="1">{#N/A,#N/A,FALSE,"단축1";#N/A,#N/A,FALSE,"단축2";#N/A,#N/A,FALSE,"단축3";#N/A,#N/A,FALSE,"장축";#N/A,#N/A,FALSE,"4WD"}</definedName>
    <definedName name="MIP능력검토" localSheetId="1" hidden="1">{#N/A,#N/A,FALSE,"단축1";#N/A,#N/A,FALSE,"단축2";#N/A,#N/A,FALSE,"단축3";#N/A,#N/A,FALSE,"장축";#N/A,#N/A,FALSE,"4WD"}</definedName>
    <definedName name="MIP능력검토" localSheetId="4" hidden="1">{#N/A,#N/A,FALSE,"단축1";#N/A,#N/A,FALSE,"단축2";#N/A,#N/A,FALSE,"단축3";#N/A,#N/A,FALSE,"장축";#N/A,#N/A,FALSE,"4WD"}</definedName>
    <definedName name="MIP능력검토" hidden="1">{#N/A,#N/A,FALSE,"단축1";#N/A,#N/A,FALSE,"단축2";#N/A,#N/A,FALSE,"단축3";#N/A,#N/A,FALSE,"장축";#N/A,#N/A,FALSE,"4WD"}</definedName>
    <definedName name="MIP동시투자" localSheetId="1" hidden="1">{#N/A,#N/A,FALSE,"단축1";#N/A,#N/A,FALSE,"단축2";#N/A,#N/A,FALSE,"단축3";#N/A,#N/A,FALSE,"장축";#N/A,#N/A,FALSE,"4WD"}</definedName>
    <definedName name="MIP동시투자" localSheetId="4" hidden="1">{#N/A,#N/A,FALSE,"단축1";#N/A,#N/A,FALSE,"단축2";#N/A,#N/A,FALSE,"단축3";#N/A,#N/A,FALSE,"장축";#N/A,#N/A,FALSE,"4WD"}</definedName>
    <definedName name="MIP동시투자" hidden="1">{#N/A,#N/A,FALSE,"단축1";#N/A,#N/A,FALSE,"단축2";#N/A,#N/A,FALSE,"단축3";#N/A,#N/A,FALSE,"장축";#N/A,#N/A,FALSE,"4WD"}</definedName>
    <definedName name="mm" localSheetId="1" hidden="1">{"'Sheet1'!$L$16"}</definedName>
    <definedName name="mm" localSheetId="4" hidden="1">{"'Sheet1'!$L$16"}</definedName>
    <definedName name="mm" hidden="1">{"'Sheet1'!$L$16"}</definedName>
    <definedName name="mmm">#N/A</definedName>
    <definedName name="mmmmmmmmmmmmmmmmmmmm" localSheetId="1" hidden="1">{#N/A,#N/A,FALSE,"Aging Summary";#N/A,#N/A,FALSE,"Ratio Analysis";#N/A,#N/A,FALSE,"Test 120 Day Accts";#N/A,#N/A,FALSE,"Tickmarks"}</definedName>
    <definedName name="mmmmmmmmmmmmmmmmmmmm" localSheetId="4" hidden="1">{#N/A,#N/A,FALSE,"Aging Summary";#N/A,#N/A,FALSE,"Ratio Analysis";#N/A,#N/A,FALSE,"Test 120 Day Accts";#N/A,#N/A,FALSE,"Tickmarks"}</definedName>
    <definedName name="mmmmmmmmmmmmmmmmmmmm" hidden="1">{#N/A,#N/A,FALSE,"Aging Summary";#N/A,#N/A,FALSE,"Ratio Analysis";#N/A,#N/A,FALSE,"Test 120 Day Accts";#N/A,#N/A,FALSE,"Tickmarks"}</definedName>
    <definedName name="mncvxjzshdffadsfcvdsfcs">#N/A</definedName>
    <definedName name="mrn.inv._.budget" localSheetId="1" hidden="1">{"invbud-1",#N/A,FALSE,"A";"invbud-1CW",#N/A,FALSE,"A";"Desinvesteringen",#N/A,FALSE,"C"}</definedName>
    <definedName name="mrn.inv._.budget" localSheetId="4" hidden="1">{"invbud-1",#N/A,FALSE,"A";"invbud-1CW",#N/A,FALSE,"A";"Desinvesteringen",#N/A,FALSE,"C"}</definedName>
    <definedName name="mrn.inv._.budget" hidden="1">{"invbud-1",#N/A,FALSE,"A";"invbud-1CW",#N/A,FALSE,"A";"Desinvesteringen",#N/A,FALSE,"C"}</definedName>
    <definedName name="NEW">#N/A</definedName>
    <definedName name="ngay23" localSheetId="1" hidden="1">{"'Sheet1'!$L$16"}</definedName>
    <definedName name="ngay23" localSheetId="4" hidden="1">{"'Sheet1'!$L$16"}</definedName>
    <definedName name="ngay23" hidden="1">{"'Sheet1'!$L$16"}</definedName>
    <definedName name="nnn">#N/A</definedName>
    <definedName name="NPP" localSheetId="1" hidden="1">#REF!</definedName>
    <definedName name="NPP" localSheetId="4" hidden="1">#REF!</definedName>
    <definedName name="NPP" hidden="1">#REF!</definedName>
    <definedName name="oiioioi">#N/A</definedName>
    <definedName name="OIIOIOIOI">#N/A</definedName>
    <definedName name="OrderTable" localSheetId="1" hidden="1">#REF!</definedName>
    <definedName name="OrderTable" localSheetId="4" hidden="1">#REF!</definedName>
    <definedName name="OrderTable" hidden="1">#REF!</definedName>
    <definedName name="ownership" localSheetId="2" hidden="1">{#N/A,#N/A,TRUE,"Summary";#N/A,#N/A,TRUE,"IS";#N/A,#N/A,TRUE,"Adj";#N/A,#N/A,TRUE,"BS";#N/A,#N/A,TRUE,"CF";#N/A,#N/A,TRUE,"Debt";#N/A,#N/A,TRUE,"IRR"}</definedName>
    <definedName name="ownership" localSheetId="1" hidden="1">{#N/A,#N/A,TRUE,"Summary";#N/A,#N/A,TRUE,"IS";#N/A,#N/A,TRUE,"Adj";#N/A,#N/A,TRUE,"BS";#N/A,#N/A,TRUE,"CF";#N/A,#N/A,TRUE,"Debt";#N/A,#N/A,TRUE,"IRR"}</definedName>
    <definedName name="ownership" localSheetId="4"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localSheetId="1" hidden="1">{#N/A,#N/A,TRUE,"Summary";#N/A,#N/A,TRUE,"IS";#N/A,#N/A,TRUE,"Adj";#N/A,#N/A,TRUE,"BS";#N/A,#N/A,TRUE,"CF";#N/A,#N/A,TRUE,"Debt";#N/A,#N/A,TRUE,"IRR"}</definedName>
    <definedName name="ownership2" localSheetId="4" hidden="1">{#N/A,#N/A,TRUE,"Summary";#N/A,#N/A,TRUE,"IS";#N/A,#N/A,TRUE,"Adj";#N/A,#N/A,TRUE,"BS";#N/A,#N/A,TRUE,"CF";#N/A,#N/A,TRUE,"Debt";#N/A,#N/A,TRUE,"IRR"}</definedName>
    <definedName name="ownership2" hidden="1">{#N/A,#N/A,TRUE,"Summary";#N/A,#N/A,TRUE,"IS";#N/A,#N/A,TRUE,"Adj";#N/A,#N/A,TRUE,"BS";#N/A,#N/A,TRUE,"CF";#N/A,#N/A,TRUE,"Debt";#N/A,#N/A,TRUE,"IRR"}</definedName>
    <definedName name="pippo" localSheetId="1" hidden="1">{#N/A,#N/A,TRUE,"Report_PF";#N/A,#N/A,TRUE,"Report_ORG";#N/A,#N/A,TRUE,"Report_DEP"}</definedName>
    <definedName name="pippo" localSheetId="4" hidden="1">{#N/A,#N/A,TRUE,"Report_PF";#N/A,#N/A,TRUE,"Report_ORG";#N/A,#N/A,TRUE,"Report_DEP"}</definedName>
    <definedName name="pippo" hidden="1">{#N/A,#N/A,TRUE,"Report_PF";#N/A,#N/A,TRUE,"Report_ORG";#N/A,#N/A,TRUE,"Report_DEP"}</definedName>
    <definedName name="PL" localSheetId="1" hidden="1">{#N/A,#N/A,FALSE,"단축1";#N/A,#N/A,FALSE,"단축2";#N/A,#N/A,FALSE,"단축3";#N/A,#N/A,FALSE,"장축";#N/A,#N/A,FALSE,"4WD"}</definedName>
    <definedName name="PL" localSheetId="4" hidden="1">{#N/A,#N/A,FALSE,"단축1";#N/A,#N/A,FALSE,"단축2";#N/A,#N/A,FALSE,"단축3";#N/A,#N/A,FALSE,"장축";#N/A,#N/A,FALSE,"4WD"}</definedName>
    <definedName name="PL" hidden="1">{#N/A,#N/A,FALSE,"단축1";#N/A,#N/A,FALSE,"단축2";#N/A,#N/A,FALSE,"단축3";#N/A,#N/A,FALSE,"장축";#N/A,#N/A,FALSE,"4WD"}</definedName>
    <definedName name="poiuytrewq">#N/A</definedName>
    <definedName name="poopop">#N/A</definedName>
    <definedName name="Popn" localSheetId="1" hidden="1">{"'Sheet1'!$L$16"}</definedName>
    <definedName name="Popn" localSheetId="4" hidden="1">{"'Sheet1'!$L$16"}</definedName>
    <definedName name="Popn" hidden="1">{"'Sheet1'!$L$16"}</definedName>
    <definedName name="pp" localSheetId="1" hidden="1">{#N/A,#N/A,TRUE,"Report_PF";#N/A,#N/A,TRUE,"Report_ORG";#N/A,#N/A,TRUE,"Report_DEP"}</definedName>
    <definedName name="pp" localSheetId="4" hidden="1">{#N/A,#N/A,TRUE,"Report_PF";#N/A,#N/A,TRUE,"Report_ORG";#N/A,#N/A,TRUE,"Report_DEP"}</definedName>
    <definedName name="pp" hidden="1">{#N/A,#N/A,TRUE,"Report_PF";#N/A,#N/A,TRUE,"Report_ORG";#N/A,#N/A,TRUE,"Report_DEP"}</definedName>
    <definedName name="PPLSP403" localSheetId="1" hidden="1">{"'Sheet1'!$L$16"}</definedName>
    <definedName name="PPLSP403" localSheetId="4" hidden="1">{"'Sheet1'!$L$16"}</definedName>
    <definedName name="PPLSP403" hidden="1">{"'Sheet1'!$L$16"}</definedName>
    <definedName name="ppp">#N/A</definedName>
    <definedName name="_xlnm.Print_Area" localSheetId="3">'PL USD'!$A$1:$S$93</definedName>
    <definedName name="_xlnm.Print_Titles">#N/A</definedName>
    <definedName name="PRINT_TITLES_MI">#N/A</definedName>
    <definedName name="ProdForm" localSheetId="1" hidden="1">#REF!</definedName>
    <definedName name="ProdForm" localSheetId="4" hidden="1">#REF!</definedName>
    <definedName name="ProdForm" hidden="1">#REF!</definedName>
    <definedName name="Product" localSheetId="1" hidden="1">#REF!</definedName>
    <definedName name="Product" localSheetId="4" hidden="1">#REF!</definedName>
    <definedName name="Product" hidden="1">#REF!</definedName>
    <definedName name="PY">#N/A</definedName>
    <definedName name="q">#N/A</definedName>
    <definedName name="qq">#N/A</definedName>
    <definedName name="qqq">#N/A</definedName>
    <definedName name="qqqq">#N/A</definedName>
    <definedName name="QQQQQQQQQQQQQQ"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QQQQQQQQ"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QQQQQQQQ"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WWWWWWW">#N/A</definedName>
    <definedName name="qwe">#N/A</definedName>
    <definedName name="RCArea" localSheetId="1" hidden="1">#REF!</definedName>
    <definedName name="RCArea" localSheetId="4" hidden="1">#REF!</definedName>
    <definedName name="RCArea" hidden="1">#REF!</definedName>
    <definedName name="RDG" localSheetId="1" hidden="1">{#N/A,#N/A,FALSE,"단축1";#N/A,#N/A,FALSE,"단축2";#N/A,#N/A,FALSE,"단축3";#N/A,#N/A,FALSE,"장축";#N/A,#N/A,FALSE,"4WD"}</definedName>
    <definedName name="RDG" localSheetId="4" hidden="1">{#N/A,#N/A,FALSE,"단축1";#N/A,#N/A,FALSE,"단축2";#N/A,#N/A,FALSE,"단축3";#N/A,#N/A,FALSE,"장축";#N/A,#N/A,FALSE,"4WD"}</definedName>
    <definedName name="RDG" hidden="1">{#N/A,#N/A,FALSE,"단축1";#N/A,#N/A,FALSE,"단축2";#N/A,#N/A,FALSE,"단축3";#N/A,#N/A,FALSE,"장축";#N/A,#N/A,FALSE,"4WD"}</definedName>
    <definedName name="RERER">#N/A</definedName>
    <definedName name="rfadfhfgj" localSheetId="1" hidden="1">{#N/A,#N/A,TRUE,"Report_PF";#N/A,#N/A,TRUE,"Report_ORG";#N/A,#N/A,TRUE,"Report_DEP"}</definedName>
    <definedName name="rfadfhfgj" localSheetId="4" hidden="1">{#N/A,#N/A,TRUE,"Report_PF";#N/A,#N/A,TRUE,"Report_ORG";#N/A,#N/A,TRUE,"Report_DEP"}</definedName>
    <definedName name="rfadfhfgj" hidden="1">{#N/A,#N/A,TRUE,"Report_PF";#N/A,#N/A,TRUE,"Report_ORG";#N/A,#N/A,TRUE,"Report_DEP"}</definedName>
    <definedName name="rqrer" localSheetId="1" hidden="1">{#N/A,#N/A,TRUE,"Report_PF";#N/A,#N/A,TRUE,"Report_ORG";#N/A,#N/A,TRUE,"Report_DEP"}</definedName>
    <definedName name="rqrer" localSheetId="4" hidden="1">{#N/A,#N/A,TRUE,"Report_PF";#N/A,#N/A,TRUE,"Report_ORG";#N/A,#N/A,TRUE,"Report_DEP"}</definedName>
    <definedName name="rqrer" hidden="1">{#N/A,#N/A,TRUE,"Report_PF";#N/A,#N/A,TRUE,"Report_ORG";#N/A,#N/A,TRUE,"Report_DEP"}</definedName>
    <definedName name="rrr" localSheetId="2" hidden="1">{#N/A,#N/A,FALSE,"UNIT";#N/A,#N/A,FALSE,"UNIT";#N/A,#N/A,FALSE,"계정"}</definedName>
    <definedName name="rrr" localSheetId="1" hidden="1">{#N/A,#N/A,FALSE,"UNIT";#N/A,#N/A,FALSE,"UNIT";#N/A,#N/A,FALSE,"계정"}</definedName>
    <definedName name="rrr" localSheetId="4" hidden="1">{#N/A,#N/A,FALSE,"UNIT";#N/A,#N/A,FALSE,"UNIT";#N/A,#N/A,FALSE,"계정"}</definedName>
    <definedName name="rrr" hidden="1">{#N/A,#N/A,FALSE,"UNIT";#N/A,#N/A,FALSE,"UNIT";#N/A,#N/A,FALSE,"계정"}</definedName>
    <definedName name="rtryry" localSheetId="1" hidden="1">{#N/A,#N/A,TRUE,"Report_PF";#N/A,#N/A,TRUE,"Report_ORG";#N/A,#N/A,TRUE,"Report_DEP"}</definedName>
    <definedName name="rtryry" localSheetId="4" hidden="1">{#N/A,#N/A,TRUE,"Report_PF";#N/A,#N/A,TRUE,"Report_ORG";#N/A,#N/A,TRUE,"Report_DEP"}</definedName>
    <definedName name="rtryry" hidden="1">{#N/A,#N/A,TRUE,"Report_PF";#N/A,#N/A,TRUE,"Report_ORG";#N/A,#N/A,TRUE,"Report_DEP"}</definedName>
    <definedName name="RTYG" localSheetId="1" hidden="1">{#N/A,#N/A,FALSE,"단축1";#N/A,#N/A,FALSE,"단축2";#N/A,#N/A,FALSE,"단축3";#N/A,#N/A,FALSE,"장축";#N/A,#N/A,FALSE,"4WD"}</definedName>
    <definedName name="RTYG" localSheetId="4" hidden="1">{#N/A,#N/A,FALSE,"단축1";#N/A,#N/A,FALSE,"단축2";#N/A,#N/A,FALSE,"단축3";#N/A,#N/A,FALSE,"장축";#N/A,#N/A,FALSE,"4WD"}</definedName>
    <definedName name="RTYG" hidden="1">{#N/A,#N/A,FALSE,"단축1";#N/A,#N/A,FALSE,"단축2";#N/A,#N/A,FALSE,"단축3";#N/A,#N/A,FALSE,"장축";#N/A,#N/A,FALSE,"4WD"}</definedName>
    <definedName name="Rwvu.NORMAL." localSheetId="1" hidden="1">#REF!</definedName>
    <definedName name="Rwvu.NORMAL." localSheetId="4" hidden="1">#REF!</definedName>
    <definedName name="Rwvu.NORMAL." hidden="1">#REF!</definedName>
    <definedName name="S1_">#N/A</definedName>
    <definedName name="sa" localSheetId="1" hidden="1">{#N/A,#N/A,FALSE,"UNIT";#N/A,#N/A,FALSE,"UNIT";#N/A,#N/A,FALSE,"계정"}</definedName>
    <definedName name="sa" localSheetId="4" hidden="1">{#N/A,#N/A,FALSE,"UNIT";#N/A,#N/A,FALSE,"UNIT";#N/A,#N/A,FALSE,"계정"}</definedName>
    <definedName name="sa" hidden="1">{#N/A,#N/A,FALSE,"UNIT";#N/A,#N/A,FALSE,"UNIT";#N/A,#N/A,FALSE,"계정"}</definedName>
    <definedName name="SAPBEXdnldView" hidden="1">"9VVY9GX4OSU85KCHKRS6MH2AL"</definedName>
    <definedName name="SAPBEXrevision" hidden="1">7</definedName>
    <definedName name="SAPBEXsysID" hidden="1">"BMP"</definedName>
    <definedName name="SAPBEXwbID" hidden="1">"BDO4SU59YJGE86LIE3AAMVBPQ"</definedName>
    <definedName name="sayang" localSheetId="1" hidden="1">{#N/A,#N/A,FALSE,"단축1";#N/A,#N/A,FALSE,"단축2";#N/A,#N/A,FALSE,"단축3";#N/A,#N/A,FALSE,"장축";#N/A,#N/A,FALSE,"4WD"}</definedName>
    <definedName name="sayang" localSheetId="4" hidden="1">{#N/A,#N/A,FALSE,"단축1";#N/A,#N/A,FALSE,"단축2";#N/A,#N/A,FALSE,"단축3";#N/A,#N/A,FALSE,"장축";#N/A,#N/A,FALSE,"4WD"}</definedName>
    <definedName name="sayang" hidden="1">{#N/A,#N/A,FALSE,"단축1";#N/A,#N/A,FALSE,"단축2";#N/A,#N/A,FALSE,"단축3";#N/A,#N/A,FALSE,"장축";#N/A,#N/A,FALSE,"4WD"}</definedName>
    <definedName name="sdasd" localSheetId="1"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 localSheetId="4"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a"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asda"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asda"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ds">#N/A</definedName>
    <definedName name="sdffgd" localSheetId="1" hidden="1">{"'Sheet1'!$L$16"}</definedName>
    <definedName name="sdffgd" localSheetId="4" hidden="1">{"'Sheet1'!$L$16"}</definedName>
    <definedName name="sdffgd" hidden="1">{"'Sheet1'!$L$16"}</definedName>
    <definedName name="sff" localSheetId="1" hidden="1">{"'Sheet1'!$L$16"}</definedName>
    <definedName name="sff" localSheetId="4" hidden="1">{"'Sheet1'!$L$16"}</definedName>
    <definedName name="sff" hidden="1">{"'Sheet1'!$L$16"}</definedName>
    <definedName name="sfgsgs" localSheetId="1" hidden="1">{"Income Statement 1997 Plan Quarters",#N/A,FALSE,"Income Stat."}</definedName>
    <definedName name="sfgsgs" localSheetId="4" hidden="1">{"Income Statement 1997 Plan Quarters",#N/A,FALSE,"Income Stat."}</definedName>
    <definedName name="sfgsgs" hidden="1">{"Income Statement 1997 Plan Quarters",#N/A,FALSE,"Income Stat."}</definedName>
    <definedName name="sheet" localSheetId="2" hidden="1">{#N/A,#N/A,FALSE,"UNIT";#N/A,#N/A,FALSE,"UNIT";#N/A,#N/A,FALSE,"계정"}</definedName>
    <definedName name="sheet" localSheetId="1" hidden="1">{#N/A,#N/A,FALSE,"UNIT";#N/A,#N/A,FALSE,"UNIT";#N/A,#N/A,FALSE,"계정"}</definedName>
    <definedName name="sheet" localSheetId="4" hidden="1">{#N/A,#N/A,FALSE,"UNIT";#N/A,#N/A,FALSE,"UNIT";#N/A,#N/A,FALSE,"계정"}</definedName>
    <definedName name="sheet" hidden="1">{#N/A,#N/A,FALSE,"UNIT";#N/A,#N/A,FALSE,"UNIT";#N/A,#N/A,FALSE,"계정"}</definedName>
    <definedName name="shi" localSheetId="1" hidden="1">{#N/A,#N/A,FALSE,"단축1";#N/A,#N/A,FALSE,"단축2";#N/A,#N/A,FALSE,"단축3";#N/A,#N/A,FALSE,"장축";#N/A,#N/A,FALSE,"4WD"}</definedName>
    <definedName name="shi" localSheetId="4" hidden="1">{#N/A,#N/A,FALSE,"단축1";#N/A,#N/A,FALSE,"단축2";#N/A,#N/A,FALSE,"단축3";#N/A,#N/A,FALSE,"장축";#N/A,#N/A,FALSE,"4WD"}</definedName>
    <definedName name="shi" hidden="1">{#N/A,#N/A,FALSE,"단축1";#N/A,#N/A,FALSE,"단축2";#N/A,#N/A,FALSE,"단축3";#N/A,#N/A,FALSE,"장축";#N/A,#N/A,FALSE,"4WD"}</definedName>
    <definedName name="shin" localSheetId="1" hidden="1">{#N/A,#N/A,FALSE,"단축1";#N/A,#N/A,FALSE,"단축2";#N/A,#N/A,FALSE,"단축3";#N/A,#N/A,FALSE,"장축";#N/A,#N/A,FALSE,"4WD"}</definedName>
    <definedName name="shin" localSheetId="4" hidden="1">{#N/A,#N/A,FALSE,"단축1";#N/A,#N/A,FALSE,"단축2";#N/A,#N/A,FALSE,"단축3";#N/A,#N/A,FALSE,"장축";#N/A,#N/A,FALSE,"4WD"}</definedName>
    <definedName name="shin" hidden="1">{#N/A,#N/A,FALSE,"단축1";#N/A,#N/A,FALSE,"단축2";#N/A,#N/A,FALSE,"단축3";#N/A,#N/A,FALSE,"장축";#N/A,#N/A,FALSE,"4WD"}</definedName>
    <definedName name="sjjf" localSheetId="1" hidden="1">{#N/A,#N/A,FALSE,"단축1";#N/A,#N/A,FALSE,"단축2";#N/A,#N/A,FALSE,"단축3";#N/A,#N/A,FALSE,"장축";#N/A,#N/A,FALSE,"4WD"}</definedName>
    <definedName name="sjjf" localSheetId="4" hidden="1">{#N/A,#N/A,FALSE,"단축1";#N/A,#N/A,FALSE,"단축2";#N/A,#N/A,FALSE,"단축3";#N/A,#N/A,FALSE,"장축";#N/A,#N/A,FALSE,"4WD"}</definedName>
    <definedName name="sjjf" hidden="1">{#N/A,#N/A,FALSE,"단축1";#N/A,#N/A,FALSE,"단축2";#N/A,#N/A,FALSE,"단축3";#N/A,#N/A,FALSE,"장축";#N/A,#N/A,FALSE,"4WD"}</definedName>
    <definedName name="sjk" localSheetId="1" hidden="1">{#N/A,#N/A,FALSE,"단축1";#N/A,#N/A,FALSE,"단축2";#N/A,#N/A,FALSE,"단축3";#N/A,#N/A,FALSE,"장축";#N/A,#N/A,FALSE,"4WD"}</definedName>
    <definedName name="sjk" localSheetId="4" hidden="1">{#N/A,#N/A,FALSE,"단축1";#N/A,#N/A,FALSE,"단축2";#N/A,#N/A,FALSE,"단축3";#N/A,#N/A,FALSE,"장축";#N/A,#N/A,FALSE,"4WD"}</definedName>
    <definedName name="sjk" hidden="1">{#N/A,#N/A,FALSE,"단축1";#N/A,#N/A,FALSE,"단축2";#N/A,#N/A,FALSE,"단축3";#N/A,#N/A,FALSE,"장축";#N/A,#N/A,FALSE,"4WD"}</definedName>
    <definedName name="solver_lin" hidden="1">0</definedName>
    <definedName name="solver_num" hidden="1">0</definedName>
    <definedName name="solver_typ" hidden="1">3</definedName>
    <definedName name="solver_val" hidden="1">0.1633</definedName>
    <definedName name="SpecialPrice" localSheetId="1" hidden="1">#REF!</definedName>
    <definedName name="SpecialPrice" localSheetId="4" hidden="1">#REF!</definedName>
    <definedName name="SpecialPrice" hidden="1">#REF!</definedName>
    <definedName name="sss">#N/A</definedName>
    <definedName name="SSSSSSSSSSS" localSheetId="1" hidden="1">{"Income Statement 1997 Plan Quarters",#N/A,FALSE,"Income Stat."}</definedName>
    <definedName name="SSSSSSSSSSS" localSheetId="4" hidden="1">{"Income Statement 1997 Plan Quarters",#N/A,FALSE,"Income Stat."}</definedName>
    <definedName name="SSSSSSSSSSS" hidden="1">{"Income Statement 1997 Plan Quarters",#N/A,FALSE,"Income Stat."}</definedName>
    <definedName name="SW가능">#N/A</definedName>
    <definedName name="sw사용가능2">#N/A</definedName>
    <definedName name="t12ki1" localSheetId="1" hidden="1">{"'Sheet1'!$L$16"}</definedName>
    <definedName name="t12ki1" localSheetId="4" hidden="1">{"'Sheet1'!$L$16"}</definedName>
    <definedName name="t12ki1" hidden="1">{"'Sheet1'!$L$16"}</definedName>
    <definedName name="TAU" localSheetId="1" hidden="1">{#N/A,#N/A,FALSE,"단축1";#N/A,#N/A,FALSE,"단축2";#N/A,#N/A,FALSE,"단축3";#N/A,#N/A,FALSE,"장축";#N/A,#N/A,FALSE,"4WD"}</definedName>
    <definedName name="TAU" localSheetId="4" hidden="1">{#N/A,#N/A,FALSE,"단축1";#N/A,#N/A,FALSE,"단축2";#N/A,#N/A,FALSE,"단축3";#N/A,#N/A,FALSE,"장축";#N/A,#N/A,FALSE,"4WD"}</definedName>
    <definedName name="TAU" hidden="1">{#N/A,#N/A,FALSE,"단축1";#N/A,#N/A,FALSE,"단축2";#N/A,#N/A,FALSE,"단축3";#N/A,#N/A,FALSE,"장축";#N/A,#N/A,FALSE,"4WD"}</definedName>
    <definedName name="tax" localSheetId="1" hidden="1">{#N/A,#N/A,FALSE,"Aging Summary";#N/A,#N/A,FALSE,"Ratio Analysis";#N/A,#N/A,FALSE,"Test 120 Day Accts";#N/A,#N/A,FALSE,"Tickmarks"}</definedName>
    <definedName name="tax" localSheetId="4" hidden="1">{#N/A,#N/A,FALSE,"Aging Summary";#N/A,#N/A,FALSE,"Ratio Analysis";#N/A,#N/A,FALSE,"Test 120 Day Accts";#N/A,#N/A,FALSE,"Tickmarks"}</definedName>
    <definedName name="tax" hidden="1">{#N/A,#N/A,FALSE,"Aging Summary";#N/A,#N/A,FALSE,"Ratio Analysis";#N/A,#N/A,FALSE,"Test 120 Day Accts";#N/A,#N/A,FALSE,"Tickmarks"}</definedName>
    <definedName name="tbl_ProdInfo" localSheetId="1" hidden="1">#REF!</definedName>
    <definedName name="tbl_ProdInfo" localSheetId="4" hidden="1">#REF!</definedName>
    <definedName name="tbl_ProdInfo" hidden="1">#REF!</definedName>
    <definedName name="tci" localSheetId="1"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ewterter" localSheetId="1" hidden="1">{#N/A,#N/A,TRUE,"Report_PF";#N/A,#N/A,TRUE,"Report_ORG";#N/A,#N/A,TRUE,"Report_DEP"}</definedName>
    <definedName name="tewterter" localSheetId="4" hidden="1">{#N/A,#N/A,TRUE,"Report_PF";#N/A,#N/A,TRUE,"Report_ORG";#N/A,#N/A,TRUE,"Report_DEP"}</definedName>
    <definedName name="tewterter" hidden="1">{#N/A,#N/A,TRUE,"Report_PF";#N/A,#N/A,TRUE,"Report_ORG";#N/A,#N/A,TRUE,"Report_DEP"}</definedName>
    <definedName name="TextRefCopyRangeCount">1</definedName>
    <definedName name="tha" localSheetId="1" hidden="1">{"'Sheet1'!$L$16"}</definedName>
    <definedName name="tha" localSheetId="4" hidden="1">{"'Sheet1'!$L$16"}</definedName>
    <definedName name="tha" hidden="1">{"'Sheet1'!$L$16"}</definedName>
    <definedName name="THAN" localSheetId="1" hidden="1">{"'Sheet1'!$L$16"}</definedName>
    <definedName name="THAN" localSheetId="4" hidden="1">{"'Sheet1'!$L$16"}</definedName>
    <definedName name="THAN" hidden="1">{"'Sheet1'!$L$16"}</definedName>
    <definedName name="Thuy" localSheetId="1" hidden="1">{#N/A,#N/A,FALSE,"Aging Summary";#N/A,#N/A,FALSE,"Ratio Analysis";#N/A,#N/A,FALSE,"Test 120 Day Accts";#N/A,#N/A,FALSE,"Tickmarks"}</definedName>
    <definedName name="Thuy" localSheetId="4" hidden="1">{#N/A,#N/A,FALSE,"Aging Summary";#N/A,#N/A,FALSE,"Ratio Analysis";#N/A,#N/A,FALSE,"Test 120 Day Accts";#N/A,#N/A,FALSE,"Tickmarks"}</definedName>
    <definedName name="Thuy" hidden="1">{#N/A,#N/A,FALSE,"Aging Summary";#N/A,#N/A,FALSE,"Ratio Analysis";#N/A,#N/A,FALSE,"Test 120 Day Accts";#N/A,#N/A,FALSE,"Tickmarks"}</definedName>
    <definedName name="thydrtht" localSheetId="1"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hydrtht" localSheetId="4"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hydrtht"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ruc" localSheetId="1" hidden="1">{"'Sheet1'!$L$16"}</definedName>
    <definedName name="truc" localSheetId="4" hidden="1">{"'Sheet1'!$L$16"}</definedName>
    <definedName name="truc" hidden="1">{"'Sheet1'!$L$16"}</definedName>
    <definedName name="tt" localSheetId="1" hidden="1">{"'Sheet1'!$L$16"}</definedName>
    <definedName name="tt" localSheetId="4" hidden="1">{"'Sheet1'!$L$16"}</definedName>
    <definedName name="tt" hidden="1">{"'Sheet1'!$L$16"}</definedName>
    <definedName name="tthtyht" localSheetId="1" hidden="1">{#N/A,#N/A,TRUE,"Report_PF";#N/A,#N/A,TRUE,"Report_ORG";#N/A,#N/A,TRUE,"Report_DEP"}</definedName>
    <definedName name="tthtyht" localSheetId="4" hidden="1">{#N/A,#N/A,TRUE,"Report_PF";#N/A,#N/A,TRUE,"Report_ORG";#N/A,#N/A,TRUE,"Report_DEP"}</definedName>
    <definedName name="tthtyht" hidden="1">{#N/A,#N/A,TRUE,"Report_PF";#N/A,#N/A,TRUE,"Report_ORG";#N/A,#N/A,TRUE,"Report_DEP"}</definedName>
    <definedName name="ttt">#N/A</definedName>
    <definedName name="UGVG" localSheetId="1" hidden="1">{#N/A,#N/A,TRUE,"BT M200 da 10x20"}</definedName>
    <definedName name="UGVG" localSheetId="4" hidden="1">{#N/A,#N/A,TRUE,"BT M200 da 10x20"}</definedName>
    <definedName name="UGVG" hidden="1">{#N/A,#N/A,TRUE,"BT M200 da 10x20"}</definedName>
    <definedName name="ungT3" localSheetId="1" hidden="1">{"'Sheet1'!$L$16"}</definedName>
    <definedName name="ungT3" localSheetId="4" hidden="1">{"'Sheet1'!$L$16"}</definedName>
    <definedName name="ungT3" hidden="1">{"'Sheet1'!$L$16"}</definedName>
    <definedName name="UPLOAD2" localSheetId="1" hidden="1">{"Admin Stat Variance Report",#N/A,FALSE,"Admin. Stat."}</definedName>
    <definedName name="UPLOAD2" localSheetId="4" hidden="1">{"Admin Stat Variance Report",#N/A,FALSE,"Admin. Stat."}</definedName>
    <definedName name="UPLOAD2" hidden="1">{"Admin Stat Variance Report",#N/A,FALSE,"Admin. Stat."}</definedName>
    <definedName name="UPLOADS" localSheetId="1" hidden="1">{"Balance Sheet CY PP",#N/A,FALSE,"Balance Sheet"}</definedName>
    <definedName name="UPLOADS" localSheetId="4" hidden="1">{"Balance Sheet CY PP",#N/A,FALSE,"Balance Sheet"}</definedName>
    <definedName name="UPLOADS" hidden="1">{"Balance Sheet CY PP",#N/A,FALSE,"Balance Sheet"}</definedName>
    <definedName name="uyen" localSheetId="1" hidden="1">{#N/A,#N/A,TRUE,"BT M200 da 10x20"}</definedName>
    <definedName name="uyen" localSheetId="4" hidden="1">{#N/A,#N/A,TRUE,"BT M200 da 10x20"}</definedName>
    <definedName name="uyen" hidden="1">{#N/A,#N/A,TRUE,"BT M200 da 10x20"}</definedName>
    <definedName name="vv" localSheetId="1" hidden="1">{#N/A,#N/A,FALSE,"Aging Summary";#N/A,#N/A,FALSE,"Ratio Analysis";#N/A,#N/A,FALSE,"Test 120 Day Accts";#N/A,#N/A,FALSE,"Tickmarks"}</definedName>
    <definedName name="vv" localSheetId="4" hidden="1">{#N/A,#N/A,FALSE,"Aging Summary";#N/A,#N/A,FALSE,"Ratio Analysis";#N/A,#N/A,FALSE,"Test 120 Day Accts";#N/A,#N/A,FALSE,"Tickmarks"}</definedName>
    <definedName name="vv" hidden="1">{#N/A,#N/A,FALSE,"Aging Summary";#N/A,#N/A,FALSE,"Ratio Analysis";#N/A,#N/A,FALSE,"Test 120 Day Accts";#N/A,#N/A,FALSE,"Tickmarks"}</definedName>
    <definedName name="vvv">#N/A</definedName>
    <definedName name="VVVVVV" localSheetId="1" hidden="1">{"'Sheet1'!$L$16"}</definedName>
    <definedName name="VVVVVV" localSheetId="4" hidden="1">{"'Sheet1'!$L$16"}</definedName>
    <definedName name="VVVVVV" hidden="1">{"'Sheet1'!$L$16"}</definedName>
    <definedName name="vvvvvvvvvvvvvvvvvvvvvvvvvvvv">#N/A</definedName>
    <definedName name="w" localSheetId="2" hidden="1">{#N/A,#N/A,FALSE,"UNIT";#N/A,#N/A,FALSE,"UNIT";#N/A,#N/A,FALSE,"계정"}</definedName>
    <definedName name="w" localSheetId="1" hidden="1">{#N/A,#N/A,FALSE,"UNIT";#N/A,#N/A,FALSE,"UNIT";#N/A,#N/A,FALSE,"계정"}</definedName>
    <definedName name="w" localSheetId="4" hidden="1">{#N/A,#N/A,FALSE,"UNIT";#N/A,#N/A,FALSE,"UNIT";#N/A,#N/A,FALSE,"계정"}</definedName>
    <definedName name="w" hidden="1">{#N/A,#N/A,FALSE,"UNIT";#N/A,#N/A,FALSE,"UNIT";#N/A,#N/A,FALSE,"계정"}</definedName>
    <definedName name="wf" localSheetId="1" hidden="1">#REF!</definedName>
    <definedName name="wf" localSheetId="4" hidden="1">#REF!</definedName>
    <definedName name="wf" hidden="1">#REF!</definedName>
    <definedName name="wh" localSheetId="1" hidden="1">{#N/A,#N/A,FALSE,"단축1";#N/A,#N/A,FALSE,"단축2";#N/A,#N/A,FALSE,"단축3";#N/A,#N/A,FALSE,"장축";#N/A,#N/A,FALSE,"4WD"}</definedName>
    <definedName name="wh" localSheetId="4" hidden="1">{#N/A,#N/A,FALSE,"단축1";#N/A,#N/A,FALSE,"단축2";#N/A,#N/A,FALSE,"단축3";#N/A,#N/A,FALSE,"장축";#N/A,#N/A,FALSE,"4WD"}</definedName>
    <definedName name="wh" hidden="1">{#N/A,#N/A,FALSE,"단축1";#N/A,#N/A,FALSE,"단축2";#N/A,#N/A,FALSE,"단축3";#N/A,#N/A,FALSE,"장축";#N/A,#N/A,FALSE,"4WD"}</definedName>
    <definedName name="wqdfwdf" localSheetId="1" hidden="1">{#N/A,#N/A,TRUE,"Report_PF";#N/A,#N/A,TRUE,"Report_ORG";#N/A,#N/A,TRUE,"Report_DEP"}</definedName>
    <definedName name="wqdfwdf" localSheetId="4" hidden="1">{#N/A,#N/A,TRUE,"Report_PF";#N/A,#N/A,TRUE,"Report_ORG";#N/A,#N/A,TRUE,"Report_DEP"}</definedName>
    <definedName name="wqdfwdf" hidden="1">{#N/A,#N/A,TRUE,"Report_PF";#N/A,#N/A,TRUE,"Report_ORG";#N/A,#N/A,TRUE,"Report_DEP"}</definedName>
    <definedName name="wrn.aa." localSheetId="2" hidden="1">{#N/A,#N/A,FALSE,"UNIT";#N/A,#N/A,FALSE,"UNIT";#N/A,#N/A,FALSE,"계정"}</definedName>
    <definedName name="wrn.aa." localSheetId="1" hidden="1">{#N/A,#N/A,FALSE,"UNIT";#N/A,#N/A,FALSE,"UNIT";#N/A,#N/A,FALSE,"계정"}</definedName>
    <definedName name="wrn.aa." localSheetId="4" hidden="1">{#N/A,#N/A,FALSE,"UNIT";#N/A,#N/A,FALSE,"UNIT";#N/A,#N/A,FALSE,"계정"}</definedName>
    <definedName name="wrn.aa." hidden="1">{#N/A,#N/A,FALSE,"UNIT";#N/A,#N/A,FALSE,"UNIT";#N/A,#N/A,FALSE,"계정"}</definedName>
    <definedName name="wrn.acall." localSheetId="1" hidden="1">{"acmonth",#N/A,FALSE,"AirControls";"acroll",#N/A,FALSE,"AirControls";"acprof",#N/A,FALSE,"AirControls"}</definedName>
    <definedName name="wrn.acall." localSheetId="4" hidden="1">{"acmonth",#N/A,FALSE,"AirControls";"acroll",#N/A,FALSE,"AirControls";"acprof",#N/A,FALSE,"AirControls"}</definedName>
    <definedName name="wrn.acall." hidden="1">{"acmonth",#N/A,FALSE,"AirControls";"acroll",#N/A,FALSE,"AirControls";"acprof",#N/A,FALSE,"AirControls"}</definedName>
    <definedName name="wrn.acmonth." localSheetId="1" hidden="1">{"acmonth",#N/A,FALSE,"AirControls"}</definedName>
    <definedName name="wrn.acmonth." localSheetId="4" hidden="1">{"acmonth",#N/A,FALSE,"AirControls"}</definedName>
    <definedName name="wrn.acmonth." hidden="1">{"acmonth",#N/A,FALSE,"AirControls"}</definedName>
    <definedName name="wrn.acprof." localSheetId="1" hidden="1">{"acprof",#N/A,FALSE,"AirControls"}</definedName>
    <definedName name="wrn.acprof." localSheetId="4" hidden="1">{"acprof",#N/A,FALSE,"AirControls"}</definedName>
    <definedName name="wrn.acprof." hidden="1">{"acprof",#N/A,FALSE,"AirControls"}</definedName>
    <definedName name="wrn.acroll." localSheetId="1" hidden="1">{"acroll",#N/A,FALSE,"AirControls"}</definedName>
    <definedName name="wrn.acroll." localSheetId="4" hidden="1">{"acroll",#N/A,FALSE,"AirControls"}</definedName>
    <definedName name="wrn.acroll." hidden="1">{"acroll",#N/A,FALSE,"AirControls"}</definedName>
    <definedName name="wrn.Admin._.Stat._.Variance._.Report." localSheetId="1" hidden="1">{"Admin Stat Variance Report",#N/A,FALSE,"Admin. Stat."}</definedName>
    <definedName name="wrn.Admin._.Stat._.Variance._.Report." localSheetId="4" hidden="1">{"Admin Stat Variance Report",#N/A,FALSE,"Admin. Stat."}</definedName>
    <definedName name="wrn.Admin._.Stat._.Variance._.Report." hidden="1">{"Admin Stat Variance Report",#N/A,FALSE,"Admin. Stat."}</definedName>
    <definedName name="wrn.Admin._.Statement._.CY._.AF." localSheetId="1" hidden="1">{"Admin Statement CY AF",#N/A,FALSE,"Admin. Stat."}</definedName>
    <definedName name="wrn.Admin._.Statement._.CY._.AF." localSheetId="4" hidden="1">{"Admin Statement CY AF",#N/A,FALSE,"Admin. Stat."}</definedName>
    <definedName name="wrn.Admin._.Statement._.CY._.AF." hidden="1">{"Admin Statement CY AF",#N/A,FALSE,"Admin. Stat."}</definedName>
    <definedName name="wrn.Admin._.Statement._.CY._.PP." localSheetId="1" hidden="1">{"Admin Statement CY PP",#N/A,FALSE,"Admin. Stat."}</definedName>
    <definedName name="wrn.Admin._.Statement._.CY._.PP." localSheetId="4" hidden="1">{"Admin Statement CY PP",#N/A,FALSE,"Admin. Stat."}</definedName>
    <definedName name="wrn.Admin._.Statement._.CY._.PP." hidden="1">{"Admin Statement CY PP",#N/A,FALSE,"Admin. Stat."}</definedName>
    <definedName name="wrn.Admin._.Statement._.NY._.PP." localSheetId="1" hidden="1">{"Admin Statement NY PP",#N/A,FALSE,"Admin. Stat."}</definedName>
    <definedName name="wrn.Admin._.Statement._.NY._.PP." localSheetId="4" hidden="1">{"Admin Statement NY PP",#N/A,FALSE,"Admin. Stat."}</definedName>
    <definedName name="wrn.Admin._.Statement._.NY._.PP." hidden="1">{"Admin Statement NY PP",#N/A,FALSE,"Admin. Stat."}</definedName>
    <definedName name="wrn.Aging._.and._.Trend._.Analysis." localSheetId="2"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localSheetId="4"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Balance._.Sheet._.CY._.AF." localSheetId="1" hidden="1">{"Balance Sheet CY AF",#N/A,FALSE,"Balance Sheet"}</definedName>
    <definedName name="wrn.Balance._.Sheet._.CY._.AF." localSheetId="4" hidden="1">{"Balance Sheet CY AF",#N/A,FALSE,"Balance Sheet"}</definedName>
    <definedName name="wrn.Balance._.Sheet._.CY._.AF." hidden="1">{"Balance Sheet CY AF",#N/A,FALSE,"Balance Sheet"}</definedName>
    <definedName name="wrn.Balance._.Sheet._.CY._.PP." localSheetId="1" hidden="1">{"Balance Sheet CY PP",#N/A,FALSE,"Balance Sheet"}</definedName>
    <definedName name="wrn.Balance._.Sheet._.CY._.PP." localSheetId="4" hidden="1">{"Balance Sheet CY PP",#N/A,FALSE,"Balance Sheet"}</definedName>
    <definedName name="wrn.Balance._.Sheet._.CY._.PP." hidden="1">{"Balance Sheet CY PP",#N/A,FALSE,"Balance Sheet"}</definedName>
    <definedName name="wrn.Balance._.Sheet._.NY._.PP." localSheetId="1" hidden="1">{"Balance Sheet NY PP",#N/A,FALSE,"Balance Sheet"}</definedName>
    <definedName name="wrn.Balance._.Sheet._.NY._.PP." localSheetId="4" hidden="1">{"Balance Sheet NY PP",#N/A,FALSE,"Balance Sheet"}</definedName>
    <definedName name="wrn.Balance._.Sheet._.NY._.PP." hidden="1">{"Balance Sheet NY PP",#N/A,FALSE,"Balance Sheet"}</definedName>
    <definedName name="wrn.Balance._.Sheet._.PY._.Actual." localSheetId="1" hidden="1">{"Balance Sheet PY Actual",#N/A,FALSE,"Balance Sheet"}</definedName>
    <definedName name="wrn.Balance._.Sheet._.PY._.Actual." localSheetId="4" hidden="1">{"Balance Sheet PY Actual",#N/A,FALSE,"Balance Sheet"}</definedName>
    <definedName name="wrn.Balance._.Sheet._.PY._.Actual." hidden="1">{"Balance Sheet PY Actual",#N/A,FALSE,"Balance Sheet"}</definedName>
    <definedName name="wrn.Bao._.Cao." localSheetId="1" hidden="1">{#N/A,#N/A,FALSE,"Sheet1"}</definedName>
    <definedName name="wrn.Bao._.Cao." localSheetId="4" hidden="1">{#N/A,#N/A,FALSE,"Sheet1"}</definedName>
    <definedName name="wrn.Bao._.Cao." hidden="1">{#N/A,#N/A,FALSE,"Sheet1"}</definedName>
    <definedName name="wrn.BAOCAO." localSheetId="1" hidden="1">{#N/A,#N/A,FALSE,"sum";#N/A,#N/A,FALSE,"MARTV";#N/A,#N/A,FALSE,"APRTV"}</definedName>
    <definedName name="wrn.BAOCAO." localSheetId="4" hidden="1">{#N/A,#N/A,FALSE,"sum";#N/A,#N/A,FALSE,"MARTV";#N/A,#N/A,FALSE,"APRTV"}</definedName>
    <definedName name="wrn.BAOCAO." hidden="1">{#N/A,#N/A,FALSE,"sum";#N/A,#N/A,FALSE,"MARTV";#N/A,#N/A,FALSE,"APRTV"}</definedName>
    <definedName name="wrn.bobsum." localSheetId="1" hidden="1">{"bobsum",#N/A,FALSE,"BobSummary"}</definedName>
    <definedName name="wrn.bobsum." localSheetId="4" hidden="1">{"bobsum",#N/A,FALSE,"BobSummary"}</definedName>
    <definedName name="wrn.bobsum." hidden="1">{"bobsum",#N/A,FALSE,"BobSummary"}</definedName>
    <definedName name="wrn.brall." localSheetId="1" hidden="1">{"brmonth",#N/A,FALSE,"brazil";"brroll",#N/A,FALSE,"brazil";"brprof",#N/A,FALSE,"brazil"}</definedName>
    <definedName name="wrn.brall." localSheetId="4" hidden="1">{"brmonth",#N/A,FALSE,"brazil";"brroll",#N/A,FALSE,"brazil";"brprof",#N/A,FALSE,"brazil"}</definedName>
    <definedName name="wrn.brall." hidden="1">{"brmonth",#N/A,FALSE,"brazil";"brroll",#N/A,FALSE,"brazil";"brprof",#N/A,FALSE,"brazil"}</definedName>
    <definedName name="wrn.brmonth." localSheetId="1" hidden="1">{"brmonth",#N/A,FALSE,"brazil"}</definedName>
    <definedName name="wrn.brmonth." localSheetId="4" hidden="1">{"brmonth",#N/A,FALSE,"brazil"}</definedName>
    <definedName name="wrn.brmonth." hidden="1">{"brmonth",#N/A,FALSE,"brazil"}</definedName>
    <definedName name="wrn.brprof." localSheetId="1" hidden="1">{"brprof",#N/A,FALSE,"brazil"}</definedName>
    <definedName name="wrn.brprof." localSheetId="4" hidden="1">{"brprof",#N/A,FALSE,"brazil"}</definedName>
    <definedName name="wrn.brprof." hidden="1">{"brprof",#N/A,FALSE,"brazil"}</definedName>
    <definedName name="wrn.brroll." localSheetId="1" hidden="1">{"brroll",#N/A,FALSE,"brazil"}</definedName>
    <definedName name="wrn.brroll." localSheetId="4" hidden="1">{"brroll",#N/A,FALSE,"brazil"}</definedName>
    <definedName name="wrn.brroll." hidden="1">{"brroll",#N/A,FALSE,"brazil"}</definedName>
    <definedName name="wrn.chi._.tiÆt." localSheetId="1" hidden="1">{#N/A,#N/A,FALSE,"Chi tiÆt"}</definedName>
    <definedName name="wrn.chi._.tiÆt." localSheetId="4" hidden="1">{#N/A,#N/A,FALSE,"Chi tiÆt"}</definedName>
    <definedName name="wrn.chi._.tiÆt." hidden="1">{#N/A,#N/A,FALSE,"Chi tiÆt"}</definedName>
    <definedName name="wrn.COSA._.FS._.국문." localSheetId="2" hidden="1">{#N/A,#N/A,FALSE,"BS";#N/A,#N/A,FALSE,"PL";#N/A,#N/A,FALSE,"처분";#N/A,#N/A,FALSE,"현금";#N/A,#N/A,FALSE,"매출";#N/A,#N/A,FALSE,"원가";#N/A,#N/A,FALSE,"경영"}</definedName>
    <definedName name="wrn.COSA._.FS._.국문." localSheetId="1" hidden="1">{#N/A,#N/A,FALSE,"BS";#N/A,#N/A,FALSE,"PL";#N/A,#N/A,FALSE,"처분";#N/A,#N/A,FALSE,"현금";#N/A,#N/A,FALSE,"매출";#N/A,#N/A,FALSE,"원가";#N/A,#N/A,FALSE,"경영"}</definedName>
    <definedName name="wrn.COSA._.FS._.국문." localSheetId="4"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urrent._.Year._.AF._.Reports." localSheetId="1"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AF._.Reports." localSheetId="4"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AF._.Reports."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Profit._.Plan._.Reports." localSheetId="1"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Current._.Year._.Profit._.Plan._.Reports." localSheetId="4"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Current._.Year._.Profit._.Plan._.Reports."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DETAIL." localSheetId="1" hidden="1">{#N/A,#N/A,FALSE,"DETAIL"}</definedName>
    <definedName name="wrn.DETAIL." localSheetId="4" hidden="1">{#N/A,#N/A,FALSE,"DETAIL"}</definedName>
    <definedName name="wrn.DETAIL." hidden="1">{#N/A,#N/A,FALSE,"DETAIL"}</definedName>
    <definedName name="wrn.Economics._.Current._.Year._.AF." localSheetId="1"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Current._.Year._.AF." localSheetId="4"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Current._.Year._.AF."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Next._.Year._.PP." localSheetId="1"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conomics._.Next._.Year._.PP." localSheetId="4"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conomics._.Next._.Year._.PP."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M." localSheetId="1"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Final._.Cover." localSheetId="1" hidden="1">{#N/A,#N/A,FALSE,"FNLCOVER"}</definedName>
    <definedName name="wrn.Final._.Cover." localSheetId="4" hidden="1">{#N/A,#N/A,FALSE,"FNLCOVER"}</definedName>
    <definedName name="wrn.Final._.Cover." hidden="1">{#N/A,#N/A,FALSE,"FNLCOVER"}</definedName>
    <definedName name="wrn.FULLPLN." localSheetId="1" hidden="1">{"FULLPLN",#N/A,FALSE,"Full Yr vs Plan"}</definedName>
    <definedName name="wrn.FULLPLN." localSheetId="4" hidden="1">{"FULLPLN",#N/A,FALSE,"Full Yr vs Plan"}</definedName>
    <definedName name="wrn.FULLPLN." hidden="1">{"FULLPLN",#N/A,FALSE,"Full Yr vs Plan"}</definedName>
    <definedName name="wrn.fullprior." localSheetId="1" hidden="1">{"fullprior",#N/A,FALSE,"Full Yr v Prior"}</definedName>
    <definedName name="wrn.fullprior." localSheetId="4" hidden="1">{"fullprior",#N/A,FALSE,"Full Yr v Prior"}</definedName>
    <definedName name="wrn.fullprior." hidden="1">{"fullprior",#N/A,FALSE,"Full Yr v Prior"}</definedName>
    <definedName name="wrn.het." localSheetId="1" hidden="1">{#N/A,#N/A,FALSE,"Title";#N/A,#N/A,FALSE,"Bal.sheet";#N/A,#N/A,FALSE,"Income";#N/A,#N/A,FALSE,"sale";#N/A,#N/A,FALSE,"cash";#N/A,#N/A,FALSE,"AR";#N/A,#N/A,FALSE,"AR-other";#N/A,#N/A,FALSE,"asset";#N/A,#N/A,FALSE,"Pre-Op";#N/A,#N/A,FALSE,"AP";#N/A,#N/A,FALSE,"Parent";#N/A,#N/A,FALSE,"Qty";#N/A,#N/A,FALSE,"COGS";#N/A,#N/A,FALSE,"GOH-Sell";#N/A,#N/A,FALSE,"Interest"}</definedName>
    <definedName name="wrn.het." localSheetId="4"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ncome._.Stat.._.1995._.by._.Quarters." localSheetId="1" hidden="1">{"Income Statement 1995 by Quarters",#N/A,FALSE,"Income Stat."}</definedName>
    <definedName name="wrn.Income._.Stat.._.1995._.by._.Quarters." localSheetId="4" hidden="1">{"Income Statement 1995 by Quarters",#N/A,FALSE,"Income Stat."}</definedName>
    <definedName name="wrn.Income._.Stat.._.1995._.by._.Quarters." hidden="1">{"Income Statement 1995 by Quarters",#N/A,FALSE,"Income Stat."}</definedName>
    <definedName name="wrn.Income._.Stat.._.1997._.Plan._.by._.Quarters." localSheetId="1" hidden="1">{"Income Statement 1997 Plan Quarters",#N/A,FALSE,"Income Stat."}</definedName>
    <definedName name="wrn.Income._.Stat.._.1997._.Plan._.by._.Quarters." localSheetId="4" hidden="1">{"Income Statement 1997 Plan Quarters",#N/A,FALSE,"Income Stat."}</definedName>
    <definedName name="wrn.Income._.Stat.._.1997._.Plan._.by._.Quarters." hidden="1">{"Income Statement 1997 Plan Quarters",#N/A,FALSE,"Income Stat."}</definedName>
    <definedName name="wrn.Income._.Stat._.Variance._.Report." localSheetId="1" hidden="1">{"Income Stat Variance Report",#N/A,FALSE,"Income Stat."}</definedName>
    <definedName name="wrn.Income._.Stat._.Variance._.Report." localSheetId="4" hidden="1">{"Income Stat Variance Report",#N/A,FALSE,"Income Stat."}</definedName>
    <definedName name="wrn.Income._.Stat._.Variance._.Report." hidden="1">{"Income Stat Variance Report",#N/A,FALSE,"Income Stat."}</definedName>
    <definedName name="wrn.Income._.Statement._.1996._.by._.Quarters." localSheetId="1" hidden="1">{"Income Statement 1996 by Quarters",#N/A,FALSE,"Income Stat."}</definedName>
    <definedName name="wrn.Income._.Statement._.1996._.by._.Quarters." localSheetId="4" hidden="1">{"Income Statement 1996 by Quarters",#N/A,FALSE,"Income Stat."}</definedName>
    <definedName name="wrn.Income._.Statement._.1996._.by._.Quarters." hidden="1">{"Income Statement 1996 by Quarters",#N/A,FALSE,"Income Stat."}</definedName>
    <definedName name="wrn.Income._.Statement._.1996._.Plan._.by._.Qtrs." localSheetId="1" hidden="1">{"Income Statement 1996 Plan by Qtrs",#N/A,FALSE,"Income Stat."}</definedName>
    <definedName name="wrn.Income._.Statement._.1996._.Plan._.by._.Qtrs." localSheetId="4" hidden="1">{"Income Statement 1996 Plan by Qtrs",#N/A,FALSE,"Income Stat."}</definedName>
    <definedName name="wrn.Income._.Statement._.1996._.Plan._.by._.Qtrs." hidden="1">{"Income Statement 1996 Plan by Qtrs",#N/A,FALSE,"Income Stat."}</definedName>
    <definedName name="wrn.Income._.Statement._.All._.Quarters." localSheetId="1" hidden="1">{"Income Statement All Quarters",#N/A,FALSE,"Income Stat."}</definedName>
    <definedName name="wrn.Income._.Statement._.All._.Quarters." localSheetId="4" hidden="1">{"Income Statement All Quarters",#N/A,FALSE,"Income Stat."}</definedName>
    <definedName name="wrn.Income._.Statement._.All._.Quarters." hidden="1">{"Income Statement All Quarters",#N/A,FALSE,"Income Stat."}</definedName>
    <definedName name="wrn.Income._.Statement._.by._.Years." localSheetId="1" hidden="1">{"Income Statement by Years",#N/A,FALSE,"Income Stat."}</definedName>
    <definedName name="wrn.Income._.Statement._.by._.Years." localSheetId="4" hidden="1">{"Income Statement by Years",#N/A,FALSE,"Income Stat."}</definedName>
    <definedName name="wrn.Income._.Statement._.by._.Years." hidden="1">{"Income Statement by Years",#N/A,FALSE,"Income Stat."}</definedName>
    <definedName name="wrn.Income._.Statement._.CY._.AF." localSheetId="1" hidden="1">{"Income Statement CY AF",#N/A,FALSE,"Income Stat."}</definedName>
    <definedName name="wrn.Income._.Statement._.CY._.AF." localSheetId="4" hidden="1">{"Income Statement CY AF",#N/A,FALSE,"Income Stat."}</definedName>
    <definedName name="wrn.Income._.Statement._.CY._.AF." hidden="1">{"Income Statement CY AF",#N/A,FALSE,"Income Stat."}</definedName>
    <definedName name="wrn.Income._.Statement._.CY._.PP." localSheetId="1" hidden="1">{"Income Statement CY PP",#N/A,FALSE,"Income Stat."}</definedName>
    <definedName name="wrn.Income._.Statement._.CY._.PP." localSheetId="4" hidden="1">{"Income Statement CY PP",#N/A,FALSE,"Income Stat."}</definedName>
    <definedName name="wrn.Income._.Statement._.CY._.PP." hidden="1">{"Income Statement CY PP",#N/A,FALSE,"Income Stat."}</definedName>
    <definedName name="wrn.Income._.Statement._.NY._.PP." localSheetId="1" hidden="1">{"Income Statement NY PP",#N/A,FALSE,"Income Stat."}</definedName>
    <definedName name="wrn.Income._.Statement._.NY._.PP." localSheetId="4" hidden="1">{"Income Statement NY PP",#N/A,FALSE,"Income Stat."}</definedName>
    <definedName name="wrn.Income._.Statement._.NY._.PP." hidden="1">{"Income Statement NY PP",#N/A,FALSE,"Income Stat."}</definedName>
    <definedName name="wrn.Income._.Statement._.PY._.Actual." localSheetId="1" hidden="1">{"Income Statement PY Actual",#N/A,FALSE,"Income Stat."}</definedName>
    <definedName name="wrn.Income._.Statement._.PY._.Actual." localSheetId="4" hidden="1">{"Income Statement PY Actual",#N/A,FALSE,"Income Stat."}</definedName>
    <definedName name="wrn.Income._.Statement._.PY._.Actual." hidden="1">{"Income Statement PY Actual",#N/A,FALSE,"Income Stat."}</definedName>
    <definedName name="wrn.Intercompany._.Sales." localSheetId="1" hidden="1">{#N/A,#N/A,FALSE,"Sales And Costs"}</definedName>
    <definedName name="wrn.Intercompany._.Sales." localSheetId="4" hidden="1">{#N/A,#N/A,FALSE,"Sales And Costs"}</definedName>
    <definedName name="wrn.Intercompany._.Sales." hidden="1">{#N/A,#N/A,FALSE,"Sales And Costs"}</definedName>
    <definedName name="wrn.inv._.budget." localSheetId="1" hidden="1">{"invbud-1",#N/A,FALSE,"A";"invbud-1CW",#N/A,FALSE,"A";"Desinvesteringen",#N/A,FALSE,"C"}</definedName>
    <definedName name="wrn.inv._.budget." localSheetId="4" hidden="1">{"invbud-1",#N/A,FALSE,"A";"invbud-1CW",#N/A,FALSE,"A";"Desinvesteringen",#N/A,FALSE,"C"}</definedName>
    <definedName name="wrn.inv._.budget." hidden="1">{"invbud-1",#N/A,FALSE,"A";"invbud-1CW",#N/A,FALSE,"A";"Desinvesteringen",#N/A,FALSE,"C"}</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fg._.Exp._.Stat._.Variance._.Report." localSheetId="1" hidden="1">{"Mfg Exp Stat Variance Report",#N/A,FALSE,"Mfg. Stat."}</definedName>
    <definedName name="wrn.Mfg._.Exp._.Stat._.Variance._.Report." localSheetId="4" hidden="1">{"Mfg Exp Stat Variance Report",#N/A,FALSE,"Mfg. Stat."}</definedName>
    <definedName name="wrn.Mfg._.Exp._.Stat._.Variance._.Report." hidden="1">{"Mfg Exp Stat Variance Report",#N/A,FALSE,"Mfg. Stat."}</definedName>
    <definedName name="wrn.Mfg._.Exp._.Statement._.CY._.AF." localSheetId="1" hidden="1">{"Mfg Exp Statement CY AF",#N/A,FALSE,"Mfg. Stat."}</definedName>
    <definedName name="wrn.Mfg._.Exp._.Statement._.CY._.AF." localSheetId="4" hidden="1">{"Mfg Exp Statement CY AF",#N/A,FALSE,"Mfg. Stat."}</definedName>
    <definedName name="wrn.Mfg._.Exp._.Statement._.CY._.AF." hidden="1">{"Mfg Exp Statement CY AF",#N/A,FALSE,"Mfg. Stat."}</definedName>
    <definedName name="wrn.Mfg._.Exp._.Statement._.CY._.AT." localSheetId="1" hidden="1">{#N/A,#N/A,FALSE,"Mfg. Stat."}</definedName>
    <definedName name="wrn.Mfg._.Exp._.Statement._.CY._.AT." localSheetId="4" hidden="1">{#N/A,#N/A,FALSE,"Mfg. Stat."}</definedName>
    <definedName name="wrn.Mfg._.Exp._.Statement._.CY._.AT." hidden="1">{#N/A,#N/A,FALSE,"Mfg. Stat."}</definedName>
    <definedName name="wrn.Mfg._.Exp._.Statement._.CY._.PP." localSheetId="1" hidden="1">{"Mfg stat CY PP",#N/A,FALSE,"Mfg. Stat."}</definedName>
    <definedName name="wrn.Mfg._.Exp._.Statement._.CY._.PP." localSheetId="4" hidden="1">{"Mfg stat CY PP",#N/A,FALSE,"Mfg. Stat."}</definedName>
    <definedName name="wrn.Mfg._.Exp._.Statement._.CY._.PP." hidden="1">{"Mfg stat CY PP",#N/A,FALSE,"Mfg. Stat."}</definedName>
    <definedName name="wrn.Mfg._.Exp._.Statement._.NY._.PP." localSheetId="1" hidden="1">{"Mfg Exp Statement NY PP",#N/A,FALSE,"Mfg. Stat."}</definedName>
    <definedName name="wrn.Mfg._.Exp._.Statement._.NY._.PP." localSheetId="4" hidden="1">{"Mfg Exp Statement NY PP",#N/A,FALSE,"Mfg. Stat."}</definedName>
    <definedName name="wrn.Mfg._.Exp._.Statement._.NY._.PP." hidden="1">{"Mfg Exp Statement NY PP",#N/A,FALSE,"Mfg. Stat."}</definedName>
    <definedName name="wrn.month." localSheetId="1" hidden="1">{#N/A,#N/A,FALSE,"Mnthly Roll"}</definedName>
    <definedName name="wrn.month." localSheetId="4" hidden="1">{#N/A,#N/A,FALSE,"Mnthly Roll"}</definedName>
    <definedName name="wrn.month." hidden="1">{#N/A,#N/A,FALSE,"Mnthly Roll"}</definedName>
    <definedName name="wrn.Mts_reporting." localSheetId="1" hidden="1">{#N/A,#N/A,TRUE,"Report_PF";#N/A,#N/A,TRUE,"Report_ORG";#N/A,#N/A,TRUE,"Report_DEP"}</definedName>
    <definedName name="wrn.Mts_reporting." localSheetId="4" hidden="1">{#N/A,#N/A,TRUE,"Report_PF";#N/A,#N/A,TRUE,"Report_ORG";#N/A,#N/A,TRUE,"Report_DEP"}</definedName>
    <definedName name="wrn.Mts_reporting." hidden="1">{#N/A,#N/A,TRUE,"Report_PF";#N/A,#N/A,TRUE,"Report_ORG";#N/A,#N/A,TRUE,"Report_DEP"}</definedName>
    <definedName name="wrn.naall." localSheetId="1" hidden="1">{"namonth",#N/A,FALSE,"na";"naroll",#N/A,FALSE,"na";"naprofsales",#N/A,FALSE,"na";"naprofprft",#N/A,FALSE,"na"}</definedName>
    <definedName name="wrn.naall." localSheetId="4" hidden="1">{"namonth",#N/A,FALSE,"na";"naroll",#N/A,FALSE,"na";"naprofsales",#N/A,FALSE,"na";"naprofprft",#N/A,FALSE,"na"}</definedName>
    <definedName name="wrn.naall." hidden="1">{"namonth",#N/A,FALSE,"na";"naroll",#N/A,FALSE,"na";"naprofsales",#N/A,FALSE,"na";"naprofprft",#N/A,FALSE,"na"}</definedName>
    <definedName name="wrn.namonth." localSheetId="1" hidden="1">{"namonth",#N/A,FALSE,"na"}</definedName>
    <definedName name="wrn.namonth." localSheetId="4" hidden="1">{"namonth",#N/A,FALSE,"na"}</definedName>
    <definedName name="wrn.namonth." hidden="1">{"namonth",#N/A,FALSE,"na"}</definedName>
    <definedName name="wrn.naprof." localSheetId="1" hidden="1">{"naprofsales",#N/A,FALSE,"na"}</definedName>
    <definedName name="wrn.naprof." localSheetId="4" hidden="1">{"naprofsales",#N/A,FALSE,"na"}</definedName>
    <definedName name="wrn.naprof." hidden="1">{"naprofsales",#N/A,FALSE,"na"}</definedName>
    <definedName name="wrn.naroll." localSheetId="1" hidden="1">{"naroll",#N/A,FALSE,"na"}</definedName>
    <definedName name="wrn.naroll." localSheetId="4" hidden="1">{"naroll",#N/A,FALSE,"na"}</definedName>
    <definedName name="wrn.naroll." hidden="1">{"naroll",#N/A,FALSE,"na"}</definedName>
    <definedName name="wrn.Next._.Year._.Profit._.Plan._.Reports." localSheetId="1"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Next._.Year._.Profit._.Plan._.Reports." localSheetId="4"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Next._.Year._.Profit._.Plan._.Reports."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Other._.Income._.Statement._.CY._.AF." localSheetId="1" hidden="1">{"Other Income CY AF",#N/A,FALSE,"Other Income"}</definedName>
    <definedName name="wrn.Other._.Income._.Statement._.CY._.AF." localSheetId="4" hidden="1">{"Other Income CY AF",#N/A,FALSE,"Other Income"}</definedName>
    <definedName name="wrn.Other._.Income._.Statement._.CY._.AF." hidden="1">{"Other Income CY AF",#N/A,FALSE,"Other Income"}</definedName>
    <definedName name="wrn.Other._.Income._.Statement._.NY._.PP." localSheetId="1" hidden="1">{"Other Economics NY PP",#N/A,FALSE,"Other Income"}</definedName>
    <definedName name="wrn.Other._.Income._.Statement._.NY._.PP." localSheetId="4" hidden="1">{"Other Economics NY PP",#N/A,FALSE,"Other Income"}</definedName>
    <definedName name="wrn.Other._.Income._.Statement._.NY._.PP." hidden="1">{"Other Economics NY PP",#N/A,FALSE,"Other Income"}</definedName>
    <definedName name="wrn.Other._.Statement._.CY._.AF." localSheetId="1" hidden="1">{"Other Statement CY AF",#N/A,FALSE,"Other Income"}</definedName>
    <definedName name="wrn.Other._.Statement._.CY._.AF." localSheetId="4" hidden="1">{"Other Statement CY AF",#N/A,FALSE,"Other Income"}</definedName>
    <definedName name="wrn.Other._.Statement._.CY._.AF." hidden="1">{"Other Statement CY AF",#N/A,FALSE,"Other Income"}</definedName>
    <definedName name="wrn.Other._.Statement._.NY._.PP." localSheetId="1" hidden="1">{"Other Statement NY PP",#N/A,FALSE,"Other Income"}</definedName>
    <definedName name="wrn.Other._.Statement._.NY._.PP." localSheetId="4" hidden="1">{"Other Statement NY PP",#N/A,FALSE,"Other Income"}</definedName>
    <definedName name="wrn.Other._.Statement._.NY._.PP." hidden="1">{"Other Statement NY PP",#N/A,FALSE,"Other Income"}</definedName>
    <definedName name="wrn.pippo." localSheetId="1" hidden="1">{"X_STAB_01",#N/A,TRUE,"X_STAB";"X_STAB_02",#N/A,TRUE,"X_STAB"}</definedName>
    <definedName name="wrn.pippo." localSheetId="4" hidden="1">{"X_STAB_01",#N/A,TRUE,"X_STAB";"X_STAB_02",#N/A,TRUE,"X_STAB"}</definedName>
    <definedName name="wrn.pippo." hidden="1">{"X_STAB_01",#N/A,TRUE,"X_STAB";"X_STAB_02",#N/A,TRUE,"X_STAB"}</definedName>
    <definedName name="wrn.pp97schedules." localSheetId="1" hidden="1">{"plansummary",#N/A,FALSE,"PlanSummary";"sales",#N/A,FALSE,"Sales Rec";"productivity",#N/A,FALSE,"Productivity Rec";"capitalspending",#N/A,FALSE,"Capital Spending"}</definedName>
    <definedName name="wrn.pp97schedules." localSheetId="4"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resentation." localSheetId="1" hidden="1">{#N/A,#N/A,FALSE,"Flash 1 before curr";#N/A,#N/A,FALSE,"Bridge";#N/A,#N/A,FALSE,"Volmix";#N/A,#N/A,FALSE,"Sell Price";#N/A,#N/A,FALSE,"ManCost2";#N/A,#N/A,FALSE,"ManPerf";#N/A,#N/A,FALSE,"SGA &amp; E"}</definedName>
    <definedName name="wrn.presentation." localSheetId="4" hidden="1">{#N/A,#N/A,FALSE,"Flash 1 before curr";#N/A,#N/A,FALSE,"Bridge";#N/A,#N/A,FALSE,"Volmix";#N/A,#N/A,FALSE,"Sell Price";#N/A,#N/A,FALSE,"ManCost2";#N/A,#N/A,FALSE,"ManPerf";#N/A,#N/A,FALSE,"SGA &amp; E"}</definedName>
    <definedName name="wrn.presentation." hidden="1">{#N/A,#N/A,FALSE,"Flash 1 before curr";#N/A,#N/A,FALSE,"Bridge";#N/A,#N/A,FALSE,"Volmix";#N/A,#N/A,FALSE,"Sell Price";#N/A,#N/A,FALSE,"ManCost2";#N/A,#N/A,FALSE,"ManPerf";#N/A,#N/A,FALSE,"SGA &amp; E"}</definedName>
    <definedName name="wrn.PrintAll." localSheetId="2" hidden="1">{#N/A,#N/A,TRUE,"Summary";#N/A,#N/A,TRUE,"IS";#N/A,#N/A,TRUE,"Adj";#N/A,#N/A,TRUE,"BS";#N/A,#N/A,TRUE,"CF";#N/A,#N/A,TRUE,"Debt";#N/A,#N/A,TRUE,"IRR"}</definedName>
    <definedName name="wrn.PrintAll." localSheetId="1" hidden="1">{#N/A,#N/A,TRUE,"Summary";#N/A,#N/A,TRUE,"IS";#N/A,#N/A,TRUE,"Adj";#N/A,#N/A,TRUE,"BS";#N/A,#N/A,TRUE,"CF";#N/A,#N/A,TRUE,"Debt";#N/A,#N/A,TRUE,"IRR"}</definedName>
    <definedName name="wrn.PrintAll." localSheetId="4" hidden="1">{#N/A,#N/A,TRUE,"Summary";#N/A,#N/A,TRUE,"IS";#N/A,#N/A,TRUE,"Adj";#N/A,#N/A,TRUE,"BS";#N/A,#N/A,TRUE,"CF";#N/A,#N/A,TRUE,"Debt";#N/A,#N/A,TRUE,"IRR"}</definedName>
    <definedName name="wrn.PrintAll." hidden="1">{#N/A,#N/A,TRUE,"Summary";#N/A,#N/A,TRUE,"IS";#N/A,#N/A,TRUE,"Adj";#N/A,#N/A,TRUE,"BS";#N/A,#N/A,TRUE,"CF";#N/A,#N/A,TRUE,"Debt";#N/A,#N/A,TRUE,"IRR"}</definedName>
    <definedName name="wrn.Prior._.Year._.Actual._.Reports." localSheetId="1"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Prior._.Year._.Actual._.Reports." localSheetId="4"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Prior._.Year._.Actual._.Reports."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qtrpvs." localSheetId="1" hidden="1">{#N/A,#N/A,FALSE,"CurQtr vsPriorQ"}</definedName>
    <definedName name="wrn.qtrpvs." localSheetId="4" hidden="1">{#N/A,#N/A,FALSE,"CurQtr vsPriorQ"}</definedName>
    <definedName name="wrn.qtrpvs." hidden="1">{#N/A,#N/A,FALSE,"CurQtr vsPriorQ"}</definedName>
    <definedName name="wrn.qtrpyr." localSheetId="1" hidden="1">{"qtrpyr",#N/A,FALSE,"CurQTR vsPriorY"}</definedName>
    <definedName name="wrn.qtrpyr." localSheetId="4" hidden="1">{"qtrpyr",#N/A,FALSE,"CurQTR vsPriorY"}</definedName>
    <definedName name="wrn.qtrpyr." hidden="1">{"qtrpyr",#N/A,FALSE,"CurQTR vsPriorY"}</definedName>
    <definedName name="wrn.RND._.Statement._.CY._.AF." localSheetId="1" hidden="1">{"RND Statement CY AF",#N/A,FALSE,"RND Stat."}</definedName>
    <definedName name="wrn.RND._.Statement._.CY._.AF." localSheetId="4" hidden="1">{"RND Statement CY AF",#N/A,FALSE,"RND Stat."}</definedName>
    <definedName name="wrn.RND._.Statement._.CY._.AF." hidden="1">{"RND Statement CY AF",#N/A,FALSE,"RND Stat."}</definedName>
    <definedName name="wrn.RND._.Statement._.NY._.PP." localSheetId="1" hidden="1">{"RND Statement NY PP",#N/A,FALSE,"RND Stat."}</definedName>
    <definedName name="wrn.RND._.Statement._.NY._.PP." localSheetId="4" hidden="1">{"RND Statement NY PP",#N/A,FALSE,"RND Stat."}</definedName>
    <definedName name="wrn.RND._.Statement._.NY._.PP." hidden="1">{"RND Statement NY PP",#N/A,FALSE,"RND Stat."}</definedName>
    <definedName name="wrn.roll." localSheetId="1" hidden="1">{"bobsum",#N/A,FALSE,"BobSummary";"Month",#N/A,FALSE,"Mnthly Roll";"fullprior",#N/A,FALSE,"Full Yr v Prior";"FULLPLN",#N/A,FALSE,"Full Yr vs Plan"}</definedName>
    <definedName name="wrn.roll." localSheetId="4" hidden="1">{"bobsum",#N/A,FALSE,"BobSummary";"Month",#N/A,FALSE,"Mnthly Roll";"fullprior",#N/A,FALSE,"Full Yr v Prior";"FULLPLN",#N/A,FALSE,"Full Yr vs Plan"}</definedName>
    <definedName name="wrn.roll." hidden="1">{"bobsum",#N/A,FALSE,"BobSummary";"Month",#N/A,FALSE,"Mnthly Roll";"fullprior",#N/A,FALSE,"Full Yr v Prior";"FULLPLN",#N/A,FALSE,"Full Yr vs Plan"}</definedName>
    <definedName name="wrn.ROLLINGCOVER." localSheetId="1" hidden="1">{#N/A,#N/A,FALSE,"RollCover"}</definedName>
    <definedName name="wrn.ROLLINGCOVER." localSheetId="4" hidden="1">{#N/A,#N/A,FALSE,"RollCover"}</definedName>
    <definedName name="wrn.ROLLINGCOVER." hidden="1">{#N/A,#N/A,FALSE,"RollCover"}</definedName>
    <definedName name="wrn.Sales._.and._.Costs._.CY._.AF." localSheetId="1" hidden="1">{"Sales and Costs CY AF",#N/A,FALSE,"Sales And Costs"}</definedName>
    <definedName name="wrn.Sales._.and._.Costs._.CY._.AF." localSheetId="4" hidden="1">{"Sales and Costs CY AF",#N/A,FALSE,"Sales And Costs"}</definedName>
    <definedName name="wrn.Sales._.and._.Costs._.CY._.AF." hidden="1">{"Sales and Costs CY AF",#N/A,FALSE,"Sales And Costs"}</definedName>
    <definedName name="wrn.Sales._.and._.Costs._.NY._.PP." localSheetId="1" hidden="1">{"Sales and Costs NY PP",#N/A,FALSE,"Sales And Costs"}</definedName>
    <definedName name="wrn.Sales._.and._.Costs._.NY._.PP." localSheetId="4" hidden="1">{"Sales and Costs NY PP",#N/A,FALSE,"Sales And Costs"}</definedName>
    <definedName name="wrn.Sales._.and._.Costs._.NY._.PP." hidden="1">{"Sales and Costs NY PP",#N/A,FALSE,"Sales And Costs"}</definedName>
    <definedName name="wrn.Sales._.and._.Costs._.Variance._.Report." localSheetId="1" hidden="1">{"Sales and Costs Variance Report",#N/A,FALSE,"Sales And Costs"}</definedName>
    <definedName name="wrn.Sales._.and._.Costs._.Variance._.Report." localSheetId="4" hidden="1">{"Sales and Costs Variance Report",#N/A,FALSE,"Sales And Costs"}</definedName>
    <definedName name="wrn.Sales._.and._.Costs._.Variance._.Report." hidden="1">{"Sales and Costs Variance Report",#N/A,FALSE,"Sales And Costs"}</definedName>
    <definedName name="wrn.scall." localSheetId="1" hidden="1">{"scmonth",#N/A,FALSE,"Super";"scroll",#N/A,FALSE,"Super";"scprof",#N/A,FALSE,"Super"}</definedName>
    <definedName name="wrn.scall." localSheetId="4" hidden="1">{"scmonth",#N/A,FALSE,"Super";"scroll",#N/A,FALSE,"Super";"scprof",#N/A,FALSE,"Super"}</definedName>
    <definedName name="wrn.scall." hidden="1">{"scmonth",#N/A,FALSE,"Super";"scroll",#N/A,FALSE,"Super";"scprof",#N/A,FALSE,"Super"}</definedName>
    <definedName name="wrn.scmonth." localSheetId="1" hidden="1">{"scmonth",#N/A,FALSE,"Super"}</definedName>
    <definedName name="wrn.scmonth." localSheetId="4" hidden="1">{"scmonth",#N/A,FALSE,"Super"}</definedName>
    <definedName name="wrn.scmonth." hidden="1">{"scmonth",#N/A,FALSE,"Super"}</definedName>
    <definedName name="wrn.scprof." localSheetId="1" hidden="1">{"scprof",#N/A,FALSE,"Super"}</definedName>
    <definedName name="wrn.scprof." localSheetId="4" hidden="1">{"scprof",#N/A,FALSE,"Super"}</definedName>
    <definedName name="wrn.scprof." hidden="1">{"scprof",#N/A,FALSE,"Super"}</definedName>
    <definedName name="wrn.scrol." localSheetId="1" hidden="1">{"scroll",#N/A,FALSE,"Super"}</definedName>
    <definedName name="wrn.scrol." localSheetId="4" hidden="1">{"scroll",#N/A,FALSE,"Super"}</definedName>
    <definedName name="wrn.scrol." hidden="1">{"scroll",#N/A,FALSE,"Super"}</definedName>
    <definedName name="wrn.Selling._.Stat._.Variance._.Report." localSheetId="1" hidden="1">{"Selling Stat Variance Report",#N/A,FALSE,"Selling Stat."}</definedName>
    <definedName name="wrn.Selling._.Stat._.Variance._.Report." localSheetId="4" hidden="1">{"Selling Stat Variance Report",#N/A,FALSE,"Selling Stat."}</definedName>
    <definedName name="wrn.Selling._.Stat._.Variance._.Report." hidden="1">{"Selling Stat Variance Report",#N/A,FALSE,"Selling Stat."}</definedName>
    <definedName name="wrn.Selling._.Statement._.CY._.AF." localSheetId="1" hidden="1">{"Selling Statement CY AF",#N/A,FALSE,"Selling Stat."}</definedName>
    <definedName name="wrn.Selling._.Statement._.CY._.AF." localSheetId="4" hidden="1">{"Selling Statement CY AF",#N/A,FALSE,"Selling Stat."}</definedName>
    <definedName name="wrn.Selling._.Statement._.CY._.AF." hidden="1">{"Selling Statement CY AF",#N/A,FALSE,"Selling Stat."}</definedName>
    <definedName name="wrn.Selling._.Statement._.NY._.PP." localSheetId="1" hidden="1">{"Selling Statement NY PP",#N/A,FALSE,"Selling Stat."}</definedName>
    <definedName name="wrn.Selling._.Statement._.NY._.PP." localSheetId="4" hidden="1">{"Selling Statement NY PP",#N/A,FALSE,"Selling Stat."}</definedName>
    <definedName name="wrn.Selling._.Statement._.NY._.PP." hidden="1">{"Selling Statement NY PP",#N/A,FALSE,"Selling Stat."}</definedName>
    <definedName name="wrn.Shipping._.Statement._.CY._.AF." localSheetId="1" hidden="1">{"Shipping Statement CY AF",#N/A,FALSE,"Shipping Stat."}</definedName>
    <definedName name="wrn.Shipping._.Statement._.CY._.AF." localSheetId="4" hidden="1">{"Shipping Statement CY AF",#N/A,FALSE,"Shipping Stat."}</definedName>
    <definedName name="wrn.Shipping._.Statement._.CY._.AF." hidden="1">{"Shipping Statement CY AF",#N/A,FALSE,"Shipping Stat."}</definedName>
    <definedName name="wrn.Shipping._.Statement._.NY._.PP." localSheetId="1" hidden="1">{"Shipping Statement NY PP",#N/A,FALSE,"Shipping Stat."}</definedName>
    <definedName name="wrn.Shipping._.Statement._.NY._.PP." localSheetId="4" hidden="1">{"Shipping Statement NY PP",#N/A,FALSE,"Shipping Stat."}</definedName>
    <definedName name="wrn.Shipping._.Statement._.NY._.PP." hidden="1">{"Shipping Statement NY PP",#N/A,FALSE,"Shipping Stat."}</definedName>
    <definedName name="wrn.su." localSheetId="1"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at." localSheetId="1"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uan." localSheetId="1" hidden="1">{#N/A,#N/A,FALSE,"LEDGERSUMARY"}</definedName>
    <definedName name="wrn.tuan." localSheetId="4" hidden="1">{#N/A,#N/A,FALSE,"LEDGERSUMARY"}</definedName>
    <definedName name="wrn.tuan." hidden="1">{#N/A,#N/A,FALSE,"LEDGERSUMARY"}</definedName>
    <definedName name="wrn.Variance._.Reports." localSheetId="1"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ariance._.Reports." localSheetId="4"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ariance._.Reports."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d." localSheetId="1" hidden="1">{#N/A,#N/A,TRUE,"BT M200 da 10x20"}</definedName>
    <definedName name="wrn.vd." localSheetId="4" hidden="1">{#N/A,#N/A,TRUE,"BT M200 da 10x20"}</definedName>
    <definedName name="wrn.vd." hidden="1">{#N/A,#N/A,TRUE,"BT M200 da 10x20"}</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선사." localSheetId="1" hidden="1">{#N/A,#N/A,FALSE,"품의서";#N/A,#N/A,FALSE,"전제";#N/A,#N/A,FALSE,"총손";#N/A,#N/A,FALSE,"손익"}</definedName>
    <definedName name="wrn.선사." localSheetId="4" hidden="1">{#N/A,#N/A,FALSE,"품의서";#N/A,#N/A,FALSE,"전제";#N/A,#N/A,FALSE,"총손";#N/A,#N/A,FALSE,"손익"}</definedName>
    <definedName name="wrn.선사." hidden="1">{#N/A,#N/A,FALSE,"품의서";#N/A,#N/A,FALSE,"전제";#N/A,#N/A,FALSE,"총손";#N/A,#N/A,FALSE,"손익"}</definedName>
    <definedName name="wrn.신규dep._.full._.set." localSheetId="1"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직좌." localSheetId="1"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hidden="1">{#N/A,#N/A,FALSE,"표지";#N/A,#N/A,FALSE,"전제";#N/A,#N/A,FALSE,"대당";#N/A,#N/A,FALSE,"가공비";#N/A,#N/A,FALSE,"재료비";#N/A,#N/A,FALSE,"손익"}</definedName>
    <definedName name="ws" localSheetId="1" hidden="1">{"qtrvspyr",#N/A,FALSE,"qtrvspryrqtr"}</definedName>
    <definedName name="ws" localSheetId="4" hidden="1">{"qtrvspyr",#N/A,FALSE,"qtrvspryrqtr"}</definedName>
    <definedName name="ws" hidden="1">{"qtrvspyr",#N/A,FALSE,"qtrvspryrqtr"}</definedName>
    <definedName name="WTB_PL_audited" localSheetId="1" hidden="1">{"'Sheet1'!$L$16"}</definedName>
    <definedName name="WTB_PL_audited" localSheetId="4" hidden="1">{"'Sheet1'!$L$16"}</definedName>
    <definedName name="WTB_PL_audited" hidden="1">{"'Sheet1'!$L$16"}</definedName>
    <definedName name="wvu.Admin._.Economics._.CY._.AF." localSheetId="1"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CY._.AF." localSheetId="4"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CY._.AF."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NY._.PP." localSheetId="1"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Economics._.NY._.PP." localSheetId="4"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Economics._.NY._.PP."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stat._.variance._.report." localSheetId="1"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_.variance._.report." localSheetId="4"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_.variance._.report."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ement._.CY._.AF." localSheetId="1"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AF." localSheetId="4"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AF."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PP." localSheetId="1"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CY._.PP." localSheetId="4"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CY._.PP."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NY._.PP." localSheetId="1"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NY._.PP." localSheetId="4"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NY._.PP."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PY._.Actual." localSheetId="1"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Admin._.Statement._.PY._.Actual." localSheetId="4"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Admin._.Statement._.PY._.Actual."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Balance._.Sheet._.CY._.AF." localSheetId="1"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AF." localSheetId="4"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AF."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PP." localSheetId="1"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CY._.PP." localSheetId="4"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CY._.PP."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NY._.PP." localSheetId="1"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NY._.PP." localSheetId="4"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NY._.PP."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PY._.Actual." localSheetId="1"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PY._.Actual." localSheetId="4"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PY._.Actual."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Variance._.Report." localSheetId="1"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Balance._.Sheet._.Variance._.Report." localSheetId="4"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Balance._.Sheet._.Variance._.Report."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Cost._.Economics._.CY._.AF." localSheetId="1"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CY._.AF." localSheetId="4"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CY._.AF."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NY._.PP." localSheetId="1"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Cost._.Economics._.NY._.PP." localSheetId="4"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Cost._.Economics._.NY._.PP."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Income._.Economics._.CY._.AF." localSheetId="1"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CY._.AF." localSheetId="4"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CY._.AF."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NY._.PP." localSheetId="1"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Economics._.NY._.PP." localSheetId="4"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Economics._.NY._.PP."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Stat._.Variance._.Report." localSheetId="1"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_.Variance._.Report." localSheetId="4"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_.Variance._.Report."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ement._.1995._.by._.Quarters." localSheetId="1"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5._.by._.Quarters." localSheetId="4"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5._.by._.Quarters."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6._.by._.Quarters." localSheetId="1"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by._.Quarters." localSheetId="4"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by._.Quarters."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Plan._.by._.Qtrs." localSheetId="1"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6._.Plan._.by._.Qtrs." localSheetId="4"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6._.Plan._.by._.Qtrs."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7._.Plan._.Quarters." localSheetId="1"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1997._.Plan._.Quarters." localSheetId="4"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1997._.Plan._.Quarters."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All._.Quarters." localSheetId="1"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All._.Quarters." localSheetId="4"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All._.Quarters."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by._.Years." localSheetId="1"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by._.Years." localSheetId="4"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by._.Years."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CY._.AF." localSheetId="1"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AF." localSheetId="4"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AF."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PP." localSheetId="1"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CY._.PP." localSheetId="4"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CY._.PP."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NY._.PP." localSheetId="1"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NY._.PP." localSheetId="4"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NY._.PP."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PY._.Actual." localSheetId="1"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Income._.Statement._.PY._.Actual." localSheetId="4"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Income._.Statement._.PY._.Actual."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Mfg._.Exp._.Economics._.CY._.AF." localSheetId="1"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CY._.AF." localSheetId="4"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CY._.AF."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NY._.PP." localSheetId="1"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Economics._.NY._.PP." localSheetId="4"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Economics._.NY._.PP."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Stat._.Variance._.Report." localSheetId="1"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_.Variance._.Report." localSheetId="4"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_.Variance._.Report."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ement._.CY._.AF." localSheetId="1"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AF." localSheetId="4"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AF."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PP." localSheetId="1"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CY._.PP." localSheetId="4"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CY._.PP."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NY._.PP." localSheetId="1"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NY._.PP." localSheetId="4"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NY._.PP."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PY._.Actual."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Mfg._.Exp._.Statement._.PY._.Actual."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Mfg._.Exp._.Statement._.PY._.Actual."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Other._.Economics._.CY._.AF." localSheetId="1"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CY._.AF." localSheetId="4"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CY._.AF."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NY._.PP." localSheetId="1"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Economics._.NY._.PP." localSheetId="4"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Economics._.NY._.PP."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Stat._.Variance._.Report." localSheetId="1"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_.Variance._.Report." localSheetId="4"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_.Variance._.Report."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ement._.CY._.AF." localSheetId="1"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AF." localSheetId="4"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AF."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PP." localSheetId="1"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CY._.PP." localSheetId="4"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CY._.PP."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NY._.PP." localSheetId="1"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NY._.PP." localSheetId="4"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NY._.PP."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PY._.Actual." localSheetId="1"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Other._.Statement._.PY._.Actual." localSheetId="4"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Other._.Statement._.PY._.Actual."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RND._.Economics._.CY._.AF." localSheetId="1"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CY._.AF." localSheetId="4"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CY._.AF."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NY._.PP." localSheetId="1"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Economics._.NY._.PP." localSheetId="4"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Economics._.NY._.PP."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Stat._.Variance._.Report." localSheetId="1"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_.Variance._.Report." localSheetId="4"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_.Variance._.Report."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ement._.CY._.AF." localSheetId="1"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AF." localSheetId="4"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AF."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PP." localSheetId="1"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CY._.PP." localSheetId="4"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CY._.PP."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NY._.PP." localSheetId="1"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NY._.PP." localSheetId="4"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NY._.PP."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PY._.Actual." localSheetId="1"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RND._.Statement._.PY._.Actual." localSheetId="4"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RND._.Statement._.PY._.Actual."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Sales._.and._.Costs._.CY._.AF." localSheetId="1"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AF." localSheetId="4"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AF."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PP." localSheetId="1"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CY._.PP." localSheetId="4"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CY._.PP."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NY._.PP." localSheetId="1"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NY._.PP." localSheetId="4"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NY._.PP."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PY._.Actual." localSheetId="1"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PY._.Actual." localSheetId="4"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PY._.Actual."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Variance._.Report." localSheetId="1"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ales._.and._.Costs._.Variance._.Report." localSheetId="4"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ales._.and._.Costs._.Variance._.Report."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elling._.Economics._.CY._.AF."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CY._.AF."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CY._.AF."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NY._.PP." localSheetId="1"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Economics._.NY._.PP." localSheetId="4"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Economics._.NY._.PP."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Stat._.Variance._.Report." localSheetId="1"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_.Variance._.Report." localSheetId="4"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_.Variance._.Report."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ement._.CY._.AF." localSheetId="1"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AF." localSheetId="4"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AF."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PP." localSheetId="1"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CY._.PP." localSheetId="4"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CY._.PP."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NY._.PP." localSheetId="1"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NY._.PP." localSheetId="4"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NY._.PP."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PY._.Actual." localSheetId="1"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elling._.Statement._.PY._.Actual." localSheetId="4"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elling._.Statement._.PY._.Actual."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hipping._.Economics._.NY._.PP." localSheetId="1"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conomics._.NY._.PP." localSheetId="4"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conomics._.NY._.PP."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xp._.Statement._.CY._.AF." localSheetId="1"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CY._.AF." localSheetId="4"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CY._.AF."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Economics." localSheetId="1"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Economics." localSheetId="4"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Economics."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NY._.PP." localSheetId="1"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vu.Shipping._.Exp._.Statement._.NY._.PP." localSheetId="4"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vu.Shipping._.Exp._.Statement._.NY._.PP."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w" localSheetId="1" hidden="1">{"'Sheet1'!$L$16"}</definedName>
    <definedName name="ww" localSheetId="4" hidden="1">{"'Sheet1'!$L$16"}</definedName>
    <definedName name="ww" hidden="1">{"'Sheet1'!$L$16"}</definedName>
    <definedName name="www">#N/A</definedName>
    <definedName name="wwww">#N/A</definedName>
    <definedName name="WWWWWPPPPPPP">#N/A</definedName>
    <definedName name="xc" localSheetId="1" hidden="1">{#N/A,#N/A,FALSE,"Aging Summary";#N/A,#N/A,FALSE,"Ratio Analysis";#N/A,#N/A,FALSE,"Test 120 Day Accts";#N/A,#N/A,FALSE,"Tickmarks"}</definedName>
    <definedName name="xc" localSheetId="4" hidden="1">{#N/A,#N/A,FALSE,"Aging Summary";#N/A,#N/A,FALSE,"Ratio Analysis";#N/A,#N/A,FALSE,"Test 120 Day Accts";#N/A,#N/A,FALSE,"Tickmarks"}</definedName>
    <definedName name="xc" hidden="1">{#N/A,#N/A,FALSE,"Aging Summary";#N/A,#N/A,FALSE,"Ratio Analysis";#N/A,#N/A,FALSE,"Test 120 Day Accts";#N/A,#N/A,FALSE,"Tickmarks"}</definedName>
    <definedName name="xl" localSheetId="1" hidden="1">{"'Sheet1'!$L$16"}</definedName>
    <definedName name="xl" localSheetId="4" hidden="1">{"'Sheet1'!$L$16"}</definedName>
    <definedName name="xl" hidden="1">{"'Sheet1'!$L$16"}</definedName>
    <definedName name="xll" localSheetId="1" hidden="1">{"'Sheet1'!$L$16"}</definedName>
    <definedName name="xll" localSheetId="4" hidden="1">{"'Sheet1'!$L$16"}</definedName>
    <definedName name="xll" hidden="1">{"'Sheet1'!$L$16"}</definedName>
    <definedName name="xls" localSheetId="1" hidden="1">{"'Sheet1'!$L$16"}</definedName>
    <definedName name="xls" localSheetId="4" hidden="1">{"'Sheet1'!$L$16"}</definedName>
    <definedName name="xls" hidden="1">{"'Sheet1'!$L$16"}</definedName>
    <definedName name="XREF_COLUMN_1" localSheetId="2" hidden="1">#REF!</definedName>
    <definedName name="XREF_COLUMN_1" localSheetId="1" hidden="1">#REF!</definedName>
    <definedName name="XREF_COLUMN_1" hidden="1">#REF!</definedName>
    <definedName name="XREF_COLUMN_10" localSheetId="1" hidden="1">#REF!</definedName>
    <definedName name="XREF_COLUMN_10" localSheetId="4" hidden="1">#REF!</definedName>
    <definedName name="XREF_COLUMN_10" hidden="1">#REF!</definedName>
    <definedName name="XREF_COLUMN_2" localSheetId="2" hidden="1">#REF!</definedName>
    <definedName name="XREF_COLUMN_2" localSheetId="1" hidden="1">#REF!</definedName>
    <definedName name="XREF_COLUMN_2" hidden="1">#REF!</definedName>
    <definedName name="XREF_COLUMN_3" localSheetId="1" hidden="1">#REF!</definedName>
    <definedName name="XREF_COLUMN_3" localSheetId="4" hidden="1">#REF!</definedName>
    <definedName name="XREF_COLUMN_3" hidden="1">#REF!</definedName>
    <definedName name="XREF_COLUMN_4" localSheetId="1" hidden="1">#REF!</definedName>
    <definedName name="XREF_COLUMN_4" localSheetId="4" hidden="1">#REF!</definedName>
    <definedName name="XREF_COLUMN_4" hidden="1">#REF!</definedName>
    <definedName name="XREF_COLUMN_5" localSheetId="1" hidden="1">#REF!</definedName>
    <definedName name="XREF_COLUMN_5" localSheetId="4" hidden="1">#REF!</definedName>
    <definedName name="XREF_COLUMN_5" hidden="1">#REF!</definedName>
    <definedName name="XREF_COLUMN_6" localSheetId="1" hidden="1">#REF!</definedName>
    <definedName name="XREF_COLUMN_6" localSheetId="4" hidden="1">#REF!</definedName>
    <definedName name="XREF_COLUMN_6" hidden="1">#REF!</definedName>
    <definedName name="XREF_COLUMN_7" localSheetId="1" hidden="1">#REF!</definedName>
    <definedName name="XREF_COLUMN_7" localSheetId="4" hidden="1">#REF!</definedName>
    <definedName name="XREF_COLUMN_7" hidden="1">#REF!</definedName>
    <definedName name="XREF_COLUMN_8" localSheetId="1" hidden="1">#REF!</definedName>
    <definedName name="XREF_COLUMN_8" localSheetId="4" hidden="1">#REF!</definedName>
    <definedName name="XREF_COLUMN_8" hidden="1">#REF!</definedName>
    <definedName name="XREF_COLUMN_9" localSheetId="1" hidden="1">#REF!</definedName>
    <definedName name="XREF_COLUMN_9" localSheetId="4" hidden="1">#REF!</definedName>
    <definedName name="XREF_COLUMN_9" hidden="1">#REF!</definedName>
    <definedName name="XRefActiveRow" hidden="1">#REF!</definedName>
    <definedName name="XRefColumnsCount">2</definedName>
    <definedName name="XRefCopy1" localSheetId="2" hidden="1">#REF!</definedName>
    <definedName name="XRefCopy1" localSheetId="1" hidden="1">#REF!</definedName>
    <definedName name="XRefCopy1" hidden="1">#REF!</definedName>
    <definedName name="XRefCopy10" localSheetId="1" hidden="1">#REF!</definedName>
    <definedName name="XRefCopy10" localSheetId="4" hidden="1">#REF!</definedName>
    <definedName name="XRefCopy10" hidden="1">#REF!</definedName>
    <definedName name="XRefCopy10Row" localSheetId="1" hidden="1">#REF!</definedName>
    <definedName name="XRefCopy10Row" localSheetId="4" hidden="1">#REF!</definedName>
    <definedName name="XRefCopy10Row" hidden="1">#REF!</definedName>
    <definedName name="XRefCopy11" localSheetId="1" hidden="1">#REF!</definedName>
    <definedName name="XRefCopy11" localSheetId="4" hidden="1">#REF!</definedName>
    <definedName name="XRefCopy11" hidden="1">#REF!</definedName>
    <definedName name="XRefCopy11Row" localSheetId="1" hidden="1">#REF!</definedName>
    <definedName name="XRefCopy11Row" localSheetId="4" hidden="1">#REF!</definedName>
    <definedName name="XRefCopy11Row" hidden="1">#REF!</definedName>
    <definedName name="XRefCopy12" localSheetId="1" hidden="1">#REF!</definedName>
    <definedName name="XRefCopy12" localSheetId="4" hidden="1">#REF!</definedName>
    <definedName name="XRefCopy12" hidden="1">#REF!</definedName>
    <definedName name="XRefCopy12Row" localSheetId="1" hidden="1">#REF!</definedName>
    <definedName name="XRefCopy12Row" localSheetId="4" hidden="1">#REF!</definedName>
    <definedName name="XRefCopy12Row" hidden="1">#REF!</definedName>
    <definedName name="XRefCopy13" localSheetId="1" hidden="1">#REF!</definedName>
    <definedName name="XRefCopy13" localSheetId="4" hidden="1">#REF!</definedName>
    <definedName name="XRefCopy13" hidden="1">#REF!</definedName>
    <definedName name="XRefCopy13Row" localSheetId="1" hidden="1">#REF!</definedName>
    <definedName name="XRefCopy13Row" localSheetId="4" hidden="1">#REF!</definedName>
    <definedName name="XRefCopy13Row" hidden="1">#REF!</definedName>
    <definedName name="XRefCopy14" localSheetId="1" hidden="1">#REF!</definedName>
    <definedName name="XRefCopy14" localSheetId="4" hidden="1">#REF!</definedName>
    <definedName name="XRefCopy14" hidden="1">#REF!</definedName>
    <definedName name="XRefCopy14Row" localSheetId="1" hidden="1">#REF!</definedName>
    <definedName name="XRefCopy14Row" localSheetId="4" hidden="1">#REF!</definedName>
    <definedName name="XRefCopy14Row" hidden="1">#REF!</definedName>
    <definedName name="XRefCopy15" localSheetId="1" hidden="1">#REF!</definedName>
    <definedName name="XRefCopy15" localSheetId="4" hidden="1">#REF!</definedName>
    <definedName name="XRefCopy15" hidden="1">#REF!</definedName>
    <definedName name="XRefCopy15Row" localSheetId="1" hidden="1">#REF!</definedName>
    <definedName name="XRefCopy15Row" localSheetId="4" hidden="1">#REF!</definedName>
    <definedName name="XRefCopy15Row" hidden="1">#REF!</definedName>
    <definedName name="XRefCopy16" localSheetId="1" hidden="1">#REF!</definedName>
    <definedName name="XRefCopy16" localSheetId="4" hidden="1">#REF!</definedName>
    <definedName name="XRefCopy16" hidden="1">#REF!</definedName>
    <definedName name="XRefCopy16Row" localSheetId="1" hidden="1">#REF!</definedName>
    <definedName name="XRefCopy16Row" localSheetId="4" hidden="1">#REF!</definedName>
    <definedName name="XRefCopy16Row" hidden="1">#REF!</definedName>
    <definedName name="XRefCopy1Row" hidden="1">#REF!</definedName>
    <definedName name="XRefCopy2" localSheetId="2" hidden="1">#REF!</definedName>
    <definedName name="XRefCopy2" localSheetId="1" hidden="1">#REF!</definedName>
    <definedName name="XRefCopy2" hidden="1">#REF!</definedName>
    <definedName name="XRefCopy2Row" hidden="1">#REF!</definedName>
    <definedName name="XRefCopy3" localSheetId="2" hidden="1">#REF!</definedName>
    <definedName name="XRefCopy3" localSheetId="1" hidden="1">#REF!</definedName>
    <definedName name="XRefCopy3" hidden="1">#REF!</definedName>
    <definedName name="XRefCopy3Row" hidden="1">#REF!</definedName>
    <definedName name="XRefCopy4" localSheetId="1" hidden="1">#REF!</definedName>
    <definedName name="XRefCopy4" localSheetId="4" hidden="1">#REF!</definedName>
    <definedName name="XRefCopy4" hidden="1">#REF!</definedName>
    <definedName name="XRefCopy4Row" localSheetId="1" hidden="1">#REF!</definedName>
    <definedName name="XRefCopy4Row" localSheetId="4" hidden="1">#REF!</definedName>
    <definedName name="XRefCopy4Row" hidden="1">#REF!</definedName>
    <definedName name="XRefCopy5" localSheetId="1" hidden="1">#REF!</definedName>
    <definedName name="XRefCopy5" localSheetId="4" hidden="1">#REF!</definedName>
    <definedName name="XRefCopy5" hidden="1">#REF!</definedName>
    <definedName name="XRefCopy5Row" localSheetId="1" hidden="1">#REF!</definedName>
    <definedName name="XRefCopy5Row" localSheetId="4" hidden="1">#REF!</definedName>
    <definedName name="XRefCopy5Row" hidden="1">#REF!</definedName>
    <definedName name="XRefCopy6Row" localSheetId="1" hidden="1">#REF!</definedName>
    <definedName name="XRefCopy6Row" localSheetId="4" hidden="1">#REF!</definedName>
    <definedName name="XRefCopy6Row" hidden="1">#REF!</definedName>
    <definedName name="XRefCopy7" localSheetId="1" hidden="1">#REF!</definedName>
    <definedName name="XRefCopy7" localSheetId="4" hidden="1">#REF!</definedName>
    <definedName name="XRefCopy7" hidden="1">#REF!</definedName>
    <definedName name="XRefCopy7Row" localSheetId="1" hidden="1">#REF!</definedName>
    <definedName name="XRefCopy7Row" localSheetId="4" hidden="1">#REF!</definedName>
    <definedName name="XRefCopy7Row" hidden="1">#REF!</definedName>
    <definedName name="XRefCopy8" localSheetId="1" hidden="1">#REF!</definedName>
    <definedName name="XRefCopy8" localSheetId="4" hidden="1">#REF!</definedName>
    <definedName name="XRefCopy8" hidden="1">#REF!</definedName>
    <definedName name="XRefCopy8Row" localSheetId="1" hidden="1">#REF!</definedName>
    <definedName name="XRefCopy8Row" localSheetId="4" hidden="1">#REF!</definedName>
    <definedName name="XRefCopy8Row" hidden="1">#REF!</definedName>
    <definedName name="XRefCopy9" localSheetId="1" hidden="1">#REF!</definedName>
    <definedName name="XRefCopy9" localSheetId="4" hidden="1">#REF!</definedName>
    <definedName name="XRefCopy9" hidden="1">#REF!</definedName>
    <definedName name="XRefCopy9Row" localSheetId="1" hidden="1">#REF!</definedName>
    <definedName name="XRefCopy9Row" localSheetId="4" hidden="1">#REF!</definedName>
    <definedName name="XRefCopy9Row" hidden="1">#REF!</definedName>
    <definedName name="XRefCopyRangeCount">9</definedName>
    <definedName name="XRefPaste1" localSheetId="1" hidden="1">#REF!</definedName>
    <definedName name="XRefPaste1" localSheetId="4" hidden="1">#REF!</definedName>
    <definedName name="XRefPaste1" hidden="1">#REF!</definedName>
    <definedName name="XRefPaste1Row" localSheetId="1" hidden="1">#REF!</definedName>
    <definedName name="XRefPaste1Row" localSheetId="4" hidden="1">#REF!</definedName>
    <definedName name="XRefPaste1Row" hidden="1">#REF!</definedName>
    <definedName name="XRefPaste2Row" localSheetId="1" hidden="1">#REF!</definedName>
    <definedName name="XRefPaste2Row" localSheetId="4" hidden="1">#REF!</definedName>
    <definedName name="XRefPaste2Row" hidden="1">#REF!</definedName>
    <definedName name="XRefPaste3" localSheetId="1" hidden="1">#REF!</definedName>
    <definedName name="XRefPaste3" localSheetId="4" hidden="1">#REF!</definedName>
    <definedName name="XRefPaste3" hidden="1">#REF!</definedName>
    <definedName name="XRefPaste3Row" localSheetId="1" hidden="1">#REF!</definedName>
    <definedName name="XRefPaste3Row" localSheetId="4" hidden="1">#REF!</definedName>
    <definedName name="XRefPaste3Row" hidden="1">#REF!</definedName>
    <definedName name="XRefPaste4Row" localSheetId="1" hidden="1">#REF!</definedName>
    <definedName name="XRefPaste4Row" localSheetId="4" hidden="1">#REF!</definedName>
    <definedName name="XRefPaste4Row" hidden="1">#REF!</definedName>
    <definedName name="XRefPaste5Row" localSheetId="1" hidden="1">#REF!</definedName>
    <definedName name="XRefPaste5Row" localSheetId="4" hidden="1">#REF!</definedName>
    <definedName name="XRefPaste5Row" hidden="1">#REF!</definedName>
    <definedName name="XRefPasteRangeCount">8</definedName>
    <definedName name="xx" localSheetId="1" hidden="1">{#N/A,#N/A,FALSE,"Aging Summary";#N/A,#N/A,FALSE,"Ratio Analysis";#N/A,#N/A,FALSE,"Test 120 Day Accts";#N/A,#N/A,FALSE,"Tickmarks"}</definedName>
    <definedName name="xx" localSheetId="4" hidden="1">{#N/A,#N/A,FALSE,"Aging Summary";#N/A,#N/A,FALSE,"Ratio Analysis";#N/A,#N/A,FALSE,"Test 120 Day Accts";#N/A,#N/A,FALSE,"Tickmarks"}</definedName>
    <definedName name="xx" hidden="1">{#N/A,#N/A,FALSE,"Aging Summary";#N/A,#N/A,FALSE,"Ratio Analysis";#N/A,#N/A,FALSE,"Test 120 Day Accts";#N/A,#N/A,FALSE,"Tickmarks"}</definedName>
    <definedName name="xxxxxxxxxxxxxxxx">#N/A</definedName>
    <definedName name="YFA" localSheetId="1" hidden="1">{#N/A,#N/A,FALSE,"단축1";#N/A,#N/A,FALSE,"단축2";#N/A,#N/A,FALSE,"단축3";#N/A,#N/A,FALSE,"장축";#N/A,#N/A,FALSE,"4WD"}</definedName>
    <definedName name="YFA" localSheetId="4" hidden="1">{#N/A,#N/A,FALSE,"단축1";#N/A,#N/A,FALSE,"단축2";#N/A,#N/A,FALSE,"단축3";#N/A,#N/A,FALSE,"장축";#N/A,#N/A,FALSE,"4WD"}</definedName>
    <definedName name="YFA" hidden="1">{#N/A,#N/A,FALSE,"단축1";#N/A,#N/A,FALSE,"단축2";#N/A,#N/A,FALSE,"단축3";#N/A,#N/A,FALSE,"장축";#N/A,#N/A,FALSE,"4WD"}</definedName>
    <definedName name="ytty">#N/A</definedName>
    <definedName name="yyy">#N/A</definedName>
    <definedName name="z" localSheetId="2" hidden="1">{#N/A,#N/A,FALSE,"Aging Summary";#N/A,#N/A,FALSE,"Ratio Analysis";#N/A,#N/A,FALSE,"Test 120 Day Accts";#N/A,#N/A,FALSE,"Tickmarks"}</definedName>
    <definedName name="z" localSheetId="1" hidden="1">{#N/A,#N/A,FALSE,"Aging Summary";#N/A,#N/A,FALSE,"Ratio Analysis";#N/A,#N/A,FALSE,"Test 120 Day Accts";#N/A,#N/A,FALSE,"Tickmarks"}</definedName>
    <definedName name="z" localSheetId="4" hidden="1">{#N/A,#N/A,FALSE,"Aging Summary";#N/A,#N/A,FALSE,"Ratio Analysis";#N/A,#N/A,FALSE,"Test 120 Day Accts";#N/A,#N/A,FALSE,"Tickmarks"}</definedName>
    <definedName name="z" hidden="1">{#N/A,#N/A,FALSE,"Aging Summary";#N/A,#N/A,FALSE,"Ratio Analysis";#N/A,#N/A,FALSE,"Test 120 Day Accts";#N/A,#N/A,FALSE,"Tickmarks"}</definedName>
    <definedName name="Z_32F3C560_7760_11D5_A3F6_006097B7E387_.wvu.FilterData" localSheetId="1" hidden="1">#REF!</definedName>
    <definedName name="Z_32F3C560_7760_11D5_A3F6_006097B7E387_.wvu.FilterData" localSheetId="4" hidden="1">#REF!</definedName>
    <definedName name="Z_32F3C560_7760_11D5_A3F6_006097B7E387_.wvu.FilterData" hidden="1">#REF!</definedName>
    <definedName name="Z_32F3C560_7760_11D5_A3F6_006097B7E387_.wvu.PrintTitles" localSheetId="1" hidden="1">#REF!,#REF!</definedName>
    <definedName name="Z_32F3C560_7760_11D5_A3F6_006097B7E387_.wvu.PrintTitles" localSheetId="4" hidden="1">#REF!,#REF!</definedName>
    <definedName name="Z_32F3C560_7760_11D5_A3F6_006097B7E387_.wvu.PrintTitles" hidden="1">#REF!,#REF!</definedName>
    <definedName name="Z_758B3E34_A93E_4A07_8863_0A12EE73AC73_.wvu.Cols" localSheetId="1" hidden="1">#REF!,#REF!,#REF!,#REF!,#REF!</definedName>
    <definedName name="Z_758B3E34_A93E_4A07_8863_0A12EE73AC73_.wvu.Cols" localSheetId="4" hidden="1">#REF!,#REF!,#REF!,#REF!,#REF!</definedName>
    <definedName name="Z_758B3E34_A93E_4A07_8863_0A12EE73AC73_.wvu.Cols" hidden="1">#REF!,#REF!,#REF!,#REF!,#REF!</definedName>
    <definedName name="Z_758B3E34_A93E_4A07_8863_0A12EE73AC73_.wvu.PrintArea" localSheetId="1" hidden="1">#REF!</definedName>
    <definedName name="Z_758B3E34_A93E_4A07_8863_0A12EE73AC73_.wvu.PrintArea" localSheetId="4" hidden="1">#REF!</definedName>
    <definedName name="Z_758B3E34_A93E_4A07_8863_0A12EE73AC73_.wvu.PrintArea" hidden="1">#REF!</definedName>
    <definedName name="Z_758B3E34_A93E_4A07_8863_0A12EE73AC73_.wvu.Rows" localSheetId="1" hidden="1">#REF!</definedName>
    <definedName name="Z_758B3E34_A93E_4A07_8863_0A12EE73AC73_.wvu.Rows" localSheetId="4" hidden="1">#REF!</definedName>
    <definedName name="Z_758B3E34_A93E_4A07_8863_0A12EE73AC73_.wvu.Rows" hidden="1">#REF!</definedName>
    <definedName name="Z_81A535E9_8D32_4F3A_8B16_E96CC869D688_.wvu.Cols" localSheetId="1" hidden="1">#REF!,#REF!,#REF!,#REF!,#REF!</definedName>
    <definedName name="Z_81A535E9_8D32_4F3A_8B16_E96CC869D688_.wvu.Cols" localSheetId="4" hidden="1">#REF!,#REF!,#REF!,#REF!,#REF!</definedName>
    <definedName name="Z_81A535E9_8D32_4F3A_8B16_E96CC869D688_.wvu.Cols" hidden="1">#REF!,#REF!,#REF!,#REF!,#REF!</definedName>
    <definedName name="Z_81A535E9_8D32_4F3A_8B16_E96CC869D688_.wvu.PrintArea" localSheetId="1" hidden="1">#REF!</definedName>
    <definedName name="Z_81A535E9_8D32_4F3A_8B16_E96CC869D688_.wvu.PrintArea" localSheetId="4" hidden="1">#REF!</definedName>
    <definedName name="Z_81A535E9_8D32_4F3A_8B16_E96CC869D688_.wvu.PrintArea" hidden="1">#REF!</definedName>
    <definedName name="Z_81A535E9_8D32_4F3A_8B16_E96CC869D688_.wvu.Rows" localSheetId="1" hidden="1">#REF!</definedName>
    <definedName name="Z_81A535E9_8D32_4F3A_8B16_E96CC869D688_.wvu.Rows" localSheetId="4" hidden="1">#REF!</definedName>
    <definedName name="Z_81A535E9_8D32_4F3A_8B16_E96CC869D688_.wvu.Rows" hidden="1">#REF!</definedName>
    <definedName name="zxcv">#N/A</definedName>
    <definedName name="zz" localSheetId="1" hidden="1">{"'Sheet1'!$L$16"}</definedName>
    <definedName name="zz" localSheetId="4" hidden="1">{"'Sheet1'!$L$16"}</definedName>
    <definedName name="zz" hidden="1">{"'Sheet1'!$L$16"}</definedName>
    <definedName name="zzz">#N/A</definedName>
    <definedName name="zzzz">#N/A</definedName>
    <definedName name="zzzzzz" localSheetId="1" hidden="1">#REF!</definedName>
    <definedName name="zzzzzz" localSheetId="4" hidden="1">#REF!</definedName>
    <definedName name="zzzzzz" hidden="1">#REF!</definedName>
    <definedName name="zzzzzzzzzzzzzzz">#N/A</definedName>
    <definedName name="ㄱ" localSheetId="2" hidden="1">{#N/A,#N/A,FALSE,"Aging Summary";#N/A,#N/A,FALSE,"Ratio Analysis";#N/A,#N/A,FALSE,"Test 120 Day Accts";#N/A,#N/A,FALSE,"Tickmarks"}</definedName>
    <definedName name="ㄱ" localSheetId="1" hidden="1">{#N/A,#N/A,FALSE,"Aging Summary";#N/A,#N/A,FALSE,"Ratio Analysis";#N/A,#N/A,FALSE,"Test 120 Day Accts";#N/A,#N/A,FALSE,"Tickmarks"}</definedName>
    <definedName name="ㄱ" localSheetId="4" hidden="1">{#N/A,#N/A,FALSE,"Aging Summary";#N/A,#N/A,FALSE,"Ratio Analysis";#N/A,#N/A,FALSE,"Test 120 Day Accts";#N/A,#N/A,FALSE,"Tickmarks"}</definedName>
    <definedName name="ㄱ" hidden="1">{#N/A,#N/A,FALSE,"Aging Summary";#N/A,#N/A,FALSE,"Ratio Analysis";#N/A,#N/A,FALSE,"Test 120 Day Accts";#N/A,#N/A,FALSE,"Tickmarks"}</definedName>
    <definedName name="ㄱㄱ" localSheetId="2" hidden="1">{#N/A,#N/A,FALSE,"UNIT";#N/A,#N/A,FALSE,"UNIT";#N/A,#N/A,FALSE,"계정"}</definedName>
    <definedName name="ㄱㄱ" localSheetId="1" hidden="1">{#N/A,#N/A,FALSE,"UNIT";#N/A,#N/A,FALSE,"UNIT";#N/A,#N/A,FALSE,"계정"}</definedName>
    <definedName name="ㄱㄱ" localSheetId="4" hidden="1">{#N/A,#N/A,FALSE,"UNIT";#N/A,#N/A,FALSE,"UNIT";#N/A,#N/A,FALSE,"계정"}</definedName>
    <definedName name="ㄱㄱ" hidden="1">{#N/A,#N/A,FALSE,"UNIT";#N/A,#N/A,FALSE,"UNIT";#N/A,#N/A,FALSE,"계정"}</definedName>
    <definedName name="ㄱㄱㄱ" localSheetId="2" hidden="1">{#N/A,#N/A,FALSE,"UNIT";#N/A,#N/A,FALSE,"UNIT";#N/A,#N/A,FALSE,"계정"}</definedName>
    <definedName name="ㄱㄱㄱ" localSheetId="1" hidden="1">{#N/A,#N/A,FALSE,"UNIT";#N/A,#N/A,FALSE,"UNIT";#N/A,#N/A,FALSE,"계정"}</definedName>
    <definedName name="ㄱㄱㄱ" localSheetId="4" hidden="1">{#N/A,#N/A,FALSE,"UNIT";#N/A,#N/A,FALSE,"UNIT";#N/A,#N/A,FALSE,"계정"}</definedName>
    <definedName name="ㄱㄱㄱ" hidden="1">{#N/A,#N/A,FALSE,"UNIT";#N/A,#N/A,FALSE,"UNIT";#N/A,#N/A,FALSE,"계정"}</definedName>
    <definedName name="ㄱㄱㄱㄱㄱ" localSheetId="2" hidden="1">{#N/A,#N/A,FALSE,"UNIT";#N/A,#N/A,FALSE,"UNIT";#N/A,#N/A,FALSE,"계정"}</definedName>
    <definedName name="ㄱㄱㄱㄱㄱ" localSheetId="1" hidden="1">{#N/A,#N/A,FALSE,"UNIT";#N/A,#N/A,FALSE,"UNIT";#N/A,#N/A,FALSE,"계정"}</definedName>
    <definedName name="ㄱㄱㄱㄱㄱ" localSheetId="4" hidden="1">{#N/A,#N/A,FALSE,"UNIT";#N/A,#N/A,FALSE,"UNIT";#N/A,#N/A,FALSE,"계정"}</definedName>
    <definedName name="ㄱㄱㄱㄱㄱ" hidden="1">{#N/A,#N/A,FALSE,"UNIT";#N/A,#N/A,FALSE,"UNIT";#N/A,#N/A,FALSE,"계정"}</definedName>
    <definedName name="ㄱㅇ" localSheetId="1"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개발" localSheetId="1" hidden="1">{#N/A,#N/A,FALSE,"단축1";#N/A,#N/A,FALSE,"단축2";#N/A,#N/A,FALSE,"단축3";#N/A,#N/A,FALSE,"장축";#N/A,#N/A,FALSE,"4WD"}</definedName>
    <definedName name="개발" localSheetId="4" hidden="1">{#N/A,#N/A,FALSE,"단축1";#N/A,#N/A,FALSE,"단축2";#N/A,#N/A,FALSE,"단축3";#N/A,#N/A,FALSE,"장축";#N/A,#N/A,FALSE,"4WD"}</definedName>
    <definedName name="개발" hidden="1">{#N/A,#N/A,FALSE,"단축1";#N/A,#N/A,FALSE,"단축2";#N/A,#N/A,FALSE,"단축3";#N/A,#N/A,FALSE,"장축";#N/A,#N/A,FALSE,"4WD"}</definedName>
    <definedName name="개요" localSheetId="1" hidden="1">{#N/A,#N/A,FALSE,"단축1";#N/A,#N/A,FALSE,"단축2";#N/A,#N/A,FALSE,"단축3";#N/A,#N/A,FALSE,"장축";#N/A,#N/A,FALSE,"4WD"}</definedName>
    <definedName name="개요" localSheetId="4" hidden="1">{#N/A,#N/A,FALSE,"단축1";#N/A,#N/A,FALSE,"단축2";#N/A,#N/A,FALSE,"단축3";#N/A,#N/A,FALSE,"장축";#N/A,#N/A,FALSE,"4WD"}</definedName>
    <definedName name="개요" hidden="1">{#N/A,#N/A,FALSE,"단축1";#N/A,#N/A,FALSE,"단축2";#N/A,#N/A,FALSE,"단축3";#N/A,#N/A,FALSE,"장축";#N/A,#N/A,FALSE,"4WD"}</definedName>
    <definedName name="계획" localSheetId="2" hidden="1">{#N/A,#N/A,FALSE,"UNIT";#N/A,#N/A,FALSE,"UNIT";#N/A,#N/A,FALSE,"계정"}</definedName>
    <definedName name="계획" localSheetId="1" hidden="1">{#N/A,#N/A,FALSE,"UNIT";#N/A,#N/A,FALSE,"UNIT";#N/A,#N/A,FALSE,"계정"}</definedName>
    <definedName name="계획" localSheetId="4" hidden="1">{#N/A,#N/A,FALSE,"UNIT";#N/A,#N/A,FALSE,"UNIT";#N/A,#N/A,FALSE,"계정"}</definedName>
    <definedName name="계획" hidden="1">{#N/A,#N/A,FALSE,"UNIT";#N/A,#N/A,FALSE,"UNIT";#N/A,#N/A,FALSE,"계정"}</definedName>
    <definedName name="공성환" localSheetId="1" hidden="1">{#N/A,#N/A,FALSE,"단축1";#N/A,#N/A,FALSE,"단축2";#N/A,#N/A,FALSE,"단축3";#N/A,#N/A,FALSE,"장축";#N/A,#N/A,FALSE,"4WD"}</definedName>
    <definedName name="공성환" localSheetId="4" hidden="1">{#N/A,#N/A,FALSE,"단축1";#N/A,#N/A,FALSE,"단축2";#N/A,#N/A,FALSE,"단축3";#N/A,#N/A,FALSE,"장축";#N/A,#N/A,FALSE,"4WD"}</definedName>
    <definedName name="공성환" hidden="1">{#N/A,#N/A,FALSE,"단축1";#N/A,#N/A,FALSE,"단축2";#N/A,#N/A,FALSE,"단축3";#N/A,#N/A,FALSE,"장축";#N/A,#N/A,FALSE,"4WD"}</definedName>
    <definedName name="근거1" localSheetId="1" hidden="1">{#N/A,#N/A,FALSE,"단축1";#N/A,#N/A,FALSE,"단축2";#N/A,#N/A,FALSE,"단축3";#N/A,#N/A,FALSE,"장축";#N/A,#N/A,FALSE,"4WD"}</definedName>
    <definedName name="근거1" localSheetId="4" hidden="1">{#N/A,#N/A,FALSE,"단축1";#N/A,#N/A,FALSE,"단축2";#N/A,#N/A,FALSE,"단축3";#N/A,#N/A,FALSE,"장축";#N/A,#N/A,FALSE,"4WD"}</definedName>
    <definedName name="근거1" hidden="1">{#N/A,#N/A,FALSE,"단축1";#N/A,#N/A,FALSE,"단축2";#N/A,#N/A,FALSE,"단축3";#N/A,#N/A,FALSE,"장축";#N/A,#N/A,FALSE,"4WD"}</definedName>
    <definedName name="근거2" localSheetId="1" hidden="1">{#N/A,#N/A,FALSE,"단축1";#N/A,#N/A,FALSE,"단축2";#N/A,#N/A,FALSE,"단축3";#N/A,#N/A,FALSE,"장축";#N/A,#N/A,FALSE,"4WD"}</definedName>
    <definedName name="근거2" localSheetId="4" hidden="1">{#N/A,#N/A,FALSE,"단축1";#N/A,#N/A,FALSE,"단축2";#N/A,#N/A,FALSE,"단축3";#N/A,#N/A,FALSE,"장축";#N/A,#N/A,FALSE,"4WD"}</definedName>
    <definedName name="근거2" hidden="1">{#N/A,#N/A,FALSE,"단축1";#N/A,#N/A,FALSE,"단축2";#N/A,#N/A,FALSE,"단축3";#N/A,#N/A,FALSE,"장축";#N/A,#N/A,FALSE,"4WD"}</definedName>
    <definedName name="금형" localSheetId="1" hidden="1">{#N/A,#N/A,FALSE,"단축1";#N/A,#N/A,FALSE,"단축2";#N/A,#N/A,FALSE,"단축3";#N/A,#N/A,FALSE,"장축";#N/A,#N/A,FALSE,"4WD"}</definedName>
    <definedName name="금형" localSheetId="4" hidden="1">{#N/A,#N/A,FALSE,"단축1";#N/A,#N/A,FALSE,"단축2";#N/A,#N/A,FALSE,"단축3";#N/A,#N/A,FALSE,"장축";#N/A,#N/A,FALSE,"4WD"}</definedName>
    <definedName name="금형" hidden="1">{#N/A,#N/A,FALSE,"단축1";#N/A,#N/A,FALSE,"단축2";#N/A,#N/A,FALSE,"단축3";#N/A,#N/A,FALSE,"장축";#N/A,#N/A,FALSE,"4WD"}</definedName>
    <definedName name="금형편성표" localSheetId="1" hidden="1">{#N/A,#N/A,FALSE,"단축1";#N/A,#N/A,FALSE,"단축2";#N/A,#N/A,FALSE,"단축3";#N/A,#N/A,FALSE,"장축";#N/A,#N/A,FALSE,"4WD"}</definedName>
    <definedName name="금형편성표" localSheetId="4" hidden="1">{#N/A,#N/A,FALSE,"단축1";#N/A,#N/A,FALSE,"단축2";#N/A,#N/A,FALSE,"단축3";#N/A,#N/A,FALSE,"장축";#N/A,#N/A,FALSE,"4WD"}</definedName>
    <definedName name="금형편성표" hidden="1">{#N/A,#N/A,FALSE,"단축1";#N/A,#N/A,FALSE,"단축2";#N/A,#N/A,FALSE,"단축3";#N/A,#N/A,FALSE,"장축";#N/A,#N/A,FALSE,"4WD"}</definedName>
    <definedName name="김" localSheetId="2" hidden="1">{#N/A,#N/A,FALSE,"Aging Summary";#N/A,#N/A,FALSE,"Ratio Analysis";#N/A,#N/A,FALSE,"Test 120 Day Accts";#N/A,#N/A,FALSE,"Tickmarks"}</definedName>
    <definedName name="김" localSheetId="1" hidden="1">{#N/A,#N/A,FALSE,"Aging Summary";#N/A,#N/A,FALSE,"Ratio Analysis";#N/A,#N/A,FALSE,"Test 120 Day Accts";#N/A,#N/A,FALSE,"Tickmarks"}</definedName>
    <definedName name="김" localSheetId="4" hidden="1">{#N/A,#N/A,FALSE,"Aging Summary";#N/A,#N/A,FALSE,"Ratio Analysis";#N/A,#N/A,FALSE,"Test 120 Day Accts";#N/A,#N/A,FALSE,"Tickmarks"}</definedName>
    <definedName name="김" hidden="1">{#N/A,#N/A,FALSE,"Aging Summary";#N/A,#N/A,FALSE,"Ratio Analysis";#N/A,#N/A,FALSE,"Test 120 Day Accts";#N/A,#N/A,FALSE,"Tickmarks"}</definedName>
    <definedName name="김석빈" localSheetId="1" hidden="1">{#N/A,#N/A,FALSE,"단축1";#N/A,#N/A,FALSE,"단축2";#N/A,#N/A,FALSE,"단축3";#N/A,#N/A,FALSE,"장축";#N/A,#N/A,FALSE,"4WD"}</definedName>
    <definedName name="김석빈" localSheetId="4" hidden="1">{#N/A,#N/A,FALSE,"단축1";#N/A,#N/A,FALSE,"단축2";#N/A,#N/A,FALSE,"단축3";#N/A,#N/A,FALSE,"장축";#N/A,#N/A,FALSE,"4WD"}</definedName>
    <definedName name="김석빈" hidden="1">{#N/A,#N/A,FALSE,"단축1";#N/A,#N/A,FALSE,"단축2";#N/A,#N/A,FALSE,"단축3";#N/A,#N/A,FALSE,"장축";#N/A,#N/A,FALSE,"4WD"}</definedName>
    <definedName name="김심선">#N/A</definedName>
    <definedName name="ㄴ" localSheetId="2" hidden="1">{#N/A,#N/A,FALSE,"Aging Summary";#N/A,#N/A,FALSE,"Ratio Analysis";#N/A,#N/A,FALSE,"Test 120 Day Accts";#N/A,#N/A,FALSE,"Tickmarks"}</definedName>
    <definedName name="ㄴ" localSheetId="1" hidden="1">{#N/A,#N/A,FALSE,"Aging Summary";#N/A,#N/A,FALSE,"Ratio Analysis";#N/A,#N/A,FALSE,"Test 120 Day Accts";#N/A,#N/A,FALSE,"Tickmarks"}</definedName>
    <definedName name="ㄴ" localSheetId="4" hidden="1">{#N/A,#N/A,FALSE,"Aging Summary";#N/A,#N/A,FALSE,"Ratio Analysis";#N/A,#N/A,FALSE,"Test 120 Day Accts";#N/A,#N/A,FALSE,"Tickmarks"}</definedName>
    <definedName name="ㄴ" hidden="1">{#N/A,#N/A,FALSE,"Aging Summary";#N/A,#N/A,FALSE,"Ratio Analysis";#N/A,#N/A,FALSE,"Test 120 Day Accts";#N/A,#N/A,FALSE,"Tickmarks"}</definedName>
    <definedName name="ㄴㄴ" localSheetId="2" hidden="1">{#N/A,#N/A,FALSE,"UNIT";#N/A,#N/A,FALSE,"UNIT";#N/A,#N/A,FALSE,"계정"}</definedName>
    <definedName name="ㄴㄴ" localSheetId="1" hidden="1">{#N/A,#N/A,FALSE,"UNIT";#N/A,#N/A,FALSE,"UNIT";#N/A,#N/A,FALSE,"계정"}</definedName>
    <definedName name="ㄴㄴ" localSheetId="4" hidden="1">{#N/A,#N/A,FALSE,"UNIT";#N/A,#N/A,FALSE,"UNIT";#N/A,#N/A,FALSE,"계정"}</definedName>
    <definedName name="ㄴㄴ" hidden="1">{#N/A,#N/A,FALSE,"UNIT";#N/A,#N/A,FALSE,"UNIT";#N/A,#N/A,FALSE,"계정"}</definedName>
    <definedName name="ㄴㄷ더" localSheetId="1" hidden="1">{#N/A,#N/A,FALSE,"단축1";#N/A,#N/A,FALSE,"단축2";#N/A,#N/A,FALSE,"단축3";#N/A,#N/A,FALSE,"장축";#N/A,#N/A,FALSE,"4WD"}</definedName>
    <definedName name="ㄴㄷ더" localSheetId="4" hidden="1">{#N/A,#N/A,FALSE,"단축1";#N/A,#N/A,FALSE,"단축2";#N/A,#N/A,FALSE,"단축3";#N/A,#N/A,FALSE,"장축";#N/A,#N/A,FALSE,"4WD"}</definedName>
    <definedName name="ㄴㄷ더" hidden="1">{#N/A,#N/A,FALSE,"단축1";#N/A,#N/A,FALSE,"단축2";#N/A,#N/A,FALSE,"단축3";#N/A,#N/A,FALSE,"장축";#N/A,#N/A,FALSE,"4WD"}</definedName>
    <definedName name="ㄴㅇㄴㅇㄴ" localSheetId="1" hidden="1">{#N/A,#N/A,FALSE,"단축1";#N/A,#N/A,FALSE,"단축2";#N/A,#N/A,FALSE,"단축3";#N/A,#N/A,FALSE,"장축";#N/A,#N/A,FALSE,"4WD"}</definedName>
    <definedName name="ㄴㅇㄴㅇㄴ" localSheetId="4" hidden="1">{#N/A,#N/A,FALSE,"단축1";#N/A,#N/A,FALSE,"단축2";#N/A,#N/A,FALSE,"단축3";#N/A,#N/A,FALSE,"장축";#N/A,#N/A,FALSE,"4WD"}</definedName>
    <definedName name="ㄴㅇㄴㅇㄴ" hidden="1">{#N/A,#N/A,FALSE,"단축1";#N/A,#N/A,FALSE,"단축2";#N/A,#N/A,FALSE,"단축3";#N/A,#N/A,FALSE,"장축";#N/A,#N/A,FALSE,"4WD"}</definedName>
    <definedName name="ㄴㅇㄴㅇㄴㅇ" localSheetId="1" hidden="1">{#N/A,#N/A,FALSE,"단축1";#N/A,#N/A,FALSE,"단축2";#N/A,#N/A,FALSE,"단축3";#N/A,#N/A,FALSE,"장축";#N/A,#N/A,FALSE,"4WD"}</definedName>
    <definedName name="ㄴㅇㄴㅇㄴㅇ" localSheetId="4" hidden="1">{#N/A,#N/A,FALSE,"단축1";#N/A,#N/A,FALSE,"단축2";#N/A,#N/A,FALSE,"단축3";#N/A,#N/A,FALSE,"장축";#N/A,#N/A,FALSE,"4WD"}</definedName>
    <definedName name="ㄴㅇㄴㅇㄴㅇ" hidden="1">{#N/A,#N/A,FALSE,"단축1";#N/A,#N/A,FALSE,"단축2";#N/A,#N/A,FALSE,"단축3";#N/A,#N/A,FALSE,"장축";#N/A,#N/A,FALSE,"4WD"}</definedName>
    <definedName name="ㄴㅋ" localSheetId="1" hidden="1">{#N/A,#N/A,FALSE,"단축1";#N/A,#N/A,FALSE,"단축2";#N/A,#N/A,FALSE,"단축3";#N/A,#N/A,FALSE,"장축";#N/A,#N/A,FALSE,"4WD"}</definedName>
    <definedName name="ㄴㅋ" localSheetId="4" hidden="1">{#N/A,#N/A,FALSE,"단축1";#N/A,#N/A,FALSE,"단축2";#N/A,#N/A,FALSE,"단축3";#N/A,#N/A,FALSE,"장축";#N/A,#N/A,FALSE,"4WD"}</definedName>
    <definedName name="ㄴㅋ" hidden="1">{#N/A,#N/A,FALSE,"단축1";#N/A,#N/A,FALSE,"단축2";#N/A,#N/A,FALSE,"단축3";#N/A,#N/A,FALSE,"장축";#N/A,#N/A,FALSE,"4WD"}</definedName>
    <definedName name="ㄷㄷㄷ" localSheetId="2" hidden="1">{#N/A,#N/A,FALSE,"UNIT";#N/A,#N/A,FALSE,"UNIT";#N/A,#N/A,FALSE,"계정"}</definedName>
    <definedName name="ㄷㄷㄷ" localSheetId="1" hidden="1">{#N/A,#N/A,FALSE,"UNIT";#N/A,#N/A,FALSE,"UNIT";#N/A,#N/A,FALSE,"계정"}</definedName>
    <definedName name="ㄷㄷㄷ" localSheetId="4" hidden="1">{#N/A,#N/A,FALSE,"UNIT";#N/A,#N/A,FALSE,"UNIT";#N/A,#N/A,FALSE,"계정"}</definedName>
    <definedName name="ㄷㄷㄷ" hidden="1">{#N/A,#N/A,FALSE,"UNIT";#N/A,#N/A,FALSE,"UNIT";#N/A,#N/A,FALSE,"계정"}</definedName>
    <definedName name="단조편성표" localSheetId="1" hidden="1">{#N/A,#N/A,FALSE,"단축1";#N/A,#N/A,FALSE,"단축2";#N/A,#N/A,FALSE,"단축3";#N/A,#N/A,FALSE,"장축";#N/A,#N/A,FALSE,"4WD"}</definedName>
    <definedName name="단조편성표" localSheetId="4" hidden="1">{#N/A,#N/A,FALSE,"단축1";#N/A,#N/A,FALSE,"단축2";#N/A,#N/A,FALSE,"단축3";#N/A,#N/A,FALSE,"장축";#N/A,#N/A,FALSE,"4WD"}</definedName>
    <definedName name="단조편성표" hidden="1">{#N/A,#N/A,FALSE,"단축1";#N/A,#N/A,FALSE,"단축2";#N/A,#N/A,FALSE,"단축3";#N/A,#N/A,FALSE,"장축";#N/A,#N/A,FALSE,"4WD"}</definedName>
    <definedName name="대련" localSheetId="2" hidden="1">{#N/A,#N/A,FALSE,"UNIT";#N/A,#N/A,FALSE,"UNIT";#N/A,#N/A,FALSE,"계정"}</definedName>
    <definedName name="대련" localSheetId="1" hidden="1">{#N/A,#N/A,FALSE,"UNIT";#N/A,#N/A,FALSE,"UNIT";#N/A,#N/A,FALSE,"계정"}</definedName>
    <definedName name="대련" localSheetId="4" hidden="1">{#N/A,#N/A,FALSE,"UNIT";#N/A,#N/A,FALSE,"UNIT";#N/A,#N/A,FALSE,"계정"}</definedName>
    <definedName name="대련" hidden="1">{#N/A,#N/A,FALSE,"UNIT";#N/A,#N/A,FALSE,"UNIT";#N/A,#N/A,FALSE,"계정"}</definedName>
    <definedName name="대방총괄" localSheetId="1" hidden="1">{#N/A,#N/A,FALSE,"단축1";#N/A,#N/A,FALSE,"단축2";#N/A,#N/A,FALSE,"단축3";#N/A,#N/A,FALSE,"장축";#N/A,#N/A,FALSE,"4WD"}</definedName>
    <definedName name="대방총괄" localSheetId="4" hidden="1">{#N/A,#N/A,FALSE,"단축1";#N/A,#N/A,FALSE,"단축2";#N/A,#N/A,FALSE,"단축3";#N/A,#N/A,FALSE,"장축";#N/A,#N/A,FALSE,"4WD"}</definedName>
    <definedName name="대방총괄" hidden="1">{#N/A,#N/A,FALSE,"단축1";#N/A,#N/A,FALSE,"단축2";#N/A,#N/A,FALSE,"단축3";#N/A,#N/A,FALSE,"장축";#N/A,#N/A,FALSE,"4WD"}</definedName>
    <definedName name="돌" localSheetId="1" hidden="1">{#N/A,#N/A,FALSE,"단축1";#N/A,#N/A,FALSE,"단축2";#N/A,#N/A,FALSE,"단축3";#N/A,#N/A,FALSE,"장축";#N/A,#N/A,FALSE,"4WD"}</definedName>
    <definedName name="돌" localSheetId="4" hidden="1">{#N/A,#N/A,FALSE,"단축1";#N/A,#N/A,FALSE,"단축2";#N/A,#N/A,FALSE,"단축3";#N/A,#N/A,FALSE,"장축";#N/A,#N/A,FALSE,"4WD"}</definedName>
    <definedName name="돌" hidden="1">{#N/A,#N/A,FALSE,"단축1";#N/A,#N/A,FALSE,"단축2";#N/A,#N/A,FALSE,"단축3";#N/A,#N/A,FALSE,"장축";#N/A,#N/A,FALSE,"4WD"}</definedName>
    <definedName name="동시" localSheetId="1" hidden="1">{#N/A,#N/A,FALSE,"단축1";#N/A,#N/A,FALSE,"단축2";#N/A,#N/A,FALSE,"단축3";#N/A,#N/A,FALSE,"장축";#N/A,#N/A,FALSE,"4WD"}</definedName>
    <definedName name="동시" localSheetId="4" hidden="1">{#N/A,#N/A,FALSE,"단축1";#N/A,#N/A,FALSE,"단축2";#N/A,#N/A,FALSE,"단축3";#N/A,#N/A,FALSE,"장축";#N/A,#N/A,FALSE,"4WD"}</definedName>
    <definedName name="동시" hidden="1">{#N/A,#N/A,FALSE,"단축1";#N/A,#N/A,FALSE,"단축2";#N/A,#N/A,FALSE,"단축3";#N/A,#N/A,FALSE,"장축";#N/A,#N/A,FALSE,"4WD"}</definedName>
    <definedName name="동시투자" localSheetId="1" hidden="1">{#N/A,#N/A,FALSE,"단축1";#N/A,#N/A,FALSE,"단축2";#N/A,#N/A,FALSE,"단축3";#N/A,#N/A,FALSE,"장축";#N/A,#N/A,FALSE,"4WD"}</definedName>
    <definedName name="동시투자" localSheetId="4" hidden="1">{#N/A,#N/A,FALSE,"단축1";#N/A,#N/A,FALSE,"단축2";#N/A,#N/A,FALSE,"단축3";#N/A,#N/A,FALSE,"장축";#N/A,#N/A,FALSE,"4WD"}</definedName>
    <definedName name="동시투자" hidden="1">{#N/A,#N/A,FALSE,"단축1";#N/A,#N/A,FALSE,"단축2";#N/A,#N/A,FALSE,"단축3";#N/A,#N/A,FALSE,"장축";#N/A,#N/A,FALSE,"4WD"}</definedName>
    <definedName name="동시투자MIP" localSheetId="1" hidden="1">{#N/A,#N/A,FALSE,"단축1";#N/A,#N/A,FALSE,"단축2";#N/A,#N/A,FALSE,"단축3";#N/A,#N/A,FALSE,"장축";#N/A,#N/A,FALSE,"4WD"}</definedName>
    <definedName name="동시투자MIP" localSheetId="4" hidden="1">{#N/A,#N/A,FALSE,"단축1";#N/A,#N/A,FALSE,"단축2";#N/A,#N/A,FALSE,"단축3";#N/A,#N/A,FALSE,"장축";#N/A,#N/A,FALSE,"4WD"}</definedName>
    <definedName name="동시투자MIP" hidden="1">{#N/A,#N/A,FALSE,"단축1";#N/A,#N/A,FALSE,"단축2";#N/A,#N/A,FALSE,"단축3";#N/A,#N/A,FALSE,"장축";#N/A,#N/A,FALSE,"4WD"}</definedName>
    <definedName name="동시투자투자비" localSheetId="1" hidden="1">{#N/A,#N/A,FALSE,"단축1";#N/A,#N/A,FALSE,"단축2";#N/A,#N/A,FALSE,"단축3";#N/A,#N/A,FALSE,"장축";#N/A,#N/A,FALSE,"4WD"}</definedName>
    <definedName name="동시투자투자비" localSheetId="4" hidden="1">{#N/A,#N/A,FALSE,"단축1";#N/A,#N/A,FALSE,"단축2";#N/A,#N/A,FALSE,"단축3";#N/A,#N/A,FALSE,"장축";#N/A,#N/A,FALSE,"4WD"}</definedName>
    <definedName name="동시투자투자비" hidden="1">{#N/A,#N/A,FALSE,"단축1";#N/A,#N/A,FALSE,"단축2";#N/A,#N/A,FALSE,"단축3";#N/A,#N/A,FALSE,"장축";#N/A,#N/A,FALSE,"4WD"}</definedName>
    <definedName name="롯데기공">#N/A</definedName>
    <definedName name="리" localSheetId="1" hidden="1">{#N/A,#N/A,FALSE,"단축1";#N/A,#N/A,FALSE,"단축2";#N/A,#N/A,FALSE,"단축3";#N/A,#N/A,FALSE,"장축";#N/A,#N/A,FALSE,"4WD"}</definedName>
    <definedName name="리" localSheetId="4" hidden="1">{#N/A,#N/A,FALSE,"단축1";#N/A,#N/A,FALSE,"단축2";#N/A,#N/A,FALSE,"단축3";#N/A,#N/A,FALSE,"장축";#N/A,#N/A,FALSE,"4WD"}</definedName>
    <definedName name="리" hidden="1">{#N/A,#N/A,FALSE,"단축1";#N/A,#N/A,FALSE,"단축2";#N/A,#N/A,FALSE,"단축3";#N/A,#N/A,FALSE,"장축";#N/A,#N/A,FALSE,"4WD"}</definedName>
    <definedName name="리베로" localSheetId="1" hidden="1">{#N/A,#N/A,FALSE,"단축1";#N/A,#N/A,FALSE,"단축2";#N/A,#N/A,FALSE,"단축3";#N/A,#N/A,FALSE,"장축";#N/A,#N/A,FALSE,"4WD"}</definedName>
    <definedName name="리베로" localSheetId="4" hidden="1">{#N/A,#N/A,FALSE,"단축1";#N/A,#N/A,FALSE,"단축2";#N/A,#N/A,FALSE,"단축3";#N/A,#N/A,FALSE,"장축";#N/A,#N/A,FALSE,"4WD"}</definedName>
    <definedName name="리베로" hidden="1">{#N/A,#N/A,FALSE,"단축1";#N/A,#N/A,FALSE,"단축2";#N/A,#N/A,FALSE,"단축3";#N/A,#N/A,FALSE,"장축";#N/A,#N/A,FALSE,"4WD"}</definedName>
    <definedName name="ㄺㄹ" localSheetId="2" hidden="1">{#N/A,#N/A,FALSE,"UNIT";#N/A,#N/A,FALSE,"UNIT";#N/A,#N/A,FALSE,"계정"}</definedName>
    <definedName name="ㄺㄹ" localSheetId="1" hidden="1">{#N/A,#N/A,FALSE,"UNIT";#N/A,#N/A,FALSE,"UNIT";#N/A,#N/A,FALSE,"계정"}</definedName>
    <definedName name="ㄺㄹ" localSheetId="4" hidden="1">{#N/A,#N/A,FALSE,"UNIT";#N/A,#N/A,FALSE,"UNIT";#N/A,#N/A,FALSE,"계정"}</definedName>
    <definedName name="ㄺㄹ" hidden="1">{#N/A,#N/A,FALSE,"UNIT";#N/A,#N/A,FALSE,"UNIT";#N/A,#N/A,FALSE,"계정"}</definedName>
    <definedName name="ㅁ" localSheetId="2" hidden="1">{#N/A,#N/A,FALSE,"UNIT";#N/A,#N/A,FALSE,"UNIT";#N/A,#N/A,FALSE,"계정"}</definedName>
    <definedName name="ㅁ" localSheetId="1" hidden="1">{#N/A,#N/A,FALSE,"UNIT";#N/A,#N/A,FALSE,"UNIT";#N/A,#N/A,FALSE,"계정"}</definedName>
    <definedName name="ㅁ" localSheetId="4" hidden="1">{#N/A,#N/A,FALSE,"UNIT";#N/A,#N/A,FALSE,"UNIT";#N/A,#N/A,FALSE,"계정"}</definedName>
    <definedName name="ㅁ" hidden="1">{#N/A,#N/A,FALSE,"UNIT";#N/A,#N/A,FALSE,"UNIT";#N/A,#N/A,FALSE,"계정"}</definedName>
    <definedName name="ㅁㄴ" localSheetId="2" hidden="1">{#N/A,#N/A,FALSE,"UNIT";#N/A,#N/A,FALSE,"UNIT";#N/A,#N/A,FALSE,"계정"}</definedName>
    <definedName name="ㅁㄴ" localSheetId="1" hidden="1">{#N/A,#N/A,FALSE,"UNIT";#N/A,#N/A,FALSE,"UNIT";#N/A,#N/A,FALSE,"계정"}</definedName>
    <definedName name="ㅁㄴ" localSheetId="4" hidden="1">{#N/A,#N/A,FALSE,"UNIT";#N/A,#N/A,FALSE,"UNIT";#N/A,#N/A,FALSE,"계정"}</definedName>
    <definedName name="ㅁㄴ" hidden="1">{#N/A,#N/A,FALSE,"UNIT";#N/A,#N/A,FALSE,"UNIT";#N/A,#N/A,FALSE,"계정"}</definedName>
    <definedName name="ㅁㄴㅇ">#N/A</definedName>
    <definedName name="ㅁㄴㅇㄴㅇㄹㄴㅇ" localSheetId="1" hidden="1">{#N/A,#N/A,FALSE,"단축1";#N/A,#N/A,FALSE,"단축2";#N/A,#N/A,FALSE,"단축3";#N/A,#N/A,FALSE,"장축";#N/A,#N/A,FALSE,"4WD"}</definedName>
    <definedName name="ㅁㄴㅇㄴㅇㄹㄴㅇ" localSheetId="4" hidden="1">{#N/A,#N/A,FALSE,"단축1";#N/A,#N/A,FALSE,"단축2";#N/A,#N/A,FALSE,"단축3";#N/A,#N/A,FALSE,"장축";#N/A,#N/A,FALSE,"4WD"}</definedName>
    <definedName name="ㅁㄴㅇㄴㅇㄹㄴㅇ" hidden="1">{#N/A,#N/A,FALSE,"단축1";#N/A,#N/A,FALSE,"단축2";#N/A,#N/A,FALSE,"단축3";#N/A,#N/A,FALSE,"장축";#N/A,#N/A,FALSE,"4WD"}</definedName>
    <definedName name="ㅁㄴㅇㅁㄴㅇ" localSheetId="1" hidden="1">{#N/A,#N/A,FALSE,"단축1";#N/A,#N/A,FALSE,"단축2";#N/A,#N/A,FALSE,"단축3";#N/A,#N/A,FALSE,"장축";#N/A,#N/A,FALSE,"4WD"}</definedName>
    <definedName name="ㅁㄴㅇㅁㄴㅇ" localSheetId="4"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ㅁ">#N/A</definedName>
    <definedName name="ㅁㅁㅁ">#N/A</definedName>
    <definedName name="ㅁㅁㅁㅁ" localSheetId="2" hidden="1">{#N/A,#N/A,FALSE,"UNIT";#N/A,#N/A,FALSE,"UNIT";#N/A,#N/A,FALSE,"계정"}</definedName>
    <definedName name="ㅁㅁㅁㅁ" localSheetId="1" hidden="1">{#N/A,#N/A,FALSE,"UNIT";#N/A,#N/A,FALSE,"UNIT";#N/A,#N/A,FALSE,"계정"}</definedName>
    <definedName name="ㅁㅁㅁㅁ" localSheetId="4" hidden="1">{#N/A,#N/A,FALSE,"UNIT";#N/A,#N/A,FALSE,"UNIT";#N/A,#N/A,FALSE,"계정"}</definedName>
    <definedName name="ㅁㅁㅁㅁ" hidden="1">{#N/A,#N/A,FALSE,"UNIT";#N/A,#N/A,FALSE,"UNIT";#N/A,#N/A,FALSE,"계정"}</definedName>
    <definedName name="ㅁㅁㅁㅁㅁ" localSheetId="2" hidden="1">{#N/A,#N/A,FALSE,"UNIT";#N/A,#N/A,FALSE,"UNIT";#N/A,#N/A,FALSE,"계정"}</definedName>
    <definedName name="ㅁㅁㅁㅁㅁ" localSheetId="1" hidden="1">{#N/A,#N/A,FALSE,"UNIT";#N/A,#N/A,FALSE,"UNIT";#N/A,#N/A,FALSE,"계정"}</definedName>
    <definedName name="ㅁㅁㅁㅁㅁ" localSheetId="4" hidden="1">{#N/A,#N/A,FALSE,"UNIT";#N/A,#N/A,FALSE,"UNIT";#N/A,#N/A,FALSE,"계정"}</definedName>
    <definedName name="ㅁㅁㅁㅁㅁ" hidden="1">{#N/A,#N/A,FALSE,"UNIT";#N/A,#N/A,FALSE,"UNIT";#N/A,#N/A,FALSE,"계정"}</definedName>
    <definedName name="ㅁㅁㅁㅁㅁㅁㅁㅁㅁㅁㅁㅁㅁㅁ" localSheetId="1" hidden="1">{#N/A,#N/A,FALSE,"단축1";#N/A,#N/A,FALSE,"단축2";#N/A,#N/A,FALSE,"단축3";#N/A,#N/A,FALSE,"장축";#N/A,#N/A,FALSE,"4WD"}</definedName>
    <definedName name="ㅁㅁㅁㅁㅁㅁㅁㅁㅁㅁㅁㅁㅁㅁ" localSheetId="4" hidden="1">{#N/A,#N/A,FALSE,"단축1";#N/A,#N/A,FALSE,"단축2";#N/A,#N/A,FALSE,"단축3";#N/A,#N/A,FALSE,"장축";#N/A,#N/A,FALSE,"4WD"}</definedName>
    <definedName name="ㅁㅁㅁㅁㅁㅁㅁㅁㅁㅁㅁㅁㅁㅁ" hidden="1">{#N/A,#N/A,FALSE,"단축1";#N/A,#N/A,FALSE,"단축2";#N/A,#N/A,FALSE,"단축3";#N/A,#N/A,FALSE,"장축";#N/A,#N/A,FALSE,"4WD"}</definedName>
    <definedName name="ㅁㅂㅈㄷ" localSheetId="2" hidden="1">{#N/A,#N/A,FALSE,"Aging Summary";#N/A,#N/A,FALSE,"Ratio Analysis";#N/A,#N/A,FALSE,"Test 120 Day Accts";#N/A,#N/A,FALSE,"Tickmarks"}</definedName>
    <definedName name="ㅁㅂㅈㄷ" localSheetId="1" hidden="1">{#N/A,#N/A,FALSE,"Aging Summary";#N/A,#N/A,FALSE,"Ratio Analysis";#N/A,#N/A,FALSE,"Test 120 Day Accts";#N/A,#N/A,FALSE,"Tickmarks"}</definedName>
    <definedName name="ㅁㅂㅈㄷ" localSheetId="4" hidden="1">{#N/A,#N/A,FALSE,"Aging Summary";#N/A,#N/A,FALSE,"Ratio Analysis";#N/A,#N/A,FALSE,"Test 120 Day Accts";#N/A,#N/A,FALSE,"Tickmarks"}</definedName>
    <definedName name="ㅁㅂㅈㄷ" hidden="1">{#N/A,#N/A,FALSE,"Aging Summary";#N/A,#N/A,FALSE,"Ratio Analysis";#N/A,#N/A,FALSE,"Test 120 Day Accts";#N/A,#N/A,FALSE,"Tickmarks"}</definedName>
    <definedName name="매출1">#N/A</definedName>
    <definedName name="매출2">#N/A</definedName>
    <definedName name="매출계획" localSheetId="2" hidden="1">{#N/A,#N/A,FALSE,"UNIT";#N/A,#N/A,FALSE,"UNIT";#N/A,#N/A,FALSE,"계정"}</definedName>
    <definedName name="매출계획" localSheetId="1" hidden="1">{#N/A,#N/A,FALSE,"UNIT";#N/A,#N/A,FALSE,"UNIT";#N/A,#N/A,FALSE,"계정"}</definedName>
    <definedName name="매출계획" localSheetId="4" hidden="1">{#N/A,#N/A,FALSE,"UNIT";#N/A,#N/A,FALSE,"UNIT";#N/A,#N/A,FALSE,"계정"}</definedName>
    <definedName name="매출계획" hidden="1">{#N/A,#N/A,FALSE,"UNIT";#N/A,#N/A,FALSE,"UNIT";#N/A,#N/A,FALSE,"계정"}</definedName>
    <definedName name="매출원">#N/A</definedName>
    <definedName name="매출원6">#N/A</definedName>
    <definedName name="매출원가" localSheetId="2" hidden="1">{#N/A,#N/A,FALSE,"Aging Summary";#N/A,#N/A,FALSE,"Ratio Analysis";#N/A,#N/A,FALSE,"Test 120 Day Accts";#N/A,#N/A,FALSE,"Tickmarks"}</definedName>
    <definedName name="매출원가" localSheetId="1" hidden="1">{#N/A,#N/A,FALSE,"Aging Summary";#N/A,#N/A,FALSE,"Ratio Analysis";#N/A,#N/A,FALSE,"Test 120 Day Accts";#N/A,#N/A,FALSE,"Tickmarks"}</definedName>
    <definedName name="매출원가" localSheetId="4" hidden="1">{#N/A,#N/A,FALSE,"Aging Summary";#N/A,#N/A,FALSE,"Ratio Analysis";#N/A,#N/A,FALSE,"Test 120 Day Accts";#N/A,#N/A,FALSE,"Tickmarks"}</definedName>
    <definedName name="매출원가" hidden="1">{#N/A,#N/A,FALSE,"Aging Summary";#N/A,#N/A,FALSE,"Ratio Analysis";#N/A,#N/A,FALSE,"Test 120 Day Accts";#N/A,#N/A,FALSE,"Tickmarks"}</definedName>
    <definedName name="매출원가사본">#N/A</definedName>
    <definedName name="목록">#N/A</definedName>
    <definedName name="물류" localSheetId="1" hidden="1">{#N/A,#N/A,FALSE,"단축1";#N/A,#N/A,FALSE,"단축2";#N/A,#N/A,FALSE,"단축3";#N/A,#N/A,FALSE,"장축";#N/A,#N/A,FALSE,"4WD"}</definedName>
    <definedName name="물류" localSheetId="4" hidden="1">{#N/A,#N/A,FALSE,"단축1";#N/A,#N/A,FALSE,"단축2";#N/A,#N/A,FALSE,"단축3";#N/A,#N/A,FALSE,"장축";#N/A,#N/A,FALSE,"4WD"}</definedName>
    <definedName name="물류" hidden="1">{#N/A,#N/A,FALSE,"단축1";#N/A,#N/A,FALSE,"단축2";#N/A,#N/A,FALSE,"단축3";#N/A,#N/A,FALSE,"장축";#N/A,#N/A,FALSE,"4WD"}</definedName>
    <definedName name="물류비검토" localSheetId="1" hidden="1">{#N/A,#N/A,FALSE,"단축1";#N/A,#N/A,FALSE,"단축2";#N/A,#N/A,FALSE,"단축3";#N/A,#N/A,FALSE,"장축";#N/A,#N/A,FALSE,"4WD"}</definedName>
    <definedName name="물류비검토" localSheetId="4" hidden="1">{#N/A,#N/A,FALSE,"단축1";#N/A,#N/A,FALSE,"단축2";#N/A,#N/A,FALSE,"단축3";#N/A,#N/A,FALSE,"장축";#N/A,#N/A,FALSE,"4WD"}</definedName>
    <definedName name="물류비검토" hidden="1">{#N/A,#N/A,FALSE,"단축1";#N/A,#N/A,FALSE,"단축2";#N/A,#N/A,FALSE,"단축3";#N/A,#N/A,FALSE,"장축";#N/A,#N/A,FALSE,"4WD"}</definedName>
    <definedName name="미지" localSheetId="2" hidden="1">{#N/A,#N/A,FALSE,"UNIT";#N/A,#N/A,FALSE,"UNIT";#N/A,#N/A,FALSE,"계정"}</definedName>
    <definedName name="미지" localSheetId="1" hidden="1">{#N/A,#N/A,FALSE,"UNIT";#N/A,#N/A,FALSE,"UNIT";#N/A,#N/A,FALSE,"계정"}</definedName>
    <definedName name="미지" localSheetId="4" hidden="1">{#N/A,#N/A,FALSE,"UNIT";#N/A,#N/A,FALSE,"UNIT";#N/A,#N/A,FALSE,"계정"}</definedName>
    <definedName name="미지" hidden="1">{#N/A,#N/A,FALSE,"UNIT";#N/A,#N/A,FALSE,"UNIT";#N/A,#N/A,FALSE,"계정"}</definedName>
    <definedName name="미지급금">#N/A</definedName>
    <definedName name="ㅂㅂㅂ">#N/A</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localSheetId="4"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ㄷㄱㄱ" localSheetId="2" hidden="1">{#N/A,#N/A,FALSE,"UNIT";#N/A,#N/A,FALSE,"UNIT";#N/A,#N/A,FALSE,"계정"}</definedName>
    <definedName name="ㅂㅈㄷㄷㄱㄱ" localSheetId="1" hidden="1">{#N/A,#N/A,FALSE,"UNIT";#N/A,#N/A,FALSE,"UNIT";#N/A,#N/A,FALSE,"계정"}</definedName>
    <definedName name="ㅂㅈㄷㄷㄱㄱ" localSheetId="4" hidden="1">{#N/A,#N/A,FALSE,"UNIT";#N/A,#N/A,FALSE,"UNIT";#N/A,#N/A,FALSE,"계정"}</definedName>
    <definedName name="ㅂㅈㄷㄷㄱㄱ" hidden="1">{#N/A,#N/A,FALSE,"UNIT";#N/A,#N/A,FALSE,"UNIT";#N/A,#N/A,FALSE,"계정"}</definedName>
    <definedName name="방안" localSheetId="1" hidden="1">{#N/A,#N/A,FALSE,"단축1";#N/A,#N/A,FALSE,"단축2";#N/A,#N/A,FALSE,"단축3";#N/A,#N/A,FALSE,"장축";#N/A,#N/A,FALSE,"4WD"}</definedName>
    <definedName name="방안" localSheetId="4" hidden="1">{#N/A,#N/A,FALSE,"단축1";#N/A,#N/A,FALSE,"단축2";#N/A,#N/A,FALSE,"단축3";#N/A,#N/A,FALSE,"장축";#N/A,#N/A,FALSE,"4WD"}</definedName>
    <definedName name="방안" hidden="1">{#N/A,#N/A,FALSE,"단축1";#N/A,#N/A,FALSE,"단축2";#N/A,#N/A,FALSE,"단축3";#N/A,#N/A,FALSE,"장축";#N/A,#N/A,FALSE,"4WD"}</definedName>
    <definedName name="법인세주석사항정리" localSheetId="2" hidden="1">{#N/A,#N/A,FALSE,"UNIT";#N/A,#N/A,FALSE,"UNIT";#N/A,#N/A,FALSE,"계정"}</definedName>
    <definedName name="법인세주석사항정리" localSheetId="1" hidden="1">{#N/A,#N/A,FALSE,"UNIT";#N/A,#N/A,FALSE,"UNIT";#N/A,#N/A,FALSE,"계정"}</definedName>
    <definedName name="법인세주석사항정리" localSheetId="4" hidden="1">{#N/A,#N/A,FALSE,"UNIT";#N/A,#N/A,FALSE,"UNIT";#N/A,#N/A,FALSE,"계정"}</definedName>
    <definedName name="법인세주석사항정리" hidden="1">{#N/A,#N/A,FALSE,"UNIT";#N/A,#N/A,FALSE,"UNIT";#N/A,#N/A,FALSE,"계정"}</definedName>
    <definedName name="변경후" localSheetId="1" hidden="1">{#N/A,#N/A,FALSE,"단축1";#N/A,#N/A,FALSE,"단축2";#N/A,#N/A,FALSE,"단축3";#N/A,#N/A,FALSE,"장축";#N/A,#N/A,FALSE,"4WD"}</definedName>
    <definedName name="변경후" localSheetId="4" hidden="1">{#N/A,#N/A,FALSE,"단축1";#N/A,#N/A,FALSE,"단축2";#N/A,#N/A,FALSE,"단축3";#N/A,#N/A,FALSE,"장축";#N/A,#N/A,FALSE,"4WD"}</definedName>
    <definedName name="변경후" hidden="1">{#N/A,#N/A,FALSE,"단축1";#N/A,#N/A,FALSE,"단축2";#N/A,#N/A,FALSE,"단축3";#N/A,#N/A,FALSE,"장축";#N/A,#N/A,FALSE,"4WD"}</definedName>
    <definedName name="별도공장기준CYLBLOCK" localSheetId="1" hidden="1">{#N/A,#N/A,FALSE,"단축1";#N/A,#N/A,FALSE,"단축2";#N/A,#N/A,FALSE,"단축3";#N/A,#N/A,FALSE,"장축";#N/A,#N/A,FALSE,"4WD"}</definedName>
    <definedName name="별도공장기준CYLBLOCK" localSheetId="4" hidden="1">{#N/A,#N/A,FALSE,"단축1";#N/A,#N/A,FALSE,"단축2";#N/A,#N/A,FALSE,"단축3";#N/A,#N/A,FALSE,"장축";#N/A,#N/A,FALSE,"4WD"}</definedName>
    <definedName name="별도공장기준CYLBLOCK" hidden="1">{#N/A,#N/A,FALSE,"단축1";#N/A,#N/A,FALSE,"단축2";#N/A,#N/A,FALSE,"단축3";#N/A,#N/A,FALSE,"장축";#N/A,#N/A,FALSE,"4WD"}</definedName>
    <definedName name="별도투자비" localSheetId="1" hidden="1">{#N/A,#N/A,FALSE,"단축1";#N/A,#N/A,FALSE,"단축2";#N/A,#N/A,FALSE,"단축3";#N/A,#N/A,FALSE,"장축";#N/A,#N/A,FALSE,"4WD"}</definedName>
    <definedName name="별도투자비" localSheetId="4" hidden="1">{#N/A,#N/A,FALSE,"단축1";#N/A,#N/A,FALSE,"단축2";#N/A,#N/A,FALSE,"단축3";#N/A,#N/A,FALSE,"장축";#N/A,#N/A,FALSE,"4WD"}</definedName>
    <definedName name="별도투자비" hidden="1">{#N/A,#N/A,FALSE,"단축1";#N/A,#N/A,FALSE,"단축2";#N/A,#N/A,FALSE,"단축3";#N/A,#N/A,FALSE,"장축";#N/A,#N/A,FALSE,"4WD"}</definedName>
    <definedName name="보고" localSheetId="2" hidden="1">{#N/A,#N/A,FALSE,"UNIT";#N/A,#N/A,FALSE,"UNIT";#N/A,#N/A,FALSE,"계정"}</definedName>
    <definedName name="보고" localSheetId="1" hidden="1">{#N/A,#N/A,FALSE,"UNIT";#N/A,#N/A,FALSE,"UNIT";#N/A,#N/A,FALSE,"계정"}</definedName>
    <definedName name="보고" localSheetId="4" hidden="1">{#N/A,#N/A,FALSE,"UNIT";#N/A,#N/A,FALSE,"UNIT";#N/A,#N/A,FALSE,"계정"}</definedName>
    <definedName name="보고" hidden="1">{#N/A,#N/A,FALSE,"UNIT";#N/A,#N/A,FALSE,"UNIT";#N/A,#N/A,FALSE,"계정"}</definedName>
    <definedName name="보고기준" localSheetId="2" hidden="1">{#N/A,#N/A,FALSE,"UNIT";#N/A,#N/A,FALSE,"UNIT";#N/A,#N/A,FALSE,"계정"}</definedName>
    <definedName name="보고기준" localSheetId="1" hidden="1">{#N/A,#N/A,FALSE,"UNIT";#N/A,#N/A,FALSE,"UNIT";#N/A,#N/A,FALSE,"계정"}</definedName>
    <definedName name="보고기준" localSheetId="4" hidden="1">{#N/A,#N/A,FALSE,"UNIT";#N/A,#N/A,FALSE,"UNIT";#N/A,#N/A,FALSE,"계정"}</definedName>
    <definedName name="보고기준" hidden="1">{#N/A,#N/A,FALSE,"UNIT";#N/A,#N/A,FALSE,"UNIT";#N/A,#N/A,FALSE,"계정"}</definedName>
    <definedName name="빈" localSheetId="1" hidden="1">{#N/A,#N/A,FALSE,"단축1";#N/A,#N/A,FALSE,"단축2";#N/A,#N/A,FALSE,"단축3";#N/A,#N/A,FALSE,"장축";#N/A,#N/A,FALSE,"4WD"}</definedName>
    <definedName name="빈" localSheetId="4" hidden="1">{#N/A,#N/A,FALSE,"단축1";#N/A,#N/A,FALSE,"단축2";#N/A,#N/A,FALSE,"단축3";#N/A,#N/A,FALSE,"장축";#N/A,#N/A,FALSE,"4WD"}</definedName>
    <definedName name="빈" hidden="1">{#N/A,#N/A,FALSE,"단축1";#N/A,#N/A,FALSE,"단축2";#N/A,#N/A,FALSE,"단축3";#N/A,#N/A,FALSE,"장축";#N/A,#N/A,FALSE,"4WD"}</definedName>
    <definedName name="ㅅㅅㅅㅅ" localSheetId="2" hidden="1">{#N/A,#N/A,FALSE,"UNIT";#N/A,#N/A,FALSE,"UNIT";#N/A,#N/A,FALSE,"계정"}</definedName>
    <definedName name="ㅅㅅㅅㅅ" localSheetId="1" hidden="1">{#N/A,#N/A,FALSE,"UNIT";#N/A,#N/A,FALSE,"UNIT";#N/A,#N/A,FALSE,"계정"}</definedName>
    <definedName name="ㅅㅅㅅㅅ" localSheetId="4" hidden="1">{#N/A,#N/A,FALSE,"UNIT";#N/A,#N/A,FALSE,"UNIT";#N/A,#N/A,FALSE,"계정"}</definedName>
    <definedName name="ㅅㅅㅅㅅ" hidden="1">{#N/A,#N/A,FALSE,"UNIT";#N/A,#N/A,FALSE,"UNIT";#N/A,#N/A,FALSE,"계정"}</definedName>
    <definedName name="ㅅㅅㅅㅅㅅㅅㅅ" localSheetId="2" hidden="1">{#N/A,#N/A,FALSE,"UNIT";#N/A,#N/A,FALSE,"UNIT";#N/A,#N/A,FALSE,"계정"}</definedName>
    <definedName name="ㅅㅅㅅㅅㅅㅅㅅ" localSheetId="1" hidden="1">{#N/A,#N/A,FALSE,"UNIT";#N/A,#N/A,FALSE,"UNIT";#N/A,#N/A,FALSE,"계정"}</definedName>
    <definedName name="ㅅㅅㅅㅅㅅㅅㅅ" localSheetId="4" hidden="1">{#N/A,#N/A,FALSE,"UNIT";#N/A,#N/A,FALSE,"UNIT";#N/A,#N/A,FALSE,"계정"}</definedName>
    <definedName name="ㅅㅅㅅㅅㅅㅅㅅ" hidden="1">{#N/A,#N/A,FALSE,"UNIT";#N/A,#N/A,FALSE,"UNIT";#N/A,#N/A,FALSE,"계정"}</definedName>
    <definedName name="사양안" localSheetId="1" hidden="1">{#N/A,#N/A,FALSE,"단축1";#N/A,#N/A,FALSE,"단축2";#N/A,#N/A,FALSE,"단축3";#N/A,#N/A,FALSE,"장축";#N/A,#N/A,FALSE,"4WD"}</definedName>
    <definedName name="사양안" localSheetId="4" hidden="1">{#N/A,#N/A,FALSE,"단축1";#N/A,#N/A,FALSE,"단축2";#N/A,#N/A,FALSE,"단축3";#N/A,#N/A,FALSE,"장축";#N/A,#N/A,FALSE,"4WD"}</definedName>
    <definedName name="사양안" hidden="1">{#N/A,#N/A,FALSE,"단축1";#N/A,#N/A,FALSE,"단축2";#N/A,#N/A,FALSE,"단축3";#N/A,#N/A,FALSE,"장축";#N/A,#N/A,FALSE,"4WD"}</definedName>
    <definedName name="사업활성" localSheetId="2" hidden="1">{#N/A,#N/A,FALSE,"UNIT";#N/A,#N/A,FALSE,"UNIT";#N/A,#N/A,FALSE,"계정"}</definedName>
    <definedName name="사업활성" localSheetId="1" hidden="1">{#N/A,#N/A,FALSE,"UNIT";#N/A,#N/A,FALSE,"UNIT";#N/A,#N/A,FALSE,"계정"}</definedName>
    <definedName name="사업활성" localSheetId="4" hidden="1">{#N/A,#N/A,FALSE,"UNIT";#N/A,#N/A,FALSE,"UNIT";#N/A,#N/A,FALSE,"계정"}</definedName>
    <definedName name="사업활성" hidden="1">{#N/A,#N/A,FALSE,"UNIT";#N/A,#N/A,FALSE,"UNIT";#N/A,#N/A,FALSE,"계정"}</definedName>
    <definedName name="산업수요2" localSheetId="1" hidden="1">{#N/A,#N/A,FALSE,"단축1";#N/A,#N/A,FALSE,"단축2";#N/A,#N/A,FALSE,"단축3";#N/A,#N/A,FALSE,"장축";#N/A,#N/A,FALSE,"4WD"}</definedName>
    <definedName name="산업수요2" localSheetId="4" hidden="1">{#N/A,#N/A,FALSE,"단축1";#N/A,#N/A,FALSE,"단축2";#N/A,#N/A,FALSE,"단축3";#N/A,#N/A,FALSE,"장축";#N/A,#N/A,FALSE,"4WD"}</definedName>
    <definedName name="산업수요2" hidden="1">{#N/A,#N/A,FALSE,"단축1";#N/A,#N/A,FALSE,"단축2";#N/A,#N/A,FALSE,"단축3";#N/A,#N/A,FALSE,"장축";#N/A,#N/A,FALSE,"4WD"}</definedName>
    <definedName name="상반기" localSheetId="1" hidden="1">{#N/A,#N/A,FALSE,"단축1";#N/A,#N/A,FALSE,"단축2";#N/A,#N/A,FALSE,"단축3";#N/A,#N/A,FALSE,"장축";#N/A,#N/A,FALSE,"4WD"}</definedName>
    <definedName name="상반기" localSheetId="4" hidden="1">{#N/A,#N/A,FALSE,"단축1";#N/A,#N/A,FALSE,"단축2";#N/A,#N/A,FALSE,"단축3";#N/A,#N/A,FALSE,"장축";#N/A,#N/A,FALSE,"4WD"}</definedName>
    <definedName name="상반기" hidden="1">{#N/A,#N/A,FALSE,"단축1";#N/A,#N/A,FALSE,"단축2";#N/A,#N/A,FALSE,"단축3";#N/A,#N/A,FALSE,"장축";#N/A,#N/A,FALSE,"4WD"}</definedName>
    <definedName name="상품성1" localSheetId="1" hidden="1">{#N/A,#N/A,FALSE,"단축1";#N/A,#N/A,FALSE,"단축2";#N/A,#N/A,FALSE,"단축3";#N/A,#N/A,FALSE,"장축";#N/A,#N/A,FALSE,"4WD"}</definedName>
    <definedName name="상품성1" localSheetId="4" hidden="1">{#N/A,#N/A,FALSE,"단축1";#N/A,#N/A,FALSE,"단축2";#N/A,#N/A,FALSE,"단축3";#N/A,#N/A,FALSE,"장축";#N/A,#N/A,FALSE,"4WD"}</definedName>
    <definedName name="상품성1" hidden="1">{#N/A,#N/A,FALSE,"단축1";#N/A,#N/A,FALSE,"단축2";#N/A,#N/A,FALSE,"단축3";#N/A,#N/A,FALSE,"장축";#N/A,#N/A,FALSE,"4WD"}</definedName>
    <definedName name="상품성보고" localSheetId="1" hidden="1">#REF!</definedName>
    <definedName name="상품성보고" localSheetId="4" hidden="1">#REF!</definedName>
    <definedName name="상품성보고" hidden="1">#REF!</definedName>
    <definedName name="새로운" localSheetId="1" hidden="1">{#N/A,#N/A,FALSE,"단축1";#N/A,#N/A,FALSE,"단축2";#N/A,#N/A,FALSE,"단축3";#N/A,#N/A,FALSE,"장축";#N/A,#N/A,FALSE,"4WD"}</definedName>
    <definedName name="새로운" localSheetId="4" hidden="1">{#N/A,#N/A,FALSE,"단축1";#N/A,#N/A,FALSE,"단축2";#N/A,#N/A,FALSE,"단축3";#N/A,#N/A,FALSE,"장축";#N/A,#N/A,FALSE,"4WD"}</definedName>
    <definedName name="새로운" hidden="1">{#N/A,#N/A,FALSE,"단축1";#N/A,#N/A,FALSE,"단축2";#N/A,#N/A,FALSE,"단축3";#N/A,#N/A,FALSE,"장축";#N/A,#N/A,FALSE,"4WD"}</definedName>
    <definedName name="새로운이름" localSheetId="2" hidden="1">{#N/A,#N/A,FALSE,"UNIT";#N/A,#N/A,FALSE,"UNIT";#N/A,#N/A,FALSE,"계정"}</definedName>
    <definedName name="새로운이름" localSheetId="1" hidden="1">{#N/A,#N/A,FALSE,"UNIT";#N/A,#N/A,FALSE,"UNIT";#N/A,#N/A,FALSE,"계정"}</definedName>
    <definedName name="새로운이름" localSheetId="4" hidden="1">{#N/A,#N/A,FALSE,"UNIT";#N/A,#N/A,FALSE,"UNIT";#N/A,#N/A,FALSE,"계정"}</definedName>
    <definedName name="새로운이름" hidden="1">{#N/A,#N/A,FALSE,"UNIT";#N/A,#N/A,FALSE,"UNIT";#N/A,#N/A,FALSE,"계정"}</definedName>
    <definedName name="석빈" localSheetId="1" hidden="1">{#N/A,#N/A,FALSE,"단축1";#N/A,#N/A,FALSE,"단축2";#N/A,#N/A,FALSE,"단축3";#N/A,#N/A,FALSE,"장축";#N/A,#N/A,FALSE,"4WD"}</definedName>
    <definedName name="석빈" localSheetId="4" hidden="1">{#N/A,#N/A,FALSE,"단축1";#N/A,#N/A,FALSE,"단축2";#N/A,#N/A,FALSE,"단축3";#N/A,#N/A,FALSE,"장축";#N/A,#N/A,FALSE,"4WD"}</definedName>
    <definedName name="석빈" hidden="1">{#N/A,#N/A,FALSE,"단축1";#N/A,#N/A,FALSE,"단축2";#N/A,#N/A,FALSE,"단축3";#N/A,#N/A,FALSE,"장축";#N/A,#N/A,FALSE,"4WD"}</definedName>
    <definedName name="설계2팀" localSheetId="2" hidden="1">{#N/A,#N/A,FALSE,"UNIT";#N/A,#N/A,FALSE,"UNIT";#N/A,#N/A,FALSE,"계정"}</definedName>
    <definedName name="설계2팀" localSheetId="1" hidden="1">{#N/A,#N/A,FALSE,"UNIT";#N/A,#N/A,FALSE,"UNIT";#N/A,#N/A,FALSE,"계정"}</definedName>
    <definedName name="설계2팀" localSheetId="4" hidden="1">{#N/A,#N/A,FALSE,"UNIT";#N/A,#N/A,FALSE,"UNIT";#N/A,#N/A,FALSE,"계정"}</definedName>
    <definedName name="설계2팀" hidden="1">{#N/A,#N/A,FALSE,"UNIT";#N/A,#N/A,FALSE,"UNIT";#N/A,#N/A,FALSE,"계정"}</definedName>
    <definedName name="설비절감방안" localSheetId="1" hidden="1">{#N/A,#N/A,FALSE,"단축1";#N/A,#N/A,FALSE,"단축2";#N/A,#N/A,FALSE,"단축3";#N/A,#N/A,FALSE,"장축";#N/A,#N/A,FALSE,"4WD"}</definedName>
    <definedName name="설비절감방안" localSheetId="4" hidden="1">{#N/A,#N/A,FALSE,"단축1";#N/A,#N/A,FALSE,"단축2";#N/A,#N/A,FALSE,"단축3";#N/A,#N/A,FALSE,"장축";#N/A,#N/A,FALSE,"4WD"}</definedName>
    <definedName name="설비절감방안" hidden="1">{#N/A,#N/A,FALSE,"단축1";#N/A,#N/A,FALSE,"단축2";#N/A,#N/A,FALSE,"단축3";#N/A,#N/A,FALSE,"장축";#N/A,#N/A,FALSE,"4WD"}</definedName>
    <definedName name="설치누계">#N/A</definedName>
    <definedName name="성" localSheetId="2" hidden="1">{#N/A,#N/A,FALSE,"UNIT";#N/A,#N/A,FALSE,"UNIT";#N/A,#N/A,FALSE,"계정"}</definedName>
    <definedName name="성" localSheetId="1" hidden="1">{#N/A,#N/A,FALSE,"UNIT";#N/A,#N/A,FALSE,"UNIT";#N/A,#N/A,FALSE,"계정"}</definedName>
    <definedName name="성" localSheetId="4" hidden="1">{#N/A,#N/A,FALSE,"UNIT";#N/A,#N/A,FALSE,"UNIT";#N/A,#N/A,FALSE,"계정"}</definedName>
    <definedName name="성" hidden="1">{#N/A,#N/A,FALSE,"UNIT";#N/A,#N/A,FALSE,"UNIT";#N/A,#N/A,FALSE,"계정"}</definedName>
    <definedName name="세부일정" localSheetId="1" hidden="1">{#N/A,#N/A,FALSE,"단축1";#N/A,#N/A,FALSE,"단축2";#N/A,#N/A,FALSE,"단축3";#N/A,#N/A,FALSE,"장축";#N/A,#N/A,FALSE,"4WD"}</definedName>
    <definedName name="세부일정" localSheetId="4" hidden="1">{#N/A,#N/A,FALSE,"단축1";#N/A,#N/A,FALSE,"단축2";#N/A,#N/A,FALSE,"단축3";#N/A,#N/A,FALSE,"장축";#N/A,#N/A,FALSE,"4WD"}</definedName>
    <definedName name="세부일정" hidden="1">{#N/A,#N/A,FALSE,"단축1";#N/A,#N/A,FALSE,"단축2";#N/A,#N/A,FALSE,"단축3";#N/A,#N/A,FALSE,"장축";#N/A,#N/A,FALSE,"4WD"}</definedName>
    <definedName name="세부일정.1" localSheetId="1" hidden="1">{#N/A,#N/A,FALSE,"단축1";#N/A,#N/A,FALSE,"단축2";#N/A,#N/A,FALSE,"단축3";#N/A,#N/A,FALSE,"장축";#N/A,#N/A,FALSE,"4WD"}</definedName>
    <definedName name="세부일정.1" localSheetId="4" hidden="1">{#N/A,#N/A,FALSE,"단축1";#N/A,#N/A,FALSE,"단축2";#N/A,#N/A,FALSE,"단축3";#N/A,#N/A,FALSE,"장축";#N/A,#N/A,FALSE,"4WD"}</definedName>
    <definedName name="세부일정.1" hidden="1">{#N/A,#N/A,FALSE,"단축1";#N/A,#N/A,FALSE,"단축2";#N/A,#N/A,FALSE,"단축3";#N/A,#N/A,FALSE,"장축";#N/A,#N/A,FALSE,"4WD"}</definedName>
    <definedName name="소득금액" localSheetId="2" hidden="1">{#N/A,#N/A,FALSE,"UNIT";#N/A,#N/A,FALSE,"UNIT";#N/A,#N/A,FALSE,"계정"}</definedName>
    <definedName name="소득금액" localSheetId="1" hidden="1">{#N/A,#N/A,FALSE,"UNIT";#N/A,#N/A,FALSE,"UNIT";#N/A,#N/A,FALSE,"계정"}</definedName>
    <definedName name="소득금액" localSheetId="4"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localSheetId="1" hidden="1">{#N/A,#N/A,FALSE,"UNIT";#N/A,#N/A,FALSE,"UNIT";#N/A,#N/A,FALSE,"계정"}</definedName>
    <definedName name="소득금액2000" localSheetId="4" hidden="1">{#N/A,#N/A,FALSE,"UNIT";#N/A,#N/A,FALSE,"UNIT";#N/A,#N/A,FALSE,"계정"}</definedName>
    <definedName name="소득금액2000" hidden="1">{#N/A,#N/A,FALSE,"UNIT";#N/A,#N/A,FALSE,"UNIT";#N/A,#N/A,FALSE,"계정"}</definedName>
    <definedName name="소요금액" localSheetId="1" hidden="1">{#N/A,#N/A,FALSE,"단축1";#N/A,#N/A,FALSE,"단축2";#N/A,#N/A,FALSE,"단축3";#N/A,#N/A,FALSE,"장축";#N/A,#N/A,FALSE,"4WD"}</definedName>
    <definedName name="소요금액" localSheetId="4" hidden="1">{#N/A,#N/A,FALSE,"단축1";#N/A,#N/A,FALSE,"단축2";#N/A,#N/A,FALSE,"단축3";#N/A,#N/A,FALSE,"장축";#N/A,#N/A,FALSE,"4WD"}</definedName>
    <definedName name="소요금액" hidden="1">{#N/A,#N/A,FALSE,"단축1";#N/A,#N/A,FALSE,"단축2";#N/A,#N/A,FALSE,"단축3";#N/A,#N/A,FALSE,"장축";#N/A,#N/A,FALSE,"4WD"}</definedName>
    <definedName name="소화주철장판" localSheetId="1" hidden="1">{#N/A,#N/A,FALSE,"단축1";#N/A,#N/A,FALSE,"단축2";#N/A,#N/A,FALSE,"단축3";#N/A,#N/A,FALSE,"장축";#N/A,#N/A,FALSE,"4WD"}</definedName>
    <definedName name="소화주철장판" localSheetId="4" hidden="1">{#N/A,#N/A,FALSE,"단축1";#N/A,#N/A,FALSE,"단축2";#N/A,#N/A,FALSE,"단축3";#N/A,#N/A,FALSE,"장축";#N/A,#N/A,FALSE,"4WD"}</definedName>
    <definedName name="소화주철장판" hidden="1">{#N/A,#N/A,FALSE,"단축1";#N/A,#N/A,FALSE,"단축2";#N/A,#N/A,FALSE,"단축3";#N/A,#N/A,FALSE,"장축";#N/A,#N/A,FALSE,"4WD"}</definedName>
    <definedName name="손익3" localSheetId="2" hidden="1">{#N/A,#N/A,FALSE,"UNIT";#N/A,#N/A,FALSE,"UNIT";#N/A,#N/A,FALSE,"계정"}</definedName>
    <definedName name="손익3" localSheetId="1" hidden="1">{#N/A,#N/A,FALSE,"UNIT";#N/A,#N/A,FALSE,"UNIT";#N/A,#N/A,FALSE,"계정"}</definedName>
    <definedName name="손익3" localSheetId="4" hidden="1">{#N/A,#N/A,FALSE,"UNIT";#N/A,#N/A,FALSE,"UNIT";#N/A,#N/A,FALSE,"계정"}</definedName>
    <definedName name="손익3" hidden="1">{#N/A,#N/A,FALSE,"UNIT";#N/A,#N/A,FALSE,"UNIT";#N/A,#N/A,FALSE,"계정"}</definedName>
    <definedName name="손익계산서">#N/A</definedName>
    <definedName name="손익예상" localSheetId="2" hidden="1">{#N/A,#N/A,FALSE,"UNIT";#N/A,#N/A,FALSE,"UNIT";#N/A,#N/A,FALSE,"계정"}</definedName>
    <definedName name="손익예상" localSheetId="1" hidden="1">{#N/A,#N/A,FALSE,"UNIT";#N/A,#N/A,FALSE,"UNIT";#N/A,#N/A,FALSE,"계정"}</definedName>
    <definedName name="손익예상" localSheetId="4" hidden="1">{#N/A,#N/A,FALSE,"UNIT";#N/A,#N/A,FALSE,"UNIT";#N/A,#N/A,FALSE,"계정"}</definedName>
    <definedName name="손익예상" hidden="1">{#N/A,#N/A,FALSE,"UNIT";#N/A,#N/A,FALSE,"UNIT";#N/A,#N/A,FALSE,"계정"}</definedName>
    <definedName name="수익4속" localSheetId="1" hidden="1">{#N/A,#N/A,FALSE,"단축1";#N/A,#N/A,FALSE,"단축2";#N/A,#N/A,FALSE,"단축3";#N/A,#N/A,FALSE,"장축";#N/A,#N/A,FALSE,"4WD"}</definedName>
    <definedName name="수익4속" localSheetId="4" hidden="1">{#N/A,#N/A,FALSE,"단축1";#N/A,#N/A,FALSE,"단축2";#N/A,#N/A,FALSE,"단축3";#N/A,#N/A,FALSE,"장축";#N/A,#N/A,FALSE,"4WD"}</definedName>
    <definedName name="수익4속" hidden="1">{#N/A,#N/A,FALSE,"단축1";#N/A,#N/A,FALSE,"단축2";#N/A,#N/A,FALSE,"단축3";#N/A,#N/A,FALSE,"장축";#N/A,#N/A,FALSE,"4WD"}</definedName>
    <definedName name="수정PL" localSheetId="2">BLCH</definedName>
    <definedName name="수정PL" localSheetId="1">BLCH</definedName>
    <definedName name="수정PL" localSheetId="4">BLCH</definedName>
    <definedName name="수정PL">BLCH</definedName>
    <definedName name="수정현금흐름표" localSheetId="2"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localSheetId="4"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localSheetId="1" hidden="1">{#N/A,#N/A,TRUE,"Summary";#N/A,#N/A,TRUE,"IS";#N/A,#N/A,TRUE,"Adj";#N/A,#N/A,TRUE,"BS";#N/A,#N/A,TRUE,"CF";#N/A,#N/A,TRUE,"Debt";#N/A,#N/A,TRUE,"IRR"}</definedName>
    <definedName name="수정현금흐름표2" localSheetId="4" hidden="1">{#N/A,#N/A,TRUE,"Summary";#N/A,#N/A,TRUE,"IS";#N/A,#N/A,TRUE,"Adj";#N/A,#N/A,TRUE,"BS";#N/A,#N/A,TRUE,"CF";#N/A,#N/A,TRUE,"Debt";#N/A,#N/A,TRUE,"IRR"}</definedName>
    <definedName name="수정현금흐름표2" hidden="1">{#N/A,#N/A,TRUE,"Summary";#N/A,#N/A,TRUE,"IS";#N/A,#N/A,TRUE,"Adj";#N/A,#N/A,TRUE,"BS";#N/A,#N/A,TRUE,"CF";#N/A,#N/A,TRUE,"Debt";#N/A,#N/A,TRUE,"IRR"}</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스타렉스" localSheetId="1" hidden="1">{#N/A,#N/A,FALSE,"단축1";#N/A,#N/A,FALSE,"단축2";#N/A,#N/A,FALSE,"단축3";#N/A,#N/A,FALSE,"장축";#N/A,#N/A,FALSE,"4WD"}</definedName>
    <definedName name="스타렉스" localSheetId="4" hidden="1">{#N/A,#N/A,FALSE,"단축1";#N/A,#N/A,FALSE,"단축2";#N/A,#N/A,FALSE,"단축3";#N/A,#N/A,FALSE,"장축";#N/A,#N/A,FALSE,"4WD"}</definedName>
    <definedName name="스타렉스" hidden="1">{#N/A,#N/A,FALSE,"단축1";#N/A,#N/A,FALSE,"단축2";#N/A,#N/A,FALSE,"단축3";#N/A,#N/A,FALSE,"장축";#N/A,#N/A,FALSE,"4WD"}</definedName>
    <definedName name="신AT종합" localSheetId="1" hidden="1">{#N/A,#N/A,FALSE,"단축1";#N/A,#N/A,FALSE,"단축2";#N/A,#N/A,FALSE,"단축3";#N/A,#N/A,FALSE,"장축";#N/A,#N/A,FALSE,"4WD"}</definedName>
    <definedName name="신AT종합" localSheetId="4" hidden="1">{#N/A,#N/A,FALSE,"단축1";#N/A,#N/A,FALSE,"단축2";#N/A,#N/A,FALSE,"단축3";#N/A,#N/A,FALSE,"장축";#N/A,#N/A,FALSE,"4WD"}</definedName>
    <definedName name="신AT종합" hidden="1">{#N/A,#N/A,FALSE,"단축1";#N/A,#N/A,FALSE,"단축2";#N/A,#N/A,FALSE,"단축3";#N/A,#N/A,FALSE,"장축";#N/A,#N/A,FALSE,"4WD"}</definedName>
    <definedName name="신동" localSheetId="1" hidden="1">{#N/A,#N/A,FALSE,"신규dep";#N/A,#N/A,FALSE,"신규dep-금형상각후";#N/A,#N/A,FALSE,"신규dep-연구비상각후";#N/A,#N/A,FALSE,"신규dep-기계,공구상각후"}</definedName>
    <definedName name="신동" localSheetId="4"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 hidden="1">{#N/A,#N/A,FALSE,"신규dep";#N/A,#N/A,FALSE,"신규dep-금형상각후";#N/A,#N/A,FALSE,"신규dep-연구비상각후";#N/A,#N/A,FALSE,"신규dep-기계,공구상각후"}</definedName>
    <definedName name="신동조" localSheetId="4"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 hidden="1">{#N/A,#N/A,FALSE,"단축1";#N/A,#N/A,FALSE,"단축2";#N/A,#N/A,FALSE,"단축3";#N/A,#N/A,FALSE,"장축";#N/A,#N/A,FALSE,"4WD"}</definedName>
    <definedName name="신동좁" localSheetId="4" hidden="1">{#N/A,#N/A,FALSE,"단축1";#N/A,#N/A,FALSE,"단축2";#N/A,#N/A,FALSE,"단축3";#N/A,#N/A,FALSE,"장축";#N/A,#N/A,FALSE,"4WD"}</definedName>
    <definedName name="신동좁" hidden="1">{#N/A,#N/A,FALSE,"단축1";#N/A,#N/A,FALSE,"단축2";#N/A,#N/A,FALSE,"단축3";#N/A,#N/A,FALSE,"장축";#N/A,#N/A,FALSE,"4WD"}</definedName>
    <definedName name="신세대종합" localSheetId="1" hidden="1">{#N/A,#N/A,FALSE,"단축1";#N/A,#N/A,FALSE,"단축2";#N/A,#N/A,FALSE,"단축3";#N/A,#N/A,FALSE,"장축";#N/A,#N/A,FALSE,"4WD"}</definedName>
    <definedName name="신세대종합" localSheetId="4" hidden="1">{#N/A,#N/A,FALSE,"단축1";#N/A,#N/A,FALSE,"단축2";#N/A,#N/A,FALSE,"단축3";#N/A,#N/A,FALSE,"장축";#N/A,#N/A,FALSE,"4WD"}</definedName>
    <definedName name="신세대종합" hidden="1">{#N/A,#N/A,FALSE,"단축1";#N/A,#N/A,FALSE,"단축2";#N/A,#N/A,FALSE,"단축3";#N/A,#N/A,FALSE,"장축";#N/A,#N/A,FALSE,"4WD"}</definedName>
    <definedName name="실적4월" localSheetId="2" hidden="1">{#N/A,#N/A,FALSE,"UNIT";#N/A,#N/A,FALSE,"UNIT";#N/A,#N/A,FALSE,"계정"}</definedName>
    <definedName name="실적4월" localSheetId="1" hidden="1">{#N/A,#N/A,FALSE,"UNIT";#N/A,#N/A,FALSE,"UNIT";#N/A,#N/A,FALSE,"계정"}</definedName>
    <definedName name="실적4월" localSheetId="4" hidden="1">{#N/A,#N/A,FALSE,"UNIT";#N/A,#N/A,FALSE,"UNIT";#N/A,#N/A,FALSE,"계정"}</definedName>
    <definedName name="실적4월" hidden="1">{#N/A,#N/A,FALSE,"UNIT";#N/A,#N/A,FALSE,"UNIT";#N/A,#N/A,FALSE,"계정"}</definedName>
    <definedName name="실적6월" localSheetId="2" hidden="1">{#N/A,#N/A,FALSE,"UNIT";#N/A,#N/A,FALSE,"UNIT";#N/A,#N/A,FALSE,"계정"}</definedName>
    <definedName name="실적6월" localSheetId="1" hidden="1">{#N/A,#N/A,FALSE,"UNIT";#N/A,#N/A,FALSE,"UNIT";#N/A,#N/A,FALSE,"계정"}</definedName>
    <definedName name="실적6월" localSheetId="4" hidden="1">{#N/A,#N/A,FALSE,"UNIT";#N/A,#N/A,FALSE,"UNIT";#N/A,#N/A,FALSE,"계정"}</definedName>
    <definedName name="실적6월" hidden="1">{#N/A,#N/A,FALSE,"UNIT";#N/A,#N/A,FALSE,"UNIT";#N/A,#N/A,FALSE,"계정"}</definedName>
    <definedName name="ㅇㄴㅇㅇ" localSheetId="2" hidden="1">{#N/A,#N/A,FALSE,"UNIT";#N/A,#N/A,FALSE,"UNIT";#N/A,#N/A,FALSE,"계정"}</definedName>
    <definedName name="ㅇㄴㅇㅇ" localSheetId="1" hidden="1">{#N/A,#N/A,FALSE,"UNIT";#N/A,#N/A,FALSE,"UNIT";#N/A,#N/A,FALSE,"계정"}</definedName>
    <definedName name="ㅇㄴㅇㅇ" localSheetId="4" hidden="1">{#N/A,#N/A,FALSE,"UNIT";#N/A,#N/A,FALSE,"UNIT";#N/A,#N/A,FALSE,"계정"}</definedName>
    <definedName name="ㅇㄴㅇㅇ" hidden="1">{#N/A,#N/A,FALSE,"UNIT";#N/A,#N/A,FALSE,"UNIT";#N/A,#N/A,FALSE,"계정"}</definedName>
    <definedName name="ㅇㄹㄹㄹㄴㄹ" localSheetId="1" hidden="1">{#N/A,#N/A,FALSE,"단축1";#N/A,#N/A,FALSE,"단축2";#N/A,#N/A,FALSE,"단축3";#N/A,#N/A,FALSE,"장축";#N/A,#N/A,FALSE,"4WD"}</definedName>
    <definedName name="ㅇㄹㄹㄹㄴㄹ" localSheetId="4" hidden="1">{#N/A,#N/A,FALSE,"단축1";#N/A,#N/A,FALSE,"단축2";#N/A,#N/A,FALSE,"단축3";#N/A,#N/A,FALSE,"장축";#N/A,#N/A,FALSE,"4WD"}</definedName>
    <definedName name="ㅇㄹㄹㄹㄴㄹ" hidden="1">{#N/A,#N/A,FALSE,"단축1";#N/A,#N/A,FALSE,"단축2";#N/A,#N/A,FALSE,"단축3";#N/A,#N/A,FALSE,"장축";#N/A,#N/A,FALSE,"4WD"}</definedName>
    <definedName name="ㅇㅁㄴㅇ" localSheetId="1" hidden="1">{#N/A,#N/A,FALSE,"단축1";#N/A,#N/A,FALSE,"단축2";#N/A,#N/A,FALSE,"단축3";#N/A,#N/A,FALSE,"장축";#N/A,#N/A,FALSE,"4WD"}</definedName>
    <definedName name="ㅇㅁㄴㅇ" localSheetId="4" hidden="1">{#N/A,#N/A,FALSE,"단축1";#N/A,#N/A,FALSE,"단축2";#N/A,#N/A,FALSE,"단축3";#N/A,#N/A,FALSE,"장축";#N/A,#N/A,FALSE,"4WD"}</definedName>
    <definedName name="ㅇㅁㄴㅇ" hidden="1">{#N/A,#N/A,FALSE,"단축1";#N/A,#N/A,FALSE,"단축2";#N/A,#N/A,FALSE,"단축3";#N/A,#N/A,FALSE,"장축";#N/A,#N/A,FALSE,"4WD"}</definedName>
    <definedName name="ㅇㅇ" localSheetId="2" hidden="1">{#N/A,#N/A,FALSE,"UNIT";#N/A,#N/A,FALSE,"UNIT";#N/A,#N/A,FALSE,"계정"}</definedName>
    <definedName name="ㅇㅇ" localSheetId="1" hidden="1">{#N/A,#N/A,FALSE,"UNIT";#N/A,#N/A,FALSE,"UNIT";#N/A,#N/A,FALSE,"계정"}</definedName>
    <definedName name="ㅇㅇ" localSheetId="4" hidden="1">{#N/A,#N/A,FALSE,"UNIT";#N/A,#N/A,FALSE,"UNIT";#N/A,#N/A,FALSE,"계정"}</definedName>
    <definedName name="ㅇㅇ" hidden="1">{#N/A,#N/A,FALSE,"UNIT";#N/A,#N/A,FALSE,"UNIT";#N/A,#N/A,FALSE,"계정"}</definedName>
    <definedName name="ㅇㅇㅇ" localSheetId="2" hidden="1">{#N/A,#N/A,FALSE,"Aging Summary";#N/A,#N/A,FALSE,"Ratio Analysis";#N/A,#N/A,FALSE,"Test 120 Day Accts";#N/A,#N/A,FALSE,"Tickmarks"}</definedName>
    <definedName name="ㅇㅇㅇ" localSheetId="1" hidden="1">{#N/A,#N/A,FALSE,"Aging Summary";#N/A,#N/A,FALSE,"Ratio Analysis";#N/A,#N/A,FALSE,"Test 120 Day Accts";#N/A,#N/A,FALSE,"Tickmarks"}</definedName>
    <definedName name="ㅇㅇㅇ" localSheetId="4" hidden="1">{#N/A,#N/A,FALSE,"Aging Summary";#N/A,#N/A,FALSE,"Ratio Analysis";#N/A,#N/A,FALSE,"Test 120 Day Accts";#N/A,#N/A,FALSE,"Tickmarks"}</definedName>
    <definedName name="ㅇㅇㅇ" hidden="1">{#N/A,#N/A,FALSE,"Aging Summary";#N/A,#N/A,FALSE,"Ratio Analysis";#N/A,#N/A,FALSE,"Test 120 Day Accts";#N/A,#N/A,FALSE,"Tickmarks"}</definedName>
    <definedName name="ㅇㅇㅇㅇㅇ" localSheetId="2" hidden="1">{#N/A,#N/A,FALSE,"UNIT";#N/A,#N/A,FALSE,"UNIT";#N/A,#N/A,FALSE,"계정"}</definedName>
    <definedName name="ㅇㅇㅇㅇㅇ" localSheetId="1" hidden="1">{#N/A,#N/A,FALSE,"UNIT";#N/A,#N/A,FALSE,"UNIT";#N/A,#N/A,FALSE,"계정"}</definedName>
    <definedName name="ㅇㅇㅇㅇㅇ" localSheetId="4" hidden="1">{#N/A,#N/A,FALSE,"UNIT";#N/A,#N/A,FALSE,"UNIT";#N/A,#N/A,FALSE,"계정"}</definedName>
    <definedName name="ㅇㅇㅇㅇㅇ" hidden="1">{#N/A,#N/A,FALSE,"UNIT";#N/A,#N/A,FALSE,"UNIT";#N/A,#N/A,FALSE,"계정"}</definedName>
    <definedName name="ㅇㅇㅇㅇㅇㅇ" localSheetId="2" hidden="1">{#N/A,#N/A,FALSE,"UNIT";#N/A,#N/A,FALSE,"UNIT";#N/A,#N/A,FALSE,"계정"}</definedName>
    <definedName name="ㅇㅇㅇㅇㅇㅇ" localSheetId="1" hidden="1">{#N/A,#N/A,FALSE,"UNIT";#N/A,#N/A,FALSE,"UNIT";#N/A,#N/A,FALSE,"계정"}</definedName>
    <definedName name="ㅇㅇㅇㅇㅇㅇ" localSheetId="4" hidden="1">{#N/A,#N/A,FALSE,"UNIT";#N/A,#N/A,FALSE,"UNIT";#N/A,#N/A,FALSE,"계정"}</definedName>
    <definedName name="ㅇㅇㅇㅇㅇㅇ" hidden="1">{#N/A,#N/A,FALSE,"UNIT";#N/A,#N/A,FALSE,"UNIT";#N/A,#N/A,FALSE,"계정"}</definedName>
    <definedName name="아조하아" localSheetId="2" hidden="1">{#N/A,#N/A,FALSE,"UNIT";#N/A,#N/A,FALSE,"UNIT";#N/A,#N/A,FALSE,"계정"}</definedName>
    <definedName name="아조하아" localSheetId="1" hidden="1">{#N/A,#N/A,FALSE,"UNIT";#N/A,#N/A,FALSE,"UNIT";#N/A,#N/A,FALSE,"계정"}</definedName>
    <definedName name="아조하아" localSheetId="4" hidden="1">{#N/A,#N/A,FALSE,"UNIT";#N/A,#N/A,FALSE,"UNIT";#N/A,#N/A,FALSE,"계정"}</definedName>
    <definedName name="아조하아" hidden="1">{#N/A,#N/A,FALSE,"UNIT";#N/A,#N/A,FALSE,"UNIT";#N/A,#N/A,FALSE,"계정"}</definedName>
    <definedName name="아ㅏ아아아아아" localSheetId="2" hidden="1">{#N/A,#N/A,FALSE,"UNIT";#N/A,#N/A,FALSE,"UNIT";#N/A,#N/A,FALSE,"계정"}</definedName>
    <definedName name="아ㅏ아아아아아" localSheetId="1" hidden="1">{#N/A,#N/A,FALSE,"UNIT";#N/A,#N/A,FALSE,"UNIT";#N/A,#N/A,FALSE,"계정"}</definedName>
    <definedName name="아ㅏ아아아아아" localSheetId="4" hidden="1">{#N/A,#N/A,FALSE,"UNIT";#N/A,#N/A,FALSE,"UNIT";#N/A,#N/A,FALSE,"계정"}</definedName>
    <definedName name="아ㅏ아아아아아" hidden="1">{#N/A,#N/A,FALSE,"UNIT";#N/A,#N/A,FALSE,"UNIT";#N/A,#N/A,FALSE,"계정"}</definedName>
    <definedName name="엄" localSheetId="2" hidden="1">{#N/A,#N/A,FALSE,"Aging Summary";#N/A,#N/A,FALSE,"Ratio Analysis";#N/A,#N/A,FALSE,"Test 120 Day Accts";#N/A,#N/A,FALSE,"Tickmarks"}</definedName>
    <definedName name="엄" localSheetId="1" hidden="1">{#N/A,#N/A,FALSE,"Aging Summary";#N/A,#N/A,FALSE,"Ratio Analysis";#N/A,#N/A,FALSE,"Test 120 Day Accts";#N/A,#N/A,FALSE,"Tickmarks"}</definedName>
    <definedName name="엄" localSheetId="4" hidden="1">{#N/A,#N/A,FALSE,"Aging Summary";#N/A,#N/A,FALSE,"Ratio Analysis";#N/A,#N/A,FALSE,"Test 120 Day Accts";#N/A,#N/A,FALSE,"Tickmarks"}</definedName>
    <definedName name="엄" hidden="1">{#N/A,#N/A,FALSE,"Aging Summary";#N/A,#N/A,FALSE,"Ratio Analysis";#N/A,#N/A,FALSE,"Test 120 Day Accts";#N/A,#N/A,FALSE,"Tickmarks"}</definedName>
    <definedName name="엄은숙" localSheetId="2" hidden="1">{#N/A,#N/A,FALSE,"Aging Summary";#N/A,#N/A,FALSE,"Ratio Analysis";#N/A,#N/A,FALSE,"Test 120 Day Accts";#N/A,#N/A,FALSE,"Tickmarks"}</definedName>
    <definedName name="엄은숙" localSheetId="1" hidden="1">{#N/A,#N/A,FALSE,"Aging Summary";#N/A,#N/A,FALSE,"Ratio Analysis";#N/A,#N/A,FALSE,"Test 120 Day Accts";#N/A,#N/A,FALSE,"Tickmarks"}</definedName>
    <definedName name="엄은숙" localSheetId="4"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체" localSheetId="1" hidden="1">{#N/A,#N/A,FALSE,"단축1";#N/A,#N/A,FALSE,"단축2";#N/A,#N/A,FALSE,"단축3";#N/A,#N/A,FALSE,"장축";#N/A,#N/A,FALSE,"4WD"}</definedName>
    <definedName name="업체" localSheetId="4" hidden="1">{#N/A,#N/A,FALSE,"단축1";#N/A,#N/A,FALSE,"단축2";#N/A,#N/A,FALSE,"단축3";#N/A,#N/A,FALSE,"장축";#N/A,#N/A,FALSE,"4WD"}</definedName>
    <definedName name="업체" hidden="1">{#N/A,#N/A,FALSE,"단축1";#N/A,#N/A,FALSE,"단축2";#N/A,#N/A,FALSE,"단축3";#N/A,#N/A,FALSE,"장축";#N/A,#N/A,FALSE,"4WD"}</definedName>
    <definedName name="엔진일정1" localSheetId="1" hidden="1">{#N/A,#N/A,FALSE,"단축1";#N/A,#N/A,FALSE,"단축2";#N/A,#N/A,FALSE,"단축3";#N/A,#N/A,FALSE,"장축";#N/A,#N/A,FALSE,"4WD"}</definedName>
    <definedName name="엔진일정1" localSheetId="4" hidden="1">{#N/A,#N/A,FALSE,"단축1";#N/A,#N/A,FALSE,"단축2";#N/A,#N/A,FALSE,"단축3";#N/A,#N/A,FALSE,"장축";#N/A,#N/A,FALSE,"4WD"}</definedName>
    <definedName name="엔진일정1" hidden="1">{#N/A,#N/A,FALSE,"단축1";#N/A,#N/A,FALSE,"단축2";#N/A,#N/A,FALSE,"단축3";#N/A,#N/A,FALSE,"장축";#N/A,#N/A,FALSE,"4WD"}</definedName>
    <definedName name="엔진표지" localSheetId="1" hidden="1">{#N/A,#N/A,FALSE,"단축1";#N/A,#N/A,FALSE,"단축2";#N/A,#N/A,FALSE,"단축3";#N/A,#N/A,FALSE,"장축";#N/A,#N/A,FALSE,"4WD"}</definedName>
    <definedName name="엔진표지" localSheetId="4" hidden="1">{#N/A,#N/A,FALSE,"단축1";#N/A,#N/A,FALSE,"단축2";#N/A,#N/A,FALSE,"단축3";#N/A,#N/A,FALSE,"장축";#N/A,#N/A,FALSE,"4WD"}</definedName>
    <definedName name="엔진표지" hidden="1">{#N/A,#N/A,FALSE,"단축1";#N/A,#N/A,FALSE,"단축2";#N/A,#N/A,FALSE,"단축3";#N/A,#N/A,FALSE,"장축";#N/A,#N/A,FALSE,"4WD"}</definedName>
    <definedName name="연간예상" localSheetId="2" hidden="1">{#N/A,#N/A,FALSE,"UNIT";#N/A,#N/A,FALSE,"UNIT";#N/A,#N/A,FALSE,"계정"}</definedName>
    <definedName name="연간예상" localSheetId="1" hidden="1">{#N/A,#N/A,FALSE,"UNIT";#N/A,#N/A,FALSE,"UNIT";#N/A,#N/A,FALSE,"계정"}</definedName>
    <definedName name="연간예상" localSheetId="4" hidden="1">{#N/A,#N/A,FALSE,"UNIT";#N/A,#N/A,FALSE,"UNIT";#N/A,#N/A,FALSE,"계정"}</definedName>
    <definedName name="연간예상" hidden="1">{#N/A,#N/A,FALSE,"UNIT";#N/A,#N/A,FALSE,"UNIT";#N/A,#N/A,FALSE,"계정"}</definedName>
    <definedName name="연말손익" localSheetId="2" hidden="1">{#N/A,#N/A,FALSE,"UNIT";#N/A,#N/A,FALSE,"UNIT";#N/A,#N/A,FALSE,"계정"}</definedName>
    <definedName name="연말손익" localSheetId="1" hidden="1">{#N/A,#N/A,FALSE,"UNIT";#N/A,#N/A,FALSE,"UNIT";#N/A,#N/A,FALSE,"계정"}</definedName>
    <definedName name="연말손익" localSheetId="4" hidden="1">{#N/A,#N/A,FALSE,"UNIT";#N/A,#N/A,FALSE,"UNIT";#N/A,#N/A,FALSE,"계정"}</definedName>
    <definedName name="연말손익" hidden="1">{#N/A,#N/A,FALSE,"UNIT";#N/A,#N/A,FALSE,"UNIT";#N/A,#N/A,FALSE,"계정"}</definedName>
    <definedName name="열처리" localSheetId="1" hidden="1">{#N/A,#N/A,FALSE,"단축1";#N/A,#N/A,FALSE,"단축2";#N/A,#N/A,FALSE,"단축3";#N/A,#N/A,FALSE,"장축";#N/A,#N/A,FALSE,"4WD"}</definedName>
    <definedName name="열처리" localSheetId="4" hidden="1">{#N/A,#N/A,FALSE,"단축1";#N/A,#N/A,FALSE,"단축2";#N/A,#N/A,FALSE,"단축3";#N/A,#N/A,FALSE,"장축";#N/A,#N/A,FALSE,"4WD"}</definedName>
    <definedName name="열처리" hidden="1">{#N/A,#N/A,FALSE,"단축1";#N/A,#N/A,FALSE,"단축2";#N/A,#N/A,FALSE,"단축3";#N/A,#N/A,FALSE,"장축";#N/A,#N/A,FALSE,"4WD"}</definedName>
    <definedName name="예산" localSheetId="1" hidden="1">{#N/A,#N/A,FALSE,"단축1";#N/A,#N/A,FALSE,"단축2";#N/A,#N/A,FALSE,"단축3";#N/A,#N/A,FALSE,"장축";#N/A,#N/A,FALSE,"4WD"}</definedName>
    <definedName name="예산" localSheetId="4" hidden="1">{#N/A,#N/A,FALSE,"단축1";#N/A,#N/A,FALSE,"단축2";#N/A,#N/A,FALSE,"단축3";#N/A,#N/A,FALSE,"장축";#N/A,#N/A,FALSE,"4WD"}</definedName>
    <definedName name="예산" hidden="1">{#N/A,#N/A,FALSE,"단축1";#N/A,#N/A,FALSE,"단축2";#N/A,#N/A,FALSE,"단축3";#N/A,#N/A,FALSE,"장축";#N/A,#N/A,FALSE,"4WD"}</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운반비9">#N/A</definedName>
    <definedName name="운영방안" localSheetId="1" hidden="1">{#N/A,#N/A,FALSE,"단축1";#N/A,#N/A,FALSE,"단축2";#N/A,#N/A,FALSE,"단축3";#N/A,#N/A,FALSE,"장축";#N/A,#N/A,FALSE,"4WD"}</definedName>
    <definedName name="운영방안" localSheetId="4" hidden="1">{#N/A,#N/A,FALSE,"단축1";#N/A,#N/A,FALSE,"단축2";#N/A,#N/A,FALSE,"단축3";#N/A,#N/A,FALSE,"장축";#N/A,#N/A,FALSE,"4WD"}</definedName>
    <definedName name="운영방안" hidden="1">{#N/A,#N/A,FALSE,"단축1";#N/A,#N/A,FALSE,"단축2";#N/A,#N/A,FALSE,"단축3";#N/A,#N/A,FALSE,"장축";#N/A,#N/A,FALSE,"4WD"}</definedName>
    <definedName name="月算" localSheetId="1" hidden="1">{#N/A,#N/A,FALSE,"단축1";#N/A,#N/A,FALSE,"단축2";#N/A,#N/A,FALSE,"단축3";#N/A,#N/A,FALSE,"장축";#N/A,#N/A,FALSE,"4WD"}</definedName>
    <definedName name="月算" localSheetId="4" hidden="1">{#N/A,#N/A,FALSE,"단축1";#N/A,#N/A,FALSE,"단축2";#N/A,#N/A,FALSE,"단축3";#N/A,#N/A,FALSE,"장축";#N/A,#N/A,FALSE,"4WD"}</definedName>
    <definedName name="月算" hidden="1">{#N/A,#N/A,FALSE,"단축1";#N/A,#N/A,FALSE,"단축2";#N/A,#N/A,FALSE,"단축3";#N/A,#N/A,FALSE,"장축";#N/A,#N/A,FALSE,"4WD"}</definedName>
    <definedName name="유가증권">#N/A</definedName>
    <definedName name="凝析" localSheetId="1" hidden="1">{#N/A,#N/A,FALSE,"단축1";#N/A,#N/A,FALSE,"단축2";#N/A,#N/A,FALSE,"단축3";#N/A,#N/A,FALSE,"장축";#N/A,#N/A,FALSE,"4WD"}</definedName>
    <definedName name="凝析" localSheetId="4" hidden="1">{#N/A,#N/A,FALSE,"단축1";#N/A,#N/A,FALSE,"단축2";#N/A,#N/A,FALSE,"단축3";#N/A,#N/A,FALSE,"장축";#N/A,#N/A,FALSE,"4WD"}</definedName>
    <definedName name="凝析" hidden="1">{#N/A,#N/A,FALSE,"단축1";#N/A,#N/A,FALSE,"단축2";#N/A,#N/A,FALSE,"단축3";#N/A,#N/A,FALSE,"장축";#N/A,#N/A,FALSE,"4WD"}</definedName>
    <definedName name="이근" localSheetId="1" hidden="1">{#N/A,#N/A,FALSE,"단축1";#N/A,#N/A,FALSE,"단축2";#N/A,#N/A,FALSE,"단축3";#N/A,#N/A,FALSE,"장축";#N/A,#N/A,FALSE,"4WD"}</definedName>
    <definedName name="이근" localSheetId="4" hidden="1">{#N/A,#N/A,FALSE,"단축1";#N/A,#N/A,FALSE,"단축2";#N/A,#N/A,FALSE,"단축3";#N/A,#N/A,FALSE,"장축";#N/A,#N/A,FALSE,"4WD"}</definedName>
    <definedName name="이근" hidden="1">{#N/A,#N/A,FALSE,"단축1";#N/A,#N/A,FALSE,"단축2";#N/A,#N/A,FALSE,"단축3";#N/A,#N/A,FALSE,"장축";#N/A,#N/A,FALSE,"4WD"}</definedName>
    <definedName name="이근한" localSheetId="1" hidden="1">{#N/A,#N/A,FALSE,"단축1";#N/A,#N/A,FALSE,"단축2";#N/A,#N/A,FALSE,"단축3";#N/A,#N/A,FALSE,"장축";#N/A,#N/A,FALSE,"4WD"}</definedName>
    <definedName name="이근한" localSheetId="4" hidden="1">{#N/A,#N/A,FALSE,"단축1";#N/A,#N/A,FALSE,"단축2";#N/A,#N/A,FALSE,"단축3";#N/A,#N/A,FALSE,"장축";#N/A,#N/A,FALSE,"4WD"}</definedName>
    <definedName name="이근한" hidden="1">{#N/A,#N/A,FALSE,"단축1";#N/A,#N/A,FALSE,"단축2";#N/A,#N/A,FALSE,"단축3";#N/A,#N/A,FALSE,"장축";#N/A,#N/A,FALSE,"4WD"}</definedName>
    <definedName name="이름충돌" localSheetId="2" hidden="1">{#N/A,#N/A,FALSE,"UNIT";#N/A,#N/A,FALSE,"UNIT";#N/A,#N/A,FALSE,"계정"}</definedName>
    <definedName name="이름충돌" localSheetId="1" hidden="1">{#N/A,#N/A,FALSE,"UNIT";#N/A,#N/A,FALSE,"UNIT";#N/A,#N/A,FALSE,"계정"}</definedName>
    <definedName name="이름충돌" localSheetId="4" hidden="1">{#N/A,#N/A,FALSE,"UNIT";#N/A,#N/A,FALSE,"UNIT";#N/A,#N/A,FALSE,"계정"}</definedName>
    <definedName name="이름충돌" hidden="1">{#N/A,#N/A,FALSE,"UNIT";#N/A,#N/A,FALSE,"UNIT";#N/A,#N/A,FALSE,"계정"}</definedName>
    <definedName name="이시혁" localSheetId="1" hidden="1">{#N/A,#N/A,FALSE,"단축1";#N/A,#N/A,FALSE,"단축2";#N/A,#N/A,FALSE,"단축3";#N/A,#N/A,FALSE,"장축";#N/A,#N/A,FALSE,"4WD"}</definedName>
    <definedName name="이시혁" localSheetId="4" hidden="1">{#N/A,#N/A,FALSE,"단축1";#N/A,#N/A,FALSE,"단축2";#N/A,#N/A,FALSE,"단축3";#N/A,#N/A,FALSE,"장축";#N/A,#N/A,FALSE,"4WD"}</definedName>
    <definedName name="이시혁" hidden="1">{#N/A,#N/A,FALSE,"단축1";#N/A,#N/A,FALSE,"단축2";#N/A,#N/A,FALSE,"단축3";#N/A,#N/A,FALSE,"장축";#N/A,#N/A,FALSE,"4WD"}</definedName>
    <definedName name="인상1안" localSheetId="1" hidden="1">{#N/A,#N/A,FALSE,"단축1";#N/A,#N/A,FALSE,"단축2";#N/A,#N/A,FALSE,"단축3";#N/A,#N/A,FALSE,"장축";#N/A,#N/A,FALSE,"4WD"}</definedName>
    <definedName name="인상1안" localSheetId="4" hidden="1">{#N/A,#N/A,FALSE,"단축1";#N/A,#N/A,FALSE,"단축2";#N/A,#N/A,FALSE,"단축3";#N/A,#N/A,FALSE,"장축";#N/A,#N/A,FALSE,"4WD"}</definedName>
    <definedName name="인상1안" hidden="1">{#N/A,#N/A,FALSE,"단축1";#N/A,#N/A,FALSE,"단축2";#N/A,#N/A,FALSE,"단축3";#N/A,#N/A,FALSE,"장축";#N/A,#N/A,FALSE,"4WD"}</definedName>
    <definedName name="임시2" localSheetId="1" hidden="1">{#N/A,#N/A,FALSE,"단축1";#N/A,#N/A,FALSE,"단축2";#N/A,#N/A,FALSE,"단축3";#N/A,#N/A,FALSE,"장축";#N/A,#N/A,FALSE,"4WD"}</definedName>
    <definedName name="임시2" localSheetId="4" hidden="1">{#N/A,#N/A,FALSE,"단축1";#N/A,#N/A,FALSE,"단축2";#N/A,#N/A,FALSE,"단축3";#N/A,#N/A,FALSE,"장축";#N/A,#N/A,FALSE,"4WD"}</definedName>
    <definedName name="임시2" hidden="1">{#N/A,#N/A,FALSE,"단축1";#N/A,#N/A,FALSE,"단축2";#N/A,#N/A,FALSE,"단축3";#N/A,#N/A,FALSE,"장축";#N/A,#N/A,FALSE,"4WD"}</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료1">#N/A</definedName>
    <definedName name="자료2">#N/A</definedName>
    <definedName name="장VP" localSheetId="2" hidden="1">{#N/A,#N/A,FALSE,"UNIT";#N/A,#N/A,FALSE,"UNIT";#N/A,#N/A,FALSE,"계정"}</definedName>
    <definedName name="장VP" localSheetId="1" hidden="1">{#N/A,#N/A,FALSE,"UNIT";#N/A,#N/A,FALSE,"UNIT";#N/A,#N/A,FALSE,"계정"}</definedName>
    <definedName name="장VP" localSheetId="4" hidden="1">{#N/A,#N/A,FALSE,"UNIT";#N/A,#N/A,FALSE,"UNIT";#N/A,#N/A,FALSE,"계정"}</definedName>
    <definedName name="장VP" hidden="1">{#N/A,#N/A,FALSE,"UNIT";#N/A,#N/A,FALSE,"UNIT";#N/A,#N/A,FALSE,"계정"}</definedName>
    <definedName name="재" localSheetId="2" hidden="1">{#N/A,#N/A,FALSE,"UNIT";#N/A,#N/A,FALSE,"UNIT";#N/A,#N/A,FALSE,"계정"}</definedName>
    <definedName name="재" localSheetId="1" hidden="1">{#N/A,#N/A,FALSE,"UNIT";#N/A,#N/A,FALSE,"UNIT";#N/A,#N/A,FALSE,"계정"}</definedName>
    <definedName name="재" localSheetId="4" hidden="1">{#N/A,#N/A,FALSE,"UNIT";#N/A,#N/A,FALSE,"UNIT";#N/A,#N/A,FALSE,"계정"}</definedName>
    <definedName name="재" hidden="1">{#N/A,#N/A,FALSE,"UNIT";#N/A,#N/A,FALSE,"UNIT";#N/A,#N/A,FALSE,"계정"}</definedName>
    <definedName name="저저" localSheetId="2" hidden="1">{#N/A,#N/A,FALSE,"UNIT";#N/A,#N/A,FALSE,"UNIT";#N/A,#N/A,FALSE,"계정"}</definedName>
    <definedName name="저저" localSheetId="1" hidden="1">{#N/A,#N/A,FALSE,"UNIT";#N/A,#N/A,FALSE,"UNIT";#N/A,#N/A,FALSE,"계정"}</definedName>
    <definedName name="저저" localSheetId="4" hidden="1">{#N/A,#N/A,FALSE,"UNIT";#N/A,#N/A,FALSE,"UNIT";#N/A,#N/A,FALSE,"계정"}</definedName>
    <definedName name="저저" hidden="1">{#N/A,#N/A,FALSE,"UNIT";#N/A,#N/A,FALSE,"UNIT";#N/A,#N/A,FALSE,"계정"}</definedName>
    <definedName name="전" localSheetId="1" hidden="1">{#N/A,#N/A,FALSE,"단축1";#N/A,#N/A,FALSE,"단축2";#N/A,#N/A,FALSE,"단축3";#N/A,#N/A,FALSE,"장축";#N/A,#N/A,FALSE,"4WD"}</definedName>
    <definedName name="전" localSheetId="4" hidden="1">{#N/A,#N/A,FALSE,"단축1";#N/A,#N/A,FALSE,"단축2";#N/A,#N/A,FALSE,"단축3";#N/A,#N/A,FALSE,"장축";#N/A,#N/A,FALSE,"4WD"}</definedName>
    <definedName name="전" hidden="1">{#N/A,#N/A,FALSE,"단축1";#N/A,#N/A,FALSE,"단축2";#N/A,#N/A,FALSE,"단축3";#N/A,#N/A,FALSE,"장축";#N/A,#N/A,FALSE,"4WD"}</definedName>
    <definedName name="전부" localSheetId="1" hidden="1">{#N/A,#N/A,FALSE,"단축1";#N/A,#N/A,FALSE,"단축2";#N/A,#N/A,FALSE,"단축3";#N/A,#N/A,FALSE,"장축";#N/A,#N/A,FALSE,"4WD"}</definedName>
    <definedName name="전부" localSheetId="4" hidden="1">{#N/A,#N/A,FALSE,"단축1";#N/A,#N/A,FALSE,"단축2";#N/A,#N/A,FALSE,"단축3";#N/A,#N/A,FALSE,"장축";#N/A,#N/A,FALSE,"4WD"}</definedName>
    <definedName name="전부" hidden="1">{#N/A,#N/A,FALSE,"단축1";#N/A,#N/A,FALSE,"단축2";#N/A,#N/A,FALSE,"단축3";#N/A,#N/A,FALSE,"장축";#N/A,#N/A,FALSE,"4WD"}</definedName>
    <definedName name="전차종" localSheetId="1"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hidden="1">{#N/A,#N/A,FALSE,"표지";#N/A,#N/A,FALSE,"전제";#N/A,#N/A,FALSE,"대당";#N/A,#N/A,FALSE,"가공비";#N/A,#N/A,FALSE,"재료비";#N/A,#N/A,FALSE,"손익"}</definedName>
    <definedName name="정" localSheetId="2" hidden="1">{#N/A,#N/A,FALSE,"UNIT";#N/A,#N/A,FALSE,"UNIT";#N/A,#N/A,FALSE,"계정"}</definedName>
    <definedName name="정" localSheetId="1" hidden="1">{#N/A,#N/A,FALSE,"UNIT";#N/A,#N/A,FALSE,"UNIT";#N/A,#N/A,FALSE,"계정"}</definedName>
    <definedName name="정" localSheetId="4" hidden="1">{#N/A,#N/A,FALSE,"UNIT";#N/A,#N/A,FALSE,"UNIT";#N/A,#N/A,FALSE,"계정"}</definedName>
    <definedName name="정" hidden="1">{#N/A,#N/A,FALSE,"UNIT";#N/A,#N/A,FALSE,"UNIT";#N/A,#N/A,FALSE,"계정"}</definedName>
    <definedName name="정문" localSheetId="2" hidden="1">{#N/A,#N/A,FALSE,"UNIT";#N/A,#N/A,FALSE,"UNIT";#N/A,#N/A,FALSE,"계정"}</definedName>
    <definedName name="정문" localSheetId="1" hidden="1">{#N/A,#N/A,FALSE,"UNIT";#N/A,#N/A,FALSE,"UNIT";#N/A,#N/A,FALSE,"계정"}</definedName>
    <definedName name="정문" localSheetId="4" hidden="1">{#N/A,#N/A,FALSE,"UNIT";#N/A,#N/A,FALSE,"UNIT";#N/A,#N/A,FALSE,"계정"}</definedName>
    <definedName name="정문" hidden="1">{#N/A,#N/A,FALSE,"UNIT";#N/A,#N/A,FALSE,"UNIT";#N/A,#N/A,FALSE,"계정"}</definedName>
    <definedName name="정문식" localSheetId="2" hidden="1">{#N/A,#N/A,FALSE,"UNIT";#N/A,#N/A,FALSE,"UNIT";#N/A,#N/A,FALSE,"계정"}</definedName>
    <definedName name="정문식" localSheetId="1" hidden="1">{#N/A,#N/A,FALSE,"UNIT";#N/A,#N/A,FALSE,"UNIT";#N/A,#N/A,FALSE,"계정"}</definedName>
    <definedName name="정문식" localSheetId="4" hidden="1">{#N/A,#N/A,FALSE,"UNIT";#N/A,#N/A,FALSE,"UNIT";#N/A,#N/A,FALSE,"계정"}</definedName>
    <definedName name="정문식" hidden="1">{#N/A,#N/A,FALSE,"UNIT";#N/A,#N/A,FALSE,"UNIT";#N/A,#N/A,FALSE,"계정"}</definedName>
    <definedName name="제품별사업전략" localSheetId="2" hidden="1">{#N/A,#N/A,FALSE,"UNIT";#N/A,#N/A,FALSE,"UNIT";#N/A,#N/A,FALSE,"계정"}</definedName>
    <definedName name="제품별사업전략" localSheetId="1" hidden="1">{#N/A,#N/A,FALSE,"UNIT";#N/A,#N/A,FALSE,"UNIT";#N/A,#N/A,FALSE,"계정"}</definedName>
    <definedName name="제품별사업전략" localSheetId="4" hidden="1">{#N/A,#N/A,FALSE,"UNIT";#N/A,#N/A,FALSE,"UNIT";#N/A,#N/A,FALSE,"계정"}</definedName>
    <definedName name="제품별사업전략" hidden="1">{#N/A,#N/A,FALSE,"UNIT";#N/A,#N/A,FALSE,"UNIT";#N/A,#N/A,FALSE,"계정"}</definedName>
    <definedName name="조동" localSheetId="1" hidden="1">{#N/A,#N/A,FALSE,"단축1";#N/A,#N/A,FALSE,"단축2";#N/A,#N/A,FALSE,"단축3";#N/A,#N/A,FALSE,"장축";#N/A,#N/A,FALSE,"4WD"}</definedName>
    <definedName name="조동" localSheetId="4" hidden="1">{#N/A,#N/A,FALSE,"단축1";#N/A,#N/A,FALSE,"단축2";#N/A,#N/A,FALSE,"단축3";#N/A,#N/A,FALSE,"장축";#N/A,#N/A,FALSE,"4WD"}</definedName>
    <definedName name="조동" hidden="1">{#N/A,#N/A,FALSE,"단축1";#N/A,#N/A,FALSE,"단축2";#N/A,#N/A,FALSE,"단축3";#N/A,#N/A,FALSE,"장축";#N/A,#N/A,FALSE,"4WD"}</definedName>
    <definedName name="조동신" localSheetId="1" hidden="1">{#N/A,#N/A,FALSE,"단축1";#N/A,#N/A,FALSE,"단축2";#N/A,#N/A,FALSE,"단축3";#N/A,#N/A,FALSE,"장축";#N/A,#N/A,FALSE,"4WD"}</definedName>
    <definedName name="조동신" localSheetId="4" hidden="1">{#N/A,#N/A,FALSE,"단축1";#N/A,#N/A,FALSE,"단축2";#N/A,#N/A,FALSE,"단축3";#N/A,#N/A,FALSE,"장축";#N/A,#N/A,FALSE,"4WD"}</definedName>
    <definedName name="조동신" hidden="1">{#N/A,#N/A,FALSE,"단축1";#N/A,#N/A,FALSE,"단축2";#N/A,#N/A,FALSE,"단축3";#N/A,#N/A,FALSE,"장축";#N/A,#N/A,FALSE,"4WD"}</definedName>
    <definedName name="조립" localSheetId="1" hidden="1">{#N/A,#N/A,FALSE,"단축1";#N/A,#N/A,FALSE,"단축2";#N/A,#N/A,FALSE,"단축3";#N/A,#N/A,FALSE,"장축";#N/A,#N/A,FALSE,"4WD"}</definedName>
    <definedName name="조립" localSheetId="4" hidden="1">{#N/A,#N/A,FALSE,"단축1";#N/A,#N/A,FALSE,"단축2";#N/A,#N/A,FALSE,"단축3";#N/A,#N/A,FALSE,"장축";#N/A,#N/A,FALSE,"4WD"}</definedName>
    <definedName name="조립" hidden="1">{#N/A,#N/A,FALSE,"단축1";#N/A,#N/A,FALSE,"단축2";#N/A,#N/A,FALSE,"단축3";#N/A,#N/A,FALSE,"장축";#N/A,#N/A,FALSE,"4WD"}</definedName>
    <definedName name="종합2" localSheetId="1" hidden="1">{#N/A,#N/A,FALSE,"단축1";#N/A,#N/A,FALSE,"단축2";#N/A,#N/A,FALSE,"단축3";#N/A,#N/A,FALSE,"장축";#N/A,#N/A,FALSE,"4WD"}</definedName>
    <definedName name="종합2" localSheetId="4" hidden="1">{#N/A,#N/A,FALSE,"단축1";#N/A,#N/A,FALSE,"단축2";#N/A,#N/A,FALSE,"단축3";#N/A,#N/A,FALSE,"장축";#N/A,#N/A,FALSE,"4WD"}</definedName>
    <definedName name="종합2" hidden="1">{#N/A,#N/A,FALSE,"단축1";#N/A,#N/A,FALSE,"단축2";#N/A,#N/A,FALSE,"단축3";#N/A,#N/A,FALSE,"장축";#N/A,#N/A,FALSE,"4WD"}</definedName>
    <definedName name="주" localSheetId="1" hidden="1">{#N/A,#N/A,FALSE,"단축1";#N/A,#N/A,FALSE,"단축2";#N/A,#N/A,FALSE,"단축3";#N/A,#N/A,FALSE,"장축";#N/A,#N/A,FALSE,"4WD"}</definedName>
    <definedName name="주" localSheetId="4" hidden="1">{#N/A,#N/A,FALSE,"단축1";#N/A,#N/A,FALSE,"단축2";#N/A,#N/A,FALSE,"단축3";#N/A,#N/A,FALSE,"장축";#N/A,#N/A,FALSE,"4WD"}</definedName>
    <definedName name="주" hidden="1">{#N/A,#N/A,FALSE,"단축1";#N/A,#N/A,FALSE,"단축2";#N/A,#N/A,FALSE,"단축3";#N/A,#N/A,FALSE,"장축";#N/A,#N/A,FALSE,"4WD"}</definedName>
    <definedName name="주민등록번호">#N/A</definedName>
    <definedName name="주차계획" localSheetId="2" hidden="1">{#N/A,#N/A,FALSE,"UNIT";#N/A,#N/A,FALSE,"UNIT";#N/A,#N/A,FALSE,"계정"}</definedName>
    <definedName name="주차계획" localSheetId="1" hidden="1">{#N/A,#N/A,FALSE,"UNIT";#N/A,#N/A,FALSE,"UNIT";#N/A,#N/A,FALSE,"계정"}</definedName>
    <definedName name="주차계획" localSheetId="4" hidden="1">{#N/A,#N/A,FALSE,"UNIT";#N/A,#N/A,FALSE,"UNIT";#N/A,#N/A,FALSE,"계정"}</definedName>
    <definedName name="주차계획" hidden="1">{#N/A,#N/A,FALSE,"UNIT";#N/A,#N/A,FALSE,"UNIT";#N/A,#N/A,FALSE,"계정"}</definedName>
    <definedName name="중앙" localSheetId="1"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증빙">#N/A</definedName>
    <definedName name="진" localSheetId="2" hidden="1">{#N/A,#N/A,FALSE,"UNIT";#N/A,#N/A,FALSE,"UNIT";#N/A,#N/A,FALSE,"계정"}</definedName>
    <definedName name="진" localSheetId="1" hidden="1">{#N/A,#N/A,FALSE,"UNIT";#N/A,#N/A,FALSE,"UNIT";#N/A,#N/A,FALSE,"계정"}</definedName>
    <definedName name="진" localSheetId="4" hidden="1">{#N/A,#N/A,FALSE,"UNIT";#N/A,#N/A,FALSE,"UNIT";#N/A,#N/A,FALSE,"계정"}</definedName>
    <definedName name="진" hidden="1">{#N/A,#N/A,FALSE,"UNIT";#N/A,#N/A,FALSE,"UNIT";#N/A,#N/A,FALSE,"계정"}</definedName>
    <definedName name="ㅊㅊㅊㅊㅊ">#N/A</definedName>
    <definedName name="차." localSheetId="2" hidden="1">{#N/A,#N/A,FALSE,"UNIT";#N/A,#N/A,FALSE,"UNIT";#N/A,#N/A,FALSE,"계정"}</definedName>
    <definedName name="차." localSheetId="1" hidden="1">{#N/A,#N/A,FALSE,"UNIT";#N/A,#N/A,FALSE,"UNIT";#N/A,#N/A,FALSE,"계정"}</definedName>
    <definedName name="차." localSheetId="4" hidden="1">{#N/A,#N/A,FALSE,"UNIT";#N/A,#N/A,FALSE,"UNIT";#N/A,#N/A,FALSE,"계정"}</definedName>
    <definedName name="차." hidden="1">{#N/A,#N/A,FALSE,"UNIT";#N/A,#N/A,FALSE,"UNIT";#N/A,#N/A,FALSE,"계정"}</definedName>
    <definedName name="차량SVC" localSheetId="2" hidden="1">{#N/A,#N/A,FALSE,"UNIT";#N/A,#N/A,FALSE,"UNIT";#N/A,#N/A,FALSE,"계정"}</definedName>
    <definedName name="차량SVC" localSheetId="1" hidden="1">{#N/A,#N/A,FALSE,"UNIT";#N/A,#N/A,FALSE,"UNIT";#N/A,#N/A,FALSE,"계정"}</definedName>
    <definedName name="차량SVC" localSheetId="4" hidden="1">{#N/A,#N/A,FALSE,"UNIT";#N/A,#N/A,FALSE,"UNIT";#N/A,#N/A,FALSE,"계정"}</definedName>
    <definedName name="차량SVC" hidden="1">{#N/A,#N/A,FALSE,"UNIT";#N/A,#N/A,FALSE,"UNIT";#N/A,#N/A,FALSE,"계정"}</definedName>
    <definedName name="첨부." localSheetId="1" hidden="1">#REF!</definedName>
    <definedName name="첨부." localSheetId="4" hidden="1">#REF!</definedName>
    <definedName name="첨부." hidden="1">#REF!</definedName>
    <definedName name="총무3" localSheetId="1" hidden="1">{#N/A,#N/A,FALSE,"단축1";#N/A,#N/A,FALSE,"단축2";#N/A,#N/A,FALSE,"단축3";#N/A,#N/A,FALSE,"장축";#N/A,#N/A,FALSE,"4WD"}</definedName>
    <definedName name="총무3" localSheetId="4" hidden="1">{#N/A,#N/A,FALSE,"단축1";#N/A,#N/A,FALSE,"단축2";#N/A,#N/A,FALSE,"단축3";#N/A,#N/A,FALSE,"장축";#N/A,#N/A,FALSE,"4WD"}</definedName>
    <definedName name="총무3" hidden="1">{#N/A,#N/A,FALSE,"단축1";#N/A,#N/A,FALSE,"단축2";#N/A,#N/A,FALSE,"단축3";#N/A,#N/A,FALSE,"장축";#N/A,#N/A,FALSE,"4WD"}</definedName>
    <definedName name="ㅋㅌㅊ퓨">#N/A</definedName>
    <definedName name="ㅌㅌㅌ">#N/A</definedName>
    <definedName name="템플리트모듈1" localSheetId="2">BLCH</definedName>
    <definedName name="템플리트모듈1" localSheetId="1">BLCH</definedName>
    <definedName name="템플리트모듈1" localSheetId="4">BLCH</definedName>
    <definedName name="템플리트모듈1">BLCH</definedName>
    <definedName name="템플리트모듈2" localSheetId="2">BLCH</definedName>
    <definedName name="템플리트모듈2" localSheetId="1">BLCH</definedName>
    <definedName name="템플리트모듈2" localSheetId="4">BLCH</definedName>
    <definedName name="템플리트모듈2">BLCH</definedName>
    <definedName name="템플리트모듈3" localSheetId="2">BLCH</definedName>
    <definedName name="템플리트모듈3" localSheetId="1">BLCH</definedName>
    <definedName name="템플리트모듈3" localSheetId="4">BLCH</definedName>
    <definedName name="템플리트모듈3">BLCH</definedName>
    <definedName name="템플리트모듈4" localSheetId="2">BLCH</definedName>
    <definedName name="템플리트모듈4" localSheetId="1">BLCH</definedName>
    <definedName name="템플리트모듈4" localSheetId="4">BLCH</definedName>
    <definedName name="템플리트모듈4">BLCH</definedName>
    <definedName name="템플리트모듈5" localSheetId="2">BLCH</definedName>
    <definedName name="템플리트모듈5" localSheetId="1">BLCH</definedName>
    <definedName name="템플리트모듈5" localSheetId="4">BLCH</definedName>
    <definedName name="템플리트모듈5">BLCH</definedName>
    <definedName name="템플리트모듈6" localSheetId="2">BLCH</definedName>
    <definedName name="템플리트모듈6" localSheetId="1">BLCH</definedName>
    <definedName name="템플리트모듈6" localSheetId="4">BLCH</definedName>
    <definedName name="템플리트모듈6">BLCH</definedName>
    <definedName name="투자CONC.182억" localSheetId="1" hidden="1">{#N/A,#N/A,FALSE,"단축1";#N/A,#N/A,FALSE,"단축2";#N/A,#N/A,FALSE,"단축3";#N/A,#N/A,FALSE,"장축";#N/A,#N/A,FALSE,"4WD"}</definedName>
    <definedName name="투자CONC.182억" localSheetId="4" hidden="1">{#N/A,#N/A,FALSE,"단축1";#N/A,#N/A,FALSE,"단축2";#N/A,#N/A,FALSE,"단축3";#N/A,#N/A,FALSE,"장축";#N/A,#N/A,FALSE,"4WD"}</definedName>
    <definedName name="투자CONC.182억" hidden="1">{#N/A,#N/A,FALSE,"단축1";#N/A,#N/A,FALSE,"단축2";#N/A,#N/A,FALSE,"단축3";#N/A,#N/A,FALSE,"장축";#N/A,#N/A,FALSE,"4WD"}</definedName>
    <definedName name="투자계획1" localSheetId="2" hidden="1">{#N/A,#N/A,FALSE,"UNIT";#N/A,#N/A,FALSE,"UNIT";#N/A,#N/A,FALSE,"계정"}</definedName>
    <definedName name="투자계획1" localSheetId="1" hidden="1">{#N/A,#N/A,FALSE,"UNIT";#N/A,#N/A,FALSE,"UNIT";#N/A,#N/A,FALSE,"계정"}</definedName>
    <definedName name="투자계획1" localSheetId="4" hidden="1">{#N/A,#N/A,FALSE,"UNIT";#N/A,#N/A,FALSE,"UNIT";#N/A,#N/A,FALSE,"계정"}</definedName>
    <definedName name="투자계획1" hidden="1">{#N/A,#N/A,FALSE,"UNIT";#N/A,#N/A,FALSE,"UNIT";#N/A,#N/A,FALSE,"계정"}</definedName>
    <definedName name="투자대상" localSheetId="1" hidden="1">{#N/A,#N/A,FALSE,"단축1";#N/A,#N/A,FALSE,"단축2";#N/A,#N/A,FALSE,"단축3";#N/A,#N/A,FALSE,"장축";#N/A,#N/A,FALSE,"4WD"}</definedName>
    <definedName name="투자대상" localSheetId="4" hidden="1">{#N/A,#N/A,FALSE,"단축1";#N/A,#N/A,FALSE,"단축2";#N/A,#N/A,FALSE,"단축3";#N/A,#N/A,FALSE,"장축";#N/A,#N/A,FALSE,"4WD"}</definedName>
    <definedName name="투자대상" hidden="1">{#N/A,#N/A,FALSE,"단축1";#N/A,#N/A,FALSE,"단축2";#N/A,#N/A,FALSE,"단축3";#N/A,#N/A,FALSE,"장축";#N/A,#N/A,FALSE,"4WD"}</definedName>
    <definedName name="투자비" localSheetId="1" hidden="1">{#N/A,#N/A,FALSE,"단축1";#N/A,#N/A,FALSE,"단축2";#N/A,#N/A,FALSE,"단축3";#N/A,#N/A,FALSE,"장축";#N/A,#N/A,FALSE,"4WD"}</definedName>
    <definedName name="투자비" localSheetId="4" hidden="1">{#N/A,#N/A,FALSE,"단축1";#N/A,#N/A,FALSE,"단축2";#N/A,#N/A,FALSE,"단축3";#N/A,#N/A,FALSE,"장축";#N/A,#N/A,FALSE,"4WD"}</definedName>
    <definedName name="투자비" hidden="1">{#N/A,#N/A,FALSE,"단축1";#N/A,#N/A,FALSE,"단축2";#N/A,#N/A,FALSE,"단축3";#N/A,#N/A,FALSE,"장축";#N/A,#N/A,FALSE,"4WD"}</definedName>
    <definedName name="투자비3안" localSheetId="1" hidden="1">{#N/A,#N/A,FALSE,"단축1";#N/A,#N/A,FALSE,"단축2";#N/A,#N/A,FALSE,"단축3";#N/A,#N/A,FALSE,"장축";#N/A,#N/A,FALSE,"4WD"}</definedName>
    <definedName name="투자비3안" localSheetId="4" hidden="1">{#N/A,#N/A,FALSE,"단축1";#N/A,#N/A,FALSE,"단축2";#N/A,#N/A,FALSE,"단축3";#N/A,#N/A,FALSE,"장축";#N/A,#N/A,FALSE,"4WD"}</definedName>
    <definedName name="투자비3안" hidden="1">{#N/A,#N/A,FALSE,"단축1";#N/A,#N/A,FALSE,"단축2";#N/A,#N/A,FALSE,"단축3";#N/A,#N/A,FALSE,"장축";#N/A,#N/A,FALSE,"4WD"}</definedName>
    <definedName name="투자비검토" localSheetId="1" hidden="1">{#N/A,#N/A,FALSE,"단축1";#N/A,#N/A,FALSE,"단축2";#N/A,#N/A,FALSE,"단축3";#N/A,#N/A,FALSE,"장축";#N/A,#N/A,FALSE,"4WD"}</definedName>
    <definedName name="투자비검토" localSheetId="4" hidden="1">{#N/A,#N/A,FALSE,"단축1";#N/A,#N/A,FALSE,"단축2";#N/A,#N/A,FALSE,"단축3";#N/A,#N/A,FALSE,"장축";#N/A,#N/A,FALSE,"4WD"}</definedName>
    <definedName name="투자비검토" hidden="1">{#N/A,#N/A,FALSE,"단축1";#N/A,#N/A,FALSE,"단축2";#N/A,#N/A,FALSE,"단축3";#N/A,#N/A,FALSE,"장축";#N/A,#N/A,FALSE,"4WD"}</definedName>
    <definedName name="투자비비교" localSheetId="1" hidden="1">{#N/A,#N/A,FALSE,"단축1";#N/A,#N/A,FALSE,"단축2";#N/A,#N/A,FALSE,"단축3";#N/A,#N/A,FALSE,"장축";#N/A,#N/A,FALSE,"4WD"}</definedName>
    <definedName name="투자비비교" localSheetId="4" hidden="1">{#N/A,#N/A,FALSE,"단축1";#N/A,#N/A,FALSE,"단축2";#N/A,#N/A,FALSE,"단축3";#N/A,#N/A,FALSE,"장축";#N/A,#N/A,FALSE,"4WD"}</definedName>
    <definedName name="투자비비교" hidden="1">{#N/A,#N/A,FALSE,"단축1";#N/A,#N/A,FALSE,"단축2";#N/A,#N/A,FALSE,"단축3";#N/A,#N/A,FALSE,"장축";#N/A,#N/A,FALSE,"4WD"}</definedName>
    <definedName name="팀별계획" localSheetId="2" hidden="1">{#N/A,#N/A,FALSE,"UNIT";#N/A,#N/A,FALSE,"UNIT";#N/A,#N/A,FALSE,"계정"}</definedName>
    <definedName name="팀별계획" localSheetId="1" hidden="1">{#N/A,#N/A,FALSE,"UNIT";#N/A,#N/A,FALSE,"UNIT";#N/A,#N/A,FALSE,"계정"}</definedName>
    <definedName name="팀별계획" localSheetId="4" hidden="1">{#N/A,#N/A,FALSE,"UNIT";#N/A,#N/A,FALSE,"UNIT";#N/A,#N/A,FALSE,"계정"}</definedName>
    <definedName name="팀별계획" hidden="1">{#N/A,#N/A,FALSE,"UNIT";#N/A,#N/A,FALSE,"UNIT";#N/A,#N/A,FALSE,"계정"}</definedName>
    <definedName name="ㅍㅍㅍㅍ" localSheetId="2" hidden="1">{#N/A,#N/A,FALSE,"UNIT";#N/A,#N/A,FALSE,"UNIT";#N/A,#N/A,FALSE,"계정"}</definedName>
    <definedName name="ㅍㅍㅍㅍ" localSheetId="1" hidden="1">{#N/A,#N/A,FALSE,"UNIT";#N/A,#N/A,FALSE,"UNIT";#N/A,#N/A,FALSE,"계정"}</definedName>
    <definedName name="ㅍㅍㅍㅍ" localSheetId="4" hidden="1">{#N/A,#N/A,FALSE,"UNIT";#N/A,#N/A,FALSE,"UNIT";#N/A,#N/A,FALSE,"계정"}</definedName>
    <definedName name="ㅍㅍㅍㅍ" hidden="1">{#N/A,#N/A,FALSE,"UNIT";#N/A,#N/A,FALSE,"UNIT";#N/A,#N/A,FALSE,"계정"}</definedName>
    <definedName name="팩키지2" localSheetId="1" hidden="1">{#N/A,#N/A,FALSE,"단축1";#N/A,#N/A,FALSE,"단축2";#N/A,#N/A,FALSE,"단축3";#N/A,#N/A,FALSE,"장축";#N/A,#N/A,FALSE,"4WD"}</definedName>
    <definedName name="팩키지2" localSheetId="4"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localSheetId="4"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localSheetId="4" hidden="1">{#N/A,#N/A,FALSE,"단축1";#N/A,#N/A,FALSE,"단축2";#N/A,#N/A,FALSE,"단축3";#N/A,#N/A,FALSE,"장축";#N/A,#N/A,FALSE,"4WD"}</definedName>
    <definedName name="팩키지5" hidden="1">{#N/A,#N/A,FALSE,"단축1";#N/A,#N/A,FALSE,"단축2";#N/A,#N/A,FALSE,"단축3";#N/A,#N/A,FALSE,"장축";#N/A,#N/A,FALSE,"4WD"}</definedName>
    <definedName name="ㅎ" localSheetId="2" hidden="1">#REF!</definedName>
    <definedName name="ㅎ" localSheetId="1" hidden="1">#REF!</definedName>
    <definedName name="ㅎ" localSheetId="4" hidden="1">#REF!</definedName>
    <definedName name="ㅎ" hidden="1">#REF!</definedName>
    <definedName name="한글" localSheetId="1" hidden="1">{#N/A,#N/A,FALSE,"단축1";#N/A,#N/A,FALSE,"단축2";#N/A,#N/A,FALSE,"단축3";#N/A,#N/A,FALSE,"장축";#N/A,#N/A,FALSE,"4WD"}</definedName>
    <definedName name="한글" localSheetId="4" hidden="1">{#N/A,#N/A,FALSE,"단축1";#N/A,#N/A,FALSE,"단축2";#N/A,#N/A,FALSE,"단축3";#N/A,#N/A,FALSE,"장축";#N/A,#N/A,FALSE,"4WD"}</definedName>
    <definedName name="한글" hidden="1">{#N/A,#N/A,FALSE,"단축1";#N/A,#N/A,FALSE,"단축2";#N/A,#N/A,FALSE,"단축3";#N/A,#N/A,FALSE,"장축";#N/A,#N/A,FALSE,"4WD"}</definedName>
    <definedName name="项目1" localSheetId="1" hidden="1">#REF!</definedName>
    <definedName name="项目1" localSheetId="4" hidden="1">#REF!</definedName>
    <definedName name="项目1" hidden="1">#REF!</definedName>
    <definedName name="향후계획1" localSheetId="1" hidden="1">{#N/A,#N/A,FALSE,"단축1";#N/A,#N/A,FALSE,"단축2";#N/A,#N/A,FALSE,"단축3";#N/A,#N/A,FALSE,"장축";#N/A,#N/A,FALSE,"4WD"}</definedName>
    <definedName name="향후계획1" localSheetId="4" hidden="1">{#N/A,#N/A,FALSE,"단축1";#N/A,#N/A,FALSE,"단축2";#N/A,#N/A,FALSE,"단축3";#N/A,#N/A,FALSE,"장축";#N/A,#N/A,FALSE,"4WD"}</definedName>
    <definedName name="향후계획1" hidden="1">{#N/A,#N/A,FALSE,"단축1";#N/A,#N/A,FALSE,"단축2";#N/A,#N/A,FALSE,"단축3";#N/A,#N/A,FALSE,"장축";#N/A,#N/A,FALSE,"4WD"}</definedName>
    <definedName name="현금" localSheetId="2" hidden="1">{#N/A,#N/A,TRUE,"Summary";#N/A,#N/A,TRUE,"IS";#N/A,#N/A,TRUE,"Adj";#N/A,#N/A,TRUE,"BS";#N/A,#N/A,TRUE,"CF";#N/A,#N/A,TRUE,"Debt";#N/A,#N/A,TRUE,"IRR"}</definedName>
    <definedName name="현금" localSheetId="1" hidden="1">{#N/A,#N/A,TRUE,"Summary";#N/A,#N/A,TRUE,"IS";#N/A,#N/A,TRUE,"Adj";#N/A,#N/A,TRUE,"BS";#N/A,#N/A,TRUE,"CF";#N/A,#N/A,TRUE,"Debt";#N/A,#N/A,TRUE,"IRR"}</definedName>
    <definedName name="현금" localSheetId="4" hidden="1">{#N/A,#N/A,TRUE,"Summary";#N/A,#N/A,TRUE,"IS";#N/A,#N/A,TRUE,"Adj";#N/A,#N/A,TRUE,"BS";#N/A,#N/A,TRUE,"CF";#N/A,#N/A,TRUE,"Debt";#N/A,#N/A,TRUE,"IRR"}</definedName>
    <definedName name="현금" hidden="1">{#N/A,#N/A,TRUE,"Summary";#N/A,#N/A,TRUE,"IS";#N/A,#N/A,TRUE,"Adj";#N/A,#N/A,TRUE,"BS";#N/A,#N/A,TRUE,"CF";#N/A,#N/A,TRUE,"Debt";#N/A,#N/A,TRUE,"IRR"}</definedName>
    <definedName name="현금흐름" localSheetId="2" hidden="1">{#N/A,#N/A,TRUE,"Summary";#N/A,#N/A,TRUE,"IS";#N/A,#N/A,TRUE,"Adj";#N/A,#N/A,TRUE,"BS";#N/A,#N/A,TRUE,"CF";#N/A,#N/A,TRUE,"Debt";#N/A,#N/A,TRUE,"IRR"}</definedName>
    <definedName name="현금흐름" localSheetId="1" hidden="1">{#N/A,#N/A,TRUE,"Summary";#N/A,#N/A,TRUE,"IS";#N/A,#N/A,TRUE,"Adj";#N/A,#N/A,TRUE,"BS";#N/A,#N/A,TRUE,"CF";#N/A,#N/A,TRUE,"Debt";#N/A,#N/A,TRUE,"IRR"}</definedName>
    <definedName name="현금흐름" localSheetId="4" hidden="1">{#N/A,#N/A,TRUE,"Summary";#N/A,#N/A,TRUE,"IS";#N/A,#N/A,TRUE,"Adj";#N/A,#N/A,TRUE,"BS";#N/A,#N/A,TRUE,"CF";#N/A,#N/A,TRUE,"Debt";#N/A,#N/A,TRUE,"IRR"}</definedName>
    <definedName name="현금흐름" hidden="1">{#N/A,#N/A,TRUE,"Summary";#N/A,#N/A,TRUE,"IS";#N/A,#N/A,TRUE,"Adj";#N/A,#N/A,TRUE,"BS";#N/A,#N/A,TRUE,"CF";#N/A,#N/A,TRUE,"Debt";#N/A,#N/A,TRUE,"IRR"}</definedName>
    <definedName name="호" localSheetId="2" hidden="1">{#N/A,#N/A,FALSE,"UNIT";#N/A,#N/A,FALSE,"UNIT";#N/A,#N/A,FALSE,"계정"}</definedName>
    <definedName name="호" localSheetId="1" hidden="1">{#N/A,#N/A,FALSE,"UNIT";#N/A,#N/A,FALSE,"UNIT";#N/A,#N/A,FALSE,"계정"}</definedName>
    <definedName name="호" localSheetId="4" hidden="1">{#N/A,#N/A,FALSE,"UNIT";#N/A,#N/A,FALSE,"UNIT";#N/A,#N/A,FALSE,"계정"}</definedName>
    <definedName name="호" hidden="1">{#N/A,#N/A,FALSE,"UNIT";#N/A,#N/A,FALSE,"UNIT";#N/A,#N/A,FALSE,"계정"}</definedName>
    <definedName name="확대3" localSheetId="2" hidden="1">{#N/A,#N/A,FALSE,"UNIT";#N/A,#N/A,FALSE,"UNIT";#N/A,#N/A,FALSE,"계정"}</definedName>
    <definedName name="확대3" localSheetId="1" hidden="1">{#N/A,#N/A,FALSE,"UNIT";#N/A,#N/A,FALSE,"UNIT";#N/A,#N/A,FALSE,"계정"}</definedName>
    <definedName name="확대3" localSheetId="4" hidden="1">{#N/A,#N/A,FALSE,"UNIT";#N/A,#N/A,FALSE,"UNIT";#N/A,#N/A,FALSE,"계정"}</definedName>
    <definedName name="확대3" hidden="1">{#N/A,#N/A,FALSE,"UNIT";#N/A,#N/A,FALSE,"UNIT";#N/A,#N/A,FALSE,"계정"}</definedName>
    <definedName name="ㅏㅏ" localSheetId="2" hidden="1">{#N/A,#N/A,FALSE,"Aging Summary";#N/A,#N/A,FALSE,"Ratio Analysis";#N/A,#N/A,FALSE,"Test 120 Day Accts";#N/A,#N/A,FALSE,"Tickmarks"}</definedName>
    <definedName name="ㅏㅏ" localSheetId="1" hidden="1">{#N/A,#N/A,FALSE,"Aging Summary";#N/A,#N/A,FALSE,"Ratio Analysis";#N/A,#N/A,FALSE,"Test 120 Day Accts";#N/A,#N/A,FALSE,"Tickmarks"}</definedName>
    <definedName name="ㅏㅏ" localSheetId="4" hidden="1">{#N/A,#N/A,FALSE,"Aging Summary";#N/A,#N/A,FALSE,"Ratio Analysis";#N/A,#N/A,FALSE,"Test 120 Day Accts";#N/A,#N/A,FALSE,"Tickmarks"}</definedName>
    <definedName name="ㅏㅏ" hidden="1">{#N/A,#N/A,FALSE,"Aging Summary";#N/A,#N/A,FALSE,"Ratio Analysis";#N/A,#N/A,FALSE,"Test 120 Day Accts";#N/A,#N/A,FALSE,"Tickmarks"}</definedName>
    <definedName name="ㅐㅐ" localSheetId="1" hidden="1">{#N/A,#N/A,FALSE,"단축1";#N/A,#N/A,FALSE,"단축2";#N/A,#N/A,FALSE,"단축3";#N/A,#N/A,FALSE,"장축";#N/A,#N/A,FALSE,"4WD"}</definedName>
    <definedName name="ㅐㅐ" localSheetId="4" hidden="1">{#N/A,#N/A,FALSE,"단축1";#N/A,#N/A,FALSE,"단축2";#N/A,#N/A,FALSE,"단축3";#N/A,#N/A,FALSE,"장축";#N/A,#N/A,FALSE,"4WD"}</definedName>
    <definedName name="ㅐㅐ" hidden="1">{#N/A,#N/A,FALSE,"단축1";#N/A,#N/A,FALSE,"단축2";#N/A,#N/A,FALSE,"단축3";#N/A,#N/A,FALSE,"장축";#N/A,#N/A,FALSE,"4WD"}</definedName>
    <definedName name="ㅑ" localSheetId="2" hidden="1">{#N/A,#N/A,FALSE,"Aging Summary";#N/A,#N/A,FALSE,"Ratio Analysis";#N/A,#N/A,FALSE,"Test 120 Day Accts";#N/A,#N/A,FALSE,"Tickmarks"}</definedName>
    <definedName name="ㅑ" localSheetId="1" hidden="1">{#N/A,#N/A,FALSE,"Aging Summary";#N/A,#N/A,FALSE,"Ratio Analysis";#N/A,#N/A,FALSE,"Test 120 Day Accts";#N/A,#N/A,FALSE,"Tickmarks"}</definedName>
    <definedName name="ㅑ" localSheetId="4" hidden="1">{#N/A,#N/A,FALSE,"Aging Summary";#N/A,#N/A,FALSE,"Ratio Analysis";#N/A,#N/A,FALSE,"Test 120 Day Accts";#N/A,#N/A,FALSE,"Tickmarks"}</definedName>
    <definedName name="ㅑ" hidden="1">{#N/A,#N/A,FALSE,"Aging Summary";#N/A,#N/A,FALSE,"Ratio Analysis";#N/A,#N/A,FALSE,"Test 120 Day Accts";#N/A,#N/A,FALSE,"Tickmarks"}</definedName>
    <definedName name="ㅓ" localSheetId="2" hidden="1">{#N/A,#N/A,FALSE,"Aging Summary";#N/A,#N/A,FALSE,"Ratio Analysis";#N/A,#N/A,FALSE,"Test 120 Day Accts";#N/A,#N/A,FALSE,"Tickmarks"}</definedName>
    <definedName name="ㅓ" localSheetId="1" hidden="1">{#N/A,#N/A,FALSE,"Aging Summary";#N/A,#N/A,FALSE,"Ratio Analysis";#N/A,#N/A,FALSE,"Test 120 Day Accts";#N/A,#N/A,FALSE,"Tickmarks"}</definedName>
    <definedName name="ㅓ" localSheetId="4" hidden="1">{#N/A,#N/A,FALSE,"Aging Summary";#N/A,#N/A,FALSE,"Ratio Analysis";#N/A,#N/A,FALSE,"Test 120 Day Accts";#N/A,#N/A,FALSE,"Tickmarks"}</definedName>
    <definedName name="ㅓ" hidden="1">{#N/A,#N/A,FALSE,"Aging Summary";#N/A,#N/A,FALSE,"Ratio Analysis";#N/A,#N/A,FALSE,"Test 120 Day Accts";#N/A,#N/A,FALSE,"Tickmarks"}</definedName>
    <definedName name="ㅓㅏ리앙" localSheetId="2" hidden="1">{#N/A,#N/A,FALSE,"UNIT";#N/A,#N/A,FALSE,"UNIT";#N/A,#N/A,FALSE,"계정"}</definedName>
    <definedName name="ㅓㅏ리앙" localSheetId="1" hidden="1">{#N/A,#N/A,FALSE,"UNIT";#N/A,#N/A,FALSE,"UNIT";#N/A,#N/A,FALSE,"계정"}</definedName>
    <definedName name="ㅓㅏ리앙" localSheetId="4" hidden="1">{#N/A,#N/A,FALSE,"UNIT";#N/A,#N/A,FALSE,"UNIT";#N/A,#N/A,FALSE,"계정"}</definedName>
    <definedName name="ㅓㅏ리앙" hidden="1">{#N/A,#N/A,FALSE,"UNIT";#N/A,#N/A,FALSE,"UNIT";#N/A,#N/A,FALSE,"계정"}</definedName>
    <definedName name="ㅕ" localSheetId="2" hidden="1">{#N/A,#N/A,FALSE,"Aging Summary";#N/A,#N/A,FALSE,"Ratio Analysis";#N/A,#N/A,FALSE,"Test 120 Day Accts";#N/A,#N/A,FALSE,"Tickmarks"}</definedName>
    <definedName name="ㅕ" localSheetId="1" hidden="1">{#N/A,#N/A,FALSE,"Aging Summary";#N/A,#N/A,FALSE,"Ratio Analysis";#N/A,#N/A,FALSE,"Test 120 Day Accts";#N/A,#N/A,FALSE,"Tickmarks"}</definedName>
    <definedName name="ㅕ" localSheetId="4" hidden="1">{#N/A,#N/A,FALSE,"Aging Summary";#N/A,#N/A,FALSE,"Ratio Analysis";#N/A,#N/A,FALSE,"Test 120 Day Accts";#N/A,#N/A,FALSE,"Tickmarks"}</definedName>
    <definedName name="ㅕ" hidden="1">{#N/A,#N/A,FALSE,"Aging Summary";#N/A,#N/A,FALSE,"Ratio Analysis";#N/A,#N/A,FALSE,"Test 120 Day Accts";#N/A,#N/A,FALSE,"Tickmarks"}</definedName>
    <definedName name="ㅠㅠㅠ">#N/A</definedName>
    <definedName name="ㅠㅠㅠㅠㅠㅠ">#N/A</definedName>
    <definedName name="ㅣㅣㅣㅣㅣㅣㅣㄹㄹㄹㄹㄹㄹㄹ">#N/A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0" l="1"/>
  <c r="G10" i="10"/>
  <c r="G9" i="10"/>
  <c r="F8" i="10"/>
  <c r="F12" i="10" s="1"/>
  <c r="P10" i="3" s="1"/>
  <c r="P8" i="3" s="1"/>
  <c r="D11" i="10"/>
  <c r="D10" i="10"/>
  <c r="D9" i="10"/>
  <c r="D8" i="10"/>
  <c r="E12" i="10"/>
  <c r="P5" i="3" s="1"/>
  <c r="P4" i="3" s="1"/>
  <c r="G12" i="10" l="1"/>
  <c r="G8" i="10"/>
  <c r="P27" i="3"/>
  <c r="P14" i="3"/>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AI17" i="11" s="1"/>
  <c r="AI16" i="11"/>
  <c r="AH16" i="11"/>
  <c r="AI15" i="11"/>
  <c r="AH15" i="11"/>
  <c r="AI14" i="11"/>
  <c r="AH14" i="11"/>
  <c r="AI13" i="11"/>
  <c r="AH13" i="11"/>
  <c r="AL12" i="11"/>
  <c r="AI12" i="11"/>
  <c r="AH12" i="11"/>
  <c r="AD9" i="11"/>
  <c r="AC9" i="11"/>
  <c r="AB9" i="11"/>
  <c r="AA9" i="11"/>
  <c r="Z9" i="11"/>
  <c r="Y9" i="11"/>
  <c r="X9" i="11"/>
  <c r="W9" i="11"/>
  <c r="V9" i="11"/>
  <c r="U9" i="11"/>
  <c r="T9" i="11"/>
  <c r="S9" i="11"/>
  <c r="R9" i="11"/>
  <c r="Q9" i="11"/>
  <c r="P9" i="11"/>
  <c r="O9" i="11"/>
  <c r="AI9" i="11" s="1"/>
  <c r="N9" i="11"/>
  <c r="M9" i="11"/>
  <c r="L9" i="11"/>
  <c r="K9" i="11"/>
  <c r="J9" i="11"/>
  <c r="I9" i="11"/>
  <c r="H9" i="11"/>
  <c r="G9" i="11"/>
  <c r="F9" i="11"/>
  <c r="E9" i="11"/>
  <c r="D9" i="11"/>
  <c r="C9" i="11"/>
  <c r="AI8" i="11"/>
  <c r="AH8" i="11"/>
  <c r="AI7" i="11"/>
  <c r="AH7" i="11"/>
  <c r="AI6" i="11"/>
  <c r="AH6" i="11"/>
  <c r="AI5" i="11"/>
  <c r="AH5" i="11"/>
  <c r="AI4" i="11"/>
  <c r="AH4" i="11"/>
  <c r="P26" i="3" l="1"/>
  <c r="AH9" i="11"/>
  <c r="AH17" i="11"/>
  <c r="G22" i="10" l="1"/>
  <c r="F22" i="10"/>
  <c r="E22" i="10"/>
  <c r="D22" i="10"/>
  <c r="H22" i="10" s="1"/>
  <c r="H21" i="10"/>
  <c r="I21" i="10" s="1"/>
  <c r="H20" i="10"/>
  <c r="I20" i="10" s="1"/>
  <c r="H19" i="10"/>
  <c r="I19" i="10" s="1"/>
  <c r="T9" i="2"/>
  <c r="U9" i="2" s="1"/>
  <c r="T10" i="2"/>
  <c r="U10" i="2" s="1"/>
  <c r="T11" i="2"/>
  <c r="U11" i="2" s="1"/>
  <c r="P12" i="2"/>
  <c r="Q12" i="2"/>
  <c r="T12" i="2" s="1"/>
  <c r="U12" i="2" s="1"/>
  <c r="R12" i="2"/>
  <c r="S12" i="2"/>
  <c r="I22" i="10" l="1"/>
  <c r="E8" i="3" l="1"/>
  <c r="F8" i="3"/>
  <c r="D8" i="3"/>
  <c r="C8" i="3"/>
  <c r="I336" i="9" l="1"/>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G5" i="6" l="1"/>
  <c r="G6" i="6"/>
  <c r="G7" i="6"/>
  <c r="G8" i="6"/>
  <c r="G4" i="6"/>
  <c r="F33" i="4" l="1"/>
  <c r="O32" i="4"/>
  <c r="N32" i="4"/>
  <c r="M32" i="4"/>
  <c r="L32" i="4"/>
  <c r="K32" i="4"/>
  <c r="J32" i="4"/>
  <c r="I32" i="4"/>
  <c r="H32" i="4"/>
  <c r="G32" i="4"/>
  <c r="F32" i="4"/>
  <c r="E32" i="4"/>
  <c r="D32" i="4"/>
  <c r="P31" i="4"/>
  <c r="B31" i="4"/>
  <c r="P30" i="4"/>
  <c r="B30" i="4"/>
  <c r="P29" i="4"/>
  <c r="B29" i="4"/>
  <c r="P28" i="4"/>
  <c r="B28" i="4"/>
  <c r="P27" i="4"/>
  <c r="B27" i="4"/>
  <c r="P26" i="4"/>
  <c r="B26" i="4"/>
  <c r="P25" i="4"/>
  <c r="B25" i="4"/>
  <c r="P24" i="4"/>
  <c r="B24" i="4"/>
  <c r="P23" i="4"/>
  <c r="B23" i="4"/>
  <c r="P22" i="4"/>
  <c r="B22" i="4"/>
  <c r="P21" i="4"/>
  <c r="B21" i="4"/>
  <c r="P20" i="4"/>
  <c r="B20" i="4"/>
  <c r="P19" i="4"/>
  <c r="B19" i="4"/>
  <c r="P18" i="4"/>
  <c r="P17" i="4"/>
  <c r="B17" i="4"/>
  <c r="P16" i="4"/>
  <c r="B16" i="4"/>
  <c r="P15" i="4"/>
  <c r="B15" i="4"/>
  <c r="P14" i="4"/>
  <c r="B14" i="4"/>
  <c r="P13" i="4"/>
  <c r="B13" i="4"/>
  <c r="P12" i="4"/>
  <c r="B12" i="4"/>
  <c r="P11" i="4"/>
  <c r="B11" i="4"/>
  <c r="P10" i="4"/>
  <c r="B10" i="4"/>
  <c r="P9" i="4"/>
  <c r="P8" i="4"/>
  <c r="P7" i="4"/>
  <c r="B7" i="4"/>
  <c r="P6" i="4"/>
  <c r="B6" i="4"/>
  <c r="P5" i="4"/>
  <c r="B5" i="4"/>
  <c r="P4" i="4"/>
  <c r="B4" i="4"/>
  <c r="R32" i="4" l="1"/>
  <c r="P32" i="4"/>
  <c r="Q11" i="4" s="1"/>
  <c r="Q17" i="4"/>
  <c r="Q15" i="4"/>
  <c r="Q13" i="4"/>
  <c r="Q7" i="4"/>
  <c r="Q14" i="4"/>
  <c r="Q8" i="4"/>
  <c r="Q18" i="4"/>
  <c r="Q30" i="4"/>
  <c r="Q5" i="4"/>
  <c r="Q12" i="4"/>
  <c r="Q19" i="4"/>
  <c r="Q25" i="4"/>
  <c r="Q28" i="4"/>
  <c r="Q31" i="4"/>
  <c r="Q6" i="4"/>
  <c r="Q10" i="4"/>
  <c r="Q4" i="4"/>
  <c r="Q24" i="4" l="1"/>
  <c r="Q23" i="4"/>
  <c r="Q29" i="4"/>
  <c r="Q26" i="4"/>
  <c r="Q20" i="4"/>
  <c r="Q27" i="4"/>
  <c r="Q9" i="4"/>
  <c r="Q32" i="4" s="1"/>
  <c r="Q16" i="4"/>
  <c r="Q22" i="4"/>
  <c r="Q21" i="4"/>
  <c r="J8" i="6" l="1"/>
  <c r="I8" i="6"/>
  <c r="J7" i="6"/>
  <c r="I7" i="6"/>
  <c r="J6" i="6"/>
  <c r="I6" i="6"/>
  <c r="J5" i="6"/>
  <c r="I5" i="6"/>
  <c r="I4" i="6"/>
  <c r="J4" i="6"/>
  <c r="F36" i="3" l="1"/>
  <c r="P36" i="3" s="1"/>
  <c r="F35" i="3"/>
  <c r="P35" i="3" s="1"/>
  <c r="F33" i="3"/>
  <c r="P33" i="3" s="1"/>
  <c r="I349" i="9" l="1"/>
  <c r="I347" i="9"/>
  <c r="J93" i="9" l="1"/>
  <c r="J94" i="9"/>
  <c r="J95" i="9"/>
  <c r="J96" i="9"/>
  <c r="L345" i="9"/>
  <c r="M345" i="9" s="1"/>
  <c r="L346" i="9"/>
  <c r="M346" i="9" s="1"/>
  <c r="L347" i="9"/>
  <c r="M347" i="9" s="1"/>
  <c r="L348" i="9"/>
  <c r="M348" i="9" s="1"/>
  <c r="J349" i="9"/>
  <c r="L349" i="9"/>
  <c r="M349" i="9" s="1"/>
  <c r="L350" i="9"/>
  <c r="M350" i="9" s="1"/>
  <c r="J282" i="9"/>
  <c r="L282" i="9"/>
  <c r="M282" i="9" s="1"/>
  <c r="L351" i="9"/>
  <c r="M351" i="9" s="1"/>
  <c r="J283" i="9"/>
  <c r="L283" i="9"/>
  <c r="M283" i="9" s="1"/>
  <c r="J284" i="9"/>
  <c r="L284" i="9"/>
  <c r="M284" i="9" s="1"/>
  <c r="J285" i="9"/>
  <c r="L285" i="9"/>
  <c r="M285" i="9" s="1"/>
  <c r="J286" i="9"/>
  <c r="L286" i="9"/>
  <c r="M286" i="9" s="1"/>
  <c r="J287" i="9"/>
  <c r="L287" i="9"/>
  <c r="M287" i="9" s="1"/>
  <c r="J288" i="9"/>
  <c r="L288" i="9"/>
  <c r="M288" i="9" s="1"/>
  <c r="J289" i="9"/>
  <c r="L289" i="9"/>
  <c r="M289" i="9" s="1"/>
  <c r="J290" i="9"/>
  <c r="L290" i="9"/>
  <c r="M290" i="9" s="1"/>
  <c r="J291" i="9"/>
  <c r="L291" i="9"/>
  <c r="M291" i="9" s="1"/>
  <c r="J292" i="9"/>
  <c r="L292" i="9"/>
  <c r="M292" i="9" s="1"/>
  <c r="J293" i="9"/>
  <c r="L293" i="9"/>
  <c r="M293" i="9" s="1"/>
  <c r="J294" i="9"/>
  <c r="L294" i="9"/>
  <c r="M294" i="9" s="1"/>
  <c r="J295" i="9"/>
  <c r="L295" i="9"/>
  <c r="M295" i="9" s="1"/>
  <c r="J296" i="9"/>
  <c r="L296" i="9"/>
  <c r="M296" i="9" s="1"/>
  <c r="J297" i="9"/>
  <c r="L297" i="9"/>
  <c r="M297" i="9" s="1"/>
  <c r="J298" i="9"/>
  <c r="L298" i="9"/>
  <c r="M298" i="9" s="1"/>
  <c r="J299" i="9"/>
  <c r="L299" i="9"/>
  <c r="M299" i="9" s="1"/>
  <c r="J300" i="9"/>
  <c r="L300" i="9"/>
  <c r="M300" i="9" s="1"/>
  <c r="J301" i="9"/>
  <c r="L301" i="9"/>
  <c r="M301" i="9" s="1"/>
  <c r="J302" i="9"/>
  <c r="L302" i="9"/>
  <c r="M302" i="9" s="1"/>
  <c r="J303" i="9"/>
  <c r="L303" i="9"/>
  <c r="M303" i="9" s="1"/>
  <c r="J304" i="9"/>
  <c r="L304" i="9"/>
  <c r="M304" i="9" s="1"/>
  <c r="J305" i="9"/>
  <c r="L305" i="9"/>
  <c r="M305" i="9" s="1"/>
  <c r="J306" i="9"/>
  <c r="L306" i="9"/>
  <c r="M306" i="9" s="1"/>
  <c r="J307" i="9"/>
  <c r="L307" i="9"/>
  <c r="M307" i="9" s="1"/>
  <c r="J308" i="9"/>
  <c r="L308" i="9"/>
  <c r="M308" i="9" s="1"/>
  <c r="J309" i="9"/>
  <c r="L309" i="9"/>
  <c r="M309" i="9" s="1"/>
  <c r="J310" i="9"/>
  <c r="L310" i="9"/>
  <c r="M310" i="9" s="1"/>
  <c r="J311" i="9"/>
  <c r="L311" i="9"/>
  <c r="M311" i="9" s="1"/>
  <c r="J312" i="9"/>
  <c r="L312" i="9"/>
  <c r="M312" i="9" s="1"/>
  <c r="J313" i="9"/>
  <c r="L313" i="9"/>
  <c r="M313" i="9" s="1"/>
  <c r="J314" i="9"/>
  <c r="L314" i="9"/>
  <c r="M314" i="9" s="1"/>
  <c r="J315" i="9"/>
  <c r="L315" i="9"/>
  <c r="M315" i="9" s="1"/>
  <c r="J316" i="9"/>
  <c r="L316" i="9"/>
  <c r="M316" i="9" s="1"/>
  <c r="J317" i="9"/>
  <c r="L317" i="9"/>
  <c r="M317" i="9" s="1"/>
  <c r="J318" i="9"/>
  <c r="L318" i="9"/>
  <c r="M318" i="9" s="1"/>
  <c r="J319" i="9"/>
  <c r="L319" i="9"/>
  <c r="M319" i="9" s="1"/>
  <c r="L352" i="9"/>
  <c r="M352" i="9" s="1"/>
  <c r="L353" i="9"/>
  <c r="M353" i="9" s="1"/>
  <c r="J320" i="9"/>
  <c r="L320" i="9"/>
  <c r="M320" i="9" s="1"/>
  <c r="J321" i="9"/>
  <c r="L321" i="9"/>
  <c r="M321" i="9" s="1"/>
  <c r="J322" i="9"/>
  <c r="L322" i="9"/>
  <c r="M322" i="9" s="1"/>
  <c r="J323" i="9"/>
  <c r="L323" i="9"/>
  <c r="M323" i="9" s="1"/>
  <c r="J324" i="9"/>
  <c r="L324" i="9"/>
  <c r="M324" i="9" s="1"/>
  <c r="J325" i="9"/>
  <c r="L325" i="9"/>
  <c r="M325" i="9" s="1"/>
  <c r="J326" i="9"/>
  <c r="L326" i="9"/>
  <c r="M326" i="9" s="1"/>
  <c r="J327" i="9"/>
  <c r="L327" i="9"/>
  <c r="M327" i="9" s="1"/>
  <c r="J328" i="9"/>
  <c r="L328" i="9"/>
  <c r="M328" i="9" s="1"/>
  <c r="J329" i="9"/>
  <c r="L329" i="9"/>
  <c r="M329" i="9" s="1"/>
  <c r="J330" i="9"/>
  <c r="L330" i="9"/>
  <c r="M330" i="9" s="1"/>
  <c r="J331" i="9"/>
  <c r="L331" i="9"/>
  <c r="M331" i="9" s="1"/>
  <c r="J332" i="9"/>
  <c r="L332" i="9"/>
  <c r="M332" i="9" s="1"/>
  <c r="J333" i="9"/>
  <c r="L333" i="9"/>
  <c r="M333" i="9" s="1"/>
  <c r="J334" i="9"/>
  <c r="L334" i="9"/>
  <c r="M334" i="9" s="1"/>
  <c r="J335" i="9"/>
  <c r="L335" i="9"/>
  <c r="M335" i="9" s="1"/>
  <c r="J336" i="9"/>
  <c r="L336" i="9"/>
  <c r="M336" i="9" s="1"/>
  <c r="G277" i="9"/>
  <c r="G278" i="9"/>
  <c r="G279" i="9"/>
  <c r="G280" i="9"/>
  <c r="G281" i="9"/>
  <c r="G341" i="9"/>
  <c r="G342" i="9"/>
  <c r="G343" i="9"/>
  <c r="G344" i="9"/>
  <c r="G345" i="9"/>
  <c r="G346" i="9"/>
  <c r="G347" i="9"/>
  <c r="G348" i="9"/>
  <c r="G349" i="9"/>
  <c r="G350" i="9"/>
  <c r="G282" i="9"/>
  <c r="G351"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52" i="9"/>
  <c r="G353" i="9"/>
  <c r="G320" i="9"/>
  <c r="G321" i="9"/>
  <c r="G322" i="9"/>
  <c r="G323" i="9"/>
  <c r="G324" i="9"/>
  <c r="G325" i="9"/>
  <c r="G326" i="9"/>
  <c r="G327" i="9"/>
  <c r="G328" i="9"/>
  <c r="G329" i="9"/>
  <c r="G330" i="9"/>
  <c r="G331" i="9"/>
  <c r="G332" i="9"/>
  <c r="G333" i="9"/>
  <c r="G334" i="9"/>
  <c r="G335" i="9"/>
  <c r="G336" i="9"/>
  <c r="F381" i="9"/>
  <c r="F382" i="9" s="1"/>
  <c r="E381" i="9"/>
  <c r="J347" i="9" l="1"/>
  <c r="L344" i="9"/>
  <c r="M344" i="9" s="1"/>
  <c r="L343" i="9"/>
  <c r="M343" i="9" s="1"/>
  <c r="L342" i="9"/>
  <c r="M342" i="9" s="1"/>
  <c r="L341" i="9"/>
  <c r="M341" i="9" s="1"/>
  <c r="L281" i="9"/>
  <c r="M281" i="9" s="1"/>
  <c r="I281" i="9"/>
  <c r="J281" i="9" s="1"/>
  <c r="L280" i="9"/>
  <c r="M280" i="9" s="1"/>
  <c r="I280" i="9"/>
  <c r="J280" i="9" s="1"/>
  <c r="L279" i="9"/>
  <c r="M279" i="9" s="1"/>
  <c r="I279" i="9"/>
  <c r="J279" i="9" s="1"/>
  <c r="L278" i="9"/>
  <c r="M278" i="9" s="1"/>
  <c r="I278" i="9"/>
  <c r="J278" i="9" s="1"/>
  <c r="L277" i="9"/>
  <c r="M277" i="9" s="1"/>
  <c r="I277" i="9"/>
  <c r="J277" i="9" s="1"/>
  <c r="L276" i="9"/>
  <c r="M276" i="9" s="1"/>
  <c r="I276" i="9"/>
  <c r="J276" i="9" s="1"/>
  <c r="G276" i="9"/>
  <c r="L275" i="9"/>
  <c r="M275" i="9" s="1"/>
  <c r="I275" i="9"/>
  <c r="J275" i="9" s="1"/>
  <c r="G275" i="9"/>
  <c r="L274" i="9"/>
  <c r="M274" i="9" s="1"/>
  <c r="I274" i="9"/>
  <c r="J274" i="9" s="1"/>
  <c r="G274" i="9"/>
  <c r="L273" i="9"/>
  <c r="M273" i="9" s="1"/>
  <c r="I273" i="9"/>
  <c r="J273" i="9" s="1"/>
  <c r="G273" i="9"/>
  <c r="L272" i="9"/>
  <c r="M272" i="9" s="1"/>
  <c r="I272" i="9"/>
  <c r="J272" i="9" s="1"/>
  <c r="G272" i="9"/>
  <c r="L271" i="9"/>
  <c r="M271" i="9" s="1"/>
  <c r="I271" i="9"/>
  <c r="J271" i="9" s="1"/>
  <c r="G271" i="9"/>
  <c r="L270" i="9"/>
  <c r="M270" i="9" s="1"/>
  <c r="I270" i="9"/>
  <c r="J270" i="9" s="1"/>
  <c r="G270" i="9"/>
  <c r="L269" i="9"/>
  <c r="M269" i="9" s="1"/>
  <c r="I269" i="9"/>
  <c r="J269" i="9" s="1"/>
  <c r="G269" i="9"/>
  <c r="L268" i="9"/>
  <c r="M268" i="9" s="1"/>
  <c r="I268" i="9"/>
  <c r="J268" i="9" s="1"/>
  <c r="G268" i="9"/>
  <c r="L267" i="9"/>
  <c r="M267" i="9" s="1"/>
  <c r="I267" i="9"/>
  <c r="J267" i="9" s="1"/>
  <c r="G267" i="9"/>
  <c r="L266" i="9"/>
  <c r="M266" i="9" s="1"/>
  <c r="I266" i="9"/>
  <c r="J266" i="9" s="1"/>
  <c r="G266" i="9"/>
  <c r="L265" i="9"/>
  <c r="M265" i="9" s="1"/>
  <c r="I265" i="9"/>
  <c r="J265" i="9" s="1"/>
  <c r="G265" i="9"/>
  <c r="L264" i="9"/>
  <c r="I264" i="9"/>
  <c r="G264" i="9"/>
  <c r="L263" i="9"/>
  <c r="M263" i="9" s="1"/>
  <c r="G263" i="9"/>
  <c r="L262" i="9"/>
  <c r="M262" i="9" s="1"/>
  <c r="I262" i="9"/>
  <c r="J262" i="9" s="1"/>
  <c r="G262" i="9"/>
  <c r="L261" i="9"/>
  <c r="M261" i="9" s="1"/>
  <c r="I261" i="9"/>
  <c r="J261" i="9" s="1"/>
  <c r="G261" i="9"/>
  <c r="L260" i="9"/>
  <c r="M260" i="9" s="1"/>
  <c r="I260" i="9"/>
  <c r="J260" i="9" s="1"/>
  <c r="G260" i="9"/>
  <c r="L259" i="9"/>
  <c r="M259" i="9" s="1"/>
  <c r="I259" i="9"/>
  <c r="J259" i="9" s="1"/>
  <c r="G259" i="9"/>
  <c r="L258" i="9"/>
  <c r="M258" i="9" s="1"/>
  <c r="I258" i="9"/>
  <c r="J258" i="9" s="1"/>
  <c r="G258" i="9"/>
  <c r="L257" i="9"/>
  <c r="M257" i="9" s="1"/>
  <c r="I257" i="9"/>
  <c r="J257" i="9" s="1"/>
  <c r="G257" i="9"/>
  <c r="L256" i="9"/>
  <c r="M256" i="9" s="1"/>
  <c r="I256" i="9"/>
  <c r="J256" i="9" s="1"/>
  <c r="G256" i="9"/>
  <c r="L255" i="9"/>
  <c r="M255" i="9" s="1"/>
  <c r="I255" i="9"/>
  <c r="J255" i="9" s="1"/>
  <c r="G255" i="9"/>
  <c r="L254" i="9"/>
  <c r="M254" i="9" s="1"/>
  <c r="I254" i="9"/>
  <c r="J254" i="9" s="1"/>
  <c r="G254" i="9"/>
  <c r="L253" i="9"/>
  <c r="M253" i="9" s="1"/>
  <c r="I253" i="9"/>
  <c r="J253" i="9" s="1"/>
  <c r="G253" i="9"/>
  <c r="L340" i="9"/>
  <c r="M340" i="9" s="1"/>
  <c r="G340" i="9"/>
  <c r="L339" i="9"/>
  <c r="M339" i="9" s="1"/>
  <c r="G339" i="9"/>
  <c r="L338" i="9"/>
  <c r="M338" i="9" s="1"/>
  <c r="G338" i="9"/>
  <c r="L252" i="9"/>
  <c r="M252" i="9" s="1"/>
  <c r="I252" i="9"/>
  <c r="J252" i="9" s="1"/>
  <c r="G252" i="9"/>
  <c r="L251" i="9"/>
  <c r="M251" i="9" s="1"/>
  <c r="I251" i="9"/>
  <c r="J251" i="9" s="1"/>
  <c r="G251" i="9"/>
  <c r="L250" i="9"/>
  <c r="M250" i="9" s="1"/>
  <c r="I250" i="9"/>
  <c r="J250" i="9" s="1"/>
  <c r="G250" i="9"/>
  <c r="L249" i="9"/>
  <c r="M249" i="9" s="1"/>
  <c r="I249" i="9"/>
  <c r="J249" i="9" s="1"/>
  <c r="G249" i="9"/>
  <c r="L248" i="9"/>
  <c r="M248" i="9" s="1"/>
  <c r="I248" i="9"/>
  <c r="J248" i="9" s="1"/>
  <c r="G248" i="9"/>
  <c r="L247" i="9"/>
  <c r="M247" i="9" s="1"/>
  <c r="I247" i="9"/>
  <c r="J247" i="9" s="1"/>
  <c r="G247" i="9"/>
  <c r="L246" i="9"/>
  <c r="M246" i="9" s="1"/>
  <c r="I246" i="9"/>
  <c r="J246" i="9" s="1"/>
  <c r="G246" i="9"/>
  <c r="L245" i="9"/>
  <c r="M245" i="9" s="1"/>
  <c r="I245" i="9"/>
  <c r="J245" i="9" s="1"/>
  <c r="G245" i="9"/>
  <c r="L244" i="9"/>
  <c r="M244" i="9" s="1"/>
  <c r="I244" i="9"/>
  <c r="J244" i="9" s="1"/>
  <c r="G244" i="9"/>
  <c r="L243" i="9"/>
  <c r="M243" i="9" s="1"/>
  <c r="I243" i="9"/>
  <c r="J243" i="9" s="1"/>
  <c r="G243" i="9"/>
  <c r="L242" i="9"/>
  <c r="M242" i="9" s="1"/>
  <c r="I242" i="9"/>
  <c r="J242" i="9" s="1"/>
  <c r="G242" i="9"/>
  <c r="L241" i="9"/>
  <c r="M241" i="9" s="1"/>
  <c r="I241" i="9"/>
  <c r="J241" i="9" s="1"/>
  <c r="G241" i="9"/>
  <c r="L337" i="9"/>
  <c r="M337" i="9" s="1"/>
  <c r="G337" i="9"/>
  <c r="L380" i="9"/>
  <c r="M380" i="9" s="1"/>
  <c r="I380" i="9"/>
  <c r="J380" i="9" s="1"/>
  <c r="G380" i="9"/>
  <c r="L379" i="9"/>
  <c r="M379" i="9" s="1"/>
  <c r="I379" i="9"/>
  <c r="J379" i="9" s="1"/>
  <c r="G379" i="9"/>
  <c r="L378" i="9"/>
  <c r="M378" i="9" s="1"/>
  <c r="I378" i="9"/>
  <c r="J378" i="9" s="1"/>
  <c r="G378" i="9"/>
  <c r="L377" i="9"/>
  <c r="M377" i="9" s="1"/>
  <c r="I377" i="9"/>
  <c r="J377" i="9" s="1"/>
  <c r="G377" i="9"/>
  <c r="L376" i="9"/>
  <c r="M376" i="9" s="1"/>
  <c r="I376" i="9"/>
  <c r="J376" i="9" s="1"/>
  <c r="G376" i="9"/>
  <c r="L375" i="9"/>
  <c r="M375" i="9" s="1"/>
  <c r="I375" i="9"/>
  <c r="J375" i="9" s="1"/>
  <c r="G375" i="9"/>
  <c r="L374" i="9"/>
  <c r="M374" i="9" s="1"/>
  <c r="I374" i="9"/>
  <c r="J374" i="9" s="1"/>
  <c r="G374" i="9"/>
  <c r="L373" i="9"/>
  <c r="M373" i="9" s="1"/>
  <c r="I373" i="9"/>
  <c r="J373" i="9" s="1"/>
  <c r="G373" i="9"/>
  <c r="L372" i="9"/>
  <c r="M372" i="9" s="1"/>
  <c r="I372" i="9"/>
  <c r="J372" i="9" s="1"/>
  <c r="G372" i="9"/>
  <c r="L371" i="9"/>
  <c r="M371" i="9" s="1"/>
  <c r="I371" i="9"/>
  <c r="J371" i="9" s="1"/>
  <c r="G371" i="9"/>
  <c r="L370" i="9"/>
  <c r="M370" i="9" s="1"/>
  <c r="I370" i="9"/>
  <c r="J370" i="9" s="1"/>
  <c r="G370" i="9"/>
  <c r="L369" i="9"/>
  <c r="M369" i="9" s="1"/>
  <c r="I369" i="9"/>
  <c r="J369" i="9" s="1"/>
  <c r="G369" i="9"/>
  <c r="L368" i="9"/>
  <c r="M368" i="9" s="1"/>
  <c r="I368" i="9"/>
  <c r="J368" i="9" s="1"/>
  <c r="G368" i="9"/>
  <c r="L367" i="9"/>
  <c r="M367" i="9" s="1"/>
  <c r="I367" i="9"/>
  <c r="J367" i="9" s="1"/>
  <c r="G367" i="9"/>
  <c r="L366" i="9"/>
  <c r="M366" i="9" s="1"/>
  <c r="I366" i="9"/>
  <c r="J366" i="9" s="1"/>
  <c r="G366" i="9"/>
  <c r="L365" i="9"/>
  <c r="M365" i="9" s="1"/>
  <c r="I365" i="9"/>
  <c r="J365" i="9" s="1"/>
  <c r="G365" i="9"/>
  <c r="L364" i="9"/>
  <c r="M364" i="9" s="1"/>
  <c r="I364" i="9"/>
  <c r="J364" i="9" s="1"/>
  <c r="G364" i="9"/>
  <c r="L363" i="9"/>
  <c r="M363" i="9" s="1"/>
  <c r="I363" i="9"/>
  <c r="J363" i="9" s="1"/>
  <c r="G363" i="9"/>
  <c r="L362" i="9"/>
  <c r="M362" i="9" s="1"/>
  <c r="I362" i="9"/>
  <c r="J362" i="9" s="1"/>
  <c r="G362" i="9"/>
  <c r="L361" i="9"/>
  <c r="M361" i="9" s="1"/>
  <c r="I361" i="9"/>
  <c r="J361" i="9" s="1"/>
  <c r="G361" i="9"/>
  <c r="L360" i="9"/>
  <c r="M360" i="9" s="1"/>
  <c r="I360" i="9"/>
  <c r="J360" i="9" s="1"/>
  <c r="G360" i="9"/>
  <c r="L359" i="9"/>
  <c r="M359" i="9" s="1"/>
  <c r="I359" i="9"/>
  <c r="J359" i="9" s="1"/>
  <c r="G359" i="9"/>
  <c r="L358" i="9"/>
  <c r="M358" i="9" s="1"/>
  <c r="I358" i="9"/>
  <c r="J358" i="9" s="1"/>
  <c r="G358" i="9"/>
  <c r="L357" i="9"/>
  <c r="M357" i="9" s="1"/>
  <c r="I357" i="9"/>
  <c r="J357" i="9" s="1"/>
  <c r="G357" i="9"/>
  <c r="L356" i="9"/>
  <c r="M356" i="9" s="1"/>
  <c r="I356" i="9"/>
  <c r="J356" i="9" s="1"/>
  <c r="G356" i="9"/>
  <c r="L355" i="9"/>
  <c r="M355" i="9" s="1"/>
  <c r="I355" i="9"/>
  <c r="J355" i="9" s="1"/>
  <c r="G355" i="9"/>
  <c r="L354" i="9"/>
  <c r="M354" i="9" s="1"/>
  <c r="I354" i="9"/>
  <c r="J354" i="9" s="1"/>
  <c r="G354" i="9"/>
  <c r="L240" i="9"/>
  <c r="M240" i="9" s="1"/>
  <c r="I240" i="9"/>
  <c r="J240" i="9" s="1"/>
  <c r="G240" i="9"/>
  <c r="L239" i="9"/>
  <c r="M239" i="9" s="1"/>
  <c r="I239" i="9"/>
  <c r="J239" i="9" s="1"/>
  <c r="G239" i="9"/>
  <c r="L238" i="9"/>
  <c r="M238" i="9" s="1"/>
  <c r="I238" i="9"/>
  <c r="J238" i="9" s="1"/>
  <c r="G238" i="9"/>
  <c r="L237" i="9"/>
  <c r="M237" i="9" s="1"/>
  <c r="I237" i="9"/>
  <c r="J237" i="9" s="1"/>
  <c r="G237" i="9"/>
  <c r="L236" i="9"/>
  <c r="I236" i="9"/>
  <c r="G236" i="9"/>
  <c r="L79" i="9"/>
  <c r="K104" i="9"/>
  <c r="L104" i="9" s="1"/>
  <c r="L381" i="9" l="1"/>
  <c r="J236" i="9"/>
  <c r="G381" i="9"/>
  <c r="J264" i="9"/>
  <c r="M264" i="9"/>
  <c r="M236" i="9"/>
  <c r="M381" i="9" s="1"/>
  <c r="I263" i="9"/>
  <c r="J263" i="9" s="1"/>
  <c r="M104" i="9" l="1"/>
  <c r="K105" i="9"/>
  <c r="L105" i="9" s="1"/>
  <c r="M105" i="9"/>
  <c r="K106" i="9"/>
  <c r="L106" i="9" s="1"/>
  <c r="M106" i="9"/>
  <c r="K107" i="9"/>
  <c r="L107" i="9" s="1"/>
  <c r="M107" i="9"/>
  <c r="K108" i="9"/>
  <c r="L108" i="9" s="1"/>
  <c r="M108" i="9"/>
  <c r="K109" i="9"/>
  <c r="L109" i="9"/>
  <c r="M109" i="9"/>
  <c r="K110" i="9"/>
  <c r="L110" i="9" s="1"/>
  <c r="M110" i="9"/>
  <c r="K111" i="9"/>
  <c r="L111" i="9" s="1"/>
  <c r="M111" i="9"/>
  <c r="K112" i="9"/>
  <c r="L112" i="9" s="1"/>
  <c r="M112" i="9"/>
  <c r="K113" i="9"/>
  <c r="L113" i="9" s="1"/>
  <c r="M113" i="9"/>
  <c r="K114" i="9"/>
  <c r="L114" i="9" s="1"/>
  <c r="M114" i="9"/>
  <c r="K115" i="9"/>
  <c r="L115" i="9" s="1"/>
  <c r="M115" i="9"/>
  <c r="K116" i="9"/>
  <c r="L116" i="9" s="1"/>
  <c r="M116" i="9"/>
  <c r="K117" i="9"/>
  <c r="L117" i="9" s="1"/>
  <c r="M117" i="9"/>
  <c r="K118" i="9"/>
  <c r="L118" i="9" s="1"/>
  <c r="M118" i="9"/>
  <c r="K119" i="9"/>
  <c r="L119" i="9" s="1"/>
  <c r="M119" i="9"/>
  <c r="K120" i="9"/>
  <c r="L120" i="9" s="1"/>
  <c r="M120" i="9"/>
  <c r="K121" i="9"/>
  <c r="L121" i="9" s="1"/>
  <c r="M121" i="9"/>
  <c r="K122" i="9"/>
  <c r="L122" i="9"/>
  <c r="M122" i="9"/>
  <c r="K123" i="9"/>
  <c r="L123" i="9" s="1"/>
  <c r="M123" i="9"/>
  <c r="K124" i="9"/>
  <c r="L124" i="9" s="1"/>
  <c r="M124" i="9"/>
  <c r="K125" i="9"/>
  <c r="L125" i="9" s="1"/>
  <c r="M125" i="9"/>
  <c r="K126" i="9"/>
  <c r="L126" i="9" s="1"/>
  <c r="M126" i="9"/>
  <c r="K127" i="9"/>
  <c r="L127" i="9" s="1"/>
  <c r="M127" i="9"/>
  <c r="M128" i="9"/>
  <c r="M129" i="9"/>
  <c r="M130" i="9"/>
  <c r="K131" i="9"/>
  <c r="L131" i="9" s="1"/>
  <c r="M131" i="9"/>
  <c r="L132" i="9"/>
  <c r="L133" i="9"/>
  <c r="L134" i="9"/>
  <c r="L135" i="9"/>
  <c r="L136" i="9"/>
  <c r="L137" i="9"/>
  <c r="L138" i="9"/>
  <c r="L139" i="9"/>
  <c r="L140" i="9"/>
  <c r="L141" i="9"/>
  <c r="L142" i="9"/>
  <c r="L143" i="9"/>
  <c r="L144" i="9"/>
  <c r="L145" i="9"/>
  <c r="L146" i="9"/>
  <c r="L147" i="9"/>
  <c r="L148" i="9"/>
  <c r="L149" i="9"/>
  <c r="L150" i="9"/>
  <c r="L151" i="9"/>
  <c r="L152" i="9"/>
  <c r="L153" i="9"/>
  <c r="K155" i="9"/>
  <c r="L155" i="9" s="1"/>
  <c r="M155" i="9"/>
  <c r="K156" i="9"/>
  <c r="L156" i="9" s="1"/>
  <c r="M156" i="9"/>
  <c r="K157" i="9"/>
  <c r="L157" i="9" s="1"/>
  <c r="M157" i="9"/>
  <c r="K158" i="9"/>
  <c r="L158" i="9" s="1"/>
  <c r="M158" i="9"/>
  <c r="K159" i="9"/>
  <c r="L159" i="9" s="1"/>
  <c r="M159" i="9"/>
  <c r="K160" i="9"/>
  <c r="L160" i="9" s="1"/>
  <c r="M160" i="9"/>
  <c r="K161" i="9"/>
  <c r="L161" i="9" s="1"/>
  <c r="M161" i="9"/>
  <c r="K162" i="9"/>
  <c r="L162" i="9" s="1"/>
  <c r="M162" i="9"/>
  <c r="K163" i="9"/>
  <c r="L163" i="9" s="1"/>
  <c r="M163" i="9"/>
  <c r="K164" i="9"/>
  <c r="L164" i="9" s="1"/>
  <c r="M164" i="9"/>
  <c r="K165" i="9"/>
  <c r="L165" i="9"/>
  <c r="M165" i="9"/>
  <c r="K166" i="9"/>
  <c r="L166" i="9" s="1"/>
  <c r="M166" i="9"/>
  <c r="K167" i="9"/>
  <c r="L167" i="9" s="1"/>
  <c r="M167" i="9"/>
  <c r="M168" i="9"/>
  <c r="M169" i="9"/>
  <c r="K170" i="9"/>
  <c r="L170" i="9" s="1"/>
  <c r="M170" i="9"/>
  <c r="K171" i="9"/>
  <c r="L171" i="9" s="1"/>
  <c r="M171" i="9"/>
  <c r="K172" i="9"/>
  <c r="L172" i="9" s="1"/>
  <c r="M172" i="9"/>
  <c r="K173" i="9"/>
  <c r="L173" i="9" s="1"/>
  <c r="M173" i="9"/>
  <c r="K174" i="9"/>
  <c r="L174" i="9" s="1"/>
  <c r="M174" i="9"/>
  <c r="K175" i="9"/>
  <c r="L175" i="9" s="1"/>
  <c r="M175" i="9"/>
  <c r="K176" i="9"/>
  <c r="L176" i="9" s="1"/>
  <c r="M176" i="9"/>
  <c r="K177" i="9"/>
  <c r="L177" i="9" s="1"/>
  <c r="M177" i="9"/>
  <c r="K178" i="9"/>
  <c r="L178" i="9" s="1"/>
  <c r="M178" i="9"/>
  <c r="K179" i="9"/>
  <c r="L179" i="9" s="1"/>
  <c r="M179" i="9"/>
  <c r="K180" i="9"/>
  <c r="L180" i="9" s="1"/>
  <c r="M180" i="9"/>
  <c r="K181" i="9"/>
  <c r="L181" i="9" s="1"/>
  <c r="M181" i="9"/>
  <c r="K182" i="9"/>
  <c r="L182" i="9" s="1"/>
  <c r="M182" i="9"/>
  <c r="K183" i="9"/>
  <c r="L183" i="9" s="1"/>
  <c r="M183" i="9"/>
  <c r="K184" i="9"/>
  <c r="L184" i="9" s="1"/>
  <c r="M184" i="9"/>
  <c r="K185" i="9"/>
  <c r="L185" i="9" s="1"/>
  <c r="M185" i="9"/>
  <c r="K186" i="9"/>
  <c r="L186" i="9" s="1"/>
  <c r="M186" i="9"/>
  <c r="K187" i="9"/>
  <c r="L187" i="9" s="1"/>
  <c r="M187" i="9"/>
  <c r="K188" i="9"/>
  <c r="L188" i="9" s="1"/>
  <c r="M188" i="9"/>
  <c r="K189" i="9"/>
  <c r="L189" i="9" s="1"/>
  <c r="M189" i="9"/>
  <c r="K190" i="9"/>
  <c r="L190" i="9"/>
  <c r="M190" i="9"/>
  <c r="K191" i="9"/>
  <c r="L191" i="9" s="1"/>
  <c r="M191" i="9"/>
  <c r="K192" i="9"/>
  <c r="L192" i="9" s="1"/>
  <c r="M192" i="9"/>
  <c r="K193" i="9"/>
  <c r="L193" i="9" s="1"/>
  <c r="M193" i="9"/>
  <c r="K194" i="9"/>
  <c r="L194" i="9" s="1"/>
  <c r="M194" i="9"/>
  <c r="K195" i="9"/>
  <c r="L195" i="9" s="1"/>
  <c r="M195" i="9"/>
  <c r="K196" i="9"/>
  <c r="L196" i="9" s="1"/>
  <c r="M196" i="9"/>
  <c r="K197" i="9"/>
  <c r="L197" i="9" s="1"/>
  <c r="M197" i="9"/>
  <c r="K198" i="9"/>
  <c r="L198" i="9"/>
  <c r="M198" i="9"/>
  <c r="K199" i="9"/>
  <c r="L199" i="9" s="1"/>
  <c r="M199" i="9"/>
  <c r="K200" i="9"/>
  <c r="L200" i="9" s="1"/>
  <c r="M200" i="9"/>
  <c r="K201" i="9"/>
  <c r="L201" i="9" s="1"/>
  <c r="M201" i="9"/>
  <c r="K202" i="9"/>
  <c r="L202" i="9" s="1"/>
  <c r="M202" i="9"/>
  <c r="K203" i="9"/>
  <c r="L203" i="9" s="1"/>
  <c r="M203" i="9"/>
  <c r="K204" i="9"/>
  <c r="L204" i="9" s="1"/>
  <c r="M204" i="9"/>
  <c r="K205" i="9"/>
  <c r="L205" i="9" s="1"/>
  <c r="M205" i="9"/>
  <c r="K206" i="9"/>
  <c r="L206" i="9" s="1"/>
  <c r="M206" i="9"/>
  <c r="K207" i="9"/>
  <c r="L207" i="9" s="1"/>
  <c r="M207" i="9"/>
  <c r="K208" i="9"/>
  <c r="L208" i="9" s="1"/>
  <c r="M208" i="9"/>
  <c r="K209" i="9"/>
  <c r="L209" i="9" s="1"/>
  <c r="M209" i="9"/>
  <c r="K210" i="9"/>
  <c r="L210" i="9" s="1"/>
  <c r="M210" i="9"/>
  <c r="K211" i="9"/>
  <c r="L211" i="9" s="1"/>
  <c r="M211" i="9"/>
  <c r="K212" i="9"/>
  <c r="L212" i="9" s="1"/>
  <c r="M212" i="9"/>
  <c r="K213" i="9"/>
  <c r="L213" i="9" s="1"/>
  <c r="M213" i="9"/>
  <c r="K214" i="9"/>
  <c r="L214" i="9" s="1"/>
  <c r="M214" i="9"/>
  <c r="K215" i="9"/>
  <c r="L215" i="9" s="1"/>
  <c r="M215" i="9"/>
  <c r="K216" i="9"/>
  <c r="L216" i="9" s="1"/>
  <c r="M216" i="9"/>
  <c r="K217" i="9"/>
  <c r="L217" i="9" s="1"/>
  <c r="M217" i="9"/>
  <c r="K218" i="9"/>
  <c r="L218" i="9" s="1"/>
  <c r="M218" i="9"/>
  <c r="K219" i="9"/>
  <c r="L219" i="9" s="1"/>
  <c r="M219" i="9"/>
  <c r="K220" i="9"/>
  <c r="L220" i="9" s="1"/>
  <c r="M220" i="9"/>
  <c r="K221" i="9"/>
  <c r="L221" i="9" s="1"/>
  <c r="M221" i="9"/>
  <c r="K222" i="9"/>
  <c r="L222" i="9" s="1"/>
  <c r="M222" i="9"/>
  <c r="K223" i="9"/>
  <c r="L223" i="9" s="1"/>
  <c r="M223" i="9"/>
  <c r="K224" i="9"/>
  <c r="L224" i="9" s="1"/>
  <c r="M224" i="9"/>
  <c r="M225" i="9"/>
  <c r="M226" i="9"/>
  <c r="M227" i="9"/>
  <c r="K228" i="9"/>
  <c r="L228" i="9" s="1"/>
  <c r="M228" i="9"/>
  <c r="M229" i="9"/>
  <c r="M230" i="9"/>
  <c r="H61" i="9" l="1"/>
  <c r="G78" i="1" l="1"/>
  <c r="E18" i="3" l="1"/>
  <c r="G16" i="1" l="1"/>
  <c r="G9" i="1"/>
  <c r="G20" i="1" l="1"/>
  <c r="G5" i="1"/>
  <c r="G21" i="1" s="1"/>
  <c r="F82" i="5"/>
  <c r="G82" i="5"/>
  <c r="H82" i="5" l="1"/>
  <c r="H8" i="6" l="1"/>
  <c r="H6" i="6"/>
  <c r="H4" i="6"/>
  <c r="H7" i="6"/>
  <c r="H5" i="6" l="1"/>
  <c r="I82" i="5"/>
  <c r="F7" i="2" l="1"/>
  <c r="F17" i="1"/>
  <c r="D13" i="3" s="1"/>
  <c r="K46" i="9" l="1"/>
  <c r="L46" i="9" s="1"/>
  <c r="M46" i="9" s="1"/>
  <c r="G88" i="9" l="1"/>
  <c r="F89" i="9"/>
  <c r="K53" i="9"/>
  <c r="L53" i="9" s="1"/>
  <c r="M53" i="9" s="1"/>
  <c r="K55" i="9"/>
  <c r="L55" i="9" s="1"/>
  <c r="M55" i="9" s="1"/>
  <c r="I53" i="9"/>
  <c r="J53" i="9" s="1"/>
  <c r="I46" i="9"/>
  <c r="I91" i="9" l="1"/>
  <c r="J91" i="9" s="1"/>
  <c r="J46" i="9"/>
  <c r="I55" i="9"/>
  <c r="J55" i="9" s="1"/>
  <c r="I56" i="9"/>
  <c r="J56" i="9" s="1"/>
  <c r="K56" i="9"/>
  <c r="L56" i="9" s="1"/>
  <c r="M56" i="9" s="1"/>
  <c r="I50" i="9"/>
  <c r="J50" i="9" s="1"/>
  <c r="K50" i="9"/>
  <c r="L50" i="9" s="1"/>
  <c r="M50" i="9" s="1"/>
  <c r="I72" i="9"/>
  <c r="J72" i="9" s="1"/>
  <c r="K72" i="9"/>
  <c r="L72" i="9" s="1"/>
  <c r="M72" i="9" s="1"/>
  <c r="I49" i="9"/>
  <c r="J49" i="9" s="1"/>
  <c r="K49" i="9"/>
  <c r="L49" i="9" s="1"/>
  <c r="M49" i="9" s="1"/>
  <c r="I47" i="9"/>
  <c r="J47" i="9" s="1"/>
  <c r="K47" i="9"/>
  <c r="L47" i="9" s="1"/>
  <c r="I57" i="9"/>
  <c r="J57" i="9" s="1"/>
  <c r="K57" i="9"/>
  <c r="L57" i="9" s="1"/>
  <c r="M57" i="9" s="1"/>
  <c r="I54" i="9"/>
  <c r="J54" i="9" s="1"/>
  <c r="K54" i="9"/>
  <c r="L54" i="9" s="1"/>
  <c r="M54" i="9" s="1"/>
  <c r="I48" i="9"/>
  <c r="J48" i="9" s="1"/>
  <c r="K48" i="9"/>
  <c r="L48" i="9" s="1"/>
  <c r="M48" i="9" s="1"/>
  <c r="I52" i="9"/>
  <c r="J52" i="9" s="1"/>
  <c r="K52" i="9"/>
  <c r="L52" i="9" s="1"/>
  <c r="M52" i="9" s="1"/>
  <c r="I51" i="9"/>
  <c r="J51" i="9" s="1"/>
  <c r="K51" i="9"/>
  <c r="L51" i="9" s="1"/>
  <c r="M51" i="9" s="1"/>
  <c r="I64" i="9"/>
  <c r="J64" i="9" s="1"/>
  <c r="K64" i="9"/>
  <c r="L64" i="9" s="1"/>
  <c r="M64" i="9" s="1"/>
  <c r="M47" i="9" l="1"/>
  <c r="E89" i="9" l="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L91" i="9" s="1"/>
  <c r="G87" i="9"/>
  <c r="G3" i="9"/>
  <c r="G99" i="9" l="1"/>
  <c r="G89" i="9"/>
  <c r="E5" i="6" l="1"/>
  <c r="F5" i="6"/>
  <c r="E6" i="6"/>
  <c r="F6" i="6"/>
  <c r="E7" i="6"/>
  <c r="F7" i="6"/>
  <c r="E8" i="6"/>
  <c r="F8" i="6"/>
  <c r="F4" i="6"/>
  <c r="E4" i="6"/>
  <c r="E82" i="5"/>
  <c r="D82" i="5"/>
  <c r="D7" i="2" l="1"/>
  <c r="F62" i="1"/>
  <c r="F46" i="1"/>
  <c r="F16" i="1"/>
  <c r="F5" i="1"/>
  <c r="G90" i="9" s="1"/>
  <c r="F9" i="1"/>
  <c r="F20" i="1" l="1"/>
  <c r="F21" i="1" s="1"/>
  <c r="D16" i="3"/>
  <c r="D15" i="3"/>
  <c r="F64" i="1" l="1"/>
  <c r="E62" i="1"/>
  <c r="E46" i="1" l="1"/>
  <c r="D70" i="1" l="1"/>
  <c r="D79" i="1"/>
  <c r="D63" i="1" l="1"/>
  <c r="D16" i="1"/>
  <c r="D9" i="1"/>
  <c r="D84" i="1" s="1"/>
  <c r="D5" i="1"/>
  <c r="D18" i="1" s="1"/>
  <c r="D19" i="1" s="1"/>
  <c r="C38" i="2"/>
  <c r="D20" i="1" l="1"/>
  <c r="D64" i="1" s="1"/>
  <c r="D81" i="1" s="1"/>
  <c r="D85" i="1"/>
  <c r="D83" i="1" l="1"/>
  <c r="D82" i="1"/>
  <c r="D87" i="1" s="1"/>
  <c r="D21" i="1"/>
  <c r="D88" i="1"/>
  <c r="D86" i="1"/>
  <c r="D5" i="6" l="1"/>
  <c r="D6" i="6"/>
  <c r="D7" i="6"/>
  <c r="D8" i="6"/>
  <c r="D4" i="6"/>
  <c r="E4" i="2"/>
  <c r="E70" i="1"/>
  <c r="E63" i="1" l="1"/>
  <c r="AC4" i="6" l="1"/>
  <c r="AC81" i="5"/>
  <c r="AB81" i="5"/>
  <c r="Z9" i="6" l="1"/>
  <c r="Y9" i="6"/>
  <c r="P70" i="1" l="1"/>
  <c r="P62" i="1"/>
  <c r="P46" i="1"/>
  <c r="P63" i="1" l="1"/>
  <c r="N8" i="3"/>
  <c r="O62" i="1" l="1"/>
  <c r="O46" i="1"/>
  <c r="O63" i="1" l="1"/>
  <c r="K8" i="3" l="1"/>
  <c r="J8" i="3"/>
  <c r="I8" i="3"/>
  <c r="H8" i="3"/>
  <c r="G8" i="3"/>
  <c r="M8" i="3"/>
  <c r="W82" i="5" l="1"/>
  <c r="L8" i="3" l="1"/>
  <c r="O18" i="1"/>
  <c r="O70" i="1"/>
  <c r="O36" i="3"/>
  <c r="O35" i="3"/>
  <c r="O34" i="3"/>
  <c r="O33" i="3"/>
  <c r="O23" i="3"/>
  <c r="O21" i="3"/>
  <c r="O19" i="3"/>
  <c r="O18" i="3"/>
  <c r="O12" i="3"/>
  <c r="O11" i="3"/>
  <c r="O10" i="3"/>
  <c r="O9" i="3"/>
  <c r="O7" i="3"/>
  <c r="O6" i="3"/>
  <c r="O5" i="3"/>
  <c r="N4" i="3"/>
  <c r="M4" i="3"/>
  <c r="M28" i="3" s="1"/>
  <c r="L4" i="3"/>
  <c r="L28" i="3" s="1"/>
  <c r="K4" i="3"/>
  <c r="K28" i="3" s="1"/>
  <c r="J4" i="3"/>
  <c r="J28" i="3" s="1"/>
  <c r="I4" i="3"/>
  <c r="I28" i="3" s="1"/>
  <c r="H4" i="3"/>
  <c r="H28" i="3" s="1"/>
  <c r="G4" i="3"/>
  <c r="G14" i="3" s="1"/>
  <c r="F4" i="3"/>
  <c r="F14" i="3" s="1"/>
  <c r="E4" i="3"/>
  <c r="E14" i="3" s="1"/>
  <c r="D4" i="3"/>
  <c r="C4" i="3"/>
  <c r="C14" i="3" s="1"/>
  <c r="D28" i="3" l="1"/>
  <c r="D14" i="3"/>
  <c r="C28" i="3"/>
  <c r="H27" i="3"/>
  <c r="I27" i="3"/>
  <c r="O13" i="3"/>
  <c r="D27" i="3"/>
  <c r="J27" i="3"/>
  <c r="G28" i="3"/>
  <c r="E27" i="3"/>
  <c r="N28" i="3"/>
  <c r="N27" i="3"/>
  <c r="F27" i="3"/>
  <c r="K27" i="3"/>
  <c r="L27" i="3"/>
  <c r="M14" i="3"/>
  <c r="M27" i="3"/>
  <c r="O8" i="3"/>
  <c r="G17" i="3"/>
  <c r="G20" i="3" s="1"/>
  <c r="G26" i="3"/>
  <c r="L14" i="3"/>
  <c r="G27" i="3"/>
  <c r="H14" i="3"/>
  <c r="N14" i="3"/>
  <c r="N26" i="3" s="1"/>
  <c r="C27" i="3"/>
  <c r="O4" i="3"/>
  <c r="K14" i="3"/>
  <c r="I14" i="3"/>
  <c r="J14" i="3"/>
  <c r="M26" i="3" l="1"/>
  <c r="M17" i="3"/>
  <c r="M20" i="3" s="1"/>
  <c r="M25" i="3" s="1"/>
  <c r="M30" i="3" s="1"/>
  <c r="O14" i="3"/>
  <c r="I26" i="3"/>
  <c r="I17" i="3"/>
  <c r="I20" i="3" s="1"/>
  <c r="C26" i="3"/>
  <c r="C17" i="3"/>
  <c r="C20" i="3" s="1"/>
  <c r="C24" i="3" s="1"/>
  <c r="O27" i="3"/>
  <c r="K26" i="3"/>
  <c r="K17" i="3"/>
  <c r="K20" i="3" s="1"/>
  <c r="L26" i="3"/>
  <c r="L17" i="3"/>
  <c r="L20" i="3" s="1"/>
  <c r="F26" i="3"/>
  <c r="H26" i="3"/>
  <c r="H17" i="3"/>
  <c r="H20" i="3" s="1"/>
  <c r="G22" i="3"/>
  <c r="G25" i="3"/>
  <c r="G24" i="3"/>
  <c r="G29" i="3" s="1"/>
  <c r="J17" i="3"/>
  <c r="J20" i="3" s="1"/>
  <c r="J26" i="3"/>
  <c r="D26" i="3"/>
  <c r="D17" i="3"/>
  <c r="N17" i="3"/>
  <c r="N20" i="3" s="1"/>
  <c r="E26" i="3"/>
  <c r="D20" i="3" l="1"/>
  <c r="D24" i="3" s="1"/>
  <c r="N25" i="3"/>
  <c r="N30" i="3" s="1"/>
  <c r="N24" i="3"/>
  <c r="N29" i="3" s="1"/>
  <c r="O26" i="3"/>
  <c r="M22" i="3"/>
  <c r="M24" i="3"/>
  <c r="M31" i="3" s="1"/>
  <c r="C29" i="3"/>
  <c r="C25" i="3"/>
  <c r="C22" i="3"/>
  <c r="G31" i="3"/>
  <c r="G30" i="3"/>
  <c r="L24" i="3"/>
  <c r="L22" i="3"/>
  <c r="L25" i="3"/>
  <c r="L30" i="3" s="1"/>
  <c r="J25" i="3"/>
  <c r="J30" i="3" s="1"/>
  <c r="J24" i="3"/>
  <c r="J22" i="3"/>
  <c r="I25" i="3"/>
  <c r="I24" i="3"/>
  <c r="I29" i="3" s="1"/>
  <c r="I22" i="3"/>
  <c r="N22" i="3"/>
  <c r="H22" i="3"/>
  <c r="H25" i="3"/>
  <c r="H24" i="3"/>
  <c r="H29" i="3" s="1"/>
  <c r="K25" i="3"/>
  <c r="K30" i="3" s="1"/>
  <c r="K22" i="3"/>
  <c r="K24" i="3"/>
  <c r="D25" i="3" l="1"/>
  <c r="D31" i="3" s="1"/>
  <c r="D22" i="3"/>
  <c r="D29" i="3"/>
  <c r="M29" i="3"/>
  <c r="N31" i="3"/>
  <c r="H30" i="3"/>
  <c r="H31" i="3"/>
  <c r="J31" i="3"/>
  <c r="J29" i="3"/>
  <c r="C31" i="3"/>
  <c r="C30" i="3"/>
  <c r="K31" i="3"/>
  <c r="K29" i="3"/>
  <c r="I31" i="3"/>
  <c r="I30" i="3"/>
  <c r="L31" i="3"/>
  <c r="L29" i="3"/>
  <c r="D30" i="3" l="1"/>
  <c r="V9" i="6" l="1"/>
  <c r="U9" i="6"/>
  <c r="N46" i="1"/>
  <c r="T82" i="5" l="1"/>
  <c r="U82" i="5"/>
  <c r="S9" i="6" l="1"/>
  <c r="T9" i="6"/>
  <c r="L70" i="1" l="1"/>
  <c r="Q9" i="6" l="1"/>
  <c r="R9" i="6"/>
  <c r="L79" i="1" l="1"/>
  <c r="L18" i="1"/>
  <c r="N9" i="6" l="1"/>
  <c r="K9" i="6"/>
  <c r="H9" i="6"/>
  <c r="E14" i="6" s="1"/>
  <c r="I9" i="6"/>
  <c r="F13" i="6" s="1"/>
  <c r="J9" i="6"/>
  <c r="F14" i="6" s="1"/>
  <c r="L9" i="6"/>
  <c r="E9" i="6"/>
  <c r="D13" i="6" s="1"/>
  <c r="F9" i="6"/>
  <c r="D14" i="6" s="1"/>
  <c r="G9" i="6"/>
  <c r="E13" i="6" s="1"/>
  <c r="M9" i="6"/>
  <c r="Q82" i="5"/>
  <c r="P82" i="5"/>
  <c r="O82" i="5"/>
  <c r="N82" i="5"/>
  <c r="M82" i="5"/>
  <c r="L82" i="5"/>
  <c r="P9" i="6" l="1"/>
  <c r="O9" i="6"/>
  <c r="K79" i="1" l="1"/>
  <c r="K70" i="1"/>
  <c r="F5" i="2" l="1"/>
  <c r="G4" i="2" s="1"/>
  <c r="H5" i="2"/>
  <c r="I4" i="2" s="1"/>
  <c r="J5" i="2"/>
  <c r="K4" i="2" s="1"/>
  <c r="E9" i="2"/>
  <c r="G9" i="2"/>
  <c r="K9" i="2"/>
  <c r="E11" i="2"/>
  <c r="G11" i="2"/>
  <c r="I11" i="2"/>
  <c r="K11" i="2"/>
  <c r="G34" i="2"/>
  <c r="I34" i="2"/>
  <c r="K34" i="2"/>
  <c r="F18" i="1"/>
  <c r="G18" i="1"/>
  <c r="G19" i="1" s="1"/>
  <c r="N18" i="1"/>
  <c r="O84" i="1"/>
  <c r="I18" i="1"/>
  <c r="E16" i="1"/>
  <c r="Q17" i="1"/>
  <c r="S17" i="1"/>
  <c r="J18" i="1"/>
  <c r="G83" i="1"/>
  <c r="I83" i="1"/>
  <c r="J83" i="1"/>
  <c r="G46" i="1"/>
  <c r="E15" i="3" s="1"/>
  <c r="H46" i="1"/>
  <c r="F15" i="3" s="1"/>
  <c r="P15" i="3" s="1"/>
  <c r="I46" i="1"/>
  <c r="J46" i="1"/>
  <c r="K46" i="1"/>
  <c r="M46" i="1"/>
  <c r="G62" i="1"/>
  <c r="E16" i="3" s="1"/>
  <c r="H62" i="1"/>
  <c r="F16" i="3" s="1"/>
  <c r="P16" i="3" s="1"/>
  <c r="I62" i="1"/>
  <c r="J62" i="1"/>
  <c r="K62" i="1"/>
  <c r="M62" i="1"/>
  <c r="N62" i="1"/>
  <c r="Q66" i="1"/>
  <c r="S66" i="1"/>
  <c r="Q67" i="1"/>
  <c r="S67" i="1"/>
  <c r="Q68" i="1"/>
  <c r="S68" i="1"/>
  <c r="Q69" i="1"/>
  <c r="S69" i="1"/>
  <c r="F70" i="1"/>
  <c r="G70" i="1"/>
  <c r="H70" i="1"/>
  <c r="I70" i="1"/>
  <c r="J70" i="1"/>
  <c r="M70" i="1"/>
  <c r="N70" i="1"/>
  <c r="S70" i="1"/>
  <c r="Q72" i="1"/>
  <c r="S72" i="1"/>
  <c r="Q73" i="1"/>
  <c r="S73" i="1"/>
  <c r="Q74" i="1"/>
  <c r="S74" i="1"/>
  <c r="Q75" i="1"/>
  <c r="S75" i="1"/>
  <c r="Q76" i="1"/>
  <c r="S76" i="1"/>
  <c r="Q77" i="1"/>
  <c r="S77" i="1"/>
  <c r="Q78" i="1"/>
  <c r="S78" i="1"/>
  <c r="E79" i="1"/>
  <c r="F79" i="1"/>
  <c r="G79" i="1"/>
  <c r="H79" i="1"/>
  <c r="I79" i="1"/>
  <c r="J79" i="1"/>
  <c r="M79" i="1"/>
  <c r="N79" i="1"/>
  <c r="O79" i="1"/>
  <c r="P79" i="1"/>
  <c r="F84" i="1"/>
  <c r="G84" i="1"/>
  <c r="J84" i="1"/>
  <c r="Q90" i="1"/>
  <c r="Q91" i="1"/>
  <c r="Q92" i="1"/>
  <c r="Q93" i="1"/>
  <c r="O16" i="3" l="1"/>
  <c r="F28" i="3"/>
  <c r="F17" i="3"/>
  <c r="F20" i="3" s="1"/>
  <c r="O15" i="3"/>
  <c r="E28" i="3"/>
  <c r="E17" i="3"/>
  <c r="E20" i="3" s="1"/>
  <c r="G64" i="1"/>
  <c r="G81" i="1" s="1"/>
  <c r="G86" i="1" s="1"/>
  <c r="F19" i="1"/>
  <c r="E33" i="2"/>
  <c r="E35" i="2" s="1"/>
  <c r="K33" i="2"/>
  <c r="I33" i="2"/>
  <c r="G33" i="2"/>
  <c r="G35" i="2" s="1"/>
  <c r="G38" i="2" s="1"/>
  <c r="N84" i="1"/>
  <c r="O83" i="1"/>
  <c r="M18" i="1"/>
  <c r="M63" i="1"/>
  <c r="M85" i="1" s="1"/>
  <c r="I84" i="1"/>
  <c r="F63" i="1"/>
  <c r="F85" i="1" s="1"/>
  <c r="F83" i="1"/>
  <c r="F82" i="1"/>
  <c r="F88" i="1" s="1"/>
  <c r="H63" i="1"/>
  <c r="Q79" i="1"/>
  <c r="J63" i="1"/>
  <c r="J85" i="1" s="1"/>
  <c r="N63" i="1"/>
  <c r="N85" i="1" s="1"/>
  <c r="I64" i="1"/>
  <c r="I81" i="1" s="1"/>
  <c r="I86" i="1" s="1"/>
  <c r="J64" i="1"/>
  <c r="J82" i="1" s="1"/>
  <c r="J88" i="1" s="1"/>
  <c r="S79" i="1"/>
  <c r="O64" i="1"/>
  <c r="O81" i="1" s="1"/>
  <c r="I63" i="1"/>
  <c r="I85" i="1" s="1"/>
  <c r="O85" i="1"/>
  <c r="G63" i="1"/>
  <c r="G85" i="1" s="1"/>
  <c r="K63" i="1"/>
  <c r="K85" i="1" s="1"/>
  <c r="Q70" i="1"/>
  <c r="F24" i="3" l="1"/>
  <c r="F29" i="3" s="1"/>
  <c r="F25" i="3"/>
  <c r="F22" i="3"/>
  <c r="K35" i="2"/>
  <c r="K38" i="2" s="1"/>
  <c r="E24" i="3"/>
  <c r="E22" i="3"/>
  <c r="E25" i="3"/>
  <c r="O28" i="3"/>
  <c r="O17" i="3"/>
  <c r="O20" i="3" s="1"/>
  <c r="O24" i="3" s="1"/>
  <c r="I35" i="2"/>
  <c r="I38" i="2" s="1"/>
  <c r="O82" i="1"/>
  <c r="N83" i="1"/>
  <c r="J87" i="1"/>
  <c r="F81" i="1"/>
  <c r="F86" i="1" s="1"/>
  <c r="N64" i="1"/>
  <c r="N81" i="1" s="1"/>
  <c r="N86" i="1" s="1"/>
  <c r="G82" i="1"/>
  <c r="I82" i="1"/>
  <c r="I88" i="1" s="1"/>
  <c r="J81" i="1"/>
  <c r="J86" i="1" s="1"/>
  <c r="O86" i="1"/>
  <c r="F87" i="1"/>
  <c r="O25" i="3" l="1"/>
  <c r="F30" i="3"/>
  <c r="F31" i="3"/>
  <c r="O22" i="3"/>
  <c r="T25" i="3" s="1"/>
  <c r="E30" i="3"/>
  <c r="E31" i="3"/>
  <c r="E29" i="3"/>
  <c r="O29" i="3"/>
  <c r="G88" i="1"/>
  <c r="O87" i="1"/>
  <c r="O88" i="1"/>
  <c r="G87" i="1"/>
  <c r="N82" i="1"/>
  <c r="N88" i="1" s="1"/>
  <c r="I87" i="1"/>
  <c r="O30" i="3" l="1"/>
  <c r="O31" i="3"/>
  <c r="N87" i="1"/>
  <c r="K84" i="1" l="1"/>
  <c r="K83" i="1"/>
  <c r="K18" i="1"/>
  <c r="K64" i="1" l="1"/>
  <c r="K81" i="1" l="1"/>
  <c r="K82" i="1"/>
  <c r="K88" i="1" s="1"/>
  <c r="K86" i="1" l="1"/>
  <c r="K87" i="1"/>
  <c r="R82" i="5" l="1"/>
  <c r="S82" i="5" l="1"/>
  <c r="L84" i="1"/>
  <c r="L83" i="1" l="1"/>
  <c r="Q35" i="1" l="1"/>
  <c r="S35" i="1"/>
  <c r="Q58" i="1" l="1"/>
  <c r="S58" i="1"/>
  <c r="Q56" i="1"/>
  <c r="S56" i="1"/>
  <c r="Q39" i="1"/>
  <c r="S39" i="1"/>
  <c r="S50" i="1"/>
  <c r="Q50" i="1"/>
  <c r="Q49" i="1"/>
  <c r="S49" i="1"/>
  <c r="S53" i="1"/>
  <c r="Q53" i="1"/>
  <c r="Q32" i="1"/>
  <c r="S32" i="1"/>
  <c r="S48" i="1"/>
  <c r="Q48" i="1"/>
  <c r="S24" i="1"/>
  <c r="Q24" i="1"/>
  <c r="S38" i="1"/>
  <c r="Q38" i="1"/>
  <c r="Q42" i="1"/>
  <c r="S42" i="1"/>
  <c r="Q59" i="1"/>
  <c r="S59" i="1"/>
  <c r="S37" i="1"/>
  <c r="Q37" i="1"/>
  <c r="Q44" i="1"/>
  <c r="S44" i="1"/>
  <c r="Q33" i="1"/>
  <c r="S33" i="1"/>
  <c r="Q61" i="1"/>
  <c r="S61" i="1"/>
  <c r="Q34" i="1"/>
  <c r="S34" i="1"/>
  <c r="Q30" i="1"/>
  <c r="S30" i="1"/>
  <c r="Q43" i="1"/>
  <c r="S43" i="1"/>
  <c r="Q28" i="1"/>
  <c r="S28" i="1"/>
  <c r="Q41" i="1"/>
  <c r="S41" i="1"/>
  <c r="S31" i="1"/>
  <c r="Q31" i="1"/>
  <c r="Q60" i="1"/>
  <c r="S60" i="1"/>
  <c r="Q57" i="1"/>
  <c r="S57" i="1"/>
  <c r="Q23" i="1"/>
  <c r="S23" i="1"/>
  <c r="L46" i="1"/>
  <c r="L62" i="1"/>
  <c r="Q47" i="1"/>
  <c r="S47" i="1"/>
  <c r="Q27" i="1"/>
  <c r="S27" i="1"/>
  <c r="S25" i="1"/>
  <c r="Q25" i="1"/>
  <c r="Q36" i="1"/>
  <c r="S36" i="1"/>
  <c r="Q51" i="1"/>
  <c r="S51" i="1"/>
  <c r="Q54" i="1"/>
  <c r="S54" i="1"/>
  <c r="Q55" i="1"/>
  <c r="S55" i="1"/>
  <c r="S26" i="1"/>
  <c r="Q26" i="1"/>
  <c r="Q45" i="1"/>
  <c r="S45" i="1"/>
  <c r="S29" i="1"/>
  <c r="Q29" i="1"/>
  <c r="S40" i="1"/>
  <c r="Q40" i="1"/>
  <c r="S52" i="1"/>
  <c r="Q52" i="1"/>
  <c r="S62" i="1" l="1"/>
  <c r="Q62" i="1"/>
  <c r="L63" i="1"/>
  <c r="L64" i="1"/>
  <c r="S46" i="1"/>
  <c r="Q46" i="1"/>
  <c r="R55" i="1" l="1"/>
  <c r="R32" i="1"/>
  <c r="R51" i="1"/>
  <c r="R40" i="1"/>
  <c r="R28" i="1"/>
  <c r="R45" i="1"/>
  <c r="R39" i="1"/>
  <c r="R47" i="1"/>
  <c r="R61" i="1"/>
  <c r="R50" i="1"/>
  <c r="R56" i="1"/>
  <c r="R60" i="1"/>
  <c r="R48" i="1"/>
  <c r="R59" i="1"/>
  <c r="R36" i="1"/>
  <c r="R43" i="1"/>
  <c r="R38" i="1"/>
  <c r="R49" i="1"/>
  <c r="R62" i="1"/>
  <c r="R33" i="1"/>
  <c r="R35" i="1"/>
  <c r="Q63" i="1"/>
  <c r="R63" i="1" s="1"/>
  <c r="R46" i="1"/>
  <c r="R37" i="1"/>
  <c r="R42" i="1"/>
  <c r="L82" i="1"/>
  <c r="L88" i="1" s="1"/>
  <c r="L81" i="1"/>
  <c r="R30" i="1"/>
  <c r="R53" i="1"/>
  <c r="R23" i="1"/>
  <c r="R31" i="1"/>
  <c r="R44" i="1"/>
  <c r="L85" i="1"/>
  <c r="S63" i="1"/>
  <c r="R25" i="1"/>
  <c r="R41" i="1"/>
  <c r="R24" i="1"/>
  <c r="R58" i="1"/>
  <c r="R27" i="1"/>
  <c r="R26" i="1"/>
  <c r="R34" i="1"/>
  <c r="R54" i="1"/>
  <c r="R52" i="1"/>
  <c r="R57" i="1"/>
  <c r="R29" i="1"/>
  <c r="P28" i="3" l="1"/>
  <c r="P17" i="3"/>
  <c r="P20" i="3" s="1"/>
  <c r="L86" i="1"/>
  <c r="L87" i="1"/>
  <c r="P24" i="3" l="1"/>
  <c r="P29" i="3" s="1"/>
  <c r="P25" i="3"/>
  <c r="P22" i="3"/>
  <c r="M84" i="1"/>
  <c r="P30" i="3" l="1"/>
  <c r="P31" i="3"/>
  <c r="M64" i="1"/>
  <c r="M83" i="1"/>
  <c r="M81" i="1" l="1"/>
  <c r="M82" i="1"/>
  <c r="M88" i="1" l="1"/>
  <c r="M87" i="1"/>
  <c r="M86" i="1"/>
  <c r="V82" i="5" l="1"/>
  <c r="X82" i="5" l="1"/>
  <c r="AA7" i="6" l="1"/>
  <c r="AA8" i="6"/>
  <c r="AA5" i="6"/>
  <c r="AA6" i="6"/>
  <c r="W9" i="6"/>
  <c r="AB5" i="6" l="1"/>
  <c r="AB7" i="6"/>
  <c r="AB6" i="6" l="1"/>
  <c r="Y82" i="5"/>
  <c r="X9" i="6" l="1"/>
  <c r="AB8" i="6"/>
  <c r="AC7" i="6"/>
  <c r="AC6" i="6"/>
  <c r="AC8" i="6"/>
  <c r="AC5" i="6"/>
  <c r="AC9" i="6" l="1"/>
  <c r="P85" i="1" l="1"/>
  <c r="P18" i="1"/>
  <c r="P84" i="1"/>
  <c r="P64" i="1" l="1"/>
  <c r="P82" i="1" s="1"/>
  <c r="P83" i="1"/>
  <c r="P81" i="1" l="1"/>
  <c r="P88" i="1" s="1"/>
  <c r="P87" i="1"/>
  <c r="P86" i="1" l="1"/>
  <c r="Z82" i="5"/>
  <c r="AA82" i="5" l="1"/>
  <c r="C4" i="6" l="1"/>
  <c r="C9" i="6" l="1"/>
  <c r="C13" i="6" s="1"/>
  <c r="AA4" i="6"/>
  <c r="AA9" i="6" s="1"/>
  <c r="D9" i="6"/>
  <c r="C14" i="6" s="1"/>
  <c r="AB4" i="6"/>
  <c r="AB9" i="6" l="1"/>
  <c r="AD4" i="6" s="1"/>
  <c r="D10" i="6" l="1"/>
  <c r="Z10" i="6"/>
  <c r="AD8" i="6"/>
  <c r="F10" i="6"/>
  <c r="V10" i="6"/>
  <c r="X10" i="6"/>
  <c r="J10" i="6"/>
  <c r="N10" i="6"/>
  <c r="R10" i="6"/>
  <c r="H10" i="6"/>
  <c r="L10" i="6"/>
  <c r="P10" i="6"/>
  <c r="AD5" i="6"/>
  <c r="T10" i="6"/>
  <c r="AD6" i="6"/>
  <c r="AD7" i="6"/>
  <c r="AD9" i="6" l="1"/>
  <c r="S11" i="1" l="1"/>
  <c r="Q11" i="1"/>
  <c r="Q13" i="1"/>
  <c r="S13" i="1"/>
  <c r="Q12" i="1" l="1"/>
  <c r="S12" i="1"/>
  <c r="Q15" i="1"/>
  <c r="S15" i="1"/>
  <c r="Q7" i="1"/>
  <c r="S7" i="1"/>
  <c r="E9" i="1"/>
  <c r="E5" i="1"/>
  <c r="S6" i="1"/>
  <c r="Q6" i="1"/>
  <c r="S8" i="1"/>
  <c r="Q8" i="1"/>
  <c r="Q9" i="1" l="1"/>
  <c r="E18" i="1"/>
  <c r="S14" i="1"/>
  <c r="Q14" i="1"/>
  <c r="E84" i="1"/>
  <c r="E85" i="1"/>
  <c r="E20" i="1"/>
  <c r="E64" i="1" s="1"/>
  <c r="S9" i="1"/>
  <c r="E83" i="1" l="1"/>
  <c r="E21" i="1"/>
  <c r="E19" i="1"/>
  <c r="E82" i="1" l="1"/>
  <c r="E81" i="1"/>
  <c r="E86" i="1" l="1"/>
  <c r="E88" i="1"/>
  <c r="E87" i="1"/>
  <c r="E38" i="2" l="1"/>
  <c r="L33" i="9" l="1"/>
  <c r="M33" i="9" s="1"/>
  <c r="L34" i="9"/>
  <c r="M34" i="9" s="1"/>
  <c r="L31" i="9"/>
  <c r="M31" i="9" s="1"/>
  <c r="L36" i="9"/>
  <c r="M36" i="9" s="1"/>
  <c r="L32" i="9"/>
  <c r="M32" i="9" s="1"/>
  <c r="L30" i="9"/>
  <c r="M30" i="9" s="1"/>
  <c r="L40" i="9"/>
  <c r="M40" i="9" s="1"/>
  <c r="L35" i="9"/>
  <c r="M35" i="9" s="1"/>
  <c r="L37" i="9"/>
  <c r="M37" i="9" s="1"/>
  <c r="L19" i="9" l="1"/>
  <c r="M19" i="9" s="1"/>
  <c r="I32" i="9" l="1"/>
  <c r="J32" i="9" s="1"/>
  <c r="I36" i="9" l="1"/>
  <c r="J36" i="9" s="1"/>
  <c r="I33" i="9"/>
  <c r="J33" i="9" s="1"/>
  <c r="I30" i="9"/>
  <c r="J30" i="9" s="1"/>
  <c r="I31" i="9"/>
  <c r="J31" i="9" s="1"/>
  <c r="I35" i="9"/>
  <c r="J35" i="9" s="1"/>
  <c r="I19" i="9"/>
  <c r="J19" i="9" s="1"/>
  <c r="I34" i="9"/>
  <c r="J34" i="9" s="1"/>
  <c r="I87" i="9" l="1"/>
  <c r="J87" i="9" s="1"/>
  <c r="K87" i="9"/>
  <c r="L87" i="9" s="1"/>
  <c r="M87" i="9" s="1"/>
  <c r="I37" i="9"/>
  <c r="J37" i="9" s="1"/>
  <c r="I40" i="9"/>
  <c r="J40" i="9" s="1"/>
  <c r="L16" i="9" l="1"/>
  <c r="M16" i="9" s="1"/>
  <c r="L66" i="9"/>
  <c r="M66" i="9" s="1"/>
  <c r="L80" i="9"/>
  <c r="M80" i="9" s="1"/>
  <c r="L11" i="9"/>
  <c r="M11" i="9" s="1"/>
  <c r="L14" i="9"/>
  <c r="M14" i="9" s="1"/>
  <c r="I11" i="9"/>
  <c r="J11" i="9" s="1"/>
  <c r="L45" i="9" l="1"/>
  <c r="M45" i="9" s="1"/>
  <c r="L8" i="9"/>
  <c r="M8" i="9" s="1"/>
  <c r="L9" i="9"/>
  <c r="M9" i="9" s="1"/>
  <c r="L65" i="9"/>
  <c r="M65" i="9" s="1"/>
  <c r="L28" i="9"/>
  <c r="M28" i="9" s="1"/>
  <c r="I28" i="9"/>
  <c r="J28" i="9" s="1"/>
  <c r="I17" i="9"/>
  <c r="J17" i="9" s="1"/>
  <c r="I12" i="9"/>
  <c r="J12" i="9" s="1"/>
  <c r="I45" i="9"/>
  <c r="J45" i="9" s="1"/>
  <c r="I13" i="9"/>
  <c r="J13" i="9" s="1"/>
  <c r="I80" i="9"/>
  <c r="J80" i="9" s="1"/>
  <c r="I66" i="9"/>
  <c r="J66" i="9" s="1"/>
  <c r="I65" i="9" l="1"/>
  <c r="J65" i="9" s="1"/>
  <c r="L15" i="9"/>
  <c r="M15" i="9" s="1"/>
  <c r="L12" i="9"/>
  <c r="M12" i="9" s="1"/>
  <c r="L17" i="9"/>
  <c r="M17" i="9" s="1"/>
  <c r="L13" i="9"/>
  <c r="M13" i="9" s="1"/>
  <c r="L74" i="9"/>
  <c r="M74" i="9" s="1"/>
  <c r="L18" i="9"/>
  <c r="M18" i="9" s="1"/>
  <c r="I16" i="9"/>
  <c r="J16" i="9" s="1"/>
  <c r="I8" i="9"/>
  <c r="J8" i="9" s="1"/>
  <c r="I18" i="9"/>
  <c r="J18" i="9" s="1"/>
  <c r="I44" i="9"/>
  <c r="J44" i="9" s="1"/>
  <c r="I9" i="9"/>
  <c r="J9" i="9" s="1"/>
  <c r="I74" i="9"/>
  <c r="J74" i="9" s="1"/>
  <c r="I10" i="9" l="1"/>
  <c r="J10" i="9" s="1"/>
  <c r="L22" i="9"/>
  <c r="M22" i="9" s="1"/>
  <c r="L85" i="9"/>
  <c r="M85" i="9" s="1"/>
  <c r="L73" i="9"/>
  <c r="M73" i="9" s="1"/>
  <c r="L76" i="9"/>
  <c r="M76" i="9" s="1"/>
  <c r="I15" i="9"/>
  <c r="J15" i="9" s="1"/>
  <c r="L44" i="9"/>
  <c r="M44" i="9" s="1"/>
  <c r="L6" i="9"/>
  <c r="M6" i="9" s="1"/>
  <c r="L10" i="9"/>
  <c r="M10" i="9" s="1"/>
  <c r="L27" i="9"/>
  <c r="M27" i="9" s="1"/>
  <c r="I14" i="9"/>
  <c r="J14" i="9" s="1"/>
  <c r="I22" i="9"/>
  <c r="J22" i="9" s="1"/>
  <c r="L7" i="9" l="1"/>
  <c r="M7" i="9" s="1"/>
  <c r="L5" i="9"/>
  <c r="M5" i="9" s="1"/>
  <c r="L77" i="9"/>
  <c r="M77" i="9" s="1"/>
  <c r="L84" i="9"/>
  <c r="M84" i="9" s="1"/>
  <c r="L82" i="9"/>
  <c r="M82" i="9" s="1"/>
  <c r="L3" i="9"/>
  <c r="L81" i="9"/>
  <c r="M81" i="9" s="1"/>
  <c r="L71" i="9"/>
  <c r="M71" i="9" s="1"/>
  <c r="L58" i="9"/>
  <c r="M58" i="9" s="1"/>
  <c r="L70" i="9"/>
  <c r="M70" i="9" s="1"/>
  <c r="L63" i="9"/>
  <c r="M63" i="9" s="1"/>
  <c r="L4" i="9"/>
  <c r="M4" i="9" s="1"/>
  <c r="L24" i="9"/>
  <c r="M24" i="9" s="1"/>
  <c r="L86" i="9" l="1"/>
  <c r="M86" i="9" s="1"/>
  <c r="L83" i="9"/>
  <c r="M83" i="9" s="1"/>
  <c r="L75" i="9"/>
  <c r="M75" i="9" s="1"/>
  <c r="M3" i="9"/>
  <c r="M79" i="9"/>
  <c r="L25" i="9"/>
  <c r="M25" i="9" s="1"/>
  <c r="L67" i="9"/>
  <c r="M67" i="9" s="1"/>
  <c r="L60" i="9"/>
  <c r="M60" i="9" s="1"/>
  <c r="L21" i="9"/>
  <c r="M21" i="9" s="1"/>
  <c r="L59" i="9"/>
  <c r="M59" i="9" s="1"/>
  <c r="I85" i="9"/>
  <c r="J85" i="9" s="1"/>
  <c r="I6" i="9"/>
  <c r="J6" i="9" s="1"/>
  <c r="I27" i="9"/>
  <c r="J27" i="9" s="1"/>
  <c r="I24" i="9"/>
  <c r="J24" i="9" s="1"/>
  <c r="L39" i="9" l="1"/>
  <c r="M39" i="9" s="1"/>
  <c r="L29" i="9"/>
  <c r="M29" i="9" s="1"/>
  <c r="L26" i="9"/>
  <c r="M26" i="9" s="1"/>
  <c r="L23" i="9"/>
  <c r="M23" i="9" s="1"/>
  <c r="L62" i="9"/>
  <c r="M62" i="9" s="1"/>
  <c r="L43" i="9"/>
  <c r="M43" i="9" s="1"/>
  <c r="L41" i="9"/>
  <c r="M41" i="9" s="1"/>
  <c r="I73" i="9"/>
  <c r="J73" i="9" s="1"/>
  <c r="I76" i="9"/>
  <c r="J76" i="9" s="1"/>
  <c r="L69" i="9"/>
  <c r="M69" i="9" s="1"/>
  <c r="L78" i="9"/>
  <c r="M78" i="9" s="1"/>
  <c r="I26" i="9"/>
  <c r="J26" i="9" s="1"/>
  <c r="I23" i="9"/>
  <c r="J23" i="9" s="1"/>
  <c r="I41" i="9"/>
  <c r="J41" i="9" s="1"/>
  <c r="I39" i="9"/>
  <c r="J39" i="9" s="1"/>
  <c r="I43" i="9"/>
  <c r="J43" i="9" s="1"/>
  <c r="I21" i="9"/>
  <c r="J21" i="9" s="1"/>
  <c r="I71" i="9"/>
  <c r="J71" i="9" s="1"/>
  <c r="I81" i="9"/>
  <c r="J81" i="9" s="1"/>
  <c r="I4" i="9"/>
  <c r="J4" i="9" s="1"/>
  <c r="I86" i="9"/>
  <c r="J86" i="9" s="1"/>
  <c r="I58" i="9"/>
  <c r="J58" i="9" s="1"/>
  <c r="I3" i="9"/>
  <c r="I79" i="9"/>
  <c r="J79" i="9" s="1"/>
  <c r="I84" i="9"/>
  <c r="J84" i="9" s="1"/>
  <c r="I77" i="9"/>
  <c r="J77" i="9" s="1"/>
  <c r="I82" i="9"/>
  <c r="J82" i="9" s="1"/>
  <c r="I59" i="9"/>
  <c r="J59" i="9" s="1"/>
  <c r="I83" i="9"/>
  <c r="J83" i="9" s="1"/>
  <c r="I75" i="9"/>
  <c r="J75" i="9" s="1"/>
  <c r="I25" i="9"/>
  <c r="J25" i="9" s="1"/>
  <c r="I5" i="9" l="1"/>
  <c r="J5" i="9" s="1"/>
  <c r="I7" i="9"/>
  <c r="J7" i="9" s="1"/>
  <c r="L20" i="9"/>
  <c r="L38" i="9"/>
  <c r="M38" i="9" s="1"/>
  <c r="J3" i="9"/>
  <c r="L42" i="9"/>
  <c r="M42" i="9" s="1"/>
  <c r="I69" i="9"/>
  <c r="J69" i="9" s="1"/>
  <c r="I62" i="9"/>
  <c r="J62" i="9" s="1"/>
  <c r="I70" i="9"/>
  <c r="J70" i="9" s="1"/>
  <c r="I63" i="9"/>
  <c r="J63" i="9" s="1"/>
  <c r="I67" i="9"/>
  <c r="J67" i="9" s="1"/>
  <c r="I60" i="9"/>
  <c r="J60" i="9" s="1"/>
  <c r="I42" i="9"/>
  <c r="J42" i="9" s="1"/>
  <c r="I38" i="9"/>
  <c r="J38" i="9" s="1"/>
  <c r="I78" i="9"/>
  <c r="J78" i="9" s="1"/>
  <c r="I29" i="9"/>
  <c r="J29" i="9" s="1"/>
  <c r="I20" i="9"/>
  <c r="J20" i="9" s="1"/>
  <c r="J99" i="9" l="1"/>
  <c r="M20" i="9"/>
  <c r="I61" i="9" l="1"/>
  <c r="I92" i="9" s="1"/>
  <c r="J92" i="9" s="1"/>
  <c r="K61" i="9"/>
  <c r="I68" i="9"/>
  <c r="J68" i="9" s="1"/>
  <c r="K68" i="9"/>
  <c r="J61" i="9" l="1"/>
  <c r="J89" i="9"/>
  <c r="K92" i="9" s="1"/>
  <c r="I89" i="9"/>
  <c r="L61" i="9"/>
  <c r="L68" i="9"/>
  <c r="M68" i="9" s="1"/>
  <c r="J97" i="9" l="1"/>
  <c r="J98" i="9" s="1"/>
  <c r="M61" i="9"/>
  <c r="M89" i="9" s="1"/>
  <c r="L89" i="9"/>
  <c r="H5" i="1" l="1"/>
  <c r="Q5" i="1" s="1"/>
  <c r="H85" i="1"/>
  <c r="AB72" i="5" l="1"/>
  <c r="AB62" i="5"/>
  <c r="AB56" i="5"/>
  <c r="AB64" i="5"/>
  <c r="AB9" i="5"/>
  <c r="AB4" i="5"/>
  <c r="AB61" i="5"/>
  <c r="AB54" i="5"/>
  <c r="AB42" i="5"/>
  <c r="AB22" i="5"/>
  <c r="AB53" i="5"/>
  <c r="AB60" i="5"/>
  <c r="AB43" i="5"/>
  <c r="AB40" i="5"/>
  <c r="AB41" i="5"/>
  <c r="AB55" i="5"/>
  <c r="AB17" i="5"/>
  <c r="AB33" i="5"/>
  <c r="AB16" i="5"/>
  <c r="AB27" i="5"/>
  <c r="AB31" i="5"/>
  <c r="AB7" i="5"/>
  <c r="AB10" i="5"/>
  <c r="AB28" i="5"/>
  <c r="AB32" i="5"/>
  <c r="AB26" i="5"/>
  <c r="AB36" i="5"/>
  <c r="AB30" i="5"/>
  <c r="AB34" i="5"/>
  <c r="AB38" i="5"/>
  <c r="AB6" i="5"/>
  <c r="AB15" i="5"/>
  <c r="AB11" i="5"/>
  <c r="AB29" i="5"/>
  <c r="AB21" i="5"/>
  <c r="AB13" i="5"/>
  <c r="AB12" i="5"/>
  <c r="AB24" i="5"/>
  <c r="AB25" i="5"/>
  <c r="AB23" i="5"/>
  <c r="AB19" i="5"/>
  <c r="AB8" i="5"/>
  <c r="AB48" i="5"/>
  <c r="AB20" i="5"/>
  <c r="AB14" i="5"/>
  <c r="AB39" i="5"/>
  <c r="AB5" i="5"/>
  <c r="AB45" i="5"/>
  <c r="AB44" i="5"/>
  <c r="AB47" i="5"/>
  <c r="AB73" i="5"/>
  <c r="AB69" i="5"/>
  <c r="AB65" i="5"/>
  <c r="AB66" i="5"/>
  <c r="AB18" i="5" l="1"/>
  <c r="AB57" i="5"/>
  <c r="AB59" i="5" l="1"/>
  <c r="AB80" i="5"/>
  <c r="AB49" i="5"/>
  <c r="AB74" i="5"/>
  <c r="AB50" i="5"/>
  <c r="AB35" i="5"/>
  <c r="AB37" i="5"/>
  <c r="AB46" i="5"/>
  <c r="AB58" i="5"/>
  <c r="AB75" i="5"/>
  <c r="AB71" i="5"/>
  <c r="AB68" i="5"/>
  <c r="AB70" i="5"/>
  <c r="AB51" i="5"/>
  <c r="AB67" i="5"/>
  <c r="AB63" i="5"/>
  <c r="AB76" i="5"/>
  <c r="AB77" i="5"/>
  <c r="AB52" i="5" l="1"/>
  <c r="AC52" i="5"/>
  <c r="AB79" i="5"/>
  <c r="AB78" i="5"/>
  <c r="I353" i="9"/>
  <c r="J353" i="9" s="1"/>
  <c r="I350" i="9"/>
  <c r="J350" i="9" s="1"/>
  <c r="I339" i="9"/>
  <c r="J339" i="9" s="1"/>
  <c r="I338" i="9"/>
  <c r="J338" i="9" s="1"/>
  <c r="I340" i="9"/>
  <c r="J340" i="9" s="1"/>
  <c r="I337" i="9"/>
  <c r="I352" i="9"/>
  <c r="J352" i="9" s="1"/>
  <c r="AC58" i="5"/>
  <c r="AC57" i="5"/>
  <c r="AC63" i="5"/>
  <c r="AC67" i="5"/>
  <c r="J82" i="5" l="1"/>
  <c r="AB82" i="5"/>
  <c r="I351" i="9"/>
  <c r="J351" i="9" s="1"/>
  <c r="J337" i="9"/>
  <c r="AC59" i="5"/>
  <c r="AC37" i="5"/>
  <c r="AC35" i="5"/>
  <c r="I343" i="9"/>
  <c r="J343" i="9" s="1"/>
  <c r="I341" i="9"/>
  <c r="I348" i="9"/>
  <c r="J348" i="9" s="1"/>
  <c r="I344" i="9"/>
  <c r="J344" i="9" s="1"/>
  <c r="I345" i="9"/>
  <c r="J345" i="9" s="1"/>
  <c r="I342" i="9"/>
  <c r="J342" i="9" s="1"/>
  <c r="I346" i="9"/>
  <c r="J346" i="9" s="1"/>
  <c r="AC56" i="5"/>
  <c r="AC50" i="5"/>
  <c r="AC51" i="5"/>
  <c r="AC46" i="5"/>
  <c r="AC64" i="5"/>
  <c r="AC68" i="5"/>
  <c r="AC77" i="5"/>
  <c r="AC75" i="5"/>
  <c r="AC65" i="5"/>
  <c r="I381" i="9" l="1"/>
  <c r="AC79" i="5"/>
  <c r="AC78" i="5"/>
  <c r="J341" i="9"/>
  <c r="J381" i="9" s="1"/>
  <c r="AC70" i="5"/>
  <c r="AC74" i="5"/>
  <c r="AC49" i="5"/>
  <c r="AC80" i="5" l="1"/>
  <c r="AC54" i="5" l="1"/>
  <c r="AC71" i="5"/>
  <c r="AC61" i="5" l="1"/>
  <c r="AC25" i="5" l="1"/>
  <c r="AC26" i="5"/>
  <c r="AC23" i="5"/>
  <c r="AC21" i="5" l="1"/>
  <c r="AC20" i="5"/>
  <c r="AC73" i="5" l="1"/>
  <c r="AC72" i="5" l="1"/>
  <c r="AC66" i="5"/>
  <c r="AC40" i="5"/>
  <c r="AC10" i="5"/>
  <c r="AC76" i="5"/>
  <c r="AC5" i="5"/>
  <c r="AC62" i="5" l="1"/>
  <c r="AC69" i="5"/>
  <c r="AC41" i="5"/>
  <c r="AC47" i="5"/>
  <c r="AC22" i="5"/>
  <c r="AC15" i="5"/>
  <c r="AC7" i="5"/>
  <c r="AC28" i="5"/>
  <c r="AC16" i="5"/>
  <c r="AC36" i="5"/>
  <c r="AC17" i="5"/>
  <c r="AC34" i="5"/>
  <c r="AC19" i="5"/>
  <c r="AC11" i="5"/>
  <c r="AC13" i="5"/>
  <c r="AC31" i="5"/>
  <c r="AC30" i="5"/>
  <c r="AC45" i="5"/>
  <c r="AC29" i="5"/>
  <c r="AC44" i="5"/>
  <c r="AC55" i="5"/>
  <c r="AC14" i="5"/>
  <c r="AC42" i="5"/>
  <c r="AC6" i="5"/>
  <c r="AC24" i="5"/>
  <c r="AC38" i="5"/>
  <c r="AC8" i="5"/>
  <c r="AC12" i="5"/>
  <c r="AC33" i="5" l="1"/>
  <c r="AC48" i="5"/>
  <c r="AC39" i="5"/>
  <c r="AC60" i="5"/>
  <c r="AC43" i="5"/>
  <c r="AC27" i="5"/>
  <c r="AC4" i="5"/>
  <c r="AC53" i="5"/>
  <c r="AC9" i="5"/>
  <c r="AC32" i="5"/>
  <c r="K82" i="5" l="1"/>
  <c r="AC18" i="5"/>
  <c r="AC82" i="5" s="1"/>
  <c r="S10" i="1" l="1"/>
  <c r="H84" i="1"/>
  <c r="H18" i="1"/>
  <c r="H19" i="1" s="1"/>
  <c r="H16" i="1"/>
  <c r="S16" i="1" s="1"/>
  <c r="H20" i="1"/>
  <c r="S20" i="1" s="1"/>
  <c r="Q10" i="1"/>
  <c r="Q18" i="1" s="1"/>
  <c r="H21" i="1" l="1"/>
  <c r="R18" i="1"/>
  <c r="Q19" i="1"/>
  <c r="S18" i="1"/>
  <c r="H64" i="1"/>
  <c r="Q16" i="1"/>
  <c r="H83" i="1"/>
  <c r="Q84" i="1" l="1"/>
  <c r="Q20" i="1"/>
  <c r="H81" i="1"/>
  <c r="S64" i="1"/>
  <c r="H82" i="1"/>
  <c r="S82" i="1" l="1"/>
  <c r="H88" i="1"/>
  <c r="Q88" i="1" s="1"/>
  <c r="H87" i="1"/>
  <c r="S81" i="1"/>
  <c r="H86" i="1"/>
  <c r="Q83" i="1"/>
  <c r="R20" i="1"/>
  <c r="Q64" i="1"/>
  <c r="Q85" i="1"/>
  <c r="Q21" i="1"/>
  <c r="Q81" i="1" l="1"/>
  <c r="R64" i="1"/>
  <c r="Q82" i="1"/>
  <c r="R82" i="1" l="1"/>
  <c r="Q87" i="1"/>
  <c r="Q86" i="1"/>
  <c r="R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ACC-PC01</author>
  </authors>
  <commentList>
    <comment ref="N16" authorId="0" shapeId="0" xr:uid="{00000000-0006-0000-0200-000001000000}">
      <text>
        <r>
          <rPr>
            <b/>
            <sz val="9"/>
            <color indexed="81"/>
            <rFont val="Tahoma"/>
            <family val="2"/>
          </rPr>
          <t>Braket sample</t>
        </r>
        <r>
          <rPr>
            <sz val="9"/>
            <color indexed="81"/>
            <rFont val="Tahoma"/>
            <family val="2"/>
          </rPr>
          <t xml:space="preserve">
</t>
        </r>
      </text>
    </comment>
    <comment ref="C18" authorId="0" shapeId="0" xr:uid="{00000000-0006-0000-0200-000002000000}">
      <text>
        <r>
          <rPr>
            <b/>
            <sz val="9"/>
            <color indexed="81"/>
            <rFont val="Tahoma"/>
            <family val="2"/>
          </rPr>
          <t>15,973$ Penalty Prepayment Chailease</t>
        </r>
        <r>
          <rPr>
            <sz val="9"/>
            <color indexed="81"/>
            <rFont val="Tahoma"/>
            <family val="2"/>
          </rPr>
          <t xml:space="preserve">
</t>
        </r>
      </text>
    </comment>
    <comment ref="E18" authorId="0" shapeId="0" xr:uid="{00000000-0006-0000-0200-000003000000}">
      <text>
        <r>
          <rPr>
            <sz val="9"/>
            <color indexed="81"/>
            <rFont val="Tahoma"/>
            <family val="2"/>
          </rPr>
          <t xml:space="preserve">UV line: 367,375$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ACC-PC01</author>
  </authors>
  <commentList>
    <comment ref="D17" authorId="0" shapeId="0" xr:uid="{00000000-0006-0000-0300-000001000000}">
      <text>
        <r>
          <rPr>
            <b/>
            <sz val="9"/>
            <color indexed="81"/>
            <rFont val="Tahoma"/>
            <family val="2"/>
          </rPr>
          <t>Clear Stock :90k other count:137k</t>
        </r>
      </text>
    </comment>
    <comment ref="G25" authorId="0" shapeId="0" xr:uid="{00000000-0006-0000-0300-000002000000}">
      <text>
        <r>
          <rPr>
            <b/>
            <sz val="9"/>
            <color indexed="81"/>
            <rFont val="Tahoma"/>
            <family val="2"/>
          </rPr>
          <t>Reverse titket Germany</t>
        </r>
      </text>
    </comment>
    <comment ref="H26" authorId="0" shapeId="0" xr:uid="{00000000-0006-0000-0300-000003000000}">
      <text>
        <r>
          <rPr>
            <sz val="10"/>
            <color indexed="81"/>
            <rFont val="Tahoma"/>
            <family val="2"/>
          </rPr>
          <t xml:space="preserve">3. </t>
        </r>
        <r>
          <rPr>
            <sz val="10"/>
            <color indexed="81"/>
            <rFont val="돋움"/>
            <family val="3"/>
            <charset val="129"/>
          </rPr>
          <t>물류비</t>
        </r>
        <r>
          <rPr>
            <sz val="10"/>
            <color indexed="81"/>
            <rFont val="Tahoma"/>
            <family val="2"/>
          </rPr>
          <t xml:space="preserve"> </t>
        </r>
        <r>
          <rPr>
            <sz val="10"/>
            <color indexed="81"/>
            <rFont val="돋움"/>
            <family val="3"/>
            <charset val="129"/>
          </rPr>
          <t>증가</t>
        </r>
        <r>
          <rPr>
            <sz val="10"/>
            <color indexed="81"/>
            <rFont val="Tahoma"/>
            <family val="2"/>
          </rPr>
          <t xml:space="preserve"> (</t>
        </r>
        <r>
          <rPr>
            <sz val="10"/>
            <color indexed="81"/>
            <rFont val="돋움"/>
            <family val="3"/>
            <charset val="129"/>
          </rPr>
          <t>약</t>
        </r>
        <r>
          <rPr>
            <sz val="10"/>
            <color indexed="81"/>
            <rFont val="Tahoma"/>
            <family val="2"/>
          </rPr>
          <t xml:space="preserve"> +1.2</t>
        </r>
        <r>
          <rPr>
            <sz val="10"/>
            <color indexed="81"/>
            <rFont val="돋움"/>
            <family val="3"/>
            <charset val="129"/>
          </rPr>
          <t>만불</t>
        </r>
        <r>
          <rPr>
            <sz val="10"/>
            <color indexed="81"/>
            <rFont val="Tahoma"/>
            <family val="2"/>
          </rPr>
          <t xml:space="preserve">)
</t>
        </r>
        <r>
          <rPr>
            <sz val="10"/>
            <color indexed="81"/>
            <rFont val="돋움"/>
            <family val="3"/>
            <charset val="129"/>
          </rPr>
          <t>항공</t>
        </r>
        <r>
          <rPr>
            <sz val="10"/>
            <color indexed="81"/>
            <rFont val="Tahoma"/>
            <family val="2"/>
          </rPr>
          <t xml:space="preserve"> </t>
        </r>
        <r>
          <rPr>
            <sz val="10"/>
            <color indexed="81"/>
            <rFont val="돋움"/>
            <family val="3"/>
            <charset val="129"/>
          </rPr>
          <t>운송</t>
        </r>
        <r>
          <rPr>
            <sz val="10"/>
            <color indexed="81"/>
            <rFont val="Tahoma"/>
            <family val="2"/>
          </rPr>
          <t xml:space="preserve"> </t>
        </r>
        <r>
          <rPr>
            <sz val="10"/>
            <color indexed="81"/>
            <rFont val="돋움"/>
            <family val="3"/>
            <charset val="129"/>
          </rPr>
          <t>신규</t>
        </r>
        <r>
          <rPr>
            <sz val="10"/>
            <color indexed="81"/>
            <rFont val="Tahoma"/>
            <family val="2"/>
          </rPr>
          <t xml:space="preserve"> </t>
        </r>
        <r>
          <rPr>
            <sz val="10"/>
            <color indexed="81"/>
            <rFont val="돋움"/>
            <family val="3"/>
            <charset val="129"/>
          </rPr>
          <t>발생</t>
        </r>
        <r>
          <rPr>
            <sz val="10"/>
            <color indexed="81"/>
            <rFont val="Tahoma"/>
            <family val="2"/>
          </rPr>
          <t xml:space="preserve"> (3</t>
        </r>
        <r>
          <rPr>
            <sz val="10"/>
            <color indexed="81"/>
            <rFont val="돋움"/>
            <family val="3"/>
            <charset val="129"/>
          </rPr>
          <t>월</t>
        </r>
        <r>
          <rPr>
            <sz val="10"/>
            <color indexed="81"/>
            <rFont val="Tahoma"/>
            <family val="2"/>
          </rPr>
          <t xml:space="preserve"> </t>
        </r>
        <r>
          <rPr>
            <sz val="10"/>
            <color indexed="81"/>
            <rFont val="돋움"/>
            <family val="3"/>
            <charset val="129"/>
          </rPr>
          <t>대비</t>
        </r>
        <r>
          <rPr>
            <sz val="10"/>
            <color indexed="81"/>
            <rFont val="Tahoma"/>
            <family val="2"/>
          </rPr>
          <t xml:space="preserve"> </t>
        </r>
        <r>
          <rPr>
            <sz val="10"/>
            <color indexed="81"/>
            <rFont val="돋움"/>
            <family val="3"/>
            <charset val="129"/>
          </rPr>
          <t>증가</t>
        </r>
        <r>
          <rPr>
            <sz val="10"/>
            <color indexed="81"/>
            <rFont val="Tahoma"/>
            <family val="2"/>
          </rPr>
          <t>)
LG, MANDO</t>
        </r>
        <r>
          <rPr>
            <sz val="10"/>
            <color indexed="81"/>
            <rFont val="돋움"/>
            <family val="3"/>
            <charset val="129"/>
          </rPr>
          <t>향</t>
        </r>
        <r>
          <rPr>
            <sz val="10"/>
            <color indexed="81"/>
            <rFont val="Tahoma"/>
            <family val="2"/>
          </rPr>
          <t xml:space="preserve"> </t>
        </r>
        <r>
          <rPr>
            <sz val="10"/>
            <color indexed="81"/>
            <rFont val="돋움"/>
            <family val="3"/>
            <charset val="129"/>
          </rPr>
          <t>긴급</t>
        </r>
        <r>
          <rPr>
            <sz val="10"/>
            <color indexed="81"/>
            <rFont val="Tahoma"/>
            <family val="2"/>
          </rPr>
          <t xml:space="preserve"> </t>
        </r>
        <r>
          <rPr>
            <sz val="10"/>
            <color indexed="81"/>
            <rFont val="돋움"/>
            <family val="3"/>
            <charset val="129"/>
          </rPr>
          <t>샘플</t>
        </r>
        <r>
          <rPr>
            <sz val="10"/>
            <color indexed="81"/>
            <rFont val="Tahoma"/>
            <family val="2"/>
          </rPr>
          <t xml:space="preserve"> </t>
        </r>
        <r>
          <rPr>
            <sz val="10"/>
            <color indexed="81"/>
            <rFont val="돋움"/>
            <family val="3"/>
            <charset val="129"/>
          </rPr>
          <t>대응</t>
        </r>
        <r>
          <rPr>
            <sz val="10"/>
            <color indexed="81"/>
            <rFont val="Tahoma"/>
            <family val="2"/>
          </rPr>
          <t xml:space="preserve"> </t>
        </r>
        <r>
          <rPr>
            <sz val="10"/>
            <color indexed="81"/>
            <rFont val="돋움"/>
            <family val="3"/>
            <charset val="129"/>
          </rPr>
          <t>목적
→</t>
        </r>
        <r>
          <rPr>
            <sz val="10"/>
            <color indexed="81"/>
            <rFont val="Tahoma"/>
            <family val="2"/>
          </rPr>
          <t xml:space="preserve"> </t>
        </r>
        <r>
          <rPr>
            <sz val="10"/>
            <color indexed="81"/>
            <rFont val="돋움"/>
            <family val="3"/>
            <charset val="129"/>
          </rPr>
          <t>향후</t>
        </r>
        <r>
          <rPr>
            <sz val="10"/>
            <color indexed="81"/>
            <rFont val="Tahoma"/>
            <family val="2"/>
          </rPr>
          <t xml:space="preserve"> </t>
        </r>
        <r>
          <rPr>
            <sz val="10"/>
            <color indexed="81"/>
            <rFont val="돋움"/>
            <family val="3"/>
            <charset val="129"/>
          </rPr>
          <t>사전</t>
        </r>
        <r>
          <rPr>
            <sz val="10"/>
            <color indexed="81"/>
            <rFont val="Tahoma"/>
            <family val="2"/>
          </rPr>
          <t xml:space="preserve"> </t>
        </r>
        <r>
          <rPr>
            <sz val="10"/>
            <color indexed="81"/>
            <rFont val="돋움"/>
            <family val="3"/>
            <charset val="129"/>
          </rPr>
          <t>승인</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해상운송</t>
        </r>
        <r>
          <rPr>
            <sz val="10"/>
            <color indexed="81"/>
            <rFont val="Tahoma"/>
            <family val="2"/>
          </rPr>
          <t xml:space="preserve"> </t>
        </r>
        <r>
          <rPr>
            <sz val="10"/>
            <color indexed="81"/>
            <rFont val="돋움"/>
            <family val="3"/>
            <charset val="129"/>
          </rPr>
          <t>전환</t>
        </r>
        <r>
          <rPr>
            <sz val="10"/>
            <color indexed="81"/>
            <rFont val="Tahoma"/>
            <family val="2"/>
          </rPr>
          <t xml:space="preserve"> </t>
        </r>
        <r>
          <rPr>
            <sz val="10"/>
            <color indexed="81"/>
            <rFont val="돋움"/>
            <family val="3"/>
            <charset val="129"/>
          </rPr>
          <t>검토</t>
        </r>
        <r>
          <rPr>
            <sz val="10"/>
            <color indexed="81"/>
            <rFont val="Tahoma"/>
            <family val="2"/>
          </rPr>
          <t xml:space="preserve"> </t>
        </r>
        <r>
          <rPr>
            <sz val="10"/>
            <color indexed="81"/>
            <rFont val="돋움"/>
            <family val="3"/>
            <charset val="129"/>
          </rPr>
          <t>프로세스</t>
        </r>
        <r>
          <rPr>
            <sz val="10"/>
            <color indexed="81"/>
            <rFont val="Tahoma"/>
            <family val="2"/>
          </rPr>
          <t xml:space="preserve"> </t>
        </r>
        <r>
          <rPr>
            <sz val="10"/>
            <color indexed="81"/>
            <rFont val="돋움"/>
            <family val="3"/>
            <charset val="129"/>
          </rPr>
          <t>운영</t>
        </r>
        <r>
          <rPr>
            <sz val="10"/>
            <color indexed="81"/>
            <rFont val="Tahoma"/>
            <family val="2"/>
          </rPr>
          <t xml:space="preserve">
</t>
        </r>
      </text>
    </comment>
    <comment ref="H33" authorId="0" shapeId="0" xr:uid="{00000000-0006-0000-0300-000004000000}">
      <text>
        <r>
          <rPr>
            <b/>
            <sz val="9"/>
            <color indexed="81"/>
            <rFont val="Tahoma"/>
            <family val="2"/>
          </rPr>
          <t>Increase delivery fee from rental WH to customer WH
Mando : 8k
LG: 6k</t>
        </r>
      </text>
    </comment>
    <comment ref="O35" authorId="0" shapeId="0" xr:uid="{00000000-0006-0000-0300-000005000000}">
      <text>
        <r>
          <rPr>
            <b/>
            <sz val="9"/>
            <color indexed="81"/>
            <rFont val="Tahoma"/>
            <family val="2"/>
          </rPr>
          <t>Samsung Braket A266B: 35k ae</t>
        </r>
      </text>
    </comment>
    <comment ref="J54" authorId="0" shapeId="0" xr:uid="{00000000-0006-0000-0300-000006000000}">
      <text>
        <r>
          <rPr>
            <b/>
            <sz val="9"/>
            <color indexed="81"/>
            <rFont val="Tahoma"/>
            <family val="2"/>
          </rPr>
          <t>Samsung bracket: 10k</t>
        </r>
        <r>
          <rPr>
            <sz val="9"/>
            <color indexed="81"/>
            <rFont val="Tahoma"/>
            <family val="2"/>
          </rPr>
          <t xml:space="preserve">
</t>
        </r>
      </text>
    </comment>
    <comment ref="K54" authorId="0" shapeId="0" xr:uid="{00000000-0006-0000-0300-000007000000}">
      <text>
        <r>
          <rPr>
            <b/>
            <sz val="9"/>
            <color indexed="81"/>
            <rFont val="Tahoma"/>
            <family val="2"/>
          </rPr>
          <t>Sample Breaket Samsung</t>
        </r>
        <r>
          <rPr>
            <sz val="9"/>
            <color indexed="81"/>
            <rFont val="Tahoma"/>
            <family val="2"/>
          </rPr>
          <t xml:space="preserve">
</t>
        </r>
      </text>
    </comment>
    <comment ref="P54" authorId="0" shapeId="0" xr:uid="{00000000-0006-0000-0300-000008000000}">
      <text>
        <r>
          <rPr>
            <b/>
            <sz val="9"/>
            <color indexed="81"/>
            <rFont val="Tahoma"/>
            <family val="2"/>
          </rPr>
          <t>Sample Bracket</t>
        </r>
      </text>
    </comment>
    <comment ref="E72" authorId="0" shapeId="0" xr:uid="{00000000-0006-0000-0300-000009000000}">
      <text>
        <r>
          <rPr>
            <b/>
            <sz val="9"/>
            <color indexed="81"/>
            <rFont val="Tahoma"/>
            <family val="2"/>
          </rPr>
          <t>15,973$ Penalty Prepayment Chailease</t>
        </r>
        <r>
          <rPr>
            <sz val="9"/>
            <color indexed="81"/>
            <rFont val="Tahoma"/>
            <family val="2"/>
          </rPr>
          <t xml:space="preserve">
</t>
        </r>
      </text>
    </comment>
    <comment ref="G72" authorId="0" shapeId="0" xr:uid="{00000000-0006-0000-0300-00000A000000}">
      <text>
        <r>
          <rPr>
            <b/>
            <sz val="9"/>
            <color indexed="81"/>
            <rFont val="Tahoma"/>
            <family val="2"/>
          </rPr>
          <t>Use Usd loan more VNĐ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ACC-PC01</author>
    <author>MISTOP</author>
  </authors>
  <commentList>
    <comment ref="E4" authorId="0" shapeId="0" xr:uid="{00000000-0006-0000-0400-000001000000}">
      <text>
        <r>
          <rPr>
            <b/>
            <sz val="9"/>
            <color indexed="81"/>
            <rFont val="Tahoma"/>
            <family val="2"/>
          </rPr>
          <t>Actual</t>
        </r>
        <r>
          <rPr>
            <sz val="9"/>
            <color indexed="81"/>
            <rFont val="Tahoma"/>
            <family val="2"/>
          </rPr>
          <t xml:space="preserve">
</t>
        </r>
      </text>
    </comment>
    <comment ref="G4" authorId="0" shapeId="0" xr:uid="{00000000-0006-0000-0400-000002000000}">
      <text>
        <r>
          <rPr>
            <b/>
            <sz val="9"/>
            <color indexed="81"/>
            <rFont val="Tahoma"/>
            <family val="2"/>
          </rPr>
          <t>Actual</t>
        </r>
        <r>
          <rPr>
            <sz val="9"/>
            <color indexed="81"/>
            <rFont val="Tahoma"/>
            <family val="2"/>
          </rPr>
          <t xml:space="preserve">
</t>
        </r>
      </text>
    </comment>
    <comment ref="H7" authorId="0" shapeId="0" xr:uid="{00000000-0006-0000-0400-000003000000}">
      <text>
        <r>
          <rPr>
            <b/>
            <sz val="9"/>
            <color indexed="81"/>
            <rFont val="Tahoma"/>
            <family val="2"/>
          </rPr>
          <t>Clear Cosmetics</t>
        </r>
        <r>
          <rPr>
            <sz val="9"/>
            <color indexed="81"/>
            <rFont val="Tahoma"/>
            <family val="2"/>
          </rPr>
          <t xml:space="preserve">
</t>
        </r>
      </text>
    </comment>
    <comment ref="J10" authorId="1" shapeId="0" xr:uid="{9F69F199-4FFC-4474-96F9-D9C2631F2333}">
      <text>
        <r>
          <rPr>
            <sz val="12"/>
            <color indexed="81"/>
            <rFont val="Tahoma"/>
            <family val="2"/>
          </rPr>
          <t xml:space="preserve">1. </t>
        </r>
        <r>
          <rPr>
            <sz val="12"/>
            <color indexed="81"/>
            <rFont val="돋움"/>
            <family val="3"/>
            <charset val="129"/>
          </rPr>
          <t>인건비</t>
        </r>
        <r>
          <rPr>
            <sz val="12"/>
            <color indexed="81"/>
            <rFont val="Tahoma"/>
            <family val="2"/>
          </rPr>
          <t xml:space="preserve"> </t>
        </r>
        <r>
          <rPr>
            <sz val="12"/>
            <color indexed="81"/>
            <rFont val="돋움"/>
            <family val="3"/>
            <charset val="129"/>
          </rPr>
          <t>증가</t>
        </r>
        <r>
          <rPr>
            <sz val="12"/>
            <color indexed="81"/>
            <rFont val="Tahoma"/>
            <family val="2"/>
          </rPr>
          <t xml:space="preserve"> (</t>
        </r>
        <r>
          <rPr>
            <sz val="12"/>
            <color indexed="81"/>
            <rFont val="돋움"/>
            <family val="3"/>
            <charset val="129"/>
          </rPr>
          <t>약</t>
        </r>
        <r>
          <rPr>
            <sz val="12"/>
            <color indexed="81"/>
            <rFont val="Tahoma"/>
            <family val="2"/>
          </rPr>
          <t xml:space="preserve"> +5</t>
        </r>
        <r>
          <rPr>
            <sz val="12"/>
            <color indexed="81"/>
            <rFont val="돋움"/>
            <family val="3"/>
            <charset val="129"/>
          </rPr>
          <t>만불</t>
        </r>
        <r>
          <rPr>
            <sz val="12"/>
            <color indexed="81"/>
            <rFont val="Tahoma"/>
            <family val="2"/>
          </rPr>
          <t xml:space="preserve">)
  - </t>
        </r>
        <r>
          <rPr>
            <sz val="12"/>
            <color indexed="81"/>
            <rFont val="돋움"/>
            <family val="3"/>
            <charset val="129"/>
          </rPr>
          <t>생산직</t>
        </r>
        <r>
          <rPr>
            <sz val="12"/>
            <color indexed="81"/>
            <rFont val="Tahoma"/>
            <family val="2"/>
          </rPr>
          <t xml:space="preserve"> 1</t>
        </r>
        <r>
          <rPr>
            <sz val="12"/>
            <color indexed="81"/>
            <rFont val="돋움"/>
            <family val="3"/>
            <charset val="129"/>
          </rPr>
          <t>인당</t>
        </r>
        <r>
          <rPr>
            <sz val="12"/>
            <color indexed="81"/>
            <rFont val="Tahoma"/>
            <family val="2"/>
          </rPr>
          <t xml:space="preserve"> </t>
        </r>
        <r>
          <rPr>
            <sz val="12"/>
            <color indexed="81"/>
            <rFont val="돋움"/>
            <family val="3"/>
            <charset val="129"/>
          </rPr>
          <t>평균</t>
        </r>
        <r>
          <rPr>
            <sz val="12"/>
            <color indexed="81"/>
            <rFont val="Tahoma"/>
            <family val="2"/>
          </rPr>
          <t xml:space="preserve"> </t>
        </r>
        <r>
          <rPr>
            <sz val="12"/>
            <color indexed="81"/>
            <rFont val="돋움"/>
            <family val="3"/>
            <charset val="129"/>
          </rPr>
          <t>잔업시간</t>
        </r>
        <r>
          <rPr>
            <sz val="12"/>
            <color indexed="81"/>
            <rFont val="Tahoma"/>
            <family val="2"/>
          </rPr>
          <t>: 76</t>
        </r>
        <r>
          <rPr>
            <sz val="12"/>
            <color indexed="81"/>
            <rFont val="돋움"/>
            <family val="3"/>
            <charset val="129"/>
          </rPr>
          <t>시간</t>
        </r>
        <r>
          <rPr>
            <sz val="12"/>
            <color indexed="81"/>
            <rFont val="Tahoma"/>
            <family val="2"/>
          </rPr>
          <t xml:space="preserve"> </t>
        </r>
        <r>
          <rPr>
            <sz val="12"/>
            <color indexed="81"/>
            <rFont val="돋움"/>
            <family val="3"/>
            <charset val="129"/>
          </rPr>
          <t>→</t>
        </r>
        <r>
          <rPr>
            <sz val="12"/>
            <color indexed="81"/>
            <rFont val="Tahoma"/>
            <family val="2"/>
          </rPr>
          <t xml:space="preserve"> 106</t>
        </r>
        <r>
          <rPr>
            <sz val="12"/>
            <color indexed="81"/>
            <rFont val="돋움"/>
            <family val="3"/>
            <charset val="129"/>
          </rPr>
          <t>시간</t>
        </r>
        <r>
          <rPr>
            <sz val="12"/>
            <color indexed="81"/>
            <rFont val="Tahoma"/>
            <family val="2"/>
          </rPr>
          <t xml:space="preserve"> (+39%)
  - </t>
        </r>
        <r>
          <rPr>
            <sz val="12"/>
            <color indexed="81"/>
            <rFont val="돋움"/>
            <family val="3"/>
            <charset val="129"/>
          </rPr>
          <t>생산물량</t>
        </r>
        <r>
          <rPr>
            <sz val="12"/>
            <color indexed="81"/>
            <rFont val="Tahoma"/>
            <family val="2"/>
          </rPr>
          <t xml:space="preserve"> </t>
        </r>
        <r>
          <rPr>
            <sz val="12"/>
            <color indexed="81"/>
            <rFont val="돋움"/>
            <family val="3"/>
            <charset val="129"/>
          </rPr>
          <t>회복</t>
        </r>
        <r>
          <rPr>
            <sz val="12"/>
            <color indexed="81"/>
            <rFont val="Tahoma"/>
            <family val="2"/>
          </rPr>
          <t xml:space="preserve"> </t>
        </r>
        <r>
          <rPr>
            <sz val="12"/>
            <color indexed="81"/>
            <rFont val="돋움"/>
            <family val="3"/>
            <charset val="129"/>
          </rPr>
          <t>및</t>
        </r>
        <r>
          <rPr>
            <sz val="12"/>
            <color indexed="81"/>
            <rFont val="Tahoma"/>
            <family val="2"/>
          </rPr>
          <t xml:space="preserve"> </t>
        </r>
        <r>
          <rPr>
            <sz val="12"/>
            <color indexed="81"/>
            <rFont val="돋움"/>
            <family val="3"/>
            <charset val="129"/>
          </rPr>
          <t>납기</t>
        </r>
        <r>
          <rPr>
            <sz val="12"/>
            <color indexed="81"/>
            <rFont val="Tahoma"/>
            <family val="2"/>
          </rPr>
          <t xml:space="preserve"> </t>
        </r>
        <r>
          <rPr>
            <sz val="12"/>
            <color indexed="81"/>
            <rFont val="돋움"/>
            <family val="3"/>
            <charset val="129"/>
          </rPr>
          <t>대응</t>
        </r>
        <r>
          <rPr>
            <sz val="12"/>
            <color indexed="81"/>
            <rFont val="Tahoma"/>
            <family val="2"/>
          </rPr>
          <t xml:space="preserve"> </t>
        </r>
        <r>
          <rPr>
            <sz val="12"/>
            <color indexed="81"/>
            <rFont val="돋움"/>
            <family val="3"/>
            <charset val="129"/>
          </rPr>
          <t>과정에서</t>
        </r>
        <r>
          <rPr>
            <sz val="12"/>
            <color indexed="81"/>
            <rFont val="Tahoma"/>
            <family val="2"/>
          </rPr>
          <t xml:space="preserve"> OT </t>
        </r>
        <r>
          <rPr>
            <sz val="12"/>
            <color indexed="81"/>
            <rFont val="돋움"/>
            <family val="3"/>
            <charset val="129"/>
          </rPr>
          <t xml:space="preserve">증가
</t>
        </r>
        <r>
          <rPr>
            <sz val="12"/>
            <color indexed="81"/>
            <rFont val="Tahoma"/>
            <family val="2"/>
          </rPr>
          <t xml:space="preserve">   </t>
        </r>
        <r>
          <rPr>
            <sz val="12"/>
            <color indexed="81"/>
            <rFont val="돋움"/>
            <family val="3"/>
            <charset val="129"/>
          </rPr>
          <t>→</t>
        </r>
        <r>
          <rPr>
            <sz val="12"/>
            <color indexed="81"/>
            <rFont val="Tahoma"/>
            <family val="2"/>
          </rPr>
          <t xml:space="preserve"> 5</t>
        </r>
        <r>
          <rPr>
            <sz val="12"/>
            <color indexed="81"/>
            <rFont val="돋움"/>
            <family val="3"/>
            <charset val="129"/>
          </rPr>
          <t>월부터</t>
        </r>
        <r>
          <rPr>
            <sz val="12"/>
            <color indexed="81"/>
            <rFont val="Tahoma"/>
            <family val="2"/>
          </rPr>
          <t xml:space="preserve"> </t>
        </r>
        <r>
          <rPr>
            <sz val="12"/>
            <color indexed="81"/>
            <rFont val="돋움"/>
            <family val="3"/>
            <charset val="129"/>
          </rPr>
          <t>라인별</t>
        </r>
        <r>
          <rPr>
            <sz val="12"/>
            <color indexed="81"/>
            <rFont val="Tahoma"/>
            <family val="2"/>
          </rPr>
          <t xml:space="preserve"> OT </t>
        </r>
        <r>
          <rPr>
            <sz val="12"/>
            <color indexed="81"/>
            <rFont val="돋움"/>
            <family val="3"/>
            <charset val="129"/>
          </rPr>
          <t>한도</t>
        </r>
        <r>
          <rPr>
            <sz val="12"/>
            <color indexed="81"/>
            <rFont val="Tahoma"/>
            <family val="2"/>
          </rPr>
          <t xml:space="preserve"> </t>
        </r>
        <r>
          <rPr>
            <sz val="12"/>
            <color indexed="81"/>
            <rFont val="돋움"/>
            <family val="3"/>
            <charset val="129"/>
          </rPr>
          <t>설정</t>
        </r>
        <r>
          <rPr>
            <sz val="12"/>
            <color indexed="81"/>
            <rFont val="Tahoma"/>
            <family val="2"/>
          </rPr>
          <t xml:space="preserve"> </t>
        </r>
        <r>
          <rPr>
            <sz val="12"/>
            <color indexed="81"/>
            <rFont val="돋움"/>
            <family val="3"/>
            <charset val="129"/>
          </rPr>
          <t>및</t>
        </r>
        <r>
          <rPr>
            <sz val="12"/>
            <color indexed="81"/>
            <rFont val="Tahoma"/>
            <family val="2"/>
          </rPr>
          <t xml:space="preserve"> </t>
        </r>
        <r>
          <rPr>
            <sz val="12"/>
            <color indexed="81"/>
            <rFont val="돋움"/>
            <family val="3"/>
            <charset val="129"/>
          </rPr>
          <t>일일</t>
        </r>
        <r>
          <rPr>
            <sz val="12"/>
            <color indexed="81"/>
            <rFont val="Tahoma"/>
            <family val="2"/>
          </rPr>
          <t xml:space="preserve"> </t>
        </r>
        <r>
          <rPr>
            <sz val="12"/>
            <color indexed="81"/>
            <rFont val="돋움"/>
            <family val="3"/>
            <charset val="129"/>
          </rPr>
          <t>모니터링</t>
        </r>
        <r>
          <rPr>
            <sz val="12"/>
            <color indexed="81"/>
            <rFont val="Tahoma"/>
            <family val="2"/>
          </rPr>
          <t xml:space="preserve"> </t>
        </r>
        <r>
          <rPr>
            <sz val="12"/>
            <color indexed="81"/>
            <rFont val="돋움"/>
            <family val="3"/>
            <charset val="129"/>
          </rPr>
          <t>시행</t>
        </r>
        <r>
          <rPr>
            <sz val="12"/>
            <color indexed="81"/>
            <rFont val="Tahoma"/>
            <family val="2"/>
          </rPr>
          <t xml:space="preserve"> </t>
        </r>
        <r>
          <rPr>
            <sz val="12"/>
            <color indexed="81"/>
            <rFont val="돋움"/>
            <family val="3"/>
            <charset val="129"/>
          </rPr>
          <t>예정</t>
        </r>
      </text>
    </comment>
    <comment ref="H13" authorId="0" shapeId="0" xr:uid="{00000000-0006-0000-0400-000004000000}">
      <text>
        <r>
          <rPr>
            <b/>
            <sz val="9"/>
            <color indexed="81"/>
            <rFont val="Tahoma"/>
            <family val="2"/>
          </rPr>
          <t>24days workingdays</t>
        </r>
        <r>
          <rPr>
            <sz val="9"/>
            <color indexed="81"/>
            <rFont val="Tahoma"/>
            <family val="2"/>
          </rPr>
          <t xml:space="preserve">
4days of Holiday</t>
        </r>
      </text>
    </comment>
    <comment ref="J13" authorId="0" shapeId="0" xr:uid="{00000000-0006-0000-0400-000005000000}">
      <text>
        <r>
          <rPr>
            <sz val="12"/>
            <color indexed="81"/>
            <rFont val="Tahoma"/>
            <family val="2"/>
          </rPr>
          <t xml:space="preserve">2. </t>
        </r>
        <r>
          <rPr>
            <sz val="12"/>
            <color indexed="81"/>
            <rFont val="돋움"/>
            <family val="3"/>
            <charset val="129"/>
          </rPr>
          <t>전기비용</t>
        </r>
        <r>
          <rPr>
            <sz val="12"/>
            <color indexed="81"/>
            <rFont val="Tahoma"/>
            <family val="2"/>
          </rPr>
          <t xml:space="preserve"> </t>
        </r>
        <r>
          <rPr>
            <sz val="12"/>
            <color indexed="81"/>
            <rFont val="돋움"/>
            <family val="3"/>
            <charset val="129"/>
          </rPr>
          <t>증가</t>
        </r>
        <r>
          <rPr>
            <sz val="12"/>
            <color indexed="81"/>
            <rFont val="Tahoma"/>
            <family val="2"/>
          </rPr>
          <t xml:space="preserve"> (</t>
        </r>
        <r>
          <rPr>
            <sz val="12"/>
            <color indexed="81"/>
            <rFont val="돋움"/>
            <family val="3"/>
            <charset val="129"/>
          </rPr>
          <t>마감</t>
        </r>
        <r>
          <rPr>
            <sz val="12"/>
            <color indexed="81"/>
            <rFont val="Tahoma"/>
            <family val="2"/>
          </rPr>
          <t xml:space="preserve"> </t>
        </r>
        <r>
          <rPr>
            <sz val="12"/>
            <color indexed="81"/>
            <rFont val="돋움"/>
            <family val="3"/>
            <charset val="129"/>
          </rPr>
          <t>구조</t>
        </r>
        <r>
          <rPr>
            <sz val="12"/>
            <color indexed="81"/>
            <rFont val="Tahoma"/>
            <family val="2"/>
          </rPr>
          <t xml:space="preserve"> </t>
        </r>
        <r>
          <rPr>
            <sz val="12"/>
            <color indexed="81"/>
            <rFont val="돋움"/>
            <family val="3"/>
            <charset val="129"/>
          </rPr>
          <t>및</t>
        </r>
        <r>
          <rPr>
            <sz val="12"/>
            <color indexed="81"/>
            <rFont val="Tahoma"/>
            <family val="2"/>
          </rPr>
          <t xml:space="preserve"> </t>
        </r>
        <r>
          <rPr>
            <sz val="12"/>
            <color indexed="81"/>
            <rFont val="돋움"/>
            <family val="3"/>
            <charset val="129"/>
          </rPr>
          <t>계절</t>
        </r>
        <r>
          <rPr>
            <sz val="12"/>
            <color indexed="81"/>
            <rFont val="Tahoma"/>
            <family val="2"/>
          </rPr>
          <t xml:space="preserve"> </t>
        </r>
        <r>
          <rPr>
            <sz val="12"/>
            <color indexed="81"/>
            <rFont val="돋움"/>
            <family val="3"/>
            <charset val="129"/>
          </rPr>
          <t>요인</t>
        </r>
        <r>
          <rPr>
            <sz val="12"/>
            <color indexed="81"/>
            <rFont val="Tahoma"/>
            <family val="2"/>
          </rPr>
          <t xml:space="preserve"> - </t>
        </r>
        <r>
          <rPr>
            <sz val="12"/>
            <color indexed="81"/>
            <rFont val="돋움"/>
            <family val="3"/>
            <charset val="129"/>
          </rPr>
          <t>약</t>
        </r>
        <r>
          <rPr>
            <sz val="12"/>
            <color indexed="81"/>
            <rFont val="Tahoma"/>
            <family val="2"/>
          </rPr>
          <t xml:space="preserve"> +9.8</t>
        </r>
        <r>
          <rPr>
            <sz val="12"/>
            <color indexed="81"/>
            <rFont val="돋움"/>
            <family val="3"/>
            <charset val="129"/>
          </rPr>
          <t>불</t>
        </r>
        <r>
          <rPr>
            <sz val="12"/>
            <color indexed="81"/>
            <rFont val="Tahoma"/>
            <family val="2"/>
          </rPr>
          <t xml:space="preserve">)
  - </t>
        </r>
        <r>
          <rPr>
            <sz val="12"/>
            <color indexed="81"/>
            <rFont val="돋움"/>
            <family val="3"/>
            <charset val="129"/>
          </rPr>
          <t>전기료</t>
        </r>
        <r>
          <rPr>
            <sz val="12"/>
            <color indexed="81"/>
            <rFont val="Tahoma"/>
            <family val="2"/>
          </rPr>
          <t xml:space="preserve"> </t>
        </r>
        <r>
          <rPr>
            <sz val="12"/>
            <color indexed="81"/>
            <rFont val="돋움"/>
            <family val="3"/>
            <charset val="129"/>
          </rPr>
          <t>반영기간</t>
        </r>
        <r>
          <rPr>
            <sz val="12"/>
            <color indexed="81"/>
            <rFont val="Tahoma"/>
            <family val="2"/>
          </rPr>
          <t xml:space="preserve">: </t>
        </r>
        <r>
          <rPr>
            <sz val="12"/>
            <color indexed="81"/>
            <rFont val="돋움"/>
            <family val="3"/>
            <charset val="129"/>
          </rPr>
          <t>전월</t>
        </r>
        <r>
          <rPr>
            <sz val="12"/>
            <color indexed="81"/>
            <rFont val="Tahoma"/>
            <family val="2"/>
          </rPr>
          <t xml:space="preserve"> 18</t>
        </r>
        <r>
          <rPr>
            <sz val="12"/>
            <color indexed="81"/>
            <rFont val="돋움"/>
            <family val="3"/>
            <charset val="129"/>
          </rPr>
          <t>일</t>
        </r>
        <r>
          <rPr>
            <sz val="12"/>
            <color indexed="81"/>
            <rFont val="Tahoma"/>
            <family val="2"/>
          </rPr>
          <t xml:space="preserve"> ~ </t>
        </r>
        <r>
          <rPr>
            <sz val="12"/>
            <color indexed="81"/>
            <rFont val="돋움"/>
            <family val="3"/>
            <charset val="129"/>
          </rPr>
          <t>당월</t>
        </r>
        <r>
          <rPr>
            <sz val="12"/>
            <color indexed="81"/>
            <rFont val="Tahoma"/>
            <family val="2"/>
          </rPr>
          <t xml:space="preserve"> 17</t>
        </r>
        <r>
          <rPr>
            <sz val="12"/>
            <color indexed="81"/>
            <rFont val="돋움"/>
            <family val="3"/>
            <charset val="129"/>
          </rPr>
          <t xml:space="preserve">일
</t>
        </r>
        <r>
          <rPr>
            <sz val="12"/>
            <color indexed="81"/>
            <rFont val="Tahoma"/>
            <family val="2"/>
          </rPr>
          <t xml:space="preserve">  - 3</t>
        </r>
        <r>
          <rPr>
            <sz val="12"/>
            <color indexed="81"/>
            <rFont val="돋움"/>
            <family val="3"/>
            <charset val="129"/>
          </rPr>
          <t>월</t>
        </r>
        <r>
          <rPr>
            <sz val="12"/>
            <color indexed="81"/>
            <rFont val="Tahoma"/>
            <family val="2"/>
          </rPr>
          <t xml:space="preserve">: </t>
        </r>
        <r>
          <rPr>
            <sz val="12"/>
            <color indexed="81"/>
            <rFont val="돋움"/>
            <family val="3"/>
            <charset val="129"/>
          </rPr>
          <t>설</t>
        </r>
        <r>
          <rPr>
            <sz val="12"/>
            <color indexed="81"/>
            <rFont val="Tahoma"/>
            <family val="2"/>
          </rPr>
          <t xml:space="preserve"> </t>
        </r>
        <r>
          <rPr>
            <sz val="12"/>
            <color indexed="81"/>
            <rFont val="돋움"/>
            <family val="3"/>
            <charset val="129"/>
          </rPr>
          <t>휴무</t>
        </r>
        <r>
          <rPr>
            <sz val="12"/>
            <color indexed="81"/>
            <rFont val="Tahoma"/>
            <family val="2"/>
          </rPr>
          <t xml:space="preserve"> </t>
        </r>
        <r>
          <rPr>
            <sz val="12"/>
            <color indexed="81"/>
            <rFont val="돋움"/>
            <family val="3"/>
            <charset val="129"/>
          </rPr>
          <t>포함</t>
        </r>
        <r>
          <rPr>
            <sz val="12"/>
            <color indexed="81"/>
            <rFont val="Tahoma"/>
            <family val="2"/>
          </rPr>
          <t xml:space="preserve"> 24</t>
        </r>
        <r>
          <rPr>
            <sz val="12"/>
            <color indexed="81"/>
            <rFont val="돋움"/>
            <family val="3"/>
            <charset val="129"/>
          </rPr>
          <t>일</t>
        </r>
        <r>
          <rPr>
            <sz val="12"/>
            <color indexed="81"/>
            <rFont val="Tahoma"/>
            <family val="2"/>
          </rPr>
          <t xml:space="preserve"> </t>
        </r>
        <r>
          <rPr>
            <sz val="12"/>
            <color indexed="81"/>
            <rFont val="돋움"/>
            <family val="3"/>
            <charset val="129"/>
          </rPr>
          <t xml:space="preserve">가동
</t>
        </r>
        <r>
          <rPr>
            <sz val="12"/>
            <color indexed="81"/>
            <rFont val="Tahoma"/>
            <family val="2"/>
          </rPr>
          <t xml:space="preserve">  - 4</t>
        </r>
        <r>
          <rPr>
            <sz val="12"/>
            <color indexed="81"/>
            <rFont val="돋움"/>
            <family val="3"/>
            <charset val="129"/>
          </rPr>
          <t>월</t>
        </r>
        <r>
          <rPr>
            <sz val="12"/>
            <color indexed="81"/>
            <rFont val="Tahoma"/>
            <family val="2"/>
          </rPr>
          <t>: 27</t>
        </r>
        <r>
          <rPr>
            <sz val="12"/>
            <color indexed="81"/>
            <rFont val="돋움"/>
            <family val="3"/>
            <charset val="129"/>
          </rPr>
          <t>일</t>
        </r>
        <r>
          <rPr>
            <sz val="12"/>
            <color indexed="81"/>
            <rFont val="Tahoma"/>
            <family val="2"/>
          </rPr>
          <t xml:space="preserve"> </t>
        </r>
        <r>
          <rPr>
            <sz val="12"/>
            <color indexed="81"/>
            <rFont val="돋움"/>
            <family val="3"/>
            <charset val="129"/>
          </rPr>
          <t>정상</t>
        </r>
        <r>
          <rPr>
            <sz val="12"/>
            <color indexed="81"/>
            <rFont val="Tahoma"/>
            <family val="2"/>
          </rPr>
          <t xml:space="preserve"> </t>
        </r>
        <r>
          <rPr>
            <sz val="12"/>
            <color indexed="81"/>
            <rFont val="돋움"/>
            <family val="3"/>
            <charset val="129"/>
          </rPr>
          <t>가동</t>
        </r>
        <r>
          <rPr>
            <sz val="12"/>
            <color indexed="81"/>
            <rFont val="Tahoma"/>
            <family val="2"/>
          </rPr>
          <t xml:space="preserve"> (</t>
        </r>
        <r>
          <rPr>
            <sz val="12"/>
            <color indexed="81"/>
            <rFont val="돋움"/>
            <family val="3"/>
            <charset val="129"/>
          </rPr>
          <t>기저효과</t>
        </r>
        <r>
          <rPr>
            <sz val="12"/>
            <color indexed="81"/>
            <rFont val="Tahoma"/>
            <family val="2"/>
          </rPr>
          <t xml:space="preserve"> </t>
        </r>
        <r>
          <rPr>
            <sz val="12"/>
            <color indexed="81"/>
            <rFont val="돋움"/>
            <family val="3"/>
            <charset val="129"/>
          </rPr>
          <t>발생</t>
        </r>
        <r>
          <rPr>
            <sz val="12"/>
            <color indexed="81"/>
            <rFont val="Tahoma"/>
            <family val="2"/>
          </rPr>
          <t xml:space="preserve">)
  - </t>
        </r>
        <r>
          <rPr>
            <sz val="12"/>
            <color indexed="81"/>
            <rFont val="돋움"/>
            <family val="3"/>
            <charset val="129"/>
          </rPr>
          <t>우기</t>
        </r>
        <r>
          <rPr>
            <sz val="12"/>
            <color indexed="81"/>
            <rFont val="Tahoma"/>
            <family val="2"/>
          </rPr>
          <t xml:space="preserve"> </t>
        </r>
        <r>
          <rPr>
            <sz val="12"/>
            <color indexed="81"/>
            <rFont val="돋움"/>
            <family val="3"/>
            <charset val="129"/>
          </rPr>
          <t>진입에</t>
        </r>
        <r>
          <rPr>
            <sz val="12"/>
            <color indexed="81"/>
            <rFont val="Tahoma"/>
            <family val="2"/>
          </rPr>
          <t xml:space="preserve"> </t>
        </r>
        <r>
          <rPr>
            <sz val="12"/>
            <color indexed="81"/>
            <rFont val="돋움"/>
            <family val="3"/>
            <charset val="129"/>
          </rPr>
          <t>따른</t>
        </r>
        <r>
          <rPr>
            <sz val="12"/>
            <color indexed="81"/>
            <rFont val="Tahoma"/>
            <family val="2"/>
          </rPr>
          <t xml:space="preserve"> </t>
        </r>
        <r>
          <rPr>
            <sz val="12"/>
            <color indexed="81"/>
            <rFont val="돋움"/>
            <family val="3"/>
            <charset val="129"/>
          </rPr>
          <t>냉방</t>
        </r>
        <r>
          <rPr>
            <sz val="12"/>
            <color indexed="81"/>
            <rFont val="Tahoma"/>
            <family val="2"/>
          </rPr>
          <t>(</t>
        </r>
        <r>
          <rPr>
            <sz val="12"/>
            <color indexed="81"/>
            <rFont val="돋움"/>
            <family val="3"/>
            <charset val="129"/>
          </rPr>
          <t>칠러</t>
        </r>
        <r>
          <rPr>
            <sz val="12"/>
            <color indexed="81"/>
            <rFont val="Tahoma"/>
            <family val="2"/>
          </rPr>
          <t xml:space="preserve">) </t>
        </r>
        <r>
          <rPr>
            <sz val="12"/>
            <color indexed="81"/>
            <rFont val="돋움"/>
            <family val="3"/>
            <charset val="129"/>
          </rPr>
          <t>가동</t>
        </r>
        <r>
          <rPr>
            <sz val="12"/>
            <color indexed="81"/>
            <rFont val="Tahoma"/>
            <family val="2"/>
          </rPr>
          <t xml:space="preserve"> </t>
        </r>
        <r>
          <rPr>
            <sz val="12"/>
            <color indexed="81"/>
            <rFont val="돋움"/>
            <family val="3"/>
            <charset val="129"/>
          </rPr>
          <t xml:space="preserve">증가
</t>
        </r>
        <r>
          <rPr>
            <sz val="12"/>
            <color indexed="81"/>
            <rFont val="Tahoma"/>
            <family val="2"/>
          </rPr>
          <t xml:space="preserve">     </t>
        </r>
        <r>
          <rPr>
            <sz val="12"/>
            <color indexed="81"/>
            <rFont val="돋움"/>
            <family val="3"/>
            <charset val="129"/>
          </rPr>
          <t>→</t>
        </r>
        <r>
          <rPr>
            <sz val="12"/>
            <color indexed="81"/>
            <rFont val="Tahoma"/>
            <family val="2"/>
          </rPr>
          <t xml:space="preserve"> </t>
        </r>
        <r>
          <rPr>
            <sz val="12"/>
            <color indexed="81"/>
            <rFont val="돋움"/>
            <family val="3"/>
            <charset val="129"/>
          </rPr>
          <t>전력</t>
        </r>
        <r>
          <rPr>
            <sz val="12"/>
            <color indexed="81"/>
            <rFont val="Tahoma"/>
            <family val="2"/>
          </rPr>
          <t xml:space="preserve"> </t>
        </r>
        <r>
          <rPr>
            <sz val="12"/>
            <color indexed="81"/>
            <rFont val="돋움"/>
            <family val="3"/>
            <charset val="129"/>
          </rPr>
          <t>사용량</t>
        </r>
        <r>
          <rPr>
            <sz val="12"/>
            <color indexed="81"/>
            <rFont val="Tahoma"/>
            <family val="2"/>
          </rPr>
          <t xml:space="preserve"> </t>
        </r>
        <r>
          <rPr>
            <sz val="12"/>
            <color indexed="81"/>
            <rFont val="돋움"/>
            <family val="3"/>
            <charset val="129"/>
          </rPr>
          <t>상승</t>
        </r>
      </text>
    </comment>
    <comment ref="H26" authorId="0" shapeId="0" xr:uid="{00000000-0006-0000-0400-000006000000}">
      <text>
        <r>
          <rPr>
            <sz val="9"/>
            <color indexed="81"/>
            <rFont val="Tahoma"/>
            <family val="2"/>
          </rPr>
          <t xml:space="preserve">Increase output
</t>
        </r>
      </text>
    </comment>
    <comment ref="E33" authorId="0" shapeId="0" xr:uid="{00000000-0006-0000-0400-000007000000}">
      <text>
        <r>
          <rPr>
            <sz val="9"/>
            <color indexed="81"/>
            <rFont val="Tahoma"/>
            <family val="2"/>
          </rPr>
          <t xml:space="preserve">Actual
</t>
        </r>
      </text>
    </comment>
    <comment ref="I37" authorId="0" shapeId="0" xr:uid="{00000000-0006-0000-0400-000008000000}">
      <text>
        <r>
          <rPr>
            <b/>
            <sz val="9"/>
            <color indexed="81"/>
            <rFont val="Tahoma"/>
            <family val="2"/>
          </rPr>
          <t>Clear Cosmetics and Slowmoving</t>
        </r>
        <r>
          <rPr>
            <sz val="9"/>
            <color indexed="81"/>
            <rFont val="Tahoma"/>
            <family val="2"/>
          </rPr>
          <t xml:space="preserve">
</t>
        </r>
      </text>
    </comment>
  </commentList>
</comments>
</file>

<file path=xl/sharedStrings.xml><?xml version="1.0" encoding="utf-8"?>
<sst xmlns="http://schemas.openxmlformats.org/spreadsheetml/2006/main" count="2596" uniqueCount="907">
  <si>
    <t>Amortization</t>
  </si>
  <si>
    <t>Depreciation</t>
  </si>
  <si>
    <t>Taxes</t>
  </si>
  <si>
    <t>Interest Expenses</t>
  </si>
  <si>
    <t>EBITDA</t>
  </si>
  <si>
    <t>Net Profit Margin Before Clear stock</t>
  </si>
  <si>
    <t/>
  </si>
  <si>
    <t>Net Profit Margin</t>
  </si>
  <si>
    <t>Business management fee rate</t>
  </si>
  <si>
    <t>COGSTS</t>
  </si>
  <si>
    <t>Gross profit Margin</t>
  </si>
  <si>
    <t>Net Profit/(Loss) clear stock</t>
  </si>
  <si>
    <t>Net Profit/(Loss) without clear stock</t>
  </si>
  <si>
    <t>CIT</t>
  </si>
  <si>
    <t>Total Other Expenses</t>
  </si>
  <si>
    <t>Disposal assets-Loss</t>
  </si>
  <si>
    <t>9-0207</t>
  </si>
  <si>
    <t>Sundry Expense</t>
  </si>
  <si>
    <t>9-0206</t>
  </si>
  <si>
    <t>Other loss- Claim fee</t>
  </si>
  <si>
    <t>9-0205</t>
  </si>
  <si>
    <t>Discount payment</t>
  </si>
  <si>
    <t>9-0204</t>
  </si>
  <si>
    <t>Exchange (Gain)/Loss</t>
  </si>
  <si>
    <t>9-0203</t>
  </si>
  <si>
    <t>Personal interest</t>
  </si>
  <si>
    <t>9-0202</t>
  </si>
  <si>
    <t>Bank Loan Interest</t>
  </si>
  <si>
    <t>9-0201</t>
  </si>
  <si>
    <t>Other Expenses</t>
  </si>
  <si>
    <t>9-0000</t>
  </si>
  <si>
    <t>Total Other Income</t>
  </si>
  <si>
    <t>Disposal assets-Gain</t>
  </si>
  <si>
    <t>8-1004</t>
  </si>
  <si>
    <t>Sundry Income</t>
  </si>
  <si>
    <t>8-1003</t>
  </si>
  <si>
    <t>Exchange Gain</t>
  </si>
  <si>
    <t>8-1002</t>
  </si>
  <si>
    <t>Interest Income: Bank</t>
  </si>
  <si>
    <t>8-1001</t>
  </si>
  <si>
    <t>Other Income</t>
  </si>
  <si>
    <t>8-0000</t>
  </si>
  <si>
    <t>Operating Profit</t>
  </si>
  <si>
    <t>TOTAL SA&amp;GA</t>
  </si>
  <si>
    <t>Total Expenses R&amp;D</t>
  </si>
  <si>
    <t>Others (Garden and cleaning,EHS,comsumption,Unreasonable...)</t>
  </si>
  <si>
    <t>R&amp;D consumption</t>
  </si>
  <si>
    <t>Stationery&amp;supplies/utilities</t>
  </si>
  <si>
    <t>Tuition fee</t>
  </si>
  <si>
    <t>Entertainment</t>
  </si>
  <si>
    <t>Sample</t>
  </si>
  <si>
    <t>cars relative</t>
  </si>
  <si>
    <t>Consulting</t>
  </si>
  <si>
    <t>Communication</t>
  </si>
  <si>
    <t>Logistics</t>
  </si>
  <si>
    <t>Travel -business trips</t>
  </si>
  <si>
    <t>Meal + other Welfare</t>
  </si>
  <si>
    <t>Salary (Included PIT,SHUI)</t>
  </si>
  <si>
    <t>Total Expenses Without R&amp;D</t>
  </si>
  <si>
    <t>6-0126</t>
  </si>
  <si>
    <t>Other Tax (FCT of other services)</t>
  </si>
  <si>
    <t>6-0107</t>
  </si>
  <si>
    <t>6-0123</t>
  </si>
  <si>
    <t>Banking charge</t>
  </si>
  <si>
    <t>6-0122</t>
  </si>
  <si>
    <t>6-0121</t>
  </si>
  <si>
    <t>Security charge</t>
  </si>
  <si>
    <t>6-0119</t>
  </si>
  <si>
    <t>property insurance</t>
  </si>
  <si>
    <t>6-0118</t>
  </si>
  <si>
    <t>6-0117</t>
  </si>
  <si>
    <t>6-0116</t>
  </si>
  <si>
    <t>6-0115</t>
  </si>
  <si>
    <t>6-0114</t>
  </si>
  <si>
    <t>Sorting</t>
  </si>
  <si>
    <t>6-0113</t>
  </si>
  <si>
    <t xml:space="preserve">Rental - oversea -warehouse </t>
  </si>
  <si>
    <t>6-0112</t>
  </si>
  <si>
    <t>Rental others(house, land..)</t>
  </si>
  <si>
    <t>6-0111</t>
  </si>
  <si>
    <t>6-0110</t>
  </si>
  <si>
    <t>6-0109</t>
  </si>
  <si>
    <t>Commission fee (M&amp;C SG,KR,CH,JP)</t>
  </si>
  <si>
    <t>6-0108</t>
  </si>
  <si>
    <t>Electricity</t>
  </si>
  <si>
    <t>6-0106</t>
  </si>
  <si>
    <t>6-0105</t>
  </si>
  <si>
    <t>6-0104</t>
  </si>
  <si>
    <t>6-0103</t>
  </si>
  <si>
    <t>6-0102</t>
  </si>
  <si>
    <t>6-0101</t>
  </si>
  <si>
    <t>Average</t>
  </si>
  <si>
    <t>%</t>
  </si>
  <si>
    <t>Total</t>
  </si>
  <si>
    <t>Expenses(SA&amp;GA)</t>
  </si>
  <si>
    <t>6-0000</t>
  </si>
  <si>
    <t>Gross margin</t>
  </si>
  <si>
    <t>Gross Profit clear stock</t>
  </si>
  <si>
    <t>Gross Profit without clear stock</t>
  </si>
  <si>
    <t>CLEAR STOCK</t>
  </si>
  <si>
    <t>Total Cost of Goods Sold</t>
  </si>
  <si>
    <t>Cost of trading</t>
  </si>
  <si>
    <t>5-1005</t>
  </si>
  <si>
    <t>Cost of other sold</t>
  </si>
  <si>
    <t>5-1004</t>
  </si>
  <si>
    <t>Ending Goods</t>
  </si>
  <si>
    <t>5-1003</t>
  </si>
  <si>
    <t>Manufacturing cost</t>
  </si>
  <si>
    <t>5-1002</t>
  </si>
  <si>
    <t>Beginning Goods</t>
  </si>
  <si>
    <t>5-1001</t>
  </si>
  <si>
    <t>Cost of Goods Sold</t>
  </si>
  <si>
    <t>5-0000</t>
  </si>
  <si>
    <t>Total Income</t>
  </si>
  <si>
    <t>Sales -scrapt</t>
  </si>
  <si>
    <t>4-1002</t>
  </si>
  <si>
    <t>Sales-trading</t>
  </si>
  <si>
    <t>4-1001</t>
  </si>
  <si>
    <t>Sales</t>
  </si>
  <si>
    <t>4-1000</t>
  </si>
  <si>
    <t>Income</t>
  </si>
  <si>
    <t>4-0000</t>
  </si>
  <si>
    <t>Dec</t>
  </si>
  <si>
    <t>Nov</t>
  </si>
  <si>
    <t>Oct</t>
  </si>
  <si>
    <t>Sep</t>
  </si>
  <si>
    <t>Aug</t>
  </si>
  <si>
    <t>Jul</t>
  </si>
  <si>
    <t>June</t>
  </si>
  <si>
    <t>May</t>
  </si>
  <si>
    <t>April</t>
  </si>
  <si>
    <t>March</t>
  </si>
  <si>
    <t>February</t>
  </si>
  <si>
    <t>Monthly</t>
  </si>
  <si>
    <t>12</t>
  </si>
  <si>
    <t>11</t>
  </si>
  <si>
    <t>10</t>
  </si>
  <si>
    <t>09</t>
  </si>
  <si>
    <t>08</t>
  </si>
  <si>
    <t>07</t>
  </si>
  <si>
    <t>06</t>
  </si>
  <si>
    <t>05</t>
  </si>
  <si>
    <t>04</t>
  </si>
  <si>
    <t>03</t>
  </si>
  <si>
    <t>02</t>
  </si>
  <si>
    <t>01</t>
  </si>
  <si>
    <t>January 2024 through Dec 2024</t>
  </si>
  <si>
    <t>Statement of Comprehensive Income</t>
  </si>
  <si>
    <t xml:space="preserve"> 9. Manufacturing Cost</t>
  </si>
  <si>
    <t xml:space="preserve"> 8. Other Accounts</t>
  </si>
  <si>
    <t xml:space="preserve"> 7. Ending Balance(WIP)</t>
  </si>
  <si>
    <t xml:space="preserve"> 6. Total</t>
  </si>
  <si>
    <t xml:space="preserve"> 5. Beginning Balance(WIP)</t>
  </si>
  <si>
    <t xml:space="preserve"> 4. Total Production Cost</t>
  </si>
  <si>
    <t xml:space="preserve">Cleaning expense </t>
  </si>
  <si>
    <t xml:space="preserve">Sewage </t>
  </si>
  <si>
    <t>Insurance (Fire insurance)</t>
  </si>
  <si>
    <t>Security</t>
  </si>
  <si>
    <t>Consumable tool (CNC)</t>
  </si>
  <si>
    <t>Consumables</t>
  </si>
  <si>
    <t>Outsourcing (Mold-Sales)</t>
  </si>
  <si>
    <t>Outsourcing (Ano, Paint, Chromate ,CNC)</t>
  </si>
  <si>
    <t>Amotization (Mold)</t>
  </si>
  <si>
    <t>Rent Expense (SG MCT, Outside WH, etc)</t>
  </si>
  <si>
    <t>Travel(Business)</t>
  </si>
  <si>
    <t>Transportation</t>
  </si>
  <si>
    <t>Repair Expense</t>
  </si>
  <si>
    <t>Gas</t>
  </si>
  <si>
    <t xml:space="preserve">Water </t>
  </si>
  <si>
    <t xml:space="preserve">Meal </t>
  </si>
  <si>
    <t xml:space="preserve"> </t>
  </si>
  <si>
    <t xml:space="preserve"> 3. Expenses</t>
  </si>
  <si>
    <t xml:space="preserve"> 2. Labor Cost</t>
  </si>
  <si>
    <t xml:space="preserve">  4. Ending Balance</t>
  </si>
  <si>
    <t xml:space="preserve">  3. Other Accounts</t>
  </si>
  <si>
    <t xml:space="preserve">  2. Input Materials</t>
  </si>
  <si>
    <t xml:space="preserve">  1. Beginning Balance</t>
  </si>
  <si>
    <t xml:space="preserve"> 1. Material Cost</t>
  </si>
  <si>
    <t>Dec.25</t>
  </si>
  <si>
    <t>Category</t>
  </si>
  <si>
    <t>Sch2.Manufacturing Statement</t>
  </si>
  <si>
    <t>01. 2020Y Monthly Income Statement</t>
  </si>
  <si>
    <t xml:space="preserve">
[unit: USD]</t>
  </si>
  <si>
    <t>Description</t>
    <phoneticPr fontId="0" type="noConversion"/>
  </si>
  <si>
    <t>Total Sale</t>
  </si>
  <si>
    <t>Sales -scrap</t>
  </si>
  <si>
    <t>Beginning Goods</t>
    <phoneticPr fontId="0" type="noConversion"/>
  </si>
  <si>
    <t>Ending Goods</t>
    <phoneticPr fontId="0" type="noConversion"/>
  </si>
  <si>
    <t>Cost of Trading &amp; Others</t>
  </si>
  <si>
    <t>Clear stock</t>
  </si>
  <si>
    <t>SA&amp;GA</t>
    <phoneticPr fontId="0" type="noConversion"/>
  </si>
  <si>
    <t>R&amp;D</t>
    <phoneticPr fontId="0" type="noConversion"/>
  </si>
  <si>
    <t>Operating profit</t>
  </si>
  <si>
    <t>Other Profit &amp; Loss</t>
    <phoneticPr fontId="0" type="noConversion"/>
  </si>
  <si>
    <t>investment income</t>
  </si>
  <si>
    <t xml:space="preserve">Ordinary profit </t>
  </si>
  <si>
    <t>Non - deductable expense</t>
  </si>
  <si>
    <t>Chargable income accumulated</t>
  </si>
  <si>
    <t>CIT 20%</t>
  </si>
  <si>
    <t>Net Income Before clear stock</t>
  </si>
  <si>
    <t>Net Income After clear stock</t>
  </si>
  <si>
    <t>Gross profit Margin</t>
    <phoneticPr fontId="0" type="noConversion"/>
  </si>
  <si>
    <t>Net Profit Margin ( before)</t>
  </si>
  <si>
    <t>Net Profit Margin ( after)</t>
  </si>
  <si>
    <t>EBITDA</t>
    <phoneticPr fontId="0" type="noConversion"/>
  </si>
  <si>
    <t>Interest Expenses</t>
    <phoneticPr fontId="0" type="noConversion"/>
  </si>
  <si>
    <t>Taxes</t>
    <phoneticPr fontId="0" type="noConversion"/>
  </si>
  <si>
    <t>Ex.rate:</t>
  </si>
  <si>
    <t>STT</t>
  </si>
  <si>
    <t>By Customer</t>
  </si>
  <si>
    <t>Jan</t>
  </si>
  <si>
    <t>Feb</t>
  </si>
  <si>
    <t>Mar</t>
  </si>
  <si>
    <t>Apr</t>
  </si>
  <si>
    <t>Jun</t>
  </si>
  <si>
    <t>July</t>
  </si>
  <si>
    <t xml:space="preserve">Aug </t>
  </si>
  <si>
    <t>Cos</t>
  </si>
  <si>
    <t>CF-0005</t>
  </si>
  <si>
    <t>CD-0001</t>
  </si>
  <si>
    <t>SEVT</t>
  </si>
  <si>
    <t>Samsung CNC: Sale</t>
  </si>
  <si>
    <t>CF-0013</t>
  </si>
  <si>
    <t>Mando</t>
  </si>
  <si>
    <t>CF-0023</t>
  </si>
  <si>
    <t>CD-0004</t>
  </si>
  <si>
    <t>ELENTEC</t>
  </si>
  <si>
    <t>CD-0003</t>
  </si>
  <si>
    <t>INTOPS</t>
  </si>
  <si>
    <t>CD-0005</t>
  </si>
  <si>
    <t>MOBASE</t>
  </si>
  <si>
    <t>CF-0012</t>
  </si>
  <si>
    <t>CF-0007</t>
  </si>
  <si>
    <t>ZF</t>
  </si>
  <si>
    <t>CF-0015</t>
  </si>
  <si>
    <t>CF-0010</t>
  </si>
  <si>
    <t>CF-0009</t>
  </si>
  <si>
    <t>ZF US</t>
  </si>
  <si>
    <t>CD-0012</t>
  </si>
  <si>
    <t>THUAN THANH</t>
  </si>
  <si>
    <t>Waste</t>
  </si>
  <si>
    <t>CF-0011</t>
  </si>
  <si>
    <t>CD-0013</t>
  </si>
  <si>
    <t>CD-0010</t>
  </si>
  <si>
    <t>TONKIN</t>
  </si>
  <si>
    <t>CF-0017</t>
  </si>
  <si>
    <t>CF-0006</t>
  </si>
  <si>
    <t>CD-0008</t>
  </si>
  <si>
    <t>TTI</t>
  </si>
  <si>
    <t>CF-0027</t>
  </si>
  <si>
    <t>CD-0015</t>
  </si>
  <si>
    <t>MINH PHÚC</t>
  </si>
  <si>
    <t>Total Sales</t>
  </si>
  <si>
    <t>item code</t>
  </si>
  <si>
    <t>Name</t>
  </si>
  <si>
    <t>Qty NG</t>
  </si>
  <si>
    <t>Amt NG</t>
  </si>
  <si>
    <t>120434</t>
  </si>
  <si>
    <t>PK SM-A266B</t>
  </si>
  <si>
    <t>120634</t>
  </si>
  <si>
    <t>PK SM-A366B</t>
  </si>
  <si>
    <t>120341</t>
  </si>
  <si>
    <t>PK LGIT T6M6 Housing 3HUC00006A</t>
  </si>
  <si>
    <t>120187</t>
  </si>
  <si>
    <t>PK TRW-Nissan/FCA/GMT 4.8 Lenmount(336416-13/A011F352)</t>
  </si>
  <si>
    <t>120415</t>
  </si>
  <si>
    <t>PK LGIT  3CAZ00041A CL4 Housing</t>
  </si>
  <si>
    <t>120309</t>
  </si>
  <si>
    <t>PK Mando NX4 Motor Housing</t>
  </si>
  <si>
    <t>120157</t>
  </si>
  <si>
    <t>PK LGIT Gen3 AL5</t>
  </si>
  <si>
    <t>120414</t>
  </si>
  <si>
    <t>PK LGIT MQ4a PE Housing 3CAZ00039A</t>
  </si>
  <si>
    <t>120431</t>
  </si>
  <si>
    <t>PK LGIT T6M8 Housing 3UC00007A</t>
  </si>
  <si>
    <t>101221</t>
  </si>
  <si>
    <t>PK Qualcomm MTP KAANAPALI 55-29708-40 MIDFRAME, HEATSINK ASSY_PROCESS</t>
  </si>
  <si>
    <t>120368</t>
  </si>
  <si>
    <t>PK Mando Brose IMEB2 Housing(2)</t>
  </si>
  <si>
    <t>120347</t>
  </si>
  <si>
    <t>PK ZF GM ACP2 Housing A020R331 (A0038A6898)/ A020R330 (A0038A6008)</t>
  </si>
  <si>
    <t>120346</t>
  </si>
  <si>
    <t>PK ZF GM ACP2 Cover A020R329 (A0038A6435)/A020R328 (A0038A5053)</t>
  </si>
  <si>
    <t>120429</t>
  </si>
  <si>
    <t>PK Mando Tey Gen4 Heatsink Cover  (2)</t>
  </si>
  <si>
    <t>120362</t>
  </si>
  <si>
    <t>PK LGIT MPC5.5 Cover lens 3HDC00003A</t>
  </si>
  <si>
    <t>120367</t>
  </si>
  <si>
    <t>PK Mando MAS65C 4.5 Heat Sink(2)</t>
  </si>
  <si>
    <t>120425</t>
  </si>
  <si>
    <t>PK SM-A156E</t>
  </si>
  <si>
    <t>120192</t>
  </si>
  <si>
    <t>PK TRW-FCA 4.8 Cover A011K991</t>
  </si>
  <si>
    <t>120336</t>
  </si>
  <si>
    <t>PK Mando Brose GE821-J10-00-J100 Housing</t>
  </si>
  <si>
    <t>120158</t>
  </si>
  <si>
    <t>PK LGIT Gen3 AL6</t>
  </si>
  <si>
    <t>120403</t>
  </si>
  <si>
    <t>PK LGIT TRW- GMT1XX Cover A012L088</t>
  </si>
  <si>
    <t>120338</t>
  </si>
  <si>
    <t>PK Mando N3 Motor &amp; Heatsink Cover</t>
  </si>
  <si>
    <t>LG</t>
  </si>
  <si>
    <t>120430</t>
  </si>
  <si>
    <t>PK LGIT MRA2 Camera Base 3CAC00196A( Casting MC) (2)</t>
  </si>
  <si>
    <t>120332</t>
  </si>
  <si>
    <t>PK LGIT DCU15 3CAC00306A Housing</t>
  </si>
  <si>
    <t>120386</t>
  </si>
  <si>
    <t>PK TRW-FCA 4.8 Housing A010W096(2)</t>
  </si>
  <si>
    <t>120333</t>
  </si>
  <si>
    <t>PK LGIT DCU15 3CAC00307A Cover</t>
  </si>
  <si>
    <t>120318</t>
  </si>
  <si>
    <t>PK ZF IPM Housing A0025H7642( Casting MC)</t>
  </si>
  <si>
    <t>120438</t>
  </si>
  <si>
    <t>PK SM-A176B</t>
  </si>
  <si>
    <t>120411</t>
  </si>
  <si>
    <t>PK  PK LGIT MQ4a PE Cover</t>
  </si>
  <si>
    <t>120402</t>
  </si>
  <si>
    <t>PK ZF TRW - GM EU2L Housing A021D074 (2)</t>
  </si>
  <si>
    <t>101263</t>
  </si>
  <si>
    <t>PK Qualcomm RIDE 5 50-74187-1 MIDFRAME ASSEMBLY, RIDE 5</t>
  </si>
  <si>
    <t>120301</t>
  </si>
  <si>
    <t>PK LGIT BYD 3CAC00129A Housing</t>
  </si>
  <si>
    <t>120369</t>
  </si>
  <si>
    <t>PK LGIT T6 Bearing Plate 3CVC00004A(2)</t>
  </si>
  <si>
    <t>120400</t>
  </si>
  <si>
    <t>PK LGIT BYD 3CAC00069A/3MAM00121A Cover</t>
  </si>
  <si>
    <t>120416</t>
  </si>
  <si>
    <t>PK LGIT 3CAZ00042A CL4 Cover</t>
  </si>
  <si>
    <t>101289</t>
  </si>
  <si>
    <t>PK Qualcomm AMBOSELI 55-84713-1 HIELD, HEATSINK, RF CARD, PICTOR/ALIOTH"</t>
  </si>
  <si>
    <t>120195</t>
  </si>
  <si>
    <t>PK LGIT IKC Camera base 3CAC00180A</t>
  </si>
  <si>
    <t>101280</t>
  </si>
  <si>
    <t>PK Qualcomm RIDE 5 50-74195-3 FRONT COVER, PAINTED, BASE UNIT SX KARUSSELL</t>
  </si>
  <si>
    <t>120370</t>
  </si>
  <si>
    <t>PK ZF IPM 2.0 Housing Base A014A906/A014A871</t>
  </si>
  <si>
    <t>120160</t>
  </si>
  <si>
    <t>PK LGIT Gen 2</t>
  </si>
  <si>
    <t>Samsung</t>
  </si>
  <si>
    <t>101174</t>
  </si>
  <si>
    <t>PK Qualcomm AIR GEN 5 50-36917-2 SOC CARD, BOTTOM TRAY (2)</t>
  </si>
  <si>
    <t>101265</t>
  </si>
  <si>
    <t>PK Qualcomm RIDE 5 50-74190-1 TOP HOUSING, PAINTED, RIDE 5</t>
  </si>
  <si>
    <t>101268</t>
  </si>
  <si>
    <t>PK Qualcomm RIDE 5 50-74194-1 BOTTOM HOUSING, PAINTED, BASE UNIT, RIDE 5</t>
  </si>
  <si>
    <t>Qualcom</t>
  </si>
  <si>
    <t>101267</t>
  </si>
  <si>
    <t>PK  Qualcomm RIDE 5 50-74192-1 PCIe Cover</t>
  </si>
  <si>
    <t>101175</t>
  </si>
  <si>
    <t>PK Qualcomm AIR GEN 5 50-36917-3 CAMERA CARD, BOTTOM TRAY (2)</t>
  </si>
  <si>
    <t>101176</t>
  </si>
  <si>
    <t>PK Qualcomm AIR GEN 5 50-36917-4 PCIE CARD, BOTTOM TRAY (2)</t>
  </si>
  <si>
    <t>120433</t>
  </si>
  <si>
    <t>PK LGIT eK- LQ2 3BKO00001A Cover</t>
  </si>
  <si>
    <t>101270</t>
  </si>
  <si>
    <t>PK Qualcomm RIDE 5 50-74196-1 REAR COVER, PAINTED, BASE UNIT, RIDE 5</t>
  </si>
  <si>
    <t>101264</t>
  </si>
  <si>
    <t>PK Qualcomm RIDE 5 50-74188-1 LOWER FRAME, RIDE 5</t>
  </si>
  <si>
    <t>101266</t>
  </si>
  <si>
    <t>PK Qualcomm RIDE 5 50-74191-1 Camera Cover</t>
  </si>
  <si>
    <t>101177</t>
  </si>
  <si>
    <t>PK Qualcomm AIR GEN 5 50-36917-5 ETHERNET CARD, BOTTOM TRAY (2)</t>
  </si>
  <si>
    <t>101282</t>
  </si>
  <si>
    <t>PK Qualcomm MTP MOLOKAI 29708-70 ASSY 5G-MIDFRAME, HEAT PIPE</t>
  </si>
  <si>
    <t>120165</t>
  </si>
  <si>
    <t>PK PSA BMS Bottom Cover 3CAC00182A</t>
  </si>
  <si>
    <t>101275</t>
  </si>
  <si>
    <t>PK Qualcomm  AIR GEN 5 CA90-79362-1</t>
  </si>
  <si>
    <t>101059</t>
  </si>
  <si>
    <t>PK Qualcomm MTP Kuno 50-PR952-3, Ant Carrier, Antenna 8 And 9</t>
  </si>
  <si>
    <t>101277</t>
  </si>
  <si>
    <t>PK Qualcomm RIDE 5 50-74197-1 Bottom housing (Extended)</t>
  </si>
  <si>
    <t>Customer</t>
  </si>
  <si>
    <t>Grand Total</t>
  </si>
  <si>
    <t>Customers</t>
  </si>
  <si>
    <t>Qty total</t>
  </si>
  <si>
    <t>Amt Total</t>
  </si>
  <si>
    <t>Content</t>
  </si>
  <si>
    <t>NG FG Detail by months</t>
  </si>
  <si>
    <t>* NG by customers</t>
  </si>
  <si>
    <t>Rate</t>
  </si>
  <si>
    <t>Rate by months</t>
  </si>
  <si>
    <t>* Amt NG by months</t>
  </si>
  <si>
    <t>-From Jan  to Jul LG had the highest cost of discarded goods with an amount of $446K with 35%</t>
  </si>
  <si>
    <t>-July is the month with the highest amount of NG incurred at $297k with 23%</t>
  </si>
  <si>
    <t>-LG also had the highest proportion of discarded goods value in July with an amount of $134k with 45%</t>
  </si>
  <si>
    <t>- This cost has been fully recorded in COGS and is the reason for the significant decrease in profit in July</t>
  </si>
  <si>
    <t>100961</t>
  </si>
  <si>
    <t>PK Qualcomm IDP Fillmore 50-PR727-3 Battery Door</t>
  </si>
  <si>
    <t>101301</t>
  </si>
  <si>
    <t>PK Qualcomm HAWI 50-84675-1 Antenna Carrier</t>
  </si>
  <si>
    <t>101306</t>
  </si>
  <si>
    <t>PK Qualcomm HAWI 55-68127-1 Display Insert_PROCESS</t>
  </si>
  <si>
    <t>101308</t>
  </si>
  <si>
    <t>PK Qualcomm HAWI 55-86966-1 Rear Camera Upper Bracket ASSY_PROCESS</t>
  </si>
  <si>
    <t>101314</t>
  </si>
  <si>
    <t>PK Qualcomm HAWI 55-68130-10  Front Housing ASSY_PROCESS</t>
  </si>
  <si>
    <t>Exr: 26000</t>
  </si>
  <si>
    <t>101134</t>
  </si>
  <si>
    <t>PK Qualcomm MTP CAMANO  55-PR954-90 Assy, Sub Assy Rear Housing</t>
  </si>
  <si>
    <t>101141</t>
  </si>
  <si>
    <t>PK Qualcomm MTP Camano  55-PR919-20 Display Carrier Frame Assy</t>
  </si>
  <si>
    <t>101142</t>
  </si>
  <si>
    <t>PK Qualcomm MTP Camano  55-PR919-30 Display Carrier Frame Assy</t>
  </si>
  <si>
    <t>101149</t>
  </si>
  <si>
    <t>PK Qualcomm MTP Camano 55-PR725-20 Assy Font Housing</t>
  </si>
  <si>
    <t xml:space="preserve">Sale </t>
  </si>
  <si>
    <t>Manufacturing cost</t>
    <phoneticPr fontId="0" type="noConversion"/>
  </si>
  <si>
    <t>Business management fee rate</t>
    <phoneticPr fontId="0" type="noConversion"/>
  </si>
  <si>
    <t>Depreciation</t>
    <phoneticPr fontId="0" type="noConversion"/>
  </si>
  <si>
    <t>100855</t>
  </si>
  <si>
    <t>PK Qualcomm MTP Lahaina 50-PP493-1 Speaker Box</t>
  </si>
  <si>
    <t>101049</t>
  </si>
  <si>
    <t>PK Qualcomm IDP Cedros 55-PR954-70 Assy, Rear Housing</t>
  </si>
  <si>
    <t>101315</t>
  </si>
  <si>
    <t>Qualcomm  IDP KUNO, 50-PR952-7, ANT CARRIER, ANT8+ANT9, UWB_GNSS, WDP, SW6100, MEP</t>
  </si>
  <si>
    <t>100516</t>
  </si>
  <si>
    <t>PK Ant Carrier Left 55-PB602-1</t>
  </si>
  <si>
    <t>100593</t>
  </si>
  <si>
    <t>PK Qualcomm IDP Nicobar 50-PK908-1 Speaker Boot</t>
  </si>
  <si>
    <t>Jan.26</t>
  </si>
  <si>
    <t>Feb.26</t>
  </si>
  <si>
    <t>Mar.26</t>
  </si>
  <si>
    <t>Apr.26</t>
  </si>
  <si>
    <t>May.26</t>
  </si>
  <si>
    <t>Jun.26</t>
  </si>
  <si>
    <t>Jul.26</t>
  </si>
  <si>
    <t>Aug.26</t>
  </si>
  <si>
    <t>Sep.26</t>
  </si>
  <si>
    <t>Oct.26</t>
  </si>
  <si>
    <t>Nov.26</t>
  </si>
  <si>
    <t>Dec.26</t>
  </si>
  <si>
    <t>TotalY26</t>
  </si>
  <si>
    <t>January 2026 through Dec 2026</t>
  </si>
  <si>
    <t>Dec.2025</t>
  </si>
  <si>
    <t>YTD26</t>
  </si>
  <si>
    <t>Qty Jan.26</t>
  </si>
  <si>
    <t>Amt Jan.26</t>
  </si>
  <si>
    <t>Qty Feb.26</t>
  </si>
  <si>
    <t>Amt Feb.26</t>
  </si>
  <si>
    <t>Qty Mar.26</t>
  </si>
  <si>
    <t>Amt Mar.26</t>
  </si>
  <si>
    <t>Qty Apr.26</t>
  </si>
  <si>
    <t>Amt Apr.26</t>
  </si>
  <si>
    <t>Qty Mat.26</t>
  </si>
  <si>
    <t>Amt May.26</t>
  </si>
  <si>
    <t>Qty Jun.26</t>
  </si>
  <si>
    <t>Amt Jul.26</t>
  </si>
  <si>
    <t>Qty Jul.26</t>
  </si>
  <si>
    <t>Qty Aug.26</t>
  </si>
  <si>
    <t>Amt Aug.26</t>
  </si>
  <si>
    <t>Qty Sep.26</t>
  </si>
  <si>
    <t>Amt Sep.26</t>
  </si>
  <si>
    <t>Qty Oct.26</t>
  </si>
  <si>
    <t>Amt Oct.26</t>
  </si>
  <si>
    <t>Qty Nov.26</t>
  </si>
  <si>
    <t>Amt Nov.26</t>
  </si>
  <si>
    <t>Qty Dec.26</t>
  </si>
  <si>
    <t>Amt Dec.26</t>
  </si>
  <si>
    <t>Total .2026Y</t>
  </si>
  <si>
    <t>120443</t>
  </si>
  <si>
    <t>PK SM-A376B</t>
  </si>
  <si>
    <t>101325</t>
  </si>
  <si>
    <t>PK Qualcomm AMBOSELI CA90-84713-3 HIELD, HEATSINK, RF CARD, PICTOR/ALIOTH</t>
  </si>
  <si>
    <t>101331</t>
  </si>
  <si>
    <t>PK Qualcomm HAWI 50-84676-2 Antenna Carrier WL</t>
  </si>
  <si>
    <t>101332</t>
  </si>
  <si>
    <t>PK Qualcomm HAWI 50-84677-2 Antenna Carrier Bottom</t>
  </si>
  <si>
    <t>Sales summary 2026</t>
  </si>
  <si>
    <t>MFG</t>
  </si>
  <si>
    <t>LG YANTAI</t>
  </si>
  <si>
    <t>LG KOREA</t>
  </si>
  <si>
    <t>LG MEXICO</t>
  </si>
  <si>
    <t>ZF POLAND</t>
  </si>
  <si>
    <t>ZF SHANGHAI</t>
  </si>
  <si>
    <t>ZF UK</t>
  </si>
  <si>
    <t>ZF MEXICO</t>
  </si>
  <si>
    <t>MANDO (ZHANGJIAGANG)</t>
  </si>
  <si>
    <t>HL KLEMOVE INDIA</t>
  </si>
  <si>
    <t>MANDO CORPORATION</t>
  </si>
  <si>
    <t>TAILYN</t>
  </si>
  <si>
    <t>BÌNH NGUYÊN</t>
  </si>
  <si>
    <t xml:space="preserve">Income Statement </t>
  </si>
  <si>
    <t>Others (Garden,EHS,Unreasonable...)</t>
  </si>
  <si>
    <t>Samsung Others</t>
  </si>
  <si>
    <t>Qualcomm ( Mobile)</t>
  </si>
  <si>
    <t>LGIT</t>
  </si>
  <si>
    <t>CF-0014</t>
  </si>
  <si>
    <t>MANDO KOREA</t>
  </si>
  <si>
    <t>CF-0019</t>
  </si>
  <si>
    <t>HYOSEONG</t>
  </si>
  <si>
    <t>Hyoseong</t>
  </si>
  <si>
    <t>CF-0022</t>
  </si>
  <si>
    <t>DORIGO</t>
  </si>
  <si>
    <t>Dorigo</t>
  </si>
  <si>
    <t>CF-0028</t>
  </si>
  <si>
    <t>CD-0027</t>
  </si>
  <si>
    <t>LONG BÌNH</t>
  </si>
  <si>
    <t>101330</t>
  </si>
  <si>
    <t>PK Qualcomm HAWI 50-84675-2 Antenna Carrier</t>
  </si>
  <si>
    <t>101333</t>
  </si>
  <si>
    <t>PK Qualcomm Hana 50-PB615-2 Battery Cover</t>
  </si>
  <si>
    <t>Qty</t>
  </si>
  <si>
    <t>Feb.26 Before</t>
  </si>
  <si>
    <t>Code</t>
  </si>
  <si>
    <t>Item No.</t>
  </si>
  <si>
    <t>Item Name</t>
  </si>
  <si>
    <t>101196</t>
  </si>
  <si>
    <t>PK B6 Main Sub6 - GH94-39228A (Samsung)</t>
  </si>
  <si>
    <t>101202</t>
  </si>
  <si>
    <t>PK Q5MMW-GH94-36580A (Samsung)</t>
  </si>
  <si>
    <t>101203</t>
  </si>
  <si>
    <t>PK Q5 MAIN SUB6/GH94-36611A (Samsung)</t>
  </si>
  <si>
    <t>101284</t>
  </si>
  <si>
    <t>PK B7R Sub- GH94-42329A  ( Samsung)</t>
  </si>
  <si>
    <t>101285</t>
  </si>
  <si>
    <t>PK B7R Main Sub6 - GH94-42274A( Samsung)</t>
  </si>
  <si>
    <t>101286</t>
  </si>
  <si>
    <t>PK B7 Sub- GH94-42470A  ( Samsung)</t>
  </si>
  <si>
    <t>101288</t>
  </si>
  <si>
    <t>PK B7 Main Sub 6 GH94-42417A ( Samsung)</t>
  </si>
  <si>
    <t>101294</t>
  </si>
  <si>
    <t>PK B6 Main MMW - GH94-39265A  ( Samsung)</t>
  </si>
  <si>
    <t>101318</t>
  </si>
  <si>
    <t>PK M3 GH94-43862A ( Samsung)</t>
  </si>
  <si>
    <t>101328</t>
  </si>
  <si>
    <t>PK M1 GH94-43770A  ( Samsung)</t>
  </si>
  <si>
    <t>101329</t>
  </si>
  <si>
    <t>PK M2 GH94-43836A  ( Samsung)</t>
  </si>
  <si>
    <t>PK PK LGIT MQ4a PE Cover</t>
  </si>
  <si>
    <t>PK LGIT 3CAZ00041A CL4 Housing</t>
  </si>
  <si>
    <t>901371</t>
  </si>
  <si>
    <t>Mold Die casting CL4  Housing  1 CAV (Full set) #17</t>
  </si>
  <si>
    <t>901421</t>
  </si>
  <si>
    <t>Mold Die Casting eK LQ2 Cover #2</t>
  </si>
  <si>
    <t>PK TRW-FCA 4.8 Cover A012U602</t>
  </si>
  <si>
    <t>PK ZF IPM Housing A010R190 (2)</t>
  </si>
  <si>
    <t>PK Mando NX4 Cover</t>
  </si>
  <si>
    <t>PK Mando Tey Gen4 Heatsink Cover (2)</t>
  </si>
  <si>
    <t>PK ZF TRW - GM EU2L Cover A021D075</t>
  </si>
  <si>
    <t>PK Qualcomm MTP CAMANO 55-PR954-90 Assy, Sub Assy Rear Housing</t>
  </si>
  <si>
    <t>101317</t>
  </si>
  <si>
    <t>QUALCOMM DIVAR IOT 55-PP813-40 REAR LENS</t>
  </si>
  <si>
    <t>101334</t>
  </si>
  <si>
    <t>A Sensor bar 132-8032-006 VF Grip, Low Light, C6</t>
  </si>
  <si>
    <t>101335</t>
  </si>
  <si>
    <t>PK A Sensor bar 132-8032-016 VF Grip, 2 Color, Low Light, C6</t>
  </si>
  <si>
    <t>101336</t>
  </si>
  <si>
    <t>PK A Sensor bar 135-8837-003 ISW Antenna Enclosure, Front Sensors</t>
  </si>
  <si>
    <t>101337</t>
  </si>
  <si>
    <t>PK A Sensor bar 136-2429-002 Button Membrane, Front UI</t>
  </si>
  <si>
    <t>101338</t>
  </si>
  <si>
    <t>PK A Sensor bar 142-7607-002 Low Light Shield</t>
  </si>
  <si>
    <t>101339</t>
  </si>
  <si>
    <t>PK A Body Compute 143-0466-001 Antenna Caps, Left</t>
  </si>
  <si>
    <t>101340</t>
  </si>
  <si>
    <t>PK A Body Compute 143-0730-001 Antenna Caps, Right</t>
  </si>
  <si>
    <t>101341</t>
  </si>
  <si>
    <t>PK A 149-0313-001 FRAME, WORLD SIDE, BUCK HMD</t>
  </si>
  <si>
    <t>101342</t>
  </si>
  <si>
    <t>PK A 149-0314-001 FRAME, EYE SIDE, BUCK HMD</t>
  </si>
  <si>
    <t>785015</t>
  </si>
  <si>
    <t>Oring Mold for P/N: 143-8808-001-A03 &amp; 143-6225-001-A04</t>
  </si>
  <si>
    <t>901175</t>
  </si>
  <si>
    <t>50-60551-1 ADHESIVE, Adhesive display, Linh kiện Qualcomm 50-60551-1</t>
  </si>
  <si>
    <t>901430</t>
  </si>
  <si>
    <t>135-8837-003_ISW ANTENNA ENCLOSURE, FRONT SENSORS, C3  INJECTION MOLD (1ST INJECTION)</t>
  </si>
  <si>
    <t>901431</t>
  </si>
  <si>
    <t>135-8837-003_ISW ANTENNA ENCLOSURE , FRONT SENSORS, C3  INJECTION MOLD (2nd INJECTION)</t>
  </si>
  <si>
    <t>901432</t>
  </si>
  <si>
    <t>142-7607-002 LOW LIGHT SENSOR BAR INJECTION MOLD</t>
  </si>
  <si>
    <t>901433</t>
  </si>
  <si>
    <t>132-8032-006 _VF Grip_Low Light_C6 INJECTION MOLD - Material : NAK80</t>
  </si>
  <si>
    <t>901434</t>
  </si>
  <si>
    <t>136-2429-002_ Button Membrane_ Front UI_ C2 INJECTION MOLD</t>
  </si>
  <si>
    <t>901435</t>
  </si>
  <si>
    <t>132-8032-006, VF Grip, Low Light, C6, RevA, 11-10-25 Silicone Mold</t>
  </si>
  <si>
    <t>901436</t>
  </si>
  <si>
    <t>136-2429-002, Button Membrane, Front UI, C2, RevA Silicone Mold</t>
  </si>
  <si>
    <t>901437</t>
  </si>
  <si>
    <t>143-0466-001 _ BODY COMPUTE_ANTENNA_CAPS _ LEFT &amp; RIGHT_INJECTION MOLD 2525</t>
  </si>
  <si>
    <t>901458</t>
  </si>
  <si>
    <t>O-ring for Battery Pack Rear-to-Front Cable (P/N: 143-8808-001-A03)</t>
  </si>
  <si>
    <t>901459</t>
  </si>
  <si>
    <t>Oring for BATTERY PACK, TOP LID (P/N: 143-6225-001-A04)</t>
  </si>
  <si>
    <t>120440</t>
  </si>
  <si>
    <t>PK Mando Brose JK1-LHD Housing  ME200V1200</t>
  </si>
  <si>
    <t>VND</t>
  </si>
  <si>
    <t>USD</t>
  </si>
  <si>
    <t>Scrapt</t>
  </si>
  <si>
    <t>Unit cost (everage) VND</t>
  </si>
  <si>
    <t>COGS (sale out)</t>
  </si>
  <si>
    <t>Cost of Producing in Feb</t>
  </si>
  <si>
    <t xml:space="preserve">Unit cost product </t>
  </si>
  <si>
    <t>Trading</t>
  </si>
  <si>
    <t>FG</t>
  </si>
  <si>
    <t>WIP NG</t>
  </si>
  <si>
    <t>Distroy</t>
  </si>
  <si>
    <t>RMA</t>
  </si>
  <si>
    <t>Others</t>
  </si>
  <si>
    <t>TOT COGS</t>
  </si>
  <si>
    <t>+</t>
  </si>
  <si>
    <t>Tax (FCT machines and RM)</t>
  </si>
  <si>
    <t>Remaining</t>
  </si>
  <si>
    <t>Unit</t>
  </si>
  <si>
    <t>Sales Revenue</t>
  </si>
  <si>
    <t>CÔNG TY TNHH SAMSUNG ELECTRONICS VIỆT NAM THÁI NGUYÊN</t>
  </si>
  <si>
    <t>101271</t>
  </si>
  <si>
    <t>PK  PA1 -  GH94-40718A (Samsung)</t>
  </si>
  <si>
    <t>CÔNG TY TNHH INTOPS VIỆT NAM</t>
  </si>
  <si>
    <t>CÔNG TY TNHH ELENTEC VIỆT NAM</t>
  </si>
  <si>
    <t>101319</t>
  </si>
  <si>
    <t>PK Bracket Front A37 fixxing jig</t>
  </si>
  <si>
    <t>101320</t>
  </si>
  <si>
    <t>PK Bracket Front A37 Jig check location hole</t>
  </si>
  <si>
    <t>101321</t>
  </si>
  <si>
    <t>PK Bracket Front A37 Bending Jig</t>
  </si>
  <si>
    <t>101322</t>
  </si>
  <si>
    <t>PK Bracket Front A37 Jig check length</t>
  </si>
  <si>
    <t>101323</t>
  </si>
  <si>
    <t>PK Bracket Front A37 Jig check width</t>
  </si>
  <si>
    <t>101346</t>
  </si>
  <si>
    <t>PK Front A376B Jig fixing product for check dimension (Back )</t>
  </si>
  <si>
    <t>101347</t>
  </si>
  <si>
    <t>PK Front  Bracket Front A37 Jig check battery</t>
  </si>
  <si>
    <t>140403</t>
  </si>
  <si>
    <t>PK LJIG check camera (đồ gá kiểm tra kích thước camera) A376</t>
  </si>
  <si>
    <t>140404</t>
  </si>
  <si>
    <t>PK JIG - Flatness Go/No Jig after bending -평탄 검사 고노 지그 (LVDT 전) (dụng cụ kiểm tra mặt phẳng sản phẩm )A376</t>
  </si>
  <si>
    <t>140405</t>
  </si>
  <si>
    <t>PK JIG check width after trimming (dụng cụ kiểm tra độ rộng) A376</t>
  </si>
  <si>
    <t>140406</t>
  </si>
  <si>
    <t>PK JIG - LOCATION Jig Check usb, Simtray (đồ gá kiểm tra vị trí khe cắm sạc, và khe sim sản phẩm) A376</t>
  </si>
  <si>
    <t>140407</t>
  </si>
  <si>
    <t>PK JIG check width after trimming (dụng cụ kiểm tra độ rộng) A376 (02)</t>
  </si>
  <si>
    <t>140408</t>
  </si>
  <si>
    <t>PK JIG - Flatness Go/No Jig after bending -평탄 검사 고노 지그 (LVDT 전) (dụng cụ kiểm tra mặt phẳng sản phẩm ) A376 (02)</t>
  </si>
  <si>
    <t>140410</t>
  </si>
  <si>
    <t>PK LJIG check camera (đồ gá kiểm tra kích thước camera) A376 (02)</t>
  </si>
  <si>
    <t>140417</t>
  </si>
  <si>
    <t>PK JIG - Test Resistance Jig ( 22point Ω) Đồ gá bằng thép kiểm tra điện trở cho sản phẩm A376B</t>
  </si>
  <si>
    <t>784985</t>
  </si>
  <si>
    <t>SM- A376B SIMTRAY, USB CHECK JIG</t>
  </si>
  <si>
    <t>785058</t>
  </si>
  <si>
    <t>Jig Hotpress A37</t>
  </si>
  <si>
    <t>785059</t>
  </si>
  <si>
    <t>Flatness Sensor Jig ( 25 point LVDT)/ Đồ gá kiểm tra độ phẳng sản phẩm A376B</t>
  </si>
  <si>
    <t>CÔNG TY TNHH MOBASE VIỆT NAM</t>
  </si>
  <si>
    <t>Công ty TNHH Tonkin</t>
  </si>
  <si>
    <t>8900030</t>
  </si>
  <si>
    <t>Sỉ Nhôm từ Casting Loại 1</t>
  </si>
  <si>
    <t>8900043</t>
  </si>
  <si>
    <t>Phế liệu Nhôm - S36</t>
  </si>
  <si>
    <t>8900051</t>
  </si>
  <si>
    <t>Sỉ nhôm từ tái chế Loại 2</t>
  </si>
  <si>
    <t>CÔNG TY CỔ PHẦN MÔI TRƯỜNG THUẬN THÀNH</t>
  </si>
  <si>
    <t>8900023</t>
  </si>
  <si>
    <t>Phoi Nhôm CNC ép</t>
  </si>
  <si>
    <t>8900037</t>
  </si>
  <si>
    <t>Magie dính dầu</t>
  </si>
  <si>
    <t>CÔNG TY CỔ PHẦN CÔNG NGHỆ CAO MÔI TRƯỜNG BÌNH NGUYÊN</t>
  </si>
  <si>
    <t>8900000</t>
  </si>
  <si>
    <t>Nhựa can/
White plastic can</t>
  </si>
  <si>
    <t>8900001</t>
  </si>
  <si>
    <t>Giấy bìa/Paper cover</t>
  </si>
  <si>
    <t>8900002</t>
  </si>
  <si>
    <t>Nylon</t>
  </si>
  <si>
    <t>8900003</t>
  </si>
  <si>
    <t>Gỗ phế/
Wasted wood</t>
  </si>
  <si>
    <t>8900004</t>
  </si>
  <si>
    <t>Sắt phế liệu/
Scrap iron</t>
  </si>
  <si>
    <t>8900005</t>
  </si>
  <si>
    <t>Vỏ thùng sơn/
Paint bucket</t>
  </si>
  <si>
    <t>8900007</t>
  </si>
  <si>
    <t>Phi sắt
/Iron barrel 200lit</t>
  </si>
  <si>
    <t>8900008</t>
  </si>
  <si>
    <t>Sỉ nhôm, nhôm bẩn
/Aluminum have oil dirty</t>
  </si>
  <si>
    <t>8900009</t>
  </si>
  <si>
    <t>Inox</t>
  </si>
  <si>
    <t>8900010</t>
  </si>
  <si>
    <t>Nhôm tạp/
Alumiium scrap (not material raw)</t>
  </si>
  <si>
    <t>8900011</t>
  </si>
  <si>
    <t>Nhựa không sử dụng/
Plastics don’t use</t>
  </si>
  <si>
    <t>8900013</t>
  </si>
  <si>
    <t>Khay nhựa</t>
  </si>
  <si>
    <t>8900014</t>
  </si>
  <si>
    <t>Nhôm phế liệu từ Casting Loại 3</t>
  </si>
  <si>
    <t>8900020</t>
  </si>
  <si>
    <t>Đồng vàng</t>
  </si>
  <si>
    <t>8900026</t>
  </si>
  <si>
    <t>Nhôm phế 6063</t>
  </si>
  <si>
    <t>8900053</t>
  </si>
  <si>
    <t>Nhôm phế S36 dính dầu loại 2</t>
  </si>
  <si>
    <t>CÔNG TY CỔ PHẦN MÔI TRƯỜNG XANH MINH PHÚC</t>
  </si>
  <si>
    <t>CÔNG TY TNHH LONG BÌNH ELECTRONICS</t>
  </si>
  <si>
    <t>900627</t>
  </si>
  <si>
    <t>AL 1050_TOP CASE ZBC0123, Nắp vỏ mô tơ ZBC0123</t>
  </si>
  <si>
    <t>LG INNOTEK CO.LTD(LGIT YT AT YANTAI)</t>
  </si>
  <si>
    <t>PK LGIT MRA2 Camera Base 3CAC00196A(Casting MC) (2)</t>
  </si>
  <si>
    <t>140354</t>
  </si>
  <si>
    <t>PK Mold LGIT-  MQ4 COVER #4 Back up- Die casting tool</t>
  </si>
  <si>
    <t>901372</t>
  </si>
  <si>
    <t>Mold Die casting MQ4aPE  Housing  1 CAV (Full set) #11</t>
  </si>
  <si>
    <t>901406</t>
  </si>
  <si>
    <t>Mold Die Casting GEN3 AL5 HOUSING #12</t>
  </si>
  <si>
    <t>LG INNOTEK MEXICO, S.A. DE C.V.</t>
  </si>
  <si>
    <t>120446</t>
  </si>
  <si>
    <t>PK LGIT T1XX 3HUO00015A Housing</t>
  </si>
  <si>
    <t>ZF AUTOMOTIVE SYSTEMS POLAND SP ZO.O.</t>
  </si>
  <si>
    <t>ZF PSS US (E273) C/O ZF NORTH AMERICA, INC.</t>
  </si>
  <si>
    <t>ZF AUTOMOTIVE COMPONENTS (SHANGHAI) CO., LTD</t>
  </si>
  <si>
    <t>ZF AUTOMOTIVE UK LIMITED</t>
  </si>
  <si>
    <t>LG INNOTEK KOREA</t>
  </si>
  <si>
    <t>MANDO BROSE (ZHANGJIAGANG) ELECTRIC MOTORS CO., LTD</t>
  </si>
  <si>
    <t>HL KLEMOVE INDIA PRIVATE LIMITED</t>
  </si>
  <si>
    <t>ZF ELECTRONIC SYSTEMS MONTERREY, S DE</t>
  </si>
  <si>
    <t>M&amp;C MFG.(SINGAPORE)PTE.LTD</t>
  </si>
  <si>
    <t>100543</t>
  </si>
  <si>
    <t>PK Qualcomm IDP Talos 55-PG284-1 Ant carrier</t>
  </si>
  <si>
    <t>PK Qualcomm MTP Lahaina 50-PP493-1 Speaker Box1</t>
  </si>
  <si>
    <t>100923</t>
  </si>
  <si>
    <t>PK Qualcomm IDP CEDROS 50-PT525-3 Ant Carrier, Antenna 5 And 6</t>
  </si>
  <si>
    <t>101009</t>
  </si>
  <si>
    <t>PK Qualcom ADP Air Mulsanne (Gen 5) 50-36915-1 Plastic Faceplate Insert, Pcie Card</t>
  </si>
  <si>
    <t>101010</t>
  </si>
  <si>
    <t>PK Qualcom ADP Air Mulsanne (Gen 5) 50-38328-1 Push Button Cap</t>
  </si>
  <si>
    <t>101305</t>
  </si>
  <si>
    <t>PK Qualcomm HAWI 50-87767-1 Speaker insert</t>
  </si>
  <si>
    <t>101348</t>
  </si>
  <si>
    <t>PK Qualcomm MAILI 55-97051-1 ALTERED FRAME, CAMERA CARD COVER ASSY_PROCESS</t>
  </si>
  <si>
    <t>900509</t>
  </si>
  <si>
    <t>Rubber insert 50-PA190-1, đệm cao su 50-PA190-1 BOOT, MIC 1/HUMIDITY/CHEMICAL,MTP</t>
  </si>
  <si>
    <t>Tailyn Technologies. Inc</t>
  </si>
  <si>
    <t>100982</t>
  </si>
  <si>
    <t>PK Qualcom ADP Air Mulsanne (Gen 5) 50-36927-2 Inlet Baffle Assy</t>
  </si>
  <si>
    <t>900668</t>
  </si>
  <si>
    <t>Left bracket 50-36919-1/Khung đỡ màn hình bên trái dùng cho oto bằng nhôm 50-36919-1</t>
  </si>
  <si>
    <t>900669</t>
  </si>
  <si>
    <t>Right bracket 50-36920-1, Khung đỡ màn hình bên phải dùng cho oto bằng nhôm 50-36920-1</t>
  </si>
  <si>
    <t>8900019</t>
  </si>
  <si>
    <t>Đồng đỏ</t>
  </si>
  <si>
    <t>8900052</t>
  </si>
  <si>
    <t>Phoi Đồng đỏ</t>
  </si>
  <si>
    <t>Sỉ nhôm, nhôm bẩn/Aluminum have oil dirty</t>
  </si>
  <si>
    <t>8900034</t>
  </si>
  <si>
    <t>Phế liệu nhôm ADC12</t>
  </si>
  <si>
    <t>8900045</t>
  </si>
  <si>
    <t>S3Y Scrap / Phế liệu Nhôm S3Y</t>
  </si>
  <si>
    <t>901424</t>
  </si>
  <si>
    <t>ME1a HOUSING_MCT Jig</t>
  </si>
  <si>
    <t>901423</t>
  </si>
  <si>
    <t>ME1a, MV1a HSG - CMM Jig</t>
  </si>
  <si>
    <t>901438</t>
  </si>
  <si>
    <t>Mold Die Casting _ME1a-HOUSING #1</t>
  </si>
  <si>
    <t>120445</t>
  </si>
  <si>
    <t>PK LGIT T1XX 3CVO00005A BEARING PLATE</t>
  </si>
  <si>
    <t>120442</t>
  </si>
  <si>
    <t>PK ZF Wabco OGM2.0 IPM2.0 Advance Lite  A036A979/A036A983</t>
  </si>
  <si>
    <t>901470</t>
  </si>
  <si>
    <t>135-7343-001/A Screw PEM M2 3.0 lng Torx</t>
  </si>
  <si>
    <t>901471</t>
  </si>
  <si>
    <t>139-3570-001/A Screw M2xL3.5xH3.5Torx-6External</t>
  </si>
  <si>
    <t>901472</t>
  </si>
  <si>
    <t>145-0190-001/B Shoulder Screw, M1p2 X 2p6Lg, 1p4mmDia X p75Shldr, Torx, SUS</t>
  </si>
  <si>
    <t>901462</t>
  </si>
  <si>
    <t>147-9222-001_A-SIDE SHIELD LEFT &amp; RIGHT_ BUCK HMD INJECTION MOLD</t>
  </si>
  <si>
    <t>901464</t>
  </si>
  <si>
    <t>148-3197-002 _ Mission Shield Carrier INJECTION MOLD</t>
  </si>
  <si>
    <t>901465</t>
  </si>
  <si>
    <t>148-3197-002 _ Mission Shield Carrier TRIMMING MOLD</t>
  </si>
  <si>
    <t>785060</t>
  </si>
  <si>
    <t>150-3554-001_SILICONE NOSE PAD _ SILICONE MOLD</t>
  </si>
  <si>
    <t>901463</t>
  </si>
  <si>
    <t>150-6455-001 Temple Arm_ LEFT &amp; RIGHT  INJECTION MOLD</t>
  </si>
  <si>
    <t>785061</t>
  </si>
  <si>
    <t>151-9798-001_bungee (Left + Right) _ SILICONE MOLD</t>
  </si>
  <si>
    <t>900460</t>
  </si>
  <si>
    <t>50-PM288-1 CONTACT, SPEAKER, MTP SDX55/KONA , Linh kiện qualcomm 50-PM288-1</t>
  </si>
  <si>
    <t>101350</t>
  </si>
  <si>
    <t>PK A 147-9222-001  SIDE SHIELD, LEFT,BUCK HMD</t>
  </si>
  <si>
    <t>101351</t>
  </si>
  <si>
    <t>PK A 147-9223-001  SIDE SHIELD, RIGHT,BUCK HMD</t>
  </si>
  <si>
    <t>101343</t>
  </si>
  <si>
    <t>PK A 149-0313-002 FRAME, WORLD SIDE, BUCK HMD</t>
  </si>
  <si>
    <t>101349</t>
  </si>
  <si>
    <t>PK A 149-0313-004 FRAME, WORLD SIDE, BUCK HMD</t>
  </si>
  <si>
    <t>101344</t>
  </si>
  <si>
    <t>PK A 149-0314-002 FRAME, EYE SIDE, BUCK HMD</t>
  </si>
  <si>
    <t>101359</t>
  </si>
  <si>
    <t>PK A 150-3554-001  SILICONE NOSE PAD ,BUCK HMD</t>
  </si>
  <si>
    <t>101352</t>
  </si>
  <si>
    <t>PK A 150-6547-002 TEMPLE  ARM, LEFT ,BUCK HMD</t>
  </si>
  <si>
    <t>101353</t>
  </si>
  <si>
    <t>PK A 150-6548-002 TEMPLE  ARM, RIGHT ,BUCK HMD</t>
  </si>
  <si>
    <t>101356</t>
  </si>
  <si>
    <t>PK A 151-9790-001  MISSION SHIELD CARRIER ASSY,BUCK HMD</t>
  </si>
  <si>
    <t>101357</t>
  </si>
  <si>
    <t>PK A 151-9798-001  MISSION SHIELD ATTACH  BUNGEE LEFT,BUCK HMD</t>
  </si>
  <si>
    <t>101358</t>
  </si>
  <si>
    <t>PK A 151-9799-001  MISSION SHIELD ATTACH  BUNGEE  RIGHT,BUCK HMD</t>
  </si>
  <si>
    <t>101345</t>
  </si>
  <si>
    <t>PK Qualcomm IDP CEDROS_55-PR954-80_ASSY, SUB-ASSY, REAR HOUSING</t>
  </si>
  <si>
    <t>100907</t>
  </si>
  <si>
    <t>PK Qualcomm IDP Fillmore 55-PP813-20 Rear Lens</t>
  </si>
  <si>
    <t>100637</t>
  </si>
  <si>
    <t>PK Qualcomm IDP Rennel 55-PL741-1 Rear housing</t>
  </si>
  <si>
    <t>101143</t>
  </si>
  <si>
    <t>PK Qualcomm MTP Camano 55-PP813-30 Rear Lens, Assy</t>
  </si>
  <si>
    <t>PK Qualcomm MTP Camano 55-PR919-30 Display Carrier Frame Assy</t>
  </si>
  <si>
    <t>101051</t>
  </si>
  <si>
    <t>PK Qualcomm MTP Pinnacles 55-29819-1 Front Housing</t>
  </si>
  <si>
    <t>901460</t>
  </si>
  <si>
    <t>LT2 Housing - CMM Jig</t>
  </si>
  <si>
    <t>120435</t>
  </si>
  <si>
    <t>PK Mando Brose JG REPS  Housing cover</t>
  </si>
  <si>
    <t>120439</t>
  </si>
  <si>
    <t>PK Mando Brose JG RWS Cover  GE844EM111</t>
  </si>
  <si>
    <t>120437</t>
  </si>
  <si>
    <t>PK Mando Brose LT2  ME200LT200 DIECAST HOUSING</t>
  </si>
  <si>
    <t>120436</t>
  </si>
  <si>
    <t>PK Mando Brose LT2 Cover ME041US4R0</t>
  </si>
  <si>
    <t>PK Mando Brose US4 Cover/ LT2 Cover ME041US4R0</t>
  </si>
  <si>
    <t>101066</t>
  </si>
  <si>
    <t>PK Diamond3 (Samsung)</t>
  </si>
  <si>
    <t>MOBASE VN</t>
  </si>
  <si>
    <t>ZF PSS US (E273)</t>
  </si>
  <si>
    <t>ZF BRASIL</t>
  </si>
  <si>
    <t>Cost of Producing in Mar</t>
  </si>
  <si>
    <t>TOT Amt NG</t>
  </si>
  <si>
    <t>CF-0023-1</t>
  </si>
  <si>
    <t>MFG-Qualcomm</t>
  </si>
  <si>
    <t>CF-0023-2</t>
  </si>
  <si>
    <t>MFG-ASG</t>
  </si>
  <si>
    <t>CF-0029</t>
  </si>
  <si>
    <t>LONG BINH</t>
  </si>
  <si>
    <t>TB</t>
  </si>
  <si>
    <t>Unit production cost of Apr</t>
  </si>
  <si>
    <t>MFG-A</t>
  </si>
  <si>
    <t>Mold</t>
  </si>
  <si>
    <t>Mobase</t>
  </si>
  <si>
    <r>
      <rPr>
        <b/>
        <sz val="14"/>
        <color rgb="FF1F4E78"/>
        <rFont val="DejaVu Sans"/>
        <family val="2"/>
      </rPr>
      <t>■ 월별 인건비</t>
    </r>
    <r>
      <rPr>
        <b/>
        <sz val="14"/>
        <color rgb="FF1F4E78"/>
        <rFont val="DejaVu Sans"/>
        <family val="2"/>
        <charset val="1"/>
      </rPr>
      <t>·</t>
    </r>
    <r>
      <rPr>
        <b/>
        <sz val="14"/>
        <color rgb="FF1F4E78"/>
        <rFont val="DejaVu Sans"/>
        <family val="2"/>
      </rPr>
      <t>인원</t>
    </r>
    <r>
      <rPr>
        <b/>
        <sz val="14"/>
        <color rgb="FF1F4E78"/>
        <rFont val="DejaVu Sans"/>
        <family val="2"/>
        <charset val="1"/>
      </rPr>
      <t xml:space="preserve">·OT </t>
    </r>
    <r>
      <rPr>
        <b/>
        <sz val="14"/>
        <color rgb="FF1F4E78"/>
        <rFont val="DejaVu Sans"/>
        <family val="2"/>
      </rPr>
      <t>추이</t>
    </r>
  </si>
  <si>
    <t>항목</t>
  </si>
  <si>
    <t>단위</t>
  </si>
  <si>
    <t>1Q평균</t>
  </si>
  <si>
    <t>Apr vs 1Q</t>
  </si>
  <si>
    <t>총 OT시간</t>
  </si>
  <si>
    <t>시간</t>
  </si>
  <si>
    <t>총 인원수</t>
  </si>
  <si>
    <t>명</t>
  </si>
  <si>
    <t>인당 평균 OT시간</t>
  </si>
  <si>
    <t>시간/명</t>
  </si>
  <si>
    <t>인건비</t>
    <phoneticPr fontId="93" type="noConversion"/>
  </si>
  <si>
    <t>* 생산직 1인당 평균 잔업시간: 76시간 → 106시간 (+39%)</t>
    <phoneticPr fontId="93" type="noConversion"/>
  </si>
  <si>
    <t>* 생산물량 회복 및 납기 대응 과정에서 OT 증가</t>
    <phoneticPr fontId="93" type="noConversion"/>
  </si>
  <si>
    <t xml:space="preserve">   → 5월부터 라인별 OT 한도 설정 및 일일 모니터링 시행 예정</t>
    <phoneticPr fontId="93" type="noConversion"/>
  </si>
  <si>
    <t>* 전기료 반영기간: 전월 18일 ~ 당월 17일</t>
    <phoneticPr fontId="93" type="noConversion"/>
  </si>
  <si>
    <t>* 3월: 설 휴무 포함 24일 가동</t>
    <phoneticPr fontId="93" type="noConversion"/>
  </si>
  <si>
    <t>* 4월: 27일 정상 가동 (기저효과 발생)</t>
    <phoneticPr fontId="93" type="noConversion"/>
  </si>
  <si>
    <t>* 우기 진입에 따른 냉방(칠러) 가동 증가</t>
    <phoneticPr fontId="93" type="noConversion"/>
  </si>
  <si>
    <t xml:space="preserve">  → 전력 사용량 상승</t>
    <phoneticPr fontId="93" type="noConversion"/>
  </si>
  <si>
    <t>NAME</t>
  </si>
  <si>
    <t>AREA USING</t>
  </si>
  <si>
    <t>Total
kWh</t>
  </si>
  <si>
    <t>AVG</t>
  </si>
  <si>
    <t>SUNDAY</t>
  </si>
  <si>
    <t>NOMAL DAY</t>
  </si>
  <si>
    <t>TOTAL DAY</t>
  </si>
  <si>
    <t>Trans 3750 KVA</t>
  </si>
  <si>
    <t>CNC 1,CNC2,CNC3,CNC4. Chromate, Barel,Casting(1 machine)
Trimming, Chiller-AHU trimming, Exhaust fan casting, Pump for casting
Chiller factory B, Chiller casting, AHU, Exhaust FAN CNC 3, Air compressor(5 machine)</t>
  </si>
  <si>
    <t xml:space="preserve">Trans 2500 KVA </t>
  </si>
  <si>
    <t>Casting(16 machine),Aluminum transport line,Office, Pump, Bavia area, Canteen.</t>
  </si>
  <si>
    <t>Trans 1250A KVA</t>
  </si>
  <si>
    <t>Chiller CNC3(3 machine),Air compressor(7 machine),chiller casting(1 machine),
CNC2(1V4,1V2)</t>
  </si>
  <si>
    <t>Trans 1250B KVA</t>
  </si>
  <si>
    <t>Casting machine(9 machine)</t>
  </si>
  <si>
    <t>Trans 1250C KVA</t>
  </si>
  <si>
    <t>Recycling line, blaster,jnjection, air compress(4 machine)</t>
  </si>
  <si>
    <t>TOTAL</t>
  </si>
  <si>
    <t xml:space="preserve">  * 항공 운송 신규 발생 (3월 대비 증가)</t>
    <phoneticPr fontId="93" type="noConversion"/>
  </si>
  <si>
    <t xml:space="preserve">  * LG, MANDO향 긴급 샘플 대응 목적</t>
    <phoneticPr fontId="93" type="noConversion"/>
  </si>
  <si>
    <t xml:space="preserve">    → 향후 사전 승인 및 해상운송 전환 검토 프로세스 운영</t>
    <phoneticPr fontId="93" type="noConversion"/>
  </si>
  <si>
    <t>* A276 금형 코아 실적 5벌 - 5월 8일 입력</t>
    <phoneticPr fontId="93" type="noConversion"/>
  </si>
  <si>
    <t>수량</t>
    <phoneticPr fontId="93" type="noConversion"/>
  </si>
  <si>
    <t>TRIMMING JIG(DEGATING)</t>
    <phoneticPr fontId="93" type="noConversion"/>
  </si>
  <si>
    <t>A276 Mold</t>
    <phoneticPr fontId="93" type="noConversion"/>
  </si>
  <si>
    <t>TRIMMING JIG_01</t>
    <phoneticPr fontId="93" type="noConversion"/>
  </si>
  <si>
    <t>CNC JIG</t>
    <phoneticPr fontId="93" type="noConversion"/>
  </si>
  <si>
    <t>Total</t>
    <phoneticPr fontId="93" type="noConversion"/>
  </si>
  <si>
    <t xml:space="preserve">* 4월 마감 시 인건비 및 경비 추가 반영 (약 + 1.5만불) </t>
    <phoneticPr fontId="93" type="noConversion"/>
  </si>
  <si>
    <t>원가</t>
    <phoneticPr fontId="93" type="noConversion"/>
  </si>
  <si>
    <t>이익</t>
    <phoneticPr fontId="93" type="noConversion"/>
  </si>
  <si>
    <t>Carried forward Losses</t>
    <phoneticPr fontId="93" type="noConversion"/>
  </si>
  <si>
    <r>
      <t xml:space="preserve"> Air </t>
    </r>
    <r>
      <rPr>
        <sz val="10"/>
        <color theme="1"/>
        <rFont val="맑은 고딕"/>
        <family val="1"/>
        <charset val="129"/>
      </rPr>
      <t>물류비 관리 (-1.2만불)</t>
    </r>
    <phoneticPr fontId="93" type="noConversion"/>
  </si>
  <si>
    <t>조정내용</t>
    <phoneticPr fontId="93" type="noConversion"/>
  </si>
  <si>
    <t>4월 수정</t>
    <phoneticPr fontId="93" type="noConversion"/>
  </si>
  <si>
    <r>
      <t xml:space="preserve"> </t>
    </r>
    <r>
      <rPr>
        <sz val="10"/>
        <color rgb="FFFF0000"/>
        <rFont val="맑은 고딕"/>
        <family val="1"/>
        <charset val="129"/>
      </rPr>
      <t>약</t>
    </r>
    <r>
      <rPr>
        <sz val="10"/>
        <color rgb="FFFF0000"/>
        <rFont val="Times New Roman"/>
        <family val="1"/>
      </rPr>
      <t xml:space="preserve"> +3% </t>
    </r>
    <r>
      <rPr>
        <sz val="10"/>
        <color rgb="FFFF0000"/>
        <rFont val="맑은 고딕"/>
        <family val="1"/>
        <charset val="129"/>
      </rPr>
      <t>개선</t>
    </r>
    <phoneticPr fontId="93" type="noConversion"/>
  </si>
  <si>
    <r>
      <t xml:space="preserve"> OT</t>
    </r>
    <r>
      <rPr>
        <sz val="10"/>
        <color rgb="FF0000FF"/>
        <rFont val="맑은 고딕"/>
        <family val="1"/>
        <charset val="129"/>
      </rPr>
      <t>관리</t>
    </r>
    <r>
      <rPr>
        <sz val="10"/>
        <color rgb="FF0000FF"/>
        <rFont val="Times New Roman"/>
        <family val="1"/>
      </rPr>
      <t xml:space="preserve"> </t>
    </r>
    <r>
      <rPr>
        <sz val="10"/>
        <color theme="1"/>
        <rFont val="Times New Roman"/>
        <family val="1"/>
      </rPr>
      <t>(-5</t>
    </r>
    <r>
      <rPr>
        <sz val="10"/>
        <color theme="1"/>
        <rFont val="맑은 고딕"/>
        <family val="1"/>
        <charset val="129"/>
      </rPr>
      <t>만불</t>
    </r>
    <r>
      <rPr>
        <sz val="10"/>
        <color theme="1"/>
        <rFont val="Times New Roman"/>
        <family val="1"/>
      </rPr>
      <t xml:space="preserve">) + </t>
    </r>
    <r>
      <rPr>
        <sz val="10"/>
        <color theme="1"/>
        <rFont val="맑은 고딕"/>
        <family val="1"/>
        <charset val="129"/>
      </rPr>
      <t>금형원가반영</t>
    </r>
    <r>
      <rPr>
        <sz val="10"/>
        <color theme="1"/>
        <rFont val="Times New Roman"/>
        <family val="1"/>
      </rPr>
      <t xml:space="preserve"> (+5.4</t>
    </r>
    <r>
      <rPr>
        <sz val="10"/>
        <color theme="1"/>
        <rFont val="맑은 고딕"/>
        <family val="1"/>
        <charset val="129"/>
      </rPr>
      <t>만불</t>
    </r>
    <r>
      <rPr>
        <sz val="10"/>
        <color theme="1"/>
        <rFont val="Times New Roman"/>
        <family val="1"/>
      </rPr>
      <t>)</t>
    </r>
    <phoneticPr fontId="93" type="noConversion"/>
  </si>
  <si>
    <r>
      <t xml:space="preserve">A276 </t>
    </r>
    <r>
      <rPr>
        <sz val="10"/>
        <color rgb="FF0000FF"/>
        <rFont val="맑은 고딕"/>
        <family val="1"/>
        <charset val="129"/>
      </rPr>
      <t>금형 정상 매출 반영시</t>
    </r>
    <r>
      <rPr>
        <sz val="10"/>
        <color rgb="FF0000FF"/>
        <rFont val="Times New Roman"/>
        <family val="1"/>
      </rPr>
      <t xml:space="preserve"> (+8</t>
    </r>
    <r>
      <rPr>
        <sz val="10"/>
        <color rgb="FF0000FF"/>
        <rFont val="맑은 고딕"/>
        <family val="1"/>
        <charset val="129"/>
      </rPr>
      <t>만불)</t>
    </r>
    <phoneticPr fontId="93" type="noConversion"/>
  </si>
  <si>
    <t>매출금액</t>
    <phoneticPr fontId="93" type="noConversion"/>
  </si>
  <si>
    <t>매출단가</t>
    <phoneticPr fontId="93" type="noConversion"/>
  </si>
  <si>
    <t>미반영 매출 반영</t>
    <phoneticPr fontId="93" type="noConversion"/>
  </si>
  <si>
    <t xml:space="preserve">* 5월 매출 반영필요 </t>
    <phoneticPr fontId="93" type="noConversion"/>
  </si>
  <si>
    <t>* 기타 금형도 확인 진행중</t>
    <phoneticPr fontId="93" type="noConversion"/>
  </si>
  <si>
    <t>1. 금형 실적 반영 지연 (약 +1.5만불)</t>
    <phoneticPr fontId="93" type="noConversion"/>
  </si>
  <si>
    <t>2. 인건비 증가 (약 +5만불)</t>
    <phoneticPr fontId="93" type="noConversion"/>
  </si>
  <si>
    <t>3. 물류비 증가 (약 +1.2만불)</t>
    <phoneticPr fontId="93" type="noConversion"/>
  </si>
  <si>
    <t>4. 전기비용 증가 (마감 구조 및 계절 요인 약 + 9.8만불)</t>
    <phoneticPr fontId="9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</si>
</sst>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176" formatCode="_(* #,##0_);_(* \(#,##0\);_(* &quot;-&quot;_);_(@_)"/>
    <numFmt numFmtId="177" formatCode="_(&quot;$&quot;* #,##0.00_);_(&quot;$&quot;* \(#,##0.00\);_(&quot;$&quot;* &quot;-&quot;??_);_(@_)"/>
    <numFmt numFmtId="178" formatCode="_(* #,##0.00_);_(* \(#,##0.00\);_(* &quot;-&quot;??_);_(@_)"/>
    <numFmt numFmtId="179" formatCode="_(* #,##0_);_(* \(#,##0\);_(* &quot;-&quot;??_);_(@_)"/>
    <numFmt numFmtId="180" formatCode="_ * #,##0_ ;_ * \-#,##0_ ;_ * &quot;-&quot;??_ ;_ @_ "/>
    <numFmt numFmtId="181" formatCode="0.0%"/>
    <numFmt numFmtId="182" formatCode="#,##0_ ;[Red]\-#,##0\ "/>
    <numFmt numFmtId="183" formatCode="_ * #,##0.00_ ;_ * \-#,##0.00_ ;_ * &quot;-&quot;??_ ;_ @_ "/>
    <numFmt numFmtId="184" formatCode="_(* #,##0.0_);_(* \(#,##0.0\);_(* &quot;-&quot;??_);_(@_)"/>
    <numFmt numFmtId="185" formatCode="_(&quot;$&quot;* #,##0_);_(&quot;$&quot;* \(#,##0\);_(&quot;$&quot;* &quot;-&quot;??_);_(@_)"/>
    <numFmt numFmtId="186" formatCode="#,##0.000000000"/>
    <numFmt numFmtId="187" formatCode="_(* #,##0.000_);_(* \(#,##0.000\);_(* &quot;-&quot;??_);_(@_)"/>
    <numFmt numFmtId="188" formatCode="#,##0.00000000;[Red]#,##0.00000000"/>
    <numFmt numFmtId="189" formatCode="#,##0.000000000;[Red]#,##0.000000000"/>
    <numFmt numFmtId="190" formatCode="0.0%;\(0.0%\);\-"/>
    <numFmt numFmtId="191" formatCode="#,##0.0"/>
    <numFmt numFmtId="192" formatCode="m/d;@"/>
  </numFmts>
  <fonts count="114">
    <font>
      <sz val="11"/>
      <color theme="1"/>
      <name val="맑은 고딕"/>
      <family val="2"/>
      <scheme val="minor"/>
    </font>
    <font>
      <sz val="11"/>
      <color theme="1"/>
      <name val="맑은 고딕"/>
      <family val="2"/>
      <scheme val="minor"/>
    </font>
    <font>
      <sz val="11"/>
      <color rgb="FFFF0000"/>
      <name val="맑은 고딕"/>
      <family val="2"/>
      <scheme val="minor"/>
    </font>
    <font>
      <sz val="11"/>
      <color theme="0"/>
      <name val="맑은 고딕"/>
      <family val="2"/>
      <scheme val="minor"/>
    </font>
    <font>
      <sz val="9"/>
      <name val="Arial"/>
      <family val="2"/>
    </font>
    <font>
      <b/>
      <sz val="10"/>
      <name val="Arial"/>
      <family val="2"/>
    </font>
    <font>
      <b/>
      <sz val="9"/>
      <name val="Arial"/>
      <family val="2"/>
    </font>
    <font>
      <sz val="10"/>
      <name val="Arial"/>
      <family val="2"/>
    </font>
    <font>
      <sz val="9"/>
      <color theme="1"/>
      <name val="Gulim"/>
      <family val="2"/>
    </font>
    <font>
      <b/>
      <sz val="9"/>
      <color theme="1"/>
      <name val="Arial"/>
      <family val="2"/>
    </font>
    <font>
      <sz val="9"/>
      <color theme="1"/>
      <name val="Arial"/>
      <family val="2"/>
    </font>
    <font>
      <b/>
      <u/>
      <sz val="9"/>
      <name val="Arial"/>
      <family val="2"/>
    </font>
    <font>
      <sz val="10"/>
      <color indexed="8"/>
      <name val="Arial"/>
      <family val="2"/>
    </font>
    <font>
      <i/>
      <sz val="9"/>
      <name val="Arial"/>
      <family val="2"/>
    </font>
    <font>
      <sz val="8"/>
      <name val="Arial"/>
      <family val="2"/>
    </font>
    <font>
      <u/>
      <sz val="9"/>
      <name val="Arial"/>
      <family val="2"/>
    </font>
    <font>
      <b/>
      <u/>
      <sz val="10"/>
      <name val="Arial"/>
      <family val="2"/>
    </font>
    <font>
      <sz val="10"/>
      <color rgb="FF0000FF"/>
      <name val="Arial"/>
      <family val="2"/>
    </font>
    <font>
      <u/>
      <sz val="10"/>
      <color rgb="FF0000FF"/>
      <name val="Arial"/>
      <family val="2"/>
    </font>
    <font>
      <b/>
      <u/>
      <sz val="9"/>
      <color theme="1"/>
      <name val="Arial"/>
      <family val="2"/>
    </font>
    <font>
      <b/>
      <u/>
      <sz val="9"/>
      <color theme="5"/>
      <name val="Arial"/>
      <family val="2"/>
    </font>
    <font>
      <b/>
      <u/>
      <sz val="9"/>
      <color theme="4" tint="-0.249977111117893"/>
      <name val="Arial"/>
      <family val="2"/>
    </font>
    <font>
      <b/>
      <u/>
      <sz val="9"/>
      <color rgb="FF0066FF"/>
      <name val="Arial"/>
      <family val="2"/>
    </font>
    <font>
      <u/>
      <sz val="10"/>
      <color theme="10"/>
      <name val="Arial"/>
      <family val="2"/>
    </font>
    <font>
      <b/>
      <sz val="10"/>
      <color theme="1"/>
      <name val="Times New Roman"/>
      <family val="1"/>
    </font>
    <font>
      <b/>
      <sz val="10"/>
      <color indexed="9"/>
      <name val="Times New Roman"/>
      <family val="1"/>
    </font>
    <font>
      <i/>
      <sz val="11"/>
      <color theme="0"/>
      <name val="맑은 고딕"/>
      <family val="2"/>
      <scheme val="minor"/>
    </font>
    <font>
      <b/>
      <sz val="11"/>
      <color indexed="16"/>
      <name val="Times New Roman"/>
      <family val="1"/>
    </font>
    <font>
      <b/>
      <sz val="16"/>
      <color indexed="16"/>
      <name val="Times New Roman"/>
      <family val="1"/>
    </font>
    <font>
      <b/>
      <sz val="9"/>
      <color indexed="81"/>
      <name val="Tahoma"/>
      <family val="2"/>
    </font>
    <font>
      <sz val="9"/>
      <color indexed="81"/>
      <name val="Tahoma"/>
      <family val="2"/>
    </font>
    <font>
      <sz val="11"/>
      <color rgb="FF000000"/>
      <name val="맑은 고딕"/>
      <family val="2"/>
      <scheme val="minor"/>
    </font>
    <font>
      <sz val="11"/>
      <color theme="1"/>
      <name val="Arial"/>
      <family val="2"/>
    </font>
    <font>
      <sz val="11"/>
      <color theme="1"/>
      <name val="맑은 고딕"/>
      <family val="2"/>
      <charset val="134"/>
      <scheme val="minor"/>
    </font>
    <font>
      <sz val="10"/>
      <color theme="1"/>
      <name val="Times New Roman"/>
      <family val="1"/>
    </font>
    <font>
      <sz val="10"/>
      <color rgb="FF0000FF"/>
      <name val="Times New Roman"/>
      <family val="1"/>
    </font>
    <font>
      <b/>
      <sz val="10"/>
      <color rgb="FF0000FF"/>
      <name val="Times New Roman"/>
      <family val="1"/>
    </font>
    <font>
      <sz val="10"/>
      <color rgb="FF20227C"/>
      <name val="Times New Roman"/>
      <family val="1"/>
    </font>
    <font>
      <sz val="10"/>
      <name val="Times New Roman"/>
      <family val="1"/>
    </font>
    <font>
      <sz val="12"/>
      <name val="宋体"/>
      <family val="3"/>
      <charset val="134"/>
    </font>
    <font>
      <sz val="10"/>
      <color rgb="FFFF0000"/>
      <name val="Times New Roman"/>
      <family val="1"/>
    </font>
    <font>
      <b/>
      <sz val="10"/>
      <color rgb="FFFF0000"/>
      <name val="Times New Roman"/>
      <family val="1"/>
    </font>
    <font>
      <b/>
      <sz val="10"/>
      <name val="Times New Roman"/>
      <family val="1"/>
    </font>
    <font>
      <b/>
      <sz val="25"/>
      <color rgb="FFFF0000"/>
      <name val="Arial"/>
      <family val="2"/>
    </font>
    <font>
      <b/>
      <sz val="25"/>
      <name val="Arial"/>
      <family val="2"/>
    </font>
    <font>
      <b/>
      <sz val="25"/>
      <color theme="1"/>
      <name val="Arial"/>
      <family val="2"/>
    </font>
    <font>
      <sz val="9"/>
      <color rgb="FFFF0000"/>
      <name val="Arial"/>
      <family val="2"/>
    </font>
    <font>
      <b/>
      <sz val="9"/>
      <color rgb="FFFF0000"/>
      <name val="Arial"/>
      <family val="2"/>
    </font>
    <font>
      <sz val="9"/>
      <color theme="0"/>
      <name val="Arial"/>
      <family val="2"/>
    </font>
    <font>
      <sz val="11"/>
      <color theme="0"/>
      <name val="Arial"/>
      <family val="2"/>
    </font>
    <font>
      <b/>
      <sz val="11"/>
      <color rgb="FFFF0000"/>
      <name val="Arial"/>
      <family val="2"/>
    </font>
    <font>
      <b/>
      <sz val="9"/>
      <color rgb="FFC00000"/>
      <name val="Arial"/>
      <family val="2"/>
    </font>
    <font>
      <sz val="11"/>
      <color rgb="FFC00000"/>
      <name val="Arial"/>
      <family val="2"/>
    </font>
    <font>
      <sz val="9"/>
      <color rgb="FFC00000"/>
      <name val="Arial"/>
      <family val="2"/>
    </font>
    <font>
      <b/>
      <sz val="11"/>
      <color theme="0"/>
      <name val="Arial"/>
      <family val="2"/>
    </font>
    <font>
      <b/>
      <sz val="11"/>
      <color theme="1"/>
      <name val="Arial"/>
      <family val="2"/>
    </font>
    <font>
      <b/>
      <sz val="11"/>
      <color theme="1"/>
      <name val="맑은 고딕"/>
      <family val="2"/>
      <scheme val="minor"/>
    </font>
    <font>
      <sz val="10"/>
      <name val="Tahoma"/>
      <family val="2"/>
    </font>
    <font>
      <sz val="10"/>
      <color indexed="63"/>
      <name val="Tahoma"/>
      <family val="2"/>
    </font>
    <font>
      <sz val="11"/>
      <name val="맑은 고딕"/>
      <family val="2"/>
      <scheme val="minor"/>
    </font>
    <font>
      <u/>
      <sz val="11"/>
      <color theme="1"/>
      <name val="맑은 고딕"/>
      <family val="2"/>
      <scheme val="minor"/>
    </font>
    <font>
      <sz val="11"/>
      <color rgb="FF0000FF"/>
      <name val="맑은 고딕"/>
      <family val="2"/>
      <scheme val="minor"/>
    </font>
    <font>
      <sz val="9"/>
      <color theme="1"/>
      <name val="Gulim"/>
      <family val="3"/>
    </font>
    <font>
      <b/>
      <sz val="10"/>
      <name val="Tahoma"/>
      <family val="2"/>
    </font>
    <font>
      <b/>
      <sz val="25"/>
      <color theme="0"/>
      <name val="Arial"/>
      <family val="2"/>
    </font>
    <font>
      <sz val="12"/>
      <color theme="1"/>
      <name val="Times New Roman"/>
      <family val="1"/>
    </font>
    <font>
      <b/>
      <sz val="12"/>
      <color theme="1"/>
      <name val="Times New Roman"/>
      <family val="1"/>
    </font>
    <font>
      <b/>
      <sz val="12"/>
      <color indexed="8"/>
      <name val="Times New Roman"/>
      <family val="1"/>
    </font>
    <font>
      <b/>
      <i/>
      <sz val="12"/>
      <color theme="0"/>
      <name val="Times New Roman"/>
      <family val="1"/>
    </font>
    <font>
      <b/>
      <sz val="12"/>
      <color theme="8" tint="-0.249977111117893"/>
      <name val="Times New Roman"/>
      <family val="1"/>
    </font>
    <font>
      <sz val="12"/>
      <color theme="8" tint="-0.249977111117893"/>
      <name val="Times New Roman"/>
      <family val="1"/>
    </font>
    <font>
      <b/>
      <sz val="12"/>
      <color rgb="FFFF0000"/>
      <name val="Times New Roman"/>
      <family val="1"/>
    </font>
    <font>
      <sz val="12"/>
      <color rgb="FF0000FF"/>
      <name val="Times New Roman"/>
      <family val="1"/>
    </font>
    <font>
      <sz val="12"/>
      <color rgb="FFFF0000"/>
      <name val="Times New Roman"/>
      <family val="1"/>
    </font>
    <font>
      <b/>
      <u/>
      <sz val="12"/>
      <color theme="1"/>
      <name val="Times New Roman"/>
      <family val="1"/>
    </font>
    <font>
      <sz val="11"/>
      <color rgb="FF0000FF"/>
      <name val="Gulim"/>
      <family val="2"/>
    </font>
    <font>
      <sz val="10"/>
      <color rgb="FFFF0000"/>
      <name val="맑은 고딕"/>
      <family val="2"/>
      <scheme val="minor"/>
    </font>
    <font>
      <u val="singleAccounting"/>
      <sz val="11"/>
      <color theme="1"/>
      <name val="맑은 고딕"/>
      <family val="2"/>
      <scheme val="minor"/>
    </font>
    <font>
      <sz val="11"/>
      <name val="Calibri"/>
      <family val="2"/>
    </font>
    <font>
      <sz val="11"/>
      <color rgb="FFFF0000"/>
      <name val="Calibri"/>
      <family val="2"/>
    </font>
    <font>
      <sz val="11"/>
      <color rgb="FF0000FF"/>
      <name val="Calibri"/>
      <family val="2"/>
    </font>
    <font>
      <b/>
      <sz val="11"/>
      <color indexed="8"/>
      <name val="맑은 고딕"/>
      <family val="2"/>
      <scheme val="minor"/>
    </font>
    <font>
      <u val="singleAccounting"/>
      <sz val="11"/>
      <color rgb="FFFF0000"/>
      <name val="Calibri"/>
      <family val="2"/>
    </font>
    <font>
      <u val="singleAccounting"/>
      <sz val="11"/>
      <color rgb="FF0000FF"/>
      <name val="Calibri"/>
      <family val="2"/>
    </font>
    <font>
      <u/>
      <sz val="10"/>
      <color theme="1"/>
      <name val="Times New Roman"/>
      <family val="1"/>
    </font>
    <font>
      <b/>
      <sz val="11"/>
      <name val="Calibri"/>
      <family val="2"/>
    </font>
    <font>
      <b/>
      <sz val="11"/>
      <color rgb="FF0000FF"/>
      <name val="Calibri"/>
      <family val="2"/>
    </font>
    <font>
      <b/>
      <sz val="11"/>
      <color rgb="FFFF0000"/>
      <name val="Calibri"/>
      <family val="2"/>
    </font>
    <font>
      <b/>
      <sz val="25"/>
      <color rgb="FF0000FF"/>
      <name val="Arial"/>
      <family val="2"/>
    </font>
    <font>
      <b/>
      <sz val="9"/>
      <color rgb="FF0000FF"/>
      <name val="Arial"/>
      <family val="2"/>
    </font>
    <font>
      <sz val="9"/>
      <color rgb="FF0000FF"/>
      <name val="Arial"/>
      <family val="2"/>
    </font>
    <font>
      <sz val="11"/>
      <color rgb="FF0000FF"/>
      <name val="Arial"/>
      <family val="2"/>
    </font>
    <font>
      <b/>
      <sz val="11"/>
      <color rgb="FF0000FF"/>
      <name val="Arial"/>
      <family val="2"/>
    </font>
    <font>
      <sz val="8"/>
      <name val="맑은 고딕"/>
      <family val="3"/>
      <charset val="129"/>
      <scheme val="minor"/>
    </font>
    <font>
      <b/>
      <sz val="14"/>
      <color rgb="FF1F4E78"/>
      <name val="DejaVu Sans"/>
      <family val="2"/>
    </font>
    <font>
      <b/>
      <sz val="14"/>
      <color rgb="FF1F4E78"/>
      <name val="DejaVu Sans"/>
      <family val="2"/>
      <charset val="1"/>
    </font>
    <font>
      <b/>
      <sz val="10"/>
      <color rgb="FFFFFFFF"/>
      <name val="맑은 고딕"/>
      <family val="3"/>
      <charset val="129"/>
    </font>
    <font>
      <sz val="10"/>
      <color theme="1"/>
      <name val="맑은 고딕"/>
      <family val="3"/>
      <charset val="129"/>
    </font>
    <font>
      <sz val="10"/>
      <name val="맑은 고딕"/>
      <family val="3"/>
      <charset val="129"/>
    </font>
    <font>
      <sz val="10"/>
      <color indexed="81"/>
      <name val="Tahoma"/>
      <family val="2"/>
    </font>
    <font>
      <sz val="10"/>
      <color indexed="81"/>
      <name val="돋움"/>
      <family val="3"/>
      <charset val="129"/>
    </font>
    <font>
      <sz val="12"/>
      <color indexed="81"/>
      <name val="Tahoma"/>
      <family val="2"/>
    </font>
    <font>
      <sz val="12"/>
      <color indexed="81"/>
      <name val="돋움"/>
      <family val="3"/>
      <charset val="129"/>
    </font>
    <font>
      <b/>
      <sz val="11"/>
      <color rgb="FF000000"/>
      <name val="맑은 고딕"/>
      <family val="3"/>
      <charset val="129"/>
    </font>
    <font>
      <sz val="10"/>
      <color rgb="FF000000"/>
      <name val="맑은 고딕"/>
      <family val="3"/>
      <charset val="129"/>
    </font>
    <font>
      <sz val="10"/>
      <color theme="1"/>
      <name val="맑은 고딕"/>
      <family val="3"/>
      <charset val="129"/>
      <scheme val="minor"/>
    </font>
    <font>
      <b/>
      <sz val="10"/>
      <color rgb="FF000000"/>
      <name val="맑은 고딕"/>
      <family val="3"/>
      <charset val="129"/>
    </font>
    <font>
      <b/>
      <sz val="10"/>
      <color theme="1"/>
      <name val="맑은 고딕"/>
      <family val="3"/>
      <charset val="129"/>
      <scheme val="minor"/>
    </font>
    <font>
      <sz val="10"/>
      <color rgb="FFFF0000"/>
      <name val="맑은 고딕"/>
      <family val="3"/>
      <charset val="129"/>
      <scheme val="minor"/>
    </font>
    <font>
      <b/>
      <sz val="10"/>
      <color theme="1"/>
      <name val="맑은 고딕"/>
      <family val="3"/>
      <charset val="129"/>
    </font>
    <font>
      <b/>
      <sz val="10"/>
      <color theme="1"/>
      <name val="맑은 고딕"/>
      <family val="1"/>
      <charset val="129"/>
    </font>
    <font>
      <sz val="10"/>
      <color rgb="FF0000FF"/>
      <name val="맑은 고딕"/>
      <family val="1"/>
      <charset val="129"/>
    </font>
    <font>
      <sz val="10"/>
      <color theme="1"/>
      <name val="맑은 고딕"/>
      <family val="1"/>
      <charset val="129"/>
    </font>
    <font>
      <sz val="10"/>
      <color rgb="FFFF0000"/>
      <name val="맑은 고딕"/>
      <family val="1"/>
      <charset val="129"/>
    </font>
  </fonts>
  <fills count="2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4" tint="0.79998168889431442"/>
        <bgColor theme="0"/>
      </patternFill>
    </fill>
    <fill>
      <patternFill patternType="solid">
        <fgColor theme="2" tint="-0.14999847407452621"/>
        <bgColor indexed="64"/>
      </patternFill>
    </fill>
    <fill>
      <patternFill patternType="solid">
        <fgColor theme="2" tint="-0.14999847407452621"/>
        <bgColor rgb="FF002060"/>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9" tint="0.39997558519241921"/>
        <bgColor indexed="64"/>
      </patternFill>
    </fill>
    <fill>
      <patternFill patternType="solid">
        <fgColor rgb="FF1F4E78"/>
        <bgColor rgb="FF003366"/>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4.9989318521683403E-2"/>
        <bgColor rgb="FF003366"/>
      </patternFill>
    </fill>
  </fills>
  <borders count="156">
    <border>
      <left/>
      <right/>
      <top/>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double">
        <color indexed="64"/>
      </right>
      <top/>
      <bottom/>
      <diagonal/>
    </border>
    <border>
      <left/>
      <right/>
      <top/>
      <bottom style="medium">
        <color indexed="64"/>
      </bottom>
      <diagonal/>
    </border>
    <border>
      <left style="thin">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auto="1"/>
      </left>
      <right style="double">
        <color auto="1"/>
      </right>
      <top style="thin">
        <color auto="1"/>
      </top>
      <bottom style="medium">
        <color indexed="64"/>
      </bottom>
      <diagonal/>
    </border>
    <border>
      <left/>
      <right/>
      <top style="thin">
        <color auto="1"/>
      </top>
      <bottom style="medium">
        <color indexed="64"/>
      </bottom>
      <diagonal/>
    </border>
    <border>
      <left style="double">
        <color auto="1"/>
      </left>
      <right/>
      <top style="thin">
        <color auto="1"/>
      </top>
      <bottom style="medium">
        <color indexed="64"/>
      </bottom>
      <diagonal/>
    </border>
    <border>
      <left style="medium">
        <color indexed="64"/>
      </left>
      <right style="double">
        <color auto="1"/>
      </right>
      <top/>
      <bottom style="thin">
        <color auto="1"/>
      </bottom>
      <diagonal/>
    </border>
    <border>
      <left style="medium">
        <color indexed="64"/>
      </left>
      <right/>
      <top/>
      <bottom style="thin">
        <color auto="1"/>
      </bottom>
      <diagonal/>
    </border>
    <border>
      <left/>
      <right/>
      <top/>
      <bottom style="thin">
        <color indexed="64"/>
      </bottom>
      <diagonal/>
    </border>
    <border>
      <left style="double">
        <color auto="1"/>
      </left>
      <right/>
      <top/>
      <bottom style="thin">
        <color auto="1"/>
      </bottom>
      <diagonal/>
    </border>
    <border>
      <left style="medium">
        <color indexed="64"/>
      </left>
      <right/>
      <top/>
      <bottom style="medium">
        <color indexed="64"/>
      </bottom>
      <diagonal/>
    </border>
    <border>
      <left style="medium">
        <color indexed="64"/>
      </left>
      <right style="double">
        <color indexed="64"/>
      </right>
      <top/>
      <bottom/>
      <diagonal/>
    </border>
    <border>
      <left style="medium">
        <color indexed="64"/>
      </left>
      <right/>
      <top/>
      <bottom/>
      <diagonal/>
    </border>
    <border>
      <left style="medium">
        <color indexed="64"/>
      </left>
      <right style="medium">
        <color indexed="64"/>
      </right>
      <top/>
      <bottom/>
      <diagonal/>
    </border>
    <border>
      <left style="double">
        <color indexed="64"/>
      </left>
      <right/>
      <top/>
      <bottom/>
      <diagonal/>
    </border>
    <border>
      <left style="thin">
        <color indexed="64"/>
      </left>
      <right/>
      <top/>
      <bottom/>
      <diagonal/>
    </border>
    <border>
      <left style="medium">
        <color indexed="64"/>
      </left>
      <right style="double">
        <color indexed="64"/>
      </right>
      <top/>
      <bottom style="double">
        <color indexed="64"/>
      </bottom>
      <diagonal/>
    </border>
    <border>
      <left style="medium">
        <color indexed="64"/>
      </left>
      <right/>
      <top/>
      <bottom style="double">
        <color auto="1"/>
      </bottom>
      <diagonal/>
    </border>
    <border>
      <left style="medium">
        <color indexed="64"/>
      </left>
      <right style="medium">
        <color indexed="64"/>
      </right>
      <top/>
      <bottom style="double">
        <color indexed="64"/>
      </bottom>
      <diagonal/>
    </border>
    <border>
      <left/>
      <right/>
      <top/>
      <bottom style="double">
        <color indexed="64"/>
      </bottom>
      <diagonal/>
    </border>
    <border>
      <left style="double">
        <color indexed="64"/>
      </left>
      <right/>
      <top/>
      <bottom style="double">
        <color indexed="64"/>
      </bottom>
      <diagonal/>
    </border>
    <border>
      <left style="medium">
        <color indexed="64"/>
      </left>
      <right style="double">
        <color indexed="64"/>
      </right>
      <top style="double">
        <color indexed="64"/>
      </top>
      <bottom/>
      <diagonal/>
    </border>
    <border>
      <left style="medium">
        <color indexed="64"/>
      </left>
      <right/>
      <top style="double">
        <color indexed="64"/>
      </top>
      <bottom/>
      <diagonal/>
    </border>
    <border>
      <left style="medium">
        <color indexed="64"/>
      </left>
      <right style="medium">
        <color indexed="64"/>
      </right>
      <top style="double">
        <color indexed="64"/>
      </top>
      <bottom/>
      <diagonal/>
    </border>
    <border>
      <left/>
      <right/>
      <top style="double">
        <color indexed="64"/>
      </top>
      <bottom/>
      <diagonal/>
    </border>
    <border>
      <left style="double">
        <color indexed="64"/>
      </left>
      <right/>
      <top style="double">
        <color indexed="64"/>
      </top>
      <bottom/>
      <diagonal/>
    </border>
    <border>
      <left style="thin">
        <color auto="1"/>
      </left>
      <right/>
      <top style="double">
        <color indexed="64"/>
      </top>
      <bottom/>
      <diagonal/>
    </border>
    <border>
      <left/>
      <right style="double">
        <color auto="1"/>
      </right>
      <top style="double">
        <color auto="1"/>
      </top>
      <bottom/>
      <diagonal/>
    </border>
    <border>
      <left style="thick">
        <color theme="8" tint="0.39991454817346722"/>
      </left>
      <right/>
      <top style="medium">
        <color theme="8" tint="0.39994506668294322"/>
      </top>
      <bottom style="thick">
        <color theme="8" tint="0.39991454817346722"/>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auto="1"/>
      </left>
      <right style="thin">
        <color auto="1"/>
      </right>
      <top/>
      <bottom style="hair">
        <color auto="1"/>
      </bottom>
      <diagonal/>
    </border>
    <border>
      <left style="thin">
        <color indexed="64"/>
      </left>
      <right style="double">
        <color indexed="64"/>
      </right>
      <top/>
      <bottom style="hair">
        <color indexed="64"/>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auto="1"/>
      </bottom>
      <diagonal/>
    </border>
    <border>
      <left style="thin">
        <color auto="1"/>
      </left>
      <right style="thin">
        <color auto="1"/>
      </right>
      <top style="hair">
        <color indexed="63"/>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thin">
        <color indexed="64"/>
      </top>
      <bottom style="thin">
        <color auto="1"/>
      </bottom>
      <diagonal/>
    </border>
    <border>
      <left/>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top style="hair">
        <color auto="1"/>
      </top>
      <bottom style="hair">
        <color auto="1"/>
      </bottom>
      <diagonal/>
    </border>
    <border>
      <left style="double">
        <color auto="1"/>
      </left>
      <right style="thin">
        <color indexed="64"/>
      </right>
      <top/>
      <bottom style="thin">
        <color indexed="64"/>
      </bottom>
      <diagonal/>
    </border>
    <border>
      <left style="thin">
        <color indexed="64"/>
      </left>
      <right style="double">
        <color auto="1"/>
      </right>
      <top/>
      <bottom style="thin">
        <color indexed="64"/>
      </bottom>
      <diagonal/>
    </border>
    <border>
      <left style="double">
        <color auto="1"/>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style="double">
        <color auto="1"/>
      </left>
      <right style="thin">
        <color auto="1"/>
      </right>
      <top style="double">
        <color auto="1"/>
      </top>
      <bottom/>
      <diagonal/>
    </border>
    <border>
      <left style="thin">
        <color indexed="64"/>
      </left>
      <right/>
      <top style="double">
        <color auto="1"/>
      </top>
      <bottom style="thin">
        <color indexed="64"/>
      </bottom>
      <diagonal/>
    </border>
    <border>
      <left style="thin">
        <color auto="1"/>
      </left>
      <right style="thin">
        <color auto="1"/>
      </right>
      <top style="thin">
        <color auto="1"/>
      </top>
      <bottom style="medium">
        <color auto="1"/>
      </bottom>
      <diagonal/>
    </border>
    <border>
      <left/>
      <right/>
      <top style="thin">
        <color indexed="63"/>
      </top>
      <bottom style="thin">
        <color indexed="63"/>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diagonal/>
    </border>
    <border>
      <left style="medium">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top style="thin">
        <color indexed="63"/>
      </top>
      <bottom style="thin">
        <color indexed="63"/>
      </bottom>
      <diagonal/>
    </border>
    <border>
      <left style="thin">
        <color auto="1"/>
      </left>
      <right style="thin">
        <color auto="1"/>
      </right>
      <top style="thin">
        <color auto="1"/>
      </top>
      <bottom style="medium">
        <color auto="1"/>
      </bottom>
      <diagonal/>
    </border>
    <border>
      <left style="thin">
        <color indexed="63"/>
      </left>
      <right style="thin">
        <color indexed="63"/>
      </right>
      <top style="thin">
        <color indexed="63"/>
      </top>
      <bottom style="hair">
        <color indexed="63"/>
      </bottom>
      <diagonal/>
    </border>
    <border>
      <left style="thin">
        <color auto="1"/>
      </left>
      <right style="thin">
        <color auto="1"/>
      </right>
      <top style="hair">
        <color indexed="63"/>
      </top>
      <bottom style="hair">
        <color indexed="63"/>
      </bottom>
      <diagonal/>
    </border>
    <border>
      <left style="thin">
        <color indexed="64"/>
      </left>
      <right style="thin">
        <color indexed="64"/>
      </right>
      <top style="hair">
        <color indexed="64"/>
      </top>
      <bottom style="hair">
        <color indexed="64"/>
      </bottom>
      <diagonal/>
    </border>
    <border>
      <left style="medium">
        <color rgb="FF000000"/>
      </left>
      <right/>
      <top/>
      <bottom/>
      <diagonal/>
    </border>
    <border>
      <left/>
      <right/>
      <top style="thin">
        <color auto="1"/>
      </top>
      <bottom style="medium">
        <color indexed="64"/>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medium">
        <color indexed="64"/>
      </left>
      <right/>
      <top style="thin">
        <color indexed="64"/>
      </top>
      <bottom/>
      <diagonal/>
    </border>
    <border>
      <left style="thin">
        <color auto="1"/>
      </left>
      <right style="thin">
        <color auto="1"/>
      </right>
      <top style="hair">
        <color auto="1"/>
      </top>
      <bottom style="hair">
        <color auto="1"/>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right style="thin">
        <color rgb="FFB0B0B0"/>
      </right>
      <top style="thin">
        <color rgb="FFB0B0B0"/>
      </top>
      <bottom style="thin">
        <color rgb="FFB0B0B0"/>
      </bottom>
      <diagonal/>
    </border>
    <border>
      <left style="medium">
        <color indexed="64"/>
      </left>
      <right style="medium">
        <color indexed="64"/>
      </right>
      <top style="medium">
        <color indexed="64"/>
      </top>
      <bottom style="thin">
        <color rgb="FFB0B0B0"/>
      </bottom>
      <diagonal/>
    </border>
    <border>
      <left style="medium">
        <color indexed="64"/>
      </left>
      <right style="medium">
        <color indexed="64"/>
      </right>
      <top style="thin">
        <color rgb="FFB0B0B0"/>
      </top>
      <bottom style="thin">
        <color rgb="FFB0B0B0"/>
      </bottom>
      <diagonal/>
    </border>
    <border>
      <left style="medium">
        <color indexed="64"/>
      </left>
      <right style="medium">
        <color indexed="64"/>
      </right>
      <top style="thin">
        <color rgb="FFB0B0B0"/>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hair">
        <color indexed="64"/>
      </top>
      <bottom style="medium">
        <color indexed="64"/>
      </bottom>
      <diagonal/>
    </border>
  </borders>
  <cellStyleXfs count="19">
    <xf numFmtId="0" fontId="0" fillId="0" borderId="0"/>
    <xf numFmtId="178"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applyNumberFormat="0" applyFont="0" applyFill="0" applyBorder="0" applyAlignment="0" applyProtection="0"/>
    <xf numFmtId="178" fontId="12" fillId="0" borderId="0" applyFont="0" applyFill="0" applyBorder="0" applyAlignment="0" applyProtection="0">
      <alignment vertical="top"/>
    </xf>
    <xf numFmtId="0" fontId="23" fillId="0" borderId="0" applyNumberFormat="0" applyFill="0" applyBorder="0" applyAlignment="0" applyProtection="0"/>
    <xf numFmtId="0" fontId="7" fillId="0" borderId="0" applyNumberFormat="0" applyFont="0" applyFill="0" applyBorder="0" applyAlignment="0" applyProtection="0"/>
    <xf numFmtId="0" fontId="31" fillId="0" borderId="0"/>
    <xf numFmtId="0" fontId="32" fillId="0" borderId="0"/>
    <xf numFmtId="0" fontId="33" fillId="0" borderId="0">
      <alignment vertical="center"/>
    </xf>
    <xf numFmtId="183" fontId="33" fillId="0" borderId="0" applyFont="0" applyFill="0" applyBorder="0" applyAlignment="0" applyProtection="0">
      <alignment vertical="center"/>
    </xf>
    <xf numFmtId="178" fontId="33" fillId="0" borderId="0" applyFont="0" applyFill="0" applyBorder="0" applyAlignment="0" applyProtection="0"/>
    <xf numFmtId="9" fontId="39" fillId="0" borderId="0" applyFont="0" applyFill="0" applyBorder="0" applyAlignment="0" applyProtection="0"/>
    <xf numFmtId="177" fontId="1" fillId="0" borderId="0" applyFont="0" applyFill="0" applyBorder="0" applyAlignment="0" applyProtection="0"/>
    <xf numFmtId="0" fontId="7" fillId="0" borderId="0" applyNumberFormat="0" applyFont="0" applyFill="0" applyBorder="0" applyAlignment="0" applyProtection="0"/>
    <xf numFmtId="0" fontId="1" fillId="0" borderId="0"/>
    <xf numFmtId="178" fontId="31" fillId="0" borderId="0" applyFont="0" applyFill="0" applyBorder="0" applyAlignment="0" applyProtection="0"/>
    <xf numFmtId="41" fontId="1" fillId="0" borderId="0" applyFont="0" applyFill="0" applyBorder="0" applyAlignment="0" applyProtection="0">
      <alignment vertical="center"/>
    </xf>
  </cellStyleXfs>
  <cellXfs count="766">
    <xf numFmtId="0" fontId="0" fillId="0" borderId="0" xfId="0"/>
    <xf numFmtId="0" fontId="0" fillId="2" borderId="0" xfId="0" applyFill="1"/>
    <xf numFmtId="0" fontId="0" fillId="2" borderId="0" xfId="2" applyNumberFormat="1" applyFont="1" applyFill="1" applyBorder="1" applyAlignment="1"/>
    <xf numFmtId="38" fontId="0" fillId="2" borderId="0" xfId="2" applyNumberFormat="1" applyFont="1" applyFill="1"/>
    <xf numFmtId="3" fontId="0" fillId="2" borderId="0" xfId="1" applyNumberFormat="1" applyFont="1" applyFill="1"/>
    <xf numFmtId="3" fontId="0" fillId="2" borderId="0" xfId="1" applyNumberFormat="1" applyFont="1" applyFill="1" applyBorder="1" applyAlignment="1"/>
    <xf numFmtId="3" fontId="4" fillId="2" borderId="0" xfId="1" applyNumberFormat="1" applyFont="1" applyFill="1" applyBorder="1"/>
    <xf numFmtId="38" fontId="4" fillId="2" borderId="0" xfId="1" applyNumberFormat="1" applyFont="1" applyFill="1" applyBorder="1"/>
    <xf numFmtId="38" fontId="5" fillId="2" borderId="0" xfId="1" applyNumberFormat="1" applyFont="1" applyFill="1" applyBorder="1"/>
    <xf numFmtId="38" fontId="6" fillId="2" borderId="0" xfId="1" applyNumberFormat="1" applyFont="1" applyFill="1" applyBorder="1"/>
    <xf numFmtId="179" fontId="4" fillId="2" borderId="0" xfId="1" applyNumberFormat="1" applyFont="1" applyFill="1" applyBorder="1"/>
    <xf numFmtId="178" fontId="6" fillId="2" borderId="0" xfId="1" applyFont="1" applyFill="1" applyBorder="1"/>
    <xf numFmtId="179" fontId="0" fillId="2" borderId="0" xfId="1" applyNumberFormat="1" applyFont="1" applyFill="1"/>
    <xf numFmtId="180" fontId="8" fillId="3" borderId="1" xfId="0" applyNumberFormat="1" applyFont="1" applyFill="1" applyBorder="1" applyAlignment="1">
      <alignment vertical="center"/>
    </xf>
    <xf numFmtId="180" fontId="8" fillId="3" borderId="2" xfId="2" applyNumberFormat="1" applyFont="1" applyFill="1" applyBorder="1" applyAlignment="1">
      <alignment vertical="center"/>
    </xf>
    <xf numFmtId="180" fontId="8" fillId="3" borderId="3" xfId="0" applyNumberFormat="1" applyFont="1" applyFill="1" applyBorder="1" applyAlignment="1">
      <alignment vertical="center"/>
    </xf>
    <xf numFmtId="180" fontId="8" fillId="2" borderId="4" xfId="0" applyNumberFormat="1" applyFont="1" applyFill="1" applyBorder="1" applyAlignment="1">
      <alignment vertical="center"/>
    </xf>
    <xf numFmtId="0" fontId="8" fillId="3" borderId="5" xfId="0" applyFont="1" applyFill="1" applyBorder="1" applyAlignment="1">
      <alignment vertical="center"/>
    </xf>
    <xf numFmtId="0" fontId="8" fillId="2" borderId="0" xfId="0" applyFont="1" applyFill="1" applyAlignment="1">
      <alignment vertical="center"/>
    </xf>
    <xf numFmtId="180" fontId="8" fillId="3" borderId="6" xfId="0" applyNumberFormat="1" applyFont="1" applyFill="1" applyBorder="1" applyAlignment="1">
      <alignment vertical="center"/>
    </xf>
    <xf numFmtId="180" fontId="8" fillId="3" borderId="7" xfId="2" applyNumberFormat="1" applyFont="1" applyFill="1" applyBorder="1" applyAlignment="1">
      <alignment vertical="center"/>
    </xf>
    <xf numFmtId="180" fontId="8" fillId="3" borderId="8" xfId="0" applyNumberFormat="1" applyFont="1" applyFill="1" applyBorder="1" applyAlignment="1">
      <alignment vertical="center"/>
    </xf>
    <xf numFmtId="180" fontId="8" fillId="2" borderId="9" xfId="0" applyNumberFormat="1" applyFont="1" applyFill="1" applyBorder="1" applyAlignment="1">
      <alignment vertical="center"/>
    </xf>
    <xf numFmtId="0" fontId="8" fillId="3" borderId="10" xfId="0" applyFont="1" applyFill="1" applyBorder="1" applyAlignment="1">
      <alignment vertical="center"/>
    </xf>
    <xf numFmtId="180" fontId="8" fillId="3" borderId="11" xfId="0" applyNumberFormat="1" applyFont="1" applyFill="1" applyBorder="1" applyAlignment="1">
      <alignment vertical="center"/>
    </xf>
    <xf numFmtId="180" fontId="8" fillId="3" borderId="12" xfId="0" applyNumberFormat="1" applyFont="1" applyFill="1" applyBorder="1" applyAlignment="1">
      <alignment vertical="center"/>
    </xf>
    <xf numFmtId="180" fontId="8" fillId="3" borderId="13" xfId="2" applyNumberFormat="1" applyFont="1" applyFill="1" applyBorder="1" applyAlignment="1">
      <alignment vertical="center"/>
    </xf>
    <xf numFmtId="180" fontId="8" fillId="3" borderId="14" xfId="0" applyNumberFormat="1" applyFont="1" applyFill="1" applyBorder="1" applyAlignment="1">
      <alignment vertical="center"/>
    </xf>
    <xf numFmtId="180" fontId="8" fillId="2" borderId="15" xfId="0" applyNumberFormat="1" applyFont="1" applyFill="1" applyBorder="1" applyAlignment="1">
      <alignment vertical="center"/>
    </xf>
    <xf numFmtId="3" fontId="8" fillId="2" borderId="15" xfId="0" applyNumberFormat="1" applyFont="1" applyFill="1" applyBorder="1" applyAlignment="1">
      <alignment vertical="center"/>
    </xf>
    <xf numFmtId="0" fontId="8" fillId="3" borderId="16" xfId="0" applyFont="1" applyFill="1" applyBorder="1" applyAlignment="1">
      <alignment vertical="center"/>
    </xf>
    <xf numFmtId="0" fontId="0" fillId="3" borderId="17" xfId="0" applyFill="1" applyBorder="1"/>
    <xf numFmtId="0" fontId="0" fillId="3" borderId="0" xfId="2" applyNumberFormat="1" applyFont="1" applyFill="1" applyBorder="1" applyAlignment="1"/>
    <xf numFmtId="38" fontId="0" fillId="3" borderId="18" xfId="1" applyNumberFormat="1" applyFont="1" applyFill="1" applyBorder="1"/>
    <xf numFmtId="0" fontId="0" fillId="3" borderId="0" xfId="0" applyFill="1"/>
    <xf numFmtId="180" fontId="8" fillId="3" borderId="19" xfId="0" applyNumberFormat="1" applyFont="1" applyFill="1" applyBorder="1" applyAlignment="1">
      <alignment vertical="center"/>
    </xf>
    <xf numFmtId="180" fontId="8" fillId="3" borderId="20" xfId="2" applyNumberFormat="1" applyFont="1" applyFill="1" applyBorder="1" applyAlignment="1">
      <alignment vertical="center"/>
    </xf>
    <xf numFmtId="179" fontId="8" fillId="3" borderId="21" xfId="1" applyNumberFormat="1" applyFont="1" applyFill="1" applyBorder="1" applyAlignment="1">
      <alignment vertical="center"/>
    </xf>
    <xf numFmtId="179" fontId="8" fillId="2" borderId="22" xfId="1" applyNumberFormat="1" applyFont="1" applyFill="1" applyBorder="1" applyAlignment="1">
      <alignment vertical="center"/>
    </xf>
    <xf numFmtId="3" fontId="8" fillId="0" borderId="22" xfId="1" applyNumberFormat="1" applyFont="1" applyBorder="1" applyAlignment="1">
      <alignment vertical="center"/>
    </xf>
    <xf numFmtId="0" fontId="8" fillId="3" borderId="23" xfId="0" applyFont="1" applyFill="1" applyBorder="1" applyAlignment="1">
      <alignment vertical="center"/>
    </xf>
    <xf numFmtId="38" fontId="0" fillId="2" borderId="0" xfId="0" applyNumberFormat="1" applyFill="1"/>
    <xf numFmtId="180" fontId="8" fillId="4" borderId="24" xfId="0" applyNumberFormat="1" applyFont="1" applyFill="1" applyBorder="1" applyAlignment="1">
      <alignment vertical="center"/>
    </xf>
    <xf numFmtId="180" fontId="8" fillId="4" borderId="25" xfId="2" applyNumberFormat="1" applyFont="1" applyFill="1" applyBorder="1" applyAlignment="1">
      <alignment vertical="center"/>
    </xf>
    <xf numFmtId="181" fontId="8" fillId="4" borderId="3" xfId="0" applyNumberFormat="1" applyFont="1" applyFill="1" applyBorder="1" applyAlignment="1">
      <alignment vertical="center"/>
    </xf>
    <xf numFmtId="9" fontId="8" fillId="4" borderId="4" xfId="0" applyNumberFormat="1" applyFont="1" applyFill="1" applyBorder="1" applyAlignment="1">
      <alignment vertical="center"/>
    </xf>
    <xf numFmtId="181" fontId="8" fillId="4" borderId="4" xfId="0" applyNumberFormat="1" applyFont="1" applyFill="1" applyBorder="1" applyAlignment="1">
      <alignment vertical="center"/>
    </xf>
    <xf numFmtId="0" fontId="8" fillId="4" borderId="5" xfId="0" applyFont="1" applyFill="1" applyBorder="1" applyAlignment="1">
      <alignment vertical="center"/>
    </xf>
    <xf numFmtId="180" fontId="8" fillId="4" borderId="1" xfId="0" applyNumberFormat="1" applyFont="1" applyFill="1" applyBorder="1" applyAlignment="1">
      <alignment vertical="center"/>
    </xf>
    <xf numFmtId="180" fontId="8" fillId="4" borderId="2" xfId="2" applyNumberFormat="1" applyFont="1" applyFill="1" applyBorder="1" applyAlignment="1">
      <alignment vertical="center"/>
    </xf>
    <xf numFmtId="10" fontId="8" fillId="4" borderId="3" xfId="0" applyNumberFormat="1" applyFont="1" applyFill="1" applyBorder="1" applyAlignment="1">
      <alignment vertical="center"/>
    </xf>
    <xf numFmtId="9" fontId="8" fillId="3" borderId="11" xfId="0" applyNumberFormat="1" applyFont="1" applyFill="1" applyBorder="1" applyAlignment="1">
      <alignment vertical="center"/>
    </xf>
    <xf numFmtId="9" fontId="8" fillId="2" borderId="9" xfId="0" applyNumberFormat="1" applyFont="1" applyFill="1" applyBorder="1" applyAlignment="1">
      <alignment vertical="center"/>
    </xf>
    <xf numFmtId="9" fontId="8" fillId="3" borderId="27" xfId="0" applyNumberFormat="1" applyFont="1" applyFill="1" applyBorder="1" applyAlignment="1">
      <alignment vertical="center"/>
    </xf>
    <xf numFmtId="9" fontId="8" fillId="2" borderId="15" xfId="0" applyNumberFormat="1" applyFont="1" applyFill="1" applyBorder="1" applyAlignment="1">
      <alignment vertical="center"/>
    </xf>
    <xf numFmtId="38" fontId="9" fillId="4" borderId="28" xfId="1" applyNumberFormat="1" applyFont="1" applyFill="1" applyBorder="1"/>
    <xf numFmtId="38" fontId="6" fillId="4" borderId="3" xfId="1" applyNumberFormat="1" applyFont="1" applyFill="1" applyBorder="1"/>
    <xf numFmtId="38" fontId="6" fillId="4" borderId="29" xfId="1" applyNumberFormat="1" applyFont="1" applyFill="1" applyBorder="1"/>
    <xf numFmtId="0" fontId="6" fillId="4" borderId="30" xfId="4" applyFont="1" applyFill="1" applyBorder="1"/>
    <xf numFmtId="49" fontId="4" fillId="2" borderId="0" xfId="4" applyNumberFormat="1" applyFont="1" applyFill="1" applyBorder="1"/>
    <xf numFmtId="49" fontId="4" fillId="5" borderId="0" xfId="4" applyNumberFormat="1" applyFont="1" applyFill="1" applyBorder="1"/>
    <xf numFmtId="38" fontId="9" fillId="4" borderId="31" xfId="1" applyNumberFormat="1" applyFont="1" applyFill="1" applyBorder="1"/>
    <xf numFmtId="38" fontId="6" fillId="4" borderId="8" xfId="1" applyNumberFormat="1" applyFont="1" applyFill="1" applyBorder="1"/>
    <xf numFmtId="38" fontId="6" fillId="4" borderId="33" xfId="1" applyNumberFormat="1" applyFont="1" applyFill="1" applyBorder="1"/>
    <xf numFmtId="0" fontId="6" fillId="4" borderId="34" xfId="4" applyFont="1" applyFill="1" applyBorder="1"/>
    <xf numFmtId="49" fontId="4" fillId="5" borderId="35" xfId="4" applyNumberFormat="1" applyFont="1" applyFill="1" applyBorder="1"/>
    <xf numFmtId="179" fontId="10" fillId="3" borderId="36" xfId="1" applyNumberFormat="1" applyFont="1" applyFill="1" applyBorder="1"/>
    <xf numFmtId="0" fontId="10" fillId="3" borderId="37" xfId="2" applyNumberFormat="1" applyFont="1" applyFill="1" applyBorder="1"/>
    <xf numFmtId="38" fontId="4" fillId="3" borderId="38" xfId="1" applyNumberFormat="1" applyFont="1" applyFill="1" applyBorder="1"/>
    <xf numFmtId="0" fontId="6" fillId="3" borderId="39" xfId="4" applyFont="1" applyFill="1" applyBorder="1"/>
    <xf numFmtId="49" fontId="4" fillId="2" borderId="37" xfId="4" applyNumberFormat="1" applyFont="1" applyFill="1" applyBorder="1"/>
    <xf numFmtId="10" fontId="10" fillId="3" borderId="37" xfId="2" applyNumberFormat="1" applyFont="1" applyFill="1" applyBorder="1"/>
    <xf numFmtId="38" fontId="6" fillId="3" borderId="38" xfId="1" applyNumberFormat="1" applyFont="1" applyFill="1" applyBorder="1"/>
    <xf numFmtId="38" fontId="11" fillId="2" borderId="0" xfId="1" applyNumberFormat="1" applyFont="1" applyFill="1" applyBorder="1"/>
    <xf numFmtId="38" fontId="11" fillId="2" borderId="0" xfId="5" applyNumberFormat="1" applyFont="1" applyFill="1" applyBorder="1" applyAlignment="1"/>
    <xf numFmtId="0" fontId="4" fillId="3" borderId="39" xfId="4" applyFont="1" applyFill="1" applyBorder="1"/>
    <xf numFmtId="49" fontId="13" fillId="2" borderId="0" xfId="4" applyNumberFormat="1" applyFont="1" applyFill="1" applyBorder="1"/>
    <xf numFmtId="49" fontId="13" fillId="3" borderId="37" xfId="4" applyNumberFormat="1" applyFont="1" applyFill="1" applyBorder="1"/>
    <xf numFmtId="38" fontId="4" fillId="2" borderId="0" xfId="5" applyNumberFormat="1" applyFont="1" applyFill="1" applyBorder="1" applyAlignment="1"/>
    <xf numFmtId="0" fontId="4" fillId="3" borderId="39" xfId="4" applyFont="1" applyFill="1" applyBorder="1" applyAlignment="1">
      <alignment horizontal="left" indent="1"/>
    </xf>
    <xf numFmtId="0" fontId="11" fillId="3" borderId="39" xfId="4" applyFont="1" applyFill="1" applyBorder="1"/>
    <xf numFmtId="38" fontId="6" fillId="2" borderId="0" xfId="5" applyNumberFormat="1" applyFont="1" applyFill="1" applyBorder="1" applyAlignment="1"/>
    <xf numFmtId="49" fontId="13" fillId="2" borderId="37" xfId="4" applyNumberFormat="1" applyFont="1" applyFill="1" applyBorder="1"/>
    <xf numFmtId="181" fontId="4" fillId="3" borderId="38" xfId="2" applyNumberFormat="1" applyFont="1" applyFill="1" applyBorder="1"/>
    <xf numFmtId="38" fontId="11" fillId="2" borderId="40" xfId="1" applyNumberFormat="1" applyFont="1" applyFill="1" applyBorder="1"/>
    <xf numFmtId="49" fontId="4" fillId="5" borderId="37" xfId="4" applyNumberFormat="1" applyFont="1" applyFill="1" applyBorder="1"/>
    <xf numFmtId="179" fontId="10" fillId="3" borderId="41" xfId="1" applyNumberFormat="1" applyFont="1" applyFill="1" applyBorder="1"/>
    <xf numFmtId="9" fontId="10" fillId="3" borderId="42" xfId="2" applyFont="1" applyFill="1" applyBorder="1"/>
    <xf numFmtId="38" fontId="4" fillId="3" borderId="43" xfId="1" applyNumberFormat="1" applyFont="1" applyFill="1" applyBorder="1"/>
    <xf numFmtId="38" fontId="15" fillId="2" borderId="44" xfId="1" applyNumberFormat="1" applyFont="1" applyFill="1" applyBorder="1"/>
    <xf numFmtId="38" fontId="11" fillId="2" borderId="44" xfId="1" applyNumberFormat="1" applyFont="1" applyFill="1" applyBorder="1"/>
    <xf numFmtId="0" fontId="16" fillId="3" borderId="45" xfId="4" applyFont="1" applyFill="1" applyBorder="1"/>
    <xf numFmtId="181" fontId="17" fillId="3" borderId="0" xfId="1" applyNumberFormat="1" applyFont="1" applyFill="1" applyBorder="1"/>
    <xf numFmtId="0" fontId="16" fillId="3" borderId="39" xfId="4" applyFont="1" applyFill="1" applyBorder="1"/>
    <xf numFmtId="0" fontId="7" fillId="3" borderId="39" xfId="4" applyFont="1" applyFill="1" applyBorder="1"/>
    <xf numFmtId="181" fontId="18" fillId="3" borderId="0" xfId="1" applyNumberFormat="1" applyFont="1" applyFill="1" applyBorder="1"/>
    <xf numFmtId="38" fontId="15" fillId="3" borderId="38" xfId="1" applyNumberFormat="1" applyFont="1" applyFill="1" applyBorder="1"/>
    <xf numFmtId="38" fontId="15" fillId="2" borderId="0" xfId="1" applyNumberFormat="1" applyFont="1" applyFill="1" applyBorder="1"/>
    <xf numFmtId="179" fontId="19" fillId="3" borderId="46" xfId="1" applyNumberFormat="1" applyFont="1" applyFill="1" applyBorder="1" applyAlignment="1">
      <alignment horizontal="center"/>
    </xf>
    <xf numFmtId="0" fontId="19" fillId="3" borderId="47" xfId="2" applyNumberFormat="1" applyFont="1" applyFill="1" applyBorder="1" applyAlignment="1">
      <alignment horizontal="center"/>
    </xf>
    <xf numFmtId="38" fontId="11" fillId="3" borderId="48" xfId="1" applyNumberFormat="1" applyFont="1" applyFill="1" applyBorder="1" applyAlignment="1">
      <alignment horizontal="center"/>
    </xf>
    <xf numFmtId="3" fontId="11" fillId="2" borderId="49" xfId="1" applyNumberFormat="1" applyFont="1" applyFill="1" applyBorder="1" applyAlignment="1">
      <alignment horizontal="right"/>
    </xf>
    <xf numFmtId="38" fontId="11" fillId="2" borderId="49" xfId="1" applyNumberFormat="1" applyFont="1" applyFill="1" applyBorder="1" applyAlignment="1">
      <alignment horizontal="right"/>
    </xf>
    <xf numFmtId="0" fontId="16" fillId="3" borderId="50" xfId="4" applyFont="1" applyFill="1" applyBorder="1"/>
    <xf numFmtId="49" fontId="6" fillId="2" borderId="0" xfId="4" applyNumberFormat="1" applyFont="1" applyFill="1" applyBorder="1"/>
    <xf numFmtId="49" fontId="6" fillId="2" borderId="37" xfId="4" applyNumberFormat="1" applyFont="1" applyFill="1" applyBorder="1"/>
    <xf numFmtId="0" fontId="1" fillId="2" borderId="0" xfId="0" applyFont="1" applyFill="1"/>
    <xf numFmtId="179" fontId="20" fillId="6" borderId="36" xfId="1" applyNumberFormat="1" applyFont="1" applyFill="1" applyBorder="1"/>
    <xf numFmtId="9" fontId="20" fillId="6" borderId="37" xfId="2" applyFont="1" applyFill="1" applyBorder="1"/>
    <xf numFmtId="9" fontId="20" fillId="6" borderId="38" xfId="2" applyFont="1" applyFill="1" applyBorder="1"/>
    <xf numFmtId="38" fontId="20" fillId="6" borderId="0" xfId="1" applyNumberFormat="1" applyFont="1" applyFill="1" applyBorder="1"/>
    <xf numFmtId="9" fontId="20" fillId="6" borderId="0" xfId="2" applyFont="1" applyFill="1" applyBorder="1"/>
    <xf numFmtId="0" fontId="20" fillId="6" borderId="39" xfId="4" applyFont="1" applyFill="1" applyBorder="1"/>
    <xf numFmtId="49" fontId="10" fillId="2" borderId="0" xfId="4" applyNumberFormat="1" applyFont="1" applyFill="1" applyBorder="1"/>
    <xf numFmtId="49" fontId="10" fillId="5" borderId="37" xfId="4" applyNumberFormat="1" applyFont="1" applyFill="1" applyBorder="1"/>
    <xf numFmtId="38" fontId="20" fillId="6" borderId="38" xfId="1" applyNumberFormat="1" applyFont="1" applyFill="1" applyBorder="1"/>
    <xf numFmtId="179" fontId="21" fillId="6" borderId="36" xfId="1" applyNumberFormat="1" applyFont="1" applyFill="1" applyBorder="1"/>
    <xf numFmtId="38" fontId="21" fillId="6" borderId="37" xfId="2" applyNumberFormat="1" applyFont="1" applyFill="1" applyBorder="1"/>
    <xf numFmtId="9" fontId="21" fillId="6" borderId="38" xfId="2" applyFont="1" applyFill="1" applyBorder="1"/>
    <xf numFmtId="38" fontId="21" fillId="6" borderId="0" xfId="1" applyNumberFormat="1" applyFont="1" applyFill="1" applyBorder="1"/>
    <xf numFmtId="9" fontId="21" fillId="6" borderId="0" xfId="2" applyFont="1" applyFill="1" applyBorder="1"/>
    <xf numFmtId="0" fontId="21" fillId="6" borderId="39" xfId="4" applyFont="1" applyFill="1" applyBorder="1"/>
    <xf numFmtId="49" fontId="10" fillId="3" borderId="37" xfId="4" applyNumberFormat="1" applyFont="1" applyFill="1" applyBorder="1"/>
    <xf numFmtId="9" fontId="21" fillId="6" borderId="37" xfId="2" applyFont="1" applyFill="1" applyBorder="1"/>
    <xf numFmtId="38" fontId="21" fillId="6" borderId="38" xfId="1" applyNumberFormat="1" applyFont="1" applyFill="1" applyBorder="1"/>
    <xf numFmtId="179" fontId="22" fillId="6" borderId="36" xfId="1" applyNumberFormat="1" applyFont="1" applyFill="1" applyBorder="1"/>
    <xf numFmtId="38" fontId="22" fillId="6" borderId="37" xfId="2" applyNumberFormat="1" applyFont="1" applyFill="1" applyBorder="1"/>
    <xf numFmtId="38" fontId="22" fillId="6" borderId="38" xfId="1" applyNumberFormat="1" applyFont="1" applyFill="1" applyBorder="1"/>
    <xf numFmtId="38" fontId="22" fillId="6" borderId="0" xfId="1" applyNumberFormat="1" applyFont="1" applyFill="1" applyBorder="1"/>
    <xf numFmtId="0" fontId="22" fillId="6" borderId="39" xfId="4" applyFont="1" applyFill="1" applyBorder="1"/>
    <xf numFmtId="49" fontId="4" fillId="3" borderId="37" xfId="4" applyNumberFormat="1" applyFont="1" applyFill="1" applyBorder="1"/>
    <xf numFmtId="179" fontId="19" fillId="3" borderId="36" xfId="1" applyNumberFormat="1" applyFont="1" applyFill="1" applyBorder="1"/>
    <xf numFmtId="38" fontId="11" fillId="3" borderId="38" xfId="2" applyNumberFormat="1" applyFont="1" applyFill="1" applyBorder="1"/>
    <xf numFmtId="38" fontId="11" fillId="3" borderId="38" xfId="1" applyNumberFormat="1" applyFont="1" applyFill="1" applyBorder="1"/>
    <xf numFmtId="38" fontId="4" fillId="3" borderId="38" xfId="2" applyNumberFormat="1" applyFont="1" applyFill="1" applyBorder="1"/>
    <xf numFmtId="49" fontId="24" fillId="2" borderId="0" xfId="4" applyNumberFormat="1" applyFont="1" applyFill="1" applyBorder="1" applyAlignment="1">
      <alignment horizontal="center"/>
    </xf>
    <xf numFmtId="0" fontId="0" fillId="3" borderId="46" xfId="0" applyFill="1" applyBorder="1"/>
    <xf numFmtId="0" fontId="0" fillId="3" borderId="47" xfId="2" applyNumberFormat="1" applyFont="1" applyFill="1" applyBorder="1"/>
    <xf numFmtId="38" fontId="16" fillId="3" borderId="48" xfId="1" applyNumberFormat="1" applyFont="1" applyFill="1" applyBorder="1"/>
    <xf numFmtId="38" fontId="16" fillId="2" borderId="49" xfId="1" applyNumberFormat="1" applyFont="1" applyFill="1" applyBorder="1"/>
    <xf numFmtId="38" fontId="16" fillId="2" borderId="51" xfId="1" applyNumberFormat="1" applyFont="1" applyFill="1" applyBorder="1"/>
    <xf numFmtId="0" fontId="11" fillId="3" borderId="50" xfId="4" applyFont="1" applyFill="1" applyBorder="1"/>
    <xf numFmtId="38" fontId="24" fillId="3" borderId="52" xfId="1" applyNumberFormat="1" applyFont="1" applyFill="1" applyBorder="1" applyAlignment="1">
      <alignment horizontal="center"/>
    </xf>
    <xf numFmtId="38" fontId="24" fillId="3" borderId="48" xfId="2" applyNumberFormat="1" applyFont="1" applyFill="1" applyBorder="1" applyAlignment="1">
      <alignment horizontal="center"/>
    </xf>
    <xf numFmtId="38" fontId="24" fillId="3" borderId="48" xfId="1" applyNumberFormat="1" applyFont="1" applyFill="1" applyBorder="1" applyAlignment="1">
      <alignment horizontal="center"/>
    </xf>
    <xf numFmtId="3" fontId="24" fillId="3" borderId="49" xfId="1" applyNumberFormat="1" applyFont="1" applyFill="1" applyBorder="1" applyAlignment="1">
      <alignment horizontal="center"/>
    </xf>
    <xf numFmtId="38" fontId="24" fillId="3" borderId="49" xfId="1" applyNumberFormat="1" applyFont="1" applyFill="1" applyBorder="1" applyAlignment="1">
      <alignment horizontal="center"/>
    </xf>
    <xf numFmtId="49" fontId="24" fillId="3" borderId="50" xfId="4" applyNumberFormat="1" applyFont="1" applyFill="1" applyBorder="1" applyAlignment="1">
      <alignment horizontal="center"/>
    </xf>
    <xf numFmtId="49" fontId="24" fillId="7" borderId="53" xfId="4" applyNumberFormat="1" applyFont="1" applyFill="1" applyBorder="1" applyAlignment="1">
      <alignment horizontal="center"/>
    </xf>
    <xf numFmtId="38" fontId="25" fillId="2" borderId="14" xfId="1" applyNumberFormat="1" applyFont="1" applyFill="1" applyBorder="1" applyAlignment="1">
      <alignment horizontal="center"/>
    </xf>
    <xf numFmtId="38" fontId="0" fillId="2" borderId="0" xfId="1" applyNumberFormat="1" applyFont="1" applyFill="1"/>
    <xf numFmtId="38" fontId="3" fillId="2" borderId="0" xfId="0" quotePrefix="1" applyNumberFormat="1" applyFont="1" applyFill="1"/>
    <xf numFmtId="0" fontId="26" fillId="2" borderId="0" xfId="0" applyFont="1" applyFill="1"/>
    <xf numFmtId="49" fontId="27" fillId="2" borderId="0" xfId="7" applyNumberFormat="1" applyFont="1" applyFill="1" applyAlignment="1">
      <alignment horizontal="left"/>
    </xf>
    <xf numFmtId="49" fontId="28" fillId="2" borderId="0" xfId="7" applyNumberFormat="1" applyFont="1" applyFill="1" applyAlignment="1">
      <alignment horizontal="left"/>
    </xf>
    <xf numFmtId="0" fontId="24" fillId="0" borderId="0" xfId="10" applyFont="1">
      <alignment vertical="center"/>
    </xf>
    <xf numFmtId="0" fontId="34" fillId="0" borderId="0" xfId="10" applyFont="1">
      <alignment vertical="center"/>
    </xf>
    <xf numFmtId="0" fontId="35" fillId="0" borderId="0" xfId="10" applyFont="1">
      <alignment vertical="center"/>
    </xf>
    <xf numFmtId="182" fontId="34" fillId="0" borderId="0" xfId="10" applyNumberFormat="1" applyFont="1">
      <alignment vertical="center"/>
    </xf>
    <xf numFmtId="182" fontId="35" fillId="0" borderId="0" xfId="10" applyNumberFormat="1" applyFont="1">
      <alignment vertical="center"/>
    </xf>
    <xf numFmtId="0" fontId="24" fillId="0" borderId="0" xfId="10" applyFont="1" applyAlignment="1">
      <alignment horizontal="right" vertical="center" wrapText="1"/>
    </xf>
    <xf numFmtId="0" fontId="24" fillId="3" borderId="62" xfId="10" applyFont="1" applyFill="1" applyBorder="1" applyAlignment="1">
      <alignment horizontal="center" vertical="center"/>
    </xf>
    <xf numFmtId="180" fontId="36" fillId="3" borderId="62" xfId="10" applyNumberFormat="1" applyFont="1" applyFill="1" applyBorder="1" applyAlignment="1">
      <alignment horizontal="center" vertical="center"/>
    </xf>
    <xf numFmtId="180" fontId="36" fillId="3" borderId="63" xfId="10" applyNumberFormat="1" applyFont="1" applyFill="1" applyBorder="1" applyAlignment="1">
      <alignment horizontal="center" vertical="center"/>
    </xf>
    <xf numFmtId="180" fontId="36" fillId="3" borderId="15" xfId="10" applyNumberFormat="1" applyFont="1" applyFill="1" applyBorder="1" applyAlignment="1">
      <alignment horizontal="center" vertical="center"/>
    </xf>
    <xf numFmtId="183" fontId="34" fillId="0" borderId="0" xfId="11" applyFont="1" applyBorder="1" applyAlignment="1">
      <alignment vertical="center"/>
    </xf>
    <xf numFmtId="0" fontId="34" fillId="3" borderId="37" xfId="10" applyFont="1" applyFill="1" applyBorder="1" applyAlignment="1">
      <alignment horizontal="left" vertical="center"/>
    </xf>
    <xf numFmtId="182" fontId="35" fillId="0" borderId="37" xfId="10" applyNumberFormat="1" applyFont="1" applyBorder="1">
      <alignment vertical="center"/>
    </xf>
    <xf numFmtId="182" fontId="35" fillId="0" borderId="40" xfId="10" applyNumberFormat="1" applyFont="1" applyBorder="1">
      <alignment vertical="center"/>
    </xf>
    <xf numFmtId="182" fontId="35" fillId="0" borderId="65" xfId="10" applyNumberFormat="1" applyFont="1" applyBorder="1">
      <alignment vertical="center"/>
    </xf>
    <xf numFmtId="0" fontId="34" fillId="3" borderId="32" xfId="10" applyFont="1" applyFill="1" applyBorder="1" applyAlignment="1">
      <alignment horizontal="left" vertical="center"/>
    </xf>
    <xf numFmtId="182" fontId="35" fillId="0" borderId="32" xfId="10" applyNumberFormat="1" applyFont="1" applyBorder="1">
      <alignment vertical="center"/>
    </xf>
    <xf numFmtId="182" fontId="35" fillId="0" borderId="66" xfId="10" applyNumberFormat="1" applyFont="1" applyBorder="1">
      <alignment vertical="center"/>
    </xf>
    <xf numFmtId="182" fontId="35" fillId="0" borderId="67" xfId="10" applyNumberFormat="1" applyFont="1" applyBorder="1">
      <alignment vertical="center"/>
    </xf>
    <xf numFmtId="38" fontId="34" fillId="0" borderId="0" xfId="10" applyNumberFormat="1" applyFont="1">
      <alignment vertical="center"/>
    </xf>
    <xf numFmtId="182" fontId="35" fillId="2" borderId="37" xfId="10" applyNumberFormat="1" applyFont="1" applyFill="1" applyBorder="1">
      <alignment vertical="center"/>
    </xf>
    <xf numFmtId="182" fontId="35" fillId="2" borderId="40" xfId="10" applyNumberFormat="1" applyFont="1" applyFill="1" applyBorder="1">
      <alignment vertical="center"/>
    </xf>
    <xf numFmtId="182" fontId="35" fillId="2" borderId="65" xfId="10" applyNumberFormat="1" applyFont="1" applyFill="1" applyBorder="1">
      <alignment vertical="center"/>
    </xf>
    <xf numFmtId="0" fontId="34" fillId="4" borderId="37" xfId="10" applyFont="1" applyFill="1" applyBorder="1" applyAlignment="1">
      <alignment horizontal="left" vertical="center"/>
    </xf>
    <xf numFmtId="182" fontId="35" fillId="4" borderId="37" xfId="10" applyNumberFormat="1" applyFont="1" applyFill="1" applyBorder="1">
      <alignment vertical="center"/>
    </xf>
    <xf numFmtId="182" fontId="35" fillId="4" borderId="40" xfId="10" applyNumberFormat="1" applyFont="1" applyFill="1" applyBorder="1">
      <alignment vertical="center"/>
    </xf>
    <xf numFmtId="182" fontId="35" fillId="4" borderId="65" xfId="10" applyNumberFormat="1" applyFont="1" applyFill="1" applyBorder="1">
      <alignment vertical="center"/>
    </xf>
    <xf numFmtId="0" fontId="24" fillId="3" borderId="68" xfId="10" applyFont="1" applyFill="1" applyBorder="1">
      <alignment vertical="center"/>
    </xf>
    <xf numFmtId="182" fontId="36" fillId="3" borderId="68" xfId="10" applyNumberFormat="1" applyFont="1" applyFill="1" applyBorder="1">
      <alignment vertical="center"/>
    </xf>
    <xf numFmtId="182" fontId="36" fillId="3" borderId="69" xfId="10" applyNumberFormat="1" applyFont="1" applyFill="1" applyBorder="1">
      <alignment vertical="center"/>
    </xf>
    <xf numFmtId="182" fontId="36" fillId="3" borderId="22" xfId="10" applyNumberFormat="1" applyFont="1" applyFill="1" applyBorder="1">
      <alignment vertical="center"/>
    </xf>
    <xf numFmtId="0" fontId="34" fillId="3" borderId="70" xfId="10" applyFont="1" applyFill="1" applyBorder="1" applyAlignment="1">
      <alignment horizontal="left" vertical="center" indent="1"/>
    </xf>
    <xf numFmtId="182" fontId="35" fillId="0" borderId="70" xfId="10" applyNumberFormat="1" applyFont="1" applyBorder="1">
      <alignment vertical="center"/>
    </xf>
    <xf numFmtId="182" fontId="35" fillId="0" borderId="71" xfId="10" applyNumberFormat="1" applyFont="1" applyBorder="1">
      <alignment vertical="center"/>
    </xf>
    <xf numFmtId="182" fontId="35" fillId="0" borderId="72" xfId="10" applyNumberFormat="1" applyFont="1" applyBorder="1">
      <alignment vertical="center"/>
    </xf>
    <xf numFmtId="182" fontId="35" fillId="2" borderId="71" xfId="10" applyNumberFormat="1" applyFont="1" applyFill="1" applyBorder="1">
      <alignment vertical="center"/>
    </xf>
    <xf numFmtId="178" fontId="34" fillId="0" borderId="0" xfId="12" applyFont="1" applyBorder="1" applyAlignment="1">
      <alignment vertical="center"/>
    </xf>
    <xf numFmtId="0" fontId="34" fillId="3" borderId="35" xfId="10" applyFont="1" applyFill="1" applyBorder="1" applyAlignment="1">
      <alignment horizontal="left" vertical="center" indent="1"/>
    </xf>
    <xf numFmtId="182" fontId="35" fillId="0" borderId="35" xfId="10" applyNumberFormat="1" applyFont="1" applyBorder="1">
      <alignment vertical="center"/>
    </xf>
    <xf numFmtId="182" fontId="35" fillId="0" borderId="73" xfId="10" applyNumberFormat="1" applyFont="1" applyBorder="1">
      <alignment vertical="center"/>
    </xf>
    <xf numFmtId="182" fontId="35" fillId="0" borderId="26" xfId="10" applyNumberFormat="1" applyFont="1" applyBorder="1">
      <alignment vertical="center"/>
    </xf>
    <xf numFmtId="182" fontId="37" fillId="0" borderId="32" xfId="10" applyNumberFormat="1" applyFont="1" applyBorder="1">
      <alignment vertical="center"/>
    </xf>
    <xf numFmtId="182" fontId="37" fillId="0" borderId="66" xfId="10" applyNumberFormat="1" applyFont="1" applyBorder="1">
      <alignment vertical="center"/>
    </xf>
    <xf numFmtId="179" fontId="36" fillId="3" borderId="22" xfId="12" applyNumberFormat="1" applyFont="1" applyFill="1" applyBorder="1" applyAlignment="1">
      <alignment vertical="center"/>
    </xf>
    <xf numFmtId="0" fontId="34" fillId="3" borderId="70" xfId="10" applyFont="1" applyFill="1" applyBorder="1" applyAlignment="1">
      <alignment vertical="center" wrapText="1"/>
    </xf>
    <xf numFmtId="0" fontId="24" fillId="3" borderId="32" xfId="10" applyFont="1" applyFill="1" applyBorder="1">
      <alignment vertical="center"/>
    </xf>
    <xf numFmtId="0" fontId="34" fillId="3" borderId="32" xfId="10" applyFont="1" applyFill="1" applyBorder="1" applyAlignment="1">
      <alignment vertical="center" wrapText="1"/>
    </xf>
    <xf numFmtId="0" fontId="38" fillId="3" borderId="70" xfId="10" applyFont="1" applyFill="1" applyBorder="1" applyAlignment="1">
      <alignment horizontal="left" vertical="center"/>
    </xf>
    <xf numFmtId="9" fontId="35" fillId="0" borderId="70" xfId="13" applyFont="1" applyBorder="1" applyAlignment="1">
      <alignment vertical="center"/>
    </xf>
    <xf numFmtId="9" fontId="35" fillId="0" borderId="72" xfId="13" applyFont="1" applyBorder="1" applyAlignment="1">
      <alignment vertical="center"/>
    </xf>
    <xf numFmtId="9" fontId="35" fillId="0" borderId="75" xfId="13" applyFont="1" applyBorder="1" applyAlignment="1">
      <alignment vertical="center"/>
    </xf>
    <xf numFmtId="9" fontId="35" fillId="0" borderId="37" xfId="13" applyFont="1" applyBorder="1" applyAlignment="1">
      <alignment vertical="center"/>
    </xf>
    <xf numFmtId="9" fontId="35" fillId="0" borderId="65" xfId="13" applyFont="1" applyBorder="1" applyAlignment="1">
      <alignment vertical="center"/>
    </xf>
    <xf numFmtId="9" fontId="35" fillId="0" borderId="0" xfId="13" applyFont="1" applyBorder="1" applyAlignment="1">
      <alignment vertical="center"/>
    </xf>
    <xf numFmtId="9" fontId="34" fillId="0" borderId="0" xfId="13" applyFont="1" applyBorder="1" applyAlignment="1">
      <alignment vertical="center"/>
    </xf>
    <xf numFmtId="0" fontId="40" fillId="4" borderId="37" xfId="10" applyFont="1" applyFill="1" applyBorder="1" applyAlignment="1">
      <alignment horizontal="left" vertical="center"/>
    </xf>
    <xf numFmtId="181" fontId="40" fillId="4" borderId="37" xfId="13" applyNumberFormat="1" applyFont="1" applyFill="1" applyBorder="1" applyAlignment="1">
      <alignment vertical="center"/>
    </xf>
    <xf numFmtId="181" fontId="40" fillId="4" borderId="65" xfId="13" applyNumberFormat="1" applyFont="1" applyFill="1" applyBorder="1" applyAlignment="1">
      <alignment vertical="center"/>
    </xf>
    <xf numFmtId="181" fontId="40" fillId="4" borderId="0" xfId="13" applyNumberFormat="1" applyFont="1" applyFill="1" applyBorder="1" applyAlignment="1">
      <alignment vertical="center"/>
    </xf>
    <xf numFmtId="181" fontId="35" fillId="4" borderId="65" xfId="13" applyNumberFormat="1" applyFont="1" applyFill="1" applyBorder="1" applyAlignment="1">
      <alignment vertical="center"/>
    </xf>
    <xf numFmtId="0" fontId="38" fillId="4" borderId="37" xfId="10" applyFont="1" applyFill="1" applyBorder="1" applyAlignment="1">
      <alignment horizontal="left" vertical="center"/>
    </xf>
    <xf numFmtId="0" fontId="34" fillId="3" borderId="35" xfId="10" applyFont="1" applyFill="1" applyBorder="1">
      <alignment vertical="center"/>
    </xf>
    <xf numFmtId="179" fontId="35" fillId="0" borderId="35" xfId="11" applyNumberFormat="1" applyFont="1" applyBorder="1" applyAlignment="1">
      <alignment vertical="center"/>
    </xf>
    <xf numFmtId="179" fontId="35" fillId="0" borderId="26" xfId="11" applyNumberFormat="1" applyFont="1" applyBorder="1" applyAlignment="1">
      <alignment vertical="center"/>
    </xf>
    <xf numFmtId="179" fontId="35" fillId="0" borderId="18" xfId="11" applyNumberFormat="1" applyFont="1" applyBorder="1" applyAlignment="1">
      <alignment vertical="center"/>
    </xf>
    <xf numFmtId="179" fontId="35" fillId="0" borderId="73" xfId="11" applyNumberFormat="1" applyFont="1" applyBorder="1" applyAlignment="1">
      <alignment vertical="center"/>
    </xf>
    <xf numFmtId="0" fontId="34" fillId="3" borderId="37" xfId="10" applyFont="1" applyFill="1" applyBorder="1">
      <alignment vertical="center"/>
    </xf>
    <xf numFmtId="0" fontId="35" fillId="0" borderId="37" xfId="10" applyFont="1" applyBorder="1">
      <alignment vertical="center"/>
    </xf>
    <xf numFmtId="0" fontId="35" fillId="0" borderId="40" xfId="10" applyFont="1" applyBorder="1">
      <alignment vertical="center"/>
    </xf>
    <xf numFmtId="0" fontId="35" fillId="0" borderId="65" xfId="10" applyFont="1" applyBorder="1">
      <alignment vertical="center"/>
    </xf>
    <xf numFmtId="0" fontId="35" fillId="0" borderId="73" xfId="10" applyFont="1" applyBorder="1">
      <alignment vertical="center"/>
    </xf>
    <xf numFmtId="0" fontId="24" fillId="0" borderId="0" xfId="10" applyFont="1" applyAlignment="1">
      <alignment horizontal="right" vertical="center"/>
    </xf>
    <xf numFmtId="0" fontId="34" fillId="3" borderId="70" xfId="10" applyFont="1" applyFill="1" applyBorder="1">
      <alignment vertical="center"/>
    </xf>
    <xf numFmtId="180" fontId="35" fillId="0" borderId="70" xfId="10" applyNumberFormat="1" applyFont="1" applyBorder="1">
      <alignment vertical="center"/>
    </xf>
    <xf numFmtId="180" fontId="35" fillId="0" borderId="71" xfId="10" applyNumberFormat="1" applyFont="1" applyBorder="1">
      <alignment vertical="center"/>
    </xf>
    <xf numFmtId="180" fontId="35" fillId="0" borderId="72" xfId="10" applyNumberFormat="1" applyFont="1" applyBorder="1">
      <alignment vertical="center"/>
    </xf>
    <xf numFmtId="180" fontId="35" fillId="0" borderId="37" xfId="10" applyNumberFormat="1" applyFont="1" applyBorder="1">
      <alignment vertical="center"/>
    </xf>
    <xf numFmtId="180" fontId="35" fillId="0" borderId="40" xfId="10" applyNumberFormat="1" applyFont="1" applyBorder="1">
      <alignment vertical="center"/>
    </xf>
    <xf numFmtId="180" fontId="35" fillId="0" borderId="65" xfId="10" applyNumberFormat="1" applyFont="1" applyBorder="1">
      <alignment vertical="center"/>
    </xf>
    <xf numFmtId="180" fontId="35" fillId="0" borderId="35" xfId="10" applyNumberFormat="1" applyFont="1" applyBorder="1">
      <alignment vertical="center"/>
    </xf>
    <xf numFmtId="180" fontId="35" fillId="0" borderId="73" xfId="10" applyNumberFormat="1" applyFont="1" applyBorder="1">
      <alignment vertical="center"/>
    </xf>
    <xf numFmtId="180" fontId="35" fillId="0" borderId="26" xfId="10" applyNumberFormat="1" applyFont="1" applyBorder="1">
      <alignment vertical="center"/>
    </xf>
    <xf numFmtId="179" fontId="34" fillId="0" borderId="0" xfId="11" applyNumberFormat="1" applyFont="1" applyAlignment="1">
      <alignment vertical="center"/>
    </xf>
    <xf numFmtId="179" fontId="35" fillId="0" borderId="0" xfId="11" applyNumberFormat="1" applyFont="1" applyAlignment="1">
      <alignment vertical="center"/>
    </xf>
    <xf numFmtId="178" fontId="34" fillId="0" borderId="0" xfId="11" applyNumberFormat="1" applyFont="1" applyAlignment="1">
      <alignment vertical="center"/>
    </xf>
    <xf numFmtId="41" fontId="34" fillId="0" borderId="0" xfId="10" applyNumberFormat="1" applyFont="1">
      <alignment vertical="center"/>
    </xf>
    <xf numFmtId="0" fontId="43" fillId="0" borderId="0" xfId="0" applyFont="1" applyAlignment="1">
      <alignment horizontal="center"/>
    </xf>
    <xf numFmtId="0" fontId="44" fillId="2" borderId="0" xfId="0" applyFont="1" applyFill="1" applyProtection="1">
      <protection locked="0"/>
    </xf>
    <xf numFmtId="179" fontId="44" fillId="2" borderId="0" xfId="1" applyNumberFormat="1" applyFont="1" applyFill="1" applyBorder="1" applyAlignment="1"/>
    <xf numFmtId="179" fontId="44" fillId="2" borderId="0" xfId="1" applyNumberFormat="1" applyFont="1" applyFill="1" applyBorder="1" applyAlignment="1">
      <alignment horizontal="center"/>
    </xf>
    <xf numFmtId="178" fontId="44" fillId="2" borderId="0" xfId="1" applyFont="1" applyFill="1" applyBorder="1" applyAlignment="1"/>
    <xf numFmtId="184" fontId="44" fillId="2" borderId="0" xfId="1" applyNumberFormat="1" applyFont="1" applyFill="1" applyBorder="1" applyAlignment="1"/>
    <xf numFmtId="0" fontId="45" fillId="0" borderId="0" xfId="0" applyFont="1"/>
    <xf numFmtId="0" fontId="47" fillId="0" borderId="0" xfId="0" applyFont="1" applyAlignment="1">
      <alignment horizontal="center"/>
    </xf>
    <xf numFmtId="0" fontId="10" fillId="0" borderId="0" xfId="0" applyFont="1"/>
    <xf numFmtId="179" fontId="48" fillId="0" borderId="0" xfId="1" applyNumberFormat="1" applyFont="1"/>
    <xf numFmtId="178" fontId="48" fillId="0" borderId="0" xfId="1" applyFont="1"/>
    <xf numFmtId="178" fontId="48" fillId="0" borderId="0" xfId="1" applyFont="1" applyFill="1"/>
    <xf numFmtId="0" fontId="46" fillId="0" borderId="0" xfId="0" applyFont="1"/>
    <xf numFmtId="0" fontId="6" fillId="12" borderId="76" xfId="0" applyFont="1" applyFill="1" applyBorder="1" applyAlignment="1">
      <alignment horizontal="center" vertical="center"/>
    </xf>
    <xf numFmtId="38" fontId="6" fillId="12" borderId="77" xfId="1" applyNumberFormat="1" applyFont="1" applyFill="1" applyBorder="1" applyAlignment="1">
      <alignment horizontal="center" vertical="center"/>
    </xf>
    <xf numFmtId="179" fontId="6" fillId="12" borderId="77" xfId="1" applyNumberFormat="1" applyFont="1" applyFill="1" applyBorder="1" applyAlignment="1">
      <alignment horizontal="center" vertical="center"/>
    </xf>
    <xf numFmtId="178" fontId="6" fillId="12" borderId="77" xfId="1" applyFont="1" applyFill="1" applyBorder="1" applyAlignment="1">
      <alignment horizontal="center" vertical="center"/>
    </xf>
    <xf numFmtId="184" fontId="6" fillId="12" borderId="77" xfId="1" applyNumberFormat="1" applyFont="1" applyFill="1" applyBorder="1" applyAlignment="1">
      <alignment horizontal="center" vertical="center"/>
    </xf>
    <xf numFmtId="0" fontId="10" fillId="0" borderId="0" xfId="0" applyFont="1" applyAlignment="1">
      <alignment vertical="center"/>
    </xf>
    <xf numFmtId="179" fontId="4" fillId="0" borderId="79" xfId="1" applyNumberFormat="1" applyFont="1" applyBorder="1" applyAlignment="1">
      <alignment horizontal="right" vertical="center"/>
    </xf>
    <xf numFmtId="178" fontId="4" fillId="0" borderId="79" xfId="1" applyFont="1" applyBorder="1" applyAlignment="1">
      <alignment horizontal="right" vertical="center"/>
    </xf>
    <xf numFmtId="184" fontId="4" fillId="0" borderId="79" xfId="1" applyNumberFormat="1" applyFont="1" applyBorder="1" applyAlignment="1">
      <alignment horizontal="right" vertical="center"/>
    </xf>
    <xf numFmtId="176" fontId="4" fillId="0" borderId="79" xfId="1" applyNumberFormat="1" applyFont="1" applyBorder="1" applyAlignment="1">
      <alignment horizontal="right" vertical="center"/>
    </xf>
    <xf numFmtId="178" fontId="10" fillId="0" borderId="0" xfId="0" applyNumberFormat="1" applyFont="1" applyAlignment="1">
      <alignment vertical="center"/>
    </xf>
    <xf numFmtId="0" fontId="32" fillId="0" borderId="0" xfId="0" applyFont="1"/>
    <xf numFmtId="0" fontId="50" fillId="0" borderId="0" xfId="0" applyFont="1" applyAlignment="1">
      <alignment horizontal="center"/>
    </xf>
    <xf numFmtId="179" fontId="32" fillId="0" borderId="0" xfId="1" applyNumberFormat="1" applyFont="1"/>
    <xf numFmtId="178" fontId="32" fillId="0" borderId="0" xfId="1" applyFont="1"/>
    <xf numFmtId="179" fontId="51" fillId="0" borderId="0" xfId="1" applyNumberFormat="1" applyFont="1" applyBorder="1"/>
    <xf numFmtId="0" fontId="52" fillId="0" borderId="0" xfId="0" applyFont="1"/>
    <xf numFmtId="0" fontId="4" fillId="0" borderId="0" xfId="0" applyFont="1"/>
    <xf numFmtId="179" fontId="53" fillId="0" borderId="0" xfId="1" applyNumberFormat="1" applyFont="1" applyBorder="1"/>
    <xf numFmtId="179" fontId="52" fillId="0" borderId="0" xfId="1" applyNumberFormat="1" applyFont="1"/>
    <xf numFmtId="178" fontId="52" fillId="0" borderId="0" xfId="1" applyFont="1"/>
    <xf numFmtId="0" fontId="55" fillId="0" borderId="0" xfId="0" applyFont="1"/>
    <xf numFmtId="179" fontId="55" fillId="0" borderId="0" xfId="1" applyNumberFormat="1" applyFont="1"/>
    <xf numFmtId="178" fontId="55" fillId="0" borderId="0" xfId="1" applyFont="1"/>
    <xf numFmtId="177" fontId="0" fillId="0" borderId="0" xfId="14" applyFont="1" applyFill="1"/>
    <xf numFmtId="179" fontId="57" fillId="11" borderId="81" xfId="1" quotePrefix="1" applyNumberFormat="1" applyFont="1" applyFill="1" applyBorder="1" applyAlignment="1">
      <alignment horizontal="centerContinuous" vertical="center"/>
    </xf>
    <xf numFmtId="179" fontId="57" fillId="13" borderId="83" xfId="1" applyNumberFormat="1" applyFont="1" applyFill="1" applyBorder="1" applyAlignment="1">
      <alignment horizontal="center" vertical="center"/>
    </xf>
    <xf numFmtId="179" fontId="57" fillId="13" borderId="84" xfId="1" applyNumberFormat="1" applyFont="1" applyFill="1" applyBorder="1" applyAlignment="1">
      <alignment horizontal="center" vertical="center"/>
    </xf>
    <xf numFmtId="179" fontId="57" fillId="0" borderId="85" xfId="1" applyNumberFormat="1" applyFont="1" applyFill="1" applyBorder="1" applyAlignment="1">
      <alignment horizontal="right" vertical="center"/>
    </xf>
    <xf numFmtId="177" fontId="0" fillId="3" borderId="79" xfId="14" applyFont="1" applyFill="1" applyBorder="1"/>
    <xf numFmtId="179" fontId="57" fillId="0" borderId="85" xfId="1" quotePrefix="1" applyNumberFormat="1" applyFont="1" applyFill="1" applyBorder="1" applyAlignment="1">
      <alignment horizontal="right" vertical="center"/>
    </xf>
    <xf numFmtId="179" fontId="57" fillId="0" borderId="86" xfId="1" applyNumberFormat="1" applyFont="1" applyFill="1" applyBorder="1" applyAlignment="1">
      <alignment horizontal="right" vertical="center"/>
    </xf>
    <xf numFmtId="177" fontId="0" fillId="3" borderId="86" xfId="14" applyFont="1" applyFill="1" applyBorder="1"/>
    <xf numFmtId="179" fontId="57" fillId="0" borderId="86" xfId="1" quotePrefix="1" applyNumberFormat="1" applyFont="1" applyFill="1" applyBorder="1" applyAlignment="1">
      <alignment horizontal="right" vertical="center"/>
    </xf>
    <xf numFmtId="179" fontId="57" fillId="0" borderId="87" xfId="1" applyNumberFormat="1" applyFont="1" applyFill="1" applyBorder="1" applyAlignment="1">
      <alignment horizontal="right" vertical="center"/>
    </xf>
    <xf numFmtId="0" fontId="0" fillId="13" borderId="88" xfId="0" applyFill="1" applyBorder="1"/>
    <xf numFmtId="179" fontId="0" fillId="13" borderId="88" xfId="1" applyNumberFormat="1" applyFont="1" applyFill="1" applyBorder="1"/>
    <xf numFmtId="179" fontId="0" fillId="7" borderId="88" xfId="1" applyNumberFormat="1" applyFont="1" applyFill="1" applyBorder="1"/>
    <xf numFmtId="177" fontId="0" fillId="7" borderId="88" xfId="14" applyFont="1" applyFill="1" applyBorder="1"/>
    <xf numFmtId="179" fontId="0" fillId="0" borderId="0" xfId="1" applyNumberFormat="1" applyFont="1"/>
    <xf numFmtId="177" fontId="0" fillId="0" borderId="0" xfId="14" applyFont="1"/>
    <xf numFmtId="0" fontId="0" fillId="6" borderId="67" xfId="0" applyFill="1" applyBorder="1"/>
    <xf numFmtId="185" fontId="2" fillId="6" borderId="67" xfId="14" applyNumberFormat="1" applyFont="1" applyFill="1" applyBorder="1"/>
    <xf numFmtId="179" fontId="0" fillId="2" borderId="86" xfId="1" applyNumberFormat="1" applyFont="1" applyFill="1" applyBorder="1" applyAlignment="1">
      <alignment horizontal="left"/>
    </xf>
    <xf numFmtId="185" fontId="2" fillId="2" borderId="86" xfId="14" applyNumberFormat="1" applyFont="1" applyFill="1" applyBorder="1" applyAlignment="1">
      <alignment horizontal="left"/>
    </xf>
    <xf numFmtId="0" fontId="0" fillId="2" borderId="90" xfId="0" applyFill="1" applyBorder="1" applyAlignment="1">
      <alignment horizontal="left"/>
    </xf>
    <xf numFmtId="185" fontId="2" fillId="2" borderId="90" xfId="14" applyNumberFormat="1" applyFont="1" applyFill="1" applyBorder="1"/>
    <xf numFmtId="185" fontId="2" fillId="2" borderId="0" xfId="14" applyNumberFormat="1" applyFont="1" applyFill="1"/>
    <xf numFmtId="0" fontId="0" fillId="2" borderId="79" xfId="0" applyFill="1" applyBorder="1" applyAlignment="1">
      <alignment horizontal="left"/>
    </xf>
    <xf numFmtId="179" fontId="59" fillId="2" borderId="79" xfId="1" applyNumberFormat="1" applyFont="1" applyFill="1" applyBorder="1"/>
    <xf numFmtId="0" fontId="0" fillId="13" borderId="9" xfId="0" applyFill="1" applyBorder="1" applyAlignment="1">
      <alignment horizontal="left"/>
    </xf>
    <xf numFmtId="0" fontId="59" fillId="13" borderId="9" xfId="0" applyFont="1" applyFill="1" applyBorder="1"/>
    <xf numFmtId="185" fontId="59" fillId="13" borderId="9" xfId="14" applyNumberFormat="1" applyFont="1" applyFill="1" applyBorder="1"/>
    <xf numFmtId="179" fontId="0" fillId="6" borderId="86" xfId="0" applyNumberFormat="1" applyFill="1" applyBorder="1"/>
    <xf numFmtId="185" fontId="2" fillId="6" borderId="86" xfId="14" applyNumberFormat="1" applyFont="1" applyFill="1" applyBorder="1"/>
    <xf numFmtId="9" fontId="61" fillId="2" borderId="0" xfId="2" applyFont="1" applyFill="1"/>
    <xf numFmtId="0" fontId="2" fillId="2" borderId="0" xfId="0" applyFont="1" applyFill="1"/>
    <xf numFmtId="0" fontId="2" fillId="2" borderId="0" xfId="0" quotePrefix="1" applyFont="1" applyFill="1"/>
    <xf numFmtId="185" fontId="2" fillId="2" borderId="0" xfId="14" quotePrefix="1" applyNumberFormat="1" applyFont="1" applyFill="1"/>
    <xf numFmtId="185" fontId="2" fillId="2" borderId="0" xfId="14" applyNumberFormat="1" applyFont="1" applyFill="1" applyAlignment="1">
      <alignment wrapText="1"/>
    </xf>
    <xf numFmtId="38" fontId="11" fillId="2" borderId="49" xfId="5" applyNumberFormat="1" applyFont="1" applyFill="1" applyBorder="1" applyAlignment="1">
      <alignment horizontal="right"/>
    </xf>
    <xf numFmtId="180" fontId="62" fillId="2" borderId="15" xfId="16" applyNumberFormat="1" applyFont="1" applyFill="1" applyBorder="1" applyAlignment="1">
      <alignment vertical="center"/>
    </xf>
    <xf numFmtId="180" fontId="62" fillId="2" borderId="9" xfId="16" applyNumberFormat="1" applyFont="1" applyFill="1" applyBorder="1" applyAlignment="1">
      <alignment vertical="center"/>
    </xf>
    <xf numFmtId="180" fontId="62" fillId="2" borderId="98" xfId="16" applyNumberFormat="1" applyFont="1" applyFill="1" applyBorder="1" applyAlignment="1">
      <alignment vertical="center"/>
    </xf>
    <xf numFmtId="38" fontId="4" fillId="0" borderId="0" xfId="1" applyNumberFormat="1" applyFont="1" applyFill="1" applyBorder="1"/>
    <xf numFmtId="0" fontId="6" fillId="12" borderId="94" xfId="0" applyFont="1" applyFill="1" applyBorder="1" applyAlignment="1">
      <alignment horizontal="center" vertical="center"/>
    </xf>
    <xf numFmtId="178" fontId="60" fillId="0" borderId="0" xfId="1" applyFont="1" applyFill="1"/>
    <xf numFmtId="179" fontId="57" fillId="11" borderId="99" xfId="1" quotePrefix="1" applyNumberFormat="1" applyFont="1" applyFill="1" applyBorder="1" applyAlignment="1">
      <alignment horizontal="centerContinuous" vertical="center"/>
    </xf>
    <xf numFmtId="0" fontId="57" fillId="0" borderId="65" xfId="0" applyFont="1" applyBorder="1" applyAlignment="1">
      <alignment horizontal="left" vertical="center"/>
    </xf>
    <xf numFmtId="179" fontId="63" fillId="7" borderId="83" xfId="1" applyNumberFormat="1" applyFont="1" applyFill="1" applyBorder="1" applyAlignment="1">
      <alignment horizontal="center" vertical="center"/>
    </xf>
    <xf numFmtId="177" fontId="63" fillId="7" borderId="84" xfId="14" applyFont="1" applyFill="1" applyBorder="1" applyAlignment="1">
      <alignment horizontal="center" vertical="center"/>
    </xf>
    <xf numFmtId="179" fontId="63" fillId="7" borderId="85" xfId="1" quotePrefix="1" applyNumberFormat="1" applyFont="1" applyFill="1" applyBorder="1" applyAlignment="1">
      <alignment horizontal="right" vertical="center"/>
    </xf>
    <xf numFmtId="177" fontId="63" fillId="7" borderId="85" xfId="14" quotePrefix="1" applyFont="1" applyFill="1" applyBorder="1" applyAlignment="1">
      <alignment horizontal="right" vertical="center"/>
    </xf>
    <xf numFmtId="179" fontId="6" fillId="12" borderId="102" xfId="1" applyNumberFormat="1" applyFont="1" applyFill="1" applyBorder="1" applyAlignment="1">
      <alignment vertical="center"/>
    </xf>
    <xf numFmtId="178" fontId="6" fillId="12" borderId="102" xfId="1" applyFont="1" applyFill="1" applyBorder="1" applyAlignment="1">
      <alignment vertical="center"/>
    </xf>
    <xf numFmtId="0" fontId="60" fillId="2" borderId="0" xfId="0" applyFont="1" applyFill="1"/>
    <xf numFmtId="185" fontId="2" fillId="2" borderId="0" xfId="14" applyNumberFormat="1" applyFont="1" applyFill="1" applyBorder="1"/>
    <xf numFmtId="9" fontId="61" fillId="2" borderId="0" xfId="2" applyFont="1" applyFill="1" applyBorder="1"/>
    <xf numFmtId="0" fontId="0" fillId="6" borderId="77" xfId="0" applyFill="1" applyBorder="1" applyAlignment="1">
      <alignment horizontal="centerContinuous" vertical="center"/>
    </xf>
    <xf numFmtId="185" fontId="2" fillId="6" borderId="77" xfId="14" applyNumberFormat="1" applyFont="1" applyFill="1" applyBorder="1" applyAlignment="1">
      <alignment horizontal="centerContinuous" vertical="center"/>
    </xf>
    <xf numFmtId="9" fontId="61" fillId="6" borderId="78" xfId="2" applyFont="1" applyFill="1" applyBorder="1" applyAlignment="1">
      <alignment horizontal="centerContinuous" vertical="center"/>
    </xf>
    <xf numFmtId="9" fontId="61" fillId="6" borderId="93" xfId="2" applyFont="1" applyFill="1" applyBorder="1"/>
    <xf numFmtId="0" fontId="0" fillId="2" borderId="94" xfId="0" applyFill="1" applyBorder="1" applyAlignment="1">
      <alignment horizontal="left"/>
    </xf>
    <xf numFmtId="9" fontId="61" fillId="6" borderId="95" xfId="2" applyFont="1" applyFill="1" applyBorder="1"/>
    <xf numFmtId="0" fontId="0" fillId="6" borderId="103" xfId="0" applyFill="1" applyBorder="1"/>
    <xf numFmtId="179" fontId="0" fillId="6" borderId="104" xfId="0" applyNumberFormat="1" applyFill="1" applyBorder="1"/>
    <xf numFmtId="185" fontId="2" fillId="6" borderId="104" xfId="14" applyNumberFormat="1" applyFont="1" applyFill="1" applyBorder="1"/>
    <xf numFmtId="9" fontId="61" fillId="6" borderId="105" xfId="2" applyFont="1" applyFill="1" applyBorder="1"/>
    <xf numFmtId="9" fontId="61" fillId="6" borderId="106" xfId="2" applyFont="1" applyFill="1" applyBorder="1"/>
    <xf numFmtId="9" fontId="61" fillId="6" borderId="102" xfId="2" applyFont="1" applyFill="1" applyBorder="1"/>
    <xf numFmtId="9" fontId="61" fillId="6" borderId="107" xfId="2" applyFont="1" applyFill="1" applyBorder="1"/>
    <xf numFmtId="177" fontId="0" fillId="3" borderId="90" xfId="14" applyFont="1" applyFill="1" applyBorder="1"/>
    <xf numFmtId="179" fontId="57" fillId="0" borderId="90" xfId="1" applyNumberFormat="1" applyFont="1" applyFill="1" applyBorder="1" applyAlignment="1">
      <alignment horizontal="right" vertical="center"/>
    </xf>
    <xf numFmtId="179" fontId="57" fillId="0" borderId="90" xfId="1" quotePrefix="1" applyNumberFormat="1" applyFont="1" applyFill="1" applyBorder="1" applyAlignment="1">
      <alignment horizontal="right" vertical="center"/>
    </xf>
    <xf numFmtId="0" fontId="0" fillId="2" borderId="0" xfId="0" applyFill="1" applyAlignment="1">
      <alignment horizontal="left"/>
    </xf>
    <xf numFmtId="0" fontId="64" fillId="2" borderId="0" xfId="0" applyFont="1" applyFill="1"/>
    <xf numFmtId="0" fontId="48" fillId="2" borderId="0" xfId="0" applyFont="1" applyFill="1"/>
    <xf numFmtId="184" fontId="6" fillId="12" borderId="102" xfId="1" applyNumberFormat="1" applyFont="1" applyFill="1" applyBorder="1" applyAlignment="1">
      <alignment vertical="center"/>
    </xf>
    <xf numFmtId="0" fontId="49" fillId="0" borderId="0" xfId="0" applyFont="1"/>
    <xf numFmtId="0" fontId="54" fillId="0" borderId="0" xfId="0" applyFont="1"/>
    <xf numFmtId="185" fontId="2" fillId="6" borderId="97" xfId="14" applyNumberFormat="1" applyFont="1" applyFill="1" applyBorder="1" applyAlignment="1">
      <alignment horizontal="centerContinuous" vertical="center"/>
    </xf>
    <xf numFmtId="185" fontId="2" fillId="6" borderId="91" xfId="14" applyNumberFormat="1" applyFont="1" applyFill="1" applyBorder="1"/>
    <xf numFmtId="9" fontId="61" fillId="6" borderId="108" xfId="2" applyFont="1" applyFill="1" applyBorder="1"/>
    <xf numFmtId="0" fontId="24" fillId="3" borderId="109" xfId="10" applyFont="1" applyFill="1" applyBorder="1">
      <alignment vertical="center"/>
    </xf>
    <xf numFmtId="0" fontId="34" fillId="3" borderId="112" xfId="10" applyFont="1" applyFill="1" applyBorder="1" applyAlignment="1">
      <alignment horizontal="left" vertical="center"/>
    </xf>
    <xf numFmtId="182" fontId="35" fillId="0" borderId="112" xfId="10" applyNumberFormat="1" applyFont="1" applyBorder="1">
      <alignment vertical="center"/>
    </xf>
    <xf numFmtId="182" fontId="35" fillId="0" borderId="113" xfId="10" applyNumberFormat="1" applyFont="1" applyBorder="1">
      <alignment vertical="center"/>
    </xf>
    <xf numFmtId="182" fontId="35" fillId="0" borderId="114" xfId="10" applyNumberFormat="1" applyFont="1" applyBorder="1">
      <alignment vertical="center"/>
    </xf>
    <xf numFmtId="0" fontId="24" fillId="3" borderId="109" xfId="10" applyFont="1" applyFill="1" applyBorder="1" applyAlignment="1">
      <alignment horizontal="left" vertical="center" indent="1"/>
    </xf>
    <xf numFmtId="182" fontId="35" fillId="2" borderId="113" xfId="10" applyNumberFormat="1" applyFont="1" applyFill="1" applyBorder="1">
      <alignment vertical="center"/>
    </xf>
    <xf numFmtId="182" fontId="35" fillId="2" borderId="114" xfId="10" applyNumberFormat="1" applyFont="1" applyFill="1" applyBorder="1">
      <alignment vertical="center"/>
    </xf>
    <xf numFmtId="0" fontId="34" fillId="3" borderId="109" xfId="10" applyFont="1" applyFill="1" applyBorder="1" applyAlignment="1">
      <alignment horizontal="left" vertical="center" indent="1"/>
    </xf>
    <xf numFmtId="0" fontId="38" fillId="3" borderId="112" xfId="10" applyFont="1" applyFill="1" applyBorder="1" applyAlignment="1">
      <alignment horizontal="left" vertical="center" wrapText="1" indent="1"/>
    </xf>
    <xf numFmtId="0" fontId="38" fillId="11" borderId="115" xfId="10" applyFont="1" applyFill="1" applyBorder="1">
      <alignment vertical="center"/>
    </xf>
    <xf numFmtId="182" fontId="36" fillId="11" borderId="116" xfId="10" applyNumberFormat="1" applyFont="1" applyFill="1" applyBorder="1">
      <alignment vertical="center"/>
    </xf>
    <xf numFmtId="182" fontId="36" fillId="11" borderId="117" xfId="10" applyNumberFormat="1" applyFont="1" applyFill="1" applyBorder="1">
      <alignment vertical="center"/>
    </xf>
    <xf numFmtId="182" fontId="36" fillId="11" borderId="118" xfId="10" applyNumberFormat="1" applyFont="1" applyFill="1" applyBorder="1">
      <alignment vertical="center"/>
    </xf>
    <xf numFmtId="182" fontId="36" fillId="11" borderId="119" xfId="10" applyNumberFormat="1" applyFont="1" applyFill="1" applyBorder="1">
      <alignment vertical="center"/>
    </xf>
    <xf numFmtId="0" fontId="38" fillId="11" borderId="120" xfId="10" applyFont="1" applyFill="1" applyBorder="1">
      <alignment vertical="center"/>
    </xf>
    <xf numFmtId="182" fontId="35" fillId="11" borderId="121" xfId="10" applyNumberFormat="1" applyFont="1" applyFill="1" applyBorder="1">
      <alignment vertical="center"/>
    </xf>
    <xf numFmtId="182" fontId="35" fillId="11" borderId="122" xfId="10" applyNumberFormat="1" applyFont="1" applyFill="1" applyBorder="1">
      <alignment vertical="center"/>
    </xf>
    <xf numFmtId="182" fontId="35" fillId="11" borderId="123" xfId="10" applyNumberFormat="1" applyFont="1" applyFill="1" applyBorder="1">
      <alignment vertical="center"/>
    </xf>
    <xf numFmtId="185" fontId="60" fillId="0" borderId="0" xfId="14" applyNumberFormat="1" applyFont="1" applyFill="1"/>
    <xf numFmtId="185" fontId="57" fillId="11" borderId="99" xfId="14" quotePrefix="1" applyNumberFormat="1" applyFont="1" applyFill="1" applyBorder="1" applyAlignment="1">
      <alignment horizontal="centerContinuous" vertical="center"/>
    </xf>
    <xf numFmtId="185" fontId="0" fillId="3" borderId="79" xfId="14" applyNumberFormat="1" applyFont="1" applyFill="1" applyBorder="1"/>
    <xf numFmtId="185" fontId="0" fillId="13" borderId="88" xfId="14" applyNumberFormat="1" applyFont="1" applyFill="1" applyBorder="1"/>
    <xf numFmtId="185" fontId="0" fillId="0" borderId="0" xfId="14" applyNumberFormat="1" applyFont="1"/>
    <xf numFmtId="38" fontId="4" fillId="4" borderId="0" xfId="5" applyNumberFormat="1" applyFont="1" applyFill="1" applyBorder="1" applyAlignment="1"/>
    <xf numFmtId="38" fontId="15" fillId="2" borderId="0" xfId="5" applyNumberFormat="1" applyFont="1" applyFill="1" applyBorder="1" applyAlignment="1"/>
    <xf numFmtId="38" fontId="15" fillId="2" borderId="44" xfId="5" applyNumberFormat="1" applyFont="1" applyFill="1" applyBorder="1" applyAlignment="1"/>
    <xf numFmtId="38" fontId="16" fillId="2" borderId="49" xfId="5" applyNumberFormat="1" applyFont="1" applyFill="1" applyBorder="1" applyAlignment="1"/>
    <xf numFmtId="3" fontId="11" fillId="2" borderId="49" xfId="5" applyNumberFormat="1" applyFont="1" applyFill="1" applyBorder="1" applyAlignment="1">
      <alignment horizontal="right"/>
    </xf>
    <xf numFmtId="38" fontId="22" fillId="4" borderId="0" xfId="1" applyNumberFormat="1" applyFont="1" applyFill="1" applyBorder="1"/>
    <xf numFmtId="180" fontId="62" fillId="2" borderId="88" xfId="16" applyNumberFormat="1" applyFont="1" applyFill="1" applyBorder="1" applyAlignment="1">
      <alignment vertical="center"/>
    </xf>
    <xf numFmtId="180" fontId="62" fillId="2" borderId="125" xfId="16" applyNumberFormat="1" applyFont="1" applyFill="1" applyBorder="1" applyAlignment="1">
      <alignment vertical="center"/>
    </xf>
    <xf numFmtId="0" fontId="58" fillId="7" borderId="126" xfId="15" applyNumberFormat="1" applyFont="1" applyFill="1" applyBorder="1" applyAlignment="1">
      <alignment horizontal="center" vertical="center"/>
    </xf>
    <xf numFmtId="0" fontId="0" fillId="7" borderId="127" xfId="0" applyFill="1" applyBorder="1"/>
    <xf numFmtId="0" fontId="57" fillId="7" borderId="127" xfId="0" applyFont="1" applyFill="1" applyBorder="1" applyAlignment="1">
      <alignment horizontal="left" vertical="center"/>
    </xf>
    <xf numFmtId="179" fontId="56" fillId="11" borderId="124" xfId="1" applyNumberFormat="1" applyFont="1" applyFill="1" applyBorder="1" applyAlignment="1">
      <alignment horizontal="centerContinuous" vertical="center"/>
    </xf>
    <xf numFmtId="177" fontId="0" fillId="11" borderId="82" xfId="14" applyFont="1" applyFill="1" applyBorder="1" applyAlignment="1">
      <alignment horizontal="centerContinuous" vertical="center"/>
    </xf>
    <xf numFmtId="181" fontId="35" fillId="4" borderId="37" xfId="13" applyNumberFormat="1" applyFont="1" applyFill="1" applyBorder="1" applyAlignment="1">
      <alignment vertical="center"/>
    </xf>
    <xf numFmtId="38" fontId="11" fillId="2" borderId="44" xfId="5" applyNumberFormat="1" applyFont="1" applyFill="1" applyBorder="1" applyAlignment="1"/>
    <xf numFmtId="184" fontId="48" fillId="0" borderId="0" xfId="1" applyNumberFormat="1" applyFont="1"/>
    <xf numFmtId="0" fontId="48" fillId="0" borderId="0" xfId="0" applyFont="1"/>
    <xf numFmtId="178" fontId="47" fillId="0" borderId="0" xfId="1" applyFont="1" applyAlignment="1">
      <alignment horizontal="right"/>
    </xf>
    <xf numFmtId="0" fontId="4" fillId="12" borderId="128" xfId="0" applyFont="1" applyFill="1" applyBorder="1" applyAlignment="1">
      <alignment horizontal="left" vertical="center"/>
    </xf>
    <xf numFmtId="176" fontId="4" fillId="0" borderId="128" xfId="1" applyNumberFormat="1" applyFont="1" applyBorder="1" applyAlignment="1">
      <alignment horizontal="right" vertical="center"/>
    </xf>
    <xf numFmtId="179" fontId="4" fillId="0" borderId="128" xfId="1" applyNumberFormat="1" applyFont="1" applyBorder="1" applyAlignment="1">
      <alignment horizontal="right" vertical="center"/>
    </xf>
    <xf numFmtId="0" fontId="65" fillId="2" borderId="0" xfId="9" applyFont="1" applyFill="1"/>
    <xf numFmtId="0" fontId="66" fillId="2" borderId="0" xfId="9" applyFont="1" applyFill="1" applyAlignment="1">
      <alignment vertical="center"/>
    </xf>
    <xf numFmtId="0" fontId="65" fillId="2" borderId="0" xfId="9" applyFont="1" applyFill="1" applyAlignment="1">
      <alignment vertical="center"/>
    </xf>
    <xf numFmtId="40" fontId="67" fillId="0" borderId="0" xfId="0" applyNumberFormat="1" applyFont="1" applyAlignment="1">
      <alignment vertical="center"/>
    </xf>
    <xf numFmtId="3" fontId="65" fillId="2" borderId="0" xfId="9" applyNumberFormat="1" applyFont="1" applyFill="1" applyAlignment="1">
      <alignment vertical="center"/>
    </xf>
    <xf numFmtId="0" fontId="65" fillId="2" borderId="0" xfId="0" applyFont="1" applyFill="1"/>
    <xf numFmtId="0" fontId="65" fillId="0" borderId="0" xfId="0" applyFont="1"/>
    <xf numFmtId="0" fontId="66" fillId="2" borderId="0" xfId="9" applyFont="1" applyFill="1" applyAlignment="1">
      <alignment horizontal="right" vertical="center"/>
    </xf>
    <xf numFmtId="179" fontId="68" fillId="2" borderId="0" xfId="1" applyNumberFormat="1" applyFont="1" applyFill="1" applyAlignment="1">
      <alignment horizontal="right" vertical="center"/>
    </xf>
    <xf numFmtId="0" fontId="69" fillId="10" borderId="54" xfId="9" applyFont="1" applyFill="1" applyBorder="1" applyAlignment="1">
      <alignment horizontal="center" vertical="center"/>
    </xf>
    <xf numFmtId="0" fontId="65" fillId="0" borderId="0" xfId="9" applyFont="1"/>
    <xf numFmtId="0" fontId="66" fillId="0" borderId="57" xfId="9" applyFont="1" applyBorder="1" applyAlignment="1">
      <alignment vertical="center"/>
    </xf>
    <xf numFmtId="3" fontId="71" fillId="0" borderId="60" xfId="9" applyNumberFormat="1" applyFont="1" applyBorder="1" applyAlignment="1">
      <alignment vertical="center"/>
    </xf>
    <xf numFmtId="3" fontId="71" fillId="0" borderId="0" xfId="9" applyNumberFormat="1" applyFont="1" applyAlignment="1">
      <alignment vertical="center"/>
    </xf>
    <xf numFmtId="179" fontId="65" fillId="2" borderId="0" xfId="1" applyNumberFormat="1" applyFont="1" applyFill="1" applyBorder="1" applyAlignment="1">
      <alignment vertical="center"/>
    </xf>
    <xf numFmtId="178" fontId="65" fillId="0" borderId="0" xfId="0" applyNumberFormat="1" applyFont="1"/>
    <xf numFmtId="179" fontId="65" fillId="2" borderId="0" xfId="1" applyNumberFormat="1" applyFont="1" applyFill="1" applyBorder="1"/>
    <xf numFmtId="0" fontId="65" fillId="2" borderId="57" xfId="9" applyFont="1" applyFill="1" applyBorder="1" applyAlignment="1">
      <alignment horizontal="left" vertical="center"/>
    </xf>
    <xf numFmtId="179" fontId="72" fillId="2" borderId="0" xfId="1" applyNumberFormat="1" applyFont="1" applyFill="1" applyBorder="1" applyAlignment="1">
      <alignment horizontal="left" vertical="center"/>
    </xf>
    <xf numFmtId="3" fontId="73" fillId="2" borderId="129" xfId="9" applyNumberFormat="1" applyFont="1" applyFill="1" applyBorder="1" applyAlignment="1">
      <alignment horizontal="right" vertical="center"/>
    </xf>
    <xf numFmtId="37" fontId="65" fillId="2" borderId="57" xfId="9" applyNumberFormat="1" applyFont="1" applyFill="1" applyBorder="1" applyAlignment="1">
      <alignment vertical="center"/>
    </xf>
    <xf numFmtId="3" fontId="73" fillId="2" borderId="0" xfId="9" applyNumberFormat="1" applyFont="1" applyFill="1" applyAlignment="1">
      <alignment horizontal="right" vertical="center"/>
    </xf>
    <xf numFmtId="178" fontId="65" fillId="2" borderId="0" xfId="1" applyFont="1" applyFill="1" applyBorder="1"/>
    <xf numFmtId="3" fontId="65" fillId="2" borderId="129" xfId="9" applyNumberFormat="1" applyFont="1" applyFill="1" applyBorder="1" applyAlignment="1">
      <alignment horizontal="right" vertical="center"/>
    </xf>
    <xf numFmtId="3" fontId="65" fillId="2" borderId="0" xfId="9" applyNumberFormat="1" applyFont="1" applyFill="1" applyAlignment="1">
      <alignment horizontal="right" vertical="center"/>
    </xf>
    <xf numFmtId="0" fontId="66" fillId="3" borderId="57" xfId="9" applyFont="1" applyFill="1" applyBorder="1" applyAlignment="1">
      <alignment vertical="center"/>
    </xf>
    <xf numFmtId="37" fontId="66" fillId="3" borderId="129" xfId="9" applyNumberFormat="1" applyFont="1" applyFill="1" applyBorder="1" applyAlignment="1">
      <alignment vertical="center"/>
    </xf>
    <xf numFmtId="37" fontId="71" fillId="3" borderId="57" xfId="9" applyNumberFormat="1" applyFont="1" applyFill="1" applyBorder="1" applyAlignment="1">
      <alignment vertical="center"/>
    </xf>
    <xf numFmtId="37" fontId="66" fillId="3" borderId="0" xfId="9" applyNumberFormat="1" applyFont="1" applyFill="1" applyAlignment="1">
      <alignment vertical="center"/>
    </xf>
    <xf numFmtId="4" fontId="65" fillId="2" borderId="0" xfId="0" applyNumberFormat="1" applyFont="1" applyFill="1"/>
    <xf numFmtId="179" fontId="72" fillId="4" borderId="0" xfId="1" applyNumberFormat="1" applyFont="1" applyFill="1" applyBorder="1" applyAlignment="1">
      <alignment horizontal="left" vertical="center"/>
    </xf>
    <xf numFmtId="37" fontId="66" fillId="4" borderId="129" xfId="9" applyNumberFormat="1" applyFont="1" applyFill="1" applyBorder="1" applyAlignment="1">
      <alignment vertical="center"/>
    </xf>
    <xf numFmtId="3" fontId="65" fillId="2" borderId="0" xfId="0" applyNumberFormat="1" applyFont="1" applyFill="1"/>
    <xf numFmtId="179" fontId="65" fillId="2" borderId="0" xfId="1" applyNumberFormat="1" applyFont="1" applyFill="1" applyBorder="1" applyAlignment="1"/>
    <xf numFmtId="0" fontId="65" fillId="0" borderId="57" xfId="9" applyFont="1" applyBorder="1" applyAlignment="1">
      <alignment horizontal="left" vertical="center"/>
    </xf>
    <xf numFmtId="3" fontId="65" fillId="4" borderId="129" xfId="9" applyNumberFormat="1" applyFont="1" applyFill="1" applyBorder="1" applyAlignment="1">
      <alignment horizontal="right" vertical="center"/>
    </xf>
    <xf numFmtId="4" fontId="65" fillId="2" borderId="57" xfId="9" applyNumberFormat="1" applyFont="1" applyFill="1" applyBorder="1" applyAlignment="1">
      <alignment horizontal="left" vertical="center"/>
    </xf>
    <xf numFmtId="179" fontId="72" fillId="0" borderId="0" xfId="1" applyNumberFormat="1" applyFont="1" applyFill="1" applyBorder="1" applyAlignment="1">
      <alignment horizontal="left" vertical="center"/>
    </xf>
    <xf numFmtId="3" fontId="66" fillId="3" borderId="57" xfId="9" applyNumberFormat="1" applyFont="1" applyFill="1" applyBorder="1" applyAlignment="1">
      <alignment horizontal="right" vertical="center"/>
    </xf>
    <xf numFmtId="3" fontId="71" fillId="3" borderId="57" xfId="9" applyNumberFormat="1" applyFont="1" applyFill="1" applyBorder="1" applyAlignment="1">
      <alignment horizontal="right" vertical="center"/>
    </xf>
    <xf numFmtId="3" fontId="66" fillId="3" borderId="0" xfId="9" applyNumberFormat="1" applyFont="1" applyFill="1" applyAlignment="1">
      <alignment horizontal="right" vertical="center"/>
    </xf>
    <xf numFmtId="3" fontId="66" fillId="8" borderId="57" xfId="9" applyNumberFormat="1" applyFont="1" applyFill="1" applyBorder="1" applyAlignment="1">
      <alignment horizontal="right" vertical="center"/>
    </xf>
    <xf numFmtId="0" fontId="66" fillId="3" borderId="59" xfId="9" applyFont="1" applyFill="1" applyBorder="1" applyAlignment="1">
      <alignment vertical="center"/>
    </xf>
    <xf numFmtId="3" fontId="66" fillId="3" borderId="59" xfId="9" applyNumberFormat="1" applyFont="1" applyFill="1" applyBorder="1" applyAlignment="1">
      <alignment horizontal="right" vertical="center"/>
    </xf>
    <xf numFmtId="0" fontId="66" fillId="3" borderId="56" xfId="9" applyFont="1" applyFill="1" applyBorder="1" applyAlignment="1">
      <alignment vertical="center"/>
    </xf>
    <xf numFmtId="3" fontId="66" fillId="3" borderId="54" xfId="9" applyNumberFormat="1" applyFont="1" applyFill="1" applyBorder="1" applyAlignment="1">
      <alignment horizontal="right" vertical="center"/>
    </xf>
    <xf numFmtId="3" fontId="66" fillId="3" borderId="55" xfId="9" applyNumberFormat="1" applyFont="1" applyFill="1" applyBorder="1" applyAlignment="1">
      <alignment horizontal="right" vertical="center"/>
    </xf>
    <xf numFmtId="179" fontId="65" fillId="2" borderId="0" xfId="1" applyNumberFormat="1" applyFont="1" applyFill="1" applyAlignment="1"/>
    <xf numFmtId="178" fontId="65" fillId="2" borderId="0" xfId="0" applyNumberFormat="1" applyFont="1" applyFill="1"/>
    <xf numFmtId="186" fontId="65" fillId="2" borderId="0" xfId="0" applyNumberFormat="1" applyFont="1" applyFill="1"/>
    <xf numFmtId="0" fontId="72" fillId="10" borderId="55" xfId="9" applyFont="1" applyFill="1" applyBorder="1" applyAlignment="1">
      <alignment horizontal="center" vertical="center"/>
    </xf>
    <xf numFmtId="179" fontId="72" fillId="0" borderId="0" xfId="1" applyNumberFormat="1" applyFont="1" applyFill="1" applyBorder="1" applyAlignment="1">
      <alignment vertical="center"/>
    </xf>
    <xf numFmtId="179" fontId="72" fillId="3" borderId="0" xfId="1" applyNumberFormat="1" applyFont="1" applyFill="1" applyBorder="1" applyAlignment="1">
      <alignment vertical="center"/>
    </xf>
    <xf numFmtId="179" fontId="72" fillId="3" borderId="58" xfId="1" applyNumberFormat="1" applyFont="1" applyFill="1" applyBorder="1" applyAlignment="1">
      <alignment vertical="center"/>
    </xf>
    <xf numFmtId="38" fontId="6" fillId="4" borderId="130" xfId="1" applyNumberFormat="1" applyFont="1" applyFill="1" applyBorder="1"/>
    <xf numFmtId="9" fontId="8" fillId="2" borderId="131" xfId="0" applyNumberFormat="1" applyFont="1" applyFill="1" applyBorder="1" applyAlignment="1">
      <alignment vertical="center"/>
    </xf>
    <xf numFmtId="181" fontId="8" fillId="4" borderId="132" xfId="0" applyNumberFormat="1" applyFont="1" applyFill="1" applyBorder="1" applyAlignment="1">
      <alignment vertical="center"/>
    </xf>
    <xf numFmtId="180" fontId="62" fillId="2" borderId="131" xfId="16" applyNumberFormat="1" applyFont="1" applyFill="1" applyBorder="1" applyAlignment="1">
      <alignment vertical="center"/>
    </xf>
    <xf numFmtId="180" fontId="62" fillId="2" borderId="132" xfId="16" applyNumberFormat="1" applyFont="1" applyFill="1" applyBorder="1" applyAlignment="1">
      <alignment vertical="center"/>
    </xf>
    <xf numFmtId="0" fontId="74" fillId="0" borderId="0" xfId="10" applyFont="1">
      <alignment vertical="center"/>
    </xf>
    <xf numFmtId="182" fontId="36" fillId="3" borderId="104" xfId="10" applyNumberFormat="1" applyFont="1" applyFill="1" applyBorder="1">
      <alignment vertical="center"/>
    </xf>
    <xf numFmtId="182" fontId="36" fillId="3" borderId="109" xfId="10" applyNumberFormat="1" applyFont="1" applyFill="1" applyBorder="1">
      <alignment vertical="center"/>
    </xf>
    <xf numFmtId="182" fontId="36" fillId="3" borderId="110" xfId="10" applyNumberFormat="1" applyFont="1" applyFill="1" applyBorder="1">
      <alignment vertical="center"/>
    </xf>
    <xf numFmtId="3" fontId="75" fillId="3" borderId="54" xfId="9" applyNumberFormat="1" applyFont="1" applyFill="1" applyBorder="1" applyAlignment="1">
      <alignment horizontal="right" vertical="center"/>
    </xf>
    <xf numFmtId="3" fontId="11" fillId="2" borderId="133" xfId="5" applyNumberFormat="1" applyFont="1" applyFill="1" applyBorder="1" applyAlignment="1">
      <alignment horizontal="right"/>
    </xf>
    <xf numFmtId="38" fontId="4" fillId="2" borderId="134" xfId="5" applyNumberFormat="1" applyFont="1" applyFill="1" applyBorder="1" applyAlignment="1"/>
    <xf numFmtId="38" fontId="15" fillId="2" borderId="134" xfId="5" applyNumberFormat="1" applyFont="1" applyFill="1" applyBorder="1" applyAlignment="1"/>
    <xf numFmtId="38" fontId="6" fillId="2" borderId="134" xfId="5" applyNumberFormat="1" applyFont="1" applyFill="1" applyBorder="1" applyAlignment="1"/>
    <xf numFmtId="38" fontId="15" fillId="2" borderId="135" xfId="5" applyNumberFormat="1" applyFont="1" applyFill="1" applyBorder="1" applyAlignment="1"/>
    <xf numFmtId="9" fontId="34" fillId="0" borderId="0" xfId="2" applyFont="1" applyBorder="1" applyAlignment="1">
      <alignment vertical="center"/>
    </xf>
    <xf numFmtId="182" fontId="35" fillId="2" borderId="136" xfId="10" applyNumberFormat="1" applyFont="1" applyFill="1" applyBorder="1">
      <alignment vertical="center"/>
    </xf>
    <xf numFmtId="178" fontId="4" fillId="0" borderId="128" xfId="1" applyFont="1" applyBorder="1" applyAlignment="1">
      <alignment horizontal="right" vertical="center"/>
    </xf>
    <xf numFmtId="184" fontId="4" fillId="0" borderId="128" xfId="1" applyNumberFormat="1" applyFont="1" applyBorder="1" applyAlignment="1">
      <alignment horizontal="right" vertical="center"/>
    </xf>
    <xf numFmtId="179" fontId="48" fillId="0" borderId="0" xfId="0" applyNumberFormat="1" applyFont="1" applyAlignment="1">
      <alignment vertical="center"/>
    </xf>
    <xf numFmtId="4" fontId="46" fillId="2" borderId="0" xfId="0" applyNumberFormat="1" applyFont="1" applyFill="1"/>
    <xf numFmtId="4" fontId="47" fillId="2" borderId="0" xfId="0" applyNumberFormat="1" applyFont="1" applyFill="1" applyAlignment="1">
      <alignment horizontal="center"/>
    </xf>
    <xf numFmtId="4" fontId="46" fillId="2" borderId="0" xfId="0" applyNumberFormat="1" applyFont="1" applyFill="1" applyAlignment="1">
      <alignment horizontal="center"/>
    </xf>
    <xf numFmtId="179" fontId="46" fillId="2" borderId="0" xfId="1" applyNumberFormat="1" applyFont="1" applyFill="1" applyBorder="1"/>
    <xf numFmtId="179" fontId="76" fillId="2" borderId="0" xfId="1" applyNumberFormat="1" applyFont="1" applyFill="1" applyBorder="1" applyAlignment="1"/>
    <xf numFmtId="178" fontId="46" fillId="2" borderId="0" xfId="1" applyFont="1" applyFill="1" applyBorder="1"/>
    <xf numFmtId="184" fontId="46" fillId="2" borderId="0" xfId="1" applyNumberFormat="1" applyFont="1" applyFill="1" applyBorder="1"/>
    <xf numFmtId="179" fontId="77" fillId="0" borderId="0" xfId="1" applyNumberFormat="1" applyFont="1"/>
    <xf numFmtId="0" fontId="78" fillId="0" borderId="0" xfId="8" applyFont="1"/>
    <xf numFmtId="179" fontId="78" fillId="0" borderId="0" xfId="17" applyNumberFormat="1" applyFont="1" applyFill="1" applyBorder="1"/>
    <xf numFmtId="0" fontId="78" fillId="0" borderId="33" xfId="8" applyFont="1" applyBorder="1"/>
    <xf numFmtId="177" fontId="79" fillId="0" borderId="0" xfId="14" applyFont="1" applyFill="1" applyBorder="1"/>
    <xf numFmtId="179" fontId="80" fillId="0" borderId="0" xfId="1" applyNumberFormat="1" applyFont="1" applyFill="1" applyBorder="1"/>
    <xf numFmtId="0" fontId="78" fillId="0" borderId="137" xfId="8" applyFont="1" applyBorder="1"/>
    <xf numFmtId="179" fontId="78" fillId="0" borderId="137" xfId="17" applyNumberFormat="1" applyFont="1" applyFill="1" applyBorder="1"/>
    <xf numFmtId="177" fontId="79" fillId="0" borderId="137" xfId="14" applyFont="1" applyFill="1" applyBorder="1"/>
    <xf numFmtId="179" fontId="80" fillId="0" borderId="137" xfId="1" applyNumberFormat="1" applyFont="1" applyFill="1" applyBorder="1"/>
    <xf numFmtId="0" fontId="78" fillId="0" borderId="90" xfId="8" applyFont="1" applyBorder="1"/>
    <xf numFmtId="179" fontId="78" fillId="0" borderId="90" xfId="17" applyNumberFormat="1" applyFont="1" applyFill="1" applyBorder="1"/>
    <xf numFmtId="179" fontId="80" fillId="0" borderId="90" xfId="1" applyNumberFormat="1" applyFont="1" applyFill="1" applyBorder="1"/>
    <xf numFmtId="179" fontId="78" fillId="0" borderId="79" xfId="17" applyNumberFormat="1" applyFont="1" applyFill="1" applyBorder="1"/>
    <xf numFmtId="177" fontId="79" fillId="0" borderId="79" xfId="14" applyFont="1" applyFill="1" applyBorder="1"/>
    <xf numFmtId="179" fontId="80" fillId="0" borderId="79" xfId="1" applyNumberFormat="1" applyFont="1" applyFill="1" applyBorder="1"/>
    <xf numFmtId="0" fontId="78" fillId="0" borderId="79" xfId="8" applyFont="1" applyBorder="1"/>
    <xf numFmtId="3" fontId="4" fillId="5" borderId="137" xfId="0" applyNumberFormat="1" applyFont="1" applyFill="1" applyBorder="1"/>
    <xf numFmtId="179" fontId="0" fillId="0" borderId="137" xfId="1" applyNumberFormat="1" applyFont="1" applyBorder="1"/>
    <xf numFmtId="0" fontId="0" fillId="0" borderId="137" xfId="0" applyBorder="1"/>
    <xf numFmtId="177" fontId="82" fillId="0" borderId="33" xfId="14" applyFont="1" applyFill="1" applyBorder="1"/>
    <xf numFmtId="3" fontId="4" fillId="5" borderId="117" xfId="0" applyNumberFormat="1" applyFont="1" applyFill="1" applyBorder="1"/>
    <xf numFmtId="0" fontId="0" fillId="0" borderId="90" xfId="0" applyBorder="1"/>
    <xf numFmtId="179" fontId="0" fillId="0" borderId="90" xfId="1" applyNumberFormat="1" applyFont="1" applyBorder="1"/>
    <xf numFmtId="3" fontId="4" fillId="5" borderId="90" xfId="0" applyNumberFormat="1" applyFont="1" applyFill="1" applyBorder="1"/>
    <xf numFmtId="0" fontId="78" fillId="0" borderId="64" xfId="8" applyFont="1" applyBorder="1"/>
    <xf numFmtId="177" fontId="79" fillId="0" borderId="90" xfId="14" applyFont="1" applyFill="1" applyBorder="1"/>
    <xf numFmtId="177" fontId="82" fillId="0" borderId="89" xfId="14" applyFont="1" applyFill="1" applyBorder="1"/>
    <xf numFmtId="179" fontId="83" fillId="0" borderId="0" xfId="1" applyNumberFormat="1" applyFont="1" applyFill="1" applyBorder="1"/>
    <xf numFmtId="0" fontId="0" fillId="0" borderId="79" xfId="0" applyBorder="1"/>
    <xf numFmtId="179" fontId="0" fillId="0" borderId="79" xfId="1" applyNumberFormat="1" applyFont="1" applyBorder="1"/>
    <xf numFmtId="3" fontId="4" fillId="5" borderId="79" xfId="0" applyNumberFormat="1" applyFont="1" applyFill="1" applyBorder="1"/>
    <xf numFmtId="0" fontId="56" fillId="0" borderId="90" xfId="0" applyFont="1" applyBorder="1"/>
    <xf numFmtId="179" fontId="78" fillId="0" borderId="0" xfId="1" applyNumberFormat="1" applyFont="1" applyFill="1" applyBorder="1"/>
    <xf numFmtId="179" fontId="78" fillId="0" borderId="79" xfId="1" applyNumberFormat="1" applyFont="1" applyFill="1" applyBorder="1"/>
    <xf numFmtId="179" fontId="78" fillId="0" borderId="137" xfId="1" applyNumberFormat="1" applyFont="1" applyFill="1" applyBorder="1"/>
    <xf numFmtId="179" fontId="78" fillId="0" borderId="90" xfId="1" applyNumberFormat="1" applyFont="1" applyFill="1" applyBorder="1"/>
    <xf numFmtId="179" fontId="78" fillId="0" borderId="64" xfId="1" applyNumberFormat="1" applyFont="1" applyFill="1" applyBorder="1"/>
    <xf numFmtId="179" fontId="81" fillId="2" borderId="90" xfId="1" applyNumberFormat="1" applyFont="1" applyFill="1" applyBorder="1"/>
    <xf numFmtId="179" fontId="78" fillId="0" borderId="0" xfId="8" applyNumberFormat="1" applyFont="1"/>
    <xf numFmtId="178" fontId="78" fillId="0" borderId="0" xfId="8" applyNumberFormat="1" applyFont="1"/>
    <xf numFmtId="177" fontId="78" fillId="0" borderId="0" xfId="8" applyNumberFormat="1" applyFont="1"/>
    <xf numFmtId="4" fontId="48" fillId="2" borderId="0" xfId="0" applyNumberFormat="1" applyFont="1" applyFill="1"/>
    <xf numFmtId="187" fontId="34" fillId="0" borderId="0" xfId="1" applyNumberFormat="1" applyFont="1" applyBorder="1" applyAlignment="1">
      <alignment vertical="center"/>
    </xf>
    <xf numFmtId="181" fontId="34" fillId="0" borderId="0" xfId="2" applyNumberFormat="1" applyFont="1" applyBorder="1" applyAlignment="1">
      <alignment vertical="center"/>
    </xf>
    <xf numFmtId="38" fontId="11" fillId="2" borderId="49" xfId="1" applyNumberFormat="1" applyFont="1" applyFill="1" applyBorder="1"/>
    <xf numFmtId="179" fontId="34" fillId="0" borderId="0" xfId="1" applyNumberFormat="1" applyFont="1" applyBorder="1" applyAlignment="1">
      <alignment vertical="center"/>
    </xf>
    <xf numFmtId="181" fontId="9" fillId="4" borderId="32" xfId="2" applyNumberFormat="1" applyFont="1" applyFill="1" applyBorder="1"/>
    <xf numFmtId="181" fontId="9" fillId="4" borderId="29" xfId="2" applyNumberFormat="1" applyFont="1" applyFill="1" applyBorder="1"/>
    <xf numFmtId="179" fontId="34" fillId="0" borderId="0" xfId="10" applyNumberFormat="1" applyFont="1">
      <alignment vertical="center"/>
    </xf>
    <xf numFmtId="0" fontId="84" fillId="0" borderId="0" xfId="10" applyFont="1">
      <alignment vertical="center"/>
    </xf>
    <xf numFmtId="179" fontId="84" fillId="0" borderId="0" xfId="1" applyNumberFormat="1" applyFont="1" applyBorder="1" applyAlignment="1">
      <alignment vertical="center"/>
    </xf>
    <xf numFmtId="182" fontId="84" fillId="0" borderId="0" xfId="10" applyNumberFormat="1" applyFont="1">
      <alignment vertical="center"/>
    </xf>
    <xf numFmtId="179" fontId="84" fillId="0" borderId="0" xfId="1" applyNumberFormat="1" applyFont="1" applyBorder="1" applyAlignment="1">
      <alignment horizontal="center" vertical="center"/>
    </xf>
    <xf numFmtId="178" fontId="34" fillId="0" borderId="0" xfId="1" applyFont="1" applyBorder="1" applyAlignment="1">
      <alignment vertical="center"/>
    </xf>
    <xf numFmtId="182" fontId="35" fillId="4" borderId="66" xfId="10" applyNumberFormat="1" applyFont="1" applyFill="1" applyBorder="1">
      <alignment vertical="center"/>
    </xf>
    <xf numFmtId="10" fontId="8" fillId="4" borderId="4" xfId="0" applyNumberFormat="1" applyFont="1" applyFill="1" applyBorder="1" applyAlignment="1">
      <alignment vertical="center"/>
    </xf>
    <xf numFmtId="0" fontId="14" fillId="4" borderId="39" xfId="4" applyFont="1" applyFill="1" applyBorder="1" applyAlignment="1">
      <alignment horizontal="left" indent="1"/>
    </xf>
    <xf numFmtId="3" fontId="65" fillId="4" borderId="0" xfId="9" applyNumberFormat="1" applyFont="1" applyFill="1" applyAlignment="1">
      <alignment horizontal="right" vertical="center"/>
    </xf>
    <xf numFmtId="10" fontId="35" fillId="4" borderId="0" xfId="13" applyNumberFormat="1" applyFont="1" applyFill="1" applyBorder="1" applyAlignment="1">
      <alignment vertical="center"/>
    </xf>
    <xf numFmtId="0" fontId="0" fillId="6" borderId="67" xfId="0" applyFill="1" applyBorder="1" applyAlignment="1">
      <alignment horizontal="center"/>
    </xf>
    <xf numFmtId="185" fontId="2" fillId="6" borderId="67" xfId="14" applyNumberFormat="1" applyFont="1" applyFill="1" applyBorder="1" applyAlignment="1">
      <alignment horizontal="center"/>
    </xf>
    <xf numFmtId="185" fontId="2" fillId="6" borderId="66" xfId="14" applyNumberFormat="1" applyFont="1" applyFill="1" applyBorder="1" applyAlignment="1">
      <alignment horizontal="center"/>
    </xf>
    <xf numFmtId="0" fontId="85" fillId="0" borderId="67" xfId="8" applyFont="1" applyBorder="1"/>
    <xf numFmtId="179" fontId="85" fillId="0" borderId="67" xfId="17" applyNumberFormat="1" applyFont="1" applyFill="1" applyBorder="1"/>
    <xf numFmtId="179" fontId="86" fillId="0" borderId="67" xfId="1" applyNumberFormat="1" applyFont="1" applyFill="1" applyBorder="1"/>
    <xf numFmtId="179" fontId="85" fillId="0" borderId="67" xfId="1" applyNumberFormat="1" applyFont="1" applyFill="1" applyBorder="1"/>
    <xf numFmtId="179" fontId="85" fillId="0" borderId="0" xfId="1" applyNumberFormat="1" applyFont="1" applyFill="1" applyBorder="1"/>
    <xf numFmtId="0" fontId="85" fillId="0" borderId="0" xfId="8" applyFont="1"/>
    <xf numFmtId="0" fontId="85" fillId="12" borderId="64" xfId="8" applyFont="1" applyFill="1" applyBorder="1"/>
    <xf numFmtId="178" fontId="85" fillId="12" borderId="131" xfId="17" applyFont="1" applyFill="1" applyBorder="1" applyAlignment="1">
      <alignment horizontal="centerContinuous" vertical="center"/>
    </xf>
    <xf numFmtId="178" fontId="87" fillId="12" borderId="131" xfId="14" applyNumberFormat="1" applyFont="1" applyFill="1" applyBorder="1" applyAlignment="1">
      <alignment horizontal="centerContinuous" vertical="center"/>
    </xf>
    <xf numFmtId="179" fontId="86" fillId="12" borderId="131" xfId="1" applyNumberFormat="1" applyFont="1" applyFill="1" applyBorder="1" applyAlignment="1">
      <alignment horizontal="centerContinuous" vertical="center"/>
    </xf>
    <xf numFmtId="179" fontId="85" fillId="12" borderId="131" xfId="1" applyNumberFormat="1" applyFont="1" applyFill="1" applyBorder="1" applyAlignment="1">
      <alignment horizontal="centerContinuous" vertical="center"/>
    </xf>
    <xf numFmtId="0" fontId="85" fillId="12" borderId="67" xfId="8" applyFont="1" applyFill="1" applyBorder="1" applyAlignment="1">
      <alignment horizontal="center"/>
    </xf>
    <xf numFmtId="179" fontId="85" fillId="12" borderId="67" xfId="17" applyNumberFormat="1" applyFont="1" applyFill="1" applyBorder="1" applyAlignment="1">
      <alignment horizontal="center"/>
    </xf>
    <xf numFmtId="177" fontId="87" fillId="12" borderId="67" xfId="14" applyFont="1" applyFill="1" applyBorder="1" applyAlignment="1">
      <alignment horizontal="center"/>
    </xf>
    <xf numFmtId="179" fontId="86" fillId="12" borderId="67" xfId="1" applyNumberFormat="1" applyFont="1" applyFill="1" applyBorder="1" applyAlignment="1">
      <alignment horizontal="center" wrapText="1"/>
    </xf>
    <xf numFmtId="179" fontId="85" fillId="12" borderId="67" xfId="1" applyNumberFormat="1" applyFont="1" applyFill="1" applyBorder="1" applyAlignment="1">
      <alignment horizontal="center"/>
    </xf>
    <xf numFmtId="179" fontId="86" fillId="14" borderId="90" xfId="1" applyNumberFormat="1" applyFont="1" applyFill="1" applyBorder="1" applyAlignment="1">
      <alignment horizontal="center" wrapText="1"/>
    </xf>
    <xf numFmtId="177" fontId="87" fillId="14" borderId="67" xfId="14" applyFont="1" applyFill="1" applyBorder="1" applyAlignment="1">
      <alignment horizontal="center"/>
    </xf>
    <xf numFmtId="0" fontId="85" fillId="12" borderId="67" xfId="8" applyFont="1" applyFill="1" applyBorder="1" applyAlignment="1">
      <alignment horizontal="center" vertical="center"/>
    </xf>
    <xf numFmtId="177" fontId="87" fillId="12" borderId="67" xfId="14" applyFont="1" applyFill="1" applyBorder="1" applyAlignment="1">
      <alignment horizontal="center" vertical="center"/>
    </xf>
    <xf numFmtId="179" fontId="86" fillId="12" borderId="67" xfId="1" applyNumberFormat="1" applyFont="1" applyFill="1" applyBorder="1" applyAlignment="1">
      <alignment horizontal="center" vertical="center" wrapText="1"/>
    </xf>
    <xf numFmtId="179" fontId="85" fillId="12" borderId="67" xfId="1" applyNumberFormat="1" applyFont="1" applyFill="1" applyBorder="1" applyAlignment="1">
      <alignment horizontal="center" vertical="center"/>
    </xf>
    <xf numFmtId="179" fontId="85" fillId="0" borderId="0" xfId="1" applyNumberFormat="1" applyFont="1" applyFill="1" applyBorder="1" applyAlignment="1">
      <alignment vertical="center"/>
    </xf>
    <xf numFmtId="0" fontId="85" fillId="0" borderId="0" xfId="8" applyFont="1" applyAlignment="1">
      <alignment vertical="center"/>
    </xf>
    <xf numFmtId="0" fontId="85" fillId="12" borderId="64" xfId="8" applyFont="1" applyFill="1" applyBorder="1" applyAlignment="1">
      <alignment vertical="center"/>
    </xf>
    <xf numFmtId="0" fontId="46" fillId="2" borderId="0" xfId="0" applyFont="1" applyFill="1" applyAlignment="1">
      <alignment vertical="center"/>
    </xf>
    <xf numFmtId="0" fontId="46" fillId="2" borderId="0" xfId="0" applyFont="1" applyFill="1" applyAlignment="1">
      <alignment horizontal="right" vertical="center"/>
    </xf>
    <xf numFmtId="0" fontId="46" fillId="2" borderId="40" xfId="0" applyFont="1" applyFill="1" applyBorder="1" applyAlignment="1">
      <alignment horizontal="right" vertical="center"/>
    </xf>
    <xf numFmtId="0" fontId="46" fillId="0" borderId="0" xfId="0" applyFont="1" applyAlignment="1">
      <alignment horizontal="right" vertical="center"/>
    </xf>
    <xf numFmtId="0" fontId="2" fillId="2" borderId="0" xfId="0" applyFont="1" applyFill="1" applyAlignment="1">
      <alignment horizontal="right" vertical="center"/>
    </xf>
    <xf numFmtId="0" fontId="2" fillId="2" borderId="40" xfId="0" applyFont="1" applyFill="1" applyBorder="1" applyAlignment="1">
      <alignment horizontal="right" vertical="center"/>
    </xf>
    <xf numFmtId="178" fontId="32" fillId="0" borderId="0" xfId="0" applyNumberFormat="1" applyFont="1"/>
    <xf numFmtId="178" fontId="6" fillId="6" borderId="77" xfId="1" applyFont="1" applyFill="1" applyBorder="1" applyAlignment="1">
      <alignment horizontal="center" vertical="center"/>
    </xf>
    <xf numFmtId="0" fontId="88" fillId="2" borderId="0" xfId="0" applyFont="1" applyFill="1"/>
    <xf numFmtId="3" fontId="89" fillId="0" borderId="0" xfId="0" applyNumberFormat="1" applyFont="1" applyAlignment="1">
      <alignment horizontal="left"/>
    </xf>
    <xf numFmtId="38" fontId="89" fillId="6" borderId="78" xfId="1" applyNumberFormat="1" applyFont="1" applyFill="1" applyBorder="1" applyAlignment="1">
      <alignment horizontal="center" vertical="center"/>
    </xf>
    <xf numFmtId="10" fontId="90" fillId="6" borderId="95" xfId="2" applyNumberFormat="1" applyFont="1" applyFill="1" applyBorder="1" applyAlignment="1">
      <alignment horizontal="right" vertical="center"/>
    </xf>
    <xf numFmtId="10" fontId="90" fillId="6" borderId="80" xfId="2" applyNumberFormat="1" applyFont="1" applyFill="1" applyBorder="1" applyAlignment="1">
      <alignment horizontal="right" vertical="center"/>
    </xf>
    <xf numFmtId="10" fontId="89" fillId="12" borderId="107" xfId="1" applyNumberFormat="1" applyFont="1" applyFill="1" applyBorder="1" applyAlignment="1">
      <alignment vertical="center"/>
    </xf>
    <xf numFmtId="4" fontId="90" fillId="2" borderId="0" xfId="0" applyNumberFormat="1" applyFont="1" applyFill="1"/>
    <xf numFmtId="0" fontId="91" fillId="0" borderId="0" xfId="0" applyFont="1"/>
    <xf numFmtId="0" fontId="92" fillId="0" borderId="0" xfId="0" applyFont="1"/>
    <xf numFmtId="3" fontId="66" fillId="4" borderId="0" xfId="9" applyNumberFormat="1" applyFont="1" applyFill="1" applyAlignment="1">
      <alignment horizontal="right" vertical="center"/>
    </xf>
    <xf numFmtId="178" fontId="88" fillId="0" borderId="0" xfId="1" applyFont="1" applyFill="1" applyBorder="1"/>
    <xf numFmtId="178" fontId="90" fillId="0" borderId="0" xfId="1" applyFont="1" applyFill="1"/>
    <xf numFmtId="178" fontId="90" fillId="0" borderId="0" xfId="1" applyFont="1" applyFill="1" applyAlignment="1">
      <alignment vertical="center"/>
    </xf>
    <xf numFmtId="178" fontId="91" fillId="0" borderId="0" xfId="1" applyFont="1" applyFill="1"/>
    <xf numFmtId="178" fontId="91" fillId="0" borderId="0" xfId="1" applyFont="1"/>
    <xf numFmtId="178" fontId="92" fillId="0" borderId="0" xfId="1" applyFont="1" applyFill="1"/>
    <xf numFmtId="9" fontId="0" fillId="0" borderId="0" xfId="2" applyFont="1"/>
    <xf numFmtId="178" fontId="0" fillId="0" borderId="0" xfId="1" applyFont="1"/>
    <xf numFmtId="178" fontId="0" fillId="0" borderId="0" xfId="0" applyNumberFormat="1"/>
    <xf numFmtId="177" fontId="0" fillId="2" borderId="0" xfId="14" applyFont="1" applyFill="1"/>
    <xf numFmtId="177" fontId="1" fillId="2" borderId="0" xfId="14" applyFont="1" applyFill="1"/>
    <xf numFmtId="38" fontId="11" fillId="4" borderId="0" xfId="5" applyNumberFormat="1" applyFont="1" applyFill="1" applyBorder="1" applyAlignment="1"/>
    <xf numFmtId="0" fontId="64" fillId="0" borderId="0" xfId="0" applyFont="1"/>
    <xf numFmtId="0" fontId="48" fillId="0" borderId="0" xfId="0" applyFont="1" applyAlignment="1">
      <alignment vertical="center"/>
    </xf>
    <xf numFmtId="38" fontId="4" fillId="0" borderId="0" xfId="5" applyNumberFormat="1" applyFont="1" applyFill="1" applyBorder="1" applyAlignment="1"/>
    <xf numFmtId="179" fontId="65" fillId="2" borderId="0" xfId="1" applyNumberFormat="1" applyFont="1" applyFill="1" applyBorder="1" applyAlignment="1">
      <alignment wrapText="1"/>
    </xf>
    <xf numFmtId="0" fontId="78" fillId="0" borderId="140" xfId="8" applyFont="1" applyBorder="1"/>
    <xf numFmtId="179" fontId="78" fillId="0" borderId="140" xfId="17" applyNumberFormat="1" applyFont="1" applyFill="1" applyBorder="1"/>
    <xf numFmtId="177" fontId="79" fillId="0" borderId="140" xfId="14" applyFont="1" applyFill="1" applyBorder="1"/>
    <xf numFmtId="179" fontId="80" fillId="0" borderId="140" xfId="1" applyNumberFormat="1" applyFont="1" applyFill="1" applyBorder="1"/>
    <xf numFmtId="179" fontId="78" fillId="0" borderId="140" xfId="1" applyNumberFormat="1" applyFont="1" applyFill="1" applyBorder="1"/>
    <xf numFmtId="179" fontId="80" fillId="0" borderId="67" xfId="1" applyNumberFormat="1" applyFont="1" applyFill="1" applyBorder="1"/>
    <xf numFmtId="177" fontId="87" fillId="0" borderId="67" xfId="14" applyFont="1" applyFill="1" applyBorder="1"/>
    <xf numFmtId="0" fontId="61" fillId="0" borderId="0" xfId="0" applyFont="1"/>
    <xf numFmtId="0" fontId="61" fillId="7" borderId="0" xfId="0" applyFont="1" applyFill="1"/>
    <xf numFmtId="0" fontId="85" fillId="0" borderId="137" xfId="8" applyFont="1" applyBorder="1"/>
    <xf numFmtId="177" fontId="87" fillId="15" borderId="137" xfId="14" applyFont="1" applyFill="1" applyBorder="1"/>
    <xf numFmtId="177" fontId="79" fillId="15" borderId="137" xfId="14" applyFont="1" applyFill="1" applyBorder="1"/>
    <xf numFmtId="177" fontId="86" fillId="15" borderId="137" xfId="14" applyFont="1" applyFill="1" applyBorder="1"/>
    <xf numFmtId="0" fontId="78" fillId="15" borderId="137" xfId="8" applyFont="1" applyFill="1" applyBorder="1"/>
    <xf numFmtId="0" fontId="78" fillId="15" borderId="90" xfId="8" applyFont="1" applyFill="1" applyBorder="1"/>
    <xf numFmtId="179" fontId="6" fillId="6" borderId="128" xfId="1" applyNumberFormat="1" applyFont="1" applyFill="1" applyBorder="1" applyAlignment="1">
      <alignment horizontal="right" vertical="center"/>
    </xf>
    <xf numFmtId="179" fontId="6" fillId="6" borderId="79" xfId="1" applyNumberFormat="1" applyFont="1" applyFill="1" applyBorder="1" applyAlignment="1">
      <alignment horizontal="right" vertical="center"/>
    </xf>
    <xf numFmtId="179" fontId="2" fillId="2" borderId="0" xfId="1" applyNumberFormat="1" applyFont="1" applyFill="1" applyBorder="1" applyAlignment="1"/>
    <xf numFmtId="188" fontId="34" fillId="0" borderId="0" xfId="10" applyNumberFormat="1" applyFont="1">
      <alignment vertical="center"/>
    </xf>
    <xf numFmtId="189" fontId="34" fillId="0" borderId="0" xfId="10" applyNumberFormat="1" applyFont="1">
      <alignment vertical="center"/>
    </xf>
    <xf numFmtId="178" fontId="0" fillId="2" borderId="0" xfId="1" applyFont="1" applyFill="1"/>
    <xf numFmtId="179" fontId="34" fillId="0" borderId="0" xfId="1" applyNumberFormat="1" applyFont="1" applyAlignment="1">
      <alignment vertical="center"/>
    </xf>
    <xf numFmtId="3" fontId="65" fillId="2" borderId="0" xfId="0" applyNumberFormat="1" applyFont="1" applyFill="1" applyAlignment="1">
      <alignment vertical="center" wrapText="1"/>
    </xf>
    <xf numFmtId="9" fontId="65" fillId="2" borderId="0" xfId="2" applyFont="1" applyFill="1" applyBorder="1" applyAlignment="1"/>
    <xf numFmtId="0" fontId="94" fillId="0" borderId="0" xfId="0" applyFont="1"/>
    <xf numFmtId="0" fontId="96" fillId="16" borderId="141" xfId="0" applyFont="1" applyFill="1" applyBorder="1" applyAlignment="1">
      <alignment horizontal="center" vertical="center" wrapText="1"/>
    </xf>
    <xf numFmtId="0" fontId="97" fillId="0" borderId="141" xfId="0" applyFont="1" applyBorder="1" applyAlignment="1">
      <alignment horizontal="left" vertical="center" wrapText="1"/>
    </xf>
    <xf numFmtId="0" fontId="97" fillId="0" borderId="141" xfId="0" applyFont="1" applyBorder="1" applyAlignment="1">
      <alignment horizontal="center" vertical="center" wrapText="1"/>
    </xf>
    <xf numFmtId="3" fontId="97" fillId="0" borderId="141" xfId="0" applyNumberFormat="1" applyFont="1" applyBorder="1" applyAlignment="1">
      <alignment horizontal="right" vertical="center"/>
    </xf>
    <xf numFmtId="190" fontId="97" fillId="0" borderId="141" xfId="0" applyNumberFormat="1" applyFont="1" applyBorder="1" applyAlignment="1">
      <alignment horizontal="right" vertical="center"/>
    </xf>
    <xf numFmtId="191" fontId="97" fillId="0" borderId="141" xfId="0" applyNumberFormat="1" applyFont="1" applyBorder="1" applyAlignment="1">
      <alignment horizontal="right" vertical="center"/>
    </xf>
    <xf numFmtId="0" fontId="96" fillId="16" borderId="142" xfId="0" applyFont="1" applyFill="1" applyBorder="1" applyAlignment="1">
      <alignment horizontal="center" vertical="center" wrapText="1"/>
    </xf>
    <xf numFmtId="3" fontId="97" fillId="0" borderId="142" xfId="0" applyNumberFormat="1" applyFont="1" applyBorder="1" applyAlignment="1">
      <alignment horizontal="right" vertical="center"/>
    </xf>
    <xf numFmtId="191" fontId="97" fillId="0" borderId="142" xfId="0" applyNumberFormat="1" applyFont="1" applyBorder="1" applyAlignment="1">
      <alignment horizontal="right" vertical="center"/>
    </xf>
    <xf numFmtId="0" fontId="96" fillId="16" borderId="143" xfId="0" applyFont="1" applyFill="1" applyBorder="1" applyAlignment="1">
      <alignment horizontal="center" vertical="center" wrapText="1"/>
    </xf>
    <xf numFmtId="41" fontId="98" fillId="0" borderId="143" xfId="18" applyFont="1" applyBorder="1" applyAlignment="1"/>
    <xf numFmtId="0" fontId="96" fillId="16" borderId="144" xfId="0" applyFont="1" applyFill="1" applyBorder="1" applyAlignment="1">
      <alignment horizontal="center" vertical="center" wrapText="1"/>
    </xf>
    <xf numFmtId="3" fontId="97" fillId="0" borderId="145" xfId="0" applyNumberFormat="1" applyFont="1" applyBorder="1" applyAlignment="1">
      <alignment horizontal="right" vertical="center"/>
    </xf>
    <xf numFmtId="191" fontId="97" fillId="0" borderId="146" xfId="0" applyNumberFormat="1" applyFont="1" applyBorder="1" applyAlignment="1">
      <alignment horizontal="right" vertical="center"/>
    </xf>
    <xf numFmtId="0" fontId="103" fillId="0" borderId="0" xfId="0" applyFont="1" applyAlignment="1">
      <alignment vertical="center"/>
    </xf>
    <xf numFmtId="0" fontId="104" fillId="0" borderId="0" xfId="0" applyFont="1" applyAlignment="1">
      <alignment horizontal="left" vertical="center" indent="1"/>
    </xf>
    <xf numFmtId="0" fontId="105" fillId="0" borderId="0" xfId="0" applyFont="1"/>
    <xf numFmtId="0" fontId="56" fillId="17" borderId="131" xfId="0" applyFont="1" applyFill="1" applyBorder="1" applyAlignment="1">
      <alignment horizontal="center" vertical="center"/>
    </xf>
    <xf numFmtId="192" fontId="56" fillId="17" borderId="131" xfId="0" applyNumberFormat="1" applyFont="1" applyFill="1" applyBorder="1" applyAlignment="1">
      <alignment horizontal="center" vertical="center"/>
    </xf>
    <xf numFmtId="192" fontId="56" fillId="17" borderId="147" xfId="0" applyNumberFormat="1" applyFont="1" applyFill="1" applyBorder="1" applyAlignment="1">
      <alignment horizontal="center" vertical="center"/>
    </xf>
    <xf numFmtId="192" fontId="56" fillId="17" borderId="16" xfId="0" applyNumberFormat="1" applyFont="1" applyFill="1" applyBorder="1" applyAlignment="1">
      <alignment horizontal="center" vertical="center" wrapText="1"/>
    </xf>
    <xf numFmtId="192" fontId="56" fillId="17" borderId="148" xfId="0" applyNumberFormat="1" applyFont="1" applyFill="1" applyBorder="1" applyAlignment="1">
      <alignment horizontal="center" vertical="center"/>
    </xf>
    <xf numFmtId="0" fontId="56" fillId="17" borderId="139" xfId="0" applyFont="1" applyFill="1" applyBorder="1" applyAlignment="1">
      <alignment vertical="center"/>
    </xf>
    <xf numFmtId="0" fontId="56" fillId="17" borderId="131" xfId="0" applyFont="1" applyFill="1" applyBorder="1" applyAlignment="1">
      <alignment vertical="center"/>
    </xf>
    <xf numFmtId="0" fontId="56" fillId="0" borderId="0" xfId="0" applyFont="1" applyAlignment="1">
      <alignment horizontal="center" vertical="center"/>
    </xf>
    <xf numFmtId="0" fontId="0" fillId="0" borderId="131" xfId="0" applyBorder="1" applyAlignment="1">
      <alignment horizontal="center" vertical="center"/>
    </xf>
    <xf numFmtId="0" fontId="0" fillId="0" borderId="131" xfId="0" applyBorder="1" applyAlignment="1">
      <alignment horizontal="left" vertical="center" wrapText="1"/>
    </xf>
    <xf numFmtId="179" fontId="0" fillId="0" borderId="131" xfId="1" applyNumberFormat="1" applyFont="1" applyBorder="1" applyAlignment="1">
      <alignment horizontal="center" vertical="center"/>
    </xf>
    <xf numFmtId="179" fontId="0" fillId="18" borderId="131" xfId="1" applyNumberFormat="1" applyFont="1" applyFill="1" applyBorder="1" applyAlignment="1">
      <alignment horizontal="center" vertical="center"/>
    </xf>
    <xf numFmtId="0" fontId="0" fillId="0" borderId="147" xfId="0" applyBorder="1" applyAlignment="1">
      <alignment horizontal="center" vertical="center"/>
    </xf>
    <xf numFmtId="179" fontId="0" fillId="0" borderId="149" xfId="0" applyNumberFormat="1" applyBorder="1" applyAlignment="1">
      <alignment horizontal="center" vertical="center"/>
    </xf>
    <xf numFmtId="179" fontId="0" fillId="0" borderId="150" xfId="0" applyNumberFormat="1" applyBorder="1" applyAlignment="1">
      <alignment horizontal="center" vertical="center"/>
    </xf>
    <xf numFmtId="0" fontId="0" fillId="0" borderId="0" xfId="0" applyAlignment="1">
      <alignment horizontal="center" vertical="center"/>
    </xf>
    <xf numFmtId="179" fontId="0" fillId="0" borderId="147" xfId="0" applyNumberFormat="1" applyBorder="1" applyAlignment="1">
      <alignment horizontal="center" vertical="center"/>
    </xf>
    <xf numFmtId="0" fontId="56" fillId="0" borderId="131" xfId="0" applyFont="1" applyBorder="1" applyAlignment="1">
      <alignment horizontal="center" vertical="center"/>
    </xf>
    <xf numFmtId="0" fontId="56" fillId="0" borderId="131" xfId="0" applyFont="1" applyBorder="1" applyAlignment="1">
      <alignment horizontal="left" vertical="center"/>
    </xf>
    <xf numFmtId="179" fontId="56" fillId="0" borderId="131" xfId="1" applyNumberFormat="1" applyFont="1" applyBorder="1" applyAlignment="1">
      <alignment horizontal="center" vertical="center"/>
    </xf>
    <xf numFmtId="179" fontId="56" fillId="18" borderId="131" xfId="1" applyNumberFormat="1" applyFont="1" applyFill="1" applyBorder="1" applyAlignment="1">
      <alignment horizontal="center" vertical="center"/>
    </xf>
    <xf numFmtId="179" fontId="56" fillId="0" borderId="147" xfId="0" applyNumberFormat="1" applyFont="1" applyBorder="1" applyAlignment="1">
      <alignment horizontal="center" vertical="center"/>
    </xf>
    <xf numFmtId="179" fontId="56" fillId="0" borderId="151" xfId="0" applyNumberFormat="1" applyFont="1" applyBorder="1" applyAlignment="1">
      <alignment horizontal="center" vertical="center"/>
    </xf>
    <xf numFmtId="179" fontId="56" fillId="0" borderId="152" xfId="0" applyNumberFormat="1" applyFont="1" applyBorder="1" applyAlignment="1">
      <alignment horizontal="center" vertical="center"/>
    </xf>
    <xf numFmtId="0" fontId="56" fillId="17" borderId="139" xfId="0" applyFont="1" applyFill="1" applyBorder="1" applyAlignment="1">
      <alignment horizontal="center" vertical="center"/>
    </xf>
    <xf numFmtId="179" fontId="0" fillId="0" borderId="147" xfId="1" applyNumberFormat="1" applyFont="1" applyBorder="1" applyAlignment="1">
      <alignment horizontal="center" vertical="center"/>
    </xf>
    <xf numFmtId="0" fontId="56" fillId="0" borderId="131" xfId="0" applyFont="1" applyBorder="1" applyAlignment="1">
      <alignment vertical="center"/>
    </xf>
    <xf numFmtId="0" fontId="56" fillId="0" borderId="131" xfId="0" applyFont="1" applyBorder="1" applyAlignment="1">
      <alignment horizontal="left" vertical="center" wrapText="1"/>
    </xf>
    <xf numFmtId="179" fontId="56" fillId="0" borderId="131" xfId="0" applyNumberFormat="1" applyFont="1" applyBorder="1" applyAlignment="1">
      <alignment vertical="center"/>
    </xf>
    <xf numFmtId="179" fontId="56" fillId="18" borderId="131" xfId="0" applyNumberFormat="1" applyFont="1" applyFill="1" applyBorder="1" applyAlignment="1">
      <alignment vertical="center"/>
    </xf>
    <xf numFmtId="179" fontId="56" fillId="0" borderId="147" xfId="0" applyNumberFormat="1" applyFont="1" applyBorder="1" applyAlignment="1">
      <alignment vertical="center"/>
    </xf>
    <xf numFmtId="0" fontId="104" fillId="0" borderId="0" xfId="0" applyFont="1" applyAlignment="1">
      <alignment horizontal="left" vertical="center"/>
    </xf>
    <xf numFmtId="0" fontId="0" fillId="0" borderId="0" xfId="0" applyAlignment="1">
      <alignment horizontal="center"/>
    </xf>
    <xf numFmtId="0" fontId="104" fillId="0" borderId="131" xfId="0" applyFont="1" applyBorder="1" applyAlignment="1">
      <alignment horizontal="center" vertical="center"/>
    </xf>
    <xf numFmtId="0" fontId="106" fillId="0" borderId="131" xfId="0" applyFont="1" applyBorder="1" applyAlignment="1">
      <alignment horizontal="center" vertical="center"/>
    </xf>
    <xf numFmtId="41" fontId="105" fillId="0" borderId="131" xfId="18" applyFont="1" applyBorder="1" applyAlignment="1">
      <alignment horizontal="center"/>
    </xf>
    <xf numFmtId="41" fontId="107" fillId="0" borderId="131" xfId="18" applyFont="1" applyBorder="1" applyAlignment="1">
      <alignment horizontal="center"/>
    </xf>
    <xf numFmtId="0" fontId="104" fillId="19" borderId="131" xfId="0" applyFont="1" applyFill="1" applyBorder="1" applyAlignment="1">
      <alignment horizontal="center" vertical="center"/>
    </xf>
    <xf numFmtId="0" fontId="105" fillId="19" borderId="131" xfId="0" applyFont="1" applyFill="1" applyBorder="1" applyAlignment="1">
      <alignment horizontal="center"/>
    </xf>
    <xf numFmtId="41" fontId="105" fillId="0" borderId="131" xfId="18" applyFont="1" applyBorder="1" applyAlignment="1"/>
    <xf numFmtId="41" fontId="107" fillId="0" borderId="131" xfId="18" applyFont="1" applyBorder="1" applyAlignment="1"/>
    <xf numFmtId="41" fontId="108" fillId="0" borderId="131" xfId="18" applyFont="1" applyBorder="1" applyAlignment="1"/>
    <xf numFmtId="0" fontId="97" fillId="0" borderId="131" xfId="0" applyFont="1" applyBorder="1" applyAlignment="1">
      <alignment horizontal="left" vertical="center" wrapText="1"/>
    </xf>
    <xf numFmtId="0" fontId="97" fillId="0" borderId="131" xfId="0" applyFont="1" applyBorder="1" applyAlignment="1">
      <alignment horizontal="center" vertical="center" wrapText="1"/>
    </xf>
    <xf numFmtId="3" fontId="97" fillId="0" borderId="131" xfId="0" applyNumberFormat="1" applyFont="1" applyBorder="1" applyAlignment="1">
      <alignment horizontal="right" vertical="center"/>
    </xf>
    <xf numFmtId="41" fontId="98" fillId="0" borderId="131" xfId="18" applyFont="1" applyBorder="1" applyAlignment="1"/>
    <xf numFmtId="190" fontId="97" fillId="0" borderId="131" xfId="0" applyNumberFormat="1" applyFont="1" applyBorder="1" applyAlignment="1">
      <alignment horizontal="right" vertical="center"/>
    </xf>
    <xf numFmtId="191" fontId="97" fillId="0" borderId="131" xfId="0" applyNumberFormat="1" applyFont="1" applyBorder="1" applyAlignment="1">
      <alignment horizontal="right" vertical="center"/>
    </xf>
    <xf numFmtId="0" fontId="97" fillId="20" borderId="131" xfId="0" applyFont="1" applyFill="1" applyBorder="1" applyAlignment="1">
      <alignment horizontal="center" vertical="center" wrapText="1"/>
    </xf>
    <xf numFmtId="191" fontId="109" fillId="0" borderId="131" xfId="0" applyNumberFormat="1" applyFont="1" applyBorder="1" applyAlignment="1">
      <alignment horizontal="right" vertical="center"/>
    </xf>
    <xf numFmtId="182" fontId="24" fillId="3" borderId="109" xfId="10" applyNumberFormat="1" applyFont="1" applyFill="1" applyBorder="1">
      <alignment vertical="center"/>
    </xf>
    <xf numFmtId="182" fontId="24" fillId="0" borderId="136" xfId="10" applyNumberFormat="1" applyFont="1" applyBorder="1">
      <alignment vertical="center"/>
    </xf>
    <xf numFmtId="182" fontId="24" fillId="0" borderId="37" xfId="10" applyNumberFormat="1" applyFont="1" applyBorder="1">
      <alignment vertical="center"/>
    </xf>
    <xf numFmtId="182" fontId="24" fillId="0" borderId="32" xfId="10" applyNumberFormat="1" applyFont="1" applyBorder="1">
      <alignment vertical="center"/>
    </xf>
    <xf numFmtId="182" fontId="24" fillId="2" borderId="136" xfId="10" applyNumberFormat="1" applyFont="1" applyFill="1" applyBorder="1">
      <alignment vertical="center"/>
    </xf>
    <xf numFmtId="182" fontId="24" fillId="2" borderId="37" xfId="10" applyNumberFormat="1" applyFont="1" applyFill="1" applyBorder="1">
      <alignment vertical="center"/>
    </xf>
    <xf numFmtId="182" fontId="24" fillId="4" borderId="37" xfId="10" applyNumberFormat="1" applyFont="1" applyFill="1" applyBorder="1">
      <alignment vertical="center"/>
    </xf>
    <xf numFmtId="182" fontId="24" fillId="3" borderId="68" xfId="10" applyNumberFormat="1" applyFont="1" applyFill="1" applyBorder="1">
      <alignment vertical="center"/>
    </xf>
    <xf numFmtId="182" fontId="24" fillId="2" borderId="70" xfId="10" applyNumberFormat="1" applyFont="1" applyFill="1" applyBorder="1">
      <alignment vertical="center"/>
    </xf>
    <xf numFmtId="182" fontId="24" fillId="2" borderId="35" xfId="10" applyNumberFormat="1" applyFont="1" applyFill="1" applyBorder="1">
      <alignment vertical="center"/>
    </xf>
    <xf numFmtId="182" fontId="24" fillId="2" borderId="109" xfId="10" applyNumberFormat="1" applyFont="1" applyFill="1" applyBorder="1">
      <alignment vertical="center"/>
    </xf>
    <xf numFmtId="182" fontId="24" fillId="2" borderId="32" xfId="10" applyNumberFormat="1" applyFont="1" applyFill="1" applyBorder="1">
      <alignment vertical="center"/>
    </xf>
    <xf numFmtId="182" fontId="36" fillId="11" borderId="115" xfId="10" applyNumberFormat="1" applyFont="1" applyFill="1" applyBorder="1">
      <alignment vertical="center"/>
    </xf>
    <xf numFmtId="182" fontId="36" fillId="11" borderId="153" xfId="10" applyNumberFormat="1" applyFont="1" applyFill="1" applyBorder="1">
      <alignment vertical="center"/>
    </xf>
    <xf numFmtId="9" fontId="24" fillId="0" borderId="70" xfId="13" applyFont="1" applyBorder="1" applyAlignment="1">
      <alignment vertical="center"/>
    </xf>
    <xf numFmtId="9" fontId="24" fillId="0" borderId="37" xfId="13" applyFont="1" applyBorder="1" applyAlignment="1">
      <alignment vertical="center"/>
    </xf>
    <xf numFmtId="181" fontId="41" fillId="4" borderId="37" xfId="13" applyNumberFormat="1" applyFont="1" applyFill="1" applyBorder="1" applyAlignment="1">
      <alignment vertical="center"/>
    </xf>
    <xf numFmtId="181" fontId="24" fillId="4" borderId="37" xfId="13" applyNumberFormat="1" applyFont="1" applyFill="1" applyBorder="1" applyAlignment="1">
      <alignment vertical="center"/>
    </xf>
    <xf numFmtId="179" fontId="42" fillId="0" borderId="35" xfId="11" applyNumberFormat="1" applyFont="1" applyBorder="1" applyAlignment="1">
      <alignment vertical="center"/>
    </xf>
    <xf numFmtId="180" fontId="24" fillId="0" borderId="70" xfId="10" applyNumberFormat="1" applyFont="1" applyBorder="1" applyAlignment="1">
      <alignment horizontal="right" vertical="center"/>
    </xf>
    <xf numFmtId="180" fontId="24" fillId="0" borderId="37" xfId="10" applyNumberFormat="1" applyFont="1" applyBorder="1" applyAlignment="1">
      <alignment horizontal="right" vertical="center"/>
    </xf>
    <xf numFmtId="180" fontId="24" fillId="0" borderId="35" xfId="10" applyNumberFormat="1" applyFont="1" applyBorder="1" applyAlignment="1">
      <alignment horizontal="right" vertical="center"/>
    </xf>
    <xf numFmtId="0" fontId="110" fillId="3" borderId="14" xfId="10" applyFont="1" applyFill="1" applyBorder="1" applyAlignment="1">
      <alignment horizontal="center" vertical="center"/>
    </xf>
    <xf numFmtId="182" fontId="35" fillId="0" borderId="154" xfId="10" applyNumberFormat="1" applyFont="1" applyBorder="1">
      <alignment vertical="center"/>
    </xf>
    <xf numFmtId="182" fontId="35" fillId="0" borderId="38" xfId="10" applyNumberFormat="1" applyFont="1" applyBorder="1">
      <alignment vertical="center"/>
    </xf>
    <xf numFmtId="182" fontId="35" fillId="0" borderId="8" xfId="10" applyNumberFormat="1" applyFont="1" applyBorder="1">
      <alignment vertical="center"/>
    </xf>
    <xf numFmtId="182" fontId="36" fillId="3" borderId="111" xfId="10" applyNumberFormat="1" applyFont="1" applyFill="1" applyBorder="1">
      <alignment vertical="center"/>
    </xf>
    <xf numFmtId="182" fontId="35" fillId="2" borderId="154" xfId="10" applyNumberFormat="1" applyFont="1" applyFill="1" applyBorder="1">
      <alignment vertical="center"/>
    </xf>
    <xf numFmtId="182" fontId="35" fillId="2" borderId="38" xfId="10" applyNumberFormat="1" applyFont="1" applyFill="1" applyBorder="1">
      <alignment vertical="center"/>
    </xf>
    <xf numFmtId="182" fontId="35" fillId="4" borderId="38" xfId="10" applyNumberFormat="1" applyFont="1" applyFill="1" applyBorder="1">
      <alignment vertical="center"/>
    </xf>
    <xf numFmtId="182" fontId="36" fillId="3" borderId="21" xfId="10" applyNumberFormat="1" applyFont="1" applyFill="1" applyBorder="1">
      <alignment vertical="center"/>
    </xf>
    <xf numFmtId="182" fontId="35" fillId="0" borderId="14" xfId="10" applyNumberFormat="1" applyFont="1" applyBorder="1">
      <alignment vertical="center"/>
    </xf>
    <xf numFmtId="182" fontId="35" fillId="0" borderId="74" xfId="10" applyNumberFormat="1" applyFont="1" applyBorder="1">
      <alignment vertical="center"/>
    </xf>
    <xf numFmtId="182" fontId="35" fillId="11" borderId="155" xfId="10" applyNumberFormat="1" applyFont="1" applyFill="1" applyBorder="1">
      <alignment vertical="center"/>
    </xf>
    <xf numFmtId="9" fontId="35" fillId="0" borderId="14" xfId="13" applyFont="1" applyBorder="1" applyAlignment="1">
      <alignment vertical="center"/>
    </xf>
    <xf numFmtId="9" fontId="35" fillId="0" borderId="38" xfId="13" applyFont="1" applyBorder="1" applyAlignment="1">
      <alignment vertical="center"/>
    </xf>
    <xf numFmtId="181" fontId="40" fillId="4" borderId="38" xfId="13" applyNumberFormat="1" applyFont="1" applyFill="1" applyBorder="1" applyAlignment="1">
      <alignment vertical="center"/>
    </xf>
    <xf numFmtId="181" fontId="35" fillId="4" borderId="38" xfId="13" applyNumberFormat="1" applyFont="1" applyFill="1" applyBorder="1" applyAlignment="1">
      <alignment vertical="center"/>
    </xf>
    <xf numFmtId="179" fontId="35" fillId="0" borderId="74" xfId="11" applyNumberFormat="1" applyFont="1" applyBorder="1" applyAlignment="1">
      <alignment vertical="center"/>
    </xf>
    <xf numFmtId="0" fontId="35" fillId="0" borderId="38" xfId="10" applyFont="1" applyBorder="1">
      <alignment vertical="center"/>
    </xf>
    <xf numFmtId="180" fontId="35" fillId="0" borderId="14" xfId="10" applyNumberFormat="1" applyFont="1" applyBorder="1">
      <alignment vertical="center"/>
    </xf>
    <xf numFmtId="180" fontId="35" fillId="0" borderId="38" xfId="10" applyNumberFormat="1" applyFont="1" applyBorder="1">
      <alignment vertical="center"/>
    </xf>
    <xf numFmtId="180" fontId="35" fillId="0" borderId="74" xfId="10" applyNumberFormat="1" applyFont="1" applyBorder="1">
      <alignment vertical="center"/>
    </xf>
    <xf numFmtId="182" fontId="36" fillId="0" borderId="111" xfId="10" applyNumberFormat="1" applyFont="1" applyBorder="1">
      <alignment vertical="center"/>
    </xf>
    <xf numFmtId="182" fontId="36" fillId="0" borderId="21" xfId="10" applyNumberFormat="1" applyFont="1" applyBorder="1">
      <alignment vertical="center"/>
    </xf>
    <xf numFmtId="182" fontId="36" fillId="0" borderId="119" xfId="10" applyNumberFormat="1" applyFont="1" applyBorder="1">
      <alignment vertical="center"/>
    </xf>
    <xf numFmtId="182" fontId="35" fillId="0" borderId="155" xfId="10" applyNumberFormat="1" applyFont="1" applyBorder="1">
      <alignment vertical="center"/>
    </xf>
    <xf numFmtId="9" fontId="35" fillId="0" borderId="14" xfId="13" applyFont="1" applyFill="1" applyBorder="1" applyAlignment="1">
      <alignment vertical="center"/>
    </xf>
    <xf numFmtId="9" fontId="35" fillId="0" borderId="38" xfId="13" applyFont="1" applyFill="1" applyBorder="1" applyAlignment="1">
      <alignment vertical="center"/>
    </xf>
    <xf numFmtId="181" fontId="40" fillId="0" borderId="38" xfId="13" applyNumberFormat="1" applyFont="1" applyFill="1" applyBorder="1" applyAlignment="1">
      <alignment vertical="center"/>
    </xf>
    <xf numFmtId="181" fontId="35" fillId="0" borderId="38" xfId="13" applyNumberFormat="1" applyFont="1" applyFill="1" applyBorder="1" applyAlignment="1">
      <alignment vertical="center"/>
    </xf>
    <xf numFmtId="179" fontId="35" fillId="0" borderId="74" xfId="11" applyNumberFormat="1" applyFont="1" applyFill="1" applyBorder="1" applyAlignment="1">
      <alignment vertical="center"/>
    </xf>
    <xf numFmtId="179" fontId="86" fillId="12" borderId="110" xfId="1" applyNumberFormat="1" applyFont="1" applyFill="1" applyBorder="1" applyAlignment="1">
      <alignment horizontal="center" vertical="center"/>
    </xf>
    <xf numFmtId="179" fontId="86" fillId="12" borderId="139" xfId="1" applyNumberFormat="1" applyFont="1" applyFill="1" applyBorder="1" applyAlignment="1">
      <alignment horizontal="center" vertical="center"/>
    </xf>
    <xf numFmtId="179" fontId="86" fillId="12" borderId="138" xfId="1" applyNumberFormat="1" applyFont="1" applyFill="1" applyBorder="1" applyAlignment="1">
      <alignment horizontal="center" vertical="center"/>
    </xf>
    <xf numFmtId="179" fontId="85" fillId="12" borderId="131" xfId="17" applyNumberFormat="1" applyFont="1" applyFill="1" applyBorder="1" applyAlignment="1">
      <alignment horizontal="center" vertical="center"/>
    </xf>
    <xf numFmtId="0" fontId="6" fillId="12" borderId="100" xfId="0" applyFont="1" applyFill="1" applyBorder="1" applyAlignment="1">
      <alignment horizontal="center" vertical="center"/>
    </xf>
    <xf numFmtId="0" fontId="6" fillId="12" borderId="101" xfId="0" applyFont="1" applyFill="1" applyBorder="1" applyAlignment="1">
      <alignment horizontal="center" vertical="center"/>
    </xf>
    <xf numFmtId="0" fontId="94" fillId="0" borderId="0" xfId="0" applyFont="1"/>
    <xf numFmtId="14" fontId="69" fillId="10" borderId="56" xfId="9" applyNumberFormat="1" applyFont="1" applyFill="1" applyBorder="1" applyAlignment="1">
      <alignment horizontal="center" vertical="center"/>
    </xf>
    <xf numFmtId="0" fontId="70" fillId="9" borderId="61" xfId="9" applyFont="1" applyFill="1" applyBorder="1"/>
    <xf numFmtId="0" fontId="0" fillId="6" borderId="96" xfId="0" applyFill="1" applyBorder="1" applyAlignment="1">
      <alignment horizontal="center" vertical="center" wrapText="1"/>
    </xf>
    <xf numFmtId="0" fontId="0" fillId="6" borderId="92" xfId="0" applyFill="1" applyBorder="1" applyAlignment="1">
      <alignment horizontal="center" vertical="center" wrapText="1"/>
    </xf>
    <xf numFmtId="0" fontId="0" fillId="0" borderId="139" xfId="0" applyBorder="1" applyAlignment="1">
      <alignment horizontal="center" vertical="center"/>
    </xf>
    <xf numFmtId="0" fontId="0" fillId="0" borderId="131" xfId="0" applyBorder="1" applyAlignment="1">
      <alignment horizontal="center" vertical="center"/>
    </xf>
    <xf numFmtId="0" fontId="56" fillId="0" borderId="147" xfId="0" applyFont="1" applyBorder="1" applyAlignment="1">
      <alignment horizontal="center" vertical="center"/>
    </xf>
    <xf numFmtId="0" fontId="56" fillId="0" borderId="138" xfId="0" applyFont="1" applyBorder="1" applyAlignment="1">
      <alignment horizontal="center" vertical="center"/>
    </xf>
    <xf numFmtId="0" fontId="56" fillId="0" borderId="0" xfId="0" applyFont="1" applyAlignment="1">
      <alignment horizontal="center" vertical="center"/>
    </xf>
    <xf numFmtId="0" fontId="56" fillId="0" borderId="139" xfId="0" applyFont="1" applyBorder="1" applyAlignment="1">
      <alignment horizontal="center" vertical="center"/>
    </xf>
  </cellXfs>
  <cellStyles count="19">
    <cellStyle name="Comma 2" xfId="11" xr:uid="{00000000-0005-0000-0000-000001000000}"/>
    <cellStyle name="Comma 3" xfId="12" xr:uid="{00000000-0005-0000-0000-000002000000}"/>
    <cellStyle name="Comma 4" xfId="5" xr:uid="{00000000-0005-0000-0000-000003000000}"/>
    <cellStyle name="Comma 5" xfId="17" xr:uid="{00000000-0005-0000-0000-000004000000}"/>
    <cellStyle name="Hyperlink 3" xfId="6" xr:uid="{00000000-0005-0000-0000-000006000000}"/>
    <cellStyle name="Normal 2" xfId="7" xr:uid="{00000000-0005-0000-0000-000008000000}"/>
    <cellStyle name="Normal 3 2" xfId="3" xr:uid="{00000000-0005-0000-0000-000009000000}"/>
    <cellStyle name="Normal 3 4" xfId="4" xr:uid="{00000000-0005-0000-0000-00000A000000}"/>
    <cellStyle name="Normal 3 5" xfId="8" xr:uid="{00000000-0005-0000-0000-00000B000000}"/>
    <cellStyle name="Normal 4" xfId="15" xr:uid="{00000000-0005-0000-0000-00000C000000}"/>
    <cellStyle name="Normal 4 7" xfId="10" xr:uid="{00000000-0005-0000-0000-00000D000000}"/>
    <cellStyle name="Normal 5" xfId="9" xr:uid="{00000000-0005-0000-0000-00000E000000}"/>
    <cellStyle name="Normal 6" xfId="16" xr:uid="{00000000-0005-0000-0000-00000F000000}"/>
    <cellStyle name="Percent 2" xfId="13" xr:uid="{00000000-0005-0000-0000-000011000000}"/>
    <cellStyle name="백분율" xfId="2" builtinId="5"/>
    <cellStyle name="쉼표" xfId="1" builtinId="3"/>
    <cellStyle name="쉼표 [0]" xfId="18" builtinId="6"/>
    <cellStyle name="통화" xfId="14" builtinId="4"/>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Amount</a:t>
            </a:r>
            <a:r>
              <a:rPr lang="en-US" b="1" baseline="0">
                <a:solidFill>
                  <a:srgbClr val="FF0000"/>
                </a:solidFill>
              </a:rPr>
              <a:t> by customers</a:t>
            </a:r>
            <a:endParaRPr lang="en-US" b="1">
              <a:solidFill>
                <a:srgbClr val="FF0000"/>
              </a:solidFill>
            </a:endParaRPr>
          </a:p>
        </c:rich>
      </c:tx>
      <c:layout>
        <c:manualLayout>
          <c:xMode val="edge"/>
          <c:yMode val="edge"/>
          <c:x val="0.388469970118490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'NG by Customers'!$B$4</c:f>
              <c:strCache>
                <c:ptCount val="1"/>
                <c:pt idx="0">
                  <c:v>LG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 Amt Jan.26 </c:v>
                </c:pt>
                <c:pt idx="1">
                  <c:v> Amt Feb.26 </c:v>
                </c:pt>
                <c:pt idx="2">
                  <c:v> Amt Mar.26 </c:v>
                </c:pt>
                <c:pt idx="3">
                  <c:v> Amt Apr.26 </c:v>
                </c:pt>
                <c:pt idx="4">
                  <c:v> Amt May.26 </c:v>
                </c:pt>
                <c:pt idx="5">
                  <c:v> Amt Jul.26 </c:v>
                </c:pt>
                <c:pt idx="6">
                  <c:v> Amt Jul.26 </c:v>
                </c:pt>
                <c:pt idx="7">
                  <c:v> Amt Aug.26 </c:v>
                </c:pt>
                <c:pt idx="8">
                  <c:v> Amt Sep.26 </c:v>
                </c:pt>
                <c:pt idx="9">
                  <c:v> Amt Nov.26 </c:v>
                </c:pt>
                <c:pt idx="10">
                  <c:v> Amt Dec.26 </c:v>
                </c:pt>
              </c:strCache>
            </c:strRef>
          </c:cat>
          <c:val>
            <c:numRef>
              <c:extLst>
                <c:ext xmlns:c15="http://schemas.microsoft.com/office/drawing/2012/chart" uri="{02D57815-91ED-43cb-92C2-25804820EDAC}">
                  <c15:fullRef>
                    <c15:sqref>'NG by Customers'!$C$4:$Z$4</c15:sqref>
                  </c15:fullRef>
                </c:ext>
              </c:extLst>
              <c:f>('NG by Customers'!$D$4,'NG by Customers'!$F$4,'NG by Customers'!$H$4,'NG by Customers'!$J$4,'NG by Customers'!$L$4,'NG by Customers'!$N$4,'NG by Customers'!$P$4,'NG by Customers'!$R$4,'NG by Customers'!$T$4,'NG by Customers'!$X$4,'NG by Customers'!$Z$4)</c:f>
              <c:numCache>
                <c:formatCode>_("$"* #,##0_);_("$"* \(#,##0\);_("$"* "-"??_);_(@_)</c:formatCode>
                <c:ptCount val="11"/>
                <c:pt idx="0">
                  <c:v>83789.619807155381</c:v>
                </c:pt>
                <c:pt idx="1">
                  <c:v>11734.883657415261</c:v>
                </c:pt>
                <c:pt idx="2">
                  <c:v>138744.47721059222</c:v>
                </c:pt>
                <c:pt idx="3">
                  <c:v>114274.94362876061</c:v>
                </c:pt>
              </c:numCache>
            </c:numRef>
          </c:val>
          <c:smooth val="0"/>
          <c:extLst>
            <c:ext xmlns:c16="http://schemas.microsoft.com/office/drawing/2014/chart" uri="{C3380CC4-5D6E-409C-BE32-E72D297353CC}">
              <c16:uniqueId val="{00000000-2C1C-485E-8FBB-E43047F8F8B5}"/>
            </c:ext>
          </c:extLst>
        </c:ser>
        <c:ser>
          <c:idx val="1"/>
          <c:order val="1"/>
          <c:tx>
            <c:strRef>
              <c:f>'NG by Customers'!$B$5</c:f>
              <c:strCache>
                <c:ptCount val="1"/>
                <c:pt idx="0">
                  <c:v>Samsung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 Amt Jan.26 </c:v>
                </c:pt>
                <c:pt idx="1">
                  <c:v> Amt Feb.26 </c:v>
                </c:pt>
                <c:pt idx="2">
                  <c:v> Amt Mar.26 </c:v>
                </c:pt>
                <c:pt idx="3">
                  <c:v> Amt Apr.26 </c:v>
                </c:pt>
                <c:pt idx="4">
                  <c:v> Amt May.26 </c:v>
                </c:pt>
                <c:pt idx="5">
                  <c:v> Amt Jul.26 </c:v>
                </c:pt>
                <c:pt idx="6">
                  <c:v> Amt Jul.26 </c:v>
                </c:pt>
                <c:pt idx="7">
                  <c:v> Amt Aug.26 </c:v>
                </c:pt>
                <c:pt idx="8">
                  <c:v> Amt Sep.26 </c:v>
                </c:pt>
                <c:pt idx="9">
                  <c:v> Amt Nov.26 </c:v>
                </c:pt>
                <c:pt idx="10">
                  <c:v> Amt Dec.26 </c:v>
                </c:pt>
              </c:strCache>
            </c:strRef>
          </c:cat>
          <c:val>
            <c:numRef>
              <c:extLst>
                <c:ext xmlns:c15="http://schemas.microsoft.com/office/drawing/2012/chart" uri="{02D57815-91ED-43cb-92C2-25804820EDAC}">
                  <c15:fullRef>
                    <c15:sqref>'NG by Customers'!$C$5:$Z$5</c15:sqref>
                  </c15:fullRef>
                </c:ext>
              </c:extLst>
              <c:f>('NG by Customers'!$D$5,'NG by Customers'!$F$5,'NG by Customers'!$H$5,'NG by Customers'!$J$5,'NG by Customers'!$L$5,'NG by Customers'!$N$5,'NG by Customers'!$P$5,'NG by Customers'!$R$5,'NG by Customers'!$T$5,'NG by Customers'!$X$5,'NG by Customers'!$Z$5)</c:f>
              <c:numCache>
                <c:formatCode>_("$"* #,##0_);_("$"* \(#,##0\);_("$"* "-"??_);_(@_)</c:formatCode>
                <c:ptCount val="11"/>
                <c:pt idx="0">
                  <c:v>47060.261783615126</c:v>
                </c:pt>
                <c:pt idx="1">
                  <c:v>18277.959598490881</c:v>
                </c:pt>
                <c:pt idx="2">
                  <c:v>62822.711844122459</c:v>
                </c:pt>
                <c:pt idx="3">
                  <c:v>62099.278071054003</c:v>
                </c:pt>
              </c:numCache>
            </c:numRef>
          </c:val>
          <c:smooth val="0"/>
          <c:extLst>
            <c:ext xmlns:c16="http://schemas.microsoft.com/office/drawing/2014/chart" uri="{C3380CC4-5D6E-409C-BE32-E72D297353CC}">
              <c16:uniqueId val="{00000005-8686-495F-9868-B3C579E70819}"/>
            </c:ext>
          </c:extLst>
        </c:ser>
        <c:ser>
          <c:idx val="2"/>
          <c:order val="2"/>
          <c:tx>
            <c:strRef>
              <c:f>'NG by Customers'!$B$6</c:f>
              <c:strCache>
                <c:ptCount val="1"/>
                <c:pt idx="0">
                  <c:v>Mando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 Amt Jan.26 </c:v>
                </c:pt>
                <c:pt idx="1">
                  <c:v> Amt Feb.26 </c:v>
                </c:pt>
                <c:pt idx="2">
                  <c:v> Amt Mar.26 </c:v>
                </c:pt>
                <c:pt idx="3">
                  <c:v> Amt Apr.26 </c:v>
                </c:pt>
                <c:pt idx="4">
                  <c:v> Amt May.26 </c:v>
                </c:pt>
                <c:pt idx="5">
                  <c:v> Amt Jul.26 </c:v>
                </c:pt>
                <c:pt idx="6">
                  <c:v> Amt Jul.26 </c:v>
                </c:pt>
                <c:pt idx="7">
                  <c:v> Amt Aug.26 </c:v>
                </c:pt>
                <c:pt idx="8">
                  <c:v> Amt Sep.26 </c:v>
                </c:pt>
                <c:pt idx="9">
                  <c:v> Amt Nov.26 </c:v>
                </c:pt>
                <c:pt idx="10">
                  <c:v> Amt Dec.26 </c:v>
                </c:pt>
              </c:strCache>
            </c:strRef>
          </c:cat>
          <c:val>
            <c:numRef>
              <c:extLst>
                <c:ext xmlns:c15="http://schemas.microsoft.com/office/drawing/2012/chart" uri="{02D57815-91ED-43cb-92C2-25804820EDAC}">
                  <c15:fullRef>
                    <c15:sqref>'NG by Customers'!$C$6:$Z$6</c15:sqref>
                  </c15:fullRef>
                </c:ext>
              </c:extLst>
              <c:f>('NG by Customers'!$D$6,'NG by Customers'!$F$6,'NG by Customers'!$H$6,'NG by Customers'!$J$6,'NG by Customers'!$L$6,'NG by Customers'!$N$6,'NG by Customers'!$P$6,'NG by Customers'!$R$6,'NG by Customers'!$T$6,'NG by Customers'!$X$6,'NG by Customers'!$Z$6)</c:f>
              <c:numCache>
                <c:formatCode>_("$"* #,##0_);_("$"* \(#,##0\);_("$"* "-"??_);_(@_)</c:formatCode>
                <c:ptCount val="11"/>
                <c:pt idx="0">
                  <c:v>60051.501063736163</c:v>
                </c:pt>
                <c:pt idx="1">
                  <c:v>12286.578602537906</c:v>
                </c:pt>
                <c:pt idx="2">
                  <c:v>94008.947893506891</c:v>
                </c:pt>
                <c:pt idx="3">
                  <c:v>62956.793846905442</c:v>
                </c:pt>
              </c:numCache>
            </c:numRef>
          </c:val>
          <c:smooth val="0"/>
          <c:extLst>
            <c:ext xmlns:c16="http://schemas.microsoft.com/office/drawing/2014/chart" uri="{C3380CC4-5D6E-409C-BE32-E72D297353CC}">
              <c16:uniqueId val="{00000006-8686-495F-9868-B3C579E70819}"/>
            </c:ext>
          </c:extLst>
        </c:ser>
        <c:ser>
          <c:idx val="3"/>
          <c:order val="3"/>
          <c:tx>
            <c:strRef>
              <c:f>'NG by Customers'!$B$7</c:f>
              <c:strCache>
                <c:ptCount val="1"/>
                <c:pt idx="0">
                  <c:v>ZF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 Amt Jan.26 </c:v>
                </c:pt>
                <c:pt idx="1">
                  <c:v> Amt Feb.26 </c:v>
                </c:pt>
                <c:pt idx="2">
                  <c:v> Amt Mar.26 </c:v>
                </c:pt>
                <c:pt idx="3">
                  <c:v> Amt Apr.26 </c:v>
                </c:pt>
                <c:pt idx="4">
                  <c:v> Amt May.26 </c:v>
                </c:pt>
                <c:pt idx="5">
                  <c:v> Amt Jul.26 </c:v>
                </c:pt>
                <c:pt idx="6">
                  <c:v> Amt Jul.26 </c:v>
                </c:pt>
                <c:pt idx="7">
                  <c:v> Amt Aug.26 </c:v>
                </c:pt>
                <c:pt idx="8">
                  <c:v> Amt Sep.26 </c:v>
                </c:pt>
                <c:pt idx="9">
                  <c:v> Amt Nov.26 </c:v>
                </c:pt>
                <c:pt idx="10">
                  <c:v> Amt Dec.26 </c:v>
                </c:pt>
              </c:strCache>
            </c:strRef>
          </c:cat>
          <c:val>
            <c:numRef>
              <c:extLst>
                <c:ext xmlns:c15="http://schemas.microsoft.com/office/drawing/2012/chart" uri="{02D57815-91ED-43cb-92C2-25804820EDAC}">
                  <c15:fullRef>
                    <c15:sqref>'NG by Customers'!$C$7:$Z$7</c15:sqref>
                  </c15:fullRef>
                </c:ext>
              </c:extLst>
              <c:f>('NG by Customers'!$D$7,'NG by Customers'!$F$7,'NG by Customers'!$H$7,'NG by Customers'!$J$7,'NG by Customers'!$L$7,'NG by Customers'!$N$7,'NG by Customers'!$P$7,'NG by Customers'!$R$7,'NG by Customers'!$T$7,'NG by Customers'!$X$7,'NG by Customers'!$Z$7)</c:f>
              <c:numCache>
                <c:formatCode>_("$"* #,##0_);_("$"* \(#,##0\);_("$"* "-"??_);_(@_)</c:formatCode>
                <c:ptCount val="11"/>
                <c:pt idx="0">
                  <c:v>26455.294395291163</c:v>
                </c:pt>
                <c:pt idx="1">
                  <c:v>11075.958422942831</c:v>
                </c:pt>
                <c:pt idx="2">
                  <c:v>28491.298536126709</c:v>
                </c:pt>
                <c:pt idx="3">
                  <c:v>25824.410729584208</c:v>
                </c:pt>
              </c:numCache>
            </c:numRef>
          </c:val>
          <c:smooth val="0"/>
          <c:extLst>
            <c:ext xmlns:c16="http://schemas.microsoft.com/office/drawing/2014/chart" uri="{C3380CC4-5D6E-409C-BE32-E72D297353CC}">
              <c16:uniqueId val="{00000007-8686-495F-9868-B3C579E70819}"/>
            </c:ext>
          </c:extLst>
        </c:ser>
        <c:ser>
          <c:idx val="4"/>
          <c:order val="4"/>
          <c:tx>
            <c:strRef>
              <c:f>'NG by Customers'!$B$8</c:f>
              <c:strCache>
                <c:ptCount val="1"/>
                <c:pt idx="0">
                  <c:v>Qualcom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 Amt Jan.26 </c:v>
                </c:pt>
                <c:pt idx="1">
                  <c:v> Amt Feb.26 </c:v>
                </c:pt>
                <c:pt idx="2">
                  <c:v> Amt Mar.26 </c:v>
                </c:pt>
                <c:pt idx="3">
                  <c:v> Amt Apr.26 </c:v>
                </c:pt>
                <c:pt idx="4">
                  <c:v> Amt May.26 </c:v>
                </c:pt>
                <c:pt idx="5">
                  <c:v> Amt Jul.26 </c:v>
                </c:pt>
                <c:pt idx="6">
                  <c:v> Amt Jul.26 </c:v>
                </c:pt>
                <c:pt idx="7">
                  <c:v> Amt Aug.26 </c:v>
                </c:pt>
                <c:pt idx="8">
                  <c:v> Amt Sep.26 </c:v>
                </c:pt>
                <c:pt idx="9">
                  <c:v> Amt Nov.26 </c:v>
                </c:pt>
                <c:pt idx="10">
                  <c:v> Amt Dec.26 </c:v>
                </c:pt>
              </c:strCache>
            </c:strRef>
          </c:cat>
          <c:val>
            <c:numRef>
              <c:extLst>
                <c:ext xmlns:c15="http://schemas.microsoft.com/office/drawing/2012/chart" uri="{02D57815-91ED-43cb-92C2-25804820EDAC}">
                  <c15:fullRef>
                    <c15:sqref>'NG by Customers'!$C$8:$Z$8</c15:sqref>
                  </c15:fullRef>
                </c:ext>
              </c:extLst>
              <c:f>('NG by Customers'!$D$8,'NG by Customers'!$F$8,'NG by Customers'!$H$8,'NG by Customers'!$J$8,'NG by Customers'!$L$8,'NG by Customers'!$N$8,'NG by Customers'!$P$8,'NG by Customers'!$R$8,'NG by Customers'!$T$8,'NG by Customers'!$X$8,'NG by Customers'!$Z$8)</c:f>
              <c:numCache>
                <c:formatCode>_("$"* #,##0_);_("$"* \(#,##0\);_("$"* "-"??_);_(@_)</c:formatCode>
                <c:ptCount val="11"/>
                <c:pt idx="0">
                  <c:v>7382.5640731931253</c:v>
                </c:pt>
                <c:pt idx="1">
                  <c:v>3585.0748530536575</c:v>
                </c:pt>
                <c:pt idx="2">
                  <c:v>5019.2724133696647</c:v>
                </c:pt>
                <c:pt idx="3">
                  <c:v>2213.4800254352335</c:v>
                </c:pt>
              </c:numCache>
            </c:numRef>
          </c:val>
          <c:smooth val="0"/>
          <c:extLst>
            <c:ext xmlns:c16="http://schemas.microsoft.com/office/drawing/2014/chart" uri="{C3380CC4-5D6E-409C-BE32-E72D297353CC}">
              <c16:uniqueId val="{00000008-8686-495F-9868-B3C579E70819}"/>
            </c:ext>
          </c:extLst>
        </c:ser>
        <c:dLbls>
          <c:showLegendKey val="0"/>
          <c:showVal val="0"/>
          <c:showCatName val="0"/>
          <c:showSerName val="0"/>
          <c:showPercent val="0"/>
          <c:showBubbleSize val="0"/>
        </c:dLbls>
        <c:marker val="1"/>
        <c:smooth val="0"/>
        <c:axId val="2009227632"/>
        <c:axId val="2009230128"/>
        <c:extLst/>
      </c:lineChart>
      <c:catAx>
        <c:axId val="20092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30128"/>
        <c:crossesAt val="0"/>
        <c:auto val="1"/>
        <c:lblAlgn val="ctr"/>
        <c:lblOffset val="100"/>
        <c:noMultiLvlLbl val="0"/>
      </c:catAx>
      <c:valAx>
        <c:axId val="20092301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2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Qty</a:t>
            </a:r>
            <a:r>
              <a:rPr lang="en-US" baseline="0">
                <a:solidFill>
                  <a:srgbClr val="FF0000"/>
                </a:solidFill>
              </a:rPr>
              <a:t> and amt by months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'NG by Customers'!$B$13</c:f>
              <c:strCache>
                <c:ptCount val="1"/>
                <c:pt idx="0">
                  <c:v>Qty 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'NG by Customers'!$C$12:$O$12</c15:sqref>
                  </c15:fullRef>
                </c:ext>
              </c:extLst>
              <c:f>'NG by Customers'!$C$12:$N$12</c:f>
              <c:strCache>
                <c:ptCount val="4"/>
                <c:pt idx="0">
                  <c:v>Jan.26</c:v>
                </c:pt>
                <c:pt idx="1">
                  <c:v> Feb.26 </c:v>
                </c:pt>
                <c:pt idx="2">
                  <c:v>Mar.26</c:v>
                </c:pt>
                <c:pt idx="3">
                  <c:v>Apr.26</c:v>
                </c:pt>
              </c:strCache>
            </c:strRef>
          </c:cat>
          <c:val>
            <c:numRef>
              <c:extLst>
                <c:ext xmlns:c15="http://schemas.microsoft.com/office/drawing/2012/chart" uri="{02D57815-91ED-43cb-92C2-25804820EDAC}">
                  <c15:fullRef>
                    <c15:sqref>'NG by Customers'!$C$13:$O$13</c15:sqref>
                  </c15:fullRef>
                </c:ext>
              </c:extLst>
              <c:f>'NG by Customers'!$C$13:$N$13</c:f>
              <c:numCache>
                <c:formatCode>_(* #,##0_);_(* \(#,##0\);_(* "-"??_);_(@_)</c:formatCode>
                <c:ptCount val="12"/>
                <c:pt idx="0">
                  <c:v>164620</c:v>
                </c:pt>
                <c:pt idx="1">
                  <c:v>69839</c:v>
                </c:pt>
                <c:pt idx="2">
                  <c:v>333419</c:v>
                </c:pt>
                <c:pt idx="3">
                  <c:v>265672</c:v>
                </c:pt>
              </c:numCache>
            </c:numRef>
          </c:val>
          <c:smooth val="0"/>
          <c:extLst>
            <c:ext xmlns:c16="http://schemas.microsoft.com/office/drawing/2014/chart" uri="{C3380CC4-5D6E-409C-BE32-E72D297353CC}">
              <c16:uniqueId val="{00000000-838B-43C9-A04B-01525FEF20F0}"/>
            </c:ext>
          </c:extLst>
        </c:ser>
        <c:ser>
          <c:idx val="1"/>
          <c:order val="1"/>
          <c:tx>
            <c:strRef>
              <c:f>'NG by Customers'!$B$14</c:f>
              <c:strCache>
                <c:ptCount val="1"/>
                <c:pt idx="0">
                  <c:v>Amt 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'NG by Customers'!$C$12:$O$12</c15:sqref>
                  </c15:fullRef>
                </c:ext>
              </c:extLst>
              <c:f>'NG by Customers'!$C$12:$N$12</c:f>
              <c:strCache>
                <c:ptCount val="4"/>
                <c:pt idx="0">
                  <c:v>Jan.26</c:v>
                </c:pt>
                <c:pt idx="1">
                  <c:v> Feb.26 </c:v>
                </c:pt>
                <c:pt idx="2">
                  <c:v>Mar.26</c:v>
                </c:pt>
                <c:pt idx="3">
                  <c:v>Apr.26</c:v>
                </c:pt>
              </c:strCache>
            </c:strRef>
          </c:cat>
          <c:val>
            <c:numRef>
              <c:extLst>
                <c:ext xmlns:c15="http://schemas.microsoft.com/office/drawing/2012/chart" uri="{02D57815-91ED-43cb-92C2-25804820EDAC}">
                  <c15:fullRef>
                    <c15:sqref>'NG by Customers'!$C$14:$O$14</c15:sqref>
                  </c15:fullRef>
                </c:ext>
              </c:extLst>
              <c:f>'NG by Customers'!$C$14:$N$14</c:f>
              <c:numCache>
                <c:formatCode>_("$"* #,##0_);_("$"* \(#,##0\);_("$"* "-"??_);_(@_)</c:formatCode>
                <c:ptCount val="12"/>
                <c:pt idx="0">
                  <c:v>224739.24112299093</c:v>
                </c:pt>
                <c:pt idx="1">
                  <c:v>56960.455134440534</c:v>
                </c:pt>
                <c:pt idx="2">
                  <c:v>329086.70789771801</c:v>
                </c:pt>
                <c:pt idx="3">
                  <c:v>267368.90630173945</c:v>
                </c:pt>
              </c:numCache>
            </c:numRef>
          </c:val>
          <c:smooth val="0"/>
          <c:extLst>
            <c:ext xmlns:c16="http://schemas.microsoft.com/office/drawing/2014/chart" uri="{C3380CC4-5D6E-409C-BE32-E72D297353CC}">
              <c16:uniqueId val="{00000001-838B-43C9-A04B-01525FEF20F0}"/>
            </c:ext>
          </c:extLst>
        </c:ser>
        <c:dLbls>
          <c:showLegendKey val="0"/>
          <c:showVal val="0"/>
          <c:showCatName val="0"/>
          <c:showSerName val="0"/>
          <c:showPercent val="0"/>
          <c:showBubbleSize val="0"/>
        </c:dLbls>
        <c:marker val="1"/>
        <c:smooth val="0"/>
        <c:axId val="237505071"/>
        <c:axId val="237505487"/>
      </c:lineChart>
      <c:catAx>
        <c:axId val="23750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05487"/>
        <c:crosses val="autoZero"/>
        <c:auto val="1"/>
        <c:lblAlgn val="ctr"/>
        <c:lblOffset val="100"/>
        <c:noMultiLvlLbl val="0"/>
      </c:catAx>
      <c:valAx>
        <c:axId val="2375054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05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11205</xdr:colOff>
      <xdr:row>27</xdr:row>
      <xdr:rowOff>179294</xdr:rowOff>
    </xdr:from>
    <xdr:to>
      <xdr:col>16</xdr:col>
      <xdr:colOff>22411</xdr:colOff>
      <xdr:row>30</xdr:row>
      <xdr:rowOff>67235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378323" y="6185647"/>
          <a:ext cx="7283823" cy="493059"/>
        </a:xfrm>
        <a:prstGeom prst="rect">
          <a:avLst/>
        </a:prstGeom>
        <a:noFill/>
        <a:ln w="2857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545887</xdr:colOff>
      <xdr:row>14</xdr:row>
      <xdr:rowOff>145675</xdr:rowOff>
    </xdr:from>
    <xdr:to>
      <xdr:col>8</xdr:col>
      <xdr:colOff>425823</xdr:colOff>
      <xdr:row>30</xdr:row>
      <xdr:rowOff>123264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56029</xdr:colOff>
      <xdr:row>15</xdr:row>
      <xdr:rowOff>-1</xdr:rowOff>
    </xdr:from>
    <xdr:to>
      <xdr:col>13</xdr:col>
      <xdr:colOff>974911</xdr:colOff>
      <xdr:row>30</xdr:row>
      <xdr:rowOff>100852</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B4FBAC-A1EE-4FB5-BE98-145D77A1EC64}">
  <we:reference id="29673e3c-d826-4f00-92ee-162334a52b1a" version="1.0.0.8" store="EXCatalog" storeType="EXCatalog"/>
  <we:alternateReferences>
    <we:reference id="WA200009404" version="1.0.0.8" store="ko-KR" storeType="OMEX"/>
  </we:alternateReferences>
  <we:properties>
    <we:property name="claude.fileId" value="&quot;0e05be84-a970-4591-95dd-3c65cd2fa6d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82"/>
  <sheetViews>
    <sheetView topLeftCell="A234" zoomScale="85" zoomScaleNormal="85" workbookViewId="0">
      <pane xSplit="3" ySplit="2" topLeftCell="D275" activePane="bottomRight" state="frozen"/>
      <selection activeCell="A234" sqref="A234"/>
      <selection pane="topRight" activeCell="D234" sqref="D234"/>
      <selection pane="bottomLeft" activeCell="A236" sqref="A236"/>
      <selection pane="bottomRight" activeCell="G280" sqref="G280"/>
    </sheetView>
  </sheetViews>
  <sheetFormatPr defaultColWidth="9.125" defaultRowHeight="15"/>
  <cols>
    <col min="1" max="1" width="11.125" style="484" bestFit="1" customWidth="1"/>
    <col min="2" max="2" width="27.125" style="484" customWidth="1"/>
    <col min="3" max="3" width="10.75" style="484" bestFit="1" customWidth="1"/>
    <col min="4" max="4" width="86.625" style="484" customWidth="1"/>
    <col min="5" max="5" width="13.25" style="485" bestFit="1" customWidth="1"/>
    <col min="6" max="6" width="19.25" style="485" customWidth="1"/>
    <col min="7" max="7" width="19" style="487" bestFit="1" customWidth="1"/>
    <col min="8" max="8" width="13.875" style="488" customWidth="1"/>
    <col min="9" max="9" width="19.625" style="516" customWidth="1"/>
    <col min="10" max="10" width="16.875" style="487" customWidth="1"/>
    <col min="11" max="11" width="16.875" style="488" customWidth="1"/>
    <col min="12" max="12" width="19.25" style="516" customWidth="1"/>
    <col min="13" max="13" width="14.25" style="484" bestFit="1" customWidth="1"/>
    <col min="14" max="14" width="17.75" style="516" bestFit="1" customWidth="1"/>
    <col min="15" max="15" width="9.125" style="484"/>
    <col min="16" max="16" width="18" style="484" bestFit="1" customWidth="1"/>
    <col min="17" max="16384" width="9.125" style="484"/>
  </cols>
  <sheetData>
    <row r="1" spans="1:16" s="551" customFormat="1" ht="24" customHeight="1">
      <c r="A1" s="552"/>
      <c r="B1" s="552"/>
      <c r="C1" s="552"/>
      <c r="D1" s="552"/>
      <c r="E1" s="553" t="s">
        <v>406</v>
      </c>
      <c r="F1" s="553"/>
      <c r="G1" s="554"/>
      <c r="H1" s="555" t="s">
        <v>591</v>
      </c>
      <c r="I1" s="556"/>
      <c r="J1" s="554"/>
      <c r="K1" s="555" t="s">
        <v>592</v>
      </c>
      <c r="L1" s="555"/>
      <c r="M1" s="555"/>
      <c r="N1" s="550"/>
    </row>
    <row r="2" spans="1:16" s="551" customFormat="1" ht="29.25" customHeight="1">
      <c r="A2" s="557" t="s">
        <v>504</v>
      </c>
      <c r="B2" s="557" t="s">
        <v>254</v>
      </c>
      <c r="C2" s="557" t="s">
        <v>505</v>
      </c>
      <c r="D2" s="557" t="s">
        <v>506</v>
      </c>
      <c r="E2" s="558" t="s">
        <v>502</v>
      </c>
      <c r="F2" s="558" t="s">
        <v>587</v>
      </c>
      <c r="G2" s="559" t="s">
        <v>588</v>
      </c>
      <c r="H2" s="560" t="s">
        <v>590</v>
      </c>
      <c r="I2" s="561" t="s">
        <v>587</v>
      </c>
      <c r="J2" s="559" t="s">
        <v>588</v>
      </c>
      <c r="K2" s="562" t="s">
        <v>593</v>
      </c>
      <c r="L2" s="561" t="s">
        <v>587</v>
      </c>
      <c r="M2" s="563" t="s">
        <v>588</v>
      </c>
      <c r="N2" s="550"/>
    </row>
    <row r="3" spans="1:16">
      <c r="A3" s="499" t="s">
        <v>595</v>
      </c>
      <c r="B3" s="499" t="s">
        <v>226</v>
      </c>
      <c r="C3" s="499" t="s">
        <v>289</v>
      </c>
      <c r="D3" s="499" t="s">
        <v>290</v>
      </c>
      <c r="E3" s="496">
        <v>46400</v>
      </c>
      <c r="F3" s="496">
        <v>776457600</v>
      </c>
      <c r="G3" s="497">
        <f>+F3/26000</f>
        <v>29863.753846153846</v>
      </c>
      <c r="H3" s="498">
        <v>19655.966667304197</v>
      </c>
      <c r="I3" s="517">
        <f>+H3*E3</f>
        <v>912036853.3629148</v>
      </c>
      <c r="J3" s="497">
        <f>+I3/26000</f>
        <v>35078.340513958261</v>
      </c>
      <c r="K3" s="498">
        <v>17463.274708665085</v>
      </c>
      <c r="L3" s="517">
        <f>+K3*E3</f>
        <v>810295946.48205996</v>
      </c>
      <c r="M3" s="497">
        <f>+L3/26000</f>
        <v>31165.22871084846</v>
      </c>
      <c r="O3" s="522"/>
    </row>
    <row r="4" spans="1:16">
      <c r="A4" s="499" t="s">
        <v>595</v>
      </c>
      <c r="B4" s="489" t="s">
        <v>226</v>
      </c>
      <c r="C4" s="489" t="s">
        <v>257</v>
      </c>
      <c r="D4" s="489" t="s">
        <v>258</v>
      </c>
      <c r="E4" s="490">
        <v>55533</v>
      </c>
      <c r="F4" s="490">
        <v>1014698976</v>
      </c>
      <c r="G4" s="491">
        <f t="shared" ref="G4:G67" si="0">+F4/26000</f>
        <v>39026.883692307689</v>
      </c>
      <c r="H4" s="498">
        <v>19471.797789516306</v>
      </c>
      <c r="I4" s="518">
        <f t="shared" ref="I4:I67" si="1">+H4*E4</f>
        <v>1081327346.6452091</v>
      </c>
      <c r="J4" s="491">
        <f t="shared" ref="J4:J67" si="2">+I4/26000</f>
        <v>41589.513332508039</v>
      </c>
      <c r="K4" s="498">
        <v>24299.323284724745</v>
      </c>
      <c r="L4" s="518">
        <f t="shared" ref="L4:L67" si="3">+K4*E4</f>
        <v>1349414319.9706192</v>
      </c>
      <c r="M4" s="491">
        <f t="shared" ref="M4:M67" si="4">+L4/26000</f>
        <v>51900.550768100737</v>
      </c>
      <c r="O4" s="522"/>
    </row>
    <row r="5" spans="1:16">
      <c r="A5" s="499" t="s">
        <v>595</v>
      </c>
      <c r="B5" s="489" t="s">
        <v>226</v>
      </c>
      <c r="C5" s="489" t="s">
        <v>312</v>
      </c>
      <c r="D5" s="489" t="s">
        <v>313</v>
      </c>
      <c r="E5" s="490">
        <v>589680</v>
      </c>
      <c r="F5" s="490">
        <v>9546919200</v>
      </c>
      <c r="G5" s="491">
        <f t="shared" si="0"/>
        <v>367189.2</v>
      </c>
      <c r="H5" s="498">
        <v>18096.416410574704</v>
      </c>
      <c r="I5" s="518">
        <f t="shared" si="1"/>
        <v>10671094828.987692</v>
      </c>
      <c r="J5" s="491">
        <f t="shared" si="2"/>
        <v>410426.72419183428</v>
      </c>
      <c r="K5" s="498">
        <v>19124.579145621567</v>
      </c>
      <c r="L5" s="518">
        <f t="shared" si="3"/>
        <v>11277381830.590126</v>
      </c>
      <c r="M5" s="491">
        <f t="shared" si="4"/>
        <v>433745.45502269716</v>
      </c>
      <c r="O5" s="522"/>
      <c r="P5" s="523"/>
    </row>
    <row r="6" spans="1:16">
      <c r="A6" s="499" t="s">
        <v>595</v>
      </c>
      <c r="B6" s="489" t="s">
        <v>226</v>
      </c>
      <c r="C6" s="489" t="s">
        <v>460</v>
      </c>
      <c r="D6" s="489" t="s">
        <v>461</v>
      </c>
      <c r="E6" s="490">
        <v>411900</v>
      </c>
      <c r="F6" s="490">
        <v>8331501300</v>
      </c>
      <c r="G6" s="491">
        <f t="shared" si="0"/>
        <v>320442.35769230768</v>
      </c>
      <c r="H6" s="498">
        <v>19943.710580898904</v>
      </c>
      <c r="I6" s="518">
        <f t="shared" si="1"/>
        <v>8214814388.2722588</v>
      </c>
      <c r="J6" s="491">
        <f t="shared" si="2"/>
        <v>315954.39954893303</v>
      </c>
      <c r="K6" s="498">
        <v>19792.519252096678</v>
      </c>
      <c r="L6" s="518">
        <f t="shared" si="3"/>
        <v>8152538679.9386215</v>
      </c>
      <c r="M6" s="491">
        <f t="shared" si="4"/>
        <v>313559.17999763926</v>
      </c>
      <c r="O6" s="522"/>
    </row>
    <row r="7" spans="1:16">
      <c r="A7" s="499" t="s">
        <v>595</v>
      </c>
      <c r="B7" s="489" t="s">
        <v>228</v>
      </c>
      <c r="C7" s="489" t="s">
        <v>312</v>
      </c>
      <c r="D7" s="489" t="s">
        <v>313</v>
      </c>
      <c r="E7" s="490">
        <v>168480</v>
      </c>
      <c r="F7" s="490">
        <v>2773180800</v>
      </c>
      <c r="G7" s="491">
        <f t="shared" si="0"/>
        <v>106660.8</v>
      </c>
      <c r="H7" s="498">
        <v>18096.416410574704</v>
      </c>
      <c r="I7" s="518">
        <f t="shared" si="1"/>
        <v>3048884236.8536263</v>
      </c>
      <c r="J7" s="491">
        <f t="shared" si="2"/>
        <v>117264.77834052409</v>
      </c>
      <c r="K7" s="498">
        <v>19124.579145621567</v>
      </c>
      <c r="L7" s="518">
        <f t="shared" si="3"/>
        <v>3222109094.4543214</v>
      </c>
      <c r="M7" s="491">
        <f t="shared" si="4"/>
        <v>123927.27286362775</v>
      </c>
      <c r="O7" s="522"/>
    </row>
    <row r="8" spans="1:16">
      <c r="A8" s="499" t="s">
        <v>595</v>
      </c>
      <c r="B8" s="489" t="s">
        <v>220</v>
      </c>
      <c r="C8" s="489" t="s">
        <v>507</v>
      </c>
      <c r="D8" s="489" t="s">
        <v>508</v>
      </c>
      <c r="E8" s="490">
        <v>21100</v>
      </c>
      <c r="F8" s="490">
        <v>370516000</v>
      </c>
      <c r="G8" s="491">
        <f t="shared" si="0"/>
        <v>14250.615384615385</v>
      </c>
      <c r="H8" s="498">
        <v>26471.906936267907</v>
      </c>
      <c r="I8" s="518">
        <f t="shared" si="1"/>
        <v>558557236.35525286</v>
      </c>
      <c r="J8" s="491">
        <f t="shared" si="2"/>
        <v>21482.970629048188</v>
      </c>
      <c r="K8" s="498">
        <v>26471.906936267907</v>
      </c>
      <c r="L8" s="518">
        <f t="shared" si="3"/>
        <v>558557236.35525286</v>
      </c>
      <c r="M8" s="491">
        <f t="shared" si="4"/>
        <v>21482.970629048188</v>
      </c>
      <c r="O8" s="522"/>
    </row>
    <row r="9" spans="1:16">
      <c r="A9" s="499" t="s">
        <v>595</v>
      </c>
      <c r="B9" s="489" t="s">
        <v>220</v>
      </c>
      <c r="C9" s="489" t="s">
        <v>509</v>
      </c>
      <c r="D9" s="489" t="s">
        <v>510</v>
      </c>
      <c r="E9" s="490">
        <v>21901</v>
      </c>
      <c r="F9" s="490">
        <v>558212688</v>
      </c>
      <c r="G9" s="491">
        <f t="shared" si="0"/>
        <v>21469.718769230771</v>
      </c>
      <c r="H9" s="498">
        <v>20211.909465772093</v>
      </c>
      <c r="I9" s="518">
        <f t="shared" si="1"/>
        <v>442661029.20987457</v>
      </c>
      <c r="J9" s="491">
        <f t="shared" si="2"/>
        <v>17025.424200379792</v>
      </c>
      <c r="K9" s="498">
        <v>20211.909465772093</v>
      </c>
      <c r="L9" s="518">
        <f t="shared" si="3"/>
        <v>442661029.20987457</v>
      </c>
      <c r="M9" s="491">
        <f t="shared" si="4"/>
        <v>17025.424200379792</v>
      </c>
      <c r="O9" s="522"/>
    </row>
    <row r="10" spans="1:16">
      <c r="A10" s="499" t="s">
        <v>595</v>
      </c>
      <c r="B10" s="489" t="s">
        <v>220</v>
      </c>
      <c r="C10" s="489" t="s">
        <v>511</v>
      </c>
      <c r="D10" s="489" t="s">
        <v>512</v>
      </c>
      <c r="E10" s="490">
        <v>200</v>
      </c>
      <c r="F10" s="490">
        <v>5754228</v>
      </c>
      <c r="G10" s="491">
        <f t="shared" si="0"/>
        <v>221.31646153846154</v>
      </c>
      <c r="H10" s="498">
        <v>21418.926942119193</v>
      </c>
      <c r="I10" s="518">
        <f t="shared" si="1"/>
        <v>4283785.3884238387</v>
      </c>
      <c r="J10" s="491">
        <f t="shared" si="2"/>
        <v>164.76097647783996</v>
      </c>
      <c r="K10" s="498">
        <v>21418.926942119193</v>
      </c>
      <c r="L10" s="518">
        <f t="shared" si="3"/>
        <v>4283785.3884238387</v>
      </c>
      <c r="M10" s="491">
        <f t="shared" si="4"/>
        <v>164.76097647783996</v>
      </c>
      <c r="O10" s="522"/>
    </row>
    <row r="11" spans="1:16">
      <c r="A11" s="499" t="s">
        <v>595</v>
      </c>
      <c r="B11" s="489" t="s">
        <v>220</v>
      </c>
      <c r="C11" s="489" t="s">
        <v>513</v>
      </c>
      <c r="D11" s="489" t="s">
        <v>514</v>
      </c>
      <c r="E11" s="490">
        <v>13552</v>
      </c>
      <c r="F11" s="490">
        <v>245494480</v>
      </c>
      <c r="G11" s="491">
        <f t="shared" si="0"/>
        <v>9442.0953846153843</v>
      </c>
      <c r="H11" s="498">
        <v>56369.954735474261</v>
      </c>
      <c r="I11" s="518">
        <f t="shared" si="1"/>
        <v>763925626.57514715</v>
      </c>
      <c r="J11" s="491">
        <f t="shared" si="2"/>
        <v>29381.754868274889</v>
      </c>
      <c r="K11" s="498">
        <v>56369.954735474261</v>
      </c>
      <c r="L11" s="518">
        <f t="shared" si="3"/>
        <v>763925626.57514715</v>
      </c>
      <c r="M11" s="491">
        <f t="shared" si="4"/>
        <v>29381.754868274889</v>
      </c>
      <c r="O11" s="522"/>
    </row>
    <row r="12" spans="1:16">
      <c r="A12" s="499" t="s">
        <v>595</v>
      </c>
      <c r="B12" s="489" t="s">
        <v>220</v>
      </c>
      <c r="C12" s="489" t="s">
        <v>515</v>
      </c>
      <c r="D12" s="489" t="s">
        <v>516</v>
      </c>
      <c r="E12" s="490">
        <v>15060</v>
      </c>
      <c r="F12" s="490">
        <v>257706720</v>
      </c>
      <c r="G12" s="491">
        <f t="shared" si="0"/>
        <v>9911.7969230769231</v>
      </c>
      <c r="H12" s="498">
        <v>38227.207575474422</v>
      </c>
      <c r="I12" s="518">
        <f t="shared" si="1"/>
        <v>575701746.08664477</v>
      </c>
      <c r="J12" s="491">
        <f t="shared" si="2"/>
        <v>22142.374849486336</v>
      </c>
      <c r="K12" s="498">
        <v>38227.207575474422</v>
      </c>
      <c r="L12" s="518">
        <f t="shared" si="3"/>
        <v>575701746.08664477</v>
      </c>
      <c r="M12" s="491">
        <f t="shared" si="4"/>
        <v>22142.374849486336</v>
      </c>
      <c r="O12" s="522"/>
    </row>
    <row r="13" spans="1:16">
      <c r="A13" s="499" t="s">
        <v>595</v>
      </c>
      <c r="B13" s="489" t="s">
        <v>220</v>
      </c>
      <c r="C13" s="489" t="s">
        <v>517</v>
      </c>
      <c r="D13" s="489" t="s">
        <v>518</v>
      </c>
      <c r="E13" s="490">
        <v>83366</v>
      </c>
      <c r="F13" s="490">
        <v>1676156796</v>
      </c>
      <c r="G13" s="491">
        <f t="shared" si="0"/>
        <v>64467.569076923079</v>
      </c>
      <c r="H13" s="498">
        <v>16320.964930218412</v>
      </c>
      <c r="I13" s="518">
        <f t="shared" si="1"/>
        <v>1360613562.3725882</v>
      </c>
      <c r="J13" s="491">
        <f t="shared" si="2"/>
        <v>52331.290860484158</v>
      </c>
      <c r="K13" s="498">
        <v>16320.964930218412</v>
      </c>
      <c r="L13" s="518">
        <f t="shared" si="3"/>
        <v>1360613562.3725882</v>
      </c>
      <c r="M13" s="491">
        <f t="shared" si="4"/>
        <v>52331.290860484158</v>
      </c>
      <c r="O13" s="522"/>
    </row>
    <row r="14" spans="1:16">
      <c r="A14" s="499" t="s">
        <v>595</v>
      </c>
      <c r="B14" s="489" t="s">
        <v>220</v>
      </c>
      <c r="C14" s="489" t="s">
        <v>519</v>
      </c>
      <c r="D14" s="489" t="s">
        <v>520</v>
      </c>
      <c r="E14" s="490">
        <v>336</v>
      </c>
      <c r="F14" s="490">
        <v>6134016</v>
      </c>
      <c r="G14" s="491">
        <f t="shared" si="0"/>
        <v>235.92369230769231</v>
      </c>
      <c r="H14" s="498">
        <v>11657.829089920931</v>
      </c>
      <c r="I14" s="518">
        <f t="shared" si="1"/>
        <v>3917030.5742134331</v>
      </c>
      <c r="J14" s="491">
        <f t="shared" si="2"/>
        <v>150.65502208513203</v>
      </c>
      <c r="K14" s="498">
        <v>11657.829089920931</v>
      </c>
      <c r="L14" s="518">
        <f t="shared" si="3"/>
        <v>3917030.5742134331</v>
      </c>
      <c r="M14" s="491">
        <f t="shared" si="4"/>
        <v>150.65502208513203</v>
      </c>
      <c r="O14" s="522"/>
    </row>
    <row r="15" spans="1:16">
      <c r="A15" s="499" t="s">
        <v>595</v>
      </c>
      <c r="B15" s="489" t="s">
        <v>220</v>
      </c>
      <c r="C15" s="489" t="s">
        <v>521</v>
      </c>
      <c r="D15" s="489" t="s">
        <v>522</v>
      </c>
      <c r="E15" s="490">
        <v>5228</v>
      </c>
      <c r="F15" s="490">
        <v>101940772</v>
      </c>
      <c r="G15" s="491">
        <f t="shared" si="0"/>
        <v>3920.7989230769231</v>
      </c>
      <c r="H15" s="498">
        <v>26464.409933309234</v>
      </c>
      <c r="I15" s="518">
        <f t="shared" si="1"/>
        <v>138355935.13134068</v>
      </c>
      <c r="J15" s="491">
        <f t="shared" si="2"/>
        <v>5321.3821204361802</v>
      </c>
      <c r="K15" s="498">
        <v>26464.409933309234</v>
      </c>
      <c r="L15" s="518">
        <f t="shared" si="3"/>
        <v>138355935.13134068</v>
      </c>
      <c r="M15" s="491">
        <f t="shared" si="4"/>
        <v>5321.3821204361802</v>
      </c>
      <c r="O15" s="522"/>
    </row>
    <row r="16" spans="1:16">
      <c r="A16" s="499" t="s">
        <v>595</v>
      </c>
      <c r="B16" s="489" t="s">
        <v>220</v>
      </c>
      <c r="C16" s="489" t="s">
        <v>523</v>
      </c>
      <c r="D16" s="489" t="s">
        <v>524</v>
      </c>
      <c r="E16" s="490">
        <v>123720</v>
      </c>
      <c r="F16" s="490">
        <v>5647199400</v>
      </c>
      <c r="G16" s="491">
        <f t="shared" si="0"/>
        <v>217199.97692307693</v>
      </c>
      <c r="H16" s="498">
        <v>39074.36890980498</v>
      </c>
      <c r="I16" s="518">
        <f t="shared" si="1"/>
        <v>4834280921.5210724</v>
      </c>
      <c r="J16" s="491">
        <f t="shared" si="2"/>
        <v>185933.88159696432</v>
      </c>
      <c r="K16" s="498">
        <v>39074.36890980498</v>
      </c>
      <c r="L16" s="518">
        <f t="shared" si="3"/>
        <v>4834280921.5210724</v>
      </c>
      <c r="M16" s="491">
        <f t="shared" si="4"/>
        <v>185933.88159696432</v>
      </c>
      <c r="O16" s="522"/>
    </row>
    <row r="17" spans="1:15">
      <c r="A17" s="499" t="s">
        <v>595</v>
      </c>
      <c r="B17" s="489" t="s">
        <v>220</v>
      </c>
      <c r="C17" s="489" t="s">
        <v>525</v>
      </c>
      <c r="D17" s="489" t="s">
        <v>526</v>
      </c>
      <c r="E17" s="490">
        <v>23350</v>
      </c>
      <c r="F17" s="490">
        <v>737089450</v>
      </c>
      <c r="G17" s="491">
        <f t="shared" si="0"/>
        <v>28349.594230769231</v>
      </c>
      <c r="H17" s="498">
        <v>26546.876965854684</v>
      </c>
      <c r="I17" s="518">
        <f t="shared" si="1"/>
        <v>619869577.15270686</v>
      </c>
      <c r="J17" s="491">
        <f t="shared" si="2"/>
        <v>23841.137582796418</v>
      </c>
      <c r="K17" s="498">
        <v>26546.876965854684</v>
      </c>
      <c r="L17" s="518">
        <f t="shared" si="3"/>
        <v>619869577.15270686</v>
      </c>
      <c r="M17" s="491">
        <f t="shared" si="4"/>
        <v>23841.137582796418</v>
      </c>
      <c r="O17" s="522"/>
    </row>
    <row r="18" spans="1:15">
      <c r="A18" s="499" t="s">
        <v>595</v>
      </c>
      <c r="B18" s="489" t="s">
        <v>220</v>
      </c>
      <c r="C18" s="489" t="s">
        <v>527</v>
      </c>
      <c r="D18" s="489" t="s">
        <v>528</v>
      </c>
      <c r="E18" s="490">
        <v>24106</v>
      </c>
      <c r="F18" s="490">
        <v>716550850</v>
      </c>
      <c r="G18" s="491">
        <f t="shared" si="0"/>
        <v>27559.648076923077</v>
      </c>
      <c r="H18" s="498">
        <v>25212.410439210067</v>
      </c>
      <c r="I18" s="518">
        <f t="shared" si="1"/>
        <v>607770366.04759789</v>
      </c>
      <c r="J18" s="491">
        <f t="shared" si="2"/>
        <v>23375.783309522994</v>
      </c>
      <c r="K18" s="498">
        <v>25212.410439210067</v>
      </c>
      <c r="L18" s="518">
        <f t="shared" si="3"/>
        <v>607770366.04759789</v>
      </c>
      <c r="M18" s="491">
        <f t="shared" si="4"/>
        <v>23375.783309522994</v>
      </c>
      <c r="O18" s="522"/>
    </row>
    <row r="19" spans="1:15">
      <c r="A19" s="499" t="s">
        <v>595</v>
      </c>
      <c r="B19" s="489" t="s">
        <v>469</v>
      </c>
      <c r="C19" s="489" t="s">
        <v>412</v>
      </c>
      <c r="D19" s="489" t="s">
        <v>413</v>
      </c>
      <c r="E19" s="490">
        <v>360</v>
      </c>
      <c r="F19" s="490">
        <v>24682314.239999998</v>
      </c>
      <c r="G19" s="491">
        <f t="shared" si="0"/>
        <v>949.31977846153836</v>
      </c>
      <c r="H19" s="498">
        <v>2886.8012687214464</v>
      </c>
      <c r="I19" s="518">
        <f t="shared" si="1"/>
        <v>1039248.4567397207</v>
      </c>
      <c r="J19" s="491">
        <f t="shared" si="2"/>
        <v>39.971094489989255</v>
      </c>
      <c r="K19" s="498">
        <v>2887.4832810392368</v>
      </c>
      <c r="L19" s="518">
        <f t="shared" si="3"/>
        <v>1039493.9811741252</v>
      </c>
      <c r="M19" s="491">
        <f t="shared" si="4"/>
        <v>39.980537737466356</v>
      </c>
      <c r="O19" s="522"/>
    </row>
    <row r="20" spans="1:15">
      <c r="A20" s="499" t="s">
        <v>595</v>
      </c>
      <c r="B20" s="489" t="s">
        <v>469</v>
      </c>
      <c r="C20" s="489" t="s">
        <v>398</v>
      </c>
      <c r="D20" s="489" t="s">
        <v>540</v>
      </c>
      <c r="E20" s="490">
        <v>300</v>
      </c>
      <c r="F20" s="490">
        <v>21548160</v>
      </c>
      <c r="G20" s="491">
        <f t="shared" si="0"/>
        <v>828.77538461538461</v>
      </c>
      <c r="H20" s="498">
        <v>14265.869253993498</v>
      </c>
      <c r="I20" s="518">
        <f t="shared" si="1"/>
        <v>4279760.7761980491</v>
      </c>
      <c r="J20" s="491">
        <f t="shared" si="2"/>
        <v>164.60618369992497</v>
      </c>
      <c r="K20" s="498">
        <v>1139.7503481188144</v>
      </c>
      <c r="L20" s="518">
        <f t="shared" si="3"/>
        <v>341925.10443564429</v>
      </c>
      <c r="M20" s="491">
        <f t="shared" si="4"/>
        <v>13.150965555217088</v>
      </c>
      <c r="O20" s="522"/>
    </row>
    <row r="21" spans="1:15">
      <c r="A21" s="499" t="s">
        <v>595</v>
      </c>
      <c r="B21" s="489" t="s">
        <v>469</v>
      </c>
      <c r="C21" s="489" t="s">
        <v>360</v>
      </c>
      <c r="D21" s="489" t="s">
        <v>361</v>
      </c>
      <c r="E21" s="490">
        <v>250</v>
      </c>
      <c r="F21" s="490">
        <v>29268645</v>
      </c>
      <c r="G21" s="491">
        <f t="shared" si="0"/>
        <v>1125.7171153846155</v>
      </c>
      <c r="H21" s="498">
        <v>29376.592423313406</v>
      </c>
      <c r="I21" s="518">
        <f t="shared" si="1"/>
        <v>7344148.1058283513</v>
      </c>
      <c r="J21" s="491">
        <f t="shared" si="2"/>
        <v>282.46723483955196</v>
      </c>
      <c r="K21" s="498">
        <v>29376.592423313406</v>
      </c>
      <c r="L21" s="518">
        <f t="shared" si="3"/>
        <v>7344148.1058283513</v>
      </c>
      <c r="M21" s="491">
        <f t="shared" si="4"/>
        <v>282.46723483955196</v>
      </c>
      <c r="O21" s="522"/>
    </row>
    <row r="22" spans="1:15">
      <c r="A22" s="499" t="s">
        <v>595</v>
      </c>
      <c r="B22" s="489" t="s">
        <v>469</v>
      </c>
      <c r="C22" s="489" t="s">
        <v>275</v>
      </c>
      <c r="D22" s="489" t="s">
        <v>276</v>
      </c>
      <c r="E22" s="490">
        <v>100</v>
      </c>
      <c r="F22" s="490">
        <v>30880290</v>
      </c>
      <c r="G22" s="491">
        <f t="shared" si="0"/>
        <v>1187.7034615384616</v>
      </c>
      <c r="H22" s="498">
        <v>130082.67087811786</v>
      </c>
      <c r="I22" s="518">
        <f t="shared" si="1"/>
        <v>13008267.087811787</v>
      </c>
      <c r="J22" s="491">
        <f t="shared" si="2"/>
        <v>500.31796491583793</v>
      </c>
      <c r="K22" s="498">
        <v>208687.46071830028</v>
      </c>
      <c r="L22" s="518">
        <f t="shared" si="3"/>
        <v>20868746.071830027</v>
      </c>
      <c r="M22" s="491">
        <f t="shared" si="4"/>
        <v>802.64407968577029</v>
      </c>
      <c r="O22" s="522"/>
    </row>
    <row r="23" spans="1:15">
      <c r="A23" s="499" t="s">
        <v>595</v>
      </c>
      <c r="B23" s="489" t="s">
        <v>469</v>
      </c>
      <c r="C23" s="489" t="s">
        <v>356</v>
      </c>
      <c r="D23" s="489" t="s">
        <v>357</v>
      </c>
      <c r="E23" s="490">
        <v>476</v>
      </c>
      <c r="F23" s="490">
        <v>31129618.199999999</v>
      </c>
      <c r="G23" s="491">
        <f t="shared" si="0"/>
        <v>1197.2930076923076</v>
      </c>
      <c r="H23" s="498">
        <v>81461.908504045656</v>
      </c>
      <c r="I23" s="518">
        <f t="shared" si="1"/>
        <v>38775868.447925732</v>
      </c>
      <c r="J23" s="491">
        <f t="shared" si="2"/>
        <v>1491.3795556894513</v>
      </c>
      <c r="K23" s="498">
        <v>81461.908504045656</v>
      </c>
      <c r="L23" s="518">
        <f t="shared" si="3"/>
        <v>38775868.447925732</v>
      </c>
      <c r="M23" s="491">
        <f t="shared" si="4"/>
        <v>1491.3795556894513</v>
      </c>
      <c r="O23" s="522"/>
    </row>
    <row r="24" spans="1:15">
      <c r="A24" s="499" t="s">
        <v>595</v>
      </c>
      <c r="B24" s="489" t="s">
        <v>469</v>
      </c>
      <c r="C24" s="489" t="s">
        <v>341</v>
      </c>
      <c r="D24" s="489" t="s">
        <v>342</v>
      </c>
      <c r="E24" s="490">
        <v>80</v>
      </c>
      <c r="F24" s="490">
        <v>43256200.32</v>
      </c>
      <c r="G24" s="491">
        <f t="shared" si="0"/>
        <v>1663.7000123076923</v>
      </c>
      <c r="H24" s="498">
        <v>141716.17640296949</v>
      </c>
      <c r="I24" s="518">
        <f t="shared" si="1"/>
        <v>11337294.11223756</v>
      </c>
      <c r="J24" s="491">
        <f t="shared" si="2"/>
        <v>436.04977354759842</v>
      </c>
      <c r="K24" s="498">
        <v>141716.17640296949</v>
      </c>
      <c r="L24" s="518">
        <f t="shared" si="3"/>
        <v>11337294.11223756</v>
      </c>
      <c r="M24" s="491">
        <f t="shared" si="4"/>
        <v>436.04977354759842</v>
      </c>
      <c r="O24" s="522"/>
    </row>
    <row r="25" spans="1:15">
      <c r="A25" s="499" t="s">
        <v>595</v>
      </c>
      <c r="B25" s="489" t="s">
        <v>469</v>
      </c>
      <c r="C25" s="489" t="s">
        <v>346</v>
      </c>
      <c r="D25" s="489" t="s">
        <v>347</v>
      </c>
      <c r="E25" s="490">
        <v>750</v>
      </c>
      <c r="F25" s="490">
        <v>121072320</v>
      </c>
      <c r="G25" s="491">
        <f t="shared" si="0"/>
        <v>4656.6276923076921</v>
      </c>
      <c r="H25" s="498">
        <v>60426.869883879808</v>
      </c>
      <c r="I25" s="518">
        <f t="shared" si="1"/>
        <v>45320152.412909858</v>
      </c>
      <c r="J25" s="491">
        <f t="shared" si="2"/>
        <v>1743.0827851119177</v>
      </c>
      <c r="K25" s="498">
        <v>59411.209570268053</v>
      </c>
      <c r="L25" s="518">
        <f t="shared" si="3"/>
        <v>44558407.177701041</v>
      </c>
      <c r="M25" s="491">
        <f t="shared" si="4"/>
        <v>1713.78489145004</v>
      </c>
      <c r="O25" s="522"/>
    </row>
    <row r="26" spans="1:15">
      <c r="A26" s="499" t="s">
        <v>595</v>
      </c>
      <c r="B26" s="489" t="s">
        <v>469</v>
      </c>
      <c r="C26" s="489" t="s">
        <v>343</v>
      </c>
      <c r="D26" s="489" t="s">
        <v>344</v>
      </c>
      <c r="E26" s="490">
        <v>500</v>
      </c>
      <c r="F26" s="490">
        <v>147676560</v>
      </c>
      <c r="G26" s="491">
        <f t="shared" si="0"/>
        <v>5679.8676923076919</v>
      </c>
      <c r="H26" s="498">
        <v>117132.23963785368</v>
      </c>
      <c r="I26" s="518">
        <f t="shared" si="1"/>
        <v>58566119.818926841</v>
      </c>
      <c r="J26" s="491">
        <f t="shared" si="2"/>
        <v>2252.5430699587246</v>
      </c>
      <c r="K26" s="498">
        <v>115530.23963785368</v>
      </c>
      <c r="L26" s="518">
        <f t="shared" si="3"/>
        <v>57765119.818926841</v>
      </c>
      <c r="M26" s="491">
        <f t="shared" si="4"/>
        <v>2221.7353776510322</v>
      </c>
      <c r="O26" s="522"/>
    </row>
    <row r="27" spans="1:15">
      <c r="A27" s="499" t="s">
        <v>595</v>
      </c>
      <c r="B27" s="489" t="s">
        <v>469</v>
      </c>
      <c r="C27" s="489" t="s">
        <v>370</v>
      </c>
      <c r="D27" s="489" t="s">
        <v>371</v>
      </c>
      <c r="E27" s="490">
        <v>104</v>
      </c>
      <c r="F27" s="490">
        <v>66350980.850000001</v>
      </c>
      <c r="G27" s="491">
        <f t="shared" si="0"/>
        <v>2551.9608019230768</v>
      </c>
      <c r="H27" s="498">
        <v>231570.5072227607</v>
      </c>
      <c r="I27" s="518">
        <f t="shared" si="1"/>
        <v>24083332.751167111</v>
      </c>
      <c r="J27" s="491">
        <f t="shared" si="2"/>
        <v>926.28202889104273</v>
      </c>
      <c r="K27" s="498">
        <v>218082.52309078307</v>
      </c>
      <c r="L27" s="518">
        <f t="shared" si="3"/>
        <v>22680582.40144144</v>
      </c>
      <c r="M27" s="491">
        <f t="shared" si="4"/>
        <v>872.33009236313228</v>
      </c>
      <c r="O27" s="522"/>
    </row>
    <row r="28" spans="1:15">
      <c r="A28" s="499" t="s">
        <v>595</v>
      </c>
      <c r="B28" s="489" t="s">
        <v>469</v>
      </c>
      <c r="C28" s="489" t="s">
        <v>332</v>
      </c>
      <c r="D28" s="489" t="s">
        <v>333</v>
      </c>
      <c r="E28" s="490">
        <v>204</v>
      </c>
      <c r="F28" s="490">
        <v>76107279.599999994</v>
      </c>
      <c r="G28" s="491">
        <f t="shared" si="0"/>
        <v>2927.2030615384615</v>
      </c>
      <c r="H28" s="498">
        <v>781300.70319961908</v>
      </c>
      <c r="I28" s="518">
        <f t="shared" si="1"/>
        <v>159385343.45272228</v>
      </c>
      <c r="J28" s="491">
        <f t="shared" si="2"/>
        <v>6130.2055174123952</v>
      </c>
      <c r="K28" s="498">
        <v>781300.70319961908</v>
      </c>
      <c r="L28" s="518">
        <f t="shared" si="3"/>
        <v>159385343.45272228</v>
      </c>
      <c r="M28" s="491">
        <f t="shared" si="4"/>
        <v>6130.2055174123952</v>
      </c>
      <c r="O28" s="522"/>
    </row>
    <row r="29" spans="1:15">
      <c r="A29" s="499" t="s">
        <v>595</v>
      </c>
      <c r="B29" s="489" t="s">
        <v>469</v>
      </c>
      <c r="C29" s="489" t="s">
        <v>328</v>
      </c>
      <c r="D29" s="489" t="s">
        <v>329</v>
      </c>
      <c r="E29" s="490">
        <v>3000</v>
      </c>
      <c r="F29" s="490">
        <v>74028319.900000006</v>
      </c>
      <c r="G29" s="491">
        <f t="shared" si="0"/>
        <v>2847.2430730769233</v>
      </c>
      <c r="H29" s="498">
        <v>33845.253900738317</v>
      </c>
      <c r="I29" s="518">
        <f t="shared" si="1"/>
        <v>101535761.70221496</v>
      </c>
      <c r="J29" s="491">
        <f t="shared" si="2"/>
        <v>3905.2216039313444</v>
      </c>
      <c r="K29" s="498">
        <v>33845.253900738317</v>
      </c>
      <c r="L29" s="518">
        <f t="shared" si="3"/>
        <v>101535761.70221496</v>
      </c>
      <c r="M29" s="491">
        <f t="shared" si="4"/>
        <v>3905.2216039313444</v>
      </c>
      <c r="O29" s="522"/>
    </row>
    <row r="30" spans="1:15">
      <c r="A30" s="499" t="s">
        <v>595</v>
      </c>
      <c r="B30" s="489" t="s">
        <v>469</v>
      </c>
      <c r="C30" s="489" t="s">
        <v>391</v>
      </c>
      <c r="D30" s="489" t="s">
        <v>392</v>
      </c>
      <c r="E30" s="490">
        <v>3000</v>
      </c>
      <c r="F30" s="490">
        <v>58978800</v>
      </c>
      <c r="G30" s="491">
        <f t="shared" si="0"/>
        <v>2268.4153846153845</v>
      </c>
      <c r="H30" s="498">
        <v>20082.536946022665</v>
      </c>
      <c r="I30" s="518">
        <f t="shared" si="1"/>
        <v>60247610.838067994</v>
      </c>
      <c r="J30" s="491">
        <f t="shared" si="2"/>
        <v>2317.2158014641536</v>
      </c>
      <c r="K30" s="498">
        <v>3653.773875659057</v>
      </c>
      <c r="L30" s="518">
        <f t="shared" si="3"/>
        <v>10961321.626977172</v>
      </c>
      <c r="M30" s="491">
        <f t="shared" si="4"/>
        <v>421.58929334527585</v>
      </c>
      <c r="O30" s="522"/>
    </row>
    <row r="31" spans="1:15">
      <c r="A31" s="499" t="s">
        <v>595</v>
      </c>
      <c r="B31" s="489" t="s">
        <v>469</v>
      </c>
      <c r="C31" s="489" t="s">
        <v>393</v>
      </c>
      <c r="D31" s="489" t="s">
        <v>394</v>
      </c>
      <c r="E31" s="490">
        <v>600</v>
      </c>
      <c r="F31" s="490">
        <v>12800016</v>
      </c>
      <c r="G31" s="491">
        <f t="shared" si="0"/>
        <v>492.30830769230766</v>
      </c>
      <c r="H31" s="498">
        <v>31563.921726563971</v>
      </c>
      <c r="I31" s="518">
        <f t="shared" si="1"/>
        <v>18938353.035938382</v>
      </c>
      <c r="J31" s="491">
        <f t="shared" si="2"/>
        <v>728.39819368993778</v>
      </c>
      <c r="K31" s="498">
        <v>31563.921726563971</v>
      </c>
      <c r="L31" s="518">
        <f t="shared" si="3"/>
        <v>18938353.035938382</v>
      </c>
      <c r="M31" s="491">
        <f t="shared" si="4"/>
        <v>728.39819368993778</v>
      </c>
      <c r="O31" s="522"/>
    </row>
    <row r="32" spans="1:15">
      <c r="A32" s="499" t="s">
        <v>595</v>
      </c>
      <c r="B32" s="489" t="s">
        <v>469</v>
      </c>
      <c r="C32" s="489" t="s">
        <v>395</v>
      </c>
      <c r="D32" s="489" t="s">
        <v>396</v>
      </c>
      <c r="E32" s="490">
        <v>924</v>
      </c>
      <c r="F32" s="490">
        <v>62227174.659999996</v>
      </c>
      <c r="G32" s="491">
        <f t="shared" si="0"/>
        <v>2393.3528715384614</v>
      </c>
      <c r="H32" s="498">
        <v>71085.411949340851</v>
      </c>
      <c r="I32" s="518">
        <f t="shared" si="1"/>
        <v>65682920.641190946</v>
      </c>
      <c r="J32" s="491">
        <f t="shared" si="2"/>
        <v>2526.2661785073442</v>
      </c>
      <c r="K32" s="498">
        <v>74697.695773542029</v>
      </c>
      <c r="L32" s="518">
        <f t="shared" si="3"/>
        <v>69020670.89475283</v>
      </c>
      <c r="M32" s="491">
        <f t="shared" si="4"/>
        <v>2654.6411882597245</v>
      </c>
      <c r="O32" s="522"/>
    </row>
    <row r="33" spans="1:15">
      <c r="A33" s="499" t="s">
        <v>595</v>
      </c>
      <c r="B33" s="489" t="s">
        <v>469</v>
      </c>
      <c r="C33" s="489" t="s">
        <v>541</v>
      </c>
      <c r="D33" s="489" t="s">
        <v>542</v>
      </c>
      <c r="E33" s="490">
        <v>500</v>
      </c>
      <c r="F33" s="490">
        <v>22252125</v>
      </c>
      <c r="G33" s="491">
        <f t="shared" si="0"/>
        <v>855.85096153846155</v>
      </c>
      <c r="H33" s="498">
        <v>39799.710522891757</v>
      </c>
      <c r="I33" s="518">
        <f t="shared" si="1"/>
        <v>19899855.26144588</v>
      </c>
      <c r="J33" s="491">
        <f t="shared" si="2"/>
        <v>765.37904851714927</v>
      </c>
      <c r="K33" s="498">
        <v>39799.710522891757</v>
      </c>
      <c r="L33" s="518">
        <f t="shared" si="3"/>
        <v>19899855.26144588</v>
      </c>
      <c r="M33" s="491">
        <f t="shared" si="4"/>
        <v>765.37904851714927</v>
      </c>
      <c r="O33" s="522"/>
    </row>
    <row r="34" spans="1:15">
      <c r="A34" s="499" t="s">
        <v>595</v>
      </c>
      <c r="B34" s="489" t="s">
        <v>469</v>
      </c>
      <c r="C34" s="489" t="s">
        <v>498</v>
      </c>
      <c r="D34" s="489" t="s">
        <v>499</v>
      </c>
      <c r="E34" s="490">
        <v>2820</v>
      </c>
      <c r="F34" s="490">
        <v>59329776.630000003</v>
      </c>
      <c r="G34" s="491">
        <f t="shared" si="0"/>
        <v>2281.9144857692309</v>
      </c>
      <c r="H34" s="498">
        <v>43429.590564188598</v>
      </c>
      <c r="I34" s="518">
        <f t="shared" si="1"/>
        <v>122471445.39101185</v>
      </c>
      <c r="J34" s="491">
        <f t="shared" si="2"/>
        <v>4710.4402073466099</v>
      </c>
      <c r="K34" s="498">
        <v>43429.590564188598</v>
      </c>
      <c r="L34" s="518">
        <f t="shared" si="3"/>
        <v>122471445.39101185</v>
      </c>
      <c r="M34" s="491">
        <f t="shared" si="4"/>
        <v>4710.4402073466099</v>
      </c>
      <c r="O34" s="522"/>
    </row>
    <row r="35" spans="1:15">
      <c r="A35" s="499" t="s">
        <v>595</v>
      </c>
      <c r="B35" s="489" t="s">
        <v>469</v>
      </c>
      <c r="C35" s="489" t="s">
        <v>464</v>
      </c>
      <c r="D35" s="489" t="s">
        <v>465</v>
      </c>
      <c r="E35" s="490">
        <v>2993</v>
      </c>
      <c r="F35" s="490">
        <v>85927640.640000001</v>
      </c>
      <c r="G35" s="491">
        <f t="shared" si="0"/>
        <v>3304.9092553846153</v>
      </c>
      <c r="H35" s="498">
        <v>31403.407399290794</v>
      </c>
      <c r="I35" s="518">
        <f t="shared" si="1"/>
        <v>93990398.346077353</v>
      </c>
      <c r="J35" s="491">
        <f t="shared" si="2"/>
        <v>3615.0153210029753</v>
      </c>
      <c r="K35" s="498">
        <v>31403.407399290794</v>
      </c>
      <c r="L35" s="518">
        <f t="shared" si="3"/>
        <v>93990398.346077353</v>
      </c>
      <c r="M35" s="491">
        <f t="shared" si="4"/>
        <v>3615.0153210029753</v>
      </c>
      <c r="O35" s="522"/>
    </row>
    <row r="36" spans="1:15">
      <c r="A36" s="499" t="s">
        <v>595</v>
      </c>
      <c r="B36" s="489" t="s">
        <v>469</v>
      </c>
      <c r="C36" s="489" t="s">
        <v>466</v>
      </c>
      <c r="D36" s="489" t="s">
        <v>467</v>
      </c>
      <c r="E36" s="490">
        <v>2160</v>
      </c>
      <c r="F36" s="490">
        <v>78949844.640000001</v>
      </c>
      <c r="G36" s="491">
        <f t="shared" si="0"/>
        <v>3036.5324861538461</v>
      </c>
      <c r="H36" s="498">
        <v>83590.943416087233</v>
      </c>
      <c r="I36" s="518">
        <f t="shared" si="1"/>
        <v>180556437.77874842</v>
      </c>
      <c r="J36" s="491">
        <f t="shared" si="2"/>
        <v>6944.4783761057088</v>
      </c>
      <c r="K36" s="498">
        <v>83590.943416087233</v>
      </c>
      <c r="L36" s="518">
        <f t="shared" si="3"/>
        <v>180556437.77874842</v>
      </c>
      <c r="M36" s="491">
        <f t="shared" si="4"/>
        <v>6944.4783761057088</v>
      </c>
      <c r="O36" s="522"/>
    </row>
    <row r="37" spans="1:15">
      <c r="A37" s="499" t="s">
        <v>595</v>
      </c>
      <c r="B37" s="489" t="s">
        <v>469</v>
      </c>
      <c r="C37" s="489" t="s">
        <v>543</v>
      </c>
      <c r="D37" s="489" t="s">
        <v>544</v>
      </c>
      <c r="E37" s="490">
        <v>6</v>
      </c>
      <c r="F37" s="490">
        <v>485695.2</v>
      </c>
      <c r="G37" s="491">
        <f t="shared" si="0"/>
        <v>18.680584615384618</v>
      </c>
      <c r="H37" s="498">
        <v>11513.710311419944</v>
      </c>
      <c r="I37" s="518">
        <f t="shared" si="1"/>
        <v>69082.261868519665</v>
      </c>
      <c r="J37" s="491">
        <f t="shared" si="2"/>
        <v>2.6570100718661411</v>
      </c>
      <c r="K37" s="498">
        <v>11513.710311419944</v>
      </c>
      <c r="L37" s="518">
        <f t="shared" si="3"/>
        <v>69082.261868519665</v>
      </c>
      <c r="M37" s="491">
        <f t="shared" si="4"/>
        <v>2.6570100718661411</v>
      </c>
      <c r="O37" s="522"/>
    </row>
    <row r="38" spans="1:15">
      <c r="A38" s="499" t="s">
        <v>595</v>
      </c>
      <c r="B38" s="489" t="s">
        <v>469</v>
      </c>
      <c r="C38" s="489" t="s">
        <v>545</v>
      </c>
      <c r="D38" s="489" t="s">
        <v>546</v>
      </c>
      <c r="E38" s="490">
        <v>6</v>
      </c>
      <c r="F38" s="490">
        <v>485695.2</v>
      </c>
      <c r="G38" s="491">
        <f t="shared" si="0"/>
        <v>18.680584615384618</v>
      </c>
      <c r="H38" s="498">
        <v>11513.710311419944</v>
      </c>
      <c r="I38" s="518">
        <f t="shared" si="1"/>
        <v>69082.261868519665</v>
      </c>
      <c r="J38" s="491">
        <f t="shared" si="2"/>
        <v>2.6570100718661411</v>
      </c>
      <c r="K38" s="498">
        <v>11513.710311419944</v>
      </c>
      <c r="L38" s="518">
        <f t="shared" si="3"/>
        <v>69082.261868519665</v>
      </c>
      <c r="M38" s="491">
        <f t="shared" si="4"/>
        <v>2.6570100718661411</v>
      </c>
      <c r="O38" s="522"/>
    </row>
    <row r="39" spans="1:15">
      <c r="A39" s="499" t="s">
        <v>595</v>
      </c>
      <c r="B39" s="489" t="s">
        <v>469</v>
      </c>
      <c r="C39" s="489" t="s">
        <v>547</v>
      </c>
      <c r="D39" s="489" t="s">
        <v>548</v>
      </c>
      <c r="E39" s="490">
        <v>6</v>
      </c>
      <c r="F39" s="490">
        <v>498069.6</v>
      </c>
      <c r="G39" s="491">
        <f t="shared" si="0"/>
        <v>19.156523076923076</v>
      </c>
      <c r="H39" s="498">
        <v>17793.052925528249</v>
      </c>
      <c r="I39" s="518">
        <f t="shared" si="1"/>
        <v>106758.3175531695</v>
      </c>
      <c r="J39" s="491">
        <f t="shared" si="2"/>
        <v>4.1060891366603656</v>
      </c>
      <c r="K39" s="498">
        <v>17793.052925528249</v>
      </c>
      <c r="L39" s="518">
        <f t="shared" si="3"/>
        <v>106758.3175531695</v>
      </c>
      <c r="M39" s="491">
        <f t="shared" si="4"/>
        <v>4.1060891366603656</v>
      </c>
      <c r="O39" s="522"/>
    </row>
    <row r="40" spans="1:15">
      <c r="A40" s="499" t="s">
        <v>595</v>
      </c>
      <c r="B40" s="489" t="s">
        <v>469</v>
      </c>
      <c r="C40" s="489" t="s">
        <v>549</v>
      </c>
      <c r="D40" s="489" t="s">
        <v>550</v>
      </c>
      <c r="E40" s="490">
        <v>6</v>
      </c>
      <c r="F40" s="490">
        <v>371232</v>
      </c>
      <c r="G40" s="491">
        <f t="shared" si="0"/>
        <v>14.278153846153845</v>
      </c>
      <c r="H40" s="498">
        <v>4618.317485055145</v>
      </c>
      <c r="I40" s="518">
        <f t="shared" si="1"/>
        <v>27709.904910330872</v>
      </c>
      <c r="J40" s="491">
        <f t="shared" si="2"/>
        <v>1.0657655734742644</v>
      </c>
      <c r="K40" s="498">
        <v>4618.317485055145</v>
      </c>
      <c r="L40" s="518">
        <f t="shared" si="3"/>
        <v>27709.904910330872</v>
      </c>
      <c r="M40" s="491">
        <f t="shared" si="4"/>
        <v>1.0657655734742644</v>
      </c>
      <c r="O40" s="522"/>
    </row>
    <row r="41" spans="1:15">
      <c r="A41" s="499" t="s">
        <v>595</v>
      </c>
      <c r="B41" s="489" t="s">
        <v>469</v>
      </c>
      <c r="C41" s="489" t="s">
        <v>551</v>
      </c>
      <c r="D41" s="489" t="s">
        <v>552</v>
      </c>
      <c r="E41" s="490">
        <v>6</v>
      </c>
      <c r="F41" s="490">
        <v>538286.4</v>
      </c>
      <c r="G41" s="491">
        <f t="shared" si="0"/>
        <v>20.703323076923077</v>
      </c>
      <c r="H41" s="498">
        <v>19429.798738687714</v>
      </c>
      <c r="I41" s="518">
        <f t="shared" si="1"/>
        <v>116578.79243212628</v>
      </c>
      <c r="J41" s="491">
        <f t="shared" si="2"/>
        <v>4.4837997089279336</v>
      </c>
      <c r="K41" s="498">
        <v>19429.798738687714</v>
      </c>
      <c r="L41" s="518">
        <f t="shared" si="3"/>
        <v>116578.79243212628</v>
      </c>
      <c r="M41" s="491">
        <f t="shared" si="4"/>
        <v>4.4837997089279336</v>
      </c>
      <c r="O41" s="522"/>
    </row>
    <row r="42" spans="1:15">
      <c r="A42" s="499" t="s">
        <v>595</v>
      </c>
      <c r="B42" s="489" t="s">
        <v>469</v>
      </c>
      <c r="C42" s="489" t="s">
        <v>553</v>
      </c>
      <c r="D42" s="489" t="s">
        <v>554</v>
      </c>
      <c r="E42" s="490">
        <v>6</v>
      </c>
      <c r="F42" s="490">
        <v>467133.6</v>
      </c>
      <c r="G42" s="491">
        <f t="shared" si="0"/>
        <v>17.966676923076921</v>
      </c>
      <c r="H42" s="498">
        <v>9511.6306224208947</v>
      </c>
      <c r="I42" s="518">
        <f t="shared" si="1"/>
        <v>57069.783734525365</v>
      </c>
      <c r="J42" s="491">
        <f t="shared" si="2"/>
        <v>2.1949916820971294</v>
      </c>
      <c r="K42" s="498">
        <v>9511.6306224208947</v>
      </c>
      <c r="L42" s="518">
        <f t="shared" si="3"/>
        <v>57069.783734525365</v>
      </c>
      <c r="M42" s="491">
        <f t="shared" si="4"/>
        <v>2.1949916820971294</v>
      </c>
      <c r="O42" s="522"/>
    </row>
    <row r="43" spans="1:15">
      <c r="A43" s="499" t="s">
        <v>595</v>
      </c>
      <c r="B43" s="489" t="s">
        <v>469</v>
      </c>
      <c r="C43" s="489" t="s">
        <v>555</v>
      </c>
      <c r="D43" s="489" t="s">
        <v>556</v>
      </c>
      <c r="E43" s="490">
        <v>6</v>
      </c>
      <c r="F43" s="490">
        <v>467133.6</v>
      </c>
      <c r="G43" s="491">
        <f t="shared" si="0"/>
        <v>17.966676923076921</v>
      </c>
      <c r="H43" s="498">
        <v>9511.6306224208947</v>
      </c>
      <c r="I43" s="518">
        <f t="shared" si="1"/>
        <v>57069.783734525365</v>
      </c>
      <c r="J43" s="491">
        <f t="shared" si="2"/>
        <v>2.1949916820971294</v>
      </c>
      <c r="K43" s="498">
        <v>9511.6306224208947</v>
      </c>
      <c r="L43" s="518">
        <f t="shared" si="3"/>
        <v>57069.783734525365</v>
      </c>
      <c r="M43" s="491">
        <f t="shared" si="4"/>
        <v>2.1949916820971294</v>
      </c>
      <c r="O43" s="522"/>
    </row>
    <row r="44" spans="1:15">
      <c r="A44" s="499" t="s">
        <v>595</v>
      </c>
      <c r="B44" s="489" t="s">
        <v>469</v>
      </c>
      <c r="C44" s="489" t="s">
        <v>557</v>
      </c>
      <c r="D44" s="489" t="s">
        <v>558</v>
      </c>
      <c r="E44" s="490">
        <v>15</v>
      </c>
      <c r="F44" s="490">
        <v>42614340</v>
      </c>
      <c r="G44" s="491">
        <f t="shared" si="0"/>
        <v>1639.0130769230768</v>
      </c>
      <c r="H44" s="498">
        <v>8843883.4385767002</v>
      </c>
      <c r="I44" s="518">
        <f t="shared" si="1"/>
        <v>132658251.5786505</v>
      </c>
      <c r="J44" s="491">
        <f t="shared" si="2"/>
        <v>5102.2404453327117</v>
      </c>
      <c r="K44" s="498">
        <v>8843883.4385767002</v>
      </c>
      <c r="L44" s="518">
        <f t="shared" si="3"/>
        <v>132658251.5786505</v>
      </c>
      <c r="M44" s="491">
        <f t="shared" si="4"/>
        <v>5102.2404453327117</v>
      </c>
      <c r="O44" s="522"/>
    </row>
    <row r="45" spans="1:15">
      <c r="A45" s="499" t="s">
        <v>595</v>
      </c>
      <c r="B45" s="489" t="s">
        <v>469</v>
      </c>
      <c r="C45" s="489" t="s">
        <v>559</v>
      </c>
      <c r="D45" s="489" t="s">
        <v>560</v>
      </c>
      <c r="E45" s="490">
        <v>15</v>
      </c>
      <c r="F45" s="490">
        <v>40062120</v>
      </c>
      <c r="G45" s="491">
        <f t="shared" si="0"/>
        <v>1540.8507692307692</v>
      </c>
      <c r="H45" s="498">
        <v>6151859.2790088458</v>
      </c>
      <c r="I45" s="518">
        <f t="shared" si="1"/>
        <v>92277889.185132682</v>
      </c>
      <c r="J45" s="491">
        <f t="shared" si="2"/>
        <v>3549.1495840435646</v>
      </c>
      <c r="K45" s="498">
        <v>6151859.2790088458</v>
      </c>
      <c r="L45" s="518">
        <f t="shared" si="3"/>
        <v>92277889.185132682</v>
      </c>
      <c r="M45" s="491">
        <f t="shared" si="4"/>
        <v>3549.1495840435646</v>
      </c>
      <c r="O45" s="522"/>
    </row>
    <row r="46" spans="1:15">
      <c r="A46" s="489" t="s">
        <v>594</v>
      </c>
      <c r="B46" s="489" t="s">
        <v>469</v>
      </c>
      <c r="C46" s="489" t="s">
        <v>561</v>
      </c>
      <c r="D46" s="489" t="s">
        <v>562</v>
      </c>
      <c r="E46" s="490">
        <v>1</v>
      </c>
      <c r="F46" s="490">
        <v>89541936</v>
      </c>
      <c r="G46" s="491">
        <f t="shared" si="0"/>
        <v>3443.9206153846153</v>
      </c>
      <c r="H46" s="492">
        <v>44625000</v>
      </c>
      <c r="I46" s="518">
        <f t="shared" si="1"/>
        <v>44625000</v>
      </c>
      <c r="J46" s="491">
        <f t="shared" si="2"/>
        <v>1716.3461538461538</v>
      </c>
      <c r="K46" s="492">
        <f>+H46</f>
        <v>44625000</v>
      </c>
      <c r="L46" s="518">
        <f t="shared" si="3"/>
        <v>44625000</v>
      </c>
      <c r="M46" s="491">
        <f t="shared" si="4"/>
        <v>1716.3461538461538</v>
      </c>
      <c r="O46" s="522"/>
    </row>
    <row r="47" spans="1:15">
      <c r="A47" s="489" t="s">
        <v>594</v>
      </c>
      <c r="B47" s="489" t="s">
        <v>469</v>
      </c>
      <c r="C47" s="489" t="s">
        <v>563</v>
      </c>
      <c r="D47" s="489" t="s">
        <v>564</v>
      </c>
      <c r="E47" s="490">
        <v>1000</v>
      </c>
      <c r="F47" s="490">
        <v>32828520</v>
      </c>
      <c r="G47" s="491">
        <f t="shared" si="0"/>
        <v>1262.6353846153845</v>
      </c>
      <c r="H47" s="492">
        <v>11474</v>
      </c>
      <c r="I47" s="518">
        <f t="shared" si="1"/>
        <v>11474000</v>
      </c>
      <c r="J47" s="491">
        <f t="shared" si="2"/>
        <v>441.30769230769232</v>
      </c>
      <c r="K47" s="492">
        <f t="shared" ref="K47:K57" si="5">+H47</f>
        <v>11474</v>
      </c>
      <c r="L47" s="518">
        <f t="shared" si="3"/>
        <v>11474000</v>
      </c>
      <c r="M47" s="491">
        <f t="shared" si="4"/>
        <v>441.30769230769232</v>
      </c>
      <c r="O47" s="522"/>
    </row>
    <row r="48" spans="1:15">
      <c r="A48" s="489" t="s">
        <v>594</v>
      </c>
      <c r="B48" s="489" t="s">
        <v>469</v>
      </c>
      <c r="C48" s="489" t="s">
        <v>565</v>
      </c>
      <c r="D48" s="489" t="s">
        <v>566</v>
      </c>
      <c r="E48" s="490">
        <v>1</v>
      </c>
      <c r="F48" s="490">
        <v>207744583.19999999</v>
      </c>
      <c r="G48" s="491">
        <f t="shared" si="0"/>
        <v>7990.1762769230763</v>
      </c>
      <c r="H48" s="492">
        <v>180000000</v>
      </c>
      <c r="I48" s="518">
        <f t="shared" si="1"/>
        <v>180000000</v>
      </c>
      <c r="J48" s="491">
        <f t="shared" si="2"/>
        <v>6923.0769230769229</v>
      </c>
      <c r="K48" s="492">
        <f t="shared" si="5"/>
        <v>180000000</v>
      </c>
      <c r="L48" s="518">
        <f t="shared" si="3"/>
        <v>180000000</v>
      </c>
      <c r="M48" s="491">
        <f t="shared" si="4"/>
        <v>6923.0769230769229</v>
      </c>
      <c r="O48" s="522"/>
    </row>
    <row r="49" spans="1:15">
      <c r="A49" s="489" t="s">
        <v>594</v>
      </c>
      <c r="B49" s="489" t="s">
        <v>469</v>
      </c>
      <c r="C49" s="489" t="s">
        <v>567</v>
      </c>
      <c r="D49" s="489" t="s">
        <v>568</v>
      </c>
      <c r="E49" s="490">
        <v>1</v>
      </c>
      <c r="F49" s="490">
        <v>207744583.19999999</v>
      </c>
      <c r="G49" s="491">
        <f t="shared" si="0"/>
        <v>7990.1762769230763</v>
      </c>
      <c r="H49" s="492">
        <v>150000000</v>
      </c>
      <c r="I49" s="518">
        <f t="shared" si="1"/>
        <v>150000000</v>
      </c>
      <c r="J49" s="491">
        <f t="shared" si="2"/>
        <v>5769.2307692307695</v>
      </c>
      <c r="K49" s="492">
        <f t="shared" si="5"/>
        <v>150000000</v>
      </c>
      <c r="L49" s="518">
        <f t="shared" si="3"/>
        <v>150000000</v>
      </c>
      <c r="M49" s="491">
        <f t="shared" si="4"/>
        <v>5769.2307692307695</v>
      </c>
      <c r="O49" s="522"/>
    </row>
    <row r="50" spans="1:15">
      <c r="A50" s="489" t="s">
        <v>594</v>
      </c>
      <c r="B50" s="489" t="s">
        <v>469</v>
      </c>
      <c r="C50" s="489" t="s">
        <v>569</v>
      </c>
      <c r="D50" s="489" t="s">
        <v>570</v>
      </c>
      <c r="E50" s="490">
        <v>1</v>
      </c>
      <c r="F50" s="490">
        <v>213359322.75</v>
      </c>
      <c r="G50" s="491">
        <f t="shared" si="0"/>
        <v>8206.1277980769228</v>
      </c>
      <c r="H50" s="492">
        <v>170000000</v>
      </c>
      <c r="I50" s="518">
        <f t="shared" si="1"/>
        <v>170000000</v>
      </c>
      <c r="J50" s="491">
        <f t="shared" si="2"/>
        <v>6538.4615384615381</v>
      </c>
      <c r="K50" s="492">
        <f t="shared" si="5"/>
        <v>170000000</v>
      </c>
      <c r="L50" s="518">
        <f t="shared" si="3"/>
        <v>170000000</v>
      </c>
      <c r="M50" s="491">
        <f t="shared" si="4"/>
        <v>6538.4615384615381</v>
      </c>
      <c r="O50" s="522"/>
    </row>
    <row r="51" spans="1:15">
      <c r="A51" s="489" t="s">
        <v>594</v>
      </c>
      <c r="B51" s="489" t="s">
        <v>469</v>
      </c>
      <c r="C51" s="489" t="s">
        <v>571</v>
      </c>
      <c r="D51" s="489" t="s">
        <v>572</v>
      </c>
      <c r="E51" s="490">
        <v>1</v>
      </c>
      <c r="F51" s="490">
        <v>134752969.05000001</v>
      </c>
      <c r="G51" s="491">
        <f t="shared" si="0"/>
        <v>5182.8065019230771</v>
      </c>
      <c r="H51" s="492">
        <v>150000000</v>
      </c>
      <c r="I51" s="518">
        <f t="shared" si="1"/>
        <v>150000000</v>
      </c>
      <c r="J51" s="491">
        <f t="shared" si="2"/>
        <v>5769.2307692307695</v>
      </c>
      <c r="K51" s="492">
        <f t="shared" si="5"/>
        <v>150000000</v>
      </c>
      <c r="L51" s="518">
        <f t="shared" si="3"/>
        <v>150000000</v>
      </c>
      <c r="M51" s="491">
        <f t="shared" si="4"/>
        <v>5769.2307692307695</v>
      </c>
      <c r="O51" s="522"/>
    </row>
    <row r="52" spans="1:15">
      <c r="A52" s="489" t="s">
        <v>594</v>
      </c>
      <c r="B52" s="489" t="s">
        <v>469</v>
      </c>
      <c r="C52" s="489" t="s">
        <v>573</v>
      </c>
      <c r="D52" s="489" t="s">
        <v>574</v>
      </c>
      <c r="E52" s="490">
        <v>1</v>
      </c>
      <c r="F52" s="490">
        <v>111171375</v>
      </c>
      <c r="G52" s="491">
        <f t="shared" si="0"/>
        <v>4275.8221153846152</v>
      </c>
      <c r="H52" s="492">
        <v>130000000</v>
      </c>
      <c r="I52" s="518">
        <f t="shared" si="1"/>
        <v>130000000</v>
      </c>
      <c r="J52" s="491">
        <f t="shared" si="2"/>
        <v>5000</v>
      </c>
      <c r="K52" s="492">
        <f t="shared" si="5"/>
        <v>130000000</v>
      </c>
      <c r="L52" s="518">
        <f t="shared" si="3"/>
        <v>130000000</v>
      </c>
      <c r="M52" s="491">
        <f t="shared" si="4"/>
        <v>5000</v>
      </c>
      <c r="O52" s="522"/>
    </row>
    <row r="53" spans="1:15">
      <c r="A53" s="489" t="s">
        <v>594</v>
      </c>
      <c r="B53" s="489" t="s">
        <v>469</v>
      </c>
      <c r="C53" s="489" t="s">
        <v>575</v>
      </c>
      <c r="D53" s="489" t="s">
        <v>576</v>
      </c>
      <c r="E53" s="490">
        <v>1</v>
      </c>
      <c r="F53" s="490">
        <v>134752969.05000001</v>
      </c>
      <c r="G53" s="491">
        <f t="shared" si="0"/>
        <v>5182.8065019230771</v>
      </c>
      <c r="H53" s="492">
        <v>68000000</v>
      </c>
      <c r="I53" s="518">
        <f t="shared" si="1"/>
        <v>68000000</v>
      </c>
      <c r="J53" s="491">
        <f t="shared" si="2"/>
        <v>2615.3846153846152</v>
      </c>
      <c r="K53" s="492">
        <f t="shared" si="5"/>
        <v>68000000</v>
      </c>
      <c r="L53" s="518">
        <f t="shared" si="3"/>
        <v>68000000</v>
      </c>
      <c r="M53" s="491">
        <f t="shared" si="4"/>
        <v>2615.3846153846152</v>
      </c>
      <c r="O53" s="522"/>
    </row>
    <row r="54" spans="1:15">
      <c r="A54" s="489" t="s">
        <v>594</v>
      </c>
      <c r="B54" s="489" t="s">
        <v>469</v>
      </c>
      <c r="C54" s="489" t="s">
        <v>577</v>
      </c>
      <c r="D54" s="489" t="s">
        <v>578</v>
      </c>
      <c r="E54" s="490">
        <v>1</v>
      </c>
      <c r="F54" s="490">
        <v>111171375</v>
      </c>
      <c r="G54" s="491">
        <f t="shared" si="0"/>
        <v>4275.8221153846152</v>
      </c>
      <c r="H54" s="492">
        <v>56000000</v>
      </c>
      <c r="I54" s="518">
        <f t="shared" si="1"/>
        <v>56000000</v>
      </c>
      <c r="J54" s="491">
        <f t="shared" si="2"/>
        <v>2153.8461538461538</v>
      </c>
      <c r="K54" s="492">
        <f t="shared" si="5"/>
        <v>56000000</v>
      </c>
      <c r="L54" s="518">
        <f t="shared" si="3"/>
        <v>56000000</v>
      </c>
      <c r="M54" s="491">
        <f t="shared" si="4"/>
        <v>2153.8461538461538</v>
      </c>
      <c r="O54" s="522"/>
    </row>
    <row r="55" spans="1:15">
      <c r="A55" s="489" t="s">
        <v>594</v>
      </c>
      <c r="B55" s="489" t="s">
        <v>469</v>
      </c>
      <c r="C55" s="489" t="s">
        <v>579</v>
      </c>
      <c r="D55" s="489" t="s">
        <v>580</v>
      </c>
      <c r="E55" s="490">
        <v>1</v>
      </c>
      <c r="F55" s="490">
        <v>212661936</v>
      </c>
      <c r="G55" s="491">
        <f t="shared" si="0"/>
        <v>8179.3052307692305</v>
      </c>
      <c r="H55" s="492">
        <v>150000000</v>
      </c>
      <c r="I55" s="518">
        <f t="shared" si="1"/>
        <v>150000000</v>
      </c>
      <c r="J55" s="491">
        <f t="shared" si="2"/>
        <v>5769.2307692307695</v>
      </c>
      <c r="K55" s="492">
        <f t="shared" si="5"/>
        <v>150000000</v>
      </c>
      <c r="L55" s="518">
        <f t="shared" si="3"/>
        <v>150000000</v>
      </c>
      <c r="M55" s="491">
        <f t="shared" si="4"/>
        <v>5769.2307692307695</v>
      </c>
      <c r="O55" s="522"/>
    </row>
    <row r="56" spans="1:15">
      <c r="A56" s="489" t="s">
        <v>594</v>
      </c>
      <c r="B56" s="489" t="s">
        <v>469</v>
      </c>
      <c r="C56" s="489" t="s">
        <v>581</v>
      </c>
      <c r="D56" s="489" t="s">
        <v>582</v>
      </c>
      <c r="E56" s="490">
        <v>15</v>
      </c>
      <c r="F56" s="490">
        <v>181749</v>
      </c>
      <c r="G56" s="491">
        <f t="shared" si="0"/>
        <v>6.9903461538461542</v>
      </c>
      <c r="H56" s="492">
        <v>12495</v>
      </c>
      <c r="I56" s="518">
        <f t="shared" si="1"/>
        <v>187425</v>
      </c>
      <c r="J56" s="491">
        <f t="shared" si="2"/>
        <v>7.2086538461538465</v>
      </c>
      <c r="K56" s="492">
        <f t="shared" si="5"/>
        <v>12495</v>
      </c>
      <c r="L56" s="518">
        <f t="shared" si="3"/>
        <v>187425</v>
      </c>
      <c r="M56" s="491">
        <f t="shared" si="4"/>
        <v>7.2086538461538465</v>
      </c>
      <c r="O56" s="522"/>
    </row>
    <row r="57" spans="1:15">
      <c r="A57" s="489" t="s">
        <v>594</v>
      </c>
      <c r="B57" s="489" t="s">
        <v>469</v>
      </c>
      <c r="C57" s="489" t="s">
        <v>583</v>
      </c>
      <c r="D57" s="489" t="s">
        <v>584</v>
      </c>
      <c r="E57" s="490">
        <v>15</v>
      </c>
      <c r="F57" s="490">
        <v>471774</v>
      </c>
      <c r="G57" s="491">
        <f t="shared" si="0"/>
        <v>18.145153846153846</v>
      </c>
      <c r="H57" s="492">
        <v>12495</v>
      </c>
      <c r="I57" s="518">
        <f t="shared" si="1"/>
        <v>187425</v>
      </c>
      <c r="J57" s="491">
        <f t="shared" si="2"/>
        <v>7.2086538461538465</v>
      </c>
      <c r="K57" s="492">
        <f t="shared" si="5"/>
        <v>12495</v>
      </c>
      <c r="L57" s="518">
        <f t="shared" si="3"/>
        <v>187425</v>
      </c>
      <c r="M57" s="491">
        <f t="shared" si="4"/>
        <v>7.2086538461538465</v>
      </c>
      <c r="O57" s="522"/>
    </row>
    <row r="58" spans="1:15">
      <c r="A58" s="499" t="s">
        <v>595</v>
      </c>
      <c r="B58" s="489" t="s">
        <v>470</v>
      </c>
      <c r="C58" s="489" t="s">
        <v>269</v>
      </c>
      <c r="D58" s="489" t="s">
        <v>270</v>
      </c>
      <c r="E58" s="490">
        <v>38016</v>
      </c>
      <c r="F58" s="490">
        <v>2158263360</v>
      </c>
      <c r="G58" s="491">
        <f t="shared" si="0"/>
        <v>83010.129230769235</v>
      </c>
      <c r="H58" s="498">
        <v>48824.222696581237</v>
      </c>
      <c r="I58" s="518">
        <f t="shared" si="1"/>
        <v>1856101650.0332322</v>
      </c>
      <c r="J58" s="491">
        <f t="shared" si="2"/>
        <v>71388.525001278162</v>
      </c>
      <c r="K58" s="498">
        <v>50620.495345584764</v>
      </c>
      <c r="L58" s="518">
        <f t="shared" si="3"/>
        <v>1924388751.0577505</v>
      </c>
      <c r="M58" s="491">
        <f t="shared" si="4"/>
        <v>74014.951963759639</v>
      </c>
      <c r="O58" s="522"/>
    </row>
    <row r="59" spans="1:15">
      <c r="A59" s="499" t="s">
        <v>595</v>
      </c>
      <c r="B59" s="489" t="s">
        <v>470</v>
      </c>
      <c r="C59" s="489" t="s">
        <v>285</v>
      </c>
      <c r="D59" s="489" t="s">
        <v>286</v>
      </c>
      <c r="E59" s="490">
        <v>83819</v>
      </c>
      <c r="F59" s="490">
        <v>1906271518.6500001</v>
      </c>
      <c r="G59" s="491">
        <f t="shared" si="0"/>
        <v>73318.135332692313</v>
      </c>
      <c r="H59" s="498">
        <v>13779.559158997166</v>
      </c>
      <c r="I59" s="518">
        <f t="shared" si="1"/>
        <v>1154988869.1479836</v>
      </c>
      <c r="J59" s="491">
        <f t="shared" si="2"/>
        <v>44422.648813383981</v>
      </c>
      <c r="K59" s="498">
        <v>14228.906911100037</v>
      </c>
      <c r="L59" s="518">
        <f t="shared" si="3"/>
        <v>1192652748.381494</v>
      </c>
      <c r="M59" s="491">
        <f t="shared" si="4"/>
        <v>45871.259553134383</v>
      </c>
      <c r="O59" s="522"/>
    </row>
    <row r="60" spans="1:15">
      <c r="A60" s="499" t="s">
        <v>595</v>
      </c>
      <c r="B60" s="489" t="s">
        <v>470</v>
      </c>
      <c r="C60" s="489" t="s">
        <v>314</v>
      </c>
      <c r="D60" s="489" t="s">
        <v>529</v>
      </c>
      <c r="E60" s="490">
        <v>16200</v>
      </c>
      <c r="F60" s="490">
        <v>593541540</v>
      </c>
      <c r="G60" s="491">
        <f t="shared" si="0"/>
        <v>22828.52076923077</v>
      </c>
      <c r="H60" s="498">
        <v>26655.358157515991</v>
      </c>
      <c r="I60" s="518">
        <f t="shared" si="1"/>
        <v>431816802.15175909</v>
      </c>
      <c r="J60" s="491">
        <f t="shared" si="2"/>
        <v>16608.338544298425</v>
      </c>
      <c r="K60" s="498">
        <v>27038.491830565628</v>
      </c>
      <c r="L60" s="518">
        <f t="shared" si="3"/>
        <v>438023567.65516317</v>
      </c>
      <c r="M60" s="491">
        <f t="shared" si="4"/>
        <v>16847.060294429353</v>
      </c>
      <c r="O60" s="522"/>
    </row>
    <row r="61" spans="1:15">
      <c r="A61" s="499" t="s">
        <v>595</v>
      </c>
      <c r="B61" s="489" t="s">
        <v>470</v>
      </c>
      <c r="C61" s="489" t="s">
        <v>271</v>
      </c>
      <c r="D61" s="489" t="s">
        <v>272</v>
      </c>
      <c r="E61" s="490">
        <v>16200</v>
      </c>
      <c r="F61" s="490">
        <v>1383536970</v>
      </c>
      <c r="G61" s="491">
        <f t="shared" si="0"/>
        <v>53212.960384615384</v>
      </c>
      <c r="H61" s="498">
        <f>108739.09367+2355212817</f>
        <v>2355321556.0936699</v>
      </c>
      <c r="I61" s="518">
        <f t="shared" si="1"/>
        <v>38156209208717.453</v>
      </c>
      <c r="J61" s="491">
        <f t="shared" si="2"/>
        <v>1467546508.0275943</v>
      </c>
      <c r="K61" s="498">
        <f>+H61</f>
        <v>2355321556.0936699</v>
      </c>
      <c r="L61" s="518">
        <f t="shared" si="3"/>
        <v>38156209208717.453</v>
      </c>
      <c r="M61" s="491">
        <f t="shared" si="4"/>
        <v>1467546508.0275943</v>
      </c>
      <c r="O61" s="522"/>
    </row>
    <row r="62" spans="1:15">
      <c r="A62" s="499" t="s">
        <v>595</v>
      </c>
      <c r="B62" s="489" t="s">
        <v>470</v>
      </c>
      <c r="C62" s="489" t="s">
        <v>265</v>
      </c>
      <c r="D62" s="489" t="s">
        <v>530</v>
      </c>
      <c r="E62" s="490">
        <v>31446</v>
      </c>
      <c r="F62" s="490">
        <v>2733460616.6999998</v>
      </c>
      <c r="G62" s="491">
        <f t="shared" si="0"/>
        <v>105133.10064230769</v>
      </c>
      <c r="H62" s="498">
        <v>63694.347906589966</v>
      </c>
      <c r="I62" s="518">
        <f t="shared" si="1"/>
        <v>2002932464.270628</v>
      </c>
      <c r="J62" s="491">
        <f t="shared" si="2"/>
        <v>77035.864010408768</v>
      </c>
      <c r="K62" s="498">
        <v>78595.286665071544</v>
      </c>
      <c r="L62" s="518">
        <f t="shared" si="3"/>
        <v>2471507384.4698396</v>
      </c>
      <c r="M62" s="491">
        <f t="shared" si="4"/>
        <v>95057.976325763055</v>
      </c>
      <c r="O62" s="522"/>
    </row>
    <row r="63" spans="1:15">
      <c r="A63" s="499" t="s">
        <v>595</v>
      </c>
      <c r="B63" s="489" t="s">
        <v>470</v>
      </c>
      <c r="C63" s="489" t="s">
        <v>326</v>
      </c>
      <c r="D63" s="489" t="s">
        <v>327</v>
      </c>
      <c r="E63" s="490">
        <v>19099</v>
      </c>
      <c r="F63" s="490">
        <v>660467206.5</v>
      </c>
      <c r="G63" s="491">
        <f t="shared" si="0"/>
        <v>25402.584865384615</v>
      </c>
      <c r="H63" s="498">
        <v>25784.68970088684</v>
      </c>
      <c r="I63" s="518">
        <f t="shared" si="1"/>
        <v>492461788.59723777</v>
      </c>
      <c r="J63" s="491">
        <f t="shared" si="2"/>
        <v>18940.838022970682</v>
      </c>
      <c r="K63" s="498">
        <v>27793.351065954219</v>
      </c>
      <c r="L63" s="518">
        <f t="shared" si="3"/>
        <v>530825212.0086596</v>
      </c>
      <c r="M63" s="491">
        <f t="shared" si="4"/>
        <v>20416.354308025369</v>
      </c>
      <c r="O63" s="522"/>
    </row>
    <row r="64" spans="1:15">
      <c r="A64" s="489" t="s">
        <v>594</v>
      </c>
      <c r="B64" s="489" t="s">
        <v>470</v>
      </c>
      <c r="C64" s="489" t="s">
        <v>531</v>
      </c>
      <c r="D64" s="489" t="s">
        <v>532</v>
      </c>
      <c r="E64" s="490">
        <v>1</v>
      </c>
      <c r="F64" s="490">
        <v>617367225.60000002</v>
      </c>
      <c r="G64" s="491">
        <f t="shared" si="0"/>
        <v>23744.893292307694</v>
      </c>
      <c r="H64" s="492">
        <v>450000000</v>
      </c>
      <c r="I64" s="518">
        <f t="shared" si="1"/>
        <v>450000000</v>
      </c>
      <c r="J64" s="491">
        <f t="shared" si="2"/>
        <v>17307.692307692309</v>
      </c>
      <c r="K64" s="492">
        <f t="shared" ref="K64" si="6">+H64</f>
        <v>450000000</v>
      </c>
      <c r="L64" s="518">
        <f t="shared" si="3"/>
        <v>450000000</v>
      </c>
      <c r="M64" s="491">
        <f t="shared" si="4"/>
        <v>17307.692307692309</v>
      </c>
      <c r="O64" s="522"/>
    </row>
    <row r="65" spans="1:15">
      <c r="A65" s="499" t="s">
        <v>595</v>
      </c>
      <c r="B65" s="489" t="s">
        <v>471</v>
      </c>
      <c r="C65" s="489" t="s">
        <v>304</v>
      </c>
      <c r="D65" s="489" t="s">
        <v>305</v>
      </c>
      <c r="E65" s="490">
        <v>27000</v>
      </c>
      <c r="F65" s="490">
        <v>479512995</v>
      </c>
      <c r="G65" s="491">
        <f t="shared" si="0"/>
        <v>18442.807499999999</v>
      </c>
      <c r="H65" s="498">
        <v>9931.6660068513538</v>
      </c>
      <c r="I65" s="518">
        <f t="shared" si="1"/>
        <v>268154982.18498656</v>
      </c>
      <c r="J65" s="491">
        <f t="shared" si="2"/>
        <v>10313.653160961021</v>
      </c>
      <c r="K65" s="498">
        <v>9018.5208381719312</v>
      </c>
      <c r="L65" s="518">
        <f t="shared" si="3"/>
        <v>243500062.63064215</v>
      </c>
      <c r="M65" s="491">
        <f t="shared" si="4"/>
        <v>9365.3870242554676</v>
      </c>
      <c r="O65" s="522"/>
    </row>
    <row r="66" spans="1:15">
      <c r="A66" s="499" t="s">
        <v>595</v>
      </c>
      <c r="B66" s="489" t="s">
        <v>471</v>
      </c>
      <c r="C66" s="489" t="s">
        <v>308</v>
      </c>
      <c r="D66" s="489" t="s">
        <v>309</v>
      </c>
      <c r="E66" s="490">
        <v>27000</v>
      </c>
      <c r="F66" s="490">
        <v>337538175</v>
      </c>
      <c r="G66" s="491">
        <f t="shared" si="0"/>
        <v>12982.237499999999</v>
      </c>
      <c r="H66" s="498">
        <v>5942.6019656542103</v>
      </c>
      <c r="I66" s="518">
        <f t="shared" si="1"/>
        <v>160450253.07266366</v>
      </c>
      <c r="J66" s="491">
        <f t="shared" si="2"/>
        <v>6171.1635797178333</v>
      </c>
      <c r="K66" s="498">
        <v>4345.8392381053891</v>
      </c>
      <c r="L66" s="518">
        <f t="shared" si="3"/>
        <v>117337659.42884551</v>
      </c>
      <c r="M66" s="491">
        <f t="shared" si="4"/>
        <v>4512.9869011094424</v>
      </c>
      <c r="O66" s="522"/>
    </row>
    <row r="67" spans="1:15">
      <c r="A67" s="499" t="s">
        <v>595</v>
      </c>
      <c r="B67" s="489" t="s">
        <v>472</v>
      </c>
      <c r="C67" s="489" t="s">
        <v>314</v>
      </c>
      <c r="D67" s="489" t="s">
        <v>529</v>
      </c>
      <c r="E67" s="490">
        <v>20000</v>
      </c>
      <c r="F67" s="490">
        <v>724920000</v>
      </c>
      <c r="G67" s="491">
        <f t="shared" si="0"/>
        <v>27881.538461538461</v>
      </c>
      <c r="H67" s="498">
        <v>26655.358157515991</v>
      </c>
      <c r="I67" s="518">
        <f t="shared" si="1"/>
        <v>533107163.15031981</v>
      </c>
      <c r="J67" s="491">
        <f t="shared" si="2"/>
        <v>20504.121659627686</v>
      </c>
      <c r="K67" s="498">
        <v>27038.491830565628</v>
      </c>
      <c r="L67" s="518">
        <f t="shared" si="3"/>
        <v>540769836.61131251</v>
      </c>
      <c r="M67" s="491">
        <f t="shared" si="4"/>
        <v>20798.839869665866</v>
      </c>
      <c r="O67" s="522"/>
    </row>
    <row r="68" spans="1:15">
      <c r="A68" s="499" t="s">
        <v>595</v>
      </c>
      <c r="B68" s="489" t="s">
        <v>472</v>
      </c>
      <c r="C68" s="489" t="s">
        <v>271</v>
      </c>
      <c r="D68" s="489" t="s">
        <v>272</v>
      </c>
      <c r="E68" s="490">
        <v>20000</v>
      </c>
      <c r="F68" s="490">
        <v>1662138000</v>
      </c>
      <c r="G68" s="491">
        <f t="shared" ref="G68:G88" si="7">+F68/26000</f>
        <v>63928.384615384617</v>
      </c>
      <c r="H68" s="498">
        <v>61253.780992621651</v>
      </c>
      <c r="I68" s="518">
        <f t="shared" ref="I68:I87" si="8">+H68*E68</f>
        <v>1225075619.852433</v>
      </c>
      <c r="J68" s="491">
        <f t="shared" ref="J68:J87" si="9">+I68/26000</f>
        <v>47118.293071247419</v>
      </c>
      <c r="K68" s="498">
        <f>+H68</f>
        <v>61253.780992621651</v>
      </c>
      <c r="L68" s="518">
        <f t="shared" ref="L68:L87" si="10">+K68*E68</f>
        <v>1225075619.852433</v>
      </c>
      <c r="M68" s="491">
        <f t="shared" ref="M68:M87" si="11">+L68/26000</f>
        <v>47118.293071247419</v>
      </c>
      <c r="O68" s="522"/>
    </row>
    <row r="69" spans="1:15">
      <c r="A69" s="499" t="s">
        <v>595</v>
      </c>
      <c r="B69" s="489" t="s">
        <v>472</v>
      </c>
      <c r="C69" s="489" t="s">
        <v>265</v>
      </c>
      <c r="D69" s="489" t="s">
        <v>530</v>
      </c>
      <c r="E69" s="490">
        <v>20000</v>
      </c>
      <c r="F69" s="490">
        <v>1693206000</v>
      </c>
      <c r="G69" s="491">
        <f t="shared" si="7"/>
        <v>65123.307692307695</v>
      </c>
      <c r="H69" s="498">
        <v>63694.347906589966</v>
      </c>
      <c r="I69" s="518">
        <f t="shared" si="8"/>
        <v>1273886958.1317992</v>
      </c>
      <c r="J69" s="491">
        <f t="shared" si="9"/>
        <v>48995.652235838432</v>
      </c>
      <c r="K69" s="498">
        <v>78595.286665071544</v>
      </c>
      <c r="L69" s="518">
        <f t="shared" si="10"/>
        <v>1571905733.3014309</v>
      </c>
      <c r="M69" s="491">
        <f t="shared" si="11"/>
        <v>60457.912819285804</v>
      </c>
      <c r="O69" s="522"/>
    </row>
    <row r="70" spans="1:15">
      <c r="A70" s="499" t="s">
        <v>595</v>
      </c>
      <c r="B70" s="489" t="s">
        <v>472</v>
      </c>
      <c r="C70" s="489" t="s">
        <v>326</v>
      </c>
      <c r="D70" s="489" t="s">
        <v>327</v>
      </c>
      <c r="E70" s="490">
        <v>20000</v>
      </c>
      <c r="F70" s="490">
        <v>683496000</v>
      </c>
      <c r="G70" s="491">
        <f t="shared" si="7"/>
        <v>26288.307692307691</v>
      </c>
      <c r="H70" s="498">
        <v>25784.68970088684</v>
      </c>
      <c r="I70" s="518">
        <f t="shared" si="8"/>
        <v>515693794.01773679</v>
      </c>
      <c r="J70" s="491">
        <f t="shared" si="9"/>
        <v>19834.376692989877</v>
      </c>
      <c r="K70" s="498">
        <v>27793.351065954219</v>
      </c>
      <c r="L70" s="518">
        <f t="shared" si="10"/>
        <v>555867021.31908441</v>
      </c>
      <c r="M70" s="491">
        <f t="shared" si="11"/>
        <v>21379.500819964785</v>
      </c>
      <c r="O70" s="522"/>
    </row>
    <row r="71" spans="1:15">
      <c r="A71" s="499" t="s">
        <v>595</v>
      </c>
      <c r="B71" s="489" t="s">
        <v>472</v>
      </c>
      <c r="C71" s="489" t="s">
        <v>352</v>
      </c>
      <c r="D71" s="489" t="s">
        <v>353</v>
      </c>
      <c r="E71" s="490">
        <v>15120</v>
      </c>
      <c r="F71" s="490">
        <v>638939145.60000002</v>
      </c>
      <c r="G71" s="491">
        <f t="shared" si="7"/>
        <v>24574.582523076922</v>
      </c>
      <c r="H71" s="498">
        <v>28527.353144489276</v>
      </c>
      <c r="I71" s="518">
        <f t="shared" si="8"/>
        <v>431333579.54467785</v>
      </c>
      <c r="J71" s="491">
        <f t="shared" si="9"/>
        <v>16589.753059410687</v>
      </c>
      <c r="K71" s="498">
        <v>30930.435166286326</v>
      </c>
      <c r="L71" s="518">
        <f t="shared" si="10"/>
        <v>467668179.71424925</v>
      </c>
      <c r="M71" s="491">
        <f t="shared" si="11"/>
        <v>17987.237681317278</v>
      </c>
      <c r="O71" s="522"/>
    </row>
    <row r="72" spans="1:15">
      <c r="A72" s="489" t="s">
        <v>594</v>
      </c>
      <c r="B72" s="489" t="s">
        <v>472</v>
      </c>
      <c r="C72" s="489" t="s">
        <v>533</v>
      </c>
      <c r="D72" s="489" t="s">
        <v>534</v>
      </c>
      <c r="E72" s="490">
        <v>1</v>
      </c>
      <c r="F72" s="490">
        <v>589090838.39999998</v>
      </c>
      <c r="G72" s="491">
        <f t="shared" si="7"/>
        <v>22657.339938461537</v>
      </c>
      <c r="H72" s="492">
        <v>460000000</v>
      </c>
      <c r="I72" s="518">
        <f t="shared" si="8"/>
        <v>460000000</v>
      </c>
      <c r="J72" s="491">
        <f t="shared" si="9"/>
        <v>17692.307692307691</v>
      </c>
      <c r="K72" s="492">
        <f t="shared" ref="K72" si="12">+H72</f>
        <v>460000000</v>
      </c>
      <c r="L72" s="518">
        <f t="shared" si="10"/>
        <v>460000000</v>
      </c>
      <c r="M72" s="491">
        <f t="shared" si="11"/>
        <v>17692.307692307691</v>
      </c>
      <c r="O72" s="522"/>
    </row>
    <row r="73" spans="1:15">
      <c r="A73" s="499" t="s">
        <v>595</v>
      </c>
      <c r="B73" s="489" t="s">
        <v>473</v>
      </c>
      <c r="C73" s="489" t="s">
        <v>263</v>
      </c>
      <c r="D73" s="489" t="s">
        <v>264</v>
      </c>
      <c r="E73" s="490">
        <v>129024</v>
      </c>
      <c r="F73" s="490">
        <v>1894433535.9000001</v>
      </c>
      <c r="G73" s="491">
        <f t="shared" si="7"/>
        <v>72862.828303846152</v>
      </c>
      <c r="H73" s="498">
        <v>8055.3049057743046</v>
      </c>
      <c r="I73" s="518">
        <f t="shared" si="8"/>
        <v>1039327660.1626239</v>
      </c>
      <c r="J73" s="491">
        <f t="shared" si="9"/>
        <v>39974.140775485532</v>
      </c>
      <c r="K73" s="498">
        <v>7906.0382586786018</v>
      </c>
      <c r="L73" s="518">
        <f t="shared" si="10"/>
        <v>1020068680.2877479</v>
      </c>
      <c r="M73" s="491">
        <f t="shared" si="11"/>
        <v>39233.410780297992</v>
      </c>
      <c r="O73" s="522"/>
    </row>
    <row r="74" spans="1:15">
      <c r="A74" s="499" t="s">
        <v>595</v>
      </c>
      <c r="B74" s="489" t="s">
        <v>473</v>
      </c>
      <c r="C74" s="489" t="s">
        <v>291</v>
      </c>
      <c r="D74" s="489" t="s">
        <v>535</v>
      </c>
      <c r="E74" s="490">
        <v>51840</v>
      </c>
      <c r="F74" s="490">
        <v>1498899219.9000001</v>
      </c>
      <c r="G74" s="491">
        <f t="shared" si="7"/>
        <v>57649.96999615385</v>
      </c>
      <c r="H74" s="498">
        <v>11429.907660179795</v>
      </c>
      <c r="I74" s="518">
        <f t="shared" si="8"/>
        <v>592526413.10372055</v>
      </c>
      <c r="J74" s="491">
        <f t="shared" si="9"/>
        <v>22789.477427066176</v>
      </c>
      <c r="K74" s="498">
        <v>11411.038348149053</v>
      </c>
      <c r="L74" s="518">
        <f t="shared" si="10"/>
        <v>591548227.9680469</v>
      </c>
      <c r="M74" s="491">
        <f t="shared" si="11"/>
        <v>22751.854921847957</v>
      </c>
      <c r="O74" s="522"/>
    </row>
    <row r="75" spans="1:15">
      <c r="A75" s="499" t="s">
        <v>595</v>
      </c>
      <c r="B75" s="489" t="s">
        <v>473</v>
      </c>
      <c r="C75" s="489" t="s">
        <v>306</v>
      </c>
      <c r="D75" s="489" t="s">
        <v>307</v>
      </c>
      <c r="E75" s="490">
        <v>51840</v>
      </c>
      <c r="F75" s="490">
        <v>1674853614.5999999</v>
      </c>
      <c r="G75" s="491">
        <f t="shared" si="7"/>
        <v>64417.446715384613</v>
      </c>
      <c r="H75" s="498">
        <v>18943.238774021422</v>
      </c>
      <c r="I75" s="518">
        <f t="shared" si="8"/>
        <v>982017498.04527044</v>
      </c>
      <c r="J75" s="491">
        <f t="shared" si="9"/>
        <v>37769.903770971941</v>
      </c>
      <c r="K75" s="498">
        <v>18450.070714954178</v>
      </c>
      <c r="L75" s="518">
        <f t="shared" si="10"/>
        <v>956451665.86322463</v>
      </c>
      <c r="M75" s="491">
        <f t="shared" si="11"/>
        <v>36786.602533200945</v>
      </c>
      <c r="O75" s="522"/>
    </row>
    <row r="76" spans="1:15">
      <c r="A76" s="499" t="s">
        <v>595</v>
      </c>
      <c r="B76" s="489" t="s">
        <v>475</v>
      </c>
      <c r="C76" s="489" t="s">
        <v>263</v>
      </c>
      <c r="D76" s="489" t="s">
        <v>264</v>
      </c>
      <c r="E76" s="490">
        <v>43008</v>
      </c>
      <c r="F76" s="490">
        <v>639754273.60000002</v>
      </c>
      <c r="G76" s="491">
        <f t="shared" si="7"/>
        <v>24605.9336</v>
      </c>
      <c r="H76" s="498">
        <v>8055.3049057743046</v>
      </c>
      <c r="I76" s="518">
        <f t="shared" si="8"/>
        <v>346442553.38754129</v>
      </c>
      <c r="J76" s="491">
        <f t="shared" si="9"/>
        <v>13324.713591828511</v>
      </c>
      <c r="K76" s="498">
        <v>7906.0382586786018</v>
      </c>
      <c r="L76" s="518">
        <f t="shared" si="10"/>
        <v>340022893.42924929</v>
      </c>
      <c r="M76" s="491">
        <f t="shared" si="11"/>
        <v>13077.803593432665</v>
      </c>
      <c r="O76" s="522"/>
    </row>
    <row r="77" spans="1:15">
      <c r="A77" s="499" t="s">
        <v>595</v>
      </c>
      <c r="B77" s="489" t="s">
        <v>475</v>
      </c>
      <c r="C77" s="489" t="s">
        <v>310</v>
      </c>
      <c r="D77" s="489" t="s">
        <v>536</v>
      </c>
      <c r="E77" s="490">
        <v>9792</v>
      </c>
      <c r="F77" s="490">
        <v>935236511.65999997</v>
      </c>
      <c r="G77" s="491">
        <f t="shared" si="7"/>
        <v>35970.635063846152</v>
      </c>
      <c r="H77" s="498">
        <v>72580.336975364509</v>
      </c>
      <c r="I77" s="518">
        <f t="shared" si="8"/>
        <v>710706659.66276932</v>
      </c>
      <c r="J77" s="491">
        <f t="shared" si="9"/>
        <v>27334.871525491126</v>
      </c>
      <c r="K77" s="498">
        <v>72933.344319800744</v>
      </c>
      <c r="L77" s="518">
        <f t="shared" si="10"/>
        <v>714163307.57948887</v>
      </c>
      <c r="M77" s="491">
        <f t="shared" si="11"/>
        <v>27467.819522288035</v>
      </c>
      <c r="O77" s="522"/>
    </row>
    <row r="78" spans="1:15">
      <c r="A78" s="499" t="s">
        <v>595</v>
      </c>
      <c r="B78" s="489" t="s">
        <v>475</v>
      </c>
      <c r="C78" s="489" t="s">
        <v>334</v>
      </c>
      <c r="D78" s="489" t="s">
        <v>335</v>
      </c>
      <c r="E78" s="490">
        <v>1344</v>
      </c>
      <c r="F78" s="490">
        <v>191215255.19999999</v>
      </c>
      <c r="G78" s="491">
        <f t="shared" si="7"/>
        <v>7354.4328923076919</v>
      </c>
      <c r="H78" s="498">
        <v>71046.238580415331</v>
      </c>
      <c r="I78" s="518">
        <f t="shared" si="8"/>
        <v>95486144.652078211</v>
      </c>
      <c r="J78" s="491">
        <f t="shared" si="9"/>
        <v>3672.5440250799311</v>
      </c>
      <c r="K78" s="498">
        <v>36890.043612384587</v>
      </c>
      <c r="L78" s="518">
        <f t="shared" si="10"/>
        <v>49580218.615044884</v>
      </c>
      <c r="M78" s="491">
        <f t="shared" si="11"/>
        <v>1906.9314851940339</v>
      </c>
      <c r="O78" s="522"/>
    </row>
    <row r="79" spans="1:15">
      <c r="A79" s="499" t="s">
        <v>595</v>
      </c>
      <c r="B79" s="489" t="s">
        <v>476</v>
      </c>
      <c r="C79" s="489" t="s">
        <v>316</v>
      </c>
      <c r="D79" s="489" t="s">
        <v>317</v>
      </c>
      <c r="E79" s="490">
        <v>44160</v>
      </c>
      <c r="F79" s="490">
        <v>1529807854.0799999</v>
      </c>
      <c r="G79" s="491">
        <f t="shared" si="7"/>
        <v>58838.763618461533</v>
      </c>
      <c r="H79" s="498">
        <v>15777.270033759231</v>
      </c>
      <c r="I79" s="518">
        <f t="shared" si="8"/>
        <v>696724244.69080758</v>
      </c>
      <c r="J79" s="491">
        <f t="shared" si="9"/>
        <v>26797.086334261829</v>
      </c>
      <c r="K79" s="498">
        <v>14081.750376966893</v>
      </c>
      <c r="L79" s="518">
        <f>+K79*E79</f>
        <v>621850096.64685798</v>
      </c>
      <c r="M79" s="491">
        <f t="shared" si="11"/>
        <v>23917.311409494538</v>
      </c>
      <c r="O79" s="522"/>
    </row>
    <row r="80" spans="1:15">
      <c r="A80" s="499" t="s">
        <v>595</v>
      </c>
      <c r="B80" s="489" t="s">
        <v>476</v>
      </c>
      <c r="C80" s="489" t="s">
        <v>297</v>
      </c>
      <c r="D80" s="489" t="s">
        <v>539</v>
      </c>
      <c r="E80" s="490">
        <v>44160</v>
      </c>
      <c r="F80" s="490">
        <v>1323591682.52</v>
      </c>
      <c r="G80" s="491">
        <f t="shared" si="7"/>
        <v>50907.372404615387</v>
      </c>
      <c r="H80" s="498">
        <v>11542.492481607846</v>
      </c>
      <c r="I80" s="518">
        <f t="shared" si="8"/>
        <v>509716467.98780245</v>
      </c>
      <c r="J80" s="491">
        <f t="shared" si="9"/>
        <v>19604.479537992403</v>
      </c>
      <c r="K80" s="498">
        <v>11186.258174301673</v>
      </c>
      <c r="L80" s="518">
        <f t="shared" si="10"/>
        <v>493985160.97716188</v>
      </c>
      <c r="M80" s="491">
        <f t="shared" si="11"/>
        <v>18999.429268352382</v>
      </c>
      <c r="O80" s="522"/>
    </row>
    <row r="81" spans="1:15">
      <c r="A81" s="499" t="s">
        <v>595</v>
      </c>
      <c r="B81" s="489" t="s">
        <v>477</v>
      </c>
      <c r="C81" s="489" t="s">
        <v>267</v>
      </c>
      <c r="D81" s="489" t="s">
        <v>268</v>
      </c>
      <c r="E81" s="490">
        <v>50710</v>
      </c>
      <c r="F81" s="490">
        <v>5459305720</v>
      </c>
      <c r="G81" s="491">
        <f t="shared" si="7"/>
        <v>209973.29692307691</v>
      </c>
      <c r="H81" s="498">
        <v>73089.757760847511</v>
      </c>
      <c r="I81" s="518">
        <f t="shared" si="8"/>
        <v>3706381616.0525775</v>
      </c>
      <c r="J81" s="491">
        <f t="shared" si="9"/>
        <v>142553.1390789453</v>
      </c>
      <c r="K81" s="498">
        <v>84117.537617673996</v>
      </c>
      <c r="L81" s="518">
        <f t="shared" si="10"/>
        <v>4265600332.5922484</v>
      </c>
      <c r="M81" s="491">
        <f t="shared" si="11"/>
        <v>164061.55125354801</v>
      </c>
      <c r="O81" s="522"/>
    </row>
    <row r="82" spans="1:15">
      <c r="A82" s="499" t="s">
        <v>595</v>
      </c>
      <c r="B82" s="489" t="s">
        <v>477</v>
      </c>
      <c r="C82" s="489" t="s">
        <v>293</v>
      </c>
      <c r="D82" s="489" t="s">
        <v>294</v>
      </c>
      <c r="E82" s="490">
        <v>5287</v>
      </c>
      <c r="F82" s="490">
        <v>516408782.39999998</v>
      </c>
      <c r="G82" s="491">
        <f t="shared" si="7"/>
        <v>19861.876246153846</v>
      </c>
      <c r="H82" s="498">
        <v>76804.399139809961</v>
      </c>
      <c r="I82" s="518">
        <f t="shared" si="8"/>
        <v>406064858.25217527</v>
      </c>
      <c r="J82" s="491">
        <f t="shared" si="9"/>
        <v>15617.879163545203</v>
      </c>
      <c r="K82" s="498">
        <v>82307.600749373072</v>
      </c>
      <c r="L82" s="518">
        <f t="shared" si="10"/>
        <v>435160285.16193545</v>
      </c>
      <c r="M82" s="491">
        <f t="shared" si="11"/>
        <v>16736.934044689824</v>
      </c>
      <c r="O82" s="522"/>
    </row>
    <row r="83" spans="1:15">
      <c r="A83" s="499" t="s">
        <v>595</v>
      </c>
      <c r="B83" s="489" t="s">
        <v>477</v>
      </c>
      <c r="C83" s="489" t="s">
        <v>299</v>
      </c>
      <c r="D83" s="489" t="s">
        <v>537</v>
      </c>
      <c r="E83" s="490">
        <v>58320</v>
      </c>
      <c r="F83" s="490">
        <v>4046391612</v>
      </c>
      <c r="G83" s="491">
        <f t="shared" si="7"/>
        <v>155630.44661538463</v>
      </c>
      <c r="H83" s="498">
        <v>26106.582497854393</v>
      </c>
      <c r="I83" s="518">
        <f t="shared" si="8"/>
        <v>1522535891.2748682</v>
      </c>
      <c r="J83" s="491">
        <f t="shared" si="9"/>
        <v>58559.072741341086</v>
      </c>
      <c r="K83" s="498">
        <v>28421.545254413715</v>
      </c>
      <c r="L83" s="518">
        <f t="shared" si="10"/>
        <v>1657544519.2374079</v>
      </c>
      <c r="M83" s="491">
        <f t="shared" si="11"/>
        <v>63751.71227836184</v>
      </c>
      <c r="O83" s="522"/>
    </row>
    <row r="84" spans="1:15">
      <c r="A84" s="499" t="s">
        <v>595</v>
      </c>
      <c r="B84" s="489" t="s">
        <v>477</v>
      </c>
      <c r="C84" s="489" t="s">
        <v>277</v>
      </c>
      <c r="D84" s="489" t="s">
        <v>278</v>
      </c>
      <c r="E84" s="490">
        <v>27648</v>
      </c>
      <c r="F84" s="490">
        <v>1935246988.8</v>
      </c>
      <c r="G84" s="491">
        <f t="shared" si="7"/>
        <v>74432.576492307693</v>
      </c>
      <c r="H84" s="498">
        <v>70186.840313469394</v>
      </c>
      <c r="I84" s="518">
        <f t="shared" si="8"/>
        <v>1940525760.9868019</v>
      </c>
      <c r="J84" s="491">
        <f t="shared" si="9"/>
        <v>74635.606191800078</v>
      </c>
      <c r="K84" s="498">
        <v>77295.270375911641</v>
      </c>
      <c r="L84" s="518">
        <f t="shared" si="10"/>
        <v>2137059635.353205</v>
      </c>
      <c r="M84" s="491">
        <f t="shared" si="11"/>
        <v>82194.601359738648</v>
      </c>
      <c r="O84" s="522"/>
    </row>
    <row r="85" spans="1:15">
      <c r="A85" s="499" t="s">
        <v>595</v>
      </c>
      <c r="B85" s="489" t="s">
        <v>477</v>
      </c>
      <c r="C85" s="489" t="s">
        <v>283</v>
      </c>
      <c r="D85" s="489" t="s">
        <v>538</v>
      </c>
      <c r="E85" s="490">
        <v>65040</v>
      </c>
      <c r="F85" s="490">
        <v>3511295304</v>
      </c>
      <c r="G85" s="491">
        <f t="shared" si="7"/>
        <v>135049.81938461537</v>
      </c>
      <c r="H85" s="498">
        <v>47396.300581903612</v>
      </c>
      <c r="I85" s="518">
        <f t="shared" si="8"/>
        <v>3082655389.8470111</v>
      </c>
      <c r="J85" s="491">
        <f t="shared" si="9"/>
        <v>118563.66884026966</v>
      </c>
      <c r="K85" s="498">
        <v>50332.21886133925</v>
      </c>
      <c r="L85" s="518">
        <f t="shared" si="10"/>
        <v>3273607514.7415047</v>
      </c>
      <c r="M85" s="491">
        <f t="shared" si="11"/>
        <v>125907.98133621171</v>
      </c>
      <c r="O85" s="522"/>
    </row>
    <row r="86" spans="1:15">
      <c r="A86" s="499" t="s">
        <v>595</v>
      </c>
      <c r="B86" s="489" t="s">
        <v>478</v>
      </c>
      <c r="C86" s="489" t="s">
        <v>287</v>
      </c>
      <c r="D86" s="489" t="s">
        <v>288</v>
      </c>
      <c r="E86" s="490">
        <v>67200</v>
      </c>
      <c r="F86" s="490">
        <v>1913457623</v>
      </c>
      <c r="G86" s="491">
        <f t="shared" si="7"/>
        <v>73594.523961538463</v>
      </c>
      <c r="H86" s="498">
        <v>17797.398020235774</v>
      </c>
      <c r="I86" s="518">
        <f t="shared" si="8"/>
        <v>1195985146.9598441</v>
      </c>
      <c r="J86" s="491">
        <f t="shared" si="9"/>
        <v>45999.428729224775</v>
      </c>
      <c r="K86" s="498">
        <v>17317.655847720554</v>
      </c>
      <c r="L86" s="518">
        <f t="shared" si="10"/>
        <v>1163746472.9668212</v>
      </c>
      <c r="M86" s="491">
        <f t="shared" si="11"/>
        <v>44759.47972949312</v>
      </c>
      <c r="O86" s="522"/>
    </row>
    <row r="87" spans="1:15">
      <c r="A87" s="489" t="s">
        <v>595</v>
      </c>
      <c r="B87" s="489" t="s">
        <v>479</v>
      </c>
      <c r="C87" s="489" t="s">
        <v>585</v>
      </c>
      <c r="D87" s="489" t="s">
        <v>586</v>
      </c>
      <c r="E87" s="490">
        <v>300</v>
      </c>
      <c r="F87" s="490">
        <v>29644200</v>
      </c>
      <c r="G87" s="491">
        <f t="shared" si="7"/>
        <v>1140.1615384615384</v>
      </c>
      <c r="H87" s="498">
        <v>69860.787635842848</v>
      </c>
      <c r="I87" s="518">
        <f t="shared" si="8"/>
        <v>20958236.290752854</v>
      </c>
      <c r="J87" s="491">
        <f t="shared" si="9"/>
        <v>806.08601118280205</v>
      </c>
      <c r="K87" s="498">
        <f>+H87</f>
        <v>69860.787635842848</v>
      </c>
      <c r="L87" s="518">
        <f t="shared" si="10"/>
        <v>20958236.290752854</v>
      </c>
      <c r="M87" s="491">
        <f t="shared" si="11"/>
        <v>806.08601118280205</v>
      </c>
      <c r="O87" s="522"/>
    </row>
    <row r="88" spans="1:15">
      <c r="A88" s="493"/>
      <c r="B88" s="493"/>
      <c r="C88" s="493"/>
      <c r="D88" s="493" t="s">
        <v>589</v>
      </c>
      <c r="E88" s="494"/>
      <c r="F88" s="494">
        <v>2423970950</v>
      </c>
      <c r="G88" s="509">
        <f t="shared" si="7"/>
        <v>93229.651923076919</v>
      </c>
      <c r="H88" s="495"/>
      <c r="I88" s="519"/>
      <c r="J88" s="509"/>
      <c r="K88" s="495"/>
      <c r="L88" s="519"/>
      <c r="M88" s="486"/>
      <c r="O88" s="522"/>
    </row>
    <row r="89" spans="1:15" s="551" customFormat="1">
      <c r="A89" s="546" t="s">
        <v>373</v>
      </c>
      <c r="B89" s="546"/>
      <c r="C89" s="546"/>
      <c r="D89" s="546"/>
      <c r="E89" s="547">
        <f>SUM(E3:E87)</f>
        <v>2627719</v>
      </c>
      <c r="F89" s="547">
        <f>SUM(F3:F88)</f>
        <v>81739614858.639999</v>
      </c>
      <c r="G89" s="547">
        <f>SUM(G3:G88)</f>
        <v>3143831.3407169227</v>
      </c>
      <c r="H89" s="548"/>
      <c r="I89" s="549">
        <f>SUM(I3:I88)</f>
        <v>38220513737313.773</v>
      </c>
      <c r="J89" s="547">
        <f>SUM(J3:J88)</f>
        <v>1470019759.1274529</v>
      </c>
      <c r="K89" s="548"/>
      <c r="L89" s="549">
        <f>SUM(L3:L88)</f>
        <v>38223179138944.023</v>
      </c>
      <c r="M89" s="547">
        <f>SUM(M3:M88)</f>
        <v>1470122274.57477</v>
      </c>
      <c r="N89" s="550"/>
    </row>
    <row r="90" spans="1:15">
      <c r="G90" s="487" t="b">
        <f>G89='PL USD'!F5</f>
        <v>1</v>
      </c>
    </row>
    <row r="91" spans="1:15">
      <c r="F91" s="484"/>
      <c r="H91" s="508" t="s">
        <v>594</v>
      </c>
      <c r="I91" s="520">
        <f>SUMIF(A2:A88,H91,I2:I88)</f>
        <v>2020473850</v>
      </c>
      <c r="J91" s="504">
        <f>+I91/26000</f>
        <v>77710.532692307694</v>
      </c>
      <c r="L91" s="516">
        <f>G86-K86</f>
        <v>56276.868113817909</v>
      </c>
    </row>
    <row r="92" spans="1:15" ht="18">
      <c r="F92" s="524"/>
      <c r="H92" s="515" t="s">
        <v>595</v>
      </c>
      <c r="I92" s="521">
        <f>SUMIF(A2:A88,H92,I2:I88)</f>
        <v>38218493263463.773</v>
      </c>
      <c r="J92" s="507">
        <f t="shared" ref="J92:J96" si="13">+I92/26000</f>
        <v>1469942048.5947604</v>
      </c>
      <c r="K92" s="511" t="b">
        <f>SUM(J91:J92)=J89</f>
        <v>1</v>
      </c>
    </row>
    <row r="93" spans="1:15" ht="16.5">
      <c r="F93" s="523"/>
      <c r="H93" s="512" t="s">
        <v>596</v>
      </c>
      <c r="I93" s="513">
        <v>61382801.7777768</v>
      </c>
      <c r="J93" s="514">
        <f t="shared" si="13"/>
        <v>2360.8769914529539</v>
      </c>
    </row>
    <row r="94" spans="1:15" ht="16.5">
      <c r="F94" s="524"/>
      <c r="H94" s="502" t="s">
        <v>598</v>
      </c>
      <c r="I94" s="501">
        <v>205887690.0284521</v>
      </c>
      <c r="J94" s="500">
        <f t="shared" si="13"/>
        <v>7918.7573087866194</v>
      </c>
    </row>
    <row r="95" spans="1:15" ht="16.5">
      <c r="F95" s="524"/>
      <c r="H95" s="502" t="s">
        <v>597</v>
      </c>
      <c r="I95" s="501">
        <v>1480971833.4954541</v>
      </c>
      <c r="J95" s="500">
        <f t="shared" si="13"/>
        <v>56960.455134440541</v>
      </c>
    </row>
    <row r="96" spans="1:15" ht="16.5">
      <c r="H96" s="505" t="s">
        <v>599</v>
      </c>
      <c r="I96" s="506">
        <v>81941567</v>
      </c>
      <c r="J96" s="507">
        <f t="shared" si="13"/>
        <v>3151.5987307692308</v>
      </c>
    </row>
    <row r="97" spans="1:14" ht="17.25">
      <c r="I97" s="516" t="s">
        <v>600</v>
      </c>
      <c r="J97" s="510">
        <f>SUBTOTAL(9,J91:J96)</f>
        <v>1470090150.815618</v>
      </c>
    </row>
    <row r="98" spans="1:14" ht="17.25">
      <c r="J98" s="503" t="b">
        <f>J97='02.Income Statement '!D8</f>
        <v>0</v>
      </c>
    </row>
    <row r="99" spans="1:14">
      <c r="G99" s="487">
        <f>SUBTOTAL(9,G2:G45)</f>
        <v>1303768.0402799998</v>
      </c>
      <c r="J99" s="487">
        <f>SUBTOTAL(9,J2:J45)</f>
        <v>1349615.2415701391</v>
      </c>
    </row>
    <row r="100" spans="1:14">
      <c r="J100" s="487" t="s">
        <v>601</v>
      </c>
    </row>
    <row r="101" spans="1:14">
      <c r="M101" s="516"/>
    </row>
    <row r="102" spans="1:14" ht="15" customHeight="1">
      <c r="A102" s="570"/>
      <c r="B102" s="570"/>
      <c r="C102" s="570"/>
      <c r="D102" s="570"/>
      <c r="E102" s="752" t="s">
        <v>504</v>
      </c>
      <c r="F102" s="752" t="s">
        <v>254</v>
      </c>
      <c r="G102" s="749" t="s">
        <v>406</v>
      </c>
      <c r="H102" s="751"/>
      <c r="I102" s="750"/>
      <c r="J102" s="749" t="s">
        <v>591</v>
      </c>
      <c r="K102" s="750"/>
      <c r="L102" s="749" t="s">
        <v>827</v>
      </c>
      <c r="M102" s="750"/>
    </row>
    <row r="103" spans="1:14" s="569" customFormat="1" ht="36" customHeight="1">
      <c r="A103" s="564" t="s">
        <v>504</v>
      </c>
      <c r="B103" s="564" t="s">
        <v>254</v>
      </c>
      <c r="C103" s="564" t="s">
        <v>505</v>
      </c>
      <c r="D103" s="564" t="s">
        <v>506</v>
      </c>
      <c r="E103" s="752"/>
      <c r="F103" s="752"/>
      <c r="G103" s="565" t="s">
        <v>502</v>
      </c>
      <c r="H103" s="566" t="s">
        <v>604</v>
      </c>
      <c r="I103" s="567" t="s">
        <v>605</v>
      </c>
      <c r="J103" s="565" t="s">
        <v>588</v>
      </c>
      <c r="K103" s="561" t="s">
        <v>587</v>
      </c>
      <c r="L103" s="561" t="s">
        <v>587</v>
      </c>
      <c r="M103" s="563" t="s">
        <v>588</v>
      </c>
      <c r="N103" s="568"/>
    </row>
    <row r="104" spans="1:14">
      <c r="A104" s="499" t="s">
        <v>595</v>
      </c>
      <c r="B104" s="499" t="s">
        <v>220</v>
      </c>
      <c r="C104" s="499" t="s">
        <v>607</v>
      </c>
      <c r="D104" s="499" t="s">
        <v>608</v>
      </c>
      <c r="E104" s="496" t="s">
        <v>219</v>
      </c>
      <c r="F104" s="496" t="s">
        <v>606</v>
      </c>
      <c r="G104" s="497">
        <v>138000</v>
      </c>
      <c r="H104" s="498">
        <v>31525</v>
      </c>
      <c r="I104" s="517">
        <v>4350450000</v>
      </c>
      <c r="J104" s="497">
        <v>34053.986418449502</v>
      </c>
      <c r="K104" s="498">
        <f>+G104*J104</f>
        <v>4699450125.7460308</v>
      </c>
      <c r="L104" s="517">
        <f>+I104-K104</f>
        <v>-349000125.74603081</v>
      </c>
      <c r="M104" s="497">
        <f>+I104/26000</f>
        <v>167325</v>
      </c>
    </row>
    <row r="105" spans="1:14">
      <c r="A105" s="499" t="s">
        <v>595</v>
      </c>
      <c r="B105" s="489" t="s">
        <v>220</v>
      </c>
      <c r="C105" s="489" t="s">
        <v>515</v>
      </c>
      <c r="D105" s="489" t="s">
        <v>516</v>
      </c>
      <c r="E105" s="490" t="s">
        <v>219</v>
      </c>
      <c r="F105" s="490" t="s">
        <v>606</v>
      </c>
      <c r="G105" s="491">
        <v>2400</v>
      </c>
      <c r="H105" s="498">
        <v>17090</v>
      </c>
      <c r="I105" s="518">
        <v>41016000</v>
      </c>
      <c r="J105" s="491">
        <v>27414.601132714961</v>
      </c>
      <c r="K105" s="498">
        <f t="shared" ref="K105:K127" si="14">+G105*J105</f>
        <v>65795042.718515903</v>
      </c>
      <c r="L105" s="518">
        <f t="shared" ref="L105:L127" si="15">+I105-K105</f>
        <v>-24779042.718515903</v>
      </c>
      <c r="M105" s="491">
        <f t="shared" ref="M105:M108" si="16">+I105/26000</f>
        <v>1577.5384615384614</v>
      </c>
    </row>
    <row r="106" spans="1:14">
      <c r="A106" s="499" t="s">
        <v>595</v>
      </c>
      <c r="B106" s="489" t="s">
        <v>220</v>
      </c>
      <c r="C106" s="489" t="s">
        <v>517</v>
      </c>
      <c r="D106" s="489" t="s">
        <v>518</v>
      </c>
      <c r="E106" s="490" t="s">
        <v>219</v>
      </c>
      <c r="F106" s="490" t="s">
        <v>606</v>
      </c>
      <c r="G106" s="491">
        <v>151400</v>
      </c>
      <c r="H106" s="498">
        <v>21754.81</v>
      </c>
      <c r="I106" s="518">
        <v>3293678392</v>
      </c>
      <c r="J106" s="491">
        <v>12162.805680575844</v>
      </c>
      <c r="K106" s="498">
        <f t="shared" si="14"/>
        <v>1841448780.0391829</v>
      </c>
      <c r="L106" s="518">
        <f t="shared" si="15"/>
        <v>1452229611.9608171</v>
      </c>
      <c r="M106" s="491">
        <f t="shared" si="16"/>
        <v>126679.93815384616</v>
      </c>
    </row>
    <row r="107" spans="1:14">
      <c r="A107" s="499" t="s">
        <v>595</v>
      </c>
      <c r="B107" s="489" t="s">
        <v>220</v>
      </c>
      <c r="C107" s="489" t="s">
        <v>523</v>
      </c>
      <c r="D107" s="489" t="s">
        <v>524</v>
      </c>
      <c r="E107" s="490" t="s">
        <v>219</v>
      </c>
      <c r="F107" s="490" t="s">
        <v>606</v>
      </c>
      <c r="G107" s="491">
        <v>115495</v>
      </c>
      <c r="H107" s="498">
        <v>45590</v>
      </c>
      <c r="I107" s="518">
        <v>5265417050</v>
      </c>
      <c r="J107" s="491">
        <v>28004.420735284952</v>
      </c>
      <c r="K107" s="498">
        <f t="shared" si="14"/>
        <v>3234370572.8217354</v>
      </c>
      <c r="L107" s="518">
        <f t="shared" si="15"/>
        <v>2031046477.1782646</v>
      </c>
      <c r="M107" s="491">
        <f t="shared" si="16"/>
        <v>202516.04038461539</v>
      </c>
    </row>
    <row r="108" spans="1:14">
      <c r="A108" s="499" t="s">
        <v>595</v>
      </c>
      <c r="B108" s="489" t="s">
        <v>220</v>
      </c>
      <c r="C108" s="489" t="s">
        <v>525</v>
      </c>
      <c r="D108" s="489" t="s">
        <v>526</v>
      </c>
      <c r="E108" s="490" t="s">
        <v>219</v>
      </c>
      <c r="F108" s="490" t="s">
        <v>606</v>
      </c>
      <c r="G108" s="491">
        <v>115454</v>
      </c>
      <c r="H108" s="498">
        <v>31672</v>
      </c>
      <c r="I108" s="518">
        <v>3656659088</v>
      </c>
      <c r="J108" s="491">
        <v>19282.398080781943</v>
      </c>
      <c r="K108" s="498">
        <f t="shared" si="14"/>
        <v>2226229988.0185986</v>
      </c>
      <c r="L108" s="518">
        <f t="shared" si="15"/>
        <v>1430429099.9814014</v>
      </c>
      <c r="M108" s="491">
        <f t="shared" si="16"/>
        <v>140640.73415384616</v>
      </c>
    </row>
    <row r="109" spans="1:14">
      <c r="A109" s="499" t="s">
        <v>595</v>
      </c>
      <c r="B109" s="489" t="s">
        <v>228</v>
      </c>
      <c r="C109" s="489" t="s">
        <v>312</v>
      </c>
      <c r="D109" s="489" t="s">
        <v>313</v>
      </c>
      <c r="E109" s="490" t="s">
        <v>227</v>
      </c>
      <c r="F109" s="490" t="s">
        <v>609</v>
      </c>
      <c r="G109" s="491">
        <v>182530</v>
      </c>
      <c r="H109" s="498">
        <v>16213</v>
      </c>
      <c r="I109" s="518">
        <v>2959358890</v>
      </c>
      <c r="J109" s="491">
        <v>15261.133968876815</v>
      </c>
      <c r="K109" s="498">
        <f t="shared" si="14"/>
        <v>2785614783.3390851</v>
      </c>
      <c r="L109" s="518">
        <f t="shared" si="15"/>
        <v>173744106.6609149</v>
      </c>
      <c r="M109" s="491">
        <f>+I109/26000</f>
        <v>113821.49576923077</v>
      </c>
    </row>
    <row r="110" spans="1:14">
      <c r="A110" s="499" t="s">
        <v>595</v>
      </c>
      <c r="B110" s="489" t="s">
        <v>226</v>
      </c>
      <c r="C110" s="489" t="s">
        <v>611</v>
      </c>
      <c r="D110" s="489" t="s">
        <v>612</v>
      </c>
      <c r="E110" s="490" t="s">
        <v>225</v>
      </c>
      <c r="F110" s="490" t="s">
        <v>610</v>
      </c>
      <c r="G110" s="491">
        <v>3</v>
      </c>
      <c r="H110" s="498">
        <v>5290740</v>
      </c>
      <c r="I110" s="518">
        <v>15872220</v>
      </c>
      <c r="J110" s="491">
        <v>3353749.0969288498</v>
      </c>
      <c r="K110" s="498">
        <f t="shared" si="14"/>
        <v>10061247.290786549</v>
      </c>
      <c r="L110" s="518">
        <f t="shared" si="15"/>
        <v>5810972.7092134506</v>
      </c>
      <c r="M110" s="491">
        <f t="shared" ref="M110:M131" si="17">+I110/26000</f>
        <v>610.47</v>
      </c>
    </row>
    <row r="111" spans="1:14">
      <c r="A111" s="499" t="s">
        <v>595</v>
      </c>
      <c r="B111" s="489" t="s">
        <v>226</v>
      </c>
      <c r="C111" s="489" t="s">
        <v>613</v>
      </c>
      <c r="D111" s="489" t="s">
        <v>614</v>
      </c>
      <c r="E111" s="490" t="s">
        <v>225</v>
      </c>
      <c r="F111" s="490" t="s">
        <v>610</v>
      </c>
      <c r="G111" s="491">
        <v>2</v>
      </c>
      <c r="H111" s="498">
        <v>13050492</v>
      </c>
      <c r="I111" s="518">
        <v>26100984</v>
      </c>
      <c r="J111" s="491">
        <v>3058749.0969288498</v>
      </c>
      <c r="K111" s="498">
        <f t="shared" si="14"/>
        <v>6117498.1938576996</v>
      </c>
      <c r="L111" s="518">
        <f t="shared" si="15"/>
        <v>19983485.8061423</v>
      </c>
      <c r="M111" s="491">
        <f t="shared" si="17"/>
        <v>1003.884</v>
      </c>
    </row>
    <row r="112" spans="1:14">
      <c r="A112" s="499" t="s">
        <v>595</v>
      </c>
      <c r="B112" s="489" t="s">
        <v>226</v>
      </c>
      <c r="C112" s="489" t="s">
        <v>615</v>
      </c>
      <c r="D112" s="489" t="s">
        <v>616</v>
      </c>
      <c r="E112" s="490" t="s">
        <v>225</v>
      </c>
      <c r="F112" s="490" t="s">
        <v>610</v>
      </c>
      <c r="G112" s="491">
        <v>2</v>
      </c>
      <c r="H112" s="498">
        <v>14108640</v>
      </c>
      <c r="I112" s="518">
        <v>28217280</v>
      </c>
      <c r="J112" s="491">
        <v>3058749.0969288601</v>
      </c>
      <c r="K112" s="498">
        <f t="shared" si="14"/>
        <v>6117498.1938577201</v>
      </c>
      <c r="L112" s="518">
        <f t="shared" si="15"/>
        <v>22099781.806142278</v>
      </c>
      <c r="M112" s="491">
        <f t="shared" si="17"/>
        <v>1085.28</v>
      </c>
    </row>
    <row r="113" spans="1:13">
      <c r="A113" s="499" t="s">
        <v>595</v>
      </c>
      <c r="B113" s="489" t="s">
        <v>226</v>
      </c>
      <c r="C113" s="489" t="s">
        <v>617</v>
      </c>
      <c r="D113" s="489" t="s">
        <v>618</v>
      </c>
      <c r="E113" s="490" t="s">
        <v>225</v>
      </c>
      <c r="F113" s="490" t="s">
        <v>610</v>
      </c>
      <c r="G113" s="491">
        <v>2</v>
      </c>
      <c r="H113" s="498">
        <v>8465184</v>
      </c>
      <c r="I113" s="518">
        <v>16930368</v>
      </c>
      <c r="J113" s="491">
        <v>3193749.0969288498</v>
      </c>
      <c r="K113" s="498">
        <f t="shared" si="14"/>
        <v>6387498.1938576996</v>
      </c>
      <c r="L113" s="518">
        <f t="shared" si="15"/>
        <v>10542869.8061423</v>
      </c>
      <c r="M113" s="491">
        <f t="shared" si="17"/>
        <v>651.16800000000001</v>
      </c>
    </row>
    <row r="114" spans="1:13">
      <c r="A114" s="499" t="s">
        <v>595</v>
      </c>
      <c r="B114" s="489" t="s">
        <v>226</v>
      </c>
      <c r="C114" s="489" t="s">
        <v>619</v>
      </c>
      <c r="D114" s="489" t="s">
        <v>620</v>
      </c>
      <c r="E114" s="490" t="s">
        <v>225</v>
      </c>
      <c r="F114" s="490" t="s">
        <v>610</v>
      </c>
      <c r="G114" s="491">
        <v>2</v>
      </c>
      <c r="H114" s="498">
        <v>8465184</v>
      </c>
      <c r="I114" s="518">
        <v>16930368</v>
      </c>
      <c r="J114" s="491">
        <v>3193749.0969288498</v>
      </c>
      <c r="K114" s="498">
        <f t="shared" si="14"/>
        <v>6387498.1938576996</v>
      </c>
      <c r="L114" s="518">
        <f t="shared" si="15"/>
        <v>10542869.8061423</v>
      </c>
      <c r="M114" s="491">
        <f t="shared" si="17"/>
        <v>651.16800000000001</v>
      </c>
    </row>
    <row r="115" spans="1:13">
      <c r="A115" s="499" t="s">
        <v>595</v>
      </c>
      <c r="B115" s="489" t="s">
        <v>226</v>
      </c>
      <c r="C115" s="489" t="s">
        <v>621</v>
      </c>
      <c r="D115" s="489" t="s">
        <v>622</v>
      </c>
      <c r="E115" s="490" t="s">
        <v>225</v>
      </c>
      <c r="F115" s="490" t="s">
        <v>610</v>
      </c>
      <c r="G115" s="491">
        <v>3</v>
      </c>
      <c r="H115" s="498">
        <v>5290740</v>
      </c>
      <c r="I115" s="518">
        <v>15872220</v>
      </c>
      <c r="J115" s="491">
        <v>1749428.2888302382</v>
      </c>
      <c r="K115" s="498">
        <f t="shared" si="14"/>
        <v>5248284.8664907143</v>
      </c>
      <c r="L115" s="518">
        <f t="shared" si="15"/>
        <v>10623935.133509286</v>
      </c>
      <c r="M115" s="491">
        <f t="shared" si="17"/>
        <v>610.47</v>
      </c>
    </row>
    <row r="116" spans="1:13">
      <c r="A116" s="499" t="s">
        <v>595</v>
      </c>
      <c r="B116" s="489" t="s">
        <v>226</v>
      </c>
      <c r="C116" s="489" t="s">
        <v>623</v>
      </c>
      <c r="D116" s="489" t="s">
        <v>624</v>
      </c>
      <c r="E116" s="490" t="s">
        <v>225</v>
      </c>
      <c r="F116" s="490" t="s">
        <v>610</v>
      </c>
      <c r="G116" s="491">
        <v>2</v>
      </c>
      <c r="H116" s="498">
        <v>2116296</v>
      </c>
      <c r="I116" s="518">
        <v>4232592</v>
      </c>
      <c r="J116" s="491">
        <v>1839428.2888302379</v>
      </c>
      <c r="K116" s="498">
        <f t="shared" si="14"/>
        <v>3678856.5776604759</v>
      </c>
      <c r="L116" s="518">
        <f t="shared" si="15"/>
        <v>553735.42233952414</v>
      </c>
      <c r="M116" s="491">
        <f t="shared" si="17"/>
        <v>162.792</v>
      </c>
    </row>
    <row r="117" spans="1:13">
      <c r="A117" s="499" t="s">
        <v>595</v>
      </c>
      <c r="B117" s="489" t="s">
        <v>226</v>
      </c>
      <c r="C117" s="489" t="s">
        <v>289</v>
      </c>
      <c r="D117" s="489" t="s">
        <v>290</v>
      </c>
      <c r="E117" s="490" t="s">
        <v>225</v>
      </c>
      <c r="F117" s="490" t="s">
        <v>610</v>
      </c>
      <c r="G117" s="491">
        <v>36400</v>
      </c>
      <c r="H117" s="498">
        <v>16734</v>
      </c>
      <c r="I117" s="518">
        <v>609117600</v>
      </c>
      <c r="J117" s="491">
        <v>17962.13250474837</v>
      </c>
      <c r="K117" s="498">
        <f t="shared" si="14"/>
        <v>653821623.17284071</v>
      </c>
      <c r="L117" s="518">
        <f t="shared" si="15"/>
        <v>-44704023.172840714</v>
      </c>
      <c r="M117" s="491">
        <f t="shared" si="17"/>
        <v>23427.599999999999</v>
      </c>
    </row>
    <row r="118" spans="1:13">
      <c r="A118" s="499" t="s">
        <v>595</v>
      </c>
      <c r="B118" s="489" t="s">
        <v>226</v>
      </c>
      <c r="C118" s="489" t="s">
        <v>312</v>
      </c>
      <c r="D118" s="489" t="s">
        <v>313</v>
      </c>
      <c r="E118" s="490" t="s">
        <v>225</v>
      </c>
      <c r="F118" s="490" t="s">
        <v>610</v>
      </c>
      <c r="G118" s="491">
        <v>668640</v>
      </c>
      <c r="H118" s="498">
        <v>15800</v>
      </c>
      <c r="I118" s="518">
        <v>10564512000</v>
      </c>
      <c r="J118" s="491">
        <v>15261.133968876815</v>
      </c>
      <c r="K118" s="498">
        <f t="shared" si="14"/>
        <v>10204204616.949793</v>
      </c>
      <c r="L118" s="518">
        <f t="shared" si="15"/>
        <v>360307383.05020714</v>
      </c>
      <c r="M118" s="491">
        <f t="shared" si="17"/>
        <v>406327.38461538462</v>
      </c>
    </row>
    <row r="119" spans="1:13">
      <c r="A119" s="499" t="s">
        <v>595</v>
      </c>
      <c r="B119" s="489" t="s">
        <v>226</v>
      </c>
      <c r="C119" s="489" t="s">
        <v>460</v>
      </c>
      <c r="D119" s="489" t="s">
        <v>461</v>
      </c>
      <c r="E119" s="490" t="s">
        <v>225</v>
      </c>
      <c r="F119" s="490" t="s">
        <v>610</v>
      </c>
      <c r="G119" s="491">
        <v>222600</v>
      </c>
      <c r="H119" s="498">
        <v>19620</v>
      </c>
      <c r="I119" s="518">
        <v>4367412000</v>
      </c>
      <c r="J119" s="491">
        <v>18251.76342600448</v>
      </c>
      <c r="K119" s="498">
        <f t="shared" si="14"/>
        <v>4062842538.6285973</v>
      </c>
      <c r="L119" s="518">
        <f t="shared" si="15"/>
        <v>304569461.37140274</v>
      </c>
      <c r="M119" s="491">
        <f t="shared" si="17"/>
        <v>167977.38461538462</v>
      </c>
    </row>
    <row r="120" spans="1:13">
      <c r="A120" s="499" t="s">
        <v>595</v>
      </c>
      <c r="B120" s="489" t="s">
        <v>226</v>
      </c>
      <c r="C120" s="489" t="s">
        <v>625</v>
      </c>
      <c r="D120" s="489" t="s">
        <v>626</v>
      </c>
      <c r="E120" s="490" t="s">
        <v>225</v>
      </c>
      <c r="F120" s="490" t="s">
        <v>610</v>
      </c>
      <c r="G120" s="491">
        <v>1</v>
      </c>
      <c r="H120" s="498">
        <v>2116296</v>
      </c>
      <c r="I120" s="518">
        <v>2116296</v>
      </c>
      <c r="J120" s="491">
        <v>544771.47598844697</v>
      </c>
      <c r="K120" s="498">
        <f t="shared" si="14"/>
        <v>544771.47598844697</v>
      </c>
      <c r="L120" s="518">
        <f t="shared" si="15"/>
        <v>1571524.524011553</v>
      </c>
      <c r="M120" s="491">
        <f t="shared" si="17"/>
        <v>81.396000000000001</v>
      </c>
    </row>
    <row r="121" spans="1:13">
      <c r="A121" s="499" t="s">
        <v>595</v>
      </c>
      <c r="B121" s="489" t="s">
        <v>226</v>
      </c>
      <c r="C121" s="489" t="s">
        <v>627</v>
      </c>
      <c r="D121" s="489" t="s">
        <v>628</v>
      </c>
      <c r="E121" s="490" t="s">
        <v>225</v>
      </c>
      <c r="F121" s="490" t="s">
        <v>610</v>
      </c>
      <c r="G121" s="491">
        <v>1</v>
      </c>
      <c r="H121" s="498">
        <v>8465184</v>
      </c>
      <c r="I121" s="518">
        <v>8465184</v>
      </c>
      <c r="J121" s="491">
        <v>81571.475988447099</v>
      </c>
      <c r="K121" s="498">
        <f t="shared" si="14"/>
        <v>81571.475988447099</v>
      </c>
      <c r="L121" s="518">
        <f t="shared" si="15"/>
        <v>8383612.5240115533</v>
      </c>
      <c r="M121" s="491">
        <f t="shared" si="17"/>
        <v>325.584</v>
      </c>
    </row>
    <row r="122" spans="1:13">
      <c r="A122" s="499" t="s">
        <v>595</v>
      </c>
      <c r="B122" s="489" t="s">
        <v>226</v>
      </c>
      <c r="C122" s="489" t="s">
        <v>629</v>
      </c>
      <c r="D122" s="489" t="s">
        <v>630</v>
      </c>
      <c r="E122" s="490" t="s">
        <v>225</v>
      </c>
      <c r="F122" s="490" t="s">
        <v>610</v>
      </c>
      <c r="G122" s="491">
        <v>1</v>
      </c>
      <c r="H122" s="498">
        <v>2116296</v>
      </c>
      <c r="I122" s="518">
        <v>2116296</v>
      </c>
      <c r="J122" s="491">
        <v>932971.47598844697</v>
      </c>
      <c r="K122" s="498">
        <f t="shared" si="14"/>
        <v>932971.47598844697</v>
      </c>
      <c r="L122" s="518">
        <f t="shared" si="15"/>
        <v>1183324.524011553</v>
      </c>
      <c r="M122" s="491">
        <f t="shared" si="17"/>
        <v>81.396000000000001</v>
      </c>
    </row>
    <row r="123" spans="1:13">
      <c r="A123" s="499" t="s">
        <v>595</v>
      </c>
      <c r="B123" s="489" t="s">
        <v>226</v>
      </c>
      <c r="C123" s="489" t="s">
        <v>631</v>
      </c>
      <c r="D123" s="489" t="s">
        <v>632</v>
      </c>
      <c r="E123" s="490" t="s">
        <v>225</v>
      </c>
      <c r="F123" s="490" t="s">
        <v>610</v>
      </c>
      <c r="G123" s="491">
        <v>1</v>
      </c>
      <c r="H123" s="498">
        <v>13050492</v>
      </c>
      <c r="I123" s="518">
        <v>13050492</v>
      </c>
      <c r="J123" s="491">
        <v>4114610.47598845</v>
      </c>
      <c r="K123" s="498">
        <f t="shared" si="14"/>
        <v>4114610.47598845</v>
      </c>
      <c r="L123" s="518">
        <f t="shared" si="15"/>
        <v>8935881.5240115505</v>
      </c>
      <c r="M123" s="491">
        <f t="shared" si="17"/>
        <v>501.94200000000001</v>
      </c>
    </row>
    <row r="124" spans="1:13">
      <c r="A124" s="499" t="s">
        <v>595</v>
      </c>
      <c r="B124" s="489" t="s">
        <v>226</v>
      </c>
      <c r="C124" s="489" t="s">
        <v>633</v>
      </c>
      <c r="D124" s="489" t="s">
        <v>634</v>
      </c>
      <c r="E124" s="490" t="s">
        <v>225</v>
      </c>
      <c r="F124" s="490" t="s">
        <v>610</v>
      </c>
      <c r="G124" s="491">
        <v>1</v>
      </c>
      <c r="H124" s="498">
        <v>2116296</v>
      </c>
      <c r="I124" s="518">
        <v>2116296</v>
      </c>
      <c r="J124" s="491">
        <v>953871.47598844697</v>
      </c>
      <c r="K124" s="498">
        <f t="shared" si="14"/>
        <v>953871.47598844697</v>
      </c>
      <c r="L124" s="518">
        <f t="shared" si="15"/>
        <v>1162424.524011553</v>
      </c>
      <c r="M124" s="491">
        <f t="shared" si="17"/>
        <v>81.396000000000001</v>
      </c>
    </row>
    <row r="125" spans="1:13">
      <c r="A125" s="499" t="s">
        <v>595</v>
      </c>
      <c r="B125" s="489" t="s">
        <v>226</v>
      </c>
      <c r="C125" s="489" t="s">
        <v>635</v>
      </c>
      <c r="D125" s="489" t="s">
        <v>636</v>
      </c>
      <c r="E125" s="490" t="s">
        <v>225</v>
      </c>
      <c r="F125" s="490" t="s">
        <v>610</v>
      </c>
      <c r="G125" s="491">
        <v>1</v>
      </c>
      <c r="H125" s="498">
        <v>8465184</v>
      </c>
      <c r="I125" s="518">
        <v>8465184</v>
      </c>
      <c r="J125" s="491">
        <v>81571.475988447099</v>
      </c>
      <c r="K125" s="498">
        <f t="shared" si="14"/>
        <v>81571.475988447099</v>
      </c>
      <c r="L125" s="518">
        <f t="shared" si="15"/>
        <v>8383612.5240115533</v>
      </c>
      <c r="M125" s="491">
        <f t="shared" si="17"/>
        <v>325.584</v>
      </c>
    </row>
    <row r="126" spans="1:13">
      <c r="A126" s="499" t="s">
        <v>595</v>
      </c>
      <c r="B126" s="489" t="s">
        <v>226</v>
      </c>
      <c r="C126" s="489" t="s">
        <v>637</v>
      </c>
      <c r="D126" s="489" t="s">
        <v>638</v>
      </c>
      <c r="E126" s="490" t="s">
        <v>225</v>
      </c>
      <c r="F126" s="490" t="s">
        <v>610</v>
      </c>
      <c r="G126" s="491">
        <v>1</v>
      </c>
      <c r="H126" s="498">
        <v>2116296</v>
      </c>
      <c r="I126" s="518">
        <v>2116296</v>
      </c>
      <c r="J126" s="491">
        <v>345696.47598844703</v>
      </c>
      <c r="K126" s="498">
        <f t="shared" si="14"/>
        <v>345696.47598844703</v>
      </c>
      <c r="L126" s="518">
        <f t="shared" si="15"/>
        <v>1770599.524011553</v>
      </c>
      <c r="M126" s="491">
        <f t="shared" si="17"/>
        <v>81.396000000000001</v>
      </c>
    </row>
    <row r="127" spans="1:13">
      <c r="A127" s="499" t="s">
        <v>595</v>
      </c>
      <c r="B127" s="489" t="s">
        <v>226</v>
      </c>
      <c r="C127" s="489" t="s">
        <v>639</v>
      </c>
      <c r="D127" s="489" t="s">
        <v>640</v>
      </c>
      <c r="E127" s="490" t="s">
        <v>225</v>
      </c>
      <c r="F127" s="490" t="s">
        <v>610</v>
      </c>
      <c r="G127" s="491">
        <v>1</v>
      </c>
      <c r="H127" s="498">
        <v>20020000</v>
      </c>
      <c r="I127" s="518">
        <v>20020000</v>
      </c>
      <c r="J127" s="491">
        <v>18528895.213702288</v>
      </c>
      <c r="K127" s="498">
        <f t="shared" si="14"/>
        <v>18528895.213702288</v>
      </c>
      <c r="L127" s="518">
        <f t="shared" si="15"/>
        <v>1491104.7862977125</v>
      </c>
      <c r="M127" s="491">
        <f t="shared" si="17"/>
        <v>770</v>
      </c>
    </row>
    <row r="128" spans="1:13">
      <c r="A128" s="489" t="s">
        <v>594</v>
      </c>
      <c r="B128" s="489" t="s">
        <v>226</v>
      </c>
      <c r="C128" s="489" t="s">
        <v>641</v>
      </c>
      <c r="D128" s="489" t="s">
        <v>642</v>
      </c>
      <c r="E128" s="490" t="s">
        <v>225</v>
      </c>
      <c r="F128" s="490" t="s">
        <v>610</v>
      </c>
      <c r="G128" s="491">
        <v>1</v>
      </c>
      <c r="H128" s="498">
        <v>13050492</v>
      </c>
      <c r="I128" s="518">
        <v>13050492</v>
      </c>
      <c r="J128" s="491" t="e">
        <v>#N/A</v>
      </c>
      <c r="K128" s="498"/>
      <c r="L128" s="518"/>
      <c r="M128" s="491">
        <f t="shared" si="17"/>
        <v>501.94200000000001</v>
      </c>
    </row>
    <row r="129" spans="1:13">
      <c r="A129" s="489" t="s">
        <v>594</v>
      </c>
      <c r="B129" s="489" t="s">
        <v>226</v>
      </c>
      <c r="C129" s="489" t="s">
        <v>643</v>
      </c>
      <c r="D129" s="489" t="s">
        <v>644</v>
      </c>
      <c r="E129" s="490" t="s">
        <v>225</v>
      </c>
      <c r="F129" s="490" t="s">
        <v>610</v>
      </c>
      <c r="G129" s="491">
        <v>2</v>
      </c>
      <c r="H129" s="498">
        <v>12345060</v>
      </c>
      <c r="I129" s="518">
        <v>24690120</v>
      </c>
      <c r="J129" s="491" t="e">
        <v>#N/A</v>
      </c>
      <c r="K129" s="498"/>
      <c r="L129" s="518"/>
      <c r="M129" s="491">
        <f t="shared" si="17"/>
        <v>949.62</v>
      </c>
    </row>
    <row r="130" spans="1:13">
      <c r="A130" s="489" t="s">
        <v>594</v>
      </c>
      <c r="B130" s="489" t="s">
        <v>226</v>
      </c>
      <c r="C130" s="489" t="s">
        <v>645</v>
      </c>
      <c r="D130" s="489" t="s">
        <v>646</v>
      </c>
      <c r="E130" s="490" t="s">
        <v>225</v>
      </c>
      <c r="F130" s="490" t="s">
        <v>610</v>
      </c>
      <c r="G130" s="491">
        <v>1</v>
      </c>
      <c r="H130" s="498">
        <v>55146000</v>
      </c>
      <c r="I130" s="518">
        <v>55146000</v>
      </c>
      <c r="J130" s="491" t="e">
        <v>#N/A</v>
      </c>
      <c r="K130" s="498"/>
      <c r="L130" s="518"/>
      <c r="M130" s="491">
        <f t="shared" si="17"/>
        <v>2121</v>
      </c>
    </row>
    <row r="131" spans="1:13">
      <c r="A131" s="499" t="s">
        <v>595</v>
      </c>
      <c r="B131" s="489" t="s">
        <v>824</v>
      </c>
      <c r="C131" s="489" t="s">
        <v>259</v>
      </c>
      <c r="D131" s="489" t="s">
        <v>260</v>
      </c>
      <c r="E131" s="490" t="s">
        <v>229</v>
      </c>
      <c r="F131" s="490" t="s">
        <v>647</v>
      </c>
      <c r="G131" s="491">
        <v>60960</v>
      </c>
      <c r="H131" s="498">
        <v>17553</v>
      </c>
      <c r="I131" s="518">
        <v>1070030880</v>
      </c>
      <c r="J131" s="491">
        <v>29225.558464967715</v>
      </c>
      <c r="K131" s="498">
        <f>+G131*J131</f>
        <v>1781590044.0244319</v>
      </c>
      <c r="L131" s="518">
        <f>+I131-K131</f>
        <v>-711559164.02443194</v>
      </c>
      <c r="M131" s="491">
        <f t="shared" si="17"/>
        <v>41155.033846153849</v>
      </c>
    </row>
    <row r="132" spans="1:13">
      <c r="A132" s="489" t="s">
        <v>589</v>
      </c>
      <c r="B132" s="489" t="s">
        <v>244</v>
      </c>
      <c r="C132" s="489" t="s">
        <v>649</v>
      </c>
      <c r="D132" s="489" t="s">
        <v>650</v>
      </c>
      <c r="E132" s="490" t="s">
        <v>243</v>
      </c>
      <c r="F132" s="490" t="s">
        <v>648</v>
      </c>
      <c r="G132" s="491">
        <v>1542</v>
      </c>
      <c r="H132" s="498">
        <v>34545.449999999997</v>
      </c>
      <c r="I132" s="518">
        <v>53269091</v>
      </c>
      <c r="J132" s="491" t="e">
        <v>#N/A</v>
      </c>
      <c r="K132" s="498"/>
      <c r="L132" s="518">
        <f>+I132/26000</f>
        <v>2048.8111923076922</v>
      </c>
      <c r="M132" s="491"/>
    </row>
    <row r="133" spans="1:13">
      <c r="A133" s="489" t="s">
        <v>589</v>
      </c>
      <c r="B133" s="489" t="s">
        <v>244</v>
      </c>
      <c r="C133" s="489" t="s">
        <v>651</v>
      </c>
      <c r="D133" s="489" t="s">
        <v>652</v>
      </c>
      <c r="E133" s="490" t="s">
        <v>243</v>
      </c>
      <c r="F133" s="490" t="s">
        <v>648</v>
      </c>
      <c r="G133" s="491">
        <v>4715</v>
      </c>
      <c r="H133" s="498">
        <v>41818.18</v>
      </c>
      <c r="I133" s="518">
        <v>197172727</v>
      </c>
      <c r="J133" s="491" t="e">
        <v>#N/A</v>
      </c>
      <c r="K133" s="498"/>
      <c r="L133" s="518">
        <f t="shared" ref="L133:L153" si="18">+I133/26000</f>
        <v>7583.5664230769235</v>
      </c>
      <c r="M133" s="491"/>
    </row>
    <row r="134" spans="1:13">
      <c r="A134" s="489" t="s">
        <v>589</v>
      </c>
      <c r="B134" s="489" t="s">
        <v>244</v>
      </c>
      <c r="C134" s="489" t="s">
        <v>653</v>
      </c>
      <c r="D134" s="489" t="s">
        <v>654</v>
      </c>
      <c r="E134" s="490" t="s">
        <v>243</v>
      </c>
      <c r="F134" s="490" t="s">
        <v>648</v>
      </c>
      <c r="G134" s="491">
        <v>18023</v>
      </c>
      <c r="H134" s="498">
        <v>21363.64</v>
      </c>
      <c r="I134" s="518">
        <v>385036818</v>
      </c>
      <c r="J134" s="491" t="e">
        <v>#N/A</v>
      </c>
      <c r="K134" s="498"/>
      <c r="L134" s="518">
        <f t="shared" si="18"/>
        <v>14809.108384615385</v>
      </c>
      <c r="M134" s="491"/>
    </row>
    <row r="135" spans="1:13">
      <c r="A135" s="489" t="s">
        <v>589</v>
      </c>
      <c r="B135" s="489" t="s">
        <v>239</v>
      </c>
      <c r="C135" s="489" t="s">
        <v>656</v>
      </c>
      <c r="D135" s="489" t="s">
        <v>657</v>
      </c>
      <c r="E135" s="490" t="s">
        <v>238</v>
      </c>
      <c r="F135" s="490" t="s">
        <v>655</v>
      </c>
      <c r="G135" s="491">
        <v>23943</v>
      </c>
      <c r="H135" s="498">
        <v>31818.18</v>
      </c>
      <c r="I135" s="518">
        <v>761822727</v>
      </c>
      <c r="J135" s="491" t="e">
        <v>#N/A</v>
      </c>
      <c r="K135" s="498"/>
      <c r="L135" s="518">
        <f t="shared" si="18"/>
        <v>29300.874115384617</v>
      </c>
      <c r="M135" s="491"/>
    </row>
    <row r="136" spans="1:13">
      <c r="A136" s="489" t="s">
        <v>589</v>
      </c>
      <c r="B136" s="489" t="s">
        <v>239</v>
      </c>
      <c r="C136" s="489" t="s">
        <v>658</v>
      </c>
      <c r="D136" s="489" t="s">
        <v>659</v>
      </c>
      <c r="E136" s="490" t="s">
        <v>238</v>
      </c>
      <c r="F136" s="490" t="s">
        <v>655</v>
      </c>
      <c r="G136" s="491">
        <v>373</v>
      </c>
      <c r="H136" s="498">
        <v>909.09</v>
      </c>
      <c r="I136" s="518">
        <v>339091</v>
      </c>
      <c r="J136" s="491" t="e">
        <v>#N/A</v>
      </c>
      <c r="K136" s="498"/>
      <c r="L136" s="518">
        <f t="shared" si="18"/>
        <v>13.041961538461539</v>
      </c>
      <c r="M136" s="491"/>
    </row>
    <row r="137" spans="1:13">
      <c r="A137" s="489" t="s">
        <v>589</v>
      </c>
      <c r="B137" s="489" t="s">
        <v>481</v>
      </c>
      <c r="C137" s="489" t="s">
        <v>661</v>
      </c>
      <c r="D137" s="489" t="s">
        <v>662</v>
      </c>
      <c r="E137" s="490" t="s">
        <v>242</v>
      </c>
      <c r="F137" s="490" t="s">
        <v>660</v>
      </c>
      <c r="G137" s="491">
        <v>289</v>
      </c>
      <c r="H137" s="498">
        <v>7273.15</v>
      </c>
      <c r="I137" s="518">
        <v>2101940</v>
      </c>
      <c r="J137" s="491" t="e">
        <v>#N/A</v>
      </c>
      <c r="K137" s="498"/>
      <c r="L137" s="518">
        <f t="shared" si="18"/>
        <v>80.843846153846158</v>
      </c>
      <c r="M137" s="491"/>
    </row>
    <row r="138" spans="1:13">
      <c r="A138" s="489" t="s">
        <v>589</v>
      </c>
      <c r="B138" s="489" t="s">
        <v>481</v>
      </c>
      <c r="C138" s="489" t="s">
        <v>663</v>
      </c>
      <c r="D138" s="489" t="s">
        <v>664</v>
      </c>
      <c r="E138" s="490" t="s">
        <v>242</v>
      </c>
      <c r="F138" s="490" t="s">
        <v>660</v>
      </c>
      <c r="G138" s="491">
        <v>1506</v>
      </c>
      <c r="H138" s="498">
        <v>3181.48</v>
      </c>
      <c r="I138" s="518">
        <v>4791311</v>
      </c>
      <c r="J138" s="491" t="e">
        <v>#N/A</v>
      </c>
      <c r="K138" s="498"/>
      <c r="L138" s="518">
        <f t="shared" si="18"/>
        <v>184.28119230769229</v>
      </c>
      <c r="M138" s="491"/>
    </row>
    <row r="139" spans="1:13">
      <c r="A139" s="489" t="s">
        <v>589</v>
      </c>
      <c r="B139" s="489" t="s">
        <v>481</v>
      </c>
      <c r="C139" s="489" t="s">
        <v>665</v>
      </c>
      <c r="D139" s="489" t="s">
        <v>666</v>
      </c>
      <c r="E139" s="490" t="s">
        <v>242</v>
      </c>
      <c r="F139" s="490" t="s">
        <v>660</v>
      </c>
      <c r="G139" s="491">
        <v>632</v>
      </c>
      <c r="H139" s="498">
        <v>10000</v>
      </c>
      <c r="I139" s="518">
        <v>6320000</v>
      </c>
      <c r="J139" s="491" t="e">
        <v>#N/A</v>
      </c>
      <c r="K139" s="498"/>
      <c r="L139" s="518">
        <f t="shared" si="18"/>
        <v>243.07692307692307</v>
      </c>
      <c r="M139" s="491"/>
    </row>
    <row r="140" spans="1:13">
      <c r="A140" s="489" t="s">
        <v>589</v>
      </c>
      <c r="B140" s="489" t="s">
        <v>481</v>
      </c>
      <c r="C140" s="489" t="s">
        <v>667</v>
      </c>
      <c r="D140" s="489" t="s">
        <v>668</v>
      </c>
      <c r="E140" s="490" t="s">
        <v>242</v>
      </c>
      <c r="F140" s="490" t="s">
        <v>660</v>
      </c>
      <c r="G140" s="491">
        <v>5754</v>
      </c>
      <c r="H140" s="498">
        <v>363.89</v>
      </c>
      <c r="I140" s="518">
        <v>2093817</v>
      </c>
      <c r="J140" s="491" t="e">
        <v>#N/A</v>
      </c>
      <c r="K140" s="498"/>
      <c r="L140" s="518">
        <f t="shared" si="18"/>
        <v>80.531423076923076</v>
      </c>
      <c r="M140" s="491"/>
    </row>
    <row r="141" spans="1:13">
      <c r="A141" s="489" t="s">
        <v>589</v>
      </c>
      <c r="B141" s="489" t="s">
        <v>481</v>
      </c>
      <c r="C141" s="489" t="s">
        <v>669</v>
      </c>
      <c r="D141" s="489" t="s">
        <v>670</v>
      </c>
      <c r="E141" s="490" t="s">
        <v>242</v>
      </c>
      <c r="F141" s="490" t="s">
        <v>660</v>
      </c>
      <c r="G141" s="491">
        <v>12453</v>
      </c>
      <c r="H141" s="498">
        <v>4090.91</v>
      </c>
      <c r="I141" s="518">
        <v>50944091</v>
      </c>
      <c r="J141" s="491" t="e">
        <v>#N/A</v>
      </c>
      <c r="K141" s="498"/>
      <c r="L141" s="518">
        <f t="shared" si="18"/>
        <v>1959.3881153846153</v>
      </c>
      <c r="M141" s="491"/>
    </row>
    <row r="142" spans="1:13">
      <c r="A142" s="489" t="s">
        <v>589</v>
      </c>
      <c r="B142" s="489" t="s">
        <v>481</v>
      </c>
      <c r="C142" s="489" t="s">
        <v>671</v>
      </c>
      <c r="D142" s="489" t="s">
        <v>672</v>
      </c>
      <c r="E142" s="490" t="s">
        <v>242</v>
      </c>
      <c r="F142" s="490" t="s">
        <v>660</v>
      </c>
      <c r="G142" s="491">
        <v>140</v>
      </c>
      <c r="H142" s="498">
        <v>3181.82</v>
      </c>
      <c r="I142" s="518">
        <v>445455</v>
      </c>
      <c r="J142" s="491" t="e">
        <v>#N/A</v>
      </c>
      <c r="K142" s="498"/>
      <c r="L142" s="518">
        <f t="shared" si="18"/>
        <v>17.132884615384615</v>
      </c>
      <c r="M142" s="491"/>
    </row>
    <row r="143" spans="1:13">
      <c r="A143" s="489" t="s">
        <v>589</v>
      </c>
      <c r="B143" s="489" t="s">
        <v>481</v>
      </c>
      <c r="C143" s="489" t="s">
        <v>673</v>
      </c>
      <c r="D143" s="489" t="s">
        <v>674</v>
      </c>
      <c r="E143" s="490" t="s">
        <v>242</v>
      </c>
      <c r="F143" s="490" t="s">
        <v>660</v>
      </c>
      <c r="G143" s="491">
        <v>106</v>
      </c>
      <c r="H143" s="498">
        <v>59090.91</v>
      </c>
      <c r="I143" s="518">
        <v>6263636</v>
      </c>
      <c r="J143" s="491" t="e">
        <v>#N/A</v>
      </c>
      <c r="K143" s="498"/>
      <c r="L143" s="518">
        <f t="shared" si="18"/>
        <v>240.90907692307692</v>
      </c>
      <c r="M143" s="491"/>
    </row>
    <row r="144" spans="1:13">
      <c r="A144" s="489" t="s">
        <v>589</v>
      </c>
      <c r="B144" s="489" t="s">
        <v>481</v>
      </c>
      <c r="C144" s="489" t="s">
        <v>675</v>
      </c>
      <c r="D144" s="489" t="s">
        <v>676</v>
      </c>
      <c r="E144" s="490" t="s">
        <v>242</v>
      </c>
      <c r="F144" s="490" t="s">
        <v>660</v>
      </c>
      <c r="G144" s="491">
        <v>17777</v>
      </c>
      <c r="H144" s="498">
        <v>18000</v>
      </c>
      <c r="I144" s="518">
        <v>319986000</v>
      </c>
      <c r="J144" s="491" t="e">
        <v>#N/A</v>
      </c>
      <c r="K144" s="498"/>
      <c r="L144" s="518">
        <f t="shared" si="18"/>
        <v>12307.153846153846</v>
      </c>
      <c r="M144" s="491"/>
    </row>
    <row r="145" spans="1:13">
      <c r="A145" s="489" t="s">
        <v>589</v>
      </c>
      <c r="B145" s="489" t="s">
        <v>481</v>
      </c>
      <c r="C145" s="489" t="s">
        <v>677</v>
      </c>
      <c r="D145" s="489" t="s">
        <v>678</v>
      </c>
      <c r="E145" s="490" t="s">
        <v>242</v>
      </c>
      <c r="F145" s="490" t="s">
        <v>660</v>
      </c>
      <c r="G145" s="491">
        <v>2885</v>
      </c>
      <c r="H145" s="498">
        <v>24545.45</v>
      </c>
      <c r="I145" s="518">
        <v>70813636</v>
      </c>
      <c r="J145" s="491" t="e">
        <v>#N/A</v>
      </c>
      <c r="K145" s="498"/>
      <c r="L145" s="518">
        <f t="shared" si="18"/>
        <v>2723.6013846153846</v>
      </c>
      <c r="M145" s="491"/>
    </row>
    <row r="146" spans="1:13">
      <c r="A146" s="489" t="s">
        <v>589</v>
      </c>
      <c r="B146" s="489" t="s">
        <v>481</v>
      </c>
      <c r="C146" s="489" t="s">
        <v>679</v>
      </c>
      <c r="D146" s="489" t="s">
        <v>680</v>
      </c>
      <c r="E146" s="490" t="s">
        <v>242</v>
      </c>
      <c r="F146" s="490" t="s">
        <v>660</v>
      </c>
      <c r="G146" s="491">
        <v>1323</v>
      </c>
      <c r="H146" s="498">
        <v>24545.46</v>
      </c>
      <c r="I146" s="518">
        <v>32473637</v>
      </c>
      <c r="J146" s="491" t="e">
        <v>#N/A</v>
      </c>
      <c r="K146" s="498"/>
      <c r="L146" s="518">
        <f t="shared" si="18"/>
        <v>1248.9860384615386</v>
      </c>
      <c r="M146" s="491"/>
    </row>
    <row r="147" spans="1:13">
      <c r="A147" s="489" t="s">
        <v>589</v>
      </c>
      <c r="B147" s="489" t="s">
        <v>481</v>
      </c>
      <c r="C147" s="489" t="s">
        <v>681</v>
      </c>
      <c r="D147" s="489" t="s">
        <v>682</v>
      </c>
      <c r="E147" s="490" t="s">
        <v>242</v>
      </c>
      <c r="F147" s="490" t="s">
        <v>660</v>
      </c>
      <c r="G147" s="491">
        <v>2098</v>
      </c>
      <c r="H147" s="492">
        <v>1818.52</v>
      </c>
      <c r="I147" s="518">
        <v>3815252</v>
      </c>
      <c r="J147" s="491" t="e">
        <v>#N/A</v>
      </c>
      <c r="K147" s="492"/>
      <c r="L147" s="518">
        <f t="shared" si="18"/>
        <v>146.74046153846155</v>
      </c>
      <c r="M147" s="491"/>
    </row>
    <row r="148" spans="1:13">
      <c r="A148" s="489" t="s">
        <v>589</v>
      </c>
      <c r="B148" s="489" t="s">
        <v>481</v>
      </c>
      <c r="C148" s="489" t="s">
        <v>683</v>
      </c>
      <c r="D148" s="489" t="s">
        <v>684</v>
      </c>
      <c r="E148" s="490" t="s">
        <v>242</v>
      </c>
      <c r="F148" s="490" t="s">
        <v>660</v>
      </c>
      <c r="G148" s="491">
        <v>4577</v>
      </c>
      <c r="H148" s="492">
        <v>7273.15</v>
      </c>
      <c r="I148" s="518">
        <v>33289199</v>
      </c>
      <c r="J148" s="491" t="e">
        <v>#N/A</v>
      </c>
      <c r="K148" s="492"/>
      <c r="L148" s="518">
        <f t="shared" si="18"/>
        <v>1280.3538076923078</v>
      </c>
      <c r="M148" s="491"/>
    </row>
    <row r="149" spans="1:13">
      <c r="A149" s="489" t="s">
        <v>589</v>
      </c>
      <c r="B149" s="489" t="s">
        <v>481</v>
      </c>
      <c r="C149" s="489" t="s">
        <v>685</v>
      </c>
      <c r="D149" s="489" t="s">
        <v>686</v>
      </c>
      <c r="E149" s="490" t="s">
        <v>242</v>
      </c>
      <c r="F149" s="490" t="s">
        <v>660</v>
      </c>
      <c r="G149" s="491">
        <v>6757</v>
      </c>
      <c r="H149" s="492">
        <v>4545.45</v>
      </c>
      <c r="I149" s="518">
        <v>30713636</v>
      </c>
      <c r="J149" s="491" t="e">
        <v>#N/A</v>
      </c>
      <c r="K149" s="492"/>
      <c r="L149" s="518">
        <f t="shared" si="18"/>
        <v>1181.2936923076923</v>
      </c>
      <c r="M149" s="491"/>
    </row>
    <row r="150" spans="1:13">
      <c r="A150" s="489" t="s">
        <v>589</v>
      </c>
      <c r="B150" s="489" t="s">
        <v>481</v>
      </c>
      <c r="C150" s="489" t="s">
        <v>687</v>
      </c>
      <c r="D150" s="489" t="s">
        <v>688</v>
      </c>
      <c r="E150" s="490" t="s">
        <v>242</v>
      </c>
      <c r="F150" s="490" t="s">
        <v>660</v>
      </c>
      <c r="G150" s="491">
        <v>66</v>
      </c>
      <c r="H150" s="492">
        <v>74545.45</v>
      </c>
      <c r="I150" s="518">
        <v>4920000</v>
      </c>
      <c r="J150" s="491" t="e">
        <v>#N/A</v>
      </c>
      <c r="K150" s="492"/>
      <c r="L150" s="518">
        <f t="shared" si="18"/>
        <v>189.23076923076923</v>
      </c>
      <c r="M150" s="491"/>
    </row>
    <row r="151" spans="1:13">
      <c r="A151" s="489" t="s">
        <v>589</v>
      </c>
      <c r="B151" s="489" t="s">
        <v>481</v>
      </c>
      <c r="C151" s="489" t="s">
        <v>689</v>
      </c>
      <c r="D151" s="489" t="s">
        <v>690</v>
      </c>
      <c r="E151" s="490" t="s">
        <v>242</v>
      </c>
      <c r="F151" s="490" t="s">
        <v>660</v>
      </c>
      <c r="G151" s="491">
        <v>146</v>
      </c>
      <c r="H151" s="492">
        <v>31000</v>
      </c>
      <c r="I151" s="518">
        <v>4526000</v>
      </c>
      <c r="J151" s="491" t="e">
        <v>#N/A</v>
      </c>
      <c r="K151" s="492"/>
      <c r="L151" s="518">
        <f t="shared" si="18"/>
        <v>174.07692307692307</v>
      </c>
      <c r="M151" s="491"/>
    </row>
    <row r="152" spans="1:13">
      <c r="A152" s="489" t="s">
        <v>589</v>
      </c>
      <c r="B152" s="489" t="s">
        <v>481</v>
      </c>
      <c r="C152" s="489" t="s">
        <v>691</v>
      </c>
      <c r="D152" s="489" t="s">
        <v>692</v>
      </c>
      <c r="E152" s="490" t="s">
        <v>242</v>
      </c>
      <c r="F152" s="490" t="s">
        <v>660</v>
      </c>
      <c r="G152" s="491">
        <v>9441</v>
      </c>
      <c r="H152" s="492">
        <v>28000</v>
      </c>
      <c r="I152" s="518">
        <v>264348000</v>
      </c>
      <c r="J152" s="491" t="e">
        <v>#N/A</v>
      </c>
      <c r="K152" s="492"/>
      <c r="L152" s="518">
        <f t="shared" si="18"/>
        <v>10167.23076923077</v>
      </c>
      <c r="M152" s="491"/>
    </row>
    <row r="153" spans="1:13">
      <c r="A153" s="489" t="s">
        <v>589</v>
      </c>
      <c r="B153" s="489" t="s">
        <v>251</v>
      </c>
      <c r="C153" s="489" t="s">
        <v>656</v>
      </c>
      <c r="D153" s="489" t="s">
        <v>657</v>
      </c>
      <c r="E153" s="490" t="s">
        <v>250</v>
      </c>
      <c r="F153" s="490" t="s">
        <v>693</v>
      </c>
      <c r="G153" s="491">
        <v>44444</v>
      </c>
      <c r="H153" s="492">
        <v>34545.449999999997</v>
      </c>
      <c r="I153" s="518">
        <v>1535338182</v>
      </c>
      <c r="J153" s="491" t="e">
        <v>#N/A</v>
      </c>
      <c r="K153" s="492"/>
      <c r="L153" s="518">
        <f t="shared" si="18"/>
        <v>59051.468538461537</v>
      </c>
      <c r="M153" s="491"/>
    </row>
    <row r="154" spans="1:13">
      <c r="A154" s="489" t="s">
        <v>594</v>
      </c>
      <c r="B154" s="489" t="s">
        <v>497</v>
      </c>
      <c r="C154" s="489" t="s">
        <v>695</v>
      </c>
      <c r="D154" s="489" t="s">
        <v>696</v>
      </c>
      <c r="E154" s="490" t="s">
        <v>496</v>
      </c>
      <c r="F154" s="490" t="s">
        <v>694</v>
      </c>
      <c r="G154" s="491">
        <v>704</v>
      </c>
      <c r="H154" s="492">
        <v>26000</v>
      </c>
      <c r="I154" s="518">
        <v>18304000</v>
      </c>
      <c r="J154" s="491" t="e">
        <v>#N/A</v>
      </c>
      <c r="K154" s="492"/>
      <c r="L154" s="518"/>
      <c r="M154" s="491"/>
    </row>
    <row r="155" spans="1:13">
      <c r="A155" s="499" t="s">
        <v>595</v>
      </c>
      <c r="B155" s="489" t="s">
        <v>470</v>
      </c>
      <c r="C155" s="489" t="s">
        <v>269</v>
      </c>
      <c r="D155" s="489" t="s">
        <v>270</v>
      </c>
      <c r="E155" s="490" t="s">
        <v>218</v>
      </c>
      <c r="F155" s="490" t="s">
        <v>697</v>
      </c>
      <c r="G155" s="491">
        <v>55296</v>
      </c>
      <c r="H155" s="492">
        <v>57431.34</v>
      </c>
      <c r="I155" s="518">
        <v>3175723584</v>
      </c>
      <c r="J155" s="491">
        <v>43965.395122834845</v>
      </c>
      <c r="K155" s="492">
        <f t="shared" ref="K155:K167" si="19">+G155*J155</f>
        <v>2431110488.7122755</v>
      </c>
      <c r="L155" s="518">
        <f t="shared" ref="L155:L167" si="20">+I155-K155</f>
        <v>744613095.28772449</v>
      </c>
      <c r="M155" s="491">
        <f>+I155/26000</f>
        <v>122143.21476923076</v>
      </c>
    </row>
    <row r="156" spans="1:13">
      <c r="A156" s="499" t="s">
        <v>595</v>
      </c>
      <c r="B156" s="489" t="s">
        <v>470</v>
      </c>
      <c r="C156" s="489" t="s">
        <v>295</v>
      </c>
      <c r="D156" s="489" t="s">
        <v>296</v>
      </c>
      <c r="E156" s="490" t="s">
        <v>218</v>
      </c>
      <c r="F156" s="490" t="s">
        <v>697</v>
      </c>
      <c r="G156" s="491">
        <v>3456</v>
      </c>
      <c r="H156" s="492">
        <v>59099</v>
      </c>
      <c r="I156" s="518">
        <v>204246144</v>
      </c>
      <c r="J156" s="491">
        <v>43107.556648437319</v>
      </c>
      <c r="K156" s="492">
        <f t="shared" si="19"/>
        <v>148979715.77699938</v>
      </c>
      <c r="L156" s="518">
        <f t="shared" si="20"/>
        <v>55266428.223000616</v>
      </c>
      <c r="M156" s="491">
        <f t="shared" ref="M156:M171" si="21">+I156/26000</f>
        <v>7855.6209230769227</v>
      </c>
    </row>
    <row r="157" spans="1:13">
      <c r="A157" s="499" t="s">
        <v>595</v>
      </c>
      <c r="B157" s="489" t="s">
        <v>470</v>
      </c>
      <c r="C157" s="489" t="s">
        <v>364</v>
      </c>
      <c r="D157" s="489" t="s">
        <v>365</v>
      </c>
      <c r="E157" s="490" t="s">
        <v>218</v>
      </c>
      <c r="F157" s="490" t="s">
        <v>697</v>
      </c>
      <c r="G157" s="491">
        <v>831</v>
      </c>
      <c r="H157" s="492">
        <v>48545.11</v>
      </c>
      <c r="I157" s="518">
        <v>40340989.799999997</v>
      </c>
      <c r="J157" s="491">
        <v>50272.998973915906</v>
      </c>
      <c r="K157" s="492">
        <f t="shared" si="19"/>
        <v>41776862.147324115</v>
      </c>
      <c r="L157" s="518">
        <f t="shared" si="20"/>
        <v>-1435872.347324118</v>
      </c>
      <c r="M157" s="491">
        <f t="shared" si="21"/>
        <v>1551.5765307692307</v>
      </c>
    </row>
    <row r="158" spans="1:13">
      <c r="A158" s="499" t="s">
        <v>595</v>
      </c>
      <c r="B158" s="489" t="s">
        <v>470</v>
      </c>
      <c r="C158" s="489" t="s">
        <v>330</v>
      </c>
      <c r="D158" s="489" t="s">
        <v>331</v>
      </c>
      <c r="E158" s="490" t="s">
        <v>218</v>
      </c>
      <c r="F158" s="490" t="s">
        <v>697</v>
      </c>
      <c r="G158" s="491">
        <v>171</v>
      </c>
      <c r="H158" s="492">
        <v>87764.6</v>
      </c>
      <c r="I158" s="518">
        <v>15007746.5</v>
      </c>
      <c r="J158" s="491">
        <v>12970.898448935595</v>
      </c>
      <c r="K158" s="492">
        <f t="shared" si="19"/>
        <v>2218023.6347679868</v>
      </c>
      <c r="L158" s="518">
        <f t="shared" si="20"/>
        <v>12789722.865232013</v>
      </c>
      <c r="M158" s="491">
        <f t="shared" si="21"/>
        <v>577.22101923076923</v>
      </c>
    </row>
    <row r="159" spans="1:13">
      <c r="A159" s="499" t="s">
        <v>595</v>
      </c>
      <c r="B159" s="489" t="s">
        <v>470</v>
      </c>
      <c r="C159" s="489" t="s">
        <v>261</v>
      </c>
      <c r="D159" s="489" t="s">
        <v>262</v>
      </c>
      <c r="E159" s="490" t="s">
        <v>218</v>
      </c>
      <c r="F159" s="490" t="s">
        <v>697</v>
      </c>
      <c r="G159" s="491">
        <v>24760</v>
      </c>
      <c r="H159" s="498">
        <v>109727.41</v>
      </c>
      <c r="I159" s="518">
        <v>2716850640</v>
      </c>
      <c r="J159" s="491">
        <v>94067.643291884786</v>
      </c>
      <c r="K159" s="498">
        <f t="shared" si="19"/>
        <v>2329114847.9070673</v>
      </c>
      <c r="L159" s="518">
        <f t="shared" si="20"/>
        <v>387735792.0929327</v>
      </c>
      <c r="M159" s="491">
        <f t="shared" si="21"/>
        <v>104494.25538461539</v>
      </c>
    </row>
    <row r="160" spans="1:13">
      <c r="A160" s="499" t="s">
        <v>595</v>
      </c>
      <c r="B160" s="489" t="s">
        <v>470</v>
      </c>
      <c r="C160" s="489" t="s">
        <v>285</v>
      </c>
      <c r="D160" s="489" t="s">
        <v>286</v>
      </c>
      <c r="E160" s="490" t="s">
        <v>218</v>
      </c>
      <c r="F160" s="490" t="s">
        <v>697</v>
      </c>
      <c r="G160" s="491">
        <v>151200</v>
      </c>
      <c r="H160" s="498">
        <v>22986.9</v>
      </c>
      <c r="I160" s="518">
        <v>3475619139.5999999</v>
      </c>
      <c r="J160" s="491">
        <v>8013.295954763993</v>
      </c>
      <c r="K160" s="498">
        <f t="shared" si="19"/>
        <v>1211610348.3603158</v>
      </c>
      <c r="L160" s="518">
        <f t="shared" si="20"/>
        <v>2264008791.2396841</v>
      </c>
      <c r="M160" s="491">
        <f t="shared" si="21"/>
        <v>133677.6592153846</v>
      </c>
    </row>
    <row r="161" spans="1:13">
      <c r="A161" s="499" t="s">
        <v>595</v>
      </c>
      <c r="B161" s="489" t="s">
        <v>470</v>
      </c>
      <c r="C161" s="489" t="s">
        <v>322</v>
      </c>
      <c r="D161" s="489" t="s">
        <v>323</v>
      </c>
      <c r="E161" s="490" t="s">
        <v>218</v>
      </c>
      <c r="F161" s="490" t="s">
        <v>697</v>
      </c>
      <c r="G161" s="491">
        <v>14100</v>
      </c>
      <c r="H161" s="498">
        <v>31892.18</v>
      </c>
      <c r="I161" s="518">
        <v>449679800</v>
      </c>
      <c r="J161" s="491">
        <v>20044.507861660531</v>
      </c>
      <c r="K161" s="498">
        <f t="shared" si="19"/>
        <v>282627560.84941351</v>
      </c>
      <c r="L161" s="518">
        <f t="shared" si="20"/>
        <v>167052239.15058649</v>
      </c>
      <c r="M161" s="491">
        <f t="shared" si="21"/>
        <v>17295.376923076925</v>
      </c>
    </row>
    <row r="162" spans="1:13">
      <c r="A162" s="499" t="s">
        <v>595</v>
      </c>
      <c r="B162" s="489" t="s">
        <v>470</v>
      </c>
      <c r="C162" s="489" t="s">
        <v>314</v>
      </c>
      <c r="D162" s="489" t="s">
        <v>529</v>
      </c>
      <c r="E162" s="490" t="s">
        <v>218</v>
      </c>
      <c r="F162" s="490" t="s">
        <v>697</v>
      </c>
      <c r="G162" s="491">
        <v>25920</v>
      </c>
      <c r="H162" s="498">
        <v>36999.279999999999</v>
      </c>
      <c r="I162" s="518">
        <v>959021424</v>
      </c>
      <c r="J162" s="491">
        <v>26590.460869059345</v>
      </c>
      <c r="K162" s="498">
        <f t="shared" si="19"/>
        <v>689224745.72601819</v>
      </c>
      <c r="L162" s="518">
        <f t="shared" si="20"/>
        <v>269796678.27398181</v>
      </c>
      <c r="M162" s="491">
        <f t="shared" si="21"/>
        <v>36885.439384615383</v>
      </c>
    </row>
    <row r="163" spans="1:13">
      <c r="A163" s="499" t="s">
        <v>595</v>
      </c>
      <c r="B163" s="489" t="s">
        <v>470</v>
      </c>
      <c r="C163" s="489" t="s">
        <v>271</v>
      </c>
      <c r="D163" s="489" t="s">
        <v>272</v>
      </c>
      <c r="E163" s="490" t="s">
        <v>218</v>
      </c>
      <c r="F163" s="490" t="s">
        <v>697</v>
      </c>
      <c r="G163" s="491">
        <v>27430</v>
      </c>
      <c r="H163" s="498">
        <v>86273.01</v>
      </c>
      <c r="I163" s="518">
        <v>2366468744.4000001</v>
      </c>
      <c r="J163" s="491">
        <v>57195.417652192446</v>
      </c>
      <c r="K163" s="498">
        <f t="shared" si="19"/>
        <v>1568870306.1996388</v>
      </c>
      <c r="L163" s="518">
        <f t="shared" si="20"/>
        <v>797598438.20036125</v>
      </c>
      <c r="M163" s="491">
        <f t="shared" si="21"/>
        <v>91018.028630769229</v>
      </c>
    </row>
    <row r="164" spans="1:13">
      <c r="A164" s="499" t="s">
        <v>595</v>
      </c>
      <c r="B164" s="489" t="s">
        <v>470</v>
      </c>
      <c r="C164" s="489" t="s">
        <v>265</v>
      </c>
      <c r="D164" s="489" t="s">
        <v>530</v>
      </c>
      <c r="E164" s="490" t="s">
        <v>218</v>
      </c>
      <c r="F164" s="490" t="s">
        <v>697</v>
      </c>
      <c r="G164" s="491">
        <v>37172</v>
      </c>
      <c r="H164" s="498">
        <v>87956.01</v>
      </c>
      <c r="I164" s="518">
        <v>3269500938.4000001</v>
      </c>
      <c r="J164" s="491">
        <v>57682.159158394534</v>
      </c>
      <c r="K164" s="498">
        <f t="shared" si="19"/>
        <v>2144161220.2358415</v>
      </c>
      <c r="L164" s="518">
        <f t="shared" si="20"/>
        <v>1125339718.1641586</v>
      </c>
      <c r="M164" s="491">
        <f t="shared" si="21"/>
        <v>125750.0360923077</v>
      </c>
    </row>
    <row r="165" spans="1:13">
      <c r="A165" s="499" t="s">
        <v>595</v>
      </c>
      <c r="B165" s="489" t="s">
        <v>470</v>
      </c>
      <c r="C165" s="489" t="s">
        <v>326</v>
      </c>
      <c r="D165" s="489" t="s">
        <v>327</v>
      </c>
      <c r="E165" s="490" t="s">
        <v>218</v>
      </c>
      <c r="F165" s="490" t="s">
        <v>697</v>
      </c>
      <c r="G165" s="491">
        <v>19440</v>
      </c>
      <c r="H165" s="492">
        <v>34956.129999999997</v>
      </c>
      <c r="I165" s="518">
        <v>679547232</v>
      </c>
      <c r="J165" s="491">
        <v>26207.482391397618</v>
      </c>
      <c r="K165" s="492">
        <f t="shared" si="19"/>
        <v>509473457.6887697</v>
      </c>
      <c r="L165" s="518">
        <f t="shared" si="20"/>
        <v>170073774.3112303</v>
      </c>
      <c r="M165" s="491">
        <f t="shared" si="21"/>
        <v>26136.432000000001</v>
      </c>
    </row>
    <row r="166" spans="1:13">
      <c r="A166" s="499" t="s">
        <v>595</v>
      </c>
      <c r="B166" s="489" t="s">
        <v>470</v>
      </c>
      <c r="C166" s="489" t="s">
        <v>302</v>
      </c>
      <c r="D166" s="489" t="s">
        <v>698</v>
      </c>
      <c r="E166" s="490" t="s">
        <v>218</v>
      </c>
      <c r="F166" s="490" t="s">
        <v>697</v>
      </c>
      <c r="G166" s="491">
        <v>4099</v>
      </c>
      <c r="H166" s="498">
        <v>40024</v>
      </c>
      <c r="I166" s="518">
        <v>164058392.40000001</v>
      </c>
      <c r="J166" s="491">
        <v>30677.582468921588</v>
      </c>
      <c r="K166" s="498">
        <f t="shared" si="19"/>
        <v>125747410.54010959</v>
      </c>
      <c r="L166" s="518">
        <f t="shared" si="20"/>
        <v>38310981.859890416</v>
      </c>
      <c r="M166" s="491">
        <f t="shared" si="21"/>
        <v>6309.9381692307697</v>
      </c>
    </row>
    <row r="167" spans="1:13">
      <c r="A167" s="499" t="s">
        <v>595</v>
      </c>
      <c r="B167" s="489" t="s">
        <v>470</v>
      </c>
      <c r="C167" s="489" t="s">
        <v>699</v>
      </c>
      <c r="D167" s="489" t="s">
        <v>700</v>
      </c>
      <c r="E167" s="490" t="s">
        <v>218</v>
      </c>
      <c r="F167" s="490" t="s">
        <v>697</v>
      </c>
      <c r="G167" s="491">
        <v>1</v>
      </c>
      <c r="H167" s="498">
        <v>468322703.5</v>
      </c>
      <c r="I167" s="518">
        <v>468322703.5</v>
      </c>
      <c r="J167" s="491">
        <v>65088300</v>
      </c>
      <c r="K167" s="498">
        <f t="shared" si="19"/>
        <v>65088300</v>
      </c>
      <c r="L167" s="518">
        <f t="shared" si="20"/>
        <v>403234403.5</v>
      </c>
      <c r="M167" s="491">
        <f t="shared" si="21"/>
        <v>18012.411673076924</v>
      </c>
    </row>
    <row r="168" spans="1:13">
      <c r="A168" s="489" t="s">
        <v>594</v>
      </c>
      <c r="B168" s="489" t="s">
        <v>470</v>
      </c>
      <c r="C168" s="489" t="s">
        <v>701</v>
      </c>
      <c r="D168" s="489" t="s">
        <v>702</v>
      </c>
      <c r="E168" s="490" t="s">
        <v>218</v>
      </c>
      <c r="F168" s="490" t="s">
        <v>697</v>
      </c>
      <c r="G168" s="491">
        <v>1</v>
      </c>
      <c r="H168" s="498">
        <v>503981889.5</v>
      </c>
      <c r="I168" s="518">
        <v>503981889.5</v>
      </c>
      <c r="J168" s="491" t="e">
        <v>#N/A</v>
      </c>
      <c r="K168" s="498"/>
      <c r="L168" s="518"/>
      <c r="M168" s="491">
        <f t="shared" si="21"/>
        <v>19383.918826923076</v>
      </c>
    </row>
    <row r="169" spans="1:13">
      <c r="A169" s="489" t="s">
        <v>594</v>
      </c>
      <c r="B169" s="489" t="s">
        <v>470</v>
      </c>
      <c r="C169" s="489" t="s">
        <v>703</v>
      </c>
      <c r="D169" s="489" t="s">
        <v>704</v>
      </c>
      <c r="E169" s="490" t="s">
        <v>218</v>
      </c>
      <c r="F169" s="490" t="s">
        <v>697</v>
      </c>
      <c r="G169" s="491">
        <v>1</v>
      </c>
      <c r="H169" s="498">
        <v>493498093</v>
      </c>
      <c r="I169" s="518">
        <v>493498093</v>
      </c>
      <c r="J169" s="491" t="e">
        <v>#N/A</v>
      </c>
      <c r="K169" s="498"/>
      <c r="L169" s="518"/>
      <c r="M169" s="491">
        <f t="shared" si="21"/>
        <v>18980.695884615383</v>
      </c>
    </row>
    <row r="170" spans="1:13">
      <c r="A170" s="499" t="s">
        <v>595</v>
      </c>
      <c r="B170" s="489" t="s">
        <v>472</v>
      </c>
      <c r="C170" s="489" t="s">
        <v>352</v>
      </c>
      <c r="D170" s="489" t="s">
        <v>353</v>
      </c>
      <c r="E170" s="490" t="s">
        <v>246</v>
      </c>
      <c r="F170" s="490" t="s">
        <v>705</v>
      </c>
      <c r="G170" s="491">
        <v>13608</v>
      </c>
      <c r="H170" s="498">
        <v>42705.599999999999</v>
      </c>
      <c r="I170" s="518">
        <v>581137804.79999995</v>
      </c>
      <c r="J170" s="491">
        <v>29838.231754766261</v>
      </c>
      <c r="K170" s="498">
        <f t="shared" ref="K170:K224" si="22">+G170*J170</f>
        <v>406038657.71885926</v>
      </c>
      <c r="L170" s="518">
        <f t="shared" ref="L170:L224" si="23">+I170-K170</f>
        <v>175099147.0811407</v>
      </c>
      <c r="M170" s="491">
        <f t="shared" si="21"/>
        <v>22351.45403076923</v>
      </c>
    </row>
    <row r="171" spans="1:13">
      <c r="A171" s="499" t="s">
        <v>595</v>
      </c>
      <c r="B171" s="489" t="s">
        <v>472</v>
      </c>
      <c r="C171" s="489" t="s">
        <v>706</v>
      </c>
      <c r="D171" s="489" t="s">
        <v>707</v>
      </c>
      <c r="E171" s="490" t="s">
        <v>246</v>
      </c>
      <c r="F171" s="490" t="s">
        <v>705</v>
      </c>
      <c r="G171" s="491">
        <v>504</v>
      </c>
      <c r="H171" s="498">
        <v>251471.68</v>
      </c>
      <c r="I171" s="518">
        <v>126741728</v>
      </c>
      <c r="J171" s="491">
        <v>71961.888874607204</v>
      </c>
      <c r="K171" s="498">
        <f t="shared" si="22"/>
        <v>36268791.992802031</v>
      </c>
      <c r="L171" s="518">
        <f t="shared" si="23"/>
        <v>90472936.007197976</v>
      </c>
      <c r="M171" s="491">
        <f t="shared" si="21"/>
        <v>4874.681846153846</v>
      </c>
    </row>
    <row r="172" spans="1:13">
      <c r="A172" s="499" t="s">
        <v>595</v>
      </c>
      <c r="B172" s="489" t="s">
        <v>473</v>
      </c>
      <c r="C172" s="489" t="s">
        <v>263</v>
      </c>
      <c r="D172" s="489" t="s">
        <v>264</v>
      </c>
      <c r="E172" s="490" t="s">
        <v>232</v>
      </c>
      <c r="F172" s="490" t="s">
        <v>708</v>
      </c>
      <c r="G172" s="491">
        <v>107520</v>
      </c>
      <c r="H172" s="498">
        <v>14828.21</v>
      </c>
      <c r="I172" s="518">
        <v>1594328924.1500001</v>
      </c>
      <c r="J172" s="491">
        <v>7856.3590051915535</v>
      </c>
      <c r="K172" s="498">
        <f t="shared" si="22"/>
        <v>844715720.23819578</v>
      </c>
      <c r="L172" s="518">
        <f t="shared" si="23"/>
        <v>749613203.91180432</v>
      </c>
      <c r="M172" s="491">
        <f>+I172/26000</f>
        <v>61320.343236538465</v>
      </c>
    </row>
    <row r="173" spans="1:13">
      <c r="A173" s="499" t="s">
        <v>595</v>
      </c>
      <c r="B173" s="489" t="s">
        <v>473</v>
      </c>
      <c r="C173" s="489" t="s">
        <v>291</v>
      </c>
      <c r="D173" s="489" t="s">
        <v>535</v>
      </c>
      <c r="E173" s="490" t="s">
        <v>232</v>
      </c>
      <c r="F173" s="490" t="s">
        <v>708</v>
      </c>
      <c r="G173" s="491">
        <v>51840</v>
      </c>
      <c r="H173" s="492">
        <v>29154.06</v>
      </c>
      <c r="I173" s="518">
        <v>1511346625.55</v>
      </c>
      <c r="J173" s="491">
        <v>12008.243155829989</v>
      </c>
      <c r="K173" s="492">
        <f t="shared" si="22"/>
        <v>622507325.19822657</v>
      </c>
      <c r="L173" s="518">
        <f t="shared" si="23"/>
        <v>888839300.35177338</v>
      </c>
      <c r="M173" s="491">
        <f t="shared" ref="M173:M184" si="24">+I173/26000</f>
        <v>58128.716367307694</v>
      </c>
    </row>
    <row r="174" spans="1:13">
      <c r="A174" s="499" t="s">
        <v>595</v>
      </c>
      <c r="B174" s="489" t="s">
        <v>473</v>
      </c>
      <c r="C174" s="489" t="s">
        <v>306</v>
      </c>
      <c r="D174" s="489" t="s">
        <v>307</v>
      </c>
      <c r="E174" s="490" t="s">
        <v>232</v>
      </c>
      <c r="F174" s="490" t="s">
        <v>708</v>
      </c>
      <c r="G174" s="491">
        <v>53760</v>
      </c>
      <c r="H174" s="498">
        <v>32576.43</v>
      </c>
      <c r="I174" s="518">
        <v>1751308745.5</v>
      </c>
      <c r="J174" s="491">
        <v>18747.73339994999</v>
      </c>
      <c r="K174" s="498">
        <f t="shared" si="22"/>
        <v>1007878147.5813115</v>
      </c>
      <c r="L174" s="518">
        <f t="shared" si="23"/>
        <v>743430597.91868854</v>
      </c>
      <c r="M174" s="491">
        <f t="shared" si="24"/>
        <v>67358.028673076929</v>
      </c>
    </row>
    <row r="175" spans="1:13">
      <c r="A175" s="499" t="s">
        <v>595</v>
      </c>
      <c r="B175" s="489" t="s">
        <v>825</v>
      </c>
      <c r="C175" s="489" t="s">
        <v>281</v>
      </c>
      <c r="D175" s="489" t="s">
        <v>282</v>
      </c>
      <c r="E175" s="490" t="s">
        <v>236</v>
      </c>
      <c r="F175" s="490" t="s">
        <v>709</v>
      </c>
      <c r="G175" s="491">
        <v>138240</v>
      </c>
      <c r="H175" s="498">
        <v>29786</v>
      </c>
      <c r="I175" s="518">
        <v>4117616002.3000002</v>
      </c>
      <c r="J175" s="491">
        <v>11680.164693517974</v>
      </c>
      <c r="K175" s="498">
        <f t="shared" si="22"/>
        <v>1614665967.2319248</v>
      </c>
      <c r="L175" s="518">
        <f t="shared" si="23"/>
        <v>2502950035.0680752</v>
      </c>
      <c r="M175" s="491">
        <f t="shared" si="24"/>
        <v>158369.84624230769</v>
      </c>
    </row>
    <row r="176" spans="1:13">
      <c r="A176" s="499" t="s">
        <v>595</v>
      </c>
      <c r="B176" s="489" t="s">
        <v>825</v>
      </c>
      <c r="C176" s="489" t="s">
        <v>279</v>
      </c>
      <c r="D176" s="489" t="s">
        <v>280</v>
      </c>
      <c r="E176" s="490" t="s">
        <v>236</v>
      </c>
      <c r="F176" s="490" t="s">
        <v>709</v>
      </c>
      <c r="G176" s="491">
        <v>138240</v>
      </c>
      <c r="H176" s="498">
        <v>45388.55</v>
      </c>
      <c r="I176" s="518">
        <v>6274513783.5500002</v>
      </c>
      <c r="J176" s="491">
        <v>27863.491506514078</v>
      </c>
      <c r="K176" s="498">
        <f t="shared" si="22"/>
        <v>3851849065.8605061</v>
      </c>
      <c r="L176" s="518">
        <f t="shared" si="23"/>
        <v>2422664717.6894941</v>
      </c>
      <c r="M176" s="491">
        <f t="shared" si="24"/>
        <v>241327.45321346156</v>
      </c>
    </row>
    <row r="177" spans="1:13">
      <c r="A177" s="499" t="s">
        <v>595</v>
      </c>
      <c r="B177" s="489" t="s">
        <v>474</v>
      </c>
      <c r="C177" s="489" t="s">
        <v>263</v>
      </c>
      <c r="D177" s="489" t="s">
        <v>264</v>
      </c>
      <c r="E177" s="490" t="s">
        <v>235</v>
      </c>
      <c r="F177" s="490" t="s">
        <v>710</v>
      </c>
      <c r="G177" s="491">
        <v>28800</v>
      </c>
      <c r="H177" s="498">
        <v>14958.67</v>
      </c>
      <c r="I177" s="518">
        <v>430809753.60000002</v>
      </c>
      <c r="J177" s="491">
        <v>7856.3590051915535</v>
      </c>
      <c r="K177" s="498">
        <f t="shared" si="22"/>
        <v>226263139.34951675</v>
      </c>
      <c r="L177" s="518">
        <f t="shared" si="23"/>
        <v>204546614.25048327</v>
      </c>
      <c r="M177" s="491">
        <f t="shared" si="24"/>
        <v>16569.605907692308</v>
      </c>
    </row>
    <row r="178" spans="1:13">
      <c r="A178" s="499" t="s">
        <v>595</v>
      </c>
      <c r="B178" s="489" t="s">
        <v>474</v>
      </c>
      <c r="C178" s="489" t="s">
        <v>281</v>
      </c>
      <c r="D178" s="489" t="s">
        <v>282</v>
      </c>
      <c r="E178" s="490" t="s">
        <v>235</v>
      </c>
      <c r="F178" s="490" t="s">
        <v>710</v>
      </c>
      <c r="G178" s="491">
        <v>17280</v>
      </c>
      <c r="H178" s="498">
        <v>35189.96</v>
      </c>
      <c r="I178" s="518">
        <v>608082552</v>
      </c>
      <c r="J178" s="491">
        <v>11680.164693517974</v>
      </c>
      <c r="K178" s="498">
        <f t="shared" si="22"/>
        <v>201833245.9039906</v>
      </c>
      <c r="L178" s="518">
        <f t="shared" si="23"/>
        <v>406249306.09600937</v>
      </c>
      <c r="M178" s="491">
        <f t="shared" si="24"/>
        <v>23387.790461538461</v>
      </c>
    </row>
    <row r="179" spans="1:13">
      <c r="A179" s="499" t="s">
        <v>595</v>
      </c>
      <c r="B179" s="489" t="s">
        <v>474</v>
      </c>
      <c r="C179" s="489" t="s">
        <v>279</v>
      </c>
      <c r="D179" s="489" t="s">
        <v>280</v>
      </c>
      <c r="E179" s="490" t="s">
        <v>235</v>
      </c>
      <c r="F179" s="490" t="s">
        <v>710</v>
      </c>
      <c r="G179" s="491">
        <v>17280</v>
      </c>
      <c r="H179" s="498">
        <v>49119.69</v>
      </c>
      <c r="I179" s="518">
        <v>848788163.10000002</v>
      </c>
      <c r="J179" s="491">
        <v>27863.491506514078</v>
      </c>
      <c r="K179" s="498">
        <f t="shared" si="22"/>
        <v>481481133.23256326</v>
      </c>
      <c r="L179" s="518">
        <f t="shared" si="23"/>
        <v>367307029.86743677</v>
      </c>
      <c r="M179" s="491">
        <f t="shared" si="24"/>
        <v>32645.698580769233</v>
      </c>
    </row>
    <row r="180" spans="1:13">
      <c r="A180" s="499" t="s">
        <v>595</v>
      </c>
      <c r="B180" s="489" t="s">
        <v>474</v>
      </c>
      <c r="C180" s="489" t="s">
        <v>316</v>
      </c>
      <c r="D180" s="489" t="s">
        <v>317</v>
      </c>
      <c r="E180" s="490" t="s">
        <v>235</v>
      </c>
      <c r="F180" s="490" t="s">
        <v>710</v>
      </c>
      <c r="G180" s="491">
        <v>11520</v>
      </c>
      <c r="H180" s="498">
        <v>35431.75</v>
      </c>
      <c r="I180" s="518">
        <v>408173792.05000001</v>
      </c>
      <c r="J180" s="491">
        <v>15301.02670954166</v>
      </c>
      <c r="K180" s="498">
        <f t="shared" si="22"/>
        <v>176267827.69391993</v>
      </c>
      <c r="L180" s="518">
        <f t="shared" si="23"/>
        <v>231905964.35608009</v>
      </c>
      <c r="M180" s="491">
        <f t="shared" si="24"/>
        <v>15698.992001923078</v>
      </c>
    </row>
    <row r="181" spans="1:13">
      <c r="A181" s="499" t="s">
        <v>595</v>
      </c>
      <c r="B181" s="489" t="s">
        <v>474</v>
      </c>
      <c r="C181" s="489" t="s">
        <v>297</v>
      </c>
      <c r="D181" s="489" t="s">
        <v>539</v>
      </c>
      <c r="E181" s="490" t="s">
        <v>235</v>
      </c>
      <c r="F181" s="490" t="s">
        <v>710</v>
      </c>
      <c r="G181" s="491">
        <v>11520</v>
      </c>
      <c r="H181" s="498">
        <v>31862.02</v>
      </c>
      <c r="I181" s="518">
        <v>367050515.30000001</v>
      </c>
      <c r="J181" s="491">
        <v>10924.300695781099</v>
      </c>
      <c r="K181" s="498">
        <f t="shared" si="22"/>
        <v>125847944.01539826</v>
      </c>
      <c r="L181" s="518">
        <f t="shared" si="23"/>
        <v>241202571.28460175</v>
      </c>
      <c r="M181" s="491">
        <f t="shared" si="24"/>
        <v>14117.327511538462</v>
      </c>
    </row>
    <row r="182" spans="1:13">
      <c r="A182" s="499" t="s">
        <v>595</v>
      </c>
      <c r="B182" s="489" t="s">
        <v>475</v>
      </c>
      <c r="C182" s="489" t="s">
        <v>263</v>
      </c>
      <c r="D182" s="489" t="s">
        <v>264</v>
      </c>
      <c r="E182" s="490" t="s">
        <v>241</v>
      </c>
      <c r="F182" s="490" t="s">
        <v>711</v>
      </c>
      <c r="G182" s="491">
        <v>43008</v>
      </c>
      <c r="H182" s="498">
        <v>15029.45</v>
      </c>
      <c r="I182" s="518">
        <v>646386416</v>
      </c>
      <c r="J182" s="491">
        <v>7856.3590051915535</v>
      </c>
      <c r="K182" s="498">
        <f t="shared" si="22"/>
        <v>337886288.09527832</v>
      </c>
      <c r="L182" s="518">
        <f t="shared" si="23"/>
        <v>308500127.90472168</v>
      </c>
      <c r="M182" s="491">
        <f t="shared" si="24"/>
        <v>24861.016</v>
      </c>
    </row>
    <row r="183" spans="1:13">
      <c r="A183" s="499" t="s">
        <v>595</v>
      </c>
      <c r="B183" s="489" t="s">
        <v>475</v>
      </c>
      <c r="C183" s="489" t="s">
        <v>310</v>
      </c>
      <c r="D183" s="489" t="s">
        <v>536</v>
      </c>
      <c r="E183" s="490" t="s">
        <v>241</v>
      </c>
      <c r="F183" s="490" t="s">
        <v>711</v>
      </c>
      <c r="G183" s="491">
        <v>10944</v>
      </c>
      <c r="H183" s="498">
        <v>96442.92</v>
      </c>
      <c r="I183" s="518">
        <v>1055471368.4</v>
      </c>
      <c r="J183" s="491">
        <v>71141.4196531614</v>
      </c>
      <c r="K183" s="498">
        <f t="shared" si="22"/>
        <v>778571696.68419838</v>
      </c>
      <c r="L183" s="518">
        <f t="shared" si="23"/>
        <v>276899671.7158016</v>
      </c>
      <c r="M183" s="491">
        <f t="shared" si="24"/>
        <v>40595.052630769227</v>
      </c>
    </row>
    <row r="184" spans="1:13">
      <c r="A184" s="499" t="s">
        <v>595</v>
      </c>
      <c r="B184" s="489" t="s">
        <v>475</v>
      </c>
      <c r="C184" s="489" t="s">
        <v>334</v>
      </c>
      <c r="D184" s="489" t="s">
        <v>335</v>
      </c>
      <c r="E184" s="490" t="s">
        <v>241</v>
      </c>
      <c r="F184" s="490" t="s">
        <v>711</v>
      </c>
      <c r="G184" s="491">
        <v>4032</v>
      </c>
      <c r="H184" s="498">
        <v>143592.19</v>
      </c>
      <c r="I184" s="518">
        <v>578963716.70000005</v>
      </c>
      <c r="J184" s="491">
        <v>91537.836542090299</v>
      </c>
      <c r="K184" s="498">
        <f t="shared" si="22"/>
        <v>369080556.93770808</v>
      </c>
      <c r="L184" s="518">
        <f t="shared" si="23"/>
        <v>209883159.76229197</v>
      </c>
      <c r="M184" s="491">
        <f t="shared" si="24"/>
        <v>22267.83525769231</v>
      </c>
    </row>
    <row r="185" spans="1:13">
      <c r="A185" s="499" t="s">
        <v>595</v>
      </c>
      <c r="B185" s="489" t="s">
        <v>471</v>
      </c>
      <c r="C185" s="489" t="s">
        <v>304</v>
      </c>
      <c r="D185" s="489" t="s">
        <v>305</v>
      </c>
      <c r="E185" s="490" t="s">
        <v>231</v>
      </c>
      <c r="F185" s="490" t="s">
        <v>712</v>
      </c>
      <c r="G185" s="491">
        <v>65000</v>
      </c>
      <c r="H185" s="498">
        <v>17986.189999999999</v>
      </c>
      <c r="I185" s="518">
        <v>1169102090</v>
      </c>
      <c r="J185" s="491">
        <v>11282.051846181261</v>
      </c>
      <c r="K185" s="498">
        <f t="shared" si="22"/>
        <v>733333370.00178194</v>
      </c>
      <c r="L185" s="518">
        <f t="shared" si="23"/>
        <v>435768719.99821806</v>
      </c>
      <c r="M185" s="491">
        <f t="shared" ref="M185:M186" si="25">+I185/26000</f>
        <v>44965.464999999997</v>
      </c>
    </row>
    <row r="186" spans="1:13">
      <c r="A186" s="499" t="s">
        <v>595</v>
      </c>
      <c r="B186" s="489" t="s">
        <v>471</v>
      </c>
      <c r="C186" s="489" t="s">
        <v>308</v>
      </c>
      <c r="D186" s="489" t="s">
        <v>309</v>
      </c>
      <c r="E186" s="490" t="s">
        <v>231</v>
      </c>
      <c r="F186" s="490" t="s">
        <v>712</v>
      </c>
      <c r="G186" s="491">
        <v>65000</v>
      </c>
      <c r="H186" s="498">
        <v>12660.81</v>
      </c>
      <c r="I186" s="518">
        <v>822952850</v>
      </c>
      <c r="J186" s="491">
        <v>8460.1518186116609</v>
      </c>
      <c r="K186" s="498">
        <f t="shared" si="22"/>
        <v>549909868.20975792</v>
      </c>
      <c r="L186" s="518">
        <f t="shared" si="23"/>
        <v>273042981.79024208</v>
      </c>
      <c r="M186" s="491">
        <f t="shared" si="25"/>
        <v>31652.032692307694</v>
      </c>
    </row>
    <row r="187" spans="1:13">
      <c r="A187" s="499" t="s">
        <v>595</v>
      </c>
      <c r="B187" s="489" t="s">
        <v>477</v>
      </c>
      <c r="C187" s="489" t="s">
        <v>267</v>
      </c>
      <c r="D187" s="489" t="s">
        <v>268</v>
      </c>
      <c r="E187" s="490" t="s">
        <v>222</v>
      </c>
      <c r="F187" s="490" t="s">
        <v>713</v>
      </c>
      <c r="G187" s="491">
        <v>48720</v>
      </c>
      <c r="H187" s="498">
        <v>108414.54</v>
      </c>
      <c r="I187" s="518">
        <v>5281956540</v>
      </c>
      <c r="J187" s="491">
        <v>63537.956913179885</v>
      </c>
      <c r="K187" s="498">
        <f t="shared" si="22"/>
        <v>3095569260.8101239</v>
      </c>
      <c r="L187" s="518">
        <f t="shared" si="23"/>
        <v>2186387279.1898761</v>
      </c>
      <c r="M187" s="491">
        <f>+I187/26000</f>
        <v>203152.1746153846</v>
      </c>
    </row>
    <row r="188" spans="1:13">
      <c r="A188" s="499" t="s">
        <v>595</v>
      </c>
      <c r="B188" s="489" t="s">
        <v>477</v>
      </c>
      <c r="C188" s="489" t="s">
        <v>299</v>
      </c>
      <c r="D188" s="489" t="s">
        <v>537</v>
      </c>
      <c r="E188" s="490" t="s">
        <v>222</v>
      </c>
      <c r="F188" s="490" t="s">
        <v>713</v>
      </c>
      <c r="G188" s="491">
        <v>69120</v>
      </c>
      <c r="H188" s="498">
        <v>64250.43</v>
      </c>
      <c r="I188" s="518">
        <v>4440989767.1999998</v>
      </c>
      <c r="J188" s="491">
        <v>23235.691123900739</v>
      </c>
      <c r="K188" s="498">
        <f t="shared" si="22"/>
        <v>1606050970.484019</v>
      </c>
      <c r="L188" s="518">
        <f t="shared" si="23"/>
        <v>2834938796.7159805</v>
      </c>
      <c r="M188" s="491">
        <f t="shared" ref="M188:M191" si="26">+I188/26000</f>
        <v>170807.29873846154</v>
      </c>
    </row>
    <row r="189" spans="1:13">
      <c r="A189" s="499" t="s">
        <v>595</v>
      </c>
      <c r="B189" s="489" t="s">
        <v>477</v>
      </c>
      <c r="C189" s="489" t="s">
        <v>277</v>
      </c>
      <c r="D189" s="489" t="s">
        <v>278</v>
      </c>
      <c r="E189" s="490" t="s">
        <v>222</v>
      </c>
      <c r="F189" s="490" t="s">
        <v>713</v>
      </c>
      <c r="G189" s="491">
        <v>44928</v>
      </c>
      <c r="H189" s="498">
        <v>70287.03</v>
      </c>
      <c r="I189" s="518">
        <v>3157855502.4000001</v>
      </c>
      <c r="J189" s="491">
        <v>56280.205047609568</v>
      </c>
      <c r="K189" s="498">
        <f t="shared" si="22"/>
        <v>2528557052.3790026</v>
      </c>
      <c r="L189" s="518">
        <f t="shared" si="23"/>
        <v>629298450.02099752</v>
      </c>
      <c r="M189" s="491">
        <f t="shared" si="26"/>
        <v>121455.98086153847</v>
      </c>
    </row>
    <row r="190" spans="1:13">
      <c r="A190" s="499" t="s">
        <v>595</v>
      </c>
      <c r="B190" s="489" t="s">
        <v>477</v>
      </c>
      <c r="C190" s="489" t="s">
        <v>283</v>
      </c>
      <c r="D190" s="489" t="s">
        <v>538</v>
      </c>
      <c r="E190" s="490" t="s">
        <v>222</v>
      </c>
      <c r="F190" s="490" t="s">
        <v>713</v>
      </c>
      <c r="G190" s="491">
        <v>84000</v>
      </c>
      <c r="H190" s="498">
        <v>50505.95</v>
      </c>
      <c r="I190" s="518">
        <v>4242499560</v>
      </c>
      <c r="J190" s="491">
        <v>40206.895176282029</v>
      </c>
      <c r="K190" s="498">
        <f t="shared" si="22"/>
        <v>3377379194.8076906</v>
      </c>
      <c r="L190" s="518">
        <f t="shared" si="23"/>
        <v>865120365.19230938</v>
      </c>
      <c r="M190" s="491">
        <f t="shared" si="26"/>
        <v>163173.06</v>
      </c>
    </row>
    <row r="191" spans="1:13">
      <c r="A191" s="499" t="s">
        <v>595</v>
      </c>
      <c r="B191" s="499" t="s">
        <v>478</v>
      </c>
      <c r="C191" s="499" t="s">
        <v>287</v>
      </c>
      <c r="D191" s="499" t="s">
        <v>288</v>
      </c>
      <c r="E191" s="496" t="s">
        <v>234</v>
      </c>
      <c r="F191" s="496" t="s">
        <v>714</v>
      </c>
      <c r="G191" s="497">
        <v>67200</v>
      </c>
      <c r="H191" s="498">
        <v>28821.79</v>
      </c>
      <c r="I191" s="517">
        <v>1936824134</v>
      </c>
      <c r="J191" s="497">
        <v>19736.619997078556</v>
      </c>
      <c r="K191" s="498">
        <f t="shared" si="22"/>
        <v>1326300863.803679</v>
      </c>
      <c r="L191" s="517">
        <f t="shared" si="23"/>
        <v>610523270.19632101</v>
      </c>
      <c r="M191" s="497">
        <f t="shared" si="26"/>
        <v>74493.235923076922</v>
      </c>
    </row>
    <row r="192" spans="1:13">
      <c r="A192" s="499" t="s">
        <v>595</v>
      </c>
      <c r="B192" s="489" t="s">
        <v>476</v>
      </c>
      <c r="C192" s="489" t="s">
        <v>316</v>
      </c>
      <c r="D192" s="489" t="s">
        <v>317</v>
      </c>
      <c r="E192" s="490" t="s">
        <v>245</v>
      </c>
      <c r="F192" s="490" t="s">
        <v>715</v>
      </c>
      <c r="G192" s="491">
        <v>44160</v>
      </c>
      <c r="H192" s="498">
        <v>35093.300000000003</v>
      </c>
      <c r="I192" s="518">
        <v>1549720128</v>
      </c>
      <c r="J192" s="491">
        <v>15301.02670954166</v>
      </c>
      <c r="K192" s="498">
        <f t="shared" si="22"/>
        <v>675693339.49335968</v>
      </c>
      <c r="L192" s="518">
        <f t="shared" si="23"/>
        <v>874026788.50664032</v>
      </c>
      <c r="M192" s="491">
        <f t="shared" ref="M192:M193" si="27">+I192/26000</f>
        <v>59604.620307692305</v>
      </c>
    </row>
    <row r="193" spans="1:13">
      <c r="A193" s="499" t="s">
        <v>595</v>
      </c>
      <c r="B193" s="489" t="s">
        <v>476</v>
      </c>
      <c r="C193" s="489" t="s">
        <v>297</v>
      </c>
      <c r="D193" s="489" t="s">
        <v>539</v>
      </c>
      <c r="E193" s="490" t="s">
        <v>245</v>
      </c>
      <c r="F193" s="490" t="s">
        <v>715</v>
      </c>
      <c r="G193" s="491">
        <v>44160</v>
      </c>
      <c r="H193" s="498">
        <v>30362.77</v>
      </c>
      <c r="I193" s="518">
        <v>1340819807</v>
      </c>
      <c r="J193" s="491">
        <v>10924.300695781099</v>
      </c>
      <c r="K193" s="498">
        <f t="shared" si="22"/>
        <v>482417118.72569335</v>
      </c>
      <c r="L193" s="518">
        <f t="shared" si="23"/>
        <v>858402688.27430665</v>
      </c>
      <c r="M193" s="491">
        <f t="shared" si="27"/>
        <v>51569.992576923076</v>
      </c>
    </row>
    <row r="194" spans="1:13">
      <c r="A194" s="499" t="s">
        <v>595</v>
      </c>
      <c r="B194" s="489" t="s">
        <v>469</v>
      </c>
      <c r="C194" s="489" t="s">
        <v>416</v>
      </c>
      <c r="D194" s="489" t="s">
        <v>417</v>
      </c>
      <c r="E194" s="490" t="s">
        <v>224</v>
      </c>
      <c r="F194" s="490" t="s">
        <v>716</v>
      </c>
      <c r="G194" s="491">
        <v>100</v>
      </c>
      <c r="H194" s="498">
        <v>105686.39999999999</v>
      </c>
      <c r="I194" s="518">
        <v>10568640</v>
      </c>
      <c r="J194" s="491">
        <v>64309.126346154073</v>
      </c>
      <c r="K194" s="498">
        <f t="shared" si="22"/>
        <v>6430912.6346154073</v>
      </c>
      <c r="L194" s="518">
        <f t="shared" si="23"/>
        <v>4137727.3653845927</v>
      </c>
      <c r="M194" s="491">
        <f>+I194/26000</f>
        <v>406.48615384615385</v>
      </c>
    </row>
    <row r="195" spans="1:13">
      <c r="A195" s="499" t="s">
        <v>595</v>
      </c>
      <c r="B195" s="489" t="s">
        <v>469</v>
      </c>
      <c r="C195" s="489" t="s">
        <v>717</v>
      </c>
      <c r="D195" s="489" t="s">
        <v>718</v>
      </c>
      <c r="E195" s="490" t="s">
        <v>224</v>
      </c>
      <c r="F195" s="490" t="s">
        <v>716</v>
      </c>
      <c r="G195" s="491">
        <v>40</v>
      </c>
      <c r="H195" s="498">
        <v>138490.4</v>
      </c>
      <c r="I195" s="518">
        <v>5539616</v>
      </c>
      <c r="J195" s="491">
        <v>23960.086266407139</v>
      </c>
      <c r="K195" s="498">
        <f t="shared" si="22"/>
        <v>958403.45065628551</v>
      </c>
      <c r="L195" s="518">
        <f t="shared" si="23"/>
        <v>4581212.5493437145</v>
      </c>
      <c r="M195" s="491">
        <f t="shared" ref="M195:M230" si="28">+I195/26000</f>
        <v>213.06215384615385</v>
      </c>
    </row>
    <row r="196" spans="1:13">
      <c r="A196" s="499" t="s">
        <v>595</v>
      </c>
      <c r="B196" s="489" t="s">
        <v>469</v>
      </c>
      <c r="C196" s="489" t="s">
        <v>410</v>
      </c>
      <c r="D196" s="489" t="s">
        <v>719</v>
      </c>
      <c r="E196" s="490" t="s">
        <v>224</v>
      </c>
      <c r="F196" s="490" t="s">
        <v>716</v>
      </c>
      <c r="G196" s="491">
        <v>1000</v>
      </c>
      <c r="H196" s="498">
        <v>16631.400000000001</v>
      </c>
      <c r="I196" s="518">
        <v>16631400</v>
      </c>
      <c r="J196" s="491">
        <v>10656.753184476496</v>
      </c>
      <c r="K196" s="498">
        <f t="shared" si="22"/>
        <v>10656753.184476497</v>
      </c>
      <c r="L196" s="518">
        <f t="shared" si="23"/>
        <v>5974646.8155235033</v>
      </c>
      <c r="M196" s="491">
        <f t="shared" si="28"/>
        <v>639.66923076923081</v>
      </c>
    </row>
    <row r="197" spans="1:13">
      <c r="A197" s="499" t="s">
        <v>595</v>
      </c>
      <c r="B197" s="489" t="s">
        <v>469</v>
      </c>
      <c r="C197" s="489" t="s">
        <v>720</v>
      </c>
      <c r="D197" s="489" t="s">
        <v>721</v>
      </c>
      <c r="E197" s="490" t="s">
        <v>224</v>
      </c>
      <c r="F197" s="490" t="s">
        <v>716</v>
      </c>
      <c r="G197" s="491">
        <v>800</v>
      </c>
      <c r="H197" s="498">
        <v>30909.3</v>
      </c>
      <c r="I197" s="518">
        <v>24727440</v>
      </c>
      <c r="J197" s="491">
        <v>3544.0221653174822</v>
      </c>
      <c r="K197" s="498">
        <f t="shared" si="22"/>
        <v>2835217.7322539859</v>
      </c>
      <c r="L197" s="518">
        <f t="shared" si="23"/>
        <v>21892222.267746013</v>
      </c>
      <c r="M197" s="491">
        <f t="shared" si="28"/>
        <v>951.05538461538458</v>
      </c>
    </row>
    <row r="198" spans="1:13">
      <c r="A198" s="499" t="s">
        <v>595</v>
      </c>
      <c r="B198" s="489" t="s">
        <v>469</v>
      </c>
      <c r="C198" s="489" t="s">
        <v>387</v>
      </c>
      <c r="D198" s="489" t="s">
        <v>388</v>
      </c>
      <c r="E198" s="490" t="s">
        <v>224</v>
      </c>
      <c r="F198" s="490" t="s">
        <v>716</v>
      </c>
      <c r="G198" s="491">
        <v>141</v>
      </c>
      <c r="H198" s="498">
        <v>60564.14</v>
      </c>
      <c r="I198" s="518">
        <v>8539544</v>
      </c>
      <c r="J198" s="491">
        <v>11623.740585267093</v>
      </c>
      <c r="K198" s="498">
        <f t="shared" si="22"/>
        <v>1638947.4225226601</v>
      </c>
      <c r="L198" s="518">
        <f t="shared" si="23"/>
        <v>6900596.5774773397</v>
      </c>
      <c r="M198" s="491">
        <f t="shared" si="28"/>
        <v>328.44400000000002</v>
      </c>
    </row>
    <row r="199" spans="1:13">
      <c r="A199" s="499" t="s">
        <v>595</v>
      </c>
      <c r="B199" s="489" t="s">
        <v>469</v>
      </c>
      <c r="C199" s="489" t="s">
        <v>722</v>
      </c>
      <c r="D199" s="489" t="s">
        <v>723</v>
      </c>
      <c r="E199" s="490" t="s">
        <v>224</v>
      </c>
      <c r="F199" s="490" t="s">
        <v>716</v>
      </c>
      <c r="G199" s="491">
        <v>1000</v>
      </c>
      <c r="H199" s="498">
        <v>24823.08</v>
      </c>
      <c r="I199" s="518">
        <v>24823080</v>
      </c>
      <c r="J199" s="491">
        <v>2604.3090226264471</v>
      </c>
      <c r="K199" s="498">
        <f t="shared" si="22"/>
        <v>2604309.022626447</v>
      </c>
      <c r="L199" s="518">
        <f t="shared" si="23"/>
        <v>22218770.977373552</v>
      </c>
      <c r="M199" s="491">
        <f t="shared" si="28"/>
        <v>954.73384615384612</v>
      </c>
    </row>
    <row r="200" spans="1:13">
      <c r="A200" s="499" t="s">
        <v>595</v>
      </c>
      <c r="B200" s="489" t="s">
        <v>469</v>
      </c>
      <c r="C200" s="489" t="s">
        <v>724</v>
      </c>
      <c r="D200" s="489" t="s">
        <v>725</v>
      </c>
      <c r="E200" s="490" t="s">
        <v>224</v>
      </c>
      <c r="F200" s="490" t="s">
        <v>716</v>
      </c>
      <c r="G200" s="491">
        <v>500</v>
      </c>
      <c r="H200" s="498">
        <v>24328.799999999999</v>
      </c>
      <c r="I200" s="518">
        <v>12164400</v>
      </c>
      <c r="J200" s="491">
        <v>830.75094752215307</v>
      </c>
      <c r="K200" s="498">
        <f t="shared" si="22"/>
        <v>415375.47376107652</v>
      </c>
      <c r="L200" s="518">
        <f t="shared" si="23"/>
        <v>11749024.526238924</v>
      </c>
      <c r="M200" s="491">
        <f t="shared" si="28"/>
        <v>467.86153846153849</v>
      </c>
    </row>
    <row r="201" spans="1:13">
      <c r="A201" s="499" t="s">
        <v>595</v>
      </c>
      <c r="B201" s="489" t="s">
        <v>469</v>
      </c>
      <c r="C201" s="489" t="s">
        <v>368</v>
      </c>
      <c r="D201" s="489" t="s">
        <v>369</v>
      </c>
      <c r="E201" s="490" t="s">
        <v>224</v>
      </c>
      <c r="F201" s="490" t="s">
        <v>716</v>
      </c>
      <c r="G201" s="491">
        <v>1000</v>
      </c>
      <c r="H201" s="498">
        <v>23744.2</v>
      </c>
      <c r="I201" s="518">
        <v>23744200</v>
      </c>
      <c r="J201" s="491">
        <v>18798.417131645889</v>
      </c>
      <c r="K201" s="498">
        <f t="shared" si="22"/>
        <v>18798417.131645888</v>
      </c>
      <c r="L201" s="518">
        <f t="shared" si="23"/>
        <v>4945782.8683541119</v>
      </c>
      <c r="M201" s="491">
        <f t="shared" si="28"/>
        <v>913.23846153846159</v>
      </c>
    </row>
    <row r="202" spans="1:13">
      <c r="A202" s="499" t="s">
        <v>595</v>
      </c>
      <c r="B202" s="489" t="s">
        <v>469</v>
      </c>
      <c r="C202" s="489" t="s">
        <v>356</v>
      </c>
      <c r="D202" s="489" t="s">
        <v>357</v>
      </c>
      <c r="E202" s="490" t="s">
        <v>224</v>
      </c>
      <c r="F202" s="490" t="s">
        <v>716</v>
      </c>
      <c r="G202" s="491">
        <v>524</v>
      </c>
      <c r="H202" s="498">
        <v>65738.95</v>
      </c>
      <c r="I202" s="518">
        <v>34447210.5</v>
      </c>
      <c r="J202" s="491">
        <v>40200.567900269139</v>
      </c>
      <c r="K202" s="498">
        <f t="shared" si="22"/>
        <v>21065097.579741031</v>
      </c>
      <c r="L202" s="518">
        <f t="shared" si="23"/>
        <v>13382112.920258969</v>
      </c>
      <c r="M202" s="491">
        <f t="shared" si="28"/>
        <v>1324.8927115384615</v>
      </c>
    </row>
    <row r="203" spans="1:13">
      <c r="A203" s="499" t="s">
        <v>595</v>
      </c>
      <c r="B203" s="489" t="s">
        <v>469</v>
      </c>
      <c r="C203" s="489" t="s">
        <v>341</v>
      </c>
      <c r="D203" s="489" t="s">
        <v>342</v>
      </c>
      <c r="E203" s="490" t="s">
        <v>224</v>
      </c>
      <c r="F203" s="490" t="s">
        <v>716</v>
      </c>
      <c r="G203" s="491">
        <v>16</v>
      </c>
      <c r="H203" s="498">
        <v>547058</v>
      </c>
      <c r="I203" s="518">
        <v>8752928</v>
      </c>
      <c r="J203" s="491">
        <v>36176.151609344153</v>
      </c>
      <c r="K203" s="498">
        <f t="shared" si="22"/>
        <v>578818.42574950645</v>
      </c>
      <c r="L203" s="518">
        <f t="shared" si="23"/>
        <v>8174109.5742504932</v>
      </c>
      <c r="M203" s="491">
        <f t="shared" si="28"/>
        <v>336.65107692307691</v>
      </c>
    </row>
    <row r="204" spans="1:13">
      <c r="A204" s="499" t="s">
        <v>595</v>
      </c>
      <c r="B204" s="489" t="s">
        <v>469</v>
      </c>
      <c r="C204" s="489" t="s">
        <v>346</v>
      </c>
      <c r="D204" s="489" t="s">
        <v>347</v>
      </c>
      <c r="E204" s="490" t="s">
        <v>224</v>
      </c>
      <c r="F204" s="490" t="s">
        <v>716</v>
      </c>
      <c r="G204" s="491">
        <v>135</v>
      </c>
      <c r="H204" s="498">
        <v>285803.68</v>
      </c>
      <c r="I204" s="518">
        <v>38583496.799999997</v>
      </c>
      <c r="J204" s="491">
        <v>137538.09916698313</v>
      </c>
      <c r="K204" s="498">
        <f t="shared" si="22"/>
        <v>18567643.387542721</v>
      </c>
      <c r="L204" s="518">
        <f t="shared" si="23"/>
        <v>20015853.412457276</v>
      </c>
      <c r="M204" s="491">
        <f t="shared" si="28"/>
        <v>1483.980646153846</v>
      </c>
    </row>
    <row r="205" spans="1:13">
      <c r="A205" s="499" t="s">
        <v>595</v>
      </c>
      <c r="B205" s="489" t="s">
        <v>469</v>
      </c>
      <c r="C205" s="489" t="s">
        <v>343</v>
      </c>
      <c r="D205" s="489" t="s">
        <v>344</v>
      </c>
      <c r="E205" s="490" t="s">
        <v>224</v>
      </c>
      <c r="F205" s="490" t="s">
        <v>716</v>
      </c>
      <c r="G205" s="491">
        <v>204</v>
      </c>
      <c r="H205" s="498">
        <v>242188.14</v>
      </c>
      <c r="I205" s="518">
        <v>49406380.5</v>
      </c>
      <c r="J205" s="491">
        <v>282909.78862972656</v>
      </c>
      <c r="K205" s="498">
        <f t="shared" si="22"/>
        <v>57713596.880464219</v>
      </c>
      <c r="L205" s="518">
        <f t="shared" si="23"/>
        <v>-8307216.3804642186</v>
      </c>
      <c r="M205" s="491">
        <f t="shared" si="28"/>
        <v>1900.2454038461537</v>
      </c>
    </row>
    <row r="206" spans="1:13">
      <c r="A206" s="499" t="s">
        <v>595</v>
      </c>
      <c r="B206" s="489" t="s">
        <v>469</v>
      </c>
      <c r="C206" s="489" t="s">
        <v>332</v>
      </c>
      <c r="D206" s="489" t="s">
        <v>333</v>
      </c>
      <c r="E206" s="490" t="s">
        <v>224</v>
      </c>
      <c r="F206" s="490" t="s">
        <v>716</v>
      </c>
      <c r="G206" s="491">
        <v>796</v>
      </c>
      <c r="H206" s="498">
        <v>376821.5</v>
      </c>
      <c r="I206" s="518">
        <v>299949914</v>
      </c>
      <c r="J206" s="491">
        <v>296165.75694022758</v>
      </c>
      <c r="K206" s="498">
        <f t="shared" si="22"/>
        <v>235747942.52442116</v>
      </c>
      <c r="L206" s="518">
        <f t="shared" si="23"/>
        <v>64201971.475578845</v>
      </c>
      <c r="M206" s="491">
        <f t="shared" si="28"/>
        <v>11536.535153846155</v>
      </c>
    </row>
    <row r="207" spans="1:13">
      <c r="A207" s="499" t="s">
        <v>595</v>
      </c>
      <c r="B207" s="489" t="s">
        <v>469</v>
      </c>
      <c r="C207" s="489" t="s">
        <v>328</v>
      </c>
      <c r="D207" s="489" t="s">
        <v>329</v>
      </c>
      <c r="E207" s="490" t="s">
        <v>224</v>
      </c>
      <c r="F207" s="490" t="s">
        <v>716</v>
      </c>
      <c r="G207" s="491">
        <v>1056</v>
      </c>
      <c r="H207" s="498">
        <v>24810.18</v>
      </c>
      <c r="I207" s="518">
        <v>26199553.199999999</v>
      </c>
      <c r="J207" s="491">
        <v>17818.661019349074</v>
      </c>
      <c r="K207" s="498">
        <f t="shared" si="22"/>
        <v>18816506.036432624</v>
      </c>
      <c r="L207" s="518">
        <f t="shared" si="23"/>
        <v>7383047.1635673754</v>
      </c>
      <c r="M207" s="491">
        <f t="shared" si="28"/>
        <v>1007.675123076923</v>
      </c>
    </row>
    <row r="208" spans="1:13">
      <c r="A208" s="499" t="s">
        <v>595</v>
      </c>
      <c r="B208" s="489" t="s">
        <v>469</v>
      </c>
      <c r="C208" s="489" t="s">
        <v>726</v>
      </c>
      <c r="D208" s="489" t="s">
        <v>727</v>
      </c>
      <c r="E208" s="490" t="s">
        <v>224</v>
      </c>
      <c r="F208" s="490" t="s">
        <v>716</v>
      </c>
      <c r="G208" s="491">
        <v>1000</v>
      </c>
      <c r="H208" s="498">
        <v>16046.28</v>
      </c>
      <c r="I208" s="518">
        <v>16046276</v>
      </c>
      <c r="J208" s="491">
        <v>9502.9236737623432</v>
      </c>
      <c r="K208" s="498">
        <f t="shared" si="22"/>
        <v>9502923.6737623438</v>
      </c>
      <c r="L208" s="518">
        <f t="shared" si="23"/>
        <v>6543352.3262376562</v>
      </c>
      <c r="M208" s="491">
        <f t="shared" si="28"/>
        <v>617.16446153846152</v>
      </c>
    </row>
    <row r="209" spans="1:13">
      <c r="A209" s="499" t="s">
        <v>595</v>
      </c>
      <c r="B209" s="489" t="s">
        <v>469</v>
      </c>
      <c r="C209" s="489" t="s">
        <v>393</v>
      </c>
      <c r="D209" s="489" t="s">
        <v>394</v>
      </c>
      <c r="E209" s="490" t="s">
        <v>224</v>
      </c>
      <c r="F209" s="490" t="s">
        <v>716</v>
      </c>
      <c r="G209" s="491">
        <v>2400</v>
      </c>
      <c r="H209" s="498">
        <v>21442.13</v>
      </c>
      <c r="I209" s="518">
        <v>51461107.200000003</v>
      </c>
      <c r="J209" s="491">
        <v>17800.895987615128</v>
      </c>
      <c r="K209" s="498">
        <f t="shared" si="22"/>
        <v>42722150.37027631</v>
      </c>
      <c r="L209" s="518">
        <f t="shared" si="23"/>
        <v>8738956.8297236934</v>
      </c>
      <c r="M209" s="491">
        <f t="shared" si="28"/>
        <v>1979.2733538461539</v>
      </c>
    </row>
    <row r="210" spans="1:13">
      <c r="A210" s="499" t="s">
        <v>595</v>
      </c>
      <c r="B210" s="489" t="s">
        <v>469</v>
      </c>
      <c r="C210" s="489" t="s">
        <v>395</v>
      </c>
      <c r="D210" s="489" t="s">
        <v>396</v>
      </c>
      <c r="E210" s="490" t="s">
        <v>224</v>
      </c>
      <c r="F210" s="490" t="s">
        <v>716</v>
      </c>
      <c r="G210" s="491">
        <v>2076</v>
      </c>
      <c r="H210" s="498">
        <v>67845.490000000005</v>
      </c>
      <c r="I210" s="518">
        <v>140847235.19999999</v>
      </c>
      <c r="J210" s="491">
        <v>41610.921021568574</v>
      </c>
      <c r="K210" s="498">
        <f t="shared" si="22"/>
        <v>86384272.040776357</v>
      </c>
      <c r="L210" s="518">
        <f t="shared" si="23"/>
        <v>54462963.159223631</v>
      </c>
      <c r="M210" s="491">
        <f t="shared" si="28"/>
        <v>5417.2013538461533</v>
      </c>
    </row>
    <row r="211" spans="1:13">
      <c r="A211" s="499" t="s">
        <v>595</v>
      </c>
      <c r="B211" s="489" t="s">
        <v>469</v>
      </c>
      <c r="C211" s="489" t="s">
        <v>414</v>
      </c>
      <c r="D211" s="489" t="s">
        <v>415</v>
      </c>
      <c r="E211" s="490" t="s">
        <v>224</v>
      </c>
      <c r="F211" s="490" t="s">
        <v>716</v>
      </c>
      <c r="G211" s="491">
        <v>200</v>
      </c>
      <c r="H211" s="498">
        <v>71912.5</v>
      </c>
      <c r="I211" s="518">
        <v>14382500</v>
      </c>
      <c r="J211" s="491">
        <v>2479.1634390549139</v>
      </c>
      <c r="K211" s="498">
        <f t="shared" si="22"/>
        <v>495832.68781098275</v>
      </c>
      <c r="L211" s="518">
        <f t="shared" si="23"/>
        <v>13886667.312189016</v>
      </c>
      <c r="M211" s="491">
        <f t="shared" si="28"/>
        <v>553.17307692307691</v>
      </c>
    </row>
    <row r="212" spans="1:13">
      <c r="A212" s="499" t="s">
        <v>595</v>
      </c>
      <c r="B212" s="489" t="s">
        <v>469</v>
      </c>
      <c r="C212" s="489" t="s">
        <v>498</v>
      </c>
      <c r="D212" s="489" t="s">
        <v>499</v>
      </c>
      <c r="E212" s="490" t="s">
        <v>224</v>
      </c>
      <c r="F212" s="490" t="s">
        <v>716</v>
      </c>
      <c r="G212" s="491">
        <v>5564</v>
      </c>
      <c r="H212" s="498">
        <v>21308.38</v>
      </c>
      <c r="I212" s="518">
        <v>118559832.3</v>
      </c>
      <c r="J212" s="491">
        <v>32953.702246541994</v>
      </c>
      <c r="K212" s="498">
        <f t="shared" si="22"/>
        <v>183354399.29975966</v>
      </c>
      <c r="L212" s="518">
        <f t="shared" si="23"/>
        <v>-64794566.999759659</v>
      </c>
      <c r="M212" s="491">
        <f t="shared" si="28"/>
        <v>4559.9935500000001</v>
      </c>
    </row>
    <row r="213" spans="1:13">
      <c r="A213" s="499" t="s">
        <v>595</v>
      </c>
      <c r="B213" s="489" t="s">
        <v>469</v>
      </c>
      <c r="C213" s="489" t="s">
        <v>464</v>
      </c>
      <c r="D213" s="489" t="s">
        <v>465</v>
      </c>
      <c r="E213" s="490" t="s">
        <v>224</v>
      </c>
      <c r="F213" s="490" t="s">
        <v>716</v>
      </c>
      <c r="G213" s="491">
        <v>6453</v>
      </c>
      <c r="H213" s="498">
        <v>29040.19</v>
      </c>
      <c r="I213" s="518">
        <v>187396362.40000001</v>
      </c>
      <c r="J213" s="491">
        <v>30078.308604328238</v>
      </c>
      <c r="K213" s="498">
        <f t="shared" si="22"/>
        <v>194095325.42373013</v>
      </c>
      <c r="L213" s="518">
        <f t="shared" si="23"/>
        <v>-6698963.023730129</v>
      </c>
      <c r="M213" s="491">
        <f t="shared" si="28"/>
        <v>7207.5524000000005</v>
      </c>
    </row>
    <row r="214" spans="1:13">
      <c r="A214" s="499" t="s">
        <v>595</v>
      </c>
      <c r="B214" s="489" t="s">
        <v>469</v>
      </c>
      <c r="C214" s="489" t="s">
        <v>466</v>
      </c>
      <c r="D214" s="489" t="s">
        <v>467</v>
      </c>
      <c r="E214" s="490" t="s">
        <v>224</v>
      </c>
      <c r="F214" s="490" t="s">
        <v>716</v>
      </c>
      <c r="G214" s="491">
        <v>4730</v>
      </c>
      <c r="H214" s="498">
        <v>36985.980000000003</v>
      </c>
      <c r="I214" s="518">
        <v>174943684.80000001</v>
      </c>
      <c r="J214" s="491">
        <v>56497.219013093352</v>
      </c>
      <c r="K214" s="498">
        <f t="shared" si="22"/>
        <v>267231845.93193156</v>
      </c>
      <c r="L214" s="518">
        <f t="shared" si="23"/>
        <v>-92288161.131931543</v>
      </c>
      <c r="M214" s="491">
        <f t="shared" si="28"/>
        <v>6728.603261538462</v>
      </c>
    </row>
    <row r="215" spans="1:13">
      <c r="A215" s="499" t="s">
        <v>595</v>
      </c>
      <c r="B215" s="489" t="s">
        <v>469</v>
      </c>
      <c r="C215" s="489" t="s">
        <v>543</v>
      </c>
      <c r="D215" s="489" t="s">
        <v>544</v>
      </c>
      <c r="E215" s="490" t="s">
        <v>224</v>
      </c>
      <c r="F215" s="490" t="s">
        <v>716</v>
      </c>
      <c r="G215" s="491">
        <v>150</v>
      </c>
      <c r="H215" s="498">
        <v>82111</v>
      </c>
      <c r="I215" s="518">
        <v>12316650</v>
      </c>
      <c r="J215" s="491">
        <v>48555.249406150513</v>
      </c>
      <c r="K215" s="498">
        <f t="shared" si="22"/>
        <v>7283287.4109225767</v>
      </c>
      <c r="L215" s="518">
        <f t="shared" si="23"/>
        <v>5033362.5890774233</v>
      </c>
      <c r="M215" s="491">
        <f t="shared" si="28"/>
        <v>473.71730769230771</v>
      </c>
    </row>
    <row r="216" spans="1:13">
      <c r="A216" s="499" t="s">
        <v>595</v>
      </c>
      <c r="B216" s="489" t="s">
        <v>469</v>
      </c>
      <c r="C216" s="489" t="s">
        <v>545</v>
      </c>
      <c r="D216" s="489" t="s">
        <v>546</v>
      </c>
      <c r="E216" s="490" t="s">
        <v>224</v>
      </c>
      <c r="F216" s="490" t="s">
        <v>716</v>
      </c>
      <c r="G216" s="491">
        <v>93</v>
      </c>
      <c r="H216" s="498">
        <v>82111</v>
      </c>
      <c r="I216" s="518">
        <v>7636323</v>
      </c>
      <c r="J216" s="491">
        <v>279547.36782322318</v>
      </c>
      <c r="K216" s="498">
        <f t="shared" si="22"/>
        <v>25997905.207559757</v>
      </c>
      <c r="L216" s="518">
        <f t="shared" si="23"/>
        <v>-18361582.207559757</v>
      </c>
      <c r="M216" s="491">
        <f t="shared" si="28"/>
        <v>293.70473076923076</v>
      </c>
    </row>
    <row r="217" spans="1:13">
      <c r="A217" s="499" t="s">
        <v>595</v>
      </c>
      <c r="B217" s="489" t="s">
        <v>469</v>
      </c>
      <c r="C217" s="489" t="s">
        <v>547</v>
      </c>
      <c r="D217" s="489" t="s">
        <v>548</v>
      </c>
      <c r="E217" s="490" t="s">
        <v>224</v>
      </c>
      <c r="F217" s="490" t="s">
        <v>716</v>
      </c>
      <c r="G217" s="491">
        <v>435</v>
      </c>
      <c r="H217" s="498">
        <v>84203</v>
      </c>
      <c r="I217" s="518">
        <v>36628305</v>
      </c>
      <c r="J217" s="491">
        <v>115272.42067334871</v>
      </c>
      <c r="K217" s="498">
        <f t="shared" si="22"/>
        <v>50143502.99290669</v>
      </c>
      <c r="L217" s="518">
        <f t="shared" si="23"/>
        <v>-13515197.99290669</v>
      </c>
      <c r="M217" s="491">
        <f t="shared" si="28"/>
        <v>1408.7809615384615</v>
      </c>
    </row>
    <row r="218" spans="1:13">
      <c r="A218" s="499" t="s">
        <v>595</v>
      </c>
      <c r="B218" s="489" t="s">
        <v>469</v>
      </c>
      <c r="C218" s="489" t="s">
        <v>549</v>
      </c>
      <c r="D218" s="489" t="s">
        <v>550</v>
      </c>
      <c r="E218" s="490" t="s">
        <v>224</v>
      </c>
      <c r="F218" s="490" t="s">
        <v>716</v>
      </c>
      <c r="G218" s="491">
        <v>515</v>
      </c>
      <c r="H218" s="498">
        <v>62760</v>
      </c>
      <c r="I218" s="518">
        <v>32321400</v>
      </c>
      <c r="J218" s="491">
        <v>9294.6260078896594</v>
      </c>
      <c r="K218" s="498">
        <f t="shared" si="22"/>
        <v>4786732.3940631747</v>
      </c>
      <c r="L218" s="518">
        <f t="shared" si="23"/>
        <v>27534667.605936825</v>
      </c>
      <c r="M218" s="491">
        <f t="shared" si="28"/>
        <v>1243.1307692307691</v>
      </c>
    </row>
    <row r="219" spans="1:13">
      <c r="A219" s="499" t="s">
        <v>595</v>
      </c>
      <c r="B219" s="489" t="s">
        <v>469</v>
      </c>
      <c r="C219" s="489" t="s">
        <v>551</v>
      </c>
      <c r="D219" s="489" t="s">
        <v>552</v>
      </c>
      <c r="E219" s="490" t="s">
        <v>224</v>
      </c>
      <c r="F219" s="490" t="s">
        <v>716</v>
      </c>
      <c r="G219" s="491">
        <v>255</v>
      </c>
      <c r="H219" s="498">
        <v>91002</v>
      </c>
      <c r="I219" s="518">
        <v>23205510</v>
      </c>
      <c r="J219" s="491">
        <v>88527.002939465034</v>
      </c>
      <c r="K219" s="498">
        <f t="shared" si="22"/>
        <v>22574385.749563582</v>
      </c>
      <c r="L219" s="518">
        <f t="shared" si="23"/>
        <v>631124.25043641776</v>
      </c>
      <c r="M219" s="491">
        <f t="shared" si="28"/>
        <v>892.51961538461535</v>
      </c>
    </row>
    <row r="220" spans="1:13">
      <c r="A220" s="499" t="s">
        <v>595</v>
      </c>
      <c r="B220" s="489" t="s">
        <v>469</v>
      </c>
      <c r="C220" s="489" t="s">
        <v>553</v>
      </c>
      <c r="D220" s="489" t="s">
        <v>554</v>
      </c>
      <c r="E220" s="490" t="s">
        <v>224</v>
      </c>
      <c r="F220" s="490" t="s">
        <v>716</v>
      </c>
      <c r="G220" s="491">
        <v>225</v>
      </c>
      <c r="H220" s="498">
        <v>69698.47</v>
      </c>
      <c r="I220" s="518">
        <v>15682155</v>
      </c>
      <c r="J220" s="491">
        <v>78170.631786695129</v>
      </c>
      <c r="K220" s="498">
        <f t="shared" si="22"/>
        <v>17588392.152006403</v>
      </c>
      <c r="L220" s="518">
        <f t="shared" si="23"/>
        <v>-1906237.1520064026</v>
      </c>
      <c r="M220" s="491">
        <f t="shared" si="28"/>
        <v>603.15980769230771</v>
      </c>
    </row>
    <row r="221" spans="1:13">
      <c r="A221" s="499" t="s">
        <v>595</v>
      </c>
      <c r="B221" s="489" t="s">
        <v>469</v>
      </c>
      <c r="C221" s="489" t="s">
        <v>555</v>
      </c>
      <c r="D221" s="489" t="s">
        <v>556</v>
      </c>
      <c r="E221" s="490" t="s">
        <v>224</v>
      </c>
      <c r="F221" s="490" t="s">
        <v>716</v>
      </c>
      <c r="G221" s="491">
        <v>225</v>
      </c>
      <c r="H221" s="498">
        <v>69698.47</v>
      </c>
      <c r="I221" s="518">
        <v>15682155</v>
      </c>
      <c r="J221" s="491">
        <v>78175.09370903243</v>
      </c>
      <c r="K221" s="498">
        <f t="shared" si="22"/>
        <v>17589396.084532298</v>
      </c>
      <c r="L221" s="518">
        <f t="shared" si="23"/>
        <v>-1907241.0845322981</v>
      </c>
      <c r="M221" s="491">
        <f t="shared" si="28"/>
        <v>603.15980769230771</v>
      </c>
    </row>
    <row r="222" spans="1:13">
      <c r="A222" s="499" t="s">
        <v>595</v>
      </c>
      <c r="B222" s="489" t="s">
        <v>469</v>
      </c>
      <c r="C222" s="489" t="s">
        <v>557</v>
      </c>
      <c r="D222" s="489" t="s">
        <v>558</v>
      </c>
      <c r="E222" s="490" t="s">
        <v>224</v>
      </c>
      <c r="F222" s="490" t="s">
        <v>716</v>
      </c>
      <c r="G222" s="491">
        <v>58</v>
      </c>
      <c r="H222" s="498">
        <v>3333390.52</v>
      </c>
      <c r="I222" s="518">
        <v>193336650</v>
      </c>
      <c r="J222" s="491">
        <v>4137652.4915142288</v>
      </c>
      <c r="K222" s="498">
        <f t="shared" si="22"/>
        <v>239983844.50782526</v>
      </c>
      <c r="L222" s="518">
        <f t="shared" si="23"/>
        <v>-46647194.507825255</v>
      </c>
      <c r="M222" s="491">
        <f t="shared" si="28"/>
        <v>7436.0249999999996</v>
      </c>
    </row>
    <row r="223" spans="1:13">
      <c r="A223" s="499" t="s">
        <v>595</v>
      </c>
      <c r="B223" s="489" t="s">
        <v>469</v>
      </c>
      <c r="C223" s="489" t="s">
        <v>559</v>
      </c>
      <c r="D223" s="489" t="s">
        <v>560</v>
      </c>
      <c r="E223" s="490" t="s">
        <v>224</v>
      </c>
      <c r="F223" s="490" t="s">
        <v>716</v>
      </c>
      <c r="G223" s="491">
        <v>58</v>
      </c>
      <c r="H223" s="498">
        <v>3134591.38</v>
      </c>
      <c r="I223" s="518">
        <v>181806300</v>
      </c>
      <c r="J223" s="491">
        <v>3008212.3681998011</v>
      </c>
      <c r="K223" s="498">
        <f t="shared" si="22"/>
        <v>174476317.35558847</v>
      </c>
      <c r="L223" s="518">
        <f t="shared" si="23"/>
        <v>7329982.6444115341</v>
      </c>
      <c r="M223" s="491">
        <f t="shared" si="28"/>
        <v>6992.55</v>
      </c>
    </row>
    <row r="224" spans="1:13">
      <c r="A224" s="499" t="s">
        <v>595</v>
      </c>
      <c r="B224" s="489" t="s">
        <v>469</v>
      </c>
      <c r="C224" s="489" t="s">
        <v>728</v>
      </c>
      <c r="D224" s="489" t="s">
        <v>729</v>
      </c>
      <c r="E224" s="490" t="s">
        <v>224</v>
      </c>
      <c r="F224" s="490" t="s">
        <v>716</v>
      </c>
      <c r="G224" s="491">
        <v>200</v>
      </c>
      <c r="H224" s="498">
        <v>25888.5</v>
      </c>
      <c r="I224" s="518">
        <v>5177700</v>
      </c>
      <c r="J224" s="491">
        <v>74567.979614233758</v>
      </c>
      <c r="K224" s="498">
        <f t="shared" si="22"/>
        <v>14913595.922846751</v>
      </c>
      <c r="L224" s="518">
        <f t="shared" si="23"/>
        <v>-9735895.9228467513</v>
      </c>
      <c r="M224" s="491">
        <f t="shared" si="28"/>
        <v>199.1423076923077</v>
      </c>
    </row>
    <row r="225" spans="1:16">
      <c r="A225" s="489" t="s">
        <v>594</v>
      </c>
      <c r="B225" s="489" t="s">
        <v>469</v>
      </c>
      <c r="C225" s="489" t="s">
        <v>730</v>
      </c>
      <c r="D225" s="489" t="s">
        <v>731</v>
      </c>
      <c r="E225" s="490" t="s">
        <v>224</v>
      </c>
      <c r="F225" s="490" t="s">
        <v>716</v>
      </c>
      <c r="G225" s="491">
        <v>1000</v>
      </c>
      <c r="H225" s="498">
        <v>9940.7999999999993</v>
      </c>
      <c r="I225" s="518">
        <v>9940800</v>
      </c>
      <c r="J225" s="491" t="e">
        <v>#N/A</v>
      </c>
      <c r="K225" s="498"/>
      <c r="L225" s="518"/>
      <c r="M225" s="491">
        <f t="shared" si="28"/>
        <v>382.33846153846156</v>
      </c>
    </row>
    <row r="226" spans="1:16">
      <c r="A226" s="489" t="s">
        <v>594</v>
      </c>
      <c r="B226" s="499" t="s">
        <v>469</v>
      </c>
      <c r="C226" s="499" t="s">
        <v>581</v>
      </c>
      <c r="D226" s="499" t="s">
        <v>582</v>
      </c>
      <c r="E226" s="496" t="s">
        <v>224</v>
      </c>
      <c r="F226" s="496" t="s">
        <v>716</v>
      </c>
      <c r="G226" s="497">
        <v>210</v>
      </c>
      <c r="H226" s="498">
        <v>11401.4</v>
      </c>
      <c r="I226" s="517">
        <v>2394294</v>
      </c>
      <c r="J226" s="497" t="e">
        <v>#N/A</v>
      </c>
      <c r="K226" s="498"/>
      <c r="L226" s="517"/>
      <c r="M226" s="497">
        <f t="shared" si="28"/>
        <v>92.088230769230776</v>
      </c>
    </row>
    <row r="227" spans="1:16">
      <c r="A227" s="489" t="s">
        <v>594</v>
      </c>
      <c r="B227" s="489" t="s">
        <v>469</v>
      </c>
      <c r="C227" s="489" t="s">
        <v>583</v>
      </c>
      <c r="D227" s="489" t="s">
        <v>584</v>
      </c>
      <c r="E227" s="490" t="s">
        <v>224</v>
      </c>
      <c r="F227" s="490" t="s">
        <v>716</v>
      </c>
      <c r="G227" s="491">
        <v>210</v>
      </c>
      <c r="H227" s="498">
        <v>31903</v>
      </c>
      <c r="I227" s="518">
        <v>6699630</v>
      </c>
      <c r="J227" s="491" t="e">
        <v>#N/A</v>
      </c>
      <c r="K227" s="498"/>
      <c r="L227" s="518"/>
      <c r="M227" s="491">
        <f t="shared" si="28"/>
        <v>257.6780769230769</v>
      </c>
    </row>
    <row r="228" spans="1:16">
      <c r="A228" s="499" t="s">
        <v>595</v>
      </c>
      <c r="B228" s="489" t="s">
        <v>480</v>
      </c>
      <c r="C228" s="489" t="s">
        <v>733</v>
      </c>
      <c r="D228" s="489" t="s">
        <v>734</v>
      </c>
      <c r="E228" s="490" t="s">
        <v>495</v>
      </c>
      <c r="F228" s="490" t="s">
        <v>732</v>
      </c>
      <c r="G228" s="491">
        <v>150</v>
      </c>
      <c r="H228" s="498">
        <v>419083</v>
      </c>
      <c r="I228" s="518">
        <v>62862450</v>
      </c>
      <c r="J228" s="491">
        <v>3489.5583869181</v>
      </c>
      <c r="K228" s="498">
        <f>+G228*J228</f>
        <v>523433.75803771499</v>
      </c>
      <c r="L228" s="518">
        <f>+I228-K228</f>
        <v>62339016.241962284</v>
      </c>
      <c r="M228" s="491">
        <f t="shared" si="28"/>
        <v>2417.7865384615384</v>
      </c>
    </row>
    <row r="229" spans="1:16">
      <c r="A229" s="489" t="s">
        <v>594</v>
      </c>
      <c r="B229" s="489" t="s">
        <v>480</v>
      </c>
      <c r="C229" s="489" t="s">
        <v>735</v>
      </c>
      <c r="D229" s="489" t="s">
        <v>736</v>
      </c>
      <c r="E229" s="490" t="s">
        <v>495</v>
      </c>
      <c r="F229" s="490" t="s">
        <v>732</v>
      </c>
      <c r="G229" s="491">
        <v>150</v>
      </c>
      <c r="H229" s="498">
        <v>1929343.6</v>
      </c>
      <c r="I229" s="518">
        <v>289401540</v>
      </c>
      <c r="J229" s="491" t="e">
        <v>#N/A</v>
      </c>
      <c r="K229" s="498"/>
      <c r="L229" s="518"/>
      <c r="M229" s="491">
        <f t="shared" si="28"/>
        <v>11130.828461538462</v>
      </c>
    </row>
    <row r="230" spans="1:16">
      <c r="A230" s="489" t="s">
        <v>594</v>
      </c>
      <c r="B230" s="489" t="s">
        <v>480</v>
      </c>
      <c r="C230" s="489" t="s">
        <v>737</v>
      </c>
      <c r="D230" s="489" t="s">
        <v>738</v>
      </c>
      <c r="E230" s="490" t="s">
        <v>495</v>
      </c>
      <c r="F230" s="490" t="s">
        <v>732</v>
      </c>
      <c r="G230" s="491">
        <v>150</v>
      </c>
      <c r="H230" s="498">
        <v>1725789</v>
      </c>
      <c r="I230" s="518">
        <v>258868350</v>
      </c>
      <c r="J230" s="491" t="e">
        <v>#N/A</v>
      </c>
      <c r="K230" s="498"/>
      <c r="L230" s="518"/>
      <c r="M230" s="491">
        <f t="shared" si="28"/>
        <v>9956.4750000000004</v>
      </c>
    </row>
    <row r="231" spans="1:16" s="551" customFormat="1">
      <c r="A231" s="546" t="s">
        <v>6</v>
      </c>
      <c r="B231" s="546"/>
      <c r="C231" s="546" t="s">
        <v>6</v>
      </c>
      <c r="D231" s="546" t="s">
        <v>6</v>
      </c>
      <c r="E231" s="547" t="s">
        <v>6</v>
      </c>
      <c r="F231" s="547" t="s">
        <v>6</v>
      </c>
      <c r="G231" s="547">
        <v>3431682</v>
      </c>
      <c r="H231" s="548" t="s">
        <v>6</v>
      </c>
      <c r="I231" s="549">
        <v>106509271577.60001</v>
      </c>
      <c r="J231" s="547" t="e">
        <v>#N/A</v>
      </c>
      <c r="K231" s="548"/>
      <c r="L231" s="549"/>
      <c r="M231" s="547"/>
      <c r="N231" s="516"/>
    </row>
    <row r="234" spans="1:16" s="551" customFormat="1" ht="24" customHeight="1">
      <c r="A234" s="552"/>
      <c r="B234" s="552"/>
      <c r="C234" s="552"/>
      <c r="D234" s="552"/>
      <c r="E234" s="553" t="s">
        <v>406</v>
      </c>
      <c r="F234" s="553"/>
      <c r="G234" s="554"/>
      <c r="H234" s="555" t="s">
        <v>591</v>
      </c>
      <c r="I234" s="556"/>
      <c r="J234" s="554"/>
      <c r="K234" s="555" t="s">
        <v>836</v>
      </c>
      <c r="L234" s="555"/>
      <c r="M234" s="555"/>
      <c r="N234" s="550"/>
    </row>
    <row r="235" spans="1:16" s="551" customFormat="1" ht="29.25" customHeight="1">
      <c r="A235" s="557" t="s">
        <v>504</v>
      </c>
      <c r="B235" s="557" t="s">
        <v>254</v>
      </c>
      <c r="C235" s="557" t="s">
        <v>505</v>
      </c>
      <c r="D235" s="557" t="s">
        <v>506</v>
      </c>
      <c r="E235" s="558" t="s">
        <v>502</v>
      </c>
      <c r="F235" s="558" t="s">
        <v>587</v>
      </c>
      <c r="G235" s="559" t="s">
        <v>588</v>
      </c>
      <c r="H235" s="560" t="s">
        <v>590</v>
      </c>
      <c r="I235" s="561" t="s">
        <v>587</v>
      </c>
      <c r="J235" s="559" t="s">
        <v>588</v>
      </c>
      <c r="K235" s="560" t="s">
        <v>593</v>
      </c>
      <c r="L235" s="561" t="s">
        <v>587</v>
      </c>
      <c r="M235" s="560" t="s">
        <v>588</v>
      </c>
      <c r="N235" s="550"/>
    </row>
    <row r="236" spans="1:16">
      <c r="A236" s="499" t="s">
        <v>595</v>
      </c>
      <c r="B236" s="489" t="s">
        <v>228</v>
      </c>
      <c r="C236" s="499" t="s">
        <v>312</v>
      </c>
      <c r="D236" s="499" t="s">
        <v>313</v>
      </c>
      <c r="E236" s="496">
        <v>301680</v>
      </c>
      <c r="F236" s="496">
        <v>4891137840</v>
      </c>
      <c r="G236" s="497">
        <f t="shared" ref="G236:G267" si="29">+F236/26000</f>
        <v>188120.68615384615</v>
      </c>
      <c r="H236" s="498">
        <v>16008.716542591621</v>
      </c>
      <c r="I236" s="517">
        <f t="shared" ref="I236:I267" si="30">+H236*E236</f>
        <v>4829509606.5690403</v>
      </c>
      <c r="J236" s="497">
        <f t="shared" ref="J236:J267" si="31">+I236/26000</f>
        <v>185750.36948342461</v>
      </c>
      <c r="K236" s="498">
        <v>16226.775932121234</v>
      </c>
      <c r="L236" s="517">
        <f t="shared" ref="L236:L267" si="32">+K236*E236</f>
        <v>4895293763.2023344</v>
      </c>
      <c r="M236" s="497">
        <f t="shared" ref="M236:M267" si="33">+L236/26000</f>
        <v>188280.52935393594</v>
      </c>
      <c r="O236" s="522"/>
    </row>
    <row r="237" spans="1:16">
      <c r="A237" s="489" t="s">
        <v>595</v>
      </c>
      <c r="B237" s="489" t="s">
        <v>226</v>
      </c>
      <c r="C237" s="489" t="s">
        <v>289</v>
      </c>
      <c r="D237" s="489" t="s">
        <v>290</v>
      </c>
      <c r="E237" s="490">
        <v>32000</v>
      </c>
      <c r="F237" s="490">
        <v>535488000</v>
      </c>
      <c r="G237" s="491">
        <f t="shared" si="29"/>
        <v>20595.692307692309</v>
      </c>
      <c r="H237" s="498">
        <v>14913.446485562896</v>
      </c>
      <c r="I237" s="518">
        <f t="shared" si="30"/>
        <v>477230287.53801268</v>
      </c>
      <c r="J237" s="491">
        <f t="shared" si="31"/>
        <v>18355.011059154334</v>
      </c>
      <c r="K237" s="498">
        <v>12863.203902574773</v>
      </c>
      <c r="L237" s="518">
        <f t="shared" si="32"/>
        <v>411622524.8823927</v>
      </c>
      <c r="M237" s="491">
        <f t="shared" si="33"/>
        <v>15831.635572399719</v>
      </c>
      <c r="O237" s="522"/>
    </row>
    <row r="238" spans="1:16">
      <c r="A238" s="489" t="s">
        <v>595</v>
      </c>
      <c r="B238" s="489" t="s">
        <v>226</v>
      </c>
      <c r="C238" s="489" t="s">
        <v>312</v>
      </c>
      <c r="D238" s="489" t="s">
        <v>313</v>
      </c>
      <c r="E238" s="490">
        <v>638865</v>
      </c>
      <c r="F238" s="490">
        <v>10094067000</v>
      </c>
      <c r="G238" s="491">
        <f t="shared" si="29"/>
        <v>388233.34615384613</v>
      </c>
      <c r="H238" s="498">
        <v>16008.716542591621</v>
      </c>
      <c r="I238" s="518">
        <f t="shared" si="30"/>
        <v>10227408693.982796</v>
      </c>
      <c r="J238" s="491">
        <f t="shared" si="31"/>
        <v>393361.87284549215</v>
      </c>
      <c r="K238" s="498">
        <v>16226.775932121234</v>
      </c>
      <c r="L238" s="518">
        <f t="shared" si="32"/>
        <v>10366719205.874632</v>
      </c>
      <c r="M238" s="491">
        <f t="shared" si="33"/>
        <v>398719.96945671662</v>
      </c>
      <c r="O238" s="522"/>
      <c r="P238" s="523"/>
    </row>
    <row r="239" spans="1:16">
      <c r="A239" s="489" t="s">
        <v>595</v>
      </c>
      <c r="B239" s="489" t="s">
        <v>226</v>
      </c>
      <c r="C239" s="489" t="s">
        <v>257</v>
      </c>
      <c r="D239" s="489" t="s">
        <v>258</v>
      </c>
      <c r="E239" s="490">
        <v>9876</v>
      </c>
      <c r="F239" s="490">
        <v>175042224</v>
      </c>
      <c r="G239" s="491">
        <f t="shared" si="29"/>
        <v>6732.3932307692312</v>
      </c>
      <c r="H239" s="498">
        <v>21150.989192955309</v>
      </c>
      <c r="I239" s="518">
        <f t="shared" si="30"/>
        <v>208887169.26962662</v>
      </c>
      <c r="J239" s="491">
        <f t="shared" si="31"/>
        <v>8034.1218949856393</v>
      </c>
      <c r="K239" s="498">
        <v>25628.170820875472</v>
      </c>
      <c r="L239" s="518">
        <f t="shared" si="32"/>
        <v>253103815.02696615</v>
      </c>
      <c r="M239" s="491">
        <f t="shared" si="33"/>
        <v>9734.7621164217744</v>
      </c>
      <c r="O239" s="522"/>
    </row>
    <row r="240" spans="1:16">
      <c r="A240" s="489" t="s">
        <v>595</v>
      </c>
      <c r="B240" s="489" t="s">
        <v>839</v>
      </c>
      <c r="C240" s="489" t="s">
        <v>259</v>
      </c>
      <c r="D240" s="489" t="s">
        <v>260</v>
      </c>
      <c r="E240" s="490">
        <v>80640</v>
      </c>
      <c r="F240" s="490">
        <v>1439343360</v>
      </c>
      <c r="G240" s="491">
        <f t="shared" si="29"/>
        <v>55359.360000000001</v>
      </c>
      <c r="H240" s="498">
        <v>10898.039018541651</v>
      </c>
      <c r="I240" s="518">
        <f t="shared" si="30"/>
        <v>878817866.45519876</v>
      </c>
      <c r="J240" s="491">
        <f t="shared" si="31"/>
        <v>33800.687171353798</v>
      </c>
      <c r="K240" s="498">
        <v>9767.4318268475054</v>
      </c>
      <c r="L240" s="518">
        <f t="shared" si="32"/>
        <v>787645702.51698279</v>
      </c>
      <c r="M240" s="491">
        <f t="shared" si="33"/>
        <v>30294.065481422414</v>
      </c>
      <c r="O240" s="522"/>
    </row>
    <row r="241" spans="1:15">
      <c r="A241" s="489" t="s">
        <v>595</v>
      </c>
      <c r="B241" s="489" t="s">
        <v>470</v>
      </c>
      <c r="C241" s="489" t="s">
        <v>265</v>
      </c>
      <c r="D241" s="489" t="s">
        <v>530</v>
      </c>
      <c r="E241" s="490">
        <v>41472</v>
      </c>
      <c r="F241" s="490">
        <v>3889231329.5999999</v>
      </c>
      <c r="G241" s="491">
        <f t="shared" si="29"/>
        <v>149585.82036923076</v>
      </c>
      <c r="H241" s="498">
        <v>57758.827589838307</v>
      </c>
      <c r="I241" s="518">
        <f t="shared" si="30"/>
        <v>2395374097.8057742</v>
      </c>
      <c r="J241" s="491">
        <f t="shared" si="31"/>
        <v>92129.772992529775</v>
      </c>
      <c r="K241" s="498">
        <v>57797.128404939387</v>
      </c>
      <c r="L241" s="518">
        <f t="shared" si="32"/>
        <v>2396962509.2096462</v>
      </c>
      <c r="M241" s="491">
        <f t="shared" si="33"/>
        <v>92190.865738832552</v>
      </c>
      <c r="O241" s="522"/>
    </row>
    <row r="242" spans="1:15">
      <c r="A242" s="489" t="s">
        <v>595</v>
      </c>
      <c r="B242" s="489" t="s">
        <v>470</v>
      </c>
      <c r="C242" s="489" t="s">
        <v>326</v>
      </c>
      <c r="D242" s="489" t="s">
        <v>327</v>
      </c>
      <c r="E242" s="490">
        <v>6480</v>
      </c>
      <c r="F242" s="490">
        <v>264244032</v>
      </c>
      <c r="G242" s="491">
        <f t="shared" si="29"/>
        <v>10163.232</v>
      </c>
      <c r="H242" s="498">
        <v>27579.506823173604</v>
      </c>
      <c r="I242" s="518">
        <f t="shared" si="30"/>
        <v>178715204.21416494</v>
      </c>
      <c r="J242" s="491">
        <f t="shared" si="31"/>
        <v>6873.6617005448052</v>
      </c>
      <c r="K242" s="498">
        <v>29366.165325036534</v>
      </c>
      <c r="L242" s="518">
        <f t="shared" si="32"/>
        <v>190292751.30623674</v>
      </c>
      <c r="M242" s="491">
        <f t="shared" si="33"/>
        <v>7318.9519733167981</v>
      </c>
      <c r="O242" s="522"/>
    </row>
    <row r="243" spans="1:15">
      <c r="A243" s="489" t="s">
        <v>595</v>
      </c>
      <c r="B243" s="489" t="s">
        <v>470</v>
      </c>
      <c r="C243" s="489" t="s">
        <v>269</v>
      </c>
      <c r="D243" s="489" t="s">
        <v>270</v>
      </c>
      <c r="E243" s="490">
        <v>50112</v>
      </c>
      <c r="F243" s="490">
        <v>3152132755.1999998</v>
      </c>
      <c r="G243" s="491">
        <f t="shared" si="29"/>
        <v>121235.87519999999</v>
      </c>
      <c r="H243" s="498">
        <v>47303.291266608598</v>
      </c>
      <c r="I243" s="518">
        <f t="shared" si="30"/>
        <v>2370462531.9522901</v>
      </c>
      <c r="J243" s="491">
        <f t="shared" si="31"/>
        <v>91171.635844318851</v>
      </c>
      <c r="K243" s="498">
        <v>47360.31737991752</v>
      </c>
      <c r="L243" s="518">
        <f t="shared" si="32"/>
        <v>2373320224.5424266</v>
      </c>
      <c r="M243" s="491">
        <f t="shared" si="33"/>
        <v>91281.547097785631</v>
      </c>
      <c r="O243" s="522"/>
    </row>
    <row r="244" spans="1:15">
      <c r="A244" s="489" t="s">
        <v>595</v>
      </c>
      <c r="B244" s="489" t="s">
        <v>470</v>
      </c>
      <c r="C244" s="489" t="s">
        <v>295</v>
      </c>
      <c r="D244" s="489" t="s">
        <v>296</v>
      </c>
      <c r="E244" s="490">
        <v>5184</v>
      </c>
      <c r="F244" s="490">
        <v>329875545.60000002</v>
      </c>
      <c r="G244" s="491">
        <f t="shared" si="29"/>
        <v>12687.520984615385</v>
      </c>
      <c r="H244" s="498">
        <v>43107.556648437276</v>
      </c>
      <c r="I244" s="518">
        <f t="shared" si="30"/>
        <v>223469573.66549882</v>
      </c>
      <c r="J244" s="491">
        <f t="shared" si="31"/>
        <v>8594.9836025191853</v>
      </c>
      <c r="K244" s="498">
        <v>0</v>
      </c>
      <c r="L244" s="518">
        <f t="shared" si="32"/>
        <v>0</v>
      </c>
      <c r="M244" s="491">
        <f t="shared" si="33"/>
        <v>0</v>
      </c>
      <c r="O244" s="522"/>
    </row>
    <row r="245" spans="1:15">
      <c r="A245" s="489" t="s">
        <v>595</v>
      </c>
      <c r="B245" s="489" t="s">
        <v>470</v>
      </c>
      <c r="C245" s="489" t="s">
        <v>330</v>
      </c>
      <c r="D245" s="489" t="s">
        <v>331</v>
      </c>
      <c r="E245" s="490">
        <v>1109</v>
      </c>
      <c r="F245" s="490">
        <v>97380649</v>
      </c>
      <c r="G245" s="491">
        <f t="shared" si="29"/>
        <v>3745.4095769230771</v>
      </c>
      <c r="H245" s="498">
        <v>53980.118221166893</v>
      </c>
      <c r="I245" s="518">
        <f t="shared" si="30"/>
        <v>59863951.107274085</v>
      </c>
      <c r="J245" s="491">
        <f t="shared" si="31"/>
        <v>2302.4596579720801</v>
      </c>
      <c r="K245" s="498">
        <v>53980.118221166893</v>
      </c>
      <c r="L245" s="518">
        <f t="shared" si="32"/>
        <v>59863951.107274085</v>
      </c>
      <c r="M245" s="491">
        <f t="shared" si="33"/>
        <v>2302.4596579720801</v>
      </c>
      <c r="O245" s="522"/>
    </row>
    <row r="246" spans="1:15">
      <c r="A246" s="489" t="s">
        <v>595</v>
      </c>
      <c r="B246" s="489" t="s">
        <v>470</v>
      </c>
      <c r="C246" s="489" t="s">
        <v>285</v>
      </c>
      <c r="D246" s="489" t="s">
        <v>286</v>
      </c>
      <c r="E246" s="490">
        <v>120000</v>
      </c>
      <c r="F246" s="490">
        <v>2762410665.5999999</v>
      </c>
      <c r="G246" s="491">
        <f t="shared" si="29"/>
        <v>106246.56406153846</v>
      </c>
      <c r="H246" s="498">
        <v>14188.511753896366</v>
      </c>
      <c r="I246" s="518">
        <f t="shared" si="30"/>
        <v>1702621410.4675639</v>
      </c>
      <c r="J246" s="491">
        <f t="shared" si="31"/>
        <v>65485.438864137075</v>
      </c>
      <c r="K246" s="498">
        <v>15241.652311017715</v>
      </c>
      <c r="L246" s="518">
        <f t="shared" si="32"/>
        <v>1828998277.3221259</v>
      </c>
      <c r="M246" s="491">
        <f t="shared" si="33"/>
        <v>70346.087589312534</v>
      </c>
      <c r="O246" s="522"/>
    </row>
    <row r="247" spans="1:15">
      <c r="A247" s="489" t="s">
        <v>595</v>
      </c>
      <c r="B247" s="489" t="s">
        <v>470</v>
      </c>
      <c r="C247" s="489" t="s">
        <v>271</v>
      </c>
      <c r="D247" s="489" t="s">
        <v>272</v>
      </c>
      <c r="E247" s="490">
        <v>20547</v>
      </c>
      <c r="F247" s="490">
        <v>1896889952.4000001</v>
      </c>
      <c r="G247" s="491">
        <f t="shared" si="29"/>
        <v>72957.305861538465</v>
      </c>
      <c r="H247" s="498">
        <v>64543.608112365822</v>
      </c>
      <c r="I247" s="518">
        <f t="shared" si="30"/>
        <v>1326177515.8847806</v>
      </c>
      <c r="J247" s="491">
        <f t="shared" si="31"/>
        <v>51006.827534030024</v>
      </c>
      <c r="K247" s="498">
        <v>75779.761080514407</v>
      </c>
      <c r="L247" s="518">
        <f t="shared" si="32"/>
        <v>1557046750.9213295</v>
      </c>
      <c r="M247" s="491">
        <f t="shared" si="33"/>
        <v>59886.413496974208</v>
      </c>
      <c r="O247" s="522"/>
    </row>
    <row r="248" spans="1:15">
      <c r="A248" s="489" t="s">
        <v>595</v>
      </c>
      <c r="B248" s="489" t="s">
        <v>470</v>
      </c>
      <c r="C248" s="489" t="s">
        <v>302</v>
      </c>
      <c r="D248" s="489" t="s">
        <v>698</v>
      </c>
      <c r="E248" s="490">
        <v>2600</v>
      </c>
      <c r="F248" s="490">
        <v>104125130.09999999</v>
      </c>
      <c r="G248" s="491">
        <f t="shared" si="29"/>
        <v>4004.812696153846</v>
      </c>
      <c r="H248" s="498">
        <v>39276.391904985401</v>
      </c>
      <c r="I248" s="518">
        <f t="shared" si="30"/>
        <v>102118618.95296204</v>
      </c>
      <c r="J248" s="491">
        <f t="shared" si="31"/>
        <v>3927.6391904985398</v>
      </c>
      <c r="K248" s="498">
        <v>39276.391904985401</v>
      </c>
      <c r="L248" s="518">
        <f t="shared" si="32"/>
        <v>102118618.95296204</v>
      </c>
      <c r="M248" s="491">
        <f t="shared" si="33"/>
        <v>3927.6391904985398</v>
      </c>
      <c r="O248" s="522"/>
    </row>
    <row r="249" spans="1:15">
      <c r="A249" s="489" t="s">
        <v>595</v>
      </c>
      <c r="B249" s="489" t="s">
        <v>470</v>
      </c>
      <c r="C249" s="489" t="s">
        <v>322</v>
      </c>
      <c r="D249" s="489" t="s">
        <v>323</v>
      </c>
      <c r="E249" s="490">
        <v>23900</v>
      </c>
      <c r="F249" s="490">
        <v>856923210</v>
      </c>
      <c r="G249" s="491">
        <f t="shared" si="29"/>
        <v>32958.584999999999</v>
      </c>
      <c r="H249" s="498">
        <v>23453.647363302385</v>
      </c>
      <c r="I249" s="518">
        <f t="shared" si="30"/>
        <v>560542171.98292696</v>
      </c>
      <c r="J249" s="491">
        <f t="shared" si="31"/>
        <v>21559.314307035653</v>
      </c>
      <c r="K249" s="498">
        <v>23453.647363302385</v>
      </c>
      <c r="L249" s="518">
        <f t="shared" si="32"/>
        <v>560542171.98292696</v>
      </c>
      <c r="M249" s="491">
        <f t="shared" si="33"/>
        <v>21559.314307035653</v>
      </c>
      <c r="O249" s="522"/>
    </row>
    <row r="250" spans="1:15">
      <c r="A250" s="489" t="s">
        <v>595</v>
      </c>
      <c r="B250" s="489" t="s">
        <v>470</v>
      </c>
      <c r="C250" s="489" t="s">
        <v>261</v>
      </c>
      <c r="D250" s="489" t="s">
        <v>262</v>
      </c>
      <c r="E250" s="490">
        <v>4466</v>
      </c>
      <c r="F250" s="490">
        <v>497749730.39999998</v>
      </c>
      <c r="G250" s="491">
        <f t="shared" si="29"/>
        <v>19144.220399999998</v>
      </c>
      <c r="H250" s="498">
        <v>93105.565694395525</v>
      </c>
      <c r="I250" s="518">
        <f t="shared" si="30"/>
        <v>415809456.39117044</v>
      </c>
      <c r="J250" s="491">
        <f t="shared" si="31"/>
        <v>15992.671399660401</v>
      </c>
      <c r="K250" s="498">
        <v>92941.697120845463</v>
      </c>
      <c r="L250" s="518">
        <f t="shared" si="32"/>
        <v>415077619.34169585</v>
      </c>
      <c r="M250" s="491">
        <f t="shared" si="33"/>
        <v>15964.523820834456</v>
      </c>
      <c r="O250" s="522"/>
    </row>
    <row r="251" spans="1:15">
      <c r="A251" s="489" t="s">
        <v>595</v>
      </c>
      <c r="B251" s="489" t="s">
        <v>470</v>
      </c>
      <c r="C251" s="489" t="s">
        <v>273</v>
      </c>
      <c r="D251" s="489" t="s">
        <v>274</v>
      </c>
      <c r="E251" s="490">
        <v>8000</v>
      </c>
      <c r="F251" s="490">
        <v>928841000</v>
      </c>
      <c r="G251" s="491">
        <f t="shared" si="29"/>
        <v>35724.653846153844</v>
      </c>
      <c r="H251" s="498">
        <v>88390.986031279841</v>
      </c>
      <c r="I251" s="518">
        <f t="shared" si="30"/>
        <v>707127888.25023878</v>
      </c>
      <c r="J251" s="491">
        <f t="shared" si="31"/>
        <v>27197.226471163031</v>
      </c>
      <c r="K251" s="498">
        <v>87049.039209180104</v>
      </c>
      <c r="L251" s="518">
        <f t="shared" si="32"/>
        <v>696392313.67344081</v>
      </c>
      <c r="M251" s="491">
        <f t="shared" si="33"/>
        <v>26784.3197566708</v>
      </c>
      <c r="O251" s="522"/>
    </row>
    <row r="252" spans="1:15">
      <c r="A252" s="489" t="s">
        <v>595</v>
      </c>
      <c r="B252" s="489" t="s">
        <v>470</v>
      </c>
      <c r="C252" s="489" t="s">
        <v>314</v>
      </c>
      <c r="D252" s="489" t="s">
        <v>529</v>
      </c>
      <c r="E252" s="490">
        <v>15120</v>
      </c>
      <c r="F252" s="490">
        <v>623283552</v>
      </c>
      <c r="G252" s="491">
        <f t="shared" si="29"/>
        <v>23972.444307692309</v>
      </c>
      <c r="H252" s="498">
        <v>24919.507747236443</v>
      </c>
      <c r="I252" s="518">
        <f t="shared" si="30"/>
        <v>376782957.13821501</v>
      </c>
      <c r="J252" s="491">
        <f t="shared" si="31"/>
        <v>14491.652197623655</v>
      </c>
      <c r="K252" s="498">
        <v>22268.623352940616</v>
      </c>
      <c r="L252" s="518">
        <f t="shared" si="32"/>
        <v>336701585.09646213</v>
      </c>
      <c r="M252" s="491">
        <f t="shared" si="33"/>
        <v>12950.060965248544</v>
      </c>
      <c r="O252" s="522"/>
    </row>
    <row r="253" spans="1:15">
      <c r="A253" s="489" t="s">
        <v>595</v>
      </c>
      <c r="B253" s="489" t="s">
        <v>472</v>
      </c>
      <c r="C253" s="489" t="s">
        <v>265</v>
      </c>
      <c r="D253" s="489" t="s">
        <v>530</v>
      </c>
      <c r="E253" s="490">
        <v>20000</v>
      </c>
      <c r="F253" s="490">
        <v>1710210000</v>
      </c>
      <c r="G253" s="491">
        <f t="shared" si="29"/>
        <v>65777.307692307688</v>
      </c>
      <c r="H253" s="498">
        <v>57758.827589838307</v>
      </c>
      <c r="I253" s="518">
        <f t="shared" si="30"/>
        <v>1155176551.796766</v>
      </c>
      <c r="J253" s="491">
        <f t="shared" si="31"/>
        <v>44429.867376798691</v>
      </c>
      <c r="K253" s="498">
        <v>57797.128404939387</v>
      </c>
      <c r="L253" s="518">
        <f t="shared" si="32"/>
        <v>1155942568.0987878</v>
      </c>
      <c r="M253" s="491">
        <f t="shared" si="33"/>
        <v>44459.329542261068</v>
      </c>
      <c r="O253" s="522"/>
    </row>
    <row r="254" spans="1:15">
      <c r="A254" s="489" t="s">
        <v>595</v>
      </c>
      <c r="B254" s="489" t="s">
        <v>472</v>
      </c>
      <c r="C254" s="489" t="s">
        <v>326</v>
      </c>
      <c r="D254" s="489" t="s">
        <v>327</v>
      </c>
      <c r="E254" s="490">
        <v>20000</v>
      </c>
      <c r="F254" s="490">
        <v>690360000</v>
      </c>
      <c r="G254" s="491">
        <f t="shared" si="29"/>
        <v>26552.307692307691</v>
      </c>
      <c r="H254" s="498">
        <v>27579.506823173604</v>
      </c>
      <c r="I254" s="518">
        <f t="shared" si="30"/>
        <v>551590136.46347213</v>
      </c>
      <c r="J254" s="491">
        <f t="shared" si="31"/>
        <v>21215.00524859508</v>
      </c>
      <c r="K254" s="498">
        <v>29366.165325036534</v>
      </c>
      <c r="L254" s="518">
        <f t="shared" si="32"/>
        <v>587323306.50073063</v>
      </c>
      <c r="M254" s="491">
        <f t="shared" si="33"/>
        <v>22589.357942335795</v>
      </c>
      <c r="O254" s="522"/>
    </row>
    <row r="255" spans="1:15">
      <c r="A255" s="489" t="s">
        <v>595</v>
      </c>
      <c r="B255" s="489" t="s">
        <v>472</v>
      </c>
      <c r="C255" s="489" t="s">
        <v>352</v>
      </c>
      <c r="D255" s="489" t="s">
        <v>353</v>
      </c>
      <c r="E255" s="490">
        <v>17257</v>
      </c>
      <c r="F255" s="490">
        <v>739525872.39999998</v>
      </c>
      <c r="G255" s="491">
        <f t="shared" si="29"/>
        <v>28443.302784615385</v>
      </c>
      <c r="H255" s="498">
        <v>29530.294099450315</v>
      </c>
      <c r="I255" s="518">
        <f t="shared" si="30"/>
        <v>509604285.27421409</v>
      </c>
      <c r="J255" s="491">
        <f t="shared" si="31"/>
        <v>19600.164818239002</v>
      </c>
      <c r="K255" s="498">
        <v>29356.057115604915</v>
      </c>
      <c r="L255" s="518">
        <f t="shared" si="32"/>
        <v>506597477.64399403</v>
      </c>
      <c r="M255" s="491">
        <f t="shared" si="33"/>
        <v>19484.518370922848</v>
      </c>
      <c r="O255" s="522"/>
    </row>
    <row r="256" spans="1:15">
      <c r="A256" s="489" t="s">
        <v>595</v>
      </c>
      <c r="B256" s="489" t="s">
        <v>472</v>
      </c>
      <c r="C256" s="489" t="s">
        <v>271</v>
      </c>
      <c r="D256" s="489" t="s">
        <v>272</v>
      </c>
      <c r="E256" s="490">
        <v>20000</v>
      </c>
      <c r="F256" s="490">
        <v>1678830000</v>
      </c>
      <c r="G256" s="491">
        <f t="shared" si="29"/>
        <v>64570.384615384617</v>
      </c>
      <c r="H256" s="498">
        <v>64543.608112365822</v>
      </c>
      <c r="I256" s="518">
        <f t="shared" si="30"/>
        <v>1290872162.2473164</v>
      </c>
      <c r="J256" s="491">
        <f t="shared" si="31"/>
        <v>49648.929317204478</v>
      </c>
      <c r="K256" s="498">
        <v>75779.761080514407</v>
      </c>
      <c r="L256" s="518">
        <f t="shared" si="32"/>
        <v>1515595221.6102881</v>
      </c>
      <c r="M256" s="491">
        <f t="shared" si="33"/>
        <v>58292.123908088004</v>
      </c>
      <c r="O256" s="522"/>
    </row>
    <row r="257" spans="1:15">
      <c r="A257" s="489" t="s">
        <v>595</v>
      </c>
      <c r="B257" s="489" t="s">
        <v>472</v>
      </c>
      <c r="C257" s="489" t="s">
        <v>754</v>
      </c>
      <c r="D257" s="489" t="s">
        <v>755</v>
      </c>
      <c r="E257" s="490">
        <v>1000</v>
      </c>
      <c r="F257" s="490">
        <v>97241390</v>
      </c>
      <c r="G257" s="491">
        <f t="shared" si="29"/>
        <v>3740.0534615384618</v>
      </c>
      <c r="H257" s="498">
        <v>25972.733900024385</v>
      </c>
      <c r="I257" s="518">
        <f t="shared" si="30"/>
        <v>25972733.900024384</v>
      </c>
      <c r="J257" s="491">
        <f t="shared" si="31"/>
        <v>998.95130384709171</v>
      </c>
      <c r="K257" s="498">
        <v>25972.733900024385</v>
      </c>
      <c r="L257" s="518">
        <f t="shared" si="32"/>
        <v>25972733.900024384</v>
      </c>
      <c r="M257" s="491">
        <f t="shared" si="33"/>
        <v>998.95130384709171</v>
      </c>
      <c r="O257" s="522"/>
    </row>
    <row r="258" spans="1:15">
      <c r="A258" s="489" t="s">
        <v>595</v>
      </c>
      <c r="B258" s="489" t="s">
        <v>472</v>
      </c>
      <c r="C258" s="489" t="s">
        <v>706</v>
      </c>
      <c r="D258" s="489" t="s">
        <v>707</v>
      </c>
      <c r="E258" s="490">
        <v>496</v>
      </c>
      <c r="F258" s="490">
        <v>124729747</v>
      </c>
      <c r="G258" s="491">
        <f t="shared" si="29"/>
        <v>4797.2979615384611</v>
      </c>
      <c r="H258" s="498">
        <v>69849.977030342183</v>
      </c>
      <c r="I258" s="518">
        <f t="shared" si="30"/>
        <v>34645588.607049726</v>
      </c>
      <c r="J258" s="491">
        <f t="shared" si="31"/>
        <v>1332.5226387326818</v>
      </c>
      <c r="K258" s="498">
        <v>69849.977030342183</v>
      </c>
      <c r="L258" s="518">
        <f t="shared" si="32"/>
        <v>34645588.607049726</v>
      </c>
      <c r="M258" s="491">
        <f t="shared" si="33"/>
        <v>1332.5226387326818</v>
      </c>
      <c r="O258" s="522"/>
    </row>
    <row r="259" spans="1:15">
      <c r="A259" s="489" t="s">
        <v>595</v>
      </c>
      <c r="B259" s="489" t="s">
        <v>472</v>
      </c>
      <c r="C259" s="489" t="s">
        <v>314</v>
      </c>
      <c r="D259" s="489" t="s">
        <v>529</v>
      </c>
      <c r="E259" s="490">
        <v>20000</v>
      </c>
      <c r="F259" s="490">
        <v>732200000</v>
      </c>
      <c r="G259" s="491">
        <f t="shared" si="29"/>
        <v>28161.538461538461</v>
      </c>
      <c r="H259" s="498">
        <v>24919.507747236443</v>
      </c>
      <c r="I259" s="518">
        <f t="shared" si="30"/>
        <v>498390154.94472885</v>
      </c>
      <c r="J259" s="491">
        <f t="shared" si="31"/>
        <v>19168.852113258803</v>
      </c>
      <c r="K259" s="498">
        <v>22268.623352940616</v>
      </c>
      <c r="L259" s="518">
        <f t="shared" si="32"/>
        <v>445372467.05881232</v>
      </c>
      <c r="M259" s="491">
        <f t="shared" si="33"/>
        <v>17129.710271492782</v>
      </c>
      <c r="O259" s="522"/>
    </row>
    <row r="260" spans="1:15">
      <c r="A260" s="489" t="s">
        <v>595</v>
      </c>
      <c r="B260" s="489" t="s">
        <v>473</v>
      </c>
      <c r="C260" s="489" t="s">
        <v>291</v>
      </c>
      <c r="D260" s="489" t="s">
        <v>535</v>
      </c>
      <c r="E260" s="490">
        <v>38400</v>
      </c>
      <c r="F260" s="490">
        <v>1142598220.8</v>
      </c>
      <c r="G260" s="491">
        <f t="shared" si="29"/>
        <v>43946.085415384616</v>
      </c>
      <c r="H260" s="498">
        <v>13252.972865981066</v>
      </c>
      <c r="I260" s="518">
        <f t="shared" si="30"/>
        <v>508914158.05367297</v>
      </c>
      <c r="J260" s="491">
        <f t="shared" si="31"/>
        <v>19573.621463602805</v>
      </c>
      <c r="K260" s="498">
        <v>13505.300952076075</v>
      </c>
      <c r="L260" s="518">
        <f t="shared" si="32"/>
        <v>518603556.55972129</v>
      </c>
      <c r="M260" s="491">
        <f t="shared" si="33"/>
        <v>19946.290636912356</v>
      </c>
      <c r="O260" s="522"/>
    </row>
    <row r="261" spans="1:15">
      <c r="A261" s="489" t="s">
        <v>595</v>
      </c>
      <c r="B261" s="489" t="s">
        <v>473</v>
      </c>
      <c r="C261" s="489" t="s">
        <v>306</v>
      </c>
      <c r="D261" s="489" t="s">
        <v>307</v>
      </c>
      <c r="E261" s="490">
        <v>63360</v>
      </c>
      <c r="F261" s="490">
        <v>2128421791.5999999</v>
      </c>
      <c r="G261" s="491">
        <f t="shared" si="29"/>
        <v>81862.376600000003</v>
      </c>
      <c r="H261" s="498">
        <v>19798.743299883012</v>
      </c>
      <c r="I261" s="518">
        <f t="shared" si="30"/>
        <v>1254448375.4805877</v>
      </c>
      <c r="J261" s="491">
        <f t="shared" si="31"/>
        <v>48248.014441561063</v>
      </c>
      <c r="K261" s="498">
        <v>20262.221487817002</v>
      </c>
      <c r="L261" s="518">
        <f t="shared" si="32"/>
        <v>1283814353.4680853</v>
      </c>
      <c r="M261" s="491">
        <f t="shared" si="33"/>
        <v>49377.475133387896</v>
      </c>
      <c r="O261" s="522"/>
    </row>
    <row r="262" spans="1:15">
      <c r="A262" s="489" t="s">
        <v>595</v>
      </c>
      <c r="B262" s="489" t="s">
        <v>473</v>
      </c>
      <c r="C262" s="489" t="s">
        <v>263</v>
      </c>
      <c r="D262" s="489" t="s">
        <v>264</v>
      </c>
      <c r="E262" s="490">
        <v>86016</v>
      </c>
      <c r="F262" s="490">
        <v>1294212573.4000001</v>
      </c>
      <c r="G262" s="491">
        <f t="shared" si="29"/>
        <v>49777.406669230775</v>
      </c>
      <c r="H262" s="498">
        <v>9415.2824897289647</v>
      </c>
      <c r="I262" s="518">
        <f t="shared" si="30"/>
        <v>809864938.63652658</v>
      </c>
      <c r="J262" s="491">
        <f t="shared" si="31"/>
        <v>31148.651486020251</v>
      </c>
      <c r="K262" s="498">
        <v>9566.529623563647</v>
      </c>
      <c r="L262" s="518">
        <f t="shared" si="32"/>
        <v>822874612.10045063</v>
      </c>
      <c r="M262" s="491">
        <f t="shared" si="33"/>
        <v>31649.023542325023</v>
      </c>
      <c r="O262" s="522"/>
    </row>
    <row r="263" spans="1:15">
      <c r="A263" s="489" t="s">
        <v>595</v>
      </c>
      <c r="B263" s="489" t="s">
        <v>825</v>
      </c>
      <c r="C263" s="489" t="s">
        <v>297</v>
      </c>
      <c r="D263" s="489" t="s">
        <v>539</v>
      </c>
      <c r="E263" s="490">
        <v>1920</v>
      </c>
      <c r="F263" s="490">
        <v>58251870.299999997</v>
      </c>
      <c r="G263" s="491">
        <f t="shared" si="29"/>
        <v>2240.4565499999999</v>
      </c>
      <c r="H263" s="498">
        <v>11012.70413565182</v>
      </c>
      <c r="I263" s="518">
        <f t="shared" si="30"/>
        <v>21144391.940451495</v>
      </c>
      <c r="J263" s="491">
        <f t="shared" si="31"/>
        <v>813.2458438635191</v>
      </c>
      <c r="K263" s="498">
        <v>11080.841324575835</v>
      </c>
      <c r="L263" s="518">
        <f t="shared" si="32"/>
        <v>21275215.343185604</v>
      </c>
      <c r="M263" s="491">
        <f t="shared" si="33"/>
        <v>818.27751319944628</v>
      </c>
      <c r="O263" s="522"/>
    </row>
    <row r="264" spans="1:15">
      <c r="A264" s="489" t="s">
        <v>595</v>
      </c>
      <c r="B264" s="489" t="s">
        <v>825</v>
      </c>
      <c r="C264" s="489" t="s">
        <v>316</v>
      </c>
      <c r="D264" s="489" t="s">
        <v>317</v>
      </c>
      <c r="E264" s="490">
        <v>1920</v>
      </c>
      <c r="F264" s="490">
        <v>67327603.200000003</v>
      </c>
      <c r="G264" s="491">
        <f t="shared" si="29"/>
        <v>2589.5232000000001</v>
      </c>
      <c r="H264" s="498">
        <v>18775.550569965468</v>
      </c>
      <c r="I264" s="518">
        <f t="shared" si="30"/>
        <v>36049057.094333701</v>
      </c>
      <c r="J264" s="491">
        <f t="shared" si="31"/>
        <v>1386.5021959359115</v>
      </c>
      <c r="K264" s="498">
        <v>19451.336239159282</v>
      </c>
      <c r="L264" s="518">
        <f t="shared" si="32"/>
        <v>37346565.579185821</v>
      </c>
      <c r="M264" s="491">
        <f t="shared" si="33"/>
        <v>1436.4063684302239</v>
      </c>
      <c r="O264" s="522"/>
    </row>
    <row r="265" spans="1:15">
      <c r="A265" s="489" t="s">
        <v>595</v>
      </c>
      <c r="B265" s="489" t="s">
        <v>474</v>
      </c>
      <c r="C265" s="489" t="s">
        <v>263</v>
      </c>
      <c r="D265" s="489" t="s">
        <v>264</v>
      </c>
      <c r="E265" s="490">
        <v>28800</v>
      </c>
      <c r="F265" s="490">
        <v>435889728</v>
      </c>
      <c r="G265" s="491">
        <f t="shared" si="29"/>
        <v>16764.989538461537</v>
      </c>
      <c r="H265" s="498">
        <v>9415.2824897289647</v>
      </c>
      <c r="I265" s="518">
        <f t="shared" si="30"/>
        <v>271160135.70419419</v>
      </c>
      <c r="J265" s="491">
        <f t="shared" si="31"/>
        <v>10429.235988622853</v>
      </c>
      <c r="K265" s="498">
        <v>9566.529623563647</v>
      </c>
      <c r="L265" s="518">
        <f t="shared" si="32"/>
        <v>275516053.15863305</v>
      </c>
      <c r="M265" s="491">
        <f t="shared" si="33"/>
        <v>10596.771275332041</v>
      </c>
      <c r="O265" s="522"/>
    </row>
    <row r="266" spans="1:15">
      <c r="A266" s="489" t="s">
        <v>595</v>
      </c>
      <c r="B266" s="489" t="s">
        <v>474</v>
      </c>
      <c r="C266" s="489" t="s">
        <v>281</v>
      </c>
      <c r="D266" s="489" t="s">
        <v>282</v>
      </c>
      <c r="E266" s="490">
        <v>17280</v>
      </c>
      <c r="F266" s="490">
        <v>621809432.39999998</v>
      </c>
      <c r="G266" s="491">
        <f t="shared" si="29"/>
        <v>23915.7474</v>
      </c>
      <c r="H266" s="498">
        <v>11688.968905036763</v>
      </c>
      <c r="I266" s="518">
        <f t="shared" si="30"/>
        <v>201985382.67903528</v>
      </c>
      <c r="J266" s="491">
        <f t="shared" si="31"/>
        <v>7768.66856457828</v>
      </c>
      <c r="K266" s="498">
        <v>11691.182713256794</v>
      </c>
      <c r="L266" s="518">
        <f t="shared" si="32"/>
        <v>202023637.28507739</v>
      </c>
      <c r="M266" s="491">
        <f t="shared" si="33"/>
        <v>7770.1398955798995</v>
      </c>
      <c r="O266" s="522"/>
    </row>
    <row r="267" spans="1:15">
      <c r="A267" s="489" t="s">
        <v>595</v>
      </c>
      <c r="B267" s="489" t="s">
        <v>474</v>
      </c>
      <c r="C267" s="489" t="s">
        <v>279</v>
      </c>
      <c r="D267" s="489" t="s">
        <v>280</v>
      </c>
      <c r="E267" s="490">
        <v>17280</v>
      </c>
      <c r="F267" s="490">
        <v>865545850.20000005</v>
      </c>
      <c r="G267" s="491">
        <f t="shared" si="29"/>
        <v>33290.225007692308</v>
      </c>
      <c r="H267" s="498">
        <v>30348.898890505454</v>
      </c>
      <c r="I267" s="518">
        <f t="shared" si="30"/>
        <v>524428972.82793427</v>
      </c>
      <c r="J267" s="491">
        <f t="shared" si="31"/>
        <v>20170.345108766702</v>
      </c>
      <c r="K267" s="498">
        <v>30507.663310682576</v>
      </c>
      <c r="L267" s="518">
        <f t="shared" si="32"/>
        <v>527172422.00859493</v>
      </c>
      <c r="M267" s="491">
        <f t="shared" si="33"/>
        <v>20275.862384945958</v>
      </c>
      <c r="O267" s="522"/>
    </row>
    <row r="268" spans="1:15">
      <c r="A268" s="489" t="s">
        <v>595</v>
      </c>
      <c r="B268" s="489" t="s">
        <v>474</v>
      </c>
      <c r="C268" s="489" t="s">
        <v>297</v>
      </c>
      <c r="D268" s="489" t="s">
        <v>539</v>
      </c>
      <c r="E268" s="490">
        <v>5760</v>
      </c>
      <c r="F268" s="490">
        <v>188674599</v>
      </c>
      <c r="G268" s="491">
        <f t="shared" ref="G268:G299" si="34">+F268/26000</f>
        <v>7256.7153461538464</v>
      </c>
      <c r="H268" s="498">
        <v>11012.70413565182</v>
      </c>
      <c r="I268" s="518">
        <f t="shared" ref="I268:I299" si="35">+H268*E268</f>
        <v>63433175.821354486</v>
      </c>
      <c r="J268" s="491">
        <f t="shared" ref="J268:J299" si="36">+I268/26000</f>
        <v>2439.737531590557</v>
      </c>
      <c r="K268" s="498">
        <v>11080.841324575835</v>
      </c>
      <c r="L268" s="518">
        <f t="shared" ref="L268:L299" si="37">+K268*E268</f>
        <v>63825646.029556811</v>
      </c>
      <c r="M268" s="491">
        <f t="shared" ref="M268:M299" si="38">+L268/26000</f>
        <v>2454.8325395983388</v>
      </c>
      <c r="O268" s="522"/>
    </row>
    <row r="269" spans="1:15">
      <c r="A269" s="489" t="s">
        <v>595</v>
      </c>
      <c r="B269" s="489" t="s">
        <v>474</v>
      </c>
      <c r="C269" s="489" t="s">
        <v>316</v>
      </c>
      <c r="D269" s="489" t="s">
        <v>317</v>
      </c>
      <c r="E269" s="490">
        <v>5760</v>
      </c>
      <c r="F269" s="490">
        <v>210251077.80000001</v>
      </c>
      <c r="G269" s="491">
        <f t="shared" si="34"/>
        <v>8086.5799153846156</v>
      </c>
      <c r="H269" s="498">
        <v>18775.550569965468</v>
      </c>
      <c r="I269" s="518">
        <f t="shared" si="35"/>
        <v>108147171.2830011</v>
      </c>
      <c r="J269" s="491">
        <f t="shared" si="36"/>
        <v>4159.5065878077348</v>
      </c>
      <c r="K269" s="498">
        <v>19451.336239159282</v>
      </c>
      <c r="L269" s="518">
        <f t="shared" si="37"/>
        <v>112039696.73755747</v>
      </c>
      <c r="M269" s="491">
        <f t="shared" si="38"/>
        <v>4309.2191052906719</v>
      </c>
      <c r="O269" s="522"/>
    </row>
    <row r="270" spans="1:15">
      <c r="A270" s="489" t="s">
        <v>595</v>
      </c>
      <c r="B270" s="489" t="s">
        <v>475</v>
      </c>
      <c r="C270" s="489" t="s">
        <v>263</v>
      </c>
      <c r="D270" s="489" t="s">
        <v>264</v>
      </c>
      <c r="E270" s="490">
        <v>21504</v>
      </c>
      <c r="F270" s="490">
        <v>327587367.89999998</v>
      </c>
      <c r="G270" s="491">
        <f t="shared" si="34"/>
        <v>12599.514149999999</v>
      </c>
      <c r="H270" s="498">
        <v>9415.2824897289647</v>
      </c>
      <c r="I270" s="518">
        <f t="shared" si="35"/>
        <v>202466234.65913165</v>
      </c>
      <c r="J270" s="491">
        <f t="shared" si="36"/>
        <v>7787.1628715050629</v>
      </c>
      <c r="K270" s="498">
        <v>9566.529623563647</v>
      </c>
      <c r="L270" s="518">
        <f t="shared" si="37"/>
        <v>205718653.02511266</v>
      </c>
      <c r="M270" s="491">
        <f t="shared" si="38"/>
        <v>7912.2558855812558</v>
      </c>
      <c r="O270" s="522"/>
    </row>
    <row r="271" spans="1:15">
      <c r="A271" s="489" t="s">
        <v>595</v>
      </c>
      <c r="B271" s="489" t="s">
        <v>475</v>
      </c>
      <c r="C271" s="489" t="s">
        <v>334</v>
      </c>
      <c r="D271" s="489" t="s">
        <v>335</v>
      </c>
      <c r="E271" s="490">
        <v>4032</v>
      </c>
      <c r="F271" s="490">
        <v>589161994.20000005</v>
      </c>
      <c r="G271" s="491">
        <f t="shared" si="34"/>
        <v>22660.076700000001</v>
      </c>
      <c r="H271" s="498">
        <v>85616.465654409316</v>
      </c>
      <c r="I271" s="518">
        <f t="shared" si="35"/>
        <v>345205589.51857835</v>
      </c>
      <c r="J271" s="491">
        <f t="shared" si="36"/>
        <v>13277.138058406859</v>
      </c>
      <c r="K271" s="498">
        <v>84860.114915667335</v>
      </c>
      <c r="L271" s="518">
        <f t="shared" si="37"/>
        <v>342155983.33997071</v>
      </c>
      <c r="M271" s="491">
        <f t="shared" si="38"/>
        <v>13159.845513075796</v>
      </c>
      <c r="O271" s="522"/>
    </row>
    <row r="272" spans="1:15">
      <c r="A272" s="489" t="s">
        <v>595</v>
      </c>
      <c r="B272" s="489" t="s">
        <v>475</v>
      </c>
      <c r="C272" s="489" t="s">
        <v>310</v>
      </c>
      <c r="D272" s="489" t="s">
        <v>536</v>
      </c>
      <c r="E272" s="490">
        <v>15552</v>
      </c>
      <c r="F272" s="490">
        <v>1534086684</v>
      </c>
      <c r="G272" s="491">
        <f t="shared" si="34"/>
        <v>59003.334000000003</v>
      </c>
      <c r="H272" s="498">
        <v>60315.982481533516</v>
      </c>
      <c r="I272" s="518">
        <f t="shared" si="35"/>
        <v>938034159.55280924</v>
      </c>
      <c r="J272" s="491">
        <f t="shared" si="36"/>
        <v>36078.236905877282</v>
      </c>
      <c r="K272" s="498">
        <v>59584.422463834497</v>
      </c>
      <c r="L272" s="518">
        <f t="shared" si="37"/>
        <v>926656938.15755415</v>
      </c>
      <c r="M272" s="491">
        <f t="shared" si="38"/>
        <v>35640.65146759824</v>
      </c>
      <c r="O272" s="522"/>
    </row>
    <row r="273" spans="1:15">
      <c r="A273" s="489" t="s">
        <v>595</v>
      </c>
      <c r="B273" s="489" t="s">
        <v>475</v>
      </c>
      <c r="C273" s="489" t="s">
        <v>756</v>
      </c>
      <c r="D273" s="489" t="s">
        <v>757</v>
      </c>
      <c r="E273" s="490">
        <v>150</v>
      </c>
      <c r="F273" s="490">
        <v>26092895.399999999</v>
      </c>
      <c r="G273" s="491">
        <f t="shared" si="34"/>
        <v>1003.5728999999999</v>
      </c>
      <c r="H273" s="498">
        <v>108010.81661501776</v>
      </c>
      <c r="I273" s="518">
        <f t="shared" si="35"/>
        <v>16201622.492252663</v>
      </c>
      <c r="J273" s="491">
        <f t="shared" si="36"/>
        <v>623.1393266251024</v>
      </c>
      <c r="K273" s="498">
        <v>108010.81661501776</v>
      </c>
      <c r="L273" s="518">
        <f t="shared" si="37"/>
        <v>16201622.492252663</v>
      </c>
      <c r="M273" s="491">
        <f t="shared" si="38"/>
        <v>623.1393266251024</v>
      </c>
      <c r="O273" s="522"/>
    </row>
    <row r="274" spans="1:15">
      <c r="A274" s="489" t="s">
        <v>595</v>
      </c>
      <c r="B274" s="489" t="s">
        <v>471</v>
      </c>
      <c r="C274" s="489" t="s">
        <v>304</v>
      </c>
      <c r="D274" s="489" t="s">
        <v>305</v>
      </c>
      <c r="E274" s="490">
        <v>65000</v>
      </c>
      <c r="F274" s="490">
        <v>1170645450</v>
      </c>
      <c r="G274" s="491">
        <f t="shared" si="34"/>
        <v>45024.824999999997</v>
      </c>
      <c r="H274" s="498">
        <v>9612.1320390392848</v>
      </c>
      <c r="I274" s="518">
        <f t="shared" si="35"/>
        <v>624788582.53755355</v>
      </c>
      <c r="J274" s="491">
        <f t="shared" si="36"/>
        <v>24030.330097598213</v>
      </c>
      <c r="K274" s="498">
        <v>9558.2234682615072</v>
      </c>
      <c r="L274" s="518">
        <f t="shared" si="37"/>
        <v>621284525.43699801</v>
      </c>
      <c r="M274" s="491">
        <f t="shared" si="38"/>
        <v>23895.558670653769</v>
      </c>
      <c r="O274" s="522"/>
    </row>
    <row r="275" spans="1:15">
      <c r="A275" s="489" t="s">
        <v>595</v>
      </c>
      <c r="B275" s="489" t="s">
        <v>471</v>
      </c>
      <c r="C275" s="489" t="s">
        <v>308</v>
      </c>
      <c r="D275" s="489" t="s">
        <v>309</v>
      </c>
      <c r="E275" s="490">
        <v>65000</v>
      </c>
      <c r="F275" s="490">
        <v>824039250</v>
      </c>
      <c r="G275" s="491">
        <f t="shared" si="34"/>
        <v>31693.817307692309</v>
      </c>
      <c r="H275" s="498">
        <v>9671.7557365826779</v>
      </c>
      <c r="I275" s="518">
        <f t="shared" si="35"/>
        <v>628664122.87787402</v>
      </c>
      <c r="J275" s="491">
        <f t="shared" si="36"/>
        <v>24179.389341456692</v>
      </c>
      <c r="K275" s="498">
        <v>9789.4651862598785</v>
      </c>
      <c r="L275" s="518">
        <f t="shared" si="37"/>
        <v>636315237.10689211</v>
      </c>
      <c r="M275" s="491">
        <f t="shared" si="38"/>
        <v>24473.662965649695</v>
      </c>
      <c r="O275" s="522"/>
    </row>
    <row r="276" spans="1:15">
      <c r="A276" s="489" t="s">
        <v>595</v>
      </c>
      <c r="B276" s="489" t="s">
        <v>477</v>
      </c>
      <c r="C276" s="489" t="s">
        <v>293</v>
      </c>
      <c r="D276" s="489" t="s">
        <v>294</v>
      </c>
      <c r="E276" s="490">
        <v>10500</v>
      </c>
      <c r="F276" s="490">
        <v>1034283600</v>
      </c>
      <c r="G276" s="491">
        <f t="shared" si="34"/>
        <v>39780.13846153846</v>
      </c>
      <c r="H276" s="498">
        <v>67959.672823801433</v>
      </c>
      <c r="I276" s="518">
        <f t="shared" si="35"/>
        <v>713576564.6499151</v>
      </c>
      <c r="J276" s="491">
        <f t="shared" si="36"/>
        <v>27445.252486535195</v>
      </c>
      <c r="K276" s="498">
        <v>63915.84818305917</v>
      </c>
      <c r="L276" s="518">
        <f t="shared" si="37"/>
        <v>671116405.92212129</v>
      </c>
      <c r="M276" s="491">
        <f t="shared" si="38"/>
        <v>25812.169458543125</v>
      </c>
      <c r="O276" s="522"/>
    </row>
    <row r="277" spans="1:15">
      <c r="A277" s="489" t="s">
        <v>595</v>
      </c>
      <c r="B277" s="489" t="s">
        <v>477</v>
      </c>
      <c r="C277" s="489" t="s">
        <v>277</v>
      </c>
      <c r="D277" s="489" t="s">
        <v>278</v>
      </c>
      <c r="E277" s="490">
        <v>40608</v>
      </c>
      <c r="F277" s="490">
        <v>2801589120</v>
      </c>
      <c r="G277" s="491">
        <f t="shared" si="34"/>
        <v>107753.4276923077</v>
      </c>
      <c r="H277" s="498">
        <v>55339.098668665589</v>
      </c>
      <c r="I277" s="518">
        <f t="shared" si="35"/>
        <v>2247210118.7371721</v>
      </c>
      <c r="J277" s="491">
        <f t="shared" si="36"/>
        <v>86431.158412968158</v>
      </c>
      <c r="K277" s="498">
        <v>55107.937365503873</v>
      </c>
      <c r="L277" s="518">
        <f t="shared" si="37"/>
        <v>2237823120.5383811</v>
      </c>
      <c r="M277" s="491">
        <f t="shared" si="38"/>
        <v>86070.120020706963</v>
      </c>
      <c r="O277" s="522"/>
    </row>
    <row r="278" spans="1:15">
      <c r="A278" s="489" t="s">
        <v>595</v>
      </c>
      <c r="B278" s="489" t="s">
        <v>477</v>
      </c>
      <c r="C278" s="489" t="s">
        <v>299</v>
      </c>
      <c r="D278" s="489" t="s">
        <v>537</v>
      </c>
      <c r="E278" s="490">
        <v>58320</v>
      </c>
      <c r="F278" s="490">
        <v>2078507088</v>
      </c>
      <c r="G278" s="491">
        <f t="shared" si="34"/>
        <v>79942.580307692304</v>
      </c>
      <c r="H278" s="498">
        <v>25199.009463095645</v>
      </c>
      <c r="I278" s="518">
        <f t="shared" si="35"/>
        <v>1469606231.887738</v>
      </c>
      <c r="J278" s="491">
        <f t="shared" si="36"/>
        <v>56523.316611066846</v>
      </c>
      <c r="K278" s="498">
        <v>25263.091661029386</v>
      </c>
      <c r="L278" s="518">
        <f t="shared" si="37"/>
        <v>1473343505.6712339</v>
      </c>
      <c r="M278" s="491">
        <f t="shared" si="38"/>
        <v>56667.057910432071</v>
      </c>
      <c r="O278" s="522"/>
    </row>
    <row r="279" spans="1:15">
      <c r="A279" s="489" t="s">
        <v>595</v>
      </c>
      <c r="B279" s="489" t="s">
        <v>477</v>
      </c>
      <c r="C279" s="489" t="s">
        <v>267</v>
      </c>
      <c r="D279" s="489" t="s">
        <v>268</v>
      </c>
      <c r="E279" s="490">
        <v>44220</v>
      </c>
      <c r="F279" s="490">
        <v>4213083294</v>
      </c>
      <c r="G279" s="491">
        <f t="shared" si="34"/>
        <v>162041.66515384614</v>
      </c>
      <c r="H279" s="498">
        <v>60799.072595506201</v>
      </c>
      <c r="I279" s="518">
        <f t="shared" si="35"/>
        <v>2688534990.1732841</v>
      </c>
      <c r="J279" s="491">
        <f t="shared" si="36"/>
        <v>103405.19192974169</v>
      </c>
      <c r="K279" s="498">
        <v>60465.256166770589</v>
      </c>
      <c r="L279" s="518">
        <f t="shared" si="37"/>
        <v>2673773627.6945953</v>
      </c>
      <c r="M279" s="491">
        <f t="shared" si="38"/>
        <v>102837.4472190229</v>
      </c>
      <c r="O279" s="522"/>
    </row>
    <row r="280" spans="1:15">
      <c r="A280" s="489" t="s">
        <v>595</v>
      </c>
      <c r="B280" s="489" t="s">
        <v>477</v>
      </c>
      <c r="C280" s="489" t="s">
        <v>283</v>
      </c>
      <c r="D280" s="489" t="s">
        <v>538</v>
      </c>
      <c r="E280" s="490">
        <v>79288</v>
      </c>
      <c r="F280" s="490">
        <v>3501861573.5999999</v>
      </c>
      <c r="G280" s="491">
        <f t="shared" si="34"/>
        <v>134686.98360000001</v>
      </c>
      <c r="H280" s="498">
        <v>37615.085641861871</v>
      </c>
      <c r="I280" s="518">
        <f t="shared" si="35"/>
        <v>2982424910.371944</v>
      </c>
      <c r="J280" s="491">
        <f t="shared" si="36"/>
        <v>114708.65039892092</v>
      </c>
      <c r="K280" s="498">
        <v>37504.915681016544</v>
      </c>
      <c r="L280" s="518">
        <f t="shared" si="37"/>
        <v>2973689754.5164399</v>
      </c>
      <c r="M280" s="491">
        <f t="shared" si="38"/>
        <v>114372.68286601693</v>
      </c>
      <c r="O280" s="522"/>
    </row>
    <row r="281" spans="1:15">
      <c r="A281" s="489" t="s">
        <v>595</v>
      </c>
      <c r="B281" s="489" t="s">
        <v>478</v>
      </c>
      <c r="C281" s="489" t="s">
        <v>287</v>
      </c>
      <c r="D281" s="489" t="s">
        <v>288</v>
      </c>
      <c r="E281" s="490">
        <v>100800</v>
      </c>
      <c r="F281" s="490">
        <v>2908203377</v>
      </c>
      <c r="G281" s="491">
        <f t="shared" si="34"/>
        <v>111853.97603846154</v>
      </c>
      <c r="H281" s="498">
        <v>21948.848309353227</v>
      </c>
      <c r="I281" s="518">
        <f t="shared" si="35"/>
        <v>2212443909.5828052</v>
      </c>
      <c r="J281" s="491">
        <f t="shared" si="36"/>
        <v>85093.996522415589</v>
      </c>
      <c r="K281" s="498">
        <v>22403.748234410643</v>
      </c>
      <c r="L281" s="518">
        <f t="shared" si="37"/>
        <v>2258297822.0285926</v>
      </c>
      <c r="M281" s="491">
        <f t="shared" si="38"/>
        <v>86857.608539561246</v>
      </c>
      <c r="O281" s="522"/>
    </row>
    <row r="282" spans="1:15">
      <c r="A282" s="489" t="s">
        <v>595</v>
      </c>
      <c r="B282" s="489" t="s">
        <v>837</v>
      </c>
      <c r="C282" s="489" t="s">
        <v>543</v>
      </c>
      <c r="D282" s="614" t="s">
        <v>544</v>
      </c>
      <c r="E282" s="490">
        <v>75</v>
      </c>
      <c r="F282" s="490">
        <v>6153615</v>
      </c>
      <c r="G282" s="616">
        <f t="shared" si="34"/>
        <v>236.67750000000001</v>
      </c>
      <c r="H282" s="498">
        <v>27322.670142752733</v>
      </c>
      <c r="I282" s="518">
        <f t="shared" si="35"/>
        <v>2049200.260706455</v>
      </c>
      <c r="J282" s="491">
        <f t="shared" si="36"/>
        <v>78.815394642555958</v>
      </c>
      <c r="K282" s="498">
        <v>27322.670142752733</v>
      </c>
      <c r="L282" s="518">
        <f t="shared" si="37"/>
        <v>2049200.260706455</v>
      </c>
      <c r="M282" s="491">
        <f t="shared" si="38"/>
        <v>78.815394642555958</v>
      </c>
      <c r="O282" s="522"/>
    </row>
    <row r="283" spans="1:15">
      <c r="A283" s="489" t="s">
        <v>595</v>
      </c>
      <c r="B283" s="489" t="s">
        <v>469</v>
      </c>
      <c r="C283" s="489" t="s">
        <v>346</v>
      </c>
      <c r="D283" s="489" t="s">
        <v>347</v>
      </c>
      <c r="E283" s="490">
        <v>565</v>
      </c>
      <c r="F283" s="490">
        <v>119413054.8</v>
      </c>
      <c r="G283" s="491">
        <f t="shared" si="34"/>
        <v>4592.8098</v>
      </c>
      <c r="H283" s="498">
        <v>55343.877656350778</v>
      </c>
      <c r="I283" s="518">
        <f t="shared" si="35"/>
        <v>31269290.87583819</v>
      </c>
      <c r="J283" s="491">
        <f t="shared" si="36"/>
        <v>1202.6650336860841</v>
      </c>
      <c r="K283" s="498">
        <v>55343.877656350778</v>
      </c>
      <c r="L283" s="518">
        <f t="shared" si="37"/>
        <v>31269290.87583819</v>
      </c>
      <c r="M283" s="491">
        <f t="shared" si="38"/>
        <v>1202.6650336860841</v>
      </c>
      <c r="O283" s="522"/>
    </row>
    <row r="284" spans="1:15">
      <c r="A284" s="489" t="s">
        <v>595</v>
      </c>
      <c r="B284" s="489" t="s">
        <v>837</v>
      </c>
      <c r="C284" s="489" t="s">
        <v>778</v>
      </c>
      <c r="D284" s="614" t="s">
        <v>779</v>
      </c>
      <c r="E284" s="490">
        <v>20</v>
      </c>
      <c r="F284" s="490">
        <v>1507178.4</v>
      </c>
      <c r="G284" s="615">
        <f t="shared" si="34"/>
        <v>57.968399999999995</v>
      </c>
      <c r="H284" s="498">
        <v>318099.49311985064</v>
      </c>
      <c r="I284" s="518">
        <f t="shared" si="35"/>
        <v>6361989.8623970132</v>
      </c>
      <c r="J284" s="491">
        <f t="shared" si="36"/>
        <v>244.6919177845005</v>
      </c>
      <c r="K284" s="498">
        <v>318099.49311985064</v>
      </c>
      <c r="L284" s="518">
        <f t="shared" si="37"/>
        <v>6361989.8623970132</v>
      </c>
      <c r="M284" s="491">
        <f t="shared" si="38"/>
        <v>244.6919177845005</v>
      </c>
      <c r="O284" s="522"/>
    </row>
    <row r="285" spans="1:15">
      <c r="A285" s="489" t="s">
        <v>595</v>
      </c>
      <c r="B285" s="489" t="s">
        <v>837</v>
      </c>
      <c r="C285" s="489" t="s">
        <v>780</v>
      </c>
      <c r="D285" s="614" t="s">
        <v>781</v>
      </c>
      <c r="E285" s="490">
        <v>20</v>
      </c>
      <c r="F285" s="490">
        <v>1507178.4</v>
      </c>
      <c r="G285" s="615">
        <f t="shared" si="34"/>
        <v>57.968399999999995</v>
      </c>
      <c r="H285" s="498">
        <v>319183.26998053363</v>
      </c>
      <c r="I285" s="518">
        <f t="shared" si="35"/>
        <v>6383665.3996106721</v>
      </c>
      <c r="J285" s="491">
        <f t="shared" si="36"/>
        <v>245.52559229271816</v>
      </c>
      <c r="K285" s="498">
        <v>319183.26998053363</v>
      </c>
      <c r="L285" s="518">
        <f t="shared" si="37"/>
        <v>6383665.3996106721</v>
      </c>
      <c r="M285" s="491">
        <f t="shared" si="38"/>
        <v>245.52559229271816</v>
      </c>
      <c r="O285" s="522"/>
    </row>
    <row r="286" spans="1:15">
      <c r="A286" s="489" t="s">
        <v>595</v>
      </c>
      <c r="B286" s="489" t="s">
        <v>837</v>
      </c>
      <c r="C286" s="489" t="s">
        <v>782</v>
      </c>
      <c r="D286" s="614" t="s">
        <v>783</v>
      </c>
      <c r="E286" s="490">
        <v>20</v>
      </c>
      <c r="F286" s="490">
        <v>57634600</v>
      </c>
      <c r="G286" s="617">
        <f t="shared" si="34"/>
        <v>2216.7153846153847</v>
      </c>
      <c r="H286" s="498">
        <v>4146232.8530100137</v>
      </c>
      <c r="I286" s="518">
        <f t="shared" si="35"/>
        <v>82924657.060200274</v>
      </c>
      <c r="J286" s="491">
        <f t="shared" si="36"/>
        <v>3189.40988693078</v>
      </c>
      <c r="K286" s="498">
        <v>4146232.8530100137</v>
      </c>
      <c r="L286" s="518">
        <f t="shared" si="37"/>
        <v>82924657.060200274</v>
      </c>
      <c r="M286" s="491">
        <f t="shared" si="38"/>
        <v>3189.40988693078</v>
      </c>
      <c r="O286" s="522"/>
    </row>
    <row r="287" spans="1:15">
      <c r="A287" s="489" t="s">
        <v>595</v>
      </c>
      <c r="B287" s="489" t="s">
        <v>837</v>
      </c>
      <c r="C287" s="489" t="s">
        <v>784</v>
      </c>
      <c r="D287" s="614" t="s">
        <v>785</v>
      </c>
      <c r="E287" s="490">
        <v>53</v>
      </c>
      <c r="F287" s="490">
        <v>203467948</v>
      </c>
      <c r="G287" s="617">
        <f t="shared" si="34"/>
        <v>7825.6903076923081</v>
      </c>
      <c r="H287" s="498">
        <v>4142015.7307746881</v>
      </c>
      <c r="I287" s="518">
        <f t="shared" si="35"/>
        <v>219526833.73105848</v>
      </c>
      <c r="J287" s="491">
        <f t="shared" si="36"/>
        <v>8443.3397588868647</v>
      </c>
      <c r="K287" s="498">
        <v>4142015.7307746881</v>
      </c>
      <c r="L287" s="518">
        <f t="shared" si="37"/>
        <v>219526833.73105848</v>
      </c>
      <c r="M287" s="491">
        <f t="shared" si="38"/>
        <v>8443.3397588868647</v>
      </c>
      <c r="O287" s="522"/>
    </row>
    <row r="288" spans="1:15">
      <c r="A288" s="489" t="s">
        <v>595</v>
      </c>
      <c r="B288" s="489" t="s">
        <v>837</v>
      </c>
      <c r="C288" s="489" t="s">
        <v>786</v>
      </c>
      <c r="D288" s="614" t="s">
        <v>787</v>
      </c>
      <c r="E288" s="490">
        <v>73</v>
      </c>
      <c r="F288" s="490">
        <v>244545260</v>
      </c>
      <c r="G288" s="617">
        <f t="shared" si="34"/>
        <v>9405.5869230769222</v>
      </c>
      <c r="H288" s="498">
        <v>3003153.6766977422</v>
      </c>
      <c r="I288" s="518">
        <f t="shared" si="35"/>
        <v>219230218.39893517</v>
      </c>
      <c r="J288" s="491">
        <f t="shared" si="36"/>
        <v>8431.9314768821223</v>
      </c>
      <c r="K288" s="498">
        <v>3003153.6766977422</v>
      </c>
      <c r="L288" s="518">
        <f t="shared" si="37"/>
        <v>219230218.39893517</v>
      </c>
      <c r="M288" s="491">
        <f t="shared" si="38"/>
        <v>8431.9314768821223</v>
      </c>
      <c r="O288" s="522"/>
    </row>
    <row r="289" spans="1:15">
      <c r="A289" s="489" t="s">
        <v>595</v>
      </c>
      <c r="B289" s="489" t="s">
        <v>837</v>
      </c>
      <c r="C289" s="489" t="s">
        <v>788</v>
      </c>
      <c r="D289" s="614" t="s">
        <v>789</v>
      </c>
      <c r="E289" s="490">
        <v>20</v>
      </c>
      <c r="F289" s="490">
        <v>1501952.4</v>
      </c>
      <c r="G289" s="615">
        <f t="shared" si="34"/>
        <v>57.767399999999995</v>
      </c>
      <c r="H289" s="498">
        <v>4032.6447635350496</v>
      </c>
      <c r="I289" s="518">
        <f t="shared" si="35"/>
        <v>80652.895270700988</v>
      </c>
      <c r="J289" s="491">
        <f t="shared" si="36"/>
        <v>3.1020344334884995</v>
      </c>
      <c r="K289" s="498">
        <v>4032.6447635350496</v>
      </c>
      <c r="L289" s="518">
        <f t="shared" si="37"/>
        <v>80652.895270700988</v>
      </c>
      <c r="M289" s="491">
        <f t="shared" si="38"/>
        <v>3.1020344334884995</v>
      </c>
      <c r="O289" s="522"/>
    </row>
    <row r="290" spans="1:15">
      <c r="A290" s="489" t="s">
        <v>595</v>
      </c>
      <c r="B290" s="489" t="s">
        <v>837</v>
      </c>
      <c r="C290" s="489" t="s">
        <v>790</v>
      </c>
      <c r="D290" s="614" t="s">
        <v>791</v>
      </c>
      <c r="E290" s="490">
        <v>20</v>
      </c>
      <c r="F290" s="490">
        <v>2155202.4</v>
      </c>
      <c r="G290" s="615">
        <f t="shared" si="34"/>
        <v>82.892399999999995</v>
      </c>
      <c r="H290" s="498">
        <v>314336.46277269023</v>
      </c>
      <c r="I290" s="518">
        <f t="shared" si="35"/>
        <v>6286729.2554538045</v>
      </c>
      <c r="J290" s="491">
        <f t="shared" si="36"/>
        <v>241.79727905591557</v>
      </c>
      <c r="K290" s="498">
        <v>314336.46277269023</v>
      </c>
      <c r="L290" s="518">
        <f t="shared" si="37"/>
        <v>6286729.2554538045</v>
      </c>
      <c r="M290" s="491">
        <f t="shared" si="38"/>
        <v>241.79727905591557</v>
      </c>
      <c r="O290" s="522"/>
    </row>
    <row r="291" spans="1:15">
      <c r="A291" s="489" t="s">
        <v>595</v>
      </c>
      <c r="B291" s="489" t="s">
        <v>837</v>
      </c>
      <c r="C291" s="489" t="s">
        <v>792</v>
      </c>
      <c r="D291" s="614" t="s">
        <v>793</v>
      </c>
      <c r="E291" s="490">
        <v>20</v>
      </c>
      <c r="F291" s="490">
        <v>2155202.4</v>
      </c>
      <c r="G291" s="615">
        <f t="shared" si="34"/>
        <v>82.892399999999995</v>
      </c>
      <c r="H291" s="498">
        <v>314936.46277246578</v>
      </c>
      <c r="I291" s="518">
        <f t="shared" si="35"/>
        <v>6298729.2554493155</v>
      </c>
      <c r="J291" s="491">
        <f t="shared" si="36"/>
        <v>242.25881751728136</v>
      </c>
      <c r="K291" s="498">
        <v>314936.46277246578</v>
      </c>
      <c r="L291" s="518">
        <f t="shared" si="37"/>
        <v>6298729.2554493155</v>
      </c>
      <c r="M291" s="491">
        <f t="shared" si="38"/>
        <v>242.25881751728136</v>
      </c>
      <c r="O291" s="522"/>
    </row>
    <row r="292" spans="1:15">
      <c r="A292" s="489" t="s">
        <v>595</v>
      </c>
      <c r="B292" s="489" t="s">
        <v>837</v>
      </c>
      <c r="C292" s="489" t="s">
        <v>794</v>
      </c>
      <c r="D292" s="614" t="s">
        <v>795</v>
      </c>
      <c r="E292" s="490">
        <v>20</v>
      </c>
      <c r="F292" s="490">
        <v>3179498.4</v>
      </c>
      <c r="G292" s="615">
        <f t="shared" si="34"/>
        <v>122.2884</v>
      </c>
      <c r="H292" s="498">
        <v>266297.15374611632</v>
      </c>
      <c r="I292" s="518">
        <f t="shared" si="35"/>
        <v>5325943.074922327</v>
      </c>
      <c r="J292" s="491">
        <f t="shared" si="36"/>
        <v>204.84396442008949</v>
      </c>
      <c r="K292" s="498">
        <v>266297.15374611632</v>
      </c>
      <c r="L292" s="518">
        <f t="shared" si="37"/>
        <v>5325943.074922327</v>
      </c>
      <c r="M292" s="491">
        <f t="shared" si="38"/>
        <v>204.84396442008949</v>
      </c>
      <c r="O292" s="522"/>
    </row>
    <row r="293" spans="1:15">
      <c r="A293" s="489" t="s">
        <v>595</v>
      </c>
      <c r="B293" s="489" t="s">
        <v>837</v>
      </c>
      <c r="C293" s="489" t="s">
        <v>796</v>
      </c>
      <c r="D293" s="614" t="s">
        <v>797</v>
      </c>
      <c r="E293" s="490">
        <v>20</v>
      </c>
      <c r="F293" s="490">
        <v>1533308.4</v>
      </c>
      <c r="G293" s="615">
        <f t="shared" si="34"/>
        <v>58.973399999999998</v>
      </c>
      <c r="H293" s="498">
        <v>3363.7946866606362</v>
      </c>
      <c r="I293" s="518">
        <f t="shared" si="35"/>
        <v>67275.893733212724</v>
      </c>
      <c r="J293" s="491">
        <f t="shared" si="36"/>
        <v>2.5875343743543358</v>
      </c>
      <c r="K293" s="498">
        <v>3363.7946866606362</v>
      </c>
      <c r="L293" s="518">
        <f t="shared" si="37"/>
        <v>67275.893733212724</v>
      </c>
      <c r="M293" s="491">
        <f t="shared" si="38"/>
        <v>2.5875343743543358</v>
      </c>
      <c r="O293" s="522"/>
    </row>
    <row r="294" spans="1:15">
      <c r="A294" s="489" t="s">
        <v>595</v>
      </c>
      <c r="B294" s="489" t="s">
        <v>837</v>
      </c>
      <c r="C294" s="489" t="s">
        <v>798</v>
      </c>
      <c r="D294" s="614" t="s">
        <v>799</v>
      </c>
      <c r="E294" s="490">
        <v>20</v>
      </c>
      <c r="F294" s="490">
        <v>1533308.4</v>
      </c>
      <c r="G294" s="615">
        <f t="shared" si="34"/>
        <v>58.973399999999998</v>
      </c>
      <c r="H294" s="498">
        <v>3363.7946866606362</v>
      </c>
      <c r="I294" s="518">
        <f t="shared" si="35"/>
        <v>67275.893733212724</v>
      </c>
      <c r="J294" s="491">
        <f t="shared" si="36"/>
        <v>2.5875343743543358</v>
      </c>
      <c r="K294" s="498">
        <v>3363.7946866606362</v>
      </c>
      <c r="L294" s="518">
        <f t="shared" si="37"/>
        <v>67275.893733212724</v>
      </c>
      <c r="M294" s="491">
        <f t="shared" si="38"/>
        <v>2.5875343743543358</v>
      </c>
      <c r="O294" s="522"/>
    </row>
    <row r="295" spans="1:15">
      <c r="A295" s="489" t="s">
        <v>595</v>
      </c>
      <c r="B295" s="489" t="s">
        <v>837</v>
      </c>
      <c r="C295" s="489" t="s">
        <v>545</v>
      </c>
      <c r="D295" s="614" t="s">
        <v>546</v>
      </c>
      <c r="E295" s="490">
        <v>132</v>
      </c>
      <c r="F295" s="490">
        <v>10830362.4</v>
      </c>
      <c r="G295" s="615">
        <f t="shared" si="34"/>
        <v>416.55240000000003</v>
      </c>
      <c r="H295" s="498">
        <v>270342.20357225393</v>
      </c>
      <c r="I295" s="518">
        <f t="shared" si="35"/>
        <v>35685170.871537521</v>
      </c>
      <c r="J295" s="491">
        <f t="shared" si="36"/>
        <v>1372.5065719822123</v>
      </c>
      <c r="K295" s="498">
        <v>270342.20357225393</v>
      </c>
      <c r="L295" s="518">
        <f t="shared" si="37"/>
        <v>35685170.871537521</v>
      </c>
      <c r="M295" s="491">
        <f t="shared" si="38"/>
        <v>1372.5065719822123</v>
      </c>
      <c r="O295" s="522"/>
    </row>
    <row r="296" spans="1:15">
      <c r="A296" s="489" t="s">
        <v>595</v>
      </c>
      <c r="B296" s="489" t="s">
        <v>469</v>
      </c>
      <c r="C296" s="489" t="s">
        <v>733</v>
      </c>
      <c r="D296" s="489" t="s">
        <v>734</v>
      </c>
      <c r="E296" s="490">
        <v>500</v>
      </c>
      <c r="F296" s="490">
        <v>24709520</v>
      </c>
      <c r="G296" s="491">
        <f t="shared" si="34"/>
        <v>950.36615384615379</v>
      </c>
      <c r="H296" s="498">
        <v>3223.4325858706839</v>
      </c>
      <c r="I296" s="518">
        <f t="shared" si="35"/>
        <v>1611716.2929353418</v>
      </c>
      <c r="J296" s="491">
        <f t="shared" si="36"/>
        <v>61.989088189820841</v>
      </c>
      <c r="K296" s="498">
        <v>3223.4325858706839</v>
      </c>
      <c r="L296" s="518">
        <f t="shared" si="37"/>
        <v>1611716.2929353418</v>
      </c>
      <c r="M296" s="491">
        <f t="shared" si="38"/>
        <v>61.989088189820841</v>
      </c>
      <c r="O296" s="522"/>
    </row>
    <row r="297" spans="1:15">
      <c r="A297" s="489" t="s">
        <v>595</v>
      </c>
      <c r="B297" s="489" t="s">
        <v>469</v>
      </c>
      <c r="C297" s="489" t="s">
        <v>724</v>
      </c>
      <c r="D297" s="489" t="s">
        <v>725</v>
      </c>
      <c r="E297" s="490">
        <v>500</v>
      </c>
      <c r="F297" s="490">
        <v>12145800</v>
      </c>
      <c r="G297" s="491">
        <f t="shared" si="34"/>
        <v>467.14615384615382</v>
      </c>
      <c r="H297" s="498">
        <v>1102.6741212347645</v>
      </c>
      <c r="I297" s="518">
        <f t="shared" si="35"/>
        <v>551337.06061738229</v>
      </c>
      <c r="J297" s="491">
        <f t="shared" si="36"/>
        <v>21.20527156220701</v>
      </c>
      <c r="K297" s="498">
        <v>1102.6741212347645</v>
      </c>
      <c r="L297" s="518">
        <f t="shared" si="37"/>
        <v>551337.06061738229</v>
      </c>
      <c r="M297" s="491">
        <f t="shared" si="38"/>
        <v>21.20527156220701</v>
      </c>
      <c r="O297" s="522"/>
    </row>
    <row r="298" spans="1:15">
      <c r="A298" s="489" t="s">
        <v>595</v>
      </c>
      <c r="B298" s="489" t="s">
        <v>469</v>
      </c>
      <c r="C298" s="489" t="s">
        <v>366</v>
      </c>
      <c r="D298" s="489" t="s">
        <v>367</v>
      </c>
      <c r="E298" s="490">
        <v>80</v>
      </c>
      <c r="F298" s="490">
        <v>16985164.800000001</v>
      </c>
      <c r="G298" s="491">
        <f t="shared" si="34"/>
        <v>653.27556923076929</v>
      </c>
      <c r="H298" s="498">
        <v>54121.087587399503</v>
      </c>
      <c r="I298" s="518">
        <f t="shared" si="35"/>
        <v>4329687.0069919601</v>
      </c>
      <c r="J298" s="491">
        <f t="shared" si="36"/>
        <v>166.52642334584462</v>
      </c>
      <c r="K298" s="498">
        <v>52055.075477284016</v>
      </c>
      <c r="L298" s="518">
        <f t="shared" si="37"/>
        <v>4164406.0381827215</v>
      </c>
      <c r="M298" s="491">
        <f t="shared" si="38"/>
        <v>160.16946300702776</v>
      </c>
      <c r="O298" s="522"/>
    </row>
    <row r="299" spans="1:15">
      <c r="A299" s="489" t="s">
        <v>595</v>
      </c>
      <c r="B299" s="489" t="s">
        <v>469</v>
      </c>
      <c r="C299" s="489" t="s">
        <v>339</v>
      </c>
      <c r="D299" s="489" t="s">
        <v>340</v>
      </c>
      <c r="E299" s="490">
        <v>500</v>
      </c>
      <c r="F299" s="490">
        <v>56163068.700000003</v>
      </c>
      <c r="G299" s="491">
        <f t="shared" si="34"/>
        <v>2160.1180269230772</v>
      </c>
      <c r="H299" s="498">
        <v>40268.978068925026</v>
      </c>
      <c r="I299" s="518">
        <f t="shared" si="35"/>
        <v>20134489.034462512</v>
      </c>
      <c r="J299" s="491">
        <f t="shared" si="36"/>
        <v>774.40342440240431</v>
      </c>
      <c r="K299" s="498">
        <v>55964.011036604163</v>
      </c>
      <c r="L299" s="518">
        <f t="shared" si="37"/>
        <v>27982005.518302083</v>
      </c>
      <c r="M299" s="491">
        <f t="shared" si="38"/>
        <v>1076.230981473157</v>
      </c>
      <c r="O299" s="522"/>
    </row>
    <row r="300" spans="1:15">
      <c r="A300" s="489" t="s">
        <v>595</v>
      </c>
      <c r="B300" s="489" t="s">
        <v>469</v>
      </c>
      <c r="C300" s="489" t="s">
        <v>348</v>
      </c>
      <c r="D300" s="489" t="s">
        <v>349</v>
      </c>
      <c r="E300" s="490">
        <v>500</v>
      </c>
      <c r="F300" s="490">
        <v>57695040</v>
      </c>
      <c r="G300" s="491">
        <f t="shared" ref="G300:G331" si="39">+F300/26000</f>
        <v>2219.04</v>
      </c>
      <c r="H300" s="498">
        <v>33036.462606356698</v>
      </c>
      <c r="I300" s="518">
        <f t="shared" ref="I300:I331" si="40">+H300*E300</f>
        <v>16518231.30317835</v>
      </c>
      <c r="J300" s="491">
        <f t="shared" ref="J300:J331" si="41">+I300/26000</f>
        <v>635.31658858378262</v>
      </c>
      <c r="K300" s="498">
        <v>18136.214464740129</v>
      </c>
      <c r="L300" s="518">
        <f t="shared" ref="L300:L331" si="42">+K300*E300</f>
        <v>9068107.2323700637</v>
      </c>
      <c r="M300" s="491">
        <f t="shared" ref="M300:M331" si="43">+L300/26000</f>
        <v>348.7733550911563</v>
      </c>
      <c r="O300" s="522"/>
    </row>
    <row r="301" spans="1:15">
      <c r="A301" s="489" t="s">
        <v>595</v>
      </c>
      <c r="B301" s="489" t="s">
        <v>469</v>
      </c>
      <c r="C301" s="489" t="s">
        <v>350</v>
      </c>
      <c r="D301" s="489" t="s">
        <v>351</v>
      </c>
      <c r="E301" s="490">
        <v>500</v>
      </c>
      <c r="F301" s="490">
        <v>63208470</v>
      </c>
      <c r="G301" s="491">
        <f t="shared" si="39"/>
        <v>2431.0949999999998</v>
      </c>
      <c r="H301" s="498">
        <v>38187.694044430624</v>
      </c>
      <c r="I301" s="518">
        <f t="shared" si="40"/>
        <v>19093847.02221531</v>
      </c>
      <c r="J301" s="491">
        <f t="shared" si="41"/>
        <v>734.37873162366577</v>
      </c>
      <c r="K301" s="498">
        <v>20136.849365570739</v>
      </c>
      <c r="L301" s="518">
        <f t="shared" si="42"/>
        <v>10068424.682785369</v>
      </c>
      <c r="M301" s="491">
        <f t="shared" si="43"/>
        <v>387.24710318405266</v>
      </c>
      <c r="O301" s="522"/>
    </row>
    <row r="302" spans="1:15">
      <c r="A302" s="489" t="s">
        <v>595</v>
      </c>
      <c r="B302" s="489" t="s">
        <v>469</v>
      </c>
      <c r="C302" s="489" t="s">
        <v>498</v>
      </c>
      <c r="D302" s="489" t="s">
        <v>499</v>
      </c>
      <c r="E302" s="490">
        <v>1616</v>
      </c>
      <c r="F302" s="490">
        <v>34467879.399999999</v>
      </c>
      <c r="G302" s="491">
        <f t="shared" si="39"/>
        <v>1325.6876692307692</v>
      </c>
      <c r="H302" s="498">
        <v>53997.607275465838</v>
      </c>
      <c r="I302" s="518">
        <f t="shared" si="40"/>
        <v>87260133.35715279</v>
      </c>
      <c r="J302" s="491">
        <f t="shared" si="41"/>
        <v>3356.1589752751074</v>
      </c>
      <c r="K302" s="498">
        <v>53997.607275465838</v>
      </c>
      <c r="L302" s="518">
        <f t="shared" si="42"/>
        <v>87260133.35715279</v>
      </c>
      <c r="M302" s="491">
        <f t="shared" si="43"/>
        <v>3356.1589752751074</v>
      </c>
      <c r="O302" s="522"/>
    </row>
    <row r="303" spans="1:15">
      <c r="A303" s="489" t="s">
        <v>595</v>
      </c>
      <c r="B303" s="489" t="s">
        <v>469</v>
      </c>
      <c r="C303" s="489" t="s">
        <v>464</v>
      </c>
      <c r="D303" s="489" t="s">
        <v>465</v>
      </c>
      <c r="E303" s="490">
        <v>554</v>
      </c>
      <c r="F303" s="490">
        <v>16097386.5</v>
      </c>
      <c r="G303" s="491">
        <f t="shared" si="39"/>
        <v>619.13025000000005</v>
      </c>
      <c r="H303" s="498">
        <v>33571.768402817557</v>
      </c>
      <c r="I303" s="518">
        <f t="shared" si="40"/>
        <v>18598759.695160925</v>
      </c>
      <c r="J303" s="491">
        <f t="shared" si="41"/>
        <v>715.33691135234324</v>
      </c>
      <c r="K303" s="498">
        <v>33571.768402817557</v>
      </c>
      <c r="L303" s="518">
        <f t="shared" si="42"/>
        <v>18598759.695160925</v>
      </c>
      <c r="M303" s="491">
        <f t="shared" si="43"/>
        <v>715.33691135234324</v>
      </c>
      <c r="O303" s="522"/>
    </row>
    <row r="304" spans="1:15">
      <c r="A304" s="489" t="s">
        <v>595</v>
      </c>
      <c r="B304" s="489" t="s">
        <v>469</v>
      </c>
      <c r="C304" s="489" t="s">
        <v>466</v>
      </c>
      <c r="D304" s="489" t="s">
        <v>467</v>
      </c>
      <c r="E304" s="490">
        <v>3110</v>
      </c>
      <c r="F304" s="490">
        <v>115074072</v>
      </c>
      <c r="G304" s="491">
        <f t="shared" si="39"/>
        <v>4425.9258461538466</v>
      </c>
      <c r="H304" s="498">
        <v>97638.648014744525</v>
      </c>
      <c r="I304" s="518">
        <f t="shared" si="40"/>
        <v>303656195.32585549</v>
      </c>
      <c r="J304" s="491">
        <f t="shared" si="41"/>
        <v>11679.084435609826</v>
      </c>
      <c r="K304" s="498">
        <v>97638.648014744525</v>
      </c>
      <c r="L304" s="518">
        <f t="shared" si="42"/>
        <v>303656195.32585549</v>
      </c>
      <c r="M304" s="491">
        <f t="shared" si="43"/>
        <v>11679.084435609826</v>
      </c>
      <c r="O304" s="522"/>
    </row>
    <row r="305" spans="1:15">
      <c r="A305" s="489" t="s">
        <v>595</v>
      </c>
      <c r="B305" s="489" t="s">
        <v>469</v>
      </c>
      <c r="C305" s="489" t="s">
        <v>720</v>
      </c>
      <c r="D305" s="489" t="s">
        <v>721</v>
      </c>
      <c r="E305" s="490">
        <v>200</v>
      </c>
      <c r="F305" s="490">
        <v>6181860</v>
      </c>
      <c r="G305" s="491">
        <f t="shared" si="39"/>
        <v>237.76384615384615</v>
      </c>
      <c r="H305" s="498">
        <v>65803.088088211924</v>
      </c>
      <c r="I305" s="518">
        <f t="shared" si="40"/>
        <v>13160617.617642384</v>
      </c>
      <c r="J305" s="491">
        <f t="shared" si="41"/>
        <v>506.17760067855323</v>
      </c>
      <c r="K305" s="498">
        <v>167285.36554252985</v>
      </c>
      <c r="L305" s="518">
        <f t="shared" si="42"/>
        <v>33457073.108505972</v>
      </c>
      <c r="M305" s="491">
        <f t="shared" si="43"/>
        <v>1286.8105041733065</v>
      </c>
      <c r="O305" s="522"/>
    </row>
    <row r="306" spans="1:15">
      <c r="A306" s="489" t="s">
        <v>595</v>
      </c>
      <c r="B306" s="489" t="s">
        <v>469</v>
      </c>
      <c r="C306" s="489" t="s">
        <v>412</v>
      </c>
      <c r="D306" s="489" t="s">
        <v>413</v>
      </c>
      <c r="E306" s="490">
        <v>1000</v>
      </c>
      <c r="F306" s="490">
        <v>50692200</v>
      </c>
      <c r="G306" s="491">
        <f t="shared" si="39"/>
        <v>1949.7</v>
      </c>
      <c r="H306" s="498">
        <v>47858.646712836067</v>
      </c>
      <c r="I306" s="518">
        <f t="shared" si="40"/>
        <v>47858646.712836064</v>
      </c>
      <c r="J306" s="491">
        <f t="shared" si="41"/>
        <v>1840.7171812629256</v>
      </c>
      <c r="K306" s="498">
        <v>48841.423055583327</v>
      </c>
      <c r="L306" s="518">
        <f t="shared" si="42"/>
        <v>48841423.055583328</v>
      </c>
      <c r="M306" s="491">
        <f t="shared" si="43"/>
        <v>1878.5162713685895</v>
      </c>
      <c r="O306" s="522"/>
    </row>
    <row r="307" spans="1:15">
      <c r="A307" s="489" t="s">
        <v>595</v>
      </c>
      <c r="B307" s="489" t="s">
        <v>469</v>
      </c>
      <c r="C307" s="489" t="s">
        <v>800</v>
      </c>
      <c r="D307" s="489" t="s">
        <v>801</v>
      </c>
      <c r="E307" s="490">
        <v>210</v>
      </c>
      <c r="F307" s="490">
        <v>12576891.6</v>
      </c>
      <c r="G307" s="491">
        <f t="shared" si="39"/>
        <v>483.72659999999996</v>
      </c>
      <c r="H307" s="498">
        <v>45620.429914993081</v>
      </c>
      <c r="I307" s="518">
        <f t="shared" si="40"/>
        <v>9580290.2821485475</v>
      </c>
      <c r="J307" s="491">
        <f t="shared" si="41"/>
        <v>368.4727031595595</v>
      </c>
      <c r="K307" s="498">
        <v>45620.429914993081</v>
      </c>
      <c r="L307" s="518">
        <f t="shared" si="42"/>
        <v>9580290.2821485475</v>
      </c>
      <c r="M307" s="491">
        <f t="shared" si="43"/>
        <v>368.4727031595595</v>
      </c>
      <c r="O307" s="522"/>
    </row>
    <row r="308" spans="1:15">
      <c r="A308" s="489" t="s">
        <v>595</v>
      </c>
      <c r="B308" s="489" t="s">
        <v>469</v>
      </c>
      <c r="C308" s="489" t="s">
        <v>387</v>
      </c>
      <c r="D308" s="489" t="s">
        <v>388</v>
      </c>
      <c r="E308" s="490">
        <v>109</v>
      </c>
      <c r="F308" s="490">
        <v>6601306</v>
      </c>
      <c r="G308" s="491">
        <f t="shared" si="39"/>
        <v>253.89638461538462</v>
      </c>
      <c r="H308" s="498">
        <v>12102.368283052001</v>
      </c>
      <c r="I308" s="518">
        <f t="shared" si="40"/>
        <v>1319158.1428526682</v>
      </c>
      <c r="J308" s="491">
        <f t="shared" si="41"/>
        <v>50.736851648179545</v>
      </c>
      <c r="K308" s="498">
        <v>12102.368283052001</v>
      </c>
      <c r="L308" s="518">
        <f t="shared" si="42"/>
        <v>1319158.1428526682</v>
      </c>
      <c r="M308" s="491">
        <f t="shared" si="43"/>
        <v>50.736851648179545</v>
      </c>
      <c r="O308" s="522"/>
    </row>
    <row r="309" spans="1:15">
      <c r="A309" s="489" t="s">
        <v>595</v>
      </c>
      <c r="B309" s="489" t="s">
        <v>469</v>
      </c>
      <c r="C309" s="489" t="s">
        <v>802</v>
      </c>
      <c r="D309" s="489" t="s">
        <v>803</v>
      </c>
      <c r="E309" s="490">
        <v>150</v>
      </c>
      <c r="F309" s="490">
        <v>14282658</v>
      </c>
      <c r="G309" s="491">
        <f t="shared" si="39"/>
        <v>549.33299999999997</v>
      </c>
      <c r="H309" s="498">
        <v>32213.88186042097</v>
      </c>
      <c r="I309" s="518">
        <f t="shared" si="40"/>
        <v>4832082.2790631456</v>
      </c>
      <c r="J309" s="491">
        <f t="shared" si="41"/>
        <v>185.8493184255056</v>
      </c>
      <c r="K309" s="498">
        <v>32213.88186042097</v>
      </c>
      <c r="L309" s="518">
        <f t="shared" si="42"/>
        <v>4832082.2790631456</v>
      </c>
      <c r="M309" s="491">
        <f t="shared" si="43"/>
        <v>185.8493184255056</v>
      </c>
      <c r="O309" s="522"/>
    </row>
    <row r="310" spans="1:15">
      <c r="A310" s="489" t="s">
        <v>595</v>
      </c>
      <c r="B310" s="489" t="s">
        <v>469</v>
      </c>
      <c r="C310" s="489" t="s">
        <v>418</v>
      </c>
      <c r="D310" s="489" t="s">
        <v>419</v>
      </c>
      <c r="E310" s="490">
        <v>500</v>
      </c>
      <c r="F310" s="490">
        <v>9229116</v>
      </c>
      <c r="G310" s="491">
        <f t="shared" si="39"/>
        <v>354.96600000000001</v>
      </c>
      <c r="H310" s="498">
        <v>2418.9811553972618</v>
      </c>
      <c r="I310" s="518">
        <f t="shared" si="40"/>
        <v>1209490.577698631</v>
      </c>
      <c r="J310" s="491">
        <f t="shared" si="41"/>
        <v>46.518868373024269</v>
      </c>
      <c r="K310" s="498">
        <v>2418.9811553972618</v>
      </c>
      <c r="L310" s="518">
        <f t="shared" si="42"/>
        <v>1209490.577698631</v>
      </c>
      <c r="M310" s="491">
        <f t="shared" si="43"/>
        <v>46.518868373024269</v>
      </c>
      <c r="O310" s="522"/>
    </row>
    <row r="311" spans="1:15">
      <c r="A311" s="489" t="s">
        <v>595</v>
      </c>
      <c r="B311" s="489" t="s">
        <v>469</v>
      </c>
      <c r="C311" s="489" t="s">
        <v>804</v>
      </c>
      <c r="D311" s="489" t="s">
        <v>805</v>
      </c>
      <c r="E311" s="490">
        <v>100</v>
      </c>
      <c r="F311" s="490">
        <v>11278616</v>
      </c>
      <c r="G311" s="491">
        <f t="shared" si="39"/>
        <v>433.7929230769231</v>
      </c>
      <c r="H311" s="498">
        <v>21163.502950450435</v>
      </c>
      <c r="I311" s="518">
        <f t="shared" si="40"/>
        <v>2116350.2950450433</v>
      </c>
      <c r="J311" s="491">
        <f t="shared" si="41"/>
        <v>81.3980882709632</v>
      </c>
      <c r="K311" s="498">
        <v>8786.1856378186621</v>
      </c>
      <c r="L311" s="518">
        <f t="shared" si="42"/>
        <v>878618.56378186622</v>
      </c>
      <c r="M311" s="491">
        <f t="shared" si="43"/>
        <v>33.793021683917935</v>
      </c>
      <c r="O311" s="522"/>
    </row>
    <row r="312" spans="1:15">
      <c r="A312" s="489" t="s">
        <v>595</v>
      </c>
      <c r="B312" s="489" t="s">
        <v>469</v>
      </c>
      <c r="C312" s="489" t="s">
        <v>806</v>
      </c>
      <c r="D312" s="489" t="s">
        <v>807</v>
      </c>
      <c r="E312" s="490">
        <v>1000</v>
      </c>
      <c r="F312" s="490">
        <v>34426160</v>
      </c>
      <c r="G312" s="491">
        <f t="shared" si="39"/>
        <v>1324.083076923077</v>
      </c>
      <c r="H312" s="498">
        <v>27427.921913009817</v>
      </c>
      <c r="I312" s="518">
        <f t="shared" si="40"/>
        <v>27427921.913009819</v>
      </c>
      <c r="J312" s="491">
        <f t="shared" si="41"/>
        <v>1054.9200735773006</v>
      </c>
      <c r="K312" s="498">
        <v>27427.921913009817</v>
      </c>
      <c r="L312" s="518">
        <f t="shared" si="42"/>
        <v>27427921.913009819</v>
      </c>
      <c r="M312" s="491">
        <f t="shared" si="43"/>
        <v>1054.9200735773006</v>
      </c>
      <c r="O312" s="522"/>
    </row>
    <row r="313" spans="1:15">
      <c r="A313" s="489" t="s">
        <v>595</v>
      </c>
      <c r="B313" s="489" t="s">
        <v>469</v>
      </c>
      <c r="C313" s="489" t="s">
        <v>402</v>
      </c>
      <c r="D313" s="489" t="s">
        <v>808</v>
      </c>
      <c r="E313" s="490">
        <v>300</v>
      </c>
      <c r="F313" s="490">
        <v>44086536</v>
      </c>
      <c r="G313" s="491">
        <f t="shared" si="39"/>
        <v>1695.636</v>
      </c>
      <c r="H313" s="498">
        <v>61390.352673352703</v>
      </c>
      <c r="I313" s="518">
        <f t="shared" si="40"/>
        <v>18417105.802005813</v>
      </c>
      <c r="J313" s="491">
        <f t="shared" si="41"/>
        <v>708.35022315406968</v>
      </c>
      <c r="K313" s="498">
        <v>79210.924133828259</v>
      </c>
      <c r="L313" s="518">
        <f t="shared" si="42"/>
        <v>23763277.240148477</v>
      </c>
      <c r="M313" s="491">
        <f t="shared" si="43"/>
        <v>913.97220154417221</v>
      </c>
      <c r="O313" s="522"/>
    </row>
    <row r="314" spans="1:15">
      <c r="A314" s="489" t="s">
        <v>595</v>
      </c>
      <c r="B314" s="489" t="s">
        <v>469</v>
      </c>
      <c r="C314" s="489" t="s">
        <v>398</v>
      </c>
      <c r="D314" s="489" t="s">
        <v>540</v>
      </c>
      <c r="E314" s="490">
        <v>1000</v>
      </c>
      <c r="F314" s="490">
        <v>26783815.800000001</v>
      </c>
      <c r="G314" s="491">
        <f t="shared" si="39"/>
        <v>1030.1467615384615</v>
      </c>
      <c r="H314" s="498">
        <v>25450.936238530157</v>
      </c>
      <c r="I314" s="518">
        <f t="shared" si="40"/>
        <v>25450936.238530159</v>
      </c>
      <c r="J314" s="491">
        <f t="shared" si="41"/>
        <v>978.88216302039075</v>
      </c>
      <c r="K314" s="498">
        <v>26782.976033961339</v>
      </c>
      <c r="L314" s="518">
        <f t="shared" si="42"/>
        <v>26782976.033961337</v>
      </c>
      <c r="M314" s="491">
        <f t="shared" si="43"/>
        <v>1030.1144628446668</v>
      </c>
      <c r="O314" s="522"/>
    </row>
    <row r="315" spans="1:15">
      <c r="A315" s="489" t="s">
        <v>595</v>
      </c>
      <c r="B315" s="489" t="s">
        <v>469</v>
      </c>
      <c r="C315" s="489" t="s">
        <v>275</v>
      </c>
      <c r="D315" s="489" t="s">
        <v>276</v>
      </c>
      <c r="E315" s="490">
        <v>60</v>
      </c>
      <c r="F315" s="490">
        <v>14219946</v>
      </c>
      <c r="G315" s="491">
        <f t="shared" si="39"/>
        <v>546.92100000000005</v>
      </c>
      <c r="H315" s="498">
        <v>161122.55652250416</v>
      </c>
      <c r="I315" s="518">
        <f t="shared" si="40"/>
        <v>9667353.3913502507</v>
      </c>
      <c r="J315" s="491">
        <f t="shared" si="41"/>
        <v>371.82128428270192</v>
      </c>
      <c r="K315" s="498">
        <v>209234.37927130226</v>
      </c>
      <c r="L315" s="518">
        <f t="shared" si="42"/>
        <v>12554062.756278135</v>
      </c>
      <c r="M315" s="491">
        <f t="shared" si="43"/>
        <v>482.84856754915904</v>
      </c>
      <c r="O315" s="522"/>
    </row>
    <row r="316" spans="1:15">
      <c r="A316" s="489" t="s">
        <v>595</v>
      </c>
      <c r="B316" s="489" t="s">
        <v>469</v>
      </c>
      <c r="C316" s="489" t="s">
        <v>809</v>
      </c>
      <c r="D316" s="489" t="s">
        <v>810</v>
      </c>
      <c r="E316" s="490">
        <v>500</v>
      </c>
      <c r="F316" s="490">
        <v>53090340</v>
      </c>
      <c r="G316" s="491">
        <f t="shared" si="39"/>
        <v>2041.936153846154</v>
      </c>
      <c r="H316" s="498">
        <v>74466.214176651614</v>
      </c>
      <c r="I316" s="518">
        <f t="shared" si="40"/>
        <v>37233107.088325806</v>
      </c>
      <c r="J316" s="491">
        <f t="shared" si="41"/>
        <v>1432.0425803202234</v>
      </c>
      <c r="K316" s="498">
        <v>74466.214176651614</v>
      </c>
      <c r="L316" s="518">
        <f t="shared" si="42"/>
        <v>37233107.088325806</v>
      </c>
      <c r="M316" s="491">
        <f t="shared" si="43"/>
        <v>1432.0425803202234</v>
      </c>
      <c r="O316" s="522"/>
    </row>
    <row r="317" spans="1:15">
      <c r="A317" s="489" t="s">
        <v>595</v>
      </c>
      <c r="B317" s="489" t="s">
        <v>469</v>
      </c>
      <c r="C317" s="489" t="s">
        <v>318</v>
      </c>
      <c r="D317" s="489" t="s">
        <v>319</v>
      </c>
      <c r="E317" s="490">
        <v>240</v>
      </c>
      <c r="F317" s="490">
        <v>39902808</v>
      </c>
      <c r="G317" s="491">
        <f t="shared" si="39"/>
        <v>1534.7233846153847</v>
      </c>
      <c r="H317" s="498">
        <v>178312.97269867873</v>
      </c>
      <c r="I317" s="518">
        <f t="shared" si="40"/>
        <v>42795113.447682895</v>
      </c>
      <c r="J317" s="491">
        <f t="shared" si="41"/>
        <v>1645.9659018339576</v>
      </c>
      <c r="K317" s="498">
        <v>178312.97269867873</v>
      </c>
      <c r="L317" s="518">
        <f t="shared" si="42"/>
        <v>42795113.447682895</v>
      </c>
      <c r="M317" s="491">
        <f t="shared" si="43"/>
        <v>1645.9659018339576</v>
      </c>
      <c r="O317" s="522"/>
    </row>
    <row r="318" spans="1:15">
      <c r="A318" s="489" t="s">
        <v>595</v>
      </c>
      <c r="B318" s="489" t="s">
        <v>469</v>
      </c>
      <c r="C318" s="489" t="s">
        <v>341</v>
      </c>
      <c r="D318" s="489" t="s">
        <v>342</v>
      </c>
      <c r="E318" s="490">
        <v>176</v>
      </c>
      <c r="F318" s="490">
        <v>96282208</v>
      </c>
      <c r="G318" s="491">
        <f t="shared" si="39"/>
        <v>3703.161846153846</v>
      </c>
      <c r="H318" s="498">
        <v>109373.54864089027</v>
      </c>
      <c r="I318" s="518">
        <f t="shared" si="40"/>
        <v>19249744.560796686</v>
      </c>
      <c r="J318" s="491">
        <f t="shared" si="41"/>
        <v>740.37479079987247</v>
      </c>
      <c r="K318" s="498">
        <v>109373.54864089027</v>
      </c>
      <c r="L318" s="518">
        <f t="shared" si="42"/>
        <v>19249744.560796686</v>
      </c>
      <c r="M318" s="491">
        <f t="shared" si="43"/>
        <v>740.37479079987247</v>
      </c>
      <c r="O318" s="522"/>
    </row>
    <row r="319" spans="1:15">
      <c r="A319" s="489" t="s">
        <v>595</v>
      </c>
      <c r="B319" s="489" t="s">
        <v>469</v>
      </c>
      <c r="C319" s="489" t="s">
        <v>354</v>
      </c>
      <c r="D319" s="489" t="s">
        <v>355</v>
      </c>
      <c r="E319" s="490">
        <v>1000</v>
      </c>
      <c r="F319" s="490">
        <v>381221818.19999999</v>
      </c>
      <c r="G319" s="491">
        <f t="shared" si="39"/>
        <v>14662.377623076922</v>
      </c>
      <c r="H319" s="498">
        <v>245134.40922805166</v>
      </c>
      <c r="I319" s="518">
        <f t="shared" si="40"/>
        <v>245134409.22805166</v>
      </c>
      <c r="J319" s="491">
        <f t="shared" si="41"/>
        <v>9428.2465087712171</v>
      </c>
      <c r="K319" s="498">
        <v>124430.007948856</v>
      </c>
      <c r="L319" s="518">
        <f t="shared" si="42"/>
        <v>124430007.948856</v>
      </c>
      <c r="M319" s="491">
        <f t="shared" si="43"/>
        <v>4785.7695364944611</v>
      </c>
      <c r="O319" s="522"/>
    </row>
    <row r="320" spans="1:15">
      <c r="A320" s="499" t="s">
        <v>595</v>
      </c>
      <c r="B320" s="499" t="s">
        <v>479</v>
      </c>
      <c r="C320" s="499" t="s">
        <v>813</v>
      </c>
      <c r="D320" s="499" t="s">
        <v>814</v>
      </c>
      <c r="E320" s="496">
        <v>4050</v>
      </c>
      <c r="F320" s="496">
        <v>271464570</v>
      </c>
      <c r="G320" s="491">
        <f t="shared" si="39"/>
        <v>10440.945</v>
      </c>
      <c r="H320" s="498">
        <v>28168.47829183565</v>
      </c>
      <c r="I320" s="518">
        <f t="shared" si="40"/>
        <v>114082337.08193438</v>
      </c>
      <c r="J320" s="491">
        <f t="shared" si="41"/>
        <v>4387.7821954590145</v>
      </c>
      <c r="K320" s="498">
        <v>21520.220642792599</v>
      </c>
      <c r="L320" s="518">
        <f t="shared" si="42"/>
        <v>87156893.603310034</v>
      </c>
      <c r="M320" s="491">
        <f t="shared" si="43"/>
        <v>3352.1882155119242</v>
      </c>
      <c r="O320" s="522"/>
    </row>
    <row r="321" spans="1:16">
      <c r="A321" s="489" t="s">
        <v>595</v>
      </c>
      <c r="B321" s="489" t="s">
        <v>479</v>
      </c>
      <c r="C321" s="489" t="s">
        <v>815</v>
      </c>
      <c r="D321" s="489" t="s">
        <v>816</v>
      </c>
      <c r="E321" s="490">
        <v>285</v>
      </c>
      <c r="F321" s="490">
        <v>20107035</v>
      </c>
      <c r="G321" s="491">
        <f t="shared" si="39"/>
        <v>773.34749999999997</v>
      </c>
      <c r="H321" s="498">
        <v>64417.196885509016</v>
      </c>
      <c r="I321" s="518">
        <f t="shared" si="40"/>
        <v>18358901.11237007</v>
      </c>
      <c r="J321" s="491">
        <f t="shared" si="41"/>
        <v>706.11158124500264</v>
      </c>
      <c r="K321" s="498">
        <v>64417.196885509016</v>
      </c>
      <c r="L321" s="518">
        <f t="shared" si="42"/>
        <v>18358901.11237007</v>
      </c>
      <c r="M321" s="491">
        <f t="shared" si="43"/>
        <v>706.11158124500264</v>
      </c>
      <c r="O321" s="522"/>
    </row>
    <row r="322" spans="1:16">
      <c r="A322" s="489" t="s">
        <v>595</v>
      </c>
      <c r="B322" s="489" t="s">
        <v>479</v>
      </c>
      <c r="C322" s="489" t="s">
        <v>585</v>
      </c>
      <c r="D322" s="489" t="s">
        <v>586</v>
      </c>
      <c r="E322" s="490">
        <v>60</v>
      </c>
      <c r="F322" s="490">
        <v>8151520</v>
      </c>
      <c r="G322" s="491">
        <f t="shared" si="39"/>
        <v>313.52</v>
      </c>
      <c r="H322" s="498">
        <v>175149.82360383283</v>
      </c>
      <c r="I322" s="518">
        <f t="shared" si="40"/>
        <v>10508989.416229971</v>
      </c>
      <c r="J322" s="491">
        <f t="shared" si="41"/>
        <v>404.19190062422962</v>
      </c>
      <c r="K322" s="498">
        <v>226039.52432169468</v>
      </c>
      <c r="L322" s="518">
        <f t="shared" si="42"/>
        <v>13562371.45930168</v>
      </c>
      <c r="M322" s="491">
        <f t="shared" si="43"/>
        <v>521.62967151160308</v>
      </c>
      <c r="O322" s="522"/>
      <c r="P322" s="523"/>
    </row>
    <row r="323" spans="1:16">
      <c r="A323" s="489" t="s">
        <v>595</v>
      </c>
      <c r="B323" s="489" t="s">
        <v>479</v>
      </c>
      <c r="C323" s="489" t="s">
        <v>817</v>
      </c>
      <c r="D323" s="489" t="s">
        <v>818</v>
      </c>
      <c r="E323" s="490">
        <v>370</v>
      </c>
      <c r="F323" s="490">
        <v>69536647</v>
      </c>
      <c r="G323" s="491">
        <f t="shared" si="39"/>
        <v>2674.4864230769231</v>
      </c>
      <c r="H323" s="498">
        <v>39265.19509253127</v>
      </c>
      <c r="I323" s="518">
        <f t="shared" si="40"/>
        <v>14528122.184236569</v>
      </c>
      <c r="J323" s="491">
        <f t="shared" si="41"/>
        <v>558.77393016294502</v>
      </c>
      <c r="K323" s="498">
        <v>39265.19509253127</v>
      </c>
      <c r="L323" s="518">
        <f t="shared" si="42"/>
        <v>14528122.184236569</v>
      </c>
      <c r="M323" s="491">
        <f t="shared" si="43"/>
        <v>558.77393016294502</v>
      </c>
      <c r="O323" s="522"/>
    </row>
    <row r="324" spans="1:16">
      <c r="A324" s="489" t="s">
        <v>595</v>
      </c>
      <c r="B324" s="489" t="s">
        <v>479</v>
      </c>
      <c r="C324" s="489" t="s">
        <v>819</v>
      </c>
      <c r="D324" s="489" t="s">
        <v>820</v>
      </c>
      <c r="E324" s="490">
        <v>80</v>
      </c>
      <c r="F324" s="490">
        <v>8514440</v>
      </c>
      <c r="G324" s="491">
        <f t="shared" si="39"/>
        <v>327.47846153846154</v>
      </c>
      <c r="H324" s="498">
        <v>31915.482515686519</v>
      </c>
      <c r="I324" s="518">
        <f t="shared" si="40"/>
        <v>2553238.6012549214</v>
      </c>
      <c r="J324" s="491">
        <f t="shared" si="41"/>
        <v>98.201484663650817</v>
      </c>
      <c r="K324" s="498">
        <v>2967.8485947387635</v>
      </c>
      <c r="L324" s="518">
        <f t="shared" si="42"/>
        <v>237427.88757910108</v>
      </c>
      <c r="M324" s="491">
        <f t="shared" si="43"/>
        <v>9.1318418299654258</v>
      </c>
      <c r="O324" s="522"/>
    </row>
    <row r="325" spans="1:16">
      <c r="A325" s="489" t="s">
        <v>595</v>
      </c>
      <c r="B325" s="489" t="s">
        <v>479</v>
      </c>
      <c r="C325" s="489" t="s">
        <v>819</v>
      </c>
      <c r="D325" s="489" t="s">
        <v>821</v>
      </c>
      <c r="E325" s="490">
        <v>1110</v>
      </c>
      <c r="F325" s="490">
        <v>84183021</v>
      </c>
      <c r="G325" s="491">
        <f t="shared" si="39"/>
        <v>3237.8085000000001</v>
      </c>
      <c r="H325" s="498">
        <v>31915.482515686519</v>
      </c>
      <c r="I325" s="518">
        <f t="shared" si="40"/>
        <v>35426185.59241204</v>
      </c>
      <c r="J325" s="491">
        <f t="shared" si="41"/>
        <v>1362.5455997081554</v>
      </c>
      <c r="K325" s="498">
        <v>2967.8485947387635</v>
      </c>
      <c r="L325" s="518">
        <f t="shared" si="42"/>
        <v>3294311.9401600277</v>
      </c>
      <c r="M325" s="491">
        <f t="shared" si="43"/>
        <v>126.7043053907703</v>
      </c>
      <c r="O325" s="522"/>
    </row>
    <row r="326" spans="1:16">
      <c r="A326" s="489" t="s">
        <v>595</v>
      </c>
      <c r="B326" s="489" t="s">
        <v>826</v>
      </c>
      <c r="C326" s="489" t="s">
        <v>291</v>
      </c>
      <c r="D326" s="489" t="s">
        <v>535</v>
      </c>
      <c r="E326" s="490">
        <v>6440</v>
      </c>
      <c r="F326" s="490">
        <v>191645307.80000001</v>
      </c>
      <c r="G326" s="491">
        <f t="shared" si="39"/>
        <v>7370.973376923077</v>
      </c>
      <c r="H326" s="498">
        <v>13252.972865981066</v>
      </c>
      <c r="I326" s="518">
        <f t="shared" si="40"/>
        <v>85349145.256918073</v>
      </c>
      <c r="J326" s="491">
        <f t="shared" si="41"/>
        <v>3282.6594329583872</v>
      </c>
      <c r="K326" s="498">
        <v>13505.300952076075</v>
      </c>
      <c r="L326" s="518">
        <f t="shared" si="42"/>
        <v>86974138.131369919</v>
      </c>
      <c r="M326" s="491">
        <f t="shared" si="43"/>
        <v>3345.1591588988431</v>
      </c>
      <c r="O326" s="522"/>
    </row>
    <row r="327" spans="1:16">
      <c r="A327" s="489" t="s">
        <v>595</v>
      </c>
      <c r="B327" s="489" t="s">
        <v>826</v>
      </c>
      <c r="C327" s="489" t="s">
        <v>306</v>
      </c>
      <c r="D327" s="489" t="s">
        <v>307</v>
      </c>
      <c r="E327" s="490">
        <v>6440</v>
      </c>
      <c r="F327" s="490">
        <v>216360359.5</v>
      </c>
      <c r="G327" s="491">
        <f t="shared" si="39"/>
        <v>8321.5522884615384</v>
      </c>
      <c r="H327" s="498">
        <v>19798.743299883012</v>
      </c>
      <c r="I327" s="518">
        <f t="shared" si="40"/>
        <v>127503906.8512466</v>
      </c>
      <c r="J327" s="491">
        <f t="shared" si="41"/>
        <v>4903.9964173556382</v>
      </c>
      <c r="K327" s="498">
        <v>20262.221487817002</v>
      </c>
      <c r="L327" s="518">
        <f t="shared" si="42"/>
        <v>130488706.38154149</v>
      </c>
      <c r="M327" s="491">
        <f t="shared" si="43"/>
        <v>5018.7963992900577</v>
      </c>
      <c r="O327" s="522"/>
    </row>
    <row r="328" spans="1:16">
      <c r="A328" s="489" t="s">
        <v>595</v>
      </c>
      <c r="B328" s="489" t="s">
        <v>826</v>
      </c>
      <c r="C328" s="489" t="s">
        <v>263</v>
      </c>
      <c r="D328" s="489" t="s">
        <v>264</v>
      </c>
      <c r="E328" s="490">
        <v>6440</v>
      </c>
      <c r="F328" s="490">
        <v>96908371.900000006</v>
      </c>
      <c r="G328" s="491">
        <f t="shared" si="39"/>
        <v>3727.2450730769233</v>
      </c>
      <c r="H328" s="498">
        <v>9415.2824897289647</v>
      </c>
      <c r="I328" s="518">
        <f t="shared" si="40"/>
        <v>60634419.233854532</v>
      </c>
      <c r="J328" s="491">
        <f t="shared" si="41"/>
        <v>2332.0930474559436</v>
      </c>
      <c r="K328" s="498">
        <v>9566.529623563647</v>
      </c>
      <c r="L328" s="518">
        <f t="shared" si="42"/>
        <v>61608450.775749885</v>
      </c>
      <c r="M328" s="491">
        <f t="shared" si="43"/>
        <v>2369.5557990673033</v>
      </c>
      <c r="O328" s="522"/>
    </row>
    <row r="329" spans="1:16">
      <c r="A329" s="489" t="s">
        <v>595</v>
      </c>
      <c r="B329" s="489" t="s">
        <v>220</v>
      </c>
      <c r="C329" s="489" t="s">
        <v>607</v>
      </c>
      <c r="D329" s="489" t="s">
        <v>608</v>
      </c>
      <c r="E329" s="490">
        <v>43540</v>
      </c>
      <c r="F329" s="490">
        <v>1362845540</v>
      </c>
      <c r="G329" s="491">
        <f t="shared" si="39"/>
        <v>52417.136153846157</v>
      </c>
      <c r="H329" s="498">
        <v>54153.126490486662</v>
      </c>
      <c r="I329" s="518">
        <f t="shared" si="40"/>
        <v>2357827127.3957891</v>
      </c>
      <c r="J329" s="491">
        <f t="shared" si="41"/>
        <v>90685.658745991896</v>
      </c>
      <c r="K329" s="498">
        <v>54153.126490486662</v>
      </c>
      <c r="L329" s="518">
        <f t="shared" si="42"/>
        <v>2357827127.3957891</v>
      </c>
      <c r="M329" s="491">
        <f t="shared" si="43"/>
        <v>90685.658745991896</v>
      </c>
      <c r="O329" s="522"/>
    </row>
    <row r="330" spans="1:16">
      <c r="A330" s="489" t="s">
        <v>595</v>
      </c>
      <c r="B330" s="489" t="s">
        <v>220</v>
      </c>
      <c r="C330" s="489" t="s">
        <v>521</v>
      </c>
      <c r="D330" s="489" t="s">
        <v>522</v>
      </c>
      <c r="E330" s="490">
        <v>27900</v>
      </c>
      <c r="F330" s="490">
        <v>539920800</v>
      </c>
      <c r="G330" s="491">
        <f t="shared" si="39"/>
        <v>20766.184615384616</v>
      </c>
      <c r="H330" s="498">
        <v>30297.680549690049</v>
      </c>
      <c r="I330" s="518">
        <f t="shared" si="40"/>
        <v>845305287.33635235</v>
      </c>
      <c r="J330" s="491">
        <f t="shared" si="41"/>
        <v>32511.741820628937</v>
      </c>
      <c r="K330" s="498">
        <v>30297.680549690049</v>
      </c>
      <c r="L330" s="518">
        <f t="shared" si="42"/>
        <v>845305287.33635235</v>
      </c>
      <c r="M330" s="491">
        <f t="shared" si="43"/>
        <v>32511.741820628937</v>
      </c>
      <c r="O330" s="522"/>
    </row>
    <row r="331" spans="1:16">
      <c r="A331" s="489" t="s">
        <v>595</v>
      </c>
      <c r="B331" s="489" t="s">
        <v>220</v>
      </c>
      <c r="C331" s="489" t="s">
        <v>517</v>
      </c>
      <c r="D331" s="489" t="s">
        <v>518</v>
      </c>
      <c r="E331" s="490">
        <v>95756</v>
      </c>
      <c r="F331" s="490">
        <v>1912343076</v>
      </c>
      <c r="G331" s="491">
        <f t="shared" si="39"/>
        <v>73551.656769230773</v>
      </c>
      <c r="H331" s="498">
        <v>18936.744837646693</v>
      </c>
      <c r="I331" s="518">
        <f t="shared" si="40"/>
        <v>1813306938.6736968</v>
      </c>
      <c r="J331" s="491">
        <f t="shared" si="41"/>
        <v>69742.574564372946</v>
      </c>
      <c r="K331" s="498">
        <v>18936.744837646693</v>
      </c>
      <c r="L331" s="518">
        <f t="shared" si="42"/>
        <v>1813306938.6736968</v>
      </c>
      <c r="M331" s="491">
        <f t="shared" si="43"/>
        <v>69742.574564372946</v>
      </c>
      <c r="O331" s="522"/>
    </row>
    <row r="332" spans="1:16">
      <c r="A332" s="489" t="s">
        <v>595</v>
      </c>
      <c r="B332" s="489" t="s">
        <v>220</v>
      </c>
      <c r="C332" s="489" t="s">
        <v>515</v>
      </c>
      <c r="D332" s="489" t="s">
        <v>516</v>
      </c>
      <c r="E332" s="490">
        <v>17896</v>
      </c>
      <c r="F332" s="490">
        <v>303713016</v>
      </c>
      <c r="G332" s="491">
        <f t="shared" ref="G332:G363" si="44">+F332/26000</f>
        <v>11681.269846153846</v>
      </c>
      <c r="H332" s="498">
        <v>43472.335488485143</v>
      </c>
      <c r="I332" s="518">
        <f t="shared" ref="I332:I363" si="45">+H332*E332</f>
        <v>777980915.90193009</v>
      </c>
      <c r="J332" s="491">
        <f t="shared" ref="J332:J363" si="46">+I332/26000</f>
        <v>29922.342919305003</v>
      </c>
      <c r="K332" s="498">
        <v>43472.335488485143</v>
      </c>
      <c r="L332" s="518">
        <f t="shared" ref="L332:L363" si="47">+K332*E332</f>
        <v>777980915.90193009</v>
      </c>
      <c r="M332" s="491">
        <f t="shared" ref="M332:M363" si="48">+L332/26000</f>
        <v>29922.342919305003</v>
      </c>
      <c r="O332" s="522"/>
    </row>
    <row r="333" spans="1:16">
      <c r="A333" s="489" t="s">
        <v>595</v>
      </c>
      <c r="B333" s="489" t="s">
        <v>220</v>
      </c>
      <c r="C333" s="489" t="s">
        <v>822</v>
      </c>
      <c r="D333" s="489" t="s">
        <v>823</v>
      </c>
      <c r="E333" s="490">
        <v>46000</v>
      </c>
      <c r="F333" s="490">
        <v>1615336000</v>
      </c>
      <c r="G333" s="491">
        <f t="shared" si="44"/>
        <v>62128.307692307695</v>
      </c>
      <c r="H333" s="498">
        <v>36335.014457265781</v>
      </c>
      <c r="I333" s="518">
        <f t="shared" si="45"/>
        <v>1671410665.0342259</v>
      </c>
      <c r="J333" s="491">
        <f t="shared" si="46"/>
        <v>64285.02557823946</v>
      </c>
      <c r="K333" s="498">
        <v>36335.014457265781</v>
      </c>
      <c r="L333" s="518">
        <f t="shared" si="47"/>
        <v>1671410665.0342259</v>
      </c>
      <c r="M333" s="491">
        <f t="shared" si="48"/>
        <v>64285.02557823946</v>
      </c>
      <c r="O333" s="522"/>
    </row>
    <row r="334" spans="1:16">
      <c r="A334" s="605" t="s">
        <v>595</v>
      </c>
      <c r="B334" s="605" t="s">
        <v>220</v>
      </c>
      <c r="C334" s="605" t="s">
        <v>525</v>
      </c>
      <c r="D334" s="605" t="s">
        <v>526</v>
      </c>
      <c r="E334" s="606">
        <v>112600</v>
      </c>
      <c r="F334" s="606">
        <v>3542508600</v>
      </c>
      <c r="G334" s="607">
        <f t="shared" si="44"/>
        <v>136250.33076923076</v>
      </c>
      <c r="H334" s="608">
        <v>30390.045880677844</v>
      </c>
      <c r="I334" s="609">
        <f t="shared" si="45"/>
        <v>3421919166.1643252</v>
      </c>
      <c r="J334" s="607">
        <f t="shared" si="46"/>
        <v>131612.27562170482</v>
      </c>
      <c r="K334" s="608">
        <v>30390.045880677844</v>
      </c>
      <c r="L334" s="609">
        <f t="shared" si="47"/>
        <v>3421919166.1643252</v>
      </c>
      <c r="M334" s="607">
        <f t="shared" si="48"/>
        <v>131612.27562170482</v>
      </c>
      <c r="O334" s="522"/>
    </row>
    <row r="335" spans="1:16">
      <c r="A335" s="605" t="s">
        <v>595</v>
      </c>
      <c r="B335" s="605" t="s">
        <v>220</v>
      </c>
      <c r="C335" s="605" t="s">
        <v>523</v>
      </c>
      <c r="D335" s="605" t="s">
        <v>524</v>
      </c>
      <c r="E335" s="606">
        <v>17866</v>
      </c>
      <c r="F335" s="606">
        <v>809258336</v>
      </c>
      <c r="G335" s="607">
        <f t="shared" si="44"/>
        <v>31125.320615384615</v>
      </c>
      <c r="H335" s="498">
        <v>44421.179343218995</v>
      </c>
      <c r="I335" s="609">
        <f t="shared" si="45"/>
        <v>793628790.14595056</v>
      </c>
      <c r="J335" s="607">
        <f t="shared" si="46"/>
        <v>30524.184236382713</v>
      </c>
      <c r="K335" s="498">
        <v>44421.179343218995</v>
      </c>
      <c r="L335" s="609">
        <f t="shared" si="47"/>
        <v>793628790.14595056</v>
      </c>
      <c r="M335" s="607">
        <f t="shared" si="48"/>
        <v>30524.184236382713</v>
      </c>
      <c r="O335" s="522"/>
    </row>
    <row r="336" spans="1:16">
      <c r="A336" s="493" t="s">
        <v>595</v>
      </c>
      <c r="B336" s="493" t="s">
        <v>220</v>
      </c>
      <c r="C336" s="493" t="s">
        <v>509</v>
      </c>
      <c r="D336" s="493" t="s">
        <v>510</v>
      </c>
      <c r="E336" s="494">
        <v>7800</v>
      </c>
      <c r="F336" s="494">
        <v>197707862</v>
      </c>
      <c r="G336" s="509">
        <f t="shared" si="44"/>
        <v>7604.148538461538</v>
      </c>
      <c r="H336" s="610">
        <v>23294.709090890716</v>
      </c>
      <c r="I336" s="519">
        <f t="shared" si="45"/>
        <v>181698730.90894759</v>
      </c>
      <c r="J336" s="509">
        <f t="shared" si="46"/>
        <v>6988.4127272672149</v>
      </c>
      <c r="K336" s="610">
        <v>23294.709090890716</v>
      </c>
      <c r="L336" s="519">
        <f t="shared" si="47"/>
        <v>181698730.90894759</v>
      </c>
      <c r="M336" s="509">
        <f t="shared" si="48"/>
        <v>6988.4127272672149</v>
      </c>
      <c r="O336" s="522"/>
    </row>
    <row r="337" spans="1:15">
      <c r="A337" s="489" t="s">
        <v>594</v>
      </c>
      <c r="B337" s="489" t="s">
        <v>497</v>
      </c>
      <c r="C337" s="489" t="s">
        <v>695</v>
      </c>
      <c r="D337" s="489" t="s">
        <v>696</v>
      </c>
      <c r="E337" s="490">
        <v>4296</v>
      </c>
      <c r="F337" s="490">
        <v>111696000</v>
      </c>
      <c r="G337" s="491">
        <f t="shared" si="44"/>
        <v>4296</v>
      </c>
      <c r="H337" s="498">
        <v>7857</v>
      </c>
      <c r="I337" s="518">
        <f t="shared" si="45"/>
        <v>33753672</v>
      </c>
      <c r="J337" s="491">
        <f t="shared" si="46"/>
        <v>1298.2181538461539</v>
      </c>
      <c r="K337" s="498"/>
      <c r="L337" s="518">
        <f t="shared" si="47"/>
        <v>0</v>
      </c>
      <c r="M337" s="491">
        <f t="shared" si="48"/>
        <v>0</v>
      </c>
      <c r="O337" s="522"/>
    </row>
    <row r="338" spans="1:15">
      <c r="A338" s="489" t="s">
        <v>594</v>
      </c>
      <c r="B338" s="489" t="s">
        <v>472</v>
      </c>
      <c r="C338" s="618" t="s">
        <v>748</v>
      </c>
      <c r="D338" s="489" t="s">
        <v>749</v>
      </c>
      <c r="E338" s="490">
        <v>1</v>
      </c>
      <c r="F338" s="490">
        <v>35659186</v>
      </c>
      <c r="G338" s="491">
        <f t="shared" si="44"/>
        <v>1371.5071538461539</v>
      </c>
      <c r="H338" s="498">
        <v>25450000</v>
      </c>
      <c r="I338" s="518">
        <f t="shared" si="45"/>
        <v>25450000</v>
      </c>
      <c r="J338" s="491">
        <f t="shared" si="46"/>
        <v>978.84615384615381</v>
      </c>
      <c r="K338" s="498"/>
      <c r="L338" s="518">
        <f t="shared" si="47"/>
        <v>0</v>
      </c>
      <c r="M338" s="491">
        <f t="shared" si="48"/>
        <v>0</v>
      </c>
      <c r="N338" s="516" t="s">
        <v>838</v>
      </c>
      <c r="O338" s="522"/>
    </row>
    <row r="339" spans="1:15">
      <c r="A339" s="489" t="s">
        <v>594</v>
      </c>
      <c r="B339" s="489" t="s">
        <v>472</v>
      </c>
      <c r="C339" s="618" t="s">
        <v>750</v>
      </c>
      <c r="D339" s="489" t="s">
        <v>751</v>
      </c>
      <c r="E339" s="490">
        <v>1</v>
      </c>
      <c r="F339" s="490">
        <v>14263517.5</v>
      </c>
      <c r="G339" s="491">
        <f t="shared" si="44"/>
        <v>548.59682692307695</v>
      </c>
      <c r="H339" s="498">
        <v>7400000</v>
      </c>
      <c r="I339" s="518">
        <f t="shared" si="45"/>
        <v>7400000</v>
      </c>
      <c r="J339" s="491">
        <f t="shared" si="46"/>
        <v>284.61538461538464</v>
      </c>
      <c r="K339" s="498"/>
      <c r="L339" s="518">
        <f t="shared" si="47"/>
        <v>0</v>
      </c>
      <c r="M339" s="491">
        <f t="shared" si="48"/>
        <v>0</v>
      </c>
      <c r="N339" s="516" t="s">
        <v>838</v>
      </c>
      <c r="O339" s="522"/>
    </row>
    <row r="340" spans="1:15">
      <c r="A340" s="489" t="s">
        <v>594</v>
      </c>
      <c r="B340" s="489" t="s">
        <v>472</v>
      </c>
      <c r="C340" s="618" t="s">
        <v>752</v>
      </c>
      <c r="D340" s="489" t="s">
        <v>753</v>
      </c>
      <c r="E340" s="490">
        <v>1</v>
      </c>
      <c r="F340" s="490">
        <v>1047188517.5</v>
      </c>
      <c r="G340" s="491">
        <f t="shared" si="44"/>
        <v>40276.48144230769</v>
      </c>
      <c r="H340" s="498">
        <v>579000000</v>
      </c>
      <c r="I340" s="518">
        <f t="shared" si="45"/>
        <v>579000000</v>
      </c>
      <c r="J340" s="491">
        <f t="shared" si="46"/>
        <v>22269.23076923077</v>
      </c>
      <c r="K340" s="498"/>
      <c r="L340" s="518">
        <f t="shared" si="47"/>
        <v>0</v>
      </c>
      <c r="M340" s="491">
        <f t="shared" si="48"/>
        <v>0</v>
      </c>
      <c r="N340" s="516" t="s">
        <v>838</v>
      </c>
      <c r="O340" s="522"/>
    </row>
    <row r="341" spans="1:15">
      <c r="A341" s="489" t="s">
        <v>594</v>
      </c>
      <c r="B341" s="489" t="s">
        <v>837</v>
      </c>
      <c r="C341" s="489" t="s">
        <v>758</v>
      </c>
      <c r="D341" s="614" t="s">
        <v>759</v>
      </c>
      <c r="E341" s="490">
        <v>16000</v>
      </c>
      <c r="F341" s="490">
        <v>28084224</v>
      </c>
      <c r="G341" s="615">
        <f t="shared" si="44"/>
        <v>1080.1624615384615</v>
      </c>
      <c r="H341" s="498">
        <v>603.57529999999997</v>
      </c>
      <c r="I341" s="518">
        <f t="shared" si="45"/>
        <v>9657204.7999999989</v>
      </c>
      <c r="J341" s="491">
        <f t="shared" si="46"/>
        <v>371.43095384615378</v>
      </c>
      <c r="K341" s="498"/>
      <c r="L341" s="518">
        <f t="shared" si="47"/>
        <v>0</v>
      </c>
      <c r="M341" s="491">
        <f t="shared" si="48"/>
        <v>0</v>
      </c>
      <c r="O341" s="522"/>
    </row>
    <row r="342" spans="1:15">
      <c r="A342" s="489" t="s">
        <v>594</v>
      </c>
      <c r="B342" s="489" t="s">
        <v>837</v>
      </c>
      <c r="C342" s="489" t="s">
        <v>760</v>
      </c>
      <c r="D342" s="614" t="s">
        <v>761</v>
      </c>
      <c r="E342" s="490">
        <v>40000</v>
      </c>
      <c r="F342" s="490">
        <v>70291200</v>
      </c>
      <c r="G342" s="615">
        <f t="shared" si="44"/>
        <v>2703.5076923076922</v>
      </c>
      <c r="H342" s="498">
        <v>677.50340000000006</v>
      </c>
      <c r="I342" s="518">
        <f t="shared" si="45"/>
        <v>27100136.000000004</v>
      </c>
      <c r="J342" s="491">
        <f t="shared" si="46"/>
        <v>1042.3129230769232</v>
      </c>
      <c r="K342" s="498"/>
      <c r="L342" s="518">
        <f t="shared" si="47"/>
        <v>0</v>
      </c>
      <c r="M342" s="491">
        <f t="shared" si="48"/>
        <v>0</v>
      </c>
      <c r="O342" s="522"/>
    </row>
    <row r="343" spans="1:15">
      <c r="A343" s="489" t="s">
        <v>594</v>
      </c>
      <c r="B343" s="489" t="s">
        <v>837</v>
      </c>
      <c r="C343" s="489" t="s">
        <v>762</v>
      </c>
      <c r="D343" s="614" t="s">
        <v>763</v>
      </c>
      <c r="E343" s="490">
        <v>10000</v>
      </c>
      <c r="F343" s="490">
        <v>17448160</v>
      </c>
      <c r="G343" s="616">
        <f t="shared" si="44"/>
        <v>671.08307692307687</v>
      </c>
      <c r="H343" s="498">
        <v>622.14319999999998</v>
      </c>
      <c r="I343" s="518">
        <f t="shared" si="45"/>
        <v>6221432</v>
      </c>
      <c r="J343" s="491">
        <f t="shared" si="46"/>
        <v>239.28584615384617</v>
      </c>
      <c r="K343" s="498"/>
      <c r="L343" s="518">
        <f t="shared" si="47"/>
        <v>0</v>
      </c>
      <c r="M343" s="491">
        <f t="shared" si="48"/>
        <v>0</v>
      </c>
      <c r="O343" s="522"/>
    </row>
    <row r="344" spans="1:15">
      <c r="A344" s="489" t="s">
        <v>594</v>
      </c>
      <c r="B344" s="489" t="s">
        <v>837</v>
      </c>
      <c r="C344" s="618" t="s">
        <v>764</v>
      </c>
      <c r="D344" s="614" t="s">
        <v>765</v>
      </c>
      <c r="E344" s="490">
        <v>1</v>
      </c>
      <c r="F344" s="490">
        <v>259518456.59999999</v>
      </c>
      <c r="G344" s="615">
        <f t="shared" si="44"/>
        <v>9981.4791000000005</v>
      </c>
      <c r="H344" s="498">
        <v>180000000</v>
      </c>
      <c r="I344" s="518">
        <f t="shared" si="45"/>
        <v>180000000</v>
      </c>
      <c r="J344" s="491">
        <f t="shared" si="46"/>
        <v>6923.0769230769229</v>
      </c>
      <c r="K344" s="498"/>
      <c r="L344" s="518">
        <f t="shared" si="47"/>
        <v>0</v>
      </c>
      <c r="M344" s="491">
        <f t="shared" si="48"/>
        <v>0</v>
      </c>
      <c r="N344" s="516" t="s">
        <v>838</v>
      </c>
      <c r="O344" s="522"/>
    </row>
    <row r="345" spans="1:15">
      <c r="A345" s="489" t="s">
        <v>594</v>
      </c>
      <c r="B345" s="489" t="s">
        <v>837</v>
      </c>
      <c r="C345" s="618" t="s">
        <v>766</v>
      </c>
      <c r="D345" s="489" t="s">
        <v>767</v>
      </c>
      <c r="E345" s="490">
        <v>1</v>
      </c>
      <c r="F345" s="490">
        <v>197459706.59999999</v>
      </c>
      <c r="G345" s="616">
        <f t="shared" si="44"/>
        <v>7594.6040999999996</v>
      </c>
      <c r="H345" s="498">
        <v>230000000</v>
      </c>
      <c r="I345" s="518">
        <f t="shared" si="45"/>
        <v>230000000</v>
      </c>
      <c r="J345" s="491">
        <f t="shared" si="46"/>
        <v>8846.1538461538457</v>
      </c>
      <c r="K345" s="498"/>
      <c r="L345" s="518">
        <f t="shared" si="47"/>
        <v>0</v>
      </c>
      <c r="M345" s="491">
        <f t="shared" si="48"/>
        <v>0</v>
      </c>
      <c r="N345" s="516" t="s">
        <v>838</v>
      </c>
      <c r="O345" s="522"/>
    </row>
    <row r="346" spans="1:15">
      <c r="A346" s="489" t="s">
        <v>594</v>
      </c>
      <c r="B346" s="489" t="s">
        <v>837</v>
      </c>
      <c r="C346" s="618" t="s">
        <v>768</v>
      </c>
      <c r="D346" s="489" t="s">
        <v>769</v>
      </c>
      <c r="E346" s="490">
        <v>1</v>
      </c>
      <c r="F346" s="490">
        <v>197459706.59999999</v>
      </c>
      <c r="G346" s="616">
        <f t="shared" si="44"/>
        <v>7594.6040999999996</v>
      </c>
      <c r="H346" s="498">
        <v>70000000</v>
      </c>
      <c r="I346" s="518">
        <f t="shared" si="45"/>
        <v>70000000</v>
      </c>
      <c r="J346" s="491">
        <f t="shared" si="46"/>
        <v>2692.3076923076924</v>
      </c>
      <c r="K346" s="498"/>
      <c r="L346" s="518">
        <f t="shared" si="47"/>
        <v>0</v>
      </c>
      <c r="M346" s="491">
        <f t="shared" si="48"/>
        <v>0</v>
      </c>
      <c r="N346" s="516" t="s">
        <v>838</v>
      </c>
      <c r="O346" s="522"/>
    </row>
    <row r="347" spans="1:15">
      <c r="A347" s="489" t="s">
        <v>594</v>
      </c>
      <c r="B347" s="489" t="s">
        <v>837</v>
      </c>
      <c r="C347" s="618" t="s">
        <v>770</v>
      </c>
      <c r="D347" s="489" t="s">
        <v>771</v>
      </c>
      <c r="E347" s="490">
        <v>1</v>
      </c>
      <c r="F347" s="490">
        <v>252748434.90000001</v>
      </c>
      <c r="G347" s="616">
        <f t="shared" si="44"/>
        <v>9721.0936500000007</v>
      </c>
      <c r="H347" s="498">
        <v>195000000</v>
      </c>
      <c r="I347" s="518">
        <f t="shared" si="45"/>
        <v>195000000</v>
      </c>
      <c r="J347" s="491">
        <f t="shared" si="46"/>
        <v>7500</v>
      </c>
      <c r="K347" s="498"/>
      <c r="L347" s="518">
        <f t="shared" si="47"/>
        <v>0</v>
      </c>
      <c r="M347" s="491">
        <f t="shared" si="48"/>
        <v>0</v>
      </c>
      <c r="N347" s="516" t="s">
        <v>838</v>
      </c>
      <c r="O347" s="522"/>
    </row>
    <row r="348" spans="1:15">
      <c r="A348" s="489" t="s">
        <v>594</v>
      </c>
      <c r="B348" s="489" t="s">
        <v>837</v>
      </c>
      <c r="C348" s="618" t="s">
        <v>772</v>
      </c>
      <c r="D348" s="489" t="s">
        <v>773</v>
      </c>
      <c r="E348" s="490">
        <v>1</v>
      </c>
      <c r="F348" s="490">
        <v>349785586.80000001</v>
      </c>
      <c r="G348" s="616">
        <f t="shared" si="44"/>
        <v>13453.291800000001</v>
      </c>
      <c r="H348" s="498">
        <v>260000000</v>
      </c>
      <c r="I348" s="518">
        <f t="shared" si="45"/>
        <v>260000000</v>
      </c>
      <c r="J348" s="491">
        <f t="shared" si="46"/>
        <v>10000</v>
      </c>
      <c r="K348" s="498"/>
      <c r="L348" s="518">
        <f t="shared" si="47"/>
        <v>0</v>
      </c>
      <c r="M348" s="491">
        <f t="shared" si="48"/>
        <v>0</v>
      </c>
      <c r="N348" s="516" t="s">
        <v>838</v>
      </c>
      <c r="O348" s="522"/>
    </row>
    <row r="349" spans="1:15">
      <c r="A349" s="489" t="s">
        <v>594</v>
      </c>
      <c r="B349" s="489" t="s">
        <v>837</v>
      </c>
      <c r="C349" s="618" t="s">
        <v>774</v>
      </c>
      <c r="D349" s="489" t="s">
        <v>775</v>
      </c>
      <c r="E349" s="490">
        <v>1</v>
      </c>
      <c r="F349" s="490">
        <v>223411500</v>
      </c>
      <c r="G349" s="616">
        <f t="shared" si="44"/>
        <v>8592.75</v>
      </c>
      <c r="H349" s="498">
        <v>175000000</v>
      </c>
      <c r="I349" s="518">
        <f t="shared" si="45"/>
        <v>175000000</v>
      </c>
      <c r="J349" s="491">
        <f t="shared" si="46"/>
        <v>6730.7692307692305</v>
      </c>
      <c r="K349" s="498"/>
      <c r="L349" s="518">
        <f t="shared" si="47"/>
        <v>0</v>
      </c>
      <c r="M349" s="491">
        <f t="shared" si="48"/>
        <v>0</v>
      </c>
      <c r="N349" s="516" t="s">
        <v>838</v>
      </c>
      <c r="O349" s="522"/>
    </row>
    <row r="350" spans="1:15">
      <c r="A350" s="605" t="s">
        <v>594</v>
      </c>
      <c r="B350" s="605" t="s">
        <v>469</v>
      </c>
      <c r="C350" s="605" t="s">
        <v>776</v>
      </c>
      <c r="D350" s="605" t="s">
        <v>777</v>
      </c>
      <c r="E350" s="606">
        <v>10000</v>
      </c>
      <c r="F350" s="606">
        <v>39717600</v>
      </c>
      <c r="G350" s="607">
        <f t="shared" si="44"/>
        <v>1527.6</v>
      </c>
      <c r="H350" s="608">
        <v>4831</v>
      </c>
      <c r="I350" s="609">
        <f t="shared" si="45"/>
        <v>48310000</v>
      </c>
      <c r="J350" s="607">
        <f t="shared" si="46"/>
        <v>1858.0769230769231</v>
      </c>
      <c r="K350" s="608"/>
      <c r="L350" s="609">
        <f t="shared" si="47"/>
        <v>0</v>
      </c>
      <c r="M350" s="607">
        <f t="shared" si="48"/>
        <v>0</v>
      </c>
      <c r="O350" s="522"/>
    </row>
    <row r="351" spans="1:15">
      <c r="A351" s="605" t="s">
        <v>594</v>
      </c>
      <c r="B351" s="605" t="s">
        <v>469</v>
      </c>
      <c r="C351" s="605" t="s">
        <v>735</v>
      </c>
      <c r="D351" s="605" t="s">
        <v>736</v>
      </c>
      <c r="E351" s="606">
        <v>300</v>
      </c>
      <c r="F351" s="606">
        <v>103945140</v>
      </c>
      <c r="G351" s="607">
        <f t="shared" si="44"/>
        <v>3997.89</v>
      </c>
      <c r="H351" s="498">
        <v>604707.11581993569</v>
      </c>
      <c r="I351" s="609">
        <f t="shared" si="45"/>
        <v>181412134.74598071</v>
      </c>
      <c r="J351" s="607">
        <f t="shared" si="46"/>
        <v>6977.3897979223348</v>
      </c>
      <c r="K351" s="498"/>
      <c r="L351" s="609">
        <f t="shared" si="47"/>
        <v>0</v>
      </c>
      <c r="M351" s="607">
        <f t="shared" si="48"/>
        <v>0</v>
      </c>
      <c r="O351" s="522"/>
    </row>
    <row r="352" spans="1:15">
      <c r="A352" s="605" t="s">
        <v>594</v>
      </c>
      <c r="B352" s="605" t="s">
        <v>469</v>
      </c>
      <c r="C352" s="605" t="s">
        <v>737</v>
      </c>
      <c r="D352" s="605" t="s">
        <v>738</v>
      </c>
      <c r="E352" s="606">
        <v>300</v>
      </c>
      <c r="F352" s="606">
        <v>108449280</v>
      </c>
      <c r="G352" s="607">
        <f t="shared" si="44"/>
        <v>4171.126153846154</v>
      </c>
      <c r="H352" s="498">
        <v>683722.23999999999</v>
      </c>
      <c r="I352" s="609">
        <f t="shared" si="45"/>
        <v>205116672</v>
      </c>
      <c r="J352" s="607">
        <f t="shared" si="46"/>
        <v>7889.1027692307689</v>
      </c>
      <c r="K352" s="498"/>
      <c r="L352" s="609">
        <f t="shared" si="47"/>
        <v>0</v>
      </c>
      <c r="M352" s="607">
        <f t="shared" si="48"/>
        <v>0</v>
      </c>
      <c r="O352" s="522"/>
    </row>
    <row r="353" spans="1:15">
      <c r="A353" s="493" t="s">
        <v>594</v>
      </c>
      <c r="B353" s="493" t="s">
        <v>479</v>
      </c>
      <c r="C353" s="619" t="s">
        <v>811</v>
      </c>
      <c r="D353" s="493" t="s">
        <v>812</v>
      </c>
      <c r="E353" s="494">
        <v>1</v>
      </c>
      <c r="F353" s="494">
        <v>13075000</v>
      </c>
      <c r="G353" s="509">
        <f t="shared" si="44"/>
        <v>502.88461538461536</v>
      </c>
      <c r="H353" s="610">
        <v>4000000</v>
      </c>
      <c r="I353" s="519">
        <f t="shared" si="45"/>
        <v>4000000</v>
      </c>
      <c r="J353" s="509">
        <f t="shared" si="46"/>
        <v>153.84615384615384</v>
      </c>
      <c r="K353" s="610"/>
      <c r="L353" s="519">
        <f t="shared" si="47"/>
        <v>0</v>
      </c>
      <c r="M353" s="509">
        <f t="shared" si="48"/>
        <v>0</v>
      </c>
      <c r="N353" s="516" t="s">
        <v>838</v>
      </c>
      <c r="O353" s="522"/>
    </row>
    <row r="354" spans="1:15">
      <c r="A354" s="499" t="s">
        <v>589</v>
      </c>
      <c r="B354" s="499" t="s">
        <v>244</v>
      </c>
      <c r="C354" s="499" t="s">
        <v>651</v>
      </c>
      <c r="D354" s="499" t="s">
        <v>652</v>
      </c>
      <c r="E354" s="496">
        <v>4609</v>
      </c>
      <c r="F354" s="496">
        <v>192740000</v>
      </c>
      <c r="G354" s="497">
        <f t="shared" si="44"/>
        <v>7413.0769230769229</v>
      </c>
      <c r="H354" s="498"/>
      <c r="I354" s="517">
        <f t="shared" si="45"/>
        <v>0</v>
      </c>
      <c r="J354" s="497">
        <f t="shared" si="46"/>
        <v>0</v>
      </c>
      <c r="K354" s="498"/>
      <c r="L354" s="517">
        <f t="shared" si="47"/>
        <v>0</v>
      </c>
      <c r="M354" s="497">
        <f t="shared" si="48"/>
        <v>0</v>
      </c>
      <c r="O354" s="522"/>
    </row>
    <row r="355" spans="1:15">
      <c r="A355" s="489" t="s">
        <v>589</v>
      </c>
      <c r="B355" s="489" t="s">
        <v>244</v>
      </c>
      <c r="C355" s="489" t="s">
        <v>649</v>
      </c>
      <c r="D355" s="489" t="s">
        <v>650</v>
      </c>
      <c r="E355" s="490">
        <v>903</v>
      </c>
      <c r="F355" s="490">
        <v>31194545</v>
      </c>
      <c r="G355" s="491">
        <f t="shared" si="44"/>
        <v>1199.7901923076922</v>
      </c>
      <c r="H355" s="498"/>
      <c r="I355" s="518">
        <f t="shared" si="45"/>
        <v>0</v>
      </c>
      <c r="J355" s="491">
        <f t="shared" si="46"/>
        <v>0</v>
      </c>
      <c r="K355" s="498"/>
      <c r="L355" s="518">
        <f t="shared" si="47"/>
        <v>0</v>
      </c>
      <c r="M355" s="491">
        <f t="shared" si="48"/>
        <v>0</v>
      </c>
      <c r="O355" s="522"/>
    </row>
    <row r="356" spans="1:15">
      <c r="A356" s="489" t="s">
        <v>589</v>
      </c>
      <c r="B356" s="489" t="s">
        <v>244</v>
      </c>
      <c r="C356" s="489" t="s">
        <v>653</v>
      </c>
      <c r="D356" s="489" t="s">
        <v>654</v>
      </c>
      <c r="E356" s="490">
        <v>17348</v>
      </c>
      <c r="F356" s="490">
        <v>370616364</v>
      </c>
      <c r="G356" s="491">
        <f t="shared" si="44"/>
        <v>14254.475538461538</v>
      </c>
      <c r="H356" s="498"/>
      <c r="I356" s="518">
        <f t="shared" si="45"/>
        <v>0</v>
      </c>
      <c r="J356" s="491">
        <f t="shared" si="46"/>
        <v>0</v>
      </c>
      <c r="K356" s="498"/>
      <c r="L356" s="518">
        <f t="shared" si="47"/>
        <v>0</v>
      </c>
      <c r="M356" s="491">
        <f t="shared" si="48"/>
        <v>0</v>
      </c>
      <c r="O356" s="522"/>
    </row>
    <row r="357" spans="1:15">
      <c r="A357" s="489" t="s">
        <v>589</v>
      </c>
      <c r="B357" s="489" t="s">
        <v>239</v>
      </c>
      <c r="C357" s="489" t="s">
        <v>658</v>
      </c>
      <c r="D357" s="489" t="s">
        <v>659</v>
      </c>
      <c r="E357" s="490">
        <v>479</v>
      </c>
      <c r="F357" s="490">
        <v>435454.55</v>
      </c>
      <c r="G357" s="491">
        <f t="shared" si="44"/>
        <v>16.748251923076921</v>
      </c>
      <c r="H357" s="498"/>
      <c r="I357" s="518">
        <f t="shared" si="45"/>
        <v>0</v>
      </c>
      <c r="J357" s="491">
        <f t="shared" si="46"/>
        <v>0</v>
      </c>
      <c r="K357" s="498"/>
      <c r="L357" s="518">
        <f t="shared" si="47"/>
        <v>0</v>
      </c>
      <c r="M357" s="491">
        <f t="shared" si="48"/>
        <v>0</v>
      </c>
      <c r="O357" s="522"/>
    </row>
    <row r="358" spans="1:15">
      <c r="A358" s="489" t="s">
        <v>589</v>
      </c>
      <c r="B358" s="489" t="s">
        <v>239</v>
      </c>
      <c r="C358" s="489" t="s">
        <v>656</v>
      </c>
      <c r="D358" s="489" t="s">
        <v>657</v>
      </c>
      <c r="E358" s="490">
        <v>24087</v>
      </c>
      <c r="F358" s="490">
        <v>766404545.45000005</v>
      </c>
      <c r="G358" s="491">
        <f t="shared" si="44"/>
        <v>29477.09790192308</v>
      </c>
      <c r="H358" s="498"/>
      <c r="I358" s="518">
        <f t="shared" si="45"/>
        <v>0</v>
      </c>
      <c r="J358" s="491">
        <f t="shared" si="46"/>
        <v>0</v>
      </c>
      <c r="K358" s="498"/>
      <c r="L358" s="518">
        <f t="shared" si="47"/>
        <v>0</v>
      </c>
      <c r="M358" s="491">
        <f t="shared" si="48"/>
        <v>0</v>
      </c>
      <c r="O358" s="522"/>
    </row>
    <row r="359" spans="1:15">
      <c r="A359" s="489" t="s">
        <v>589</v>
      </c>
      <c r="B359" s="489" t="s">
        <v>481</v>
      </c>
      <c r="C359" s="489" t="s">
        <v>739</v>
      </c>
      <c r="D359" s="489" t="s">
        <v>740</v>
      </c>
      <c r="E359" s="490">
        <v>10</v>
      </c>
      <c r="F359" s="490">
        <v>1136363.6399999999</v>
      </c>
      <c r="G359" s="491">
        <f t="shared" si="44"/>
        <v>43.706293846153841</v>
      </c>
      <c r="H359" s="498"/>
      <c r="I359" s="518">
        <f t="shared" si="45"/>
        <v>0</v>
      </c>
      <c r="J359" s="491">
        <f t="shared" si="46"/>
        <v>0</v>
      </c>
      <c r="K359" s="498"/>
      <c r="L359" s="518">
        <f t="shared" si="47"/>
        <v>0</v>
      </c>
      <c r="M359" s="491">
        <f t="shared" si="48"/>
        <v>0</v>
      </c>
      <c r="O359" s="522"/>
    </row>
    <row r="360" spans="1:15">
      <c r="A360" s="489" t="s">
        <v>589</v>
      </c>
      <c r="B360" s="489" t="s">
        <v>481</v>
      </c>
      <c r="C360" s="489" t="s">
        <v>687</v>
      </c>
      <c r="D360" s="489" t="s">
        <v>688</v>
      </c>
      <c r="E360" s="490">
        <v>55</v>
      </c>
      <c r="F360" s="490">
        <v>4100000</v>
      </c>
      <c r="G360" s="491">
        <f t="shared" si="44"/>
        <v>157.69230769230768</v>
      </c>
      <c r="H360" s="498"/>
      <c r="I360" s="518">
        <f t="shared" si="45"/>
        <v>0</v>
      </c>
      <c r="J360" s="491">
        <f t="shared" si="46"/>
        <v>0</v>
      </c>
      <c r="K360" s="498"/>
      <c r="L360" s="518">
        <f t="shared" si="47"/>
        <v>0</v>
      </c>
      <c r="M360" s="491">
        <f t="shared" si="48"/>
        <v>0</v>
      </c>
      <c r="O360" s="522"/>
    </row>
    <row r="361" spans="1:15">
      <c r="A361" s="489" t="s">
        <v>589</v>
      </c>
      <c r="B361" s="489" t="s">
        <v>481</v>
      </c>
      <c r="C361" s="489" t="s">
        <v>663</v>
      </c>
      <c r="D361" s="489" t="s">
        <v>664</v>
      </c>
      <c r="E361" s="490">
        <v>1361</v>
      </c>
      <c r="F361" s="490">
        <v>4329996.3</v>
      </c>
      <c r="G361" s="491">
        <f t="shared" si="44"/>
        <v>166.53831923076922</v>
      </c>
      <c r="H361" s="498"/>
      <c r="I361" s="518">
        <f t="shared" si="45"/>
        <v>0</v>
      </c>
      <c r="J361" s="491">
        <f t="shared" si="46"/>
        <v>0</v>
      </c>
      <c r="K361" s="498"/>
      <c r="L361" s="518">
        <f t="shared" si="47"/>
        <v>0</v>
      </c>
      <c r="M361" s="491">
        <f t="shared" si="48"/>
        <v>0</v>
      </c>
      <c r="O361" s="522"/>
    </row>
    <row r="362" spans="1:15">
      <c r="A362" s="489" t="s">
        <v>589</v>
      </c>
      <c r="B362" s="489" t="s">
        <v>481</v>
      </c>
      <c r="C362" s="489" t="s">
        <v>667</v>
      </c>
      <c r="D362" s="489" t="s">
        <v>668</v>
      </c>
      <c r="E362" s="490">
        <v>3701</v>
      </c>
      <c r="F362" s="490">
        <v>1346752.78</v>
      </c>
      <c r="G362" s="491">
        <f t="shared" si="44"/>
        <v>51.798183846153847</v>
      </c>
      <c r="H362" s="498"/>
      <c r="I362" s="518">
        <f t="shared" si="45"/>
        <v>0</v>
      </c>
      <c r="J362" s="491">
        <f t="shared" si="46"/>
        <v>0</v>
      </c>
      <c r="K362" s="498"/>
      <c r="L362" s="518">
        <f t="shared" si="47"/>
        <v>0</v>
      </c>
      <c r="M362" s="491">
        <f t="shared" si="48"/>
        <v>0</v>
      </c>
      <c r="O362" s="522"/>
    </row>
    <row r="363" spans="1:15">
      <c r="A363" s="489" t="s">
        <v>589</v>
      </c>
      <c r="B363" s="489" t="s">
        <v>481</v>
      </c>
      <c r="C363" s="489" t="s">
        <v>677</v>
      </c>
      <c r="D363" s="489" t="s">
        <v>678</v>
      </c>
      <c r="E363" s="490">
        <v>455</v>
      </c>
      <c r="F363" s="490">
        <v>11168182</v>
      </c>
      <c r="G363" s="491">
        <f t="shared" si="44"/>
        <v>429.54546153846155</v>
      </c>
      <c r="H363" s="498"/>
      <c r="I363" s="518">
        <f t="shared" si="45"/>
        <v>0</v>
      </c>
      <c r="J363" s="491">
        <f t="shared" si="46"/>
        <v>0</v>
      </c>
      <c r="K363" s="498"/>
      <c r="L363" s="518">
        <f t="shared" si="47"/>
        <v>0</v>
      </c>
      <c r="M363" s="491">
        <f t="shared" si="48"/>
        <v>0</v>
      </c>
      <c r="O363" s="522"/>
    </row>
    <row r="364" spans="1:15">
      <c r="A364" s="489" t="s">
        <v>589</v>
      </c>
      <c r="B364" s="489" t="s">
        <v>481</v>
      </c>
      <c r="C364" s="489" t="s">
        <v>683</v>
      </c>
      <c r="D364" s="489" t="s">
        <v>684</v>
      </c>
      <c r="E364" s="490">
        <v>1710</v>
      </c>
      <c r="F364" s="490">
        <v>12437083.33</v>
      </c>
      <c r="G364" s="491">
        <f t="shared" ref="G364:G380" si="49">+F364/26000</f>
        <v>478.34935884615385</v>
      </c>
      <c r="H364" s="498"/>
      <c r="I364" s="518">
        <f t="shared" ref="I364:I380" si="50">+H364*E364</f>
        <v>0</v>
      </c>
      <c r="J364" s="491">
        <f t="shared" ref="J364:J380" si="51">+I364/26000</f>
        <v>0</v>
      </c>
      <c r="K364" s="498"/>
      <c r="L364" s="518">
        <f t="shared" ref="L364:L380" si="52">+K364*E364</f>
        <v>0</v>
      </c>
      <c r="M364" s="491">
        <f t="shared" ref="M364:M380" si="53">+L364/26000</f>
        <v>0</v>
      </c>
      <c r="O364" s="522"/>
    </row>
    <row r="365" spans="1:15">
      <c r="A365" s="489" t="s">
        <v>589</v>
      </c>
      <c r="B365" s="489" t="s">
        <v>481</v>
      </c>
      <c r="C365" s="489" t="s">
        <v>689</v>
      </c>
      <c r="D365" s="489" t="s">
        <v>690</v>
      </c>
      <c r="E365" s="490">
        <v>164</v>
      </c>
      <c r="F365" s="490">
        <v>5084000</v>
      </c>
      <c r="G365" s="491">
        <f t="shared" si="49"/>
        <v>195.53846153846155</v>
      </c>
      <c r="H365" s="498"/>
      <c r="I365" s="518">
        <f t="shared" si="50"/>
        <v>0</v>
      </c>
      <c r="J365" s="491">
        <f t="shared" si="51"/>
        <v>0</v>
      </c>
      <c r="K365" s="498"/>
      <c r="L365" s="518">
        <f t="shared" si="52"/>
        <v>0</v>
      </c>
      <c r="M365" s="491">
        <f t="shared" si="53"/>
        <v>0</v>
      </c>
      <c r="O365" s="522"/>
    </row>
    <row r="366" spans="1:15">
      <c r="A366" s="489" t="s">
        <v>589</v>
      </c>
      <c r="B366" s="489" t="s">
        <v>481</v>
      </c>
      <c r="C366" s="489" t="s">
        <v>685</v>
      </c>
      <c r="D366" s="489" t="s">
        <v>686</v>
      </c>
      <c r="E366" s="490">
        <v>479</v>
      </c>
      <c r="F366" s="490">
        <v>2177273</v>
      </c>
      <c r="G366" s="491">
        <f t="shared" si="49"/>
        <v>83.741269230769234</v>
      </c>
      <c r="H366" s="498"/>
      <c r="I366" s="518">
        <f t="shared" si="50"/>
        <v>0</v>
      </c>
      <c r="J366" s="491">
        <f t="shared" si="51"/>
        <v>0</v>
      </c>
      <c r="K366" s="498"/>
      <c r="L366" s="518">
        <f t="shared" si="52"/>
        <v>0</v>
      </c>
      <c r="M366" s="491">
        <f t="shared" si="53"/>
        <v>0</v>
      </c>
      <c r="O366" s="522"/>
    </row>
    <row r="367" spans="1:15">
      <c r="A367" s="489" t="s">
        <v>589</v>
      </c>
      <c r="B367" s="489" t="s">
        <v>481</v>
      </c>
      <c r="C367" s="489" t="s">
        <v>691</v>
      </c>
      <c r="D367" s="489" t="s">
        <v>692</v>
      </c>
      <c r="E367" s="490">
        <v>6756</v>
      </c>
      <c r="F367" s="490">
        <v>189168000</v>
      </c>
      <c r="G367" s="491">
        <f t="shared" si="49"/>
        <v>7275.6923076923076</v>
      </c>
      <c r="H367" s="498"/>
      <c r="I367" s="518">
        <f t="shared" si="50"/>
        <v>0</v>
      </c>
      <c r="J367" s="491">
        <f t="shared" si="51"/>
        <v>0</v>
      </c>
      <c r="K367" s="498"/>
      <c r="L367" s="518">
        <f t="shared" si="52"/>
        <v>0</v>
      </c>
      <c r="M367" s="491">
        <f t="shared" si="53"/>
        <v>0</v>
      </c>
      <c r="O367" s="522"/>
    </row>
    <row r="368" spans="1:15">
      <c r="A368" s="489" t="s">
        <v>589</v>
      </c>
      <c r="B368" s="489" t="s">
        <v>481</v>
      </c>
      <c r="C368" s="489" t="s">
        <v>661</v>
      </c>
      <c r="D368" s="489" t="s">
        <v>662</v>
      </c>
      <c r="E368" s="490">
        <v>187</v>
      </c>
      <c r="F368" s="490">
        <v>1360078.7</v>
      </c>
      <c r="G368" s="491">
        <f t="shared" si="49"/>
        <v>52.31071923076923</v>
      </c>
      <c r="H368" s="498"/>
      <c r="I368" s="518">
        <f t="shared" si="50"/>
        <v>0</v>
      </c>
      <c r="J368" s="491">
        <f t="shared" si="51"/>
        <v>0</v>
      </c>
      <c r="K368" s="498"/>
      <c r="L368" s="518">
        <f t="shared" si="52"/>
        <v>0</v>
      </c>
      <c r="M368" s="491">
        <f t="shared" si="53"/>
        <v>0</v>
      </c>
      <c r="O368" s="522"/>
    </row>
    <row r="369" spans="1:15">
      <c r="A369" s="489" t="s">
        <v>589</v>
      </c>
      <c r="B369" s="489" t="s">
        <v>481</v>
      </c>
      <c r="C369" s="489" t="s">
        <v>681</v>
      </c>
      <c r="D369" s="489" t="s">
        <v>682</v>
      </c>
      <c r="E369" s="490">
        <v>643</v>
      </c>
      <c r="F369" s="490">
        <v>1169307.4099999999</v>
      </c>
      <c r="G369" s="491">
        <f t="shared" si="49"/>
        <v>44.973361923076922</v>
      </c>
      <c r="H369" s="498"/>
      <c r="I369" s="518">
        <f t="shared" si="50"/>
        <v>0</v>
      </c>
      <c r="J369" s="491">
        <f t="shared" si="51"/>
        <v>0</v>
      </c>
      <c r="K369" s="498"/>
      <c r="L369" s="518">
        <f t="shared" si="52"/>
        <v>0</v>
      </c>
      <c r="M369" s="491">
        <f t="shared" si="53"/>
        <v>0</v>
      </c>
      <c r="O369" s="522"/>
    </row>
    <row r="370" spans="1:15">
      <c r="A370" s="489" t="s">
        <v>589</v>
      </c>
      <c r="B370" s="489" t="s">
        <v>481</v>
      </c>
      <c r="C370" s="489" t="s">
        <v>665</v>
      </c>
      <c r="D370" s="489" t="s">
        <v>666</v>
      </c>
      <c r="E370" s="490">
        <v>474</v>
      </c>
      <c r="F370" s="490">
        <v>4740000</v>
      </c>
      <c r="G370" s="491">
        <f t="shared" si="49"/>
        <v>182.30769230769232</v>
      </c>
      <c r="H370" s="498"/>
      <c r="I370" s="518">
        <f t="shared" si="50"/>
        <v>0</v>
      </c>
      <c r="J370" s="491">
        <f t="shared" si="51"/>
        <v>0</v>
      </c>
      <c r="K370" s="498"/>
      <c r="L370" s="518">
        <f t="shared" si="52"/>
        <v>0</v>
      </c>
      <c r="M370" s="491">
        <f t="shared" si="53"/>
        <v>0</v>
      </c>
      <c r="O370" s="522"/>
    </row>
    <row r="371" spans="1:15">
      <c r="A371" s="489" t="s">
        <v>589</v>
      </c>
      <c r="B371" s="489" t="s">
        <v>481</v>
      </c>
      <c r="C371" s="489" t="s">
        <v>673</v>
      </c>
      <c r="D371" s="489" t="s">
        <v>674</v>
      </c>
      <c r="E371" s="490">
        <v>105</v>
      </c>
      <c r="F371" s="490">
        <v>6204545</v>
      </c>
      <c r="G371" s="491">
        <f t="shared" si="49"/>
        <v>238.63634615384615</v>
      </c>
      <c r="H371" s="498"/>
      <c r="I371" s="518">
        <f t="shared" si="50"/>
        <v>0</v>
      </c>
      <c r="J371" s="491">
        <f t="shared" si="51"/>
        <v>0</v>
      </c>
      <c r="K371" s="498"/>
      <c r="L371" s="518">
        <f t="shared" si="52"/>
        <v>0</v>
      </c>
      <c r="M371" s="491">
        <f t="shared" si="53"/>
        <v>0</v>
      </c>
      <c r="O371" s="522"/>
    </row>
    <row r="372" spans="1:15">
      <c r="A372" s="489" t="s">
        <v>589</v>
      </c>
      <c r="B372" s="489" t="s">
        <v>481</v>
      </c>
      <c r="C372" s="489" t="s">
        <v>741</v>
      </c>
      <c r="D372" s="489" t="s">
        <v>742</v>
      </c>
      <c r="E372" s="490">
        <v>96</v>
      </c>
      <c r="F372" s="490">
        <v>9600000</v>
      </c>
      <c r="G372" s="491">
        <f t="shared" si="49"/>
        <v>369.23076923076923</v>
      </c>
      <c r="H372" s="498"/>
      <c r="I372" s="518">
        <f t="shared" si="50"/>
        <v>0</v>
      </c>
      <c r="J372" s="491">
        <f t="shared" si="51"/>
        <v>0</v>
      </c>
      <c r="K372" s="498"/>
      <c r="L372" s="518">
        <f t="shared" si="52"/>
        <v>0</v>
      </c>
      <c r="M372" s="491">
        <f t="shared" si="53"/>
        <v>0</v>
      </c>
      <c r="O372" s="522"/>
    </row>
    <row r="373" spans="1:15">
      <c r="A373" s="489" t="s">
        <v>589</v>
      </c>
      <c r="B373" s="489" t="s">
        <v>481</v>
      </c>
      <c r="C373" s="489" t="s">
        <v>669</v>
      </c>
      <c r="D373" s="489" t="s">
        <v>670</v>
      </c>
      <c r="E373" s="490">
        <v>7449</v>
      </c>
      <c r="F373" s="490">
        <v>30473181.82</v>
      </c>
      <c r="G373" s="491">
        <f t="shared" si="49"/>
        <v>1172.0454546153846</v>
      </c>
      <c r="H373" s="498"/>
      <c r="I373" s="518">
        <f t="shared" si="50"/>
        <v>0</v>
      </c>
      <c r="J373" s="491">
        <f t="shared" si="51"/>
        <v>0</v>
      </c>
      <c r="K373" s="498"/>
      <c r="L373" s="518">
        <f t="shared" si="52"/>
        <v>0</v>
      </c>
      <c r="M373" s="491">
        <f t="shared" si="53"/>
        <v>0</v>
      </c>
      <c r="O373" s="522"/>
    </row>
    <row r="374" spans="1:15">
      <c r="A374" s="489" t="s">
        <v>589</v>
      </c>
      <c r="B374" s="489" t="s">
        <v>481</v>
      </c>
      <c r="C374" s="489" t="s">
        <v>675</v>
      </c>
      <c r="D374" s="489" t="s">
        <v>743</v>
      </c>
      <c r="E374" s="490">
        <v>12070</v>
      </c>
      <c r="F374" s="490">
        <v>217260000</v>
      </c>
      <c r="G374" s="491">
        <f t="shared" si="49"/>
        <v>8356.1538461538457</v>
      </c>
      <c r="H374" s="498"/>
      <c r="I374" s="518">
        <f t="shared" si="50"/>
        <v>0</v>
      </c>
      <c r="J374" s="491">
        <f t="shared" si="51"/>
        <v>0</v>
      </c>
      <c r="K374" s="498"/>
      <c r="L374" s="518">
        <f t="shared" si="52"/>
        <v>0</v>
      </c>
      <c r="M374" s="491">
        <f t="shared" si="53"/>
        <v>0</v>
      </c>
      <c r="O374" s="522"/>
    </row>
    <row r="375" spans="1:15">
      <c r="A375" s="489" t="s">
        <v>589</v>
      </c>
      <c r="B375" s="489" t="s">
        <v>481</v>
      </c>
      <c r="C375" s="489" t="s">
        <v>671</v>
      </c>
      <c r="D375" s="489" t="s">
        <v>672</v>
      </c>
      <c r="E375" s="490">
        <v>195</v>
      </c>
      <c r="F375" s="490">
        <v>620454.55000000005</v>
      </c>
      <c r="G375" s="491">
        <f t="shared" si="49"/>
        <v>23.863636538461542</v>
      </c>
      <c r="H375" s="498"/>
      <c r="I375" s="518">
        <f t="shared" si="50"/>
        <v>0</v>
      </c>
      <c r="J375" s="491">
        <f t="shared" si="51"/>
        <v>0</v>
      </c>
      <c r="K375" s="498"/>
      <c r="L375" s="518">
        <f t="shared" si="52"/>
        <v>0</v>
      </c>
      <c r="M375" s="491">
        <f t="shared" si="53"/>
        <v>0</v>
      </c>
      <c r="O375" s="522"/>
    </row>
    <row r="376" spans="1:15">
      <c r="A376" s="489" t="s">
        <v>589</v>
      </c>
      <c r="B376" s="489" t="s">
        <v>251</v>
      </c>
      <c r="C376" s="489" t="s">
        <v>685</v>
      </c>
      <c r="D376" s="489" t="s">
        <v>686</v>
      </c>
      <c r="E376" s="490">
        <v>2265</v>
      </c>
      <c r="F376" s="490">
        <v>10295454.550000001</v>
      </c>
      <c r="G376" s="491">
        <f t="shared" si="49"/>
        <v>395.97902115384619</v>
      </c>
      <c r="H376" s="498"/>
      <c r="I376" s="518">
        <f t="shared" si="50"/>
        <v>0</v>
      </c>
      <c r="J376" s="491">
        <f t="shared" si="51"/>
        <v>0</v>
      </c>
      <c r="K376" s="498"/>
      <c r="L376" s="518">
        <f t="shared" si="52"/>
        <v>0</v>
      </c>
      <c r="M376" s="491">
        <f t="shared" si="53"/>
        <v>0</v>
      </c>
      <c r="O376" s="522"/>
    </row>
    <row r="377" spans="1:15">
      <c r="A377" s="489" t="s">
        <v>589</v>
      </c>
      <c r="B377" s="489" t="s">
        <v>251</v>
      </c>
      <c r="C377" s="489" t="s">
        <v>651</v>
      </c>
      <c r="D377" s="489" t="s">
        <v>652</v>
      </c>
      <c r="E377" s="490">
        <v>340</v>
      </c>
      <c r="F377" s="490">
        <v>5100000</v>
      </c>
      <c r="G377" s="491">
        <f t="shared" si="49"/>
        <v>196.15384615384616</v>
      </c>
      <c r="H377" s="498"/>
      <c r="I377" s="518">
        <f t="shared" si="50"/>
        <v>0</v>
      </c>
      <c r="J377" s="491">
        <f t="shared" si="51"/>
        <v>0</v>
      </c>
      <c r="K377" s="498"/>
      <c r="L377" s="518">
        <f t="shared" si="52"/>
        <v>0</v>
      </c>
      <c r="M377" s="491">
        <f t="shared" si="53"/>
        <v>0</v>
      </c>
      <c r="O377" s="522"/>
    </row>
    <row r="378" spans="1:15">
      <c r="A378" s="489" t="s">
        <v>589</v>
      </c>
      <c r="B378" s="489" t="s">
        <v>251</v>
      </c>
      <c r="C378" s="489" t="s">
        <v>744</v>
      </c>
      <c r="D378" s="489" t="s">
        <v>745</v>
      </c>
      <c r="E378" s="490">
        <v>361</v>
      </c>
      <c r="F378" s="490">
        <v>12142727.27</v>
      </c>
      <c r="G378" s="491">
        <f t="shared" si="49"/>
        <v>467.0279719230769</v>
      </c>
      <c r="H378" s="498"/>
      <c r="I378" s="518">
        <f t="shared" si="50"/>
        <v>0</v>
      </c>
      <c r="J378" s="491">
        <f t="shared" si="51"/>
        <v>0</v>
      </c>
      <c r="K378" s="498"/>
      <c r="L378" s="518">
        <f t="shared" si="52"/>
        <v>0</v>
      </c>
      <c r="M378" s="491">
        <f t="shared" si="53"/>
        <v>0</v>
      </c>
      <c r="O378" s="522"/>
    </row>
    <row r="379" spans="1:15">
      <c r="A379" s="605" t="s">
        <v>589</v>
      </c>
      <c r="B379" s="605" t="s">
        <v>251</v>
      </c>
      <c r="C379" s="605" t="s">
        <v>656</v>
      </c>
      <c r="D379" s="605" t="s">
        <v>657</v>
      </c>
      <c r="E379" s="606">
        <v>36248</v>
      </c>
      <c r="F379" s="606">
        <v>1252203636.3599999</v>
      </c>
      <c r="G379" s="607">
        <f t="shared" si="49"/>
        <v>48161.678321538457</v>
      </c>
      <c r="H379" s="608"/>
      <c r="I379" s="609">
        <f t="shared" si="50"/>
        <v>0</v>
      </c>
      <c r="J379" s="607">
        <f t="shared" si="51"/>
        <v>0</v>
      </c>
      <c r="K379" s="608"/>
      <c r="L379" s="609">
        <f t="shared" si="52"/>
        <v>0</v>
      </c>
      <c r="M379" s="607">
        <f t="shared" si="53"/>
        <v>0</v>
      </c>
      <c r="O379" s="522"/>
    </row>
    <row r="380" spans="1:15">
      <c r="A380" s="493" t="s">
        <v>589</v>
      </c>
      <c r="B380" s="493" t="s">
        <v>251</v>
      </c>
      <c r="C380" s="493" t="s">
        <v>746</v>
      </c>
      <c r="D380" s="493" t="s">
        <v>747</v>
      </c>
      <c r="E380" s="494">
        <v>191</v>
      </c>
      <c r="F380" s="494">
        <v>7640000</v>
      </c>
      <c r="G380" s="509">
        <f t="shared" si="49"/>
        <v>293.84615384615387</v>
      </c>
      <c r="H380" s="610"/>
      <c r="I380" s="519">
        <f t="shared" si="50"/>
        <v>0</v>
      </c>
      <c r="J380" s="509">
        <f t="shared" si="51"/>
        <v>0</v>
      </c>
      <c r="K380" s="610"/>
      <c r="L380" s="519">
        <f t="shared" si="52"/>
        <v>0</v>
      </c>
      <c r="M380" s="509">
        <f t="shared" si="53"/>
        <v>0</v>
      </c>
      <c r="O380" s="522"/>
    </row>
    <row r="381" spans="1:15" s="551" customFormat="1">
      <c r="A381" s="546" t="s">
        <v>373</v>
      </c>
      <c r="B381" s="546"/>
      <c r="C381" s="546"/>
      <c r="D381" s="546"/>
      <c r="E381" s="547">
        <f>SUM(E236:E380)</f>
        <v>2846037</v>
      </c>
      <c r="F381" s="547">
        <f>SUM(F236:F380)</f>
        <v>85659761440.910049</v>
      </c>
      <c r="G381" s="611">
        <f>SUM(G236:G380)</f>
        <v>3294606.2092657695</v>
      </c>
      <c r="H381" s="548"/>
      <c r="I381" s="547">
        <f>SUM(I236:I380)</f>
        <v>66144111886.265388</v>
      </c>
      <c r="J381" s="547">
        <f>SUM(J236:J380)</f>
        <v>2544004.303317898</v>
      </c>
      <c r="K381" s="548"/>
      <c r="L381" s="547">
        <f>SUM(L236:L380)</f>
        <v>64182180112.547462</v>
      </c>
      <c r="M381" s="547">
        <f>SUM(M236:M380)</f>
        <v>2468545.3889441313</v>
      </c>
      <c r="N381" s="550"/>
    </row>
    <row r="382" spans="1:15">
      <c r="F382" s="485">
        <f>+F381/26000</f>
        <v>3294606.2092657713</v>
      </c>
    </row>
  </sheetData>
  <autoFilter ref="A235:N382" xr:uid="{00000000-0009-0000-0000-000000000000}"/>
  <sortState xmlns:xlrd2="http://schemas.microsoft.com/office/spreadsheetml/2017/richdata2" ref="A236:M380">
    <sortCondition ref="A236:A380"/>
  </sortState>
  <mergeCells count="5">
    <mergeCell ref="J102:K102"/>
    <mergeCell ref="L102:M102"/>
    <mergeCell ref="G102:I102"/>
    <mergeCell ref="E102:E103"/>
    <mergeCell ref="F102:F103"/>
  </mergeCells>
  <phoneticPr fontId="93" type="noConversion"/>
  <pageMargins left="0.7" right="0.7" top="0.75" bottom="0.75" header="0.3" footer="0.3"/>
  <pageSetup orientation="portrait" r:id="rId1"/>
  <customProperties>
    <customPr name="BudgetSheetCodeNam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50"/>
  <sheetViews>
    <sheetView showGridLines="0" zoomScale="80" zoomScaleNormal="80" workbookViewId="0">
      <pane xSplit="3" ySplit="3" topLeftCell="D4" activePane="bottomRight" state="frozen"/>
      <selection activeCell="G33" sqref="G33"/>
      <selection pane="topRight" activeCell="G33" sqref="G33"/>
      <selection pane="bottomLeft" activeCell="G33" sqref="G33"/>
      <selection pane="bottomRight" activeCell="U9" sqref="U9"/>
    </sheetView>
  </sheetViews>
  <sheetFormatPr defaultColWidth="9.125" defaultRowHeight="15" outlineLevelRow="2"/>
  <cols>
    <col min="1" max="1" width="14.625" style="352" hidden="1" customWidth="1"/>
    <col min="2" max="2" width="8.375" style="266" customWidth="1"/>
    <col min="3" max="3" width="22.125" style="265" customWidth="1"/>
    <col min="4" max="4" width="16.625" style="267" customWidth="1"/>
    <col min="5" max="5" width="16" style="267" customWidth="1"/>
    <col min="6" max="7" width="16.75" style="267" customWidth="1"/>
    <col min="8" max="12" width="16.75" style="267" hidden="1" customWidth="1"/>
    <col min="13" max="13" width="16.75" style="268" hidden="1" customWidth="1"/>
    <col min="14" max="14" width="14.625" style="265" hidden="1" customWidth="1"/>
    <col min="15" max="15" width="17.75" style="265" hidden="1" customWidth="1"/>
    <col min="16" max="16" width="17.75" style="267" customWidth="1"/>
    <col min="17" max="17" width="14.75" style="586" customWidth="1"/>
    <col min="18" max="18" width="19.875" style="352" customWidth="1"/>
    <col min="19" max="19" width="12.125" style="592" bestFit="1" customWidth="1"/>
    <col min="20" max="20" width="12" style="265" bestFit="1" customWidth="1"/>
    <col min="21" max="16384" width="9.125" style="265"/>
  </cols>
  <sheetData>
    <row r="1" spans="1:20" s="247" customFormat="1" ht="30.75">
      <c r="A1" s="349"/>
      <c r="B1" s="241"/>
      <c r="C1" s="242" t="s">
        <v>468</v>
      </c>
      <c r="D1" s="243"/>
      <c r="E1" s="244"/>
      <c r="F1" s="245"/>
      <c r="G1" s="245"/>
      <c r="H1" s="245"/>
      <c r="I1" s="245"/>
      <c r="J1" s="245"/>
      <c r="K1" s="245"/>
      <c r="L1" s="246"/>
      <c r="M1" s="245"/>
      <c r="N1" s="243"/>
      <c r="O1" s="243"/>
      <c r="P1" s="245"/>
      <c r="Q1" s="579"/>
      <c r="R1" s="601"/>
      <c r="S1" s="589"/>
    </row>
    <row r="2" spans="1:20" s="249" customFormat="1" ht="12.75" thickBot="1">
      <c r="A2" s="350"/>
      <c r="B2" s="248"/>
      <c r="C2" s="253"/>
      <c r="D2" s="250">
        <v>25000</v>
      </c>
      <c r="E2" s="250">
        <v>25000</v>
      </c>
      <c r="F2" s="251">
        <v>25000</v>
      </c>
      <c r="G2" s="251">
        <v>25500</v>
      </c>
      <c r="H2" s="252">
        <v>25500</v>
      </c>
      <c r="I2" s="252">
        <v>25500</v>
      </c>
      <c r="J2" s="252">
        <v>25500</v>
      </c>
      <c r="K2" s="252">
        <v>25500</v>
      </c>
      <c r="L2" s="396">
        <v>26000</v>
      </c>
      <c r="M2" s="251">
        <v>26000</v>
      </c>
      <c r="N2" s="397">
        <v>26000</v>
      </c>
      <c r="O2" s="397">
        <v>26000</v>
      </c>
      <c r="P2" s="398" t="s">
        <v>207</v>
      </c>
      <c r="Q2" s="580">
        <v>26000</v>
      </c>
      <c r="R2" s="397"/>
      <c r="S2" s="590"/>
    </row>
    <row r="3" spans="1:20" s="259" customFormat="1" ht="17.25" customHeight="1" thickTop="1">
      <c r="A3" s="571"/>
      <c r="B3" s="254" t="s">
        <v>208</v>
      </c>
      <c r="C3" s="255" t="s">
        <v>209</v>
      </c>
      <c r="D3" s="256" t="s">
        <v>210</v>
      </c>
      <c r="E3" s="256" t="s">
        <v>211</v>
      </c>
      <c r="F3" s="257" t="s">
        <v>212</v>
      </c>
      <c r="G3" s="257" t="s">
        <v>213</v>
      </c>
      <c r="H3" s="257" t="s">
        <v>129</v>
      </c>
      <c r="I3" s="257" t="s">
        <v>214</v>
      </c>
      <c r="J3" s="257" t="s">
        <v>215</v>
      </c>
      <c r="K3" s="257" t="s">
        <v>216</v>
      </c>
      <c r="L3" s="258" t="s">
        <v>125</v>
      </c>
      <c r="M3" s="257" t="s">
        <v>124</v>
      </c>
      <c r="N3" s="255" t="s">
        <v>123</v>
      </c>
      <c r="O3" s="255" t="s">
        <v>122</v>
      </c>
      <c r="P3" s="578" t="s">
        <v>93</v>
      </c>
      <c r="Q3" s="581" t="s">
        <v>92</v>
      </c>
      <c r="R3" s="602" t="s">
        <v>217</v>
      </c>
      <c r="S3" s="591"/>
    </row>
    <row r="4" spans="1:20" s="249" customFormat="1" ht="19.5" customHeight="1">
      <c r="A4" s="572" t="s">
        <v>225</v>
      </c>
      <c r="B4" s="319">
        <f>SUBTOTAL(3,$C$3:C3)</f>
        <v>1</v>
      </c>
      <c r="C4" s="399" t="s">
        <v>226</v>
      </c>
      <c r="D4" s="260">
        <v>604744.27284615382</v>
      </c>
      <c r="E4" s="260">
        <v>756522.19523076923</v>
      </c>
      <c r="F4" s="260">
        <v>608328.85723076924</v>
      </c>
      <c r="G4" s="260">
        <v>415561.43169230764</v>
      </c>
      <c r="H4" s="261"/>
      <c r="I4" s="261"/>
      <c r="J4" s="261"/>
      <c r="K4" s="261"/>
      <c r="L4" s="262"/>
      <c r="M4" s="261"/>
      <c r="N4" s="263"/>
      <c r="O4" s="263"/>
      <c r="P4" s="620">
        <f>+SUM(D4:O4)</f>
        <v>2385156.7569999998</v>
      </c>
      <c r="Q4" s="582">
        <f t="shared" ref="Q4:Q31" si="0">+P4/$P$32</f>
        <v>0.16819230297266699</v>
      </c>
      <c r="R4" s="397" t="s">
        <v>484</v>
      </c>
      <c r="S4" s="591"/>
      <c r="T4" s="264"/>
    </row>
    <row r="5" spans="1:20" s="249" customFormat="1" ht="19.5" customHeight="1">
      <c r="A5" s="573" t="s">
        <v>227</v>
      </c>
      <c r="B5" s="319">
        <f>SUBTOTAL(3,$C$3:C4)</f>
        <v>2</v>
      </c>
      <c r="C5" s="399" t="s">
        <v>228</v>
      </c>
      <c r="D5" s="260">
        <v>335328.18461538461</v>
      </c>
      <c r="E5" s="260">
        <v>106660.8</v>
      </c>
      <c r="F5" s="260">
        <v>113821.49576923077</v>
      </c>
      <c r="G5" s="260">
        <v>188120.68615384615</v>
      </c>
      <c r="H5" s="261"/>
      <c r="I5" s="261"/>
      <c r="J5" s="261"/>
      <c r="K5" s="261"/>
      <c r="L5" s="262"/>
      <c r="M5" s="261"/>
      <c r="N5" s="263"/>
      <c r="O5" s="263"/>
      <c r="P5" s="620">
        <f t="shared" ref="P5:P31" si="1">+SUM(D5:O5)</f>
        <v>743931.16653846158</v>
      </c>
      <c r="Q5" s="582">
        <f t="shared" si="0"/>
        <v>5.2459233878876889E-2</v>
      </c>
      <c r="R5" s="397" t="s">
        <v>484</v>
      </c>
      <c r="S5" s="591"/>
      <c r="T5" s="264"/>
    </row>
    <row r="6" spans="1:20" s="249" customFormat="1" ht="19.5" customHeight="1">
      <c r="A6" s="573" t="s">
        <v>229</v>
      </c>
      <c r="B6" s="319">
        <f>SUBTOTAL(3,$C$3:C5)</f>
        <v>3</v>
      </c>
      <c r="C6" s="399" t="s">
        <v>230</v>
      </c>
      <c r="D6" s="260">
        <v>32440.033846153845</v>
      </c>
      <c r="E6" s="260">
        <v>0</v>
      </c>
      <c r="F6" s="260">
        <v>41155.033846153849</v>
      </c>
      <c r="G6" s="260">
        <v>55359.360000000001</v>
      </c>
      <c r="H6" s="261"/>
      <c r="I6" s="261"/>
      <c r="J6" s="261"/>
      <c r="K6" s="261"/>
      <c r="L6" s="262"/>
      <c r="M6" s="261"/>
      <c r="N6" s="263"/>
      <c r="O6" s="263"/>
      <c r="P6" s="620">
        <f t="shared" si="1"/>
        <v>128954.4276923077</v>
      </c>
      <c r="Q6" s="582">
        <f t="shared" si="0"/>
        <v>9.0933822728580926E-3</v>
      </c>
      <c r="R6" s="397" t="s">
        <v>484</v>
      </c>
      <c r="S6" s="591"/>
      <c r="T6" s="264"/>
    </row>
    <row r="7" spans="1:20" s="249" customFormat="1" ht="19.5" customHeight="1">
      <c r="A7" s="572" t="s">
        <v>219</v>
      </c>
      <c r="B7" s="319">
        <f>SUBTOTAL(3,$C$3:C6)</f>
        <v>4</v>
      </c>
      <c r="C7" s="399" t="s">
        <v>220</v>
      </c>
      <c r="D7" s="260">
        <v>593607.81711538462</v>
      </c>
      <c r="E7" s="260">
        <v>397029.05384615384</v>
      </c>
      <c r="F7" s="260">
        <v>638739.25115384615</v>
      </c>
      <c r="G7" s="260">
        <v>395524.35499999998</v>
      </c>
      <c r="H7" s="261"/>
      <c r="I7" s="261"/>
      <c r="J7" s="261"/>
      <c r="K7" s="261"/>
      <c r="L7" s="262"/>
      <c r="M7" s="261"/>
      <c r="N7" s="263"/>
      <c r="O7" s="263"/>
      <c r="P7" s="620">
        <f t="shared" si="1"/>
        <v>2024900.4771153848</v>
      </c>
      <c r="Q7" s="582">
        <f t="shared" si="0"/>
        <v>0.14278838216271117</v>
      </c>
      <c r="R7" s="397" t="s">
        <v>221</v>
      </c>
      <c r="S7" s="591"/>
      <c r="T7" s="264"/>
    </row>
    <row r="8" spans="1:20" s="249" customFormat="1" ht="19.5" customHeight="1">
      <c r="A8" s="573" t="s">
        <v>829</v>
      </c>
      <c r="B8" s="319">
        <v>5</v>
      </c>
      <c r="C8" s="399" t="s">
        <v>830</v>
      </c>
      <c r="D8" s="260">
        <v>69610.570901923085</v>
      </c>
      <c r="E8" s="260">
        <v>41511.334735069962</v>
      </c>
      <c r="F8" s="260">
        <v>50108.973111538493</v>
      </c>
      <c r="G8" s="260">
        <v>60343.375223076917</v>
      </c>
      <c r="H8" s="261"/>
      <c r="I8" s="261"/>
      <c r="J8" s="261"/>
      <c r="K8" s="261"/>
      <c r="L8" s="262"/>
      <c r="M8" s="261"/>
      <c r="N8" s="263"/>
      <c r="O8" s="263"/>
      <c r="P8" s="620">
        <f t="shared" si="1"/>
        <v>221574.25397160847</v>
      </c>
      <c r="Q8" s="582">
        <f t="shared" si="0"/>
        <v>1.56245848184038E-2</v>
      </c>
      <c r="R8" s="397" t="s">
        <v>485</v>
      </c>
      <c r="S8" s="591"/>
      <c r="T8" s="264"/>
    </row>
    <row r="9" spans="1:20" s="249" customFormat="1" ht="24.75" customHeight="1">
      <c r="A9" s="573" t="s">
        <v>831</v>
      </c>
      <c r="B9" s="319">
        <v>6</v>
      </c>
      <c r="C9" s="399" t="s">
        <v>832</v>
      </c>
      <c r="D9" s="260">
        <v>0</v>
      </c>
      <c r="E9" s="260">
        <v>58059.390785314667</v>
      </c>
      <c r="F9" s="260">
        <v>20296.514307692309</v>
      </c>
      <c r="G9" s="260">
        <v>82073.518127972042</v>
      </c>
      <c r="H9" s="261"/>
      <c r="I9" s="261"/>
      <c r="J9" s="261"/>
      <c r="K9" s="261"/>
      <c r="L9" s="262"/>
      <c r="M9" s="261"/>
      <c r="N9" s="263"/>
      <c r="O9" s="263"/>
      <c r="P9" s="620">
        <f t="shared" si="1"/>
        <v>160429.42322097902</v>
      </c>
      <c r="Q9" s="582">
        <f t="shared" si="0"/>
        <v>1.1312880831384755E-2</v>
      </c>
      <c r="R9" s="397" t="s">
        <v>485</v>
      </c>
      <c r="S9" s="591"/>
      <c r="T9" s="264"/>
    </row>
    <row r="10" spans="1:20" s="249" customFormat="1" ht="19.5" customHeight="1">
      <c r="A10" s="572" t="s">
        <v>218</v>
      </c>
      <c r="B10" s="319">
        <f>SUBTOTAL(3,$C$3:C9)</f>
        <v>7</v>
      </c>
      <c r="C10" s="399" t="s">
        <v>470</v>
      </c>
      <c r="D10" s="260">
        <v>439497.66975384619</v>
      </c>
      <c r="E10" s="260">
        <v>386650.32451730774</v>
      </c>
      <c r="F10" s="260">
        <v>730071.82542692299</v>
      </c>
      <c r="G10" s="260">
        <v>592426.4443038461</v>
      </c>
      <c r="H10" s="261"/>
      <c r="I10" s="261"/>
      <c r="J10" s="261"/>
      <c r="K10" s="261"/>
      <c r="L10" s="262"/>
      <c r="M10" s="261"/>
      <c r="N10" s="400"/>
      <c r="O10" s="263"/>
      <c r="P10" s="620">
        <f t="shared" si="1"/>
        <v>2148646.2640019231</v>
      </c>
      <c r="Q10" s="582">
        <f t="shared" si="0"/>
        <v>0.1515144706340576</v>
      </c>
      <c r="R10" s="397" t="s">
        <v>486</v>
      </c>
      <c r="S10" s="591"/>
      <c r="T10" s="264"/>
    </row>
    <row r="11" spans="1:20" s="249" customFormat="1" ht="19.5" customHeight="1">
      <c r="A11" s="572" t="s">
        <v>231</v>
      </c>
      <c r="B11" s="319">
        <f>SUBTOTAL(3,$C$3:C10)</f>
        <v>8</v>
      </c>
      <c r="C11" s="399" t="s">
        <v>471</v>
      </c>
      <c r="D11" s="260">
        <v>27064.312307692308</v>
      </c>
      <c r="E11" s="260">
        <v>31425.044999999998</v>
      </c>
      <c r="F11" s="260">
        <v>76617.49769230769</v>
      </c>
      <c r="G11" s="260">
        <v>76718.642307692309</v>
      </c>
      <c r="H11" s="261"/>
      <c r="I11" s="261"/>
      <c r="J11" s="261"/>
      <c r="K11" s="261"/>
      <c r="L11" s="262"/>
      <c r="M11" s="261"/>
      <c r="N11" s="400"/>
      <c r="O11" s="263"/>
      <c r="P11" s="620">
        <f t="shared" si="1"/>
        <v>211825.49730769231</v>
      </c>
      <c r="Q11" s="582">
        <f t="shared" si="0"/>
        <v>1.4937139085702133E-2</v>
      </c>
      <c r="R11" s="397" t="s">
        <v>486</v>
      </c>
      <c r="S11" s="591"/>
      <c r="T11" s="264"/>
    </row>
    <row r="12" spans="1:20" s="249" customFormat="1" ht="19.5" customHeight="1">
      <c r="A12" s="572" t="s">
        <v>246</v>
      </c>
      <c r="B12" s="319">
        <f>SUBTOTAL(3,$C$3:C11)</f>
        <v>9</v>
      </c>
      <c r="C12" s="399" t="s">
        <v>472</v>
      </c>
      <c r="D12" s="260">
        <v>34795.632738461543</v>
      </c>
      <c r="E12" s="260">
        <v>230453.46092307693</v>
      </c>
      <c r="F12" s="260">
        <v>27226.135876923076</v>
      </c>
      <c r="G12" s="260">
        <v>264238.78357832169</v>
      </c>
      <c r="H12" s="261"/>
      <c r="I12" s="261"/>
      <c r="J12" s="261"/>
      <c r="K12" s="261"/>
      <c r="L12" s="262"/>
      <c r="M12" s="261"/>
      <c r="N12" s="400"/>
      <c r="O12" s="263"/>
      <c r="P12" s="620">
        <f t="shared" si="1"/>
        <v>556714.01311678323</v>
      </c>
      <c r="Q12" s="582">
        <f t="shared" si="0"/>
        <v>3.9257382848513267E-2</v>
      </c>
      <c r="R12" s="397" t="s">
        <v>486</v>
      </c>
      <c r="S12" s="591"/>
      <c r="T12" s="264"/>
    </row>
    <row r="13" spans="1:20" s="259" customFormat="1" ht="19.5" customHeight="1">
      <c r="A13" s="572" t="s">
        <v>232</v>
      </c>
      <c r="B13" s="319">
        <f>SUBTOTAL(3,$C$3:C12)</f>
        <v>10</v>
      </c>
      <c r="C13" s="399" t="s">
        <v>473</v>
      </c>
      <c r="D13" s="260">
        <v>196323.69156923078</v>
      </c>
      <c r="E13" s="260">
        <v>194930.24501538463</v>
      </c>
      <c r="F13" s="260">
        <v>186807.08827692308</v>
      </c>
      <c r="G13" s="260">
        <v>175585.86868461539</v>
      </c>
      <c r="H13" s="261"/>
      <c r="I13" s="261"/>
      <c r="J13" s="261"/>
      <c r="K13" s="261"/>
      <c r="L13" s="262"/>
      <c r="M13" s="261"/>
      <c r="N13" s="263"/>
      <c r="O13" s="263"/>
      <c r="P13" s="621">
        <f t="shared" si="1"/>
        <v>753646.89354615379</v>
      </c>
      <c r="Q13" s="583">
        <f t="shared" si="0"/>
        <v>5.3144350484182465E-2</v>
      </c>
      <c r="R13" s="397" t="s">
        <v>233</v>
      </c>
      <c r="S13" s="591"/>
      <c r="T13" s="264"/>
    </row>
    <row r="14" spans="1:20" s="249" customFormat="1" ht="19.5" customHeight="1">
      <c r="A14" s="574" t="s">
        <v>235</v>
      </c>
      <c r="B14" s="319">
        <f>SUBTOTAL(3,$C$3:C13)</f>
        <v>11</v>
      </c>
      <c r="C14" s="399" t="s">
        <v>474</v>
      </c>
      <c r="D14" s="260">
        <v>82267.015219230758</v>
      </c>
      <c r="E14" s="260">
        <v>0</v>
      </c>
      <c r="F14" s="260">
        <v>102419.41446346155</v>
      </c>
      <c r="G14" s="260">
        <v>89314.25720769231</v>
      </c>
      <c r="H14" s="261"/>
      <c r="I14" s="261"/>
      <c r="J14" s="261"/>
      <c r="K14" s="261"/>
      <c r="L14" s="262"/>
      <c r="M14" s="261"/>
      <c r="N14" s="263"/>
      <c r="O14" s="263"/>
      <c r="P14" s="620">
        <f t="shared" si="1"/>
        <v>274000.68689038465</v>
      </c>
      <c r="Q14" s="582">
        <f t="shared" si="0"/>
        <v>1.9321500110605287E-2</v>
      </c>
      <c r="R14" s="397" t="s">
        <v>233</v>
      </c>
      <c r="S14" s="591"/>
      <c r="T14" s="264"/>
    </row>
    <row r="15" spans="1:20" s="249" customFormat="1" ht="19.5" customHeight="1">
      <c r="A15" s="572" t="s">
        <v>236</v>
      </c>
      <c r="B15" s="319">
        <f>SUBTOTAL(3,$C$3:C14)</f>
        <v>12</v>
      </c>
      <c r="C15" s="399" t="s">
        <v>237</v>
      </c>
      <c r="D15" s="260">
        <v>292701.27174230764</v>
      </c>
      <c r="E15" s="260">
        <v>0</v>
      </c>
      <c r="F15" s="260">
        <v>399697.29945576924</v>
      </c>
      <c r="G15" s="260">
        <v>4829.9797500000004</v>
      </c>
      <c r="H15" s="261"/>
      <c r="I15" s="261"/>
      <c r="J15" s="261"/>
      <c r="K15" s="261"/>
      <c r="L15" s="262"/>
      <c r="M15" s="261"/>
      <c r="N15" s="263"/>
      <c r="O15" s="263"/>
      <c r="P15" s="620">
        <f t="shared" si="1"/>
        <v>697228.550948077</v>
      </c>
      <c r="Q15" s="582">
        <f t="shared" si="0"/>
        <v>4.916594070309676E-2</v>
      </c>
      <c r="R15" s="397" t="s">
        <v>233</v>
      </c>
      <c r="S15" s="591"/>
      <c r="T15" s="264"/>
    </row>
    <row r="16" spans="1:20" s="249" customFormat="1" ht="19.5" customHeight="1">
      <c r="A16" s="572" t="s">
        <v>241</v>
      </c>
      <c r="B16" s="319">
        <f>SUBTOTAL(3,$C$3:C15)</f>
        <v>13</v>
      </c>
      <c r="C16" s="399" t="s">
        <v>475</v>
      </c>
      <c r="D16" s="260">
        <v>58523.918392307685</v>
      </c>
      <c r="E16" s="260">
        <v>67931.001556153846</v>
      </c>
      <c r="F16" s="260">
        <v>87723.903888461529</v>
      </c>
      <c r="G16" s="260">
        <v>95266.49775000001</v>
      </c>
      <c r="H16" s="261"/>
      <c r="I16" s="261"/>
      <c r="J16" s="261"/>
      <c r="K16" s="261"/>
      <c r="L16" s="262"/>
      <c r="M16" s="261"/>
      <c r="N16" s="263"/>
      <c r="O16" s="263"/>
      <c r="P16" s="620">
        <f t="shared" si="1"/>
        <v>309445.32158692309</v>
      </c>
      <c r="Q16" s="582">
        <f t="shared" si="0"/>
        <v>2.1820922725131454E-2</v>
      </c>
      <c r="R16" s="397" t="s">
        <v>233</v>
      </c>
      <c r="S16" s="591"/>
      <c r="T16" s="264"/>
    </row>
    <row r="17" spans="1:20" s="249" customFormat="1" ht="19.5" customHeight="1">
      <c r="A17" s="572" t="s">
        <v>245</v>
      </c>
      <c r="B17" s="319">
        <f>SUBTOTAL(3,$C$3:C16)</f>
        <v>14</v>
      </c>
      <c r="C17" s="399" t="s">
        <v>476</v>
      </c>
      <c r="D17" s="260">
        <v>110834.49934615384</v>
      </c>
      <c r="E17" s="260">
        <v>109746.13602307692</v>
      </c>
      <c r="F17" s="260">
        <v>111174.61288461539</v>
      </c>
      <c r="G17" s="260">
        <v>0</v>
      </c>
      <c r="H17" s="261"/>
      <c r="I17" s="261"/>
      <c r="J17" s="261"/>
      <c r="K17" s="261"/>
      <c r="L17" s="262"/>
      <c r="M17" s="261"/>
      <c r="N17" s="263"/>
      <c r="O17" s="263"/>
      <c r="P17" s="620">
        <f t="shared" si="1"/>
        <v>331755.24825384613</v>
      </c>
      <c r="Q17" s="582">
        <f t="shared" si="0"/>
        <v>2.3394135024175793E-2</v>
      </c>
      <c r="R17" s="397" t="s">
        <v>233</v>
      </c>
      <c r="S17" s="591"/>
      <c r="T17" s="264"/>
    </row>
    <row r="18" spans="1:20" s="249" customFormat="1" ht="19.5" customHeight="1">
      <c r="A18" s="572" t="s">
        <v>833</v>
      </c>
      <c r="B18" s="319">
        <v>16</v>
      </c>
      <c r="C18" s="399" t="s">
        <v>826</v>
      </c>
      <c r="D18" s="260"/>
      <c r="E18" s="260"/>
      <c r="F18" s="260"/>
      <c r="G18" s="260">
        <v>19419.770738461539</v>
      </c>
      <c r="H18" s="261"/>
      <c r="I18" s="261"/>
      <c r="J18" s="261"/>
      <c r="K18" s="261"/>
      <c r="L18" s="262"/>
      <c r="M18" s="261"/>
      <c r="N18" s="263"/>
      <c r="O18" s="263"/>
      <c r="P18" s="620">
        <f t="shared" si="1"/>
        <v>19419.770738461539</v>
      </c>
      <c r="Q18" s="582">
        <f t="shared" si="0"/>
        <v>1.3694093497700691E-3</v>
      </c>
      <c r="R18" s="397" t="s">
        <v>233</v>
      </c>
      <c r="S18" s="591"/>
      <c r="T18" s="264"/>
    </row>
    <row r="19" spans="1:20" s="249" customFormat="1" ht="19.5" customHeight="1">
      <c r="A19" s="573" t="s">
        <v>222</v>
      </c>
      <c r="B19" s="319">
        <f>SUBTOTAL(3,$C$3:C17)</f>
        <v>15</v>
      </c>
      <c r="C19" s="399" t="s">
        <v>477</v>
      </c>
      <c r="D19" s="260">
        <v>513233.63345000002</v>
      </c>
      <c r="E19" s="260">
        <v>594948.01566153846</v>
      </c>
      <c r="F19" s="260">
        <v>658588.51421538461</v>
      </c>
      <c r="G19" s="260">
        <v>524204.79521538457</v>
      </c>
      <c r="H19" s="261"/>
      <c r="I19" s="261"/>
      <c r="J19" s="261"/>
      <c r="K19" s="261"/>
      <c r="L19" s="262"/>
      <c r="M19" s="261"/>
      <c r="N19" s="400"/>
      <c r="O19" s="263"/>
      <c r="P19" s="620">
        <f t="shared" si="1"/>
        <v>2290974.9585423078</v>
      </c>
      <c r="Q19" s="582">
        <f t="shared" si="0"/>
        <v>0.16155095601120739</v>
      </c>
      <c r="R19" s="397" t="s">
        <v>223</v>
      </c>
      <c r="S19" s="591"/>
      <c r="T19" s="264"/>
    </row>
    <row r="20" spans="1:20" s="249" customFormat="1" ht="21" customHeight="1">
      <c r="A20" s="572" t="s">
        <v>234</v>
      </c>
      <c r="B20" s="319">
        <f>SUBTOTAL(3,$C$3:C19)</f>
        <v>17</v>
      </c>
      <c r="C20" s="399" t="s">
        <v>478</v>
      </c>
      <c r="D20" s="260">
        <v>109952.43428461539</v>
      </c>
      <c r="E20" s="260">
        <v>73594.523961538463</v>
      </c>
      <c r="F20" s="260">
        <v>74493.235923076922</v>
      </c>
      <c r="G20" s="401">
        <v>111853.97603846154</v>
      </c>
      <c r="H20" s="261"/>
      <c r="I20" s="261"/>
      <c r="J20" s="261"/>
      <c r="K20" s="261"/>
      <c r="L20" s="262"/>
      <c r="M20" s="261"/>
      <c r="N20" s="263"/>
      <c r="O20" s="263"/>
      <c r="P20" s="620">
        <f t="shared" si="1"/>
        <v>369894.17020769231</v>
      </c>
      <c r="Q20" s="582">
        <f t="shared" si="0"/>
        <v>2.6083548664384681E-2</v>
      </c>
      <c r="R20" s="397" t="s">
        <v>223</v>
      </c>
      <c r="S20" s="591"/>
      <c r="T20" s="264"/>
    </row>
    <row r="21" spans="1:20" s="249" customFormat="1" ht="19.5" customHeight="1">
      <c r="A21" s="572" t="s">
        <v>249</v>
      </c>
      <c r="B21" s="319">
        <f>SUBTOTAL(3,$C$3:C20)</f>
        <v>18</v>
      </c>
      <c r="C21" s="399" t="s">
        <v>479</v>
      </c>
      <c r="D21" s="260">
        <v>429.24299999999999</v>
      </c>
      <c r="E21" s="260">
        <v>1140.1615384615384</v>
      </c>
      <c r="F21" s="260"/>
      <c r="G21" s="260">
        <v>18270.470499999999</v>
      </c>
      <c r="H21" s="261"/>
      <c r="I21" s="261"/>
      <c r="J21" s="261"/>
      <c r="K21" s="261"/>
      <c r="L21" s="262"/>
      <c r="M21" s="261"/>
      <c r="N21" s="263"/>
      <c r="O21" s="263"/>
      <c r="P21" s="620">
        <f t="shared" si="1"/>
        <v>19839.875038461538</v>
      </c>
      <c r="Q21" s="582">
        <f t="shared" si="0"/>
        <v>1.3990335283479971E-3</v>
      </c>
      <c r="R21" s="397" t="s">
        <v>223</v>
      </c>
      <c r="S21" s="591"/>
      <c r="T21" s="264"/>
    </row>
    <row r="22" spans="1:20" s="249" customFormat="1" ht="19.5" hidden="1" customHeight="1" outlineLevel="1">
      <c r="A22" s="575" t="s">
        <v>487</v>
      </c>
      <c r="B22" s="319">
        <f>SUBTOTAL(3,$C$3:C21)</f>
        <v>19</v>
      </c>
      <c r="C22" s="399" t="s">
        <v>488</v>
      </c>
      <c r="D22" s="260">
        <v>0</v>
      </c>
      <c r="E22" s="260">
        <v>0</v>
      </c>
      <c r="F22" s="260"/>
      <c r="G22" s="260">
        <v>0</v>
      </c>
      <c r="H22" s="261"/>
      <c r="I22" s="261"/>
      <c r="J22" s="261"/>
      <c r="K22" s="261"/>
      <c r="L22" s="262"/>
      <c r="M22" s="261"/>
      <c r="N22" s="263"/>
      <c r="O22" s="263"/>
      <c r="P22" s="620">
        <f t="shared" si="1"/>
        <v>0</v>
      </c>
      <c r="Q22" s="582">
        <f t="shared" si="0"/>
        <v>0</v>
      </c>
      <c r="R22" s="397" t="s">
        <v>223</v>
      </c>
      <c r="S22" s="591"/>
      <c r="T22" s="264"/>
    </row>
    <row r="23" spans="1:20" s="249" customFormat="1" ht="19.5" hidden="1" customHeight="1" outlineLevel="2">
      <c r="A23" s="576" t="s">
        <v>247</v>
      </c>
      <c r="B23" s="319">
        <f>SUBTOTAL(3,$C$3:C22)</f>
        <v>20</v>
      </c>
      <c r="C23" s="399" t="s">
        <v>248</v>
      </c>
      <c r="D23" s="260">
        <v>0</v>
      </c>
      <c r="E23" s="260">
        <v>0</v>
      </c>
      <c r="F23" s="260"/>
      <c r="G23" s="260">
        <v>0</v>
      </c>
      <c r="H23" s="261"/>
      <c r="I23" s="261"/>
      <c r="J23" s="261"/>
      <c r="K23" s="261"/>
      <c r="L23" s="262"/>
      <c r="M23" s="261"/>
      <c r="N23" s="263"/>
      <c r="O23" s="263"/>
      <c r="P23" s="620">
        <f t="shared" si="1"/>
        <v>0</v>
      </c>
      <c r="Q23" s="582">
        <f t="shared" si="0"/>
        <v>0</v>
      </c>
      <c r="R23" s="397" t="s">
        <v>248</v>
      </c>
      <c r="S23" s="591"/>
      <c r="T23" s="264"/>
    </row>
    <row r="24" spans="1:20" s="249" customFormat="1" ht="19.5" hidden="1" customHeight="1" outlineLevel="2">
      <c r="A24" s="575" t="s">
        <v>489</v>
      </c>
      <c r="B24" s="319">
        <f>SUBTOTAL(3,$C$3:C23)</f>
        <v>21</v>
      </c>
      <c r="C24" s="399" t="s">
        <v>490</v>
      </c>
      <c r="D24" s="260">
        <v>0</v>
      </c>
      <c r="E24" s="260">
        <v>0</v>
      </c>
      <c r="F24" s="260"/>
      <c r="G24" s="260">
        <v>0</v>
      </c>
      <c r="H24" s="261"/>
      <c r="I24" s="261"/>
      <c r="J24" s="261"/>
      <c r="K24" s="261"/>
      <c r="L24" s="262"/>
      <c r="M24" s="261"/>
      <c r="N24" s="400"/>
      <c r="O24" s="263"/>
      <c r="P24" s="620">
        <f t="shared" si="1"/>
        <v>0</v>
      </c>
      <c r="Q24" s="582">
        <f t="shared" si="0"/>
        <v>0</v>
      </c>
      <c r="R24" s="397" t="s">
        <v>491</v>
      </c>
      <c r="S24" s="591"/>
      <c r="T24" s="264"/>
    </row>
    <row r="25" spans="1:20" s="249" customFormat="1" ht="24.75" hidden="1" customHeight="1" outlineLevel="2">
      <c r="A25" s="575" t="s">
        <v>492</v>
      </c>
      <c r="B25" s="319">
        <f>SUBTOTAL(3,$C$3:C24)</f>
        <v>22</v>
      </c>
      <c r="C25" s="399" t="s">
        <v>493</v>
      </c>
      <c r="D25" s="260">
        <v>0</v>
      </c>
      <c r="E25" s="260">
        <v>0</v>
      </c>
      <c r="F25" s="260"/>
      <c r="G25" s="401">
        <v>0</v>
      </c>
      <c r="H25" s="261"/>
      <c r="I25" s="473"/>
      <c r="J25" s="261"/>
      <c r="K25" s="261"/>
      <c r="L25" s="474"/>
      <c r="M25" s="473"/>
      <c r="N25" s="400"/>
      <c r="O25" s="263"/>
      <c r="P25" s="620">
        <f t="shared" si="1"/>
        <v>0</v>
      </c>
      <c r="Q25" s="582">
        <f t="shared" si="0"/>
        <v>0</v>
      </c>
      <c r="R25" s="397" t="s">
        <v>494</v>
      </c>
      <c r="S25" s="591"/>
      <c r="T25" s="264"/>
    </row>
    <row r="26" spans="1:20" s="249" customFormat="1" ht="24.75" customHeight="1" collapsed="1">
      <c r="A26" s="572" t="s">
        <v>495</v>
      </c>
      <c r="B26" s="319">
        <f>SUBTOTAL(3,$C$3:C25)</f>
        <v>23</v>
      </c>
      <c r="C26" s="399" t="s">
        <v>480</v>
      </c>
      <c r="D26" s="260">
        <v>23541.21</v>
      </c>
      <c r="E26" s="260">
        <v>0</v>
      </c>
      <c r="F26" s="260">
        <v>23505.09</v>
      </c>
      <c r="G26" s="260">
        <v>0</v>
      </c>
      <c r="H26" s="261"/>
      <c r="I26" s="261"/>
      <c r="J26" s="261"/>
      <c r="K26" s="261"/>
      <c r="L26" s="262"/>
      <c r="M26" s="261"/>
      <c r="N26" s="263"/>
      <c r="O26" s="263"/>
      <c r="P26" s="620">
        <f t="shared" si="1"/>
        <v>47046.3</v>
      </c>
      <c r="Q26" s="582">
        <f t="shared" si="0"/>
        <v>3.317528510493193E-3</v>
      </c>
      <c r="R26" s="397" t="s">
        <v>480</v>
      </c>
      <c r="S26" s="591"/>
      <c r="T26" s="264"/>
    </row>
    <row r="27" spans="1:20" s="249" customFormat="1" ht="19.5" customHeight="1">
      <c r="A27" s="572" t="s">
        <v>496</v>
      </c>
      <c r="B27" s="319">
        <f>SUBTOTAL(3,$C$3:C26)</f>
        <v>24</v>
      </c>
      <c r="C27" s="399" t="s">
        <v>497</v>
      </c>
      <c r="D27" s="260">
        <v>0</v>
      </c>
      <c r="E27" s="260">
        <v>0</v>
      </c>
      <c r="F27" s="260">
        <v>704</v>
      </c>
      <c r="G27" s="261">
        <v>4295.9999999999991</v>
      </c>
      <c r="H27" s="261"/>
      <c r="I27" s="261"/>
      <c r="J27" s="261"/>
      <c r="K27" s="261"/>
      <c r="L27" s="262"/>
      <c r="M27" s="261"/>
      <c r="N27" s="263"/>
      <c r="O27" s="263"/>
      <c r="P27" s="620">
        <f t="shared" si="1"/>
        <v>4999.9999999999991</v>
      </c>
      <c r="Q27" s="582">
        <f t="shared" si="0"/>
        <v>3.5258123492104505E-4</v>
      </c>
      <c r="R27" s="397" t="s">
        <v>834</v>
      </c>
      <c r="S27" s="591"/>
      <c r="T27" s="265"/>
    </row>
    <row r="28" spans="1:20" s="249" customFormat="1" ht="19.5" customHeight="1">
      <c r="A28" s="572" t="s">
        <v>238</v>
      </c>
      <c r="B28" s="319">
        <f>SUBTOTAL(3,$C$3:C27)</f>
        <v>25</v>
      </c>
      <c r="C28" s="399" t="s">
        <v>239</v>
      </c>
      <c r="D28" s="260">
        <v>22187.783192307692</v>
      </c>
      <c r="E28" s="260">
        <v>10306.643346153845</v>
      </c>
      <c r="F28" s="260">
        <v>29313.916076923077</v>
      </c>
      <c r="G28" s="260">
        <v>29493.846153846149</v>
      </c>
      <c r="H28" s="261"/>
      <c r="I28" s="261"/>
      <c r="J28" s="261"/>
      <c r="K28" s="261"/>
      <c r="L28" s="262"/>
      <c r="M28" s="261"/>
      <c r="N28" s="400"/>
      <c r="O28" s="263"/>
      <c r="P28" s="620">
        <f t="shared" si="1"/>
        <v>91302.188769230765</v>
      </c>
      <c r="Q28" s="582">
        <f t="shared" si="0"/>
        <v>6.438287693449952E-3</v>
      </c>
      <c r="R28" s="397" t="s">
        <v>240</v>
      </c>
      <c r="S28" s="591"/>
      <c r="T28" s="264"/>
    </row>
    <row r="29" spans="1:20" s="249" customFormat="1" ht="20.25" customHeight="1">
      <c r="A29" s="572" t="s">
        <v>242</v>
      </c>
      <c r="B29" s="319">
        <f>SUBTOTAL(3,$C$3:C28)</f>
        <v>26</v>
      </c>
      <c r="C29" s="399" t="s">
        <v>481</v>
      </c>
      <c r="D29" s="260">
        <v>30274.907269230771</v>
      </c>
      <c r="E29" s="260">
        <v>15704.634423076923</v>
      </c>
      <c r="F29" s="260">
        <v>32224.831153846153</v>
      </c>
      <c r="G29" s="260">
        <v>19322.123789173787</v>
      </c>
      <c r="H29" s="261"/>
      <c r="I29" s="261"/>
      <c r="J29" s="261"/>
      <c r="K29" s="261"/>
      <c r="L29" s="262"/>
      <c r="M29" s="261"/>
      <c r="N29" s="263"/>
      <c r="O29" s="263"/>
      <c r="P29" s="620">
        <f t="shared" si="1"/>
        <v>97526.496635327625</v>
      </c>
      <c r="Q29" s="582">
        <f t="shared" si="0"/>
        <v>6.8772025242413931E-3</v>
      </c>
      <c r="R29" s="397" t="s">
        <v>240</v>
      </c>
      <c r="S29" s="591"/>
      <c r="T29" s="264"/>
    </row>
    <row r="30" spans="1:20" s="249" customFormat="1" ht="19.5" customHeight="1">
      <c r="A30" s="574" t="s">
        <v>243</v>
      </c>
      <c r="B30" s="319">
        <f>SUBTOTAL(3,$C$3:C29)</f>
        <v>27</v>
      </c>
      <c r="C30" s="399" t="s">
        <v>244</v>
      </c>
      <c r="D30" s="260">
        <v>15630.069923076922</v>
      </c>
      <c r="E30" s="260">
        <v>22544.772730769229</v>
      </c>
      <c r="F30" s="260">
        <v>24441.486000000001</v>
      </c>
      <c r="G30" s="260">
        <v>22867.342657342655</v>
      </c>
      <c r="H30" s="261"/>
      <c r="I30" s="261"/>
      <c r="J30" s="261"/>
      <c r="K30" s="261"/>
      <c r="L30" s="262"/>
      <c r="M30" s="261"/>
      <c r="N30" s="263"/>
      <c r="O30" s="263"/>
      <c r="P30" s="620">
        <f t="shared" si="1"/>
        <v>85483.671311188809</v>
      </c>
      <c r="Q30" s="582">
        <f t="shared" si="0"/>
        <v>6.0279876792967329E-3</v>
      </c>
      <c r="R30" s="397" t="s">
        <v>240</v>
      </c>
      <c r="S30" s="591"/>
      <c r="T30" s="264"/>
    </row>
    <row r="31" spans="1:20" s="249" customFormat="1" ht="19.5" customHeight="1">
      <c r="A31" s="572" t="s">
        <v>250</v>
      </c>
      <c r="B31" s="319">
        <f>SUBTOTAL(3,$C$3:C30)</f>
        <v>28</v>
      </c>
      <c r="C31" s="399" t="s">
        <v>251</v>
      </c>
      <c r="D31" s="260">
        <v>53192.902076923077</v>
      </c>
      <c r="E31" s="260">
        <v>44673.601423076921</v>
      </c>
      <c r="F31" s="260">
        <v>59051.468538461537</v>
      </c>
      <c r="G31" s="260">
        <v>49514.68531468531</v>
      </c>
      <c r="H31" s="261"/>
      <c r="I31" s="261"/>
      <c r="J31" s="261"/>
      <c r="K31" s="261"/>
      <c r="L31" s="262"/>
      <c r="M31" s="261"/>
      <c r="N31" s="263"/>
      <c r="O31" s="263"/>
      <c r="P31" s="620">
        <f t="shared" si="1"/>
        <v>206432.65735314685</v>
      </c>
      <c r="Q31" s="582">
        <f t="shared" si="0"/>
        <v>1.4556856251521096E-2</v>
      </c>
      <c r="R31" s="397" t="s">
        <v>240</v>
      </c>
      <c r="S31" s="591"/>
      <c r="T31" s="264"/>
    </row>
    <row r="32" spans="1:20" s="259" customFormat="1" ht="17.25" customHeight="1" thickBot="1">
      <c r="A32" s="571"/>
      <c r="B32" s="753" t="s">
        <v>252</v>
      </c>
      <c r="C32" s="754"/>
      <c r="D32" s="327">
        <f t="shared" ref="D32:Q32" si="2">SUM(D4:D31)</f>
        <v>3646181.0735903843</v>
      </c>
      <c r="E32" s="327">
        <f t="shared" si="2"/>
        <v>3143831.3407169227</v>
      </c>
      <c r="F32" s="327">
        <f t="shared" si="2"/>
        <v>4096510.4452923085</v>
      </c>
      <c r="G32" s="327">
        <f t="shared" si="2"/>
        <v>3294606.2101867255</v>
      </c>
      <c r="H32" s="328">
        <f t="shared" si="2"/>
        <v>0</v>
      </c>
      <c r="I32" s="328">
        <f t="shared" si="2"/>
        <v>0</v>
      </c>
      <c r="J32" s="328">
        <f t="shared" si="2"/>
        <v>0</v>
      </c>
      <c r="K32" s="328">
        <f t="shared" si="2"/>
        <v>0</v>
      </c>
      <c r="L32" s="351">
        <f t="shared" si="2"/>
        <v>0</v>
      </c>
      <c r="M32" s="328">
        <f t="shared" si="2"/>
        <v>0</v>
      </c>
      <c r="N32" s="327">
        <f t="shared" si="2"/>
        <v>0</v>
      </c>
      <c r="O32" s="327">
        <f t="shared" si="2"/>
        <v>0</v>
      </c>
      <c r="P32" s="327">
        <f t="shared" si="2"/>
        <v>14181129.069786342</v>
      </c>
      <c r="Q32" s="584">
        <f t="shared" si="2"/>
        <v>0.99999999999999989</v>
      </c>
      <c r="R32" s="475">
        <f>+(D32+E32+F32)*25000+(G32+H32+I32+J32)*25500+K32*25500+L32*26000+M32*26000+N32*26000+O32*26000</f>
        <v>356175529849.75195</v>
      </c>
      <c r="S32" s="591"/>
      <c r="T32" s="577"/>
    </row>
    <row r="33" spans="2:20" s="476" customFormat="1" ht="25.5" hidden="1" customHeight="1" thickTop="1">
      <c r="B33" s="477"/>
      <c r="C33" s="478" t="s">
        <v>835</v>
      </c>
      <c r="D33" s="479">
        <v>3646181.0735903848</v>
      </c>
      <c r="E33" s="479">
        <v>3143831.3407169231</v>
      </c>
      <c r="F33" s="479">
        <f>3457771.19413846+F7</f>
        <v>4096510.4452923061</v>
      </c>
      <c r="G33" s="479">
        <v>3294606.2092657699</v>
      </c>
      <c r="H33" s="480"/>
      <c r="I33" s="479"/>
      <c r="J33" s="479"/>
      <c r="K33" s="481"/>
      <c r="L33" s="482"/>
      <c r="M33" s="481"/>
      <c r="N33" s="481"/>
      <c r="O33" s="479"/>
      <c r="P33" s="622"/>
      <c r="Q33" s="585"/>
      <c r="R33" s="525"/>
      <c r="S33" s="592"/>
      <c r="T33" s="577"/>
    </row>
    <row r="34" spans="2:20" hidden="1">
      <c r="C34" s="271"/>
      <c r="D34" s="272"/>
      <c r="E34" s="273"/>
      <c r="F34" s="273"/>
      <c r="G34" s="273"/>
      <c r="H34" s="273"/>
      <c r="I34" s="273"/>
      <c r="J34" s="273"/>
      <c r="K34" s="273"/>
      <c r="L34" s="273"/>
      <c r="M34" s="274"/>
      <c r="N34" s="270"/>
      <c r="O34" s="270"/>
      <c r="P34" s="273"/>
    </row>
    <row r="35" spans="2:20" ht="15.75" thickTop="1">
      <c r="C35" s="271"/>
      <c r="D35" s="272"/>
    </row>
    <row r="36" spans="2:20">
      <c r="C36" s="271"/>
      <c r="D36" s="272"/>
    </row>
    <row r="37" spans="2:20">
      <c r="C37" s="271"/>
      <c r="D37" s="272"/>
    </row>
    <row r="38" spans="2:20">
      <c r="C38" s="271"/>
      <c r="D38" s="272"/>
    </row>
    <row r="39" spans="2:20">
      <c r="C39" s="271"/>
      <c r="D39" s="272"/>
      <c r="S39" s="593"/>
    </row>
    <row r="40" spans="2:20">
      <c r="C40" s="271"/>
      <c r="D40" s="272"/>
      <c r="S40" s="593"/>
    </row>
    <row r="41" spans="2:20">
      <c r="C41" s="271"/>
      <c r="D41" s="272"/>
      <c r="S41" s="593"/>
    </row>
    <row r="42" spans="2:20">
      <c r="C42" s="271"/>
      <c r="D42" s="272"/>
      <c r="S42" s="593"/>
    </row>
    <row r="43" spans="2:20">
      <c r="C43" s="271"/>
      <c r="D43" s="272"/>
      <c r="S43" s="593"/>
    </row>
    <row r="44" spans="2:20">
      <c r="C44" s="249"/>
      <c r="D44" s="272"/>
    </row>
    <row r="45" spans="2:20">
      <c r="C45" s="249"/>
      <c r="D45" s="272"/>
    </row>
    <row r="46" spans="2:20">
      <c r="C46" s="249"/>
      <c r="D46" s="272"/>
    </row>
    <row r="47" spans="2:20">
      <c r="C47" s="249"/>
      <c r="D47" s="272"/>
    </row>
    <row r="48" spans="2:20">
      <c r="C48" s="249"/>
      <c r="D48" s="272"/>
    </row>
    <row r="49" spans="1:19">
      <c r="C49" s="249"/>
      <c r="D49" s="272"/>
    </row>
    <row r="50" spans="1:19" s="275" customFormat="1">
      <c r="A50" s="353"/>
      <c r="B50" s="266"/>
      <c r="D50" s="269"/>
      <c r="E50" s="276"/>
      <c r="F50" s="276"/>
      <c r="G50" s="276"/>
      <c r="H50" s="276"/>
      <c r="I50" s="276"/>
      <c r="J50" s="276"/>
      <c r="K50" s="276"/>
      <c r="L50" s="276"/>
      <c r="M50" s="277"/>
      <c r="P50" s="276"/>
      <c r="Q50" s="587"/>
      <c r="R50" s="353"/>
      <c r="S50" s="594"/>
    </row>
  </sheetData>
  <autoFilter ref="A3:T33" xr:uid="{00000000-0009-0000-0000-000001000000}"/>
  <mergeCells count="1">
    <mergeCell ref="B32:C32"/>
  </mergeCells>
  <phoneticPr fontId="93" type="noConversion"/>
  <printOptions horizontalCentered="1"/>
  <pageMargins left="0.25" right="0.2" top="0" bottom="0" header="0.3" footer="0.3"/>
  <pageSetup paperSize="9" scale="65" orientation="landscape" r:id="rId1"/>
  <rowBreaks count="1" manualBreakCount="1">
    <brk id="25" max="16383" man="1"/>
  </rowBreaks>
  <customProperties>
    <customPr name="BudgetSheetCodeName"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B1:AD44"/>
  <sheetViews>
    <sheetView showGridLines="0" tabSelected="1" topLeftCell="A2" zoomScale="85" zoomScaleNormal="85" workbookViewId="0">
      <pane xSplit="2" ySplit="2" topLeftCell="C4" activePane="bottomRight" state="frozen"/>
      <selection activeCell="A2" sqref="A2"/>
      <selection pane="topRight" activeCell="D2" sqref="D2"/>
      <selection pane="bottomLeft" activeCell="A4" sqref="A4"/>
      <selection pane="bottomRight" activeCell="Q2" sqref="Q2"/>
    </sheetView>
  </sheetViews>
  <sheetFormatPr defaultColWidth="9" defaultRowHeight="12.75"/>
  <cols>
    <col min="1" max="1" width="9" style="156"/>
    <col min="2" max="2" width="38.125" style="156" customWidth="1"/>
    <col min="3" max="6" width="13.25" style="156" customWidth="1"/>
    <col min="7" max="7" width="11.625" style="156" hidden="1" customWidth="1"/>
    <col min="8" max="8" width="11.625" style="157" hidden="1" customWidth="1"/>
    <col min="9" max="14" width="11.625" style="156" hidden="1" customWidth="1"/>
    <col min="15" max="15" width="16.25" style="156" hidden="1" customWidth="1"/>
    <col min="16" max="16" width="16.25" style="156" customWidth="1"/>
    <col min="17" max="17" width="36.75" style="156" customWidth="1"/>
    <col min="18" max="18" width="26.125" style="156" customWidth="1"/>
    <col min="19" max="19" width="23.125" style="156" customWidth="1"/>
    <col min="20" max="20" width="28.25" style="156" customWidth="1"/>
    <col min="21" max="21" width="15.25" style="156" customWidth="1"/>
    <col min="22" max="25" width="9.75" style="156" bestFit="1" customWidth="1"/>
    <col min="26" max="26" width="10" style="156" bestFit="1" customWidth="1"/>
    <col min="27" max="27" width="12.625" style="156" bestFit="1" customWidth="1"/>
    <col min="28" max="240" width="9" style="156"/>
    <col min="241" max="241" width="44.375" style="156" customWidth="1"/>
    <col min="242" max="242" width="0" style="156" hidden="1" customWidth="1"/>
    <col min="243" max="243" width="11.75" style="156" customWidth="1"/>
    <col min="244" max="244" width="22.875" style="156" customWidth="1"/>
    <col min="245" max="255" width="0" style="156" hidden="1" customWidth="1"/>
    <col min="256" max="256" width="25.75" style="156" customWidth="1"/>
    <col min="257" max="257" width="12.125" style="156" customWidth="1"/>
    <col min="258" max="259" width="18.625" style="156" customWidth="1"/>
    <col min="260" max="260" width="13.625" style="156" bestFit="1" customWidth="1"/>
    <col min="261" max="496" width="9" style="156"/>
    <col min="497" max="497" width="44.375" style="156" customWidth="1"/>
    <col min="498" max="498" width="0" style="156" hidden="1" customWidth="1"/>
    <col min="499" max="499" width="11.75" style="156" customWidth="1"/>
    <col min="500" max="500" width="22.875" style="156" customWidth="1"/>
    <col min="501" max="511" width="0" style="156" hidden="1" customWidth="1"/>
    <col min="512" max="512" width="25.75" style="156" customWidth="1"/>
    <col min="513" max="513" width="12.125" style="156" customWidth="1"/>
    <col min="514" max="515" width="18.625" style="156" customWidth="1"/>
    <col min="516" max="516" width="13.625" style="156" bestFit="1" customWidth="1"/>
    <col min="517" max="752" width="9" style="156"/>
    <col min="753" max="753" width="44.375" style="156" customWidth="1"/>
    <col min="754" max="754" width="0" style="156" hidden="1" customWidth="1"/>
    <col min="755" max="755" width="11.75" style="156" customWidth="1"/>
    <col min="756" max="756" width="22.875" style="156" customWidth="1"/>
    <col min="757" max="767" width="0" style="156" hidden="1" customWidth="1"/>
    <col min="768" max="768" width="25.75" style="156" customWidth="1"/>
    <col min="769" max="769" width="12.125" style="156" customWidth="1"/>
    <col min="770" max="771" width="18.625" style="156" customWidth="1"/>
    <col min="772" max="772" width="13.625" style="156" bestFit="1" customWidth="1"/>
    <col min="773" max="1008" width="9" style="156"/>
    <col min="1009" max="1009" width="44.375" style="156" customWidth="1"/>
    <col min="1010" max="1010" width="0" style="156" hidden="1" customWidth="1"/>
    <col min="1011" max="1011" width="11.75" style="156" customWidth="1"/>
    <col min="1012" max="1012" width="22.875" style="156" customWidth="1"/>
    <col min="1013" max="1023" width="0" style="156" hidden="1" customWidth="1"/>
    <col min="1024" max="1024" width="25.75" style="156" customWidth="1"/>
    <col min="1025" max="1025" width="12.125" style="156" customWidth="1"/>
    <col min="1026" max="1027" width="18.625" style="156" customWidth="1"/>
    <col min="1028" max="1028" width="13.625" style="156" bestFit="1" customWidth="1"/>
    <col min="1029" max="1264" width="9" style="156"/>
    <col min="1265" max="1265" width="44.375" style="156" customWidth="1"/>
    <col min="1266" max="1266" width="0" style="156" hidden="1" customWidth="1"/>
    <col min="1267" max="1267" width="11.75" style="156" customWidth="1"/>
    <col min="1268" max="1268" width="22.875" style="156" customWidth="1"/>
    <col min="1269" max="1279" width="0" style="156" hidden="1" customWidth="1"/>
    <col min="1280" max="1280" width="25.75" style="156" customWidth="1"/>
    <col min="1281" max="1281" width="12.125" style="156" customWidth="1"/>
    <col min="1282" max="1283" width="18.625" style="156" customWidth="1"/>
    <col min="1284" max="1284" width="13.625" style="156" bestFit="1" customWidth="1"/>
    <col min="1285" max="1520" width="9" style="156"/>
    <col min="1521" max="1521" width="44.375" style="156" customWidth="1"/>
    <col min="1522" max="1522" width="0" style="156" hidden="1" customWidth="1"/>
    <col min="1523" max="1523" width="11.75" style="156" customWidth="1"/>
    <col min="1524" max="1524" width="22.875" style="156" customWidth="1"/>
    <col min="1525" max="1535" width="0" style="156" hidden="1" customWidth="1"/>
    <col min="1536" max="1536" width="25.75" style="156" customWidth="1"/>
    <col min="1537" max="1537" width="12.125" style="156" customWidth="1"/>
    <col min="1538" max="1539" width="18.625" style="156" customWidth="1"/>
    <col min="1540" max="1540" width="13.625" style="156" bestFit="1" customWidth="1"/>
    <col min="1541" max="1776" width="9" style="156"/>
    <col min="1777" max="1777" width="44.375" style="156" customWidth="1"/>
    <col min="1778" max="1778" width="0" style="156" hidden="1" customWidth="1"/>
    <col min="1779" max="1779" width="11.75" style="156" customWidth="1"/>
    <col min="1780" max="1780" width="22.875" style="156" customWidth="1"/>
    <col min="1781" max="1791" width="0" style="156" hidden="1" customWidth="1"/>
    <col min="1792" max="1792" width="25.75" style="156" customWidth="1"/>
    <col min="1793" max="1793" width="12.125" style="156" customWidth="1"/>
    <col min="1794" max="1795" width="18.625" style="156" customWidth="1"/>
    <col min="1796" max="1796" width="13.625" style="156" bestFit="1" customWidth="1"/>
    <col min="1797" max="2032" width="9" style="156"/>
    <col min="2033" max="2033" width="44.375" style="156" customWidth="1"/>
    <col min="2034" max="2034" width="0" style="156" hidden="1" customWidth="1"/>
    <col min="2035" max="2035" width="11.75" style="156" customWidth="1"/>
    <col min="2036" max="2036" width="22.875" style="156" customWidth="1"/>
    <col min="2037" max="2047" width="0" style="156" hidden="1" customWidth="1"/>
    <col min="2048" max="2048" width="25.75" style="156" customWidth="1"/>
    <col min="2049" max="2049" width="12.125" style="156" customWidth="1"/>
    <col min="2050" max="2051" width="18.625" style="156" customWidth="1"/>
    <col min="2052" max="2052" width="13.625" style="156" bestFit="1" customWidth="1"/>
    <col min="2053" max="2288" width="9" style="156"/>
    <col min="2289" max="2289" width="44.375" style="156" customWidth="1"/>
    <col min="2290" max="2290" width="0" style="156" hidden="1" customWidth="1"/>
    <col min="2291" max="2291" width="11.75" style="156" customWidth="1"/>
    <col min="2292" max="2292" width="22.875" style="156" customWidth="1"/>
    <col min="2293" max="2303" width="0" style="156" hidden="1" customWidth="1"/>
    <col min="2304" max="2304" width="25.75" style="156" customWidth="1"/>
    <col min="2305" max="2305" width="12.125" style="156" customWidth="1"/>
    <col min="2306" max="2307" width="18.625" style="156" customWidth="1"/>
    <col min="2308" max="2308" width="13.625" style="156" bestFit="1" customWidth="1"/>
    <col min="2309" max="2544" width="9" style="156"/>
    <col min="2545" max="2545" width="44.375" style="156" customWidth="1"/>
    <col min="2546" max="2546" width="0" style="156" hidden="1" customWidth="1"/>
    <col min="2547" max="2547" width="11.75" style="156" customWidth="1"/>
    <col min="2548" max="2548" width="22.875" style="156" customWidth="1"/>
    <col min="2549" max="2559" width="0" style="156" hidden="1" customWidth="1"/>
    <col min="2560" max="2560" width="25.75" style="156" customWidth="1"/>
    <col min="2561" max="2561" width="12.125" style="156" customWidth="1"/>
    <col min="2562" max="2563" width="18.625" style="156" customWidth="1"/>
    <col min="2564" max="2564" width="13.625" style="156" bestFit="1" customWidth="1"/>
    <col min="2565" max="2800" width="9" style="156"/>
    <col min="2801" max="2801" width="44.375" style="156" customWidth="1"/>
    <col min="2802" max="2802" width="0" style="156" hidden="1" customWidth="1"/>
    <col min="2803" max="2803" width="11.75" style="156" customWidth="1"/>
    <col min="2804" max="2804" width="22.875" style="156" customWidth="1"/>
    <col min="2805" max="2815" width="0" style="156" hidden="1" customWidth="1"/>
    <col min="2816" max="2816" width="25.75" style="156" customWidth="1"/>
    <col min="2817" max="2817" width="12.125" style="156" customWidth="1"/>
    <col min="2818" max="2819" width="18.625" style="156" customWidth="1"/>
    <col min="2820" max="2820" width="13.625" style="156" bestFit="1" customWidth="1"/>
    <col min="2821" max="3056" width="9" style="156"/>
    <col min="3057" max="3057" width="44.375" style="156" customWidth="1"/>
    <col min="3058" max="3058" width="0" style="156" hidden="1" customWidth="1"/>
    <col min="3059" max="3059" width="11.75" style="156" customWidth="1"/>
    <col min="3060" max="3060" width="22.875" style="156" customWidth="1"/>
    <col min="3061" max="3071" width="0" style="156" hidden="1" customWidth="1"/>
    <col min="3072" max="3072" width="25.75" style="156" customWidth="1"/>
    <col min="3073" max="3073" width="12.125" style="156" customWidth="1"/>
    <col min="3074" max="3075" width="18.625" style="156" customWidth="1"/>
    <col min="3076" max="3076" width="13.625" style="156" bestFit="1" customWidth="1"/>
    <col min="3077" max="3312" width="9" style="156"/>
    <col min="3313" max="3313" width="44.375" style="156" customWidth="1"/>
    <col min="3314" max="3314" width="0" style="156" hidden="1" customWidth="1"/>
    <col min="3315" max="3315" width="11.75" style="156" customWidth="1"/>
    <col min="3316" max="3316" width="22.875" style="156" customWidth="1"/>
    <col min="3317" max="3327" width="0" style="156" hidden="1" customWidth="1"/>
    <col min="3328" max="3328" width="25.75" style="156" customWidth="1"/>
    <col min="3329" max="3329" width="12.125" style="156" customWidth="1"/>
    <col min="3330" max="3331" width="18.625" style="156" customWidth="1"/>
    <col min="3332" max="3332" width="13.625" style="156" bestFit="1" customWidth="1"/>
    <col min="3333" max="3568" width="9" style="156"/>
    <col min="3569" max="3569" width="44.375" style="156" customWidth="1"/>
    <col min="3570" max="3570" width="0" style="156" hidden="1" customWidth="1"/>
    <col min="3571" max="3571" width="11.75" style="156" customWidth="1"/>
    <col min="3572" max="3572" width="22.875" style="156" customWidth="1"/>
    <col min="3573" max="3583" width="0" style="156" hidden="1" customWidth="1"/>
    <col min="3584" max="3584" width="25.75" style="156" customWidth="1"/>
    <col min="3585" max="3585" width="12.125" style="156" customWidth="1"/>
    <col min="3586" max="3587" width="18.625" style="156" customWidth="1"/>
    <col min="3588" max="3588" width="13.625" style="156" bestFit="1" customWidth="1"/>
    <col min="3589" max="3824" width="9" style="156"/>
    <col min="3825" max="3825" width="44.375" style="156" customWidth="1"/>
    <col min="3826" max="3826" width="0" style="156" hidden="1" customWidth="1"/>
    <col min="3827" max="3827" width="11.75" style="156" customWidth="1"/>
    <col min="3828" max="3828" width="22.875" style="156" customWidth="1"/>
    <col min="3829" max="3839" width="0" style="156" hidden="1" customWidth="1"/>
    <col min="3840" max="3840" width="25.75" style="156" customWidth="1"/>
    <col min="3841" max="3841" width="12.125" style="156" customWidth="1"/>
    <col min="3842" max="3843" width="18.625" style="156" customWidth="1"/>
    <col min="3844" max="3844" width="13.625" style="156" bestFit="1" customWidth="1"/>
    <col min="3845" max="4080" width="9" style="156"/>
    <col min="4081" max="4081" width="44.375" style="156" customWidth="1"/>
    <col min="4082" max="4082" width="0" style="156" hidden="1" customWidth="1"/>
    <col min="4083" max="4083" width="11.75" style="156" customWidth="1"/>
    <col min="4084" max="4084" width="22.875" style="156" customWidth="1"/>
    <col min="4085" max="4095" width="0" style="156" hidden="1" customWidth="1"/>
    <col min="4096" max="4096" width="25.75" style="156" customWidth="1"/>
    <col min="4097" max="4097" width="12.125" style="156" customWidth="1"/>
    <col min="4098" max="4099" width="18.625" style="156" customWidth="1"/>
    <col min="4100" max="4100" width="13.625" style="156" bestFit="1" customWidth="1"/>
    <col min="4101" max="4336" width="9" style="156"/>
    <col min="4337" max="4337" width="44.375" style="156" customWidth="1"/>
    <col min="4338" max="4338" width="0" style="156" hidden="1" customWidth="1"/>
    <col min="4339" max="4339" width="11.75" style="156" customWidth="1"/>
    <col min="4340" max="4340" width="22.875" style="156" customWidth="1"/>
    <col min="4341" max="4351" width="0" style="156" hidden="1" customWidth="1"/>
    <col min="4352" max="4352" width="25.75" style="156" customWidth="1"/>
    <col min="4353" max="4353" width="12.125" style="156" customWidth="1"/>
    <col min="4354" max="4355" width="18.625" style="156" customWidth="1"/>
    <col min="4356" max="4356" width="13.625" style="156" bestFit="1" customWidth="1"/>
    <col min="4357" max="4592" width="9" style="156"/>
    <col min="4593" max="4593" width="44.375" style="156" customWidth="1"/>
    <col min="4594" max="4594" width="0" style="156" hidden="1" customWidth="1"/>
    <col min="4595" max="4595" width="11.75" style="156" customWidth="1"/>
    <col min="4596" max="4596" width="22.875" style="156" customWidth="1"/>
    <col min="4597" max="4607" width="0" style="156" hidden="1" customWidth="1"/>
    <col min="4608" max="4608" width="25.75" style="156" customWidth="1"/>
    <col min="4609" max="4609" width="12.125" style="156" customWidth="1"/>
    <col min="4610" max="4611" width="18.625" style="156" customWidth="1"/>
    <col min="4612" max="4612" width="13.625" style="156" bestFit="1" customWidth="1"/>
    <col min="4613" max="4848" width="9" style="156"/>
    <col min="4849" max="4849" width="44.375" style="156" customWidth="1"/>
    <col min="4850" max="4850" width="0" style="156" hidden="1" customWidth="1"/>
    <col min="4851" max="4851" width="11.75" style="156" customWidth="1"/>
    <col min="4852" max="4852" width="22.875" style="156" customWidth="1"/>
    <col min="4853" max="4863" width="0" style="156" hidden="1" customWidth="1"/>
    <col min="4864" max="4864" width="25.75" style="156" customWidth="1"/>
    <col min="4865" max="4865" width="12.125" style="156" customWidth="1"/>
    <col min="4866" max="4867" width="18.625" style="156" customWidth="1"/>
    <col min="4868" max="4868" width="13.625" style="156" bestFit="1" customWidth="1"/>
    <col min="4869" max="5104" width="9" style="156"/>
    <col min="5105" max="5105" width="44.375" style="156" customWidth="1"/>
    <col min="5106" max="5106" width="0" style="156" hidden="1" customWidth="1"/>
    <col min="5107" max="5107" width="11.75" style="156" customWidth="1"/>
    <col min="5108" max="5108" width="22.875" style="156" customWidth="1"/>
    <col min="5109" max="5119" width="0" style="156" hidden="1" customWidth="1"/>
    <col min="5120" max="5120" width="25.75" style="156" customWidth="1"/>
    <col min="5121" max="5121" width="12.125" style="156" customWidth="1"/>
    <col min="5122" max="5123" width="18.625" style="156" customWidth="1"/>
    <col min="5124" max="5124" width="13.625" style="156" bestFit="1" customWidth="1"/>
    <col min="5125" max="5360" width="9" style="156"/>
    <col min="5361" max="5361" width="44.375" style="156" customWidth="1"/>
    <col min="5362" max="5362" width="0" style="156" hidden="1" customWidth="1"/>
    <col min="5363" max="5363" width="11.75" style="156" customWidth="1"/>
    <col min="5364" max="5364" width="22.875" style="156" customWidth="1"/>
    <col min="5365" max="5375" width="0" style="156" hidden="1" customWidth="1"/>
    <col min="5376" max="5376" width="25.75" style="156" customWidth="1"/>
    <col min="5377" max="5377" width="12.125" style="156" customWidth="1"/>
    <col min="5378" max="5379" width="18.625" style="156" customWidth="1"/>
    <col min="5380" max="5380" width="13.625" style="156" bestFit="1" customWidth="1"/>
    <col min="5381" max="5616" width="9" style="156"/>
    <col min="5617" max="5617" width="44.375" style="156" customWidth="1"/>
    <col min="5618" max="5618" width="0" style="156" hidden="1" customWidth="1"/>
    <col min="5619" max="5619" width="11.75" style="156" customWidth="1"/>
    <col min="5620" max="5620" width="22.875" style="156" customWidth="1"/>
    <col min="5621" max="5631" width="0" style="156" hidden="1" customWidth="1"/>
    <col min="5632" max="5632" width="25.75" style="156" customWidth="1"/>
    <col min="5633" max="5633" width="12.125" style="156" customWidth="1"/>
    <col min="5634" max="5635" width="18.625" style="156" customWidth="1"/>
    <col min="5636" max="5636" width="13.625" style="156" bestFit="1" customWidth="1"/>
    <col min="5637" max="5872" width="9" style="156"/>
    <col min="5873" max="5873" width="44.375" style="156" customWidth="1"/>
    <col min="5874" max="5874" width="0" style="156" hidden="1" customWidth="1"/>
    <col min="5875" max="5875" width="11.75" style="156" customWidth="1"/>
    <col min="5876" max="5876" width="22.875" style="156" customWidth="1"/>
    <col min="5877" max="5887" width="0" style="156" hidden="1" customWidth="1"/>
    <col min="5888" max="5888" width="25.75" style="156" customWidth="1"/>
    <col min="5889" max="5889" width="12.125" style="156" customWidth="1"/>
    <col min="5890" max="5891" width="18.625" style="156" customWidth="1"/>
    <col min="5892" max="5892" width="13.625" style="156" bestFit="1" customWidth="1"/>
    <col min="5893" max="6128" width="9" style="156"/>
    <col min="6129" max="6129" width="44.375" style="156" customWidth="1"/>
    <col min="6130" max="6130" width="0" style="156" hidden="1" customWidth="1"/>
    <col min="6131" max="6131" width="11.75" style="156" customWidth="1"/>
    <col min="6132" max="6132" width="22.875" style="156" customWidth="1"/>
    <col min="6133" max="6143" width="0" style="156" hidden="1" customWidth="1"/>
    <col min="6144" max="6144" width="25.75" style="156" customWidth="1"/>
    <col min="6145" max="6145" width="12.125" style="156" customWidth="1"/>
    <col min="6146" max="6147" width="18.625" style="156" customWidth="1"/>
    <col min="6148" max="6148" width="13.625" style="156" bestFit="1" customWidth="1"/>
    <col min="6149" max="6384" width="9" style="156"/>
    <col min="6385" max="6385" width="44.375" style="156" customWidth="1"/>
    <col min="6386" max="6386" width="0" style="156" hidden="1" customWidth="1"/>
    <col min="6387" max="6387" width="11.75" style="156" customWidth="1"/>
    <col min="6388" max="6388" width="22.875" style="156" customWidth="1"/>
    <col min="6389" max="6399" width="0" style="156" hidden="1" customWidth="1"/>
    <col min="6400" max="6400" width="25.75" style="156" customWidth="1"/>
    <col min="6401" max="6401" width="12.125" style="156" customWidth="1"/>
    <col min="6402" max="6403" width="18.625" style="156" customWidth="1"/>
    <col min="6404" max="6404" width="13.625" style="156" bestFit="1" customWidth="1"/>
    <col min="6405" max="6640" width="9" style="156"/>
    <col min="6641" max="6641" width="44.375" style="156" customWidth="1"/>
    <col min="6642" max="6642" width="0" style="156" hidden="1" customWidth="1"/>
    <col min="6643" max="6643" width="11.75" style="156" customWidth="1"/>
    <col min="6644" max="6644" width="22.875" style="156" customWidth="1"/>
    <col min="6645" max="6655" width="0" style="156" hidden="1" customWidth="1"/>
    <col min="6656" max="6656" width="25.75" style="156" customWidth="1"/>
    <col min="6657" max="6657" width="12.125" style="156" customWidth="1"/>
    <col min="6658" max="6659" width="18.625" style="156" customWidth="1"/>
    <col min="6660" max="6660" width="13.625" style="156" bestFit="1" customWidth="1"/>
    <col min="6661" max="6896" width="9" style="156"/>
    <col min="6897" max="6897" width="44.375" style="156" customWidth="1"/>
    <col min="6898" max="6898" width="0" style="156" hidden="1" customWidth="1"/>
    <col min="6899" max="6899" width="11.75" style="156" customWidth="1"/>
    <col min="6900" max="6900" width="22.875" style="156" customWidth="1"/>
    <col min="6901" max="6911" width="0" style="156" hidden="1" customWidth="1"/>
    <col min="6912" max="6912" width="25.75" style="156" customWidth="1"/>
    <col min="6913" max="6913" width="12.125" style="156" customWidth="1"/>
    <col min="6914" max="6915" width="18.625" style="156" customWidth="1"/>
    <col min="6916" max="6916" width="13.625" style="156" bestFit="1" customWidth="1"/>
    <col min="6917" max="7152" width="9" style="156"/>
    <col min="7153" max="7153" width="44.375" style="156" customWidth="1"/>
    <col min="7154" max="7154" width="0" style="156" hidden="1" customWidth="1"/>
    <col min="7155" max="7155" width="11.75" style="156" customWidth="1"/>
    <col min="7156" max="7156" width="22.875" style="156" customWidth="1"/>
    <col min="7157" max="7167" width="0" style="156" hidden="1" customWidth="1"/>
    <col min="7168" max="7168" width="25.75" style="156" customWidth="1"/>
    <col min="7169" max="7169" width="12.125" style="156" customWidth="1"/>
    <col min="7170" max="7171" width="18.625" style="156" customWidth="1"/>
    <col min="7172" max="7172" width="13.625" style="156" bestFit="1" customWidth="1"/>
    <col min="7173" max="7408" width="9" style="156"/>
    <col min="7409" max="7409" width="44.375" style="156" customWidth="1"/>
    <col min="7410" max="7410" width="0" style="156" hidden="1" customWidth="1"/>
    <col min="7411" max="7411" width="11.75" style="156" customWidth="1"/>
    <col min="7412" max="7412" width="22.875" style="156" customWidth="1"/>
    <col min="7413" max="7423" width="0" style="156" hidden="1" customWidth="1"/>
    <col min="7424" max="7424" width="25.75" style="156" customWidth="1"/>
    <col min="7425" max="7425" width="12.125" style="156" customWidth="1"/>
    <col min="7426" max="7427" width="18.625" style="156" customWidth="1"/>
    <col min="7428" max="7428" width="13.625" style="156" bestFit="1" customWidth="1"/>
    <col min="7429" max="7664" width="9" style="156"/>
    <col min="7665" max="7665" width="44.375" style="156" customWidth="1"/>
    <col min="7666" max="7666" width="0" style="156" hidden="1" customWidth="1"/>
    <col min="7667" max="7667" width="11.75" style="156" customWidth="1"/>
    <col min="7668" max="7668" width="22.875" style="156" customWidth="1"/>
    <col min="7669" max="7679" width="0" style="156" hidden="1" customWidth="1"/>
    <col min="7680" max="7680" width="25.75" style="156" customWidth="1"/>
    <col min="7681" max="7681" width="12.125" style="156" customWidth="1"/>
    <col min="7682" max="7683" width="18.625" style="156" customWidth="1"/>
    <col min="7684" max="7684" width="13.625" style="156" bestFit="1" customWidth="1"/>
    <col min="7685" max="7920" width="9" style="156"/>
    <col min="7921" max="7921" width="44.375" style="156" customWidth="1"/>
    <col min="7922" max="7922" width="0" style="156" hidden="1" customWidth="1"/>
    <col min="7923" max="7923" width="11.75" style="156" customWidth="1"/>
    <col min="7924" max="7924" width="22.875" style="156" customWidth="1"/>
    <col min="7925" max="7935" width="0" style="156" hidden="1" customWidth="1"/>
    <col min="7936" max="7936" width="25.75" style="156" customWidth="1"/>
    <col min="7937" max="7937" width="12.125" style="156" customWidth="1"/>
    <col min="7938" max="7939" width="18.625" style="156" customWidth="1"/>
    <col min="7940" max="7940" width="13.625" style="156" bestFit="1" customWidth="1"/>
    <col min="7941" max="8176" width="9" style="156"/>
    <col min="8177" max="8177" width="44.375" style="156" customWidth="1"/>
    <col min="8178" max="8178" width="0" style="156" hidden="1" customWidth="1"/>
    <col min="8179" max="8179" width="11.75" style="156" customWidth="1"/>
    <col min="8180" max="8180" width="22.875" style="156" customWidth="1"/>
    <col min="8181" max="8191" width="0" style="156" hidden="1" customWidth="1"/>
    <col min="8192" max="8192" width="25.75" style="156" customWidth="1"/>
    <col min="8193" max="8193" width="12.125" style="156" customWidth="1"/>
    <col min="8194" max="8195" width="18.625" style="156" customWidth="1"/>
    <col min="8196" max="8196" width="13.625" style="156" bestFit="1" customWidth="1"/>
    <col min="8197" max="8432" width="9" style="156"/>
    <col min="8433" max="8433" width="44.375" style="156" customWidth="1"/>
    <col min="8434" max="8434" width="0" style="156" hidden="1" customWidth="1"/>
    <col min="8435" max="8435" width="11.75" style="156" customWidth="1"/>
    <col min="8436" max="8436" width="22.875" style="156" customWidth="1"/>
    <col min="8437" max="8447" width="0" style="156" hidden="1" customWidth="1"/>
    <col min="8448" max="8448" width="25.75" style="156" customWidth="1"/>
    <col min="8449" max="8449" width="12.125" style="156" customWidth="1"/>
    <col min="8450" max="8451" width="18.625" style="156" customWidth="1"/>
    <col min="8452" max="8452" width="13.625" style="156" bestFit="1" customWidth="1"/>
    <col min="8453" max="8688" width="9" style="156"/>
    <col min="8689" max="8689" width="44.375" style="156" customWidth="1"/>
    <col min="8690" max="8690" width="0" style="156" hidden="1" customWidth="1"/>
    <col min="8691" max="8691" width="11.75" style="156" customWidth="1"/>
    <col min="8692" max="8692" width="22.875" style="156" customWidth="1"/>
    <col min="8693" max="8703" width="0" style="156" hidden="1" customWidth="1"/>
    <col min="8704" max="8704" width="25.75" style="156" customWidth="1"/>
    <col min="8705" max="8705" width="12.125" style="156" customWidth="1"/>
    <col min="8706" max="8707" width="18.625" style="156" customWidth="1"/>
    <col min="8708" max="8708" width="13.625" style="156" bestFit="1" customWidth="1"/>
    <col min="8709" max="8944" width="9" style="156"/>
    <col min="8945" max="8945" width="44.375" style="156" customWidth="1"/>
    <col min="8946" max="8946" width="0" style="156" hidden="1" customWidth="1"/>
    <col min="8947" max="8947" width="11.75" style="156" customWidth="1"/>
    <col min="8948" max="8948" width="22.875" style="156" customWidth="1"/>
    <col min="8949" max="8959" width="0" style="156" hidden="1" customWidth="1"/>
    <col min="8960" max="8960" width="25.75" style="156" customWidth="1"/>
    <col min="8961" max="8961" width="12.125" style="156" customWidth="1"/>
    <col min="8962" max="8963" width="18.625" style="156" customWidth="1"/>
    <col min="8964" max="8964" width="13.625" style="156" bestFit="1" customWidth="1"/>
    <col min="8965" max="9200" width="9" style="156"/>
    <col min="9201" max="9201" width="44.375" style="156" customWidth="1"/>
    <col min="9202" max="9202" width="0" style="156" hidden="1" customWidth="1"/>
    <col min="9203" max="9203" width="11.75" style="156" customWidth="1"/>
    <col min="9204" max="9204" width="22.875" style="156" customWidth="1"/>
    <col min="9205" max="9215" width="0" style="156" hidden="1" customWidth="1"/>
    <col min="9216" max="9216" width="25.75" style="156" customWidth="1"/>
    <col min="9217" max="9217" width="12.125" style="156" customWidth="1"/>
    <col min="9218" max="9219" width="18.625" style="156" customWidth="1"/>
    <col min="9220" max="9220" width="13.625" style="156" bestFit="1" customWidth="1"/>
    <col min="9221" max="9456" width="9" style="156"/>
    <col min="9457" max="9457" width="44.375" style="156" customWidth="1"/>
    <col min="9458" max="9458" width="0" style="156" hidden="1" customWidth="1"/>
    <col min="9459" max="9459" width="11.75" style="156" customWidth="1"/>
    <col min="9460" max="9460" width="22.875" style="156" customWidth="1"/>
    <col min="9461" max="9471" width="0" style="156" hidden="1" customWidth="1"/>
    <col min="9472" max="9472" width="25.75" style="156" customWidth="1"/>
    <col min="9473" max="9473" width="12.125" style="156" customWidth="1"/>
    <col min="9474" max="9475" width="18.625" style="156" customWidth="1"/>
    <col min="9476" max="9476" width="13.625" style="156" bestFit="1" customWidth="1"/>
    <col min="9477" max="9712" width="9" style="156"/>
    <col min="9713" max="9713" width="44.375" style="156" customWidth="1"/>
    <col min="9714" max="9714" width="0" style="156" hidden="1" customWidth="1"/>
    <col min="9715" max="9715" width="11.75" style="156" customWidth="1"/>
    <col min="9716" max="9716" width="22.875" style="156" customWidth="1"/>
    <col min="9717" max="9727" width="0" style="156" hidden="1" customWidth="1"/>
    <col min="9728" max="9728" width="25.75" style="156" customWidth="1"/>
    <col min="9729" max="9729" width="12.125" style="156" customWidth="1"/>
    <col min="9730" max="9731" width="18.625" style="156" customWidth="1"/>
    <col min="9732" max="9732" width="13.625" style="156" bestFit="1" customWidth="1"/>
    <col min="9733" max="9968" width="9" style="156"/>
    <col min="9969" max="9969" width="44.375" style="156" customWidth="1"/>
    <col min="9970" max="9970" width="0" style="156" hidden="1" customWidth="1"/>
    <col min="9971" max="9971" width="11.75" style="156" customWidth="1"/>
    <col min="9972" max="9972" width="22.875" style="156" customWidth="1"/>
    <col min="9973" max="9983" width="0" style="156" hidden="1" customWidth="1"/>
    <col min="9984" max="9984" width="25.75" style="156" customWidth="1"/>
    <col min="9985" max="9985" width="12.125" style="156" customWidth="1"/>
    <col min="9986" max="9987" width="18.625" style="156" customWidth="1"/>
    <col min="9988" max="9988" width="13.625" style="156" bestFit="1" customWidth="1"/>
    <col min="9989" max="10224" width="9" style="156"/>
    <col min="10225" max="10225" width="44.375" style="156" customWidth="1"/>
    <col min="10226" max="10226" width="0" style="156" hidden="1" customWidth="1"/>
    <col min="10227" max="10227" width="11.75" style="156" customWidth="1"/>
    <col min="10228" max="10228" width="22.875" style="156" customWidth="1"/>
    <col min="10229" max="10239" width="0" style="156" hidden="1" customWidth="1"/>
    <col min="10240" max="10240" width="25.75" style="156" customWidth="1"/>
    <col min="10241" max="10241" width="12.125" style="156" customWidth="1"/>
    <col min="10242" max="10243" width="18.625" style="156" customWidth="1"/>
    <col min="10244" max="10244" width="13.625" style="156" bestFit="1" customWidth="1"/>
    <col min="10245" max="10480" width="9" style="156"/>
    <col min="10481" max="10481" width="44.375" style="156" customWidth="1"/>
    <col min="10482" max="10482" width="0" style="156" hidden="1" customWidth="1"/>
    <col min="10483" max="10483" width="11.75" style="156" customWidth="1"/>
    <col min="10484" max="10484" width="22.875" style="156" customWidth="1"/>
    <col min="10485" max="10495" width="0" style="156" hidden="1" customWidth="1"/>
    <col min="10496" max="10496" width="25.75" style="156" customWidth="1"/>
    <col min="10497" max="10497" width="12.125" style="156" customWidth="1"/>
    <col min="10498" max="10499" width="18.625" style="156" customWidth="1"/>
    <col min="10500" max="10500" width="13.625" style="156" bestFit="1" customWidth="1"/>
    <col min="10501" max="10736" width="9" style="156"/>
    <col min="10737" max="10737" width="44.375" style="156" customWidth="1"/>
    <col min="10738" max="10738" width="0" style="156" hidden="1" customWidth="1"/>
    <col min="10739" max="10739" width="11.75" style="156" customWidth="1"/>
    <col min="10740" max="10740" width="22.875" style="156" customWidth="1"/>
    <col min="10741" max="10751" width="0" style="156" hidden="1" customWidth="1"/>
    <col min="10752" max="10752" width="25.75" style="156" customWidth="1"/>
    <col min="10753" max="10753" width="12.125" style="156" customWidth="1"/>
    <col min="10754" max="10755" width="18.625" style="156" customWidth="1"/>
    <col min="10756" max="10756" width="13.625" style="156" bestFit="1" customWidth="1"/>
    <col min="10757" max="10992" width="9" style="156"/>
    <col min="10993" max="10993" width="44.375" style="156" customWidth="1"/>
    <col min="10994" max="10994" width="0" style="156" hidden="1" customWidth="1"/>
    <col min="10995" max="10995" width="11.75" style="156" customWidth="1"/>
    <col min="10996" max="10996" width="22.875" style="156" customWidth="1"/>
    <col min="10997" max="11007" width="0" style="156" hidden="1" customWidth="1"/>
    <col min="11008" max="11008" width="25.75" style="156" customWidth="1"/>
    <col min="11009" max="11009" width="12.125" style="156" customWidth="1"/>
    <col min="11010" max="11011" width="18.625" style="156" customWidth="1"/>
    <col min="11012" max="11012" width="13.625" style="156" bestFit="1" customWidth="1"/>
    <col min="11013" max="11248" width="9" style="156"/>
    <col min="11249" max="11249" width="44.375" style="156" customWidth="1"/>
    <col min="11250" max="11250" width="0" style="156" hidden="1" customWidth="1"/>
    <col min="11251" max="11251" width="11.75" style="156" customWidth="1"/>
    <col min="11252" max="11252" width="22.875" style="156" customWidth="1"/>
    <col min="11253" max="11263" width="0" style="156" hidden="1" customWidth="1"/>
    <col min="11264" max="11264" width="25.75" style="156" customWidth="1"/>
    <col min="11265" max="11265" width="12.125" style="156" customWidth="1"/>
    <col min="11266" max="11267" width="18.625" style="156" customWidth="1"/>
    <col min="11268" max="11268" width="13.625" style="156" bestFit="1" customWidth="1"/>
    <col min="11269" max="11504" width="9" style="156"/>
    <col min="11505" max="11505" width="44.375" style="156" customWidth="1"/>
    <col min="11506" max="11506" width="0" style="156" hidden="1" customWidth="1"/>
    <col min="11507" max="11507" width="11.75" style="156" customWidth="1"/>
    <col min="11508" max="11508" width="22.875" style="156" customWidth="1"/>
    <col min="11509" max="11519" width="0" style="156" hidden="1" customWidth="1"/>
    <col min="11520" max="11520" width="25.75" style="156" customWidth="1"/>
    <col min="11521" max="11521" width="12.125" style="156" customWidth="1"/>
    <col min="11522" max="11523" width="18.625" style="156" customWidth="1"/>
    <col min="11524" max="11524" width="13.625" style="156" bestFit="1" customWidth="1"/>
    <col min="11525" max="11760" width="9" style="156"/>
    <col min="11761" max="11761" width="44.375" style="156" customWidth="1"/>
    <col min="11762" max="11762" width="0" style="156" hidden="1" customWidth="1"/>
    <col min="11763" max="11763" width="11.75" style="156" customWidth="1"/>
    <col min="11764" max="11764" width="22.875" style="156" customWidth="1"/>
    <col min="11765" max="11775" width="0" style="156" hidden="1" customWidth="1"/>
    <col min="11776" max="11776" width="25.75" style="156" customWidth="1"/>
    <col min="11777" max="11777" width="12.125" style="156" customWidth="1"/>
    <col min="11778" max="11779" width="18.625" style="156" customWidth="1"/>
    <col min="11780" max="11780" width="13.625" style="156" bestFit="1" customWidth="1"/>
    <col min="11781" max="12016" width="9" style="156"/>
    <col min="12017" max="12017" width="44.375" style="156" customWidth="1"/>
    <col min="12018" max="12018" width="0" style="156" hidden="1" customWidth="1"/>
    <col min="12019" max="12019" width="11.75" style="156" customWidth="1"/>
    <col min="12020" max="12020" width="22.875" style="156" customWidth="1"/>
    <col min="12021" max="12031" width="0" style="156" hidden="1" customWidth="1"/>
    <col min="12032" max="12032" width="25.75" style="156" customWidth="1"/>
    <col min="12033" max="12033" width="12.125" style="156" customWidth="1"/>
    <col min="12034" max="12035" width="18.625" style="156" customWidth="1"/>
    <col min="12036" max="12036" width="13.625" style="156" bestFit="1" customWidth="1"/>
    <col min="12037" max="12272" width="9" style="156"/>
    <col min="12273" max="12273" width="44.375" style="156" customWidth="1"/>
    <col min="12274" max="12274" width="0" style="156" hidden="1" customWidth="1"/>
    <col min="12275" max="12275" width="11.75" style="156" customWidth="1"/>
    <col min="12276" max="12276" width="22.875" style="156" customWidth="1"/>
    <col min="12277" max="12287" width="0" style="156" hidden="1" customWidth="1"/>
    <col min="12288" max="12288" width="25.75" style="156" customWidth="1"/>
    <col min="12289" max="12289" width="12.125" style="156" customWidth="1"/>
    <col min="12290" max="12291" width="18.625" style="156" customWidth="1"/>
    <col min="12292" max="12292" width="13.625" style="156" bestFit="1" customWidth="1"/>
    <col min="12293" max="12528" width="9" style="156"/>
    <col min="12529" max="12529" width="44.375" style="156" customWidth="1"/>
    <col min="12530" max="12530" width="0" style="156" hidden="1" customWidth="1"/>
    <col min="12531" max="12531" width="11.75" style="156" customWidth="1"/>
    <col min="12532" max="12532" width="22.875" style="156" customWidth="1"/>
    <col min="12533" max="12543" width="0" style="156" hidden="1" customWidth="1"/>
    <col min="12544" max="12544" width="25.75" style="156" customWidth="1"/>
    <col min="12545" max="12545" width="12.125" style="156" customWidth="1"/>
    <col min="12546" max="12547" width="18.625" style="156" customWidth="1"/>
    <col min="12548" max="12548" width="13.625" style="156" bestFit="1" customWidth="1"/>
    <col min="12549" max="12784" width="9" style="156"/>
    <col min="12785" max="12785" width="44.375" style="156" customWidth="1"/>
    <col min="12786" max="12786" width="0" style="156" hidden="1" customWidth="1"/>
    <col min="12787" max="12787" width="11.75" style="156" customWidth="1"/>
    <col min="12788" max="12788" width="22.875" style="156" customWidth="1"/>
    <col min="12789" max="12799" width="0" style="156" hidden="1" customWidth="1"/>
    <col min="12800" max="12800" width="25.75" style="156" customWidth="1"/>
    <col min="12801" max="12801" width="12.125" style="156" customWidth="1"/>
    <col min="12802" max="12803" width="18.625" style="156" customWidth="1"/>
    <col min="12804" max="12804" width="13.625" style="156" bestFit="1" customWidth="1"/>
    <col min="12805" max="13040" width="9" style="156"/>
    <col min="13041" max="13041" width="44.375" style="156" customWidth="1"/>
    <col min="13042" max="13042" width="0" style="156" hidden="1" customWidth="1"/>
    <col min="13043" max="13043" width="11.75" style="156" customWidth="1"/>
    <col min="13044" max="13044" width="22.875" style="156" customWidth="1"/>
    <col min="13045" max="13055" width="0" style="156" hidden="1" customWidth="1"/>
    <col min="13056" max="13056" width="25.75" style="156" customWidth="1"/>
    <col min="13057" max="13057" width="12.125" style="156" customWidth="1"/>
    <col min="13058" max="13059" width="18.625" style="156" customWidth="1"/>
    <col min="13060" max="13060" width="13.625" style="156" bestFit="1" customWidth="1"/>
    <col min="13061" max="13296" width="9" style="156"/>
    <col min="13297" max="13297" width="44.375" style="156" customWidth="1"/>
    <col min="13298" max="13298" width="0" style="156" hidden="1" customWidth="1"/>
    <col min="13299" max="13299" width="11.75" style="156" customWidth="1"/>
    <col min="13300" max="13300" width="22.875" style="156" customWidth="1"/>
    <col min="13301" max="13311" width="0" style="156" hidden="1" customWidth="1"/>
    <col min="13312" max="13312" width="25.75" style="156" customWidth="1"/>
    <col min="13313" max="13313" width="12.125" style="156" customWidth="1"/>
    <col min="13314" max="13315" width="18.625" style="156" customWidth="1"/>
    <col min="13316" max="13316" width="13.625" style="156" bestFit="1" customWidth="1"/>
    <col min="13317" max="13552" width="9" style="156"/>
    <col min="13553" max="13553" width="44.375" style="156" customWidth="1"/>
    <col min="13554" max="13554" width="0" style="156" hidden="1" customWidth="1"/>
    <col min="13555" max="13555" width="11.75" style="156" customWidth="1"/>
    <col min="13556" max="13556" width="22.875" style="156" customWidth="1"/>
    <col min="13557" max="13567" width="0" style="156" hidden="1" customWidth="1"/>
    <col min="13568" max="13568" width="25.75" style="156" customWidth="1"/>
    <col min="13569" max="13569" width="12.125" style="156" customWidth="1"/>
    <col min="13570" max="13571" width="18.625" style="156" customWidth="1"/>
    <col min="13572" max="13572" width="13.625" style="156" bestFit="1" customWidth="1"/>
    <col min="13573" max="13808" width="9" style="156"/>
    <col min="13809" max="13809" width="44.375" style="156" customWidth="1"/>
    <col min="13810" max="13810" width="0" style="156" hidden="1" customWidth="1"/>
    <col min="13811" max="13811" width="11.75" style="156" customWidth="1"/>
    <col min="13812" max="13812" width="22.875" style="156" customWidth="1"/>
    <col min="13813" max="13823" width="0" style="156" hidden="1" customWidth="1"/>
    <col min="13824" max="13824" width="25.75" style="156" customWidth="1"/>
    <col min="13825" max="13825" width="12.125" style="156" customWidth="1"/>
    <col min="13826" max="13827" width="18.625" style="156" customWidth="1"/>
    <col min="13828" max="13828" width="13.625" style="156" bestFit="1" customWidth="1"/>
    <col min="13829" max="14064" width="9" style="156"/>
    <col min="14065" max="14065" width="44.375" style="156" customWidth="1"/>
    <col min="14066" max="14066" width="0" style="156" hidden="1" customWidth="1"/>
    <col min="14067" max="14067" width="11.75" style="156" customWidth="1"/>
    <col min="14068" max="14068" width="22.875" style="156" customWidth="1"/>
    <col min="14069" max="14079" width="0" style="156" hidden="1" customWidth="1"/>
    <col min="14080" max="14080" width="25.75" style="156" customWidth="1"/>
    <col min="14081" max="14081" width="12.125" style="156" customWidth="1"/>
    <col min="14082" max="14083" width="18.625" style="156" customWidth="1"/>
    <col min="14084" max="14084" width="13.625" style="156" bestFit="1" customWidth="1"/>
    <col min="14085" max="14320" width="9" style="156"/>
    <col min="14321" max="14321" width="44.375" style="156" customWidth="1"/>
    <col min="14322" max="14322" width="0" style="156" hidden="1" customWidth="1"/>
    <col min="14323" max="14323" width="11.75" style="156" customWidth="1"/>
    <col min="14324" max="14324" width="22.875" style="156" customWidth="1"/>
    <col min="14325" max="14335" width="0" style="156" hidden="1" customWidth="1"/>
    <col min="14336" max="14336" width="25.75" style="156" customWidth="1"/>
    <col min="14337" max="14337" width="12.125" style="156" customWidth="1"/>
    <col min="14338" max="14339" width="18.625" style="156" customWidth="1"/>
    <col min="14340" max="14340" width="13.625" style="156" bestFit="1" customWidth="1"/>
    <col min="14341" max="14576" width="9" style="156"/>
    <col min="14577" max="14577" width="44.375" style="156" customWidth="1"/>
    <col min="14578" max="14578" width="0" style="156" hidden="1" customWidth="1"/>
    <col min="14579" max="14579" width="11.75" style="156" customWidth="1"/>
    <col min="14580" max="14580" width="22.875" style="156" customWidth="1"/>
    <col min="14581" max="14591" width="0" style="156" hidden="1" customWidth="1"/>
    <col min="14592" max="14592" width="25.75" style="156" customWidth="1"/>
    <col min="14593" max="14593" width="12.125" style="156" customWidth="1"/>
    <col min="14594" max="14595" width="18.625" style="156" customWidth="1"/>
    <col min="14596" max="14596" width="13.625" style="156" bestFit="1" customWidth="1"/>
    <col min="14597" max="14832" width="9" style="156"/>
    <col min="14833" max="14833" width="44.375" style="156" customWidth="1"/>
    <col min="14834" max="14834" width="0" style="156" hidden="1" customWidth="1"/>
    <col min="14835" max="14835" width="11.75" style="156" customWidth="1"/>
    <col min="14836" max="14836" width="22.875" style="156" customWidth="1"/>
    <col min="14837" max="14847" width="0" style="156" hidden="1" customWidth="1"/>
    <col min="14848" max="14848" width="25.75" style="156" customWidth="1"/>
    <col min="14849" max="14849" width="12.125" style="156" customWidth="1"/>
    <col min="14850" max="14851" width="18.625" style="156" customWidth="1"/>
    <col min="14852" max="14852" width="13.625" style="156" bestFit="1" customWidth="1"/>
    <col min="14853" max="15088" width="9" style="156"/>
    <col min="15089" max="15089" width="44.375" style="156" customWidth="1"/>
    <col min="15090" max="15090" width="0" style="156" hidden="1" customWidth="1"/>
    <col min="15091" max="15091" width="11.75" style="156" customWidth="1"/>
    <col min="15092" max="15092" width="22.875" style="156" customWidth="1"/>
    <col min="15093" max="15103" width="0" style="156" hidden="1" customWidth="1"/>
    <col min="15104" max="15104" width="25.75" style="156" customWidth="1"/>
    <col min="15105" max="15105" width="12.125" style="156" customWidth="1"/>
    <col min="15106" max="15107" width="18.625" style="156" customWidth="1"/>
    <col min="15108" max="15108" width="13.625" style="156" bestFit="1" customWidth="1"/>
    <col min="15109" max="15344" width="9" style="156"/>
    <col min="15345" max="15345" width="44.375" style="156" customWidth="1"/>
    <col min="15346" max="15346" width="0" style="156" hidden="1" customWidth="1"/>
    <col min="15347" max="15347" width="11.75" style="156" customWidth="1"/>
    <col min="15348" max="15348" width="22.875" style="156" customWidth="1"/>
    <col min="15349" max="15359" width="0" style="156" hidden="1" customWidth="1"/>
    <col min="15360" max="15360" width="25.75" style="156" customWidth="1"/>
    <col min="15361" max="15361" width="12.125" style="156" customWidth="1"/>
    <col min="15362" max="15363" width="18.625" style="156" customWidth="1"/>
    <col min="15364" max="15364" width="13.625" style="156" bestFit="1" customWidth="1"/>
    <col min="15365" max="15600" width="9" style="156"/>
    <col min="15601" max="15601" width="44.375" style="156" customWidth="1"/>
    <col min="15602" max="15602" width="0" style="156" hidden="1" customWidth="1"/>
    <col min="15603" max="15603" width="11.75" style="156" customWidth="1"/>
    <col min="15604" max="15604" width="22.875" style="156" customWidth="1"/>
    <col min="15605" max="15615" width="0" style="156" hidden="1" customWidth="1"/>
    <col min="15616" max="15616" width="25.75" style="156" customWidth="1"/>
    <col min="15617" max="15617" width="12.125" style="156" customWidth="1"/>
    <col min="15618" max="15619" width="18.625" style="156" customWidth="1"/>
    <col min="15620" max="15620" width="13.625" style="156" bestFit="1" customWidth="1"/>
    <col min="15621" max="15856" width="9" style="156"/>
    <col min="15857" max="15857" width="44.375" style="156" customWidth="1"/>
    <col min="15858" max="15858" width="0" style="156" hidden="1" customWidth="1"/>
    <col min="15859" max="15859" width="11.75" style="156" customWidth="1"/>
    <col min="15860" max="15860" width="22.875" style="156" customWidth="1"/>
    <col min="15861" max="15871" width="0" style="156" hidden="1" customWidth="1"/>
    <col min="15872" max="15872" width="25.75" style="156" customWidth="1"/>
    <col min="15873" max="15873" width="12.125" style="156" customWidth="1"/>
    <col min="15874" max="15875" width="18.625" style="156" customWidth="1"/>
    <col min="15876" max="15876" width="13.625" style="156" bestFit="1" customWidth="1"/>
    <col min="15877" max="16112" width="9" style="156"/>
    <col min="16113" max="16113" width="44.375" style="156" customWidth="1"/>
    <col min="16114" max="16114" width="0" style="156" hidden="1" customWidth="1"/>
    <col min="16115" max="16115" width="11.75" style="156" customWidth="1"/>
    <col min="16116" max="16116" width="22.875" style="156" customWidth="1"/>
    <col min="16117" max="16127" width="0" style="156" hidden="1" customWidth="1"/>
    <col min="16128" max="16128" width="25.75" style="156" customWidth="1"/>
    <col min="16129" max="16129" width="12.125" style="156" customWidth="1"/>
    <col min="16130" max="16131" width="18.625" style="156" customWidth="1"/>
    <col min="16132" max="16132" width="13.625" style="156" bestFit="1" customWidth="1"/>
    <col min="16133" max="16384" width="9" style="156"/>
  </cols>
  <sheetData>
    <row r="1" spans="2:30" ht="13.5" hidden="1" customHeight="1">
      <c r="B1" s="155" t="s">
        <v>181</v>
      </c>
    </row>
    <row r="2" spans="2:30" ht="37.5" customHeight="1" thickBot="1">
      <c r="B2" s="461" t="s">
        <v>482</v>
      </c>
      <c r="C2" s="158"/>
      <c r="D2" s="158"/>
      <c r="E2" s="158"/>
      <c r="F2" s="158"/>
      <c r="G2" s="158"/>
      <c r="H2" s="159"/>
      <c r="I2" s="158"/>
      <c r="J2" s="158"/>
      <c r="K2" s="158"/>
      <c r="L2" s="158"/>
      <c r="M2" s="158"/>
      <c r="N2" s="158"/>
      <c r="P2" s="160" t="s">
        <v>182</v>
      </c>
    </row>
    <row r="3" spans="2:30" ht="20.100000000000001" customHeight="1">
      <c r="B3" s="161" t="s">
        <v>183</v>
      </c>
      <c r="C3" s="162" t="s">
        <v>420</v>
      </c>
      <c r="D3" s="163" t="s">
        <v>421</v>
      </c>
      <c r="E3" s="163" t="s">
        <v>422</v>
      </c>
      <c r="F3" s="164" t="s">
        <v>423</v>
      </c>
      <c r="G3" s="163" t="s">
        <v>424</v>
      </c>
      <c r="H3" s="164" t="s">
        <v>425</v>
      </c>
      <c r="I3" s="164" t="s">
        <v>426</v>
      </c>
      <c r="J3" s="164" t="s">
        <v>427</v>
      </c>
      <c r="K3" s="164" t="s">
        <v>428</v>
      </c>
      <c r="L3" s="164" t="s">
        <v>429</v>
      </c>
      <c r="M3" s="164" t="s">
        <v>430</v>
      </c>
      <c r="N3" s="164" t="s">
        <v>431</v>
      </c>
      <c r="O3" s="161" t="s">
        <v>432</v>
      </c>
      <c r="P3" s="719" t="s">
        <v>894</v>
      </c>
      <c r="Q3" s="719" t="s">
        <v>893</v>
      </c>
    </row>
    <row r="4" spans="2:30" ht="20.100000000000001" customHeight="1">
      <c r="B4" s="357" t="s">
        <v>184</v>
      </c>
      <c r="C4" s="463">
        <f>SUM(C5:C7)</f>
        <v>3646181.0735903853</v>
      </c>
      <c r="D4" s="464">
        <f t="shared" ref="D4:P4" si="0">SUM(D5:D7)</f>
        <v>3143831.3407169222</v>
      </c>
      <c r="E4" s="464">
        <f t="shared" si="0"/>
        <v>4096510.445292308</v>
      </c>
      <c r="F4" s="462">
        <f t="shared" si="0"/>
        <v>3294606.209265769</v>
      </c>
      <c r="G4" s="464">
        <f t="shared" si="0"/>
        <v>0</v>
      </c>
      <c r="H4" s="462">
        <f t="shared" si="0"/>
        <v>0</v>
      </c>
      <c r="I4" s="462">
        <f t="shared" si="0"/>
        <v>0</v>
      </c>
      <c r="J4" s="462">
        <f t="shared" si="0"/>
        <v>0</v>
      </c>
      <c r="K4" s="462">
        <f t="shared" si="0"/>
        <v>0</v>
      </c>
      <c r="L4" s="462">
        <f t="shared" si="0"/>
        <v>0</v>
      </c>
      <c r="M4" s="462">
        <f t="shared" si="0"/>
        <v>0</v>
      </c>
      <c r="N4" s="462">
        <f t="shared" si="0"/>
        <v>0</v>
      </c>
      <c r="O4" s="697">
        <f t="shared" ref="O4:O13" si="1">SUM(C4:N4)</f>
        <v>14181129.068865385</v>
      </c>
      <c r="P4" s="723">
        <f t="shared" si="0"/>
        <v>3375582.2092657699</v>
      </c>
      <c r="Q4" s="740"/>
      <c r="R4" s="158"/>
      <c r="S4" s="471"/>
      <c r="U4" s="158"/>
      <c r="V4" s="165"/>
    </row>
    <row r="5" spans="2:30" ht="20.100000000000001" customHeight="1">
      <c r="B5" s="358" t="s">
        <v>118</v>
      </c>
      <c r="C5" s="359">
        <v>3468446.8610980776</v>
      </c>
      <c r="D5" s="360">
        <v>2951628.6418611533</v>
      </c>
      <c r="E5" s="360">
        <v>3887018.1585807693</v>
      </c>
      <c r="F5" s="361">
        <v>3055323.5491807689</v>
      </c>
      <c r="G5" s="360"/>
      <c r="H5" s="361"/>
      <c r="I5" s="361"/>
      <c r="J5" s="361"/>
      <c r="K5" s="361"/>
      <c r="L5" s="361"/>
      <c r="M5" s="361"/>
      <c r="N5" s="361"/>
      <c r="O5" s="698">
        <f t="shared" si="1"/>
        <v>13362417.210720768</v>
      </c>
      <c r="P5" s="720">
        <f>3055323.54918077+'비용 증가 사유'!E12</f>
        <v>3136299.5491807698</v>
      </c>
      <c r="Q5" s="720" t="s">
        <v>897</v>
      </c>
      <c r="R5" s="526"/>
      <c r="U5" s="158"/>
      <c r="V5" s="165"/>
    </row>
    <row r="6" spans="2:30" ht="20.100000000000001" customHeight="1">
      <c r="B6" s="166" t="s">
        <v>116</v>
      </c>
      <c r="C6" s="167">
        <v>56448.550030769235</v>
      </c>
      <c r="D6" s="168">
        <v>98973.046932692305</v>
      </c>
      <c r="E6" s="168">
        <v>64460.584942307694</v>
      </c>
      <c r="F6" s="169">
        <v>118084.66217307693</v>
      </c>
      <c r="G6" s="168"/>
      <c r="H6" s="169"/>
      <c r="I6" s="169"/>
      <c r="J6" s="169"/>
      <c r="K6" s="169"/>
      <c r="L6" s="169"/>
      <c r="M6" s="169"/>
      <c r="N6" s="169"/>
      <c r="O6" s="699">
        <f t="shared" si="1"/>
        <v>337966.84407884616</v>
      </c>
      <c r="P6" s="721">
        <v>118084.66217307693</v>
      </c>
      <c r="Q6" s="721"/>
      <c r="R6" s="158"/>
      <c r="U6" s="158"/>
      <c r="V6" s="165"/>
    </row>
    <row r="7" spans="2:30" ht="20.100000000000001" customHeight="1">
      <c r="B7" s="170" t="s">
        <v>185</v>
      </c>
      <c r="C7" s="171">
        <v>121285.66246153846</v>
      </c>
      <c r="D7" s="172">
        <v>93229.651923076919</v>
      </c>
      <c r="E7" s="172">
        <v>145031.70176923077</v>
      </c>
      <c r="F7" s="173">
        <v>121197.99791192308</v>
      </c>
      <c r="G7" s="172"/>
      <c r="H7" s="173"/>
      <c r="I7" s="173"/>
      <c r="J7" s="173"/>
      <c r="K7" s="173"/>
      <c r="L7" s="173"/>
      <c r="M7" s="173"/>
      <c r="N7" s="173"/>
      <c r="O7" s="700">
        <f t="shared" si="1"/>
        <v>480745.01406576927</v>
      </c>
      <c r="P7" s="722">
        <v>121197.99791192308</v>
      </c>
      <c r="Q7" s="722"/>
      <c r="U7" s="158"/>
      <c r="V7" s="165"/>
    </row>
    <row r="8" spans="2:30" ht="20.100000000000001" customHeight="1">
      <c r="B8" s="362" t="s">
        <v>111</v>
      </c>
      <c r="C8" s="462">
        <f>C9+C10-C11+C12</f>
        <v>2633553.6919327104</v>
      </c>
      <c r="D8" s="462">
        <f t="shared" ref="D8:F8" si="2">D9+D10-D11+D12</f>
        <v>2581808.6054122262</v>
      </c>
      <c r="E8" s="462">
        <f>E9+E10-E11+E12-E13+265</f>
        <v>3130898.3666763487</v>
      </c>
      <c r="F8" s="462">
        <f t="shared" si="2"/>
        <v>2825043.3647156586</v>
      </c>
      <c r="G8" s="462">
        <f t="shared" ref="G8:N8" si="3">G9+G10-G11+G12+G13</f>
        <v>0</v>
      </c>
      <c r="H8" s="462">
        <f t="shared" si="3"/>
        <v>0</v>
      </c>
      <c r="I8" s="462">
        <f t="shared" si="3"/>
        <v>0</v>
      </c>
      <c r="J8" s="462">
        <f t="shared" si="3"/>
        <v>0</v>
      </c>
      <c r="K8" s="462">
        <f t="shared" si="3"/>
        <v>0</v>
      </c>
      <c r="L8" s="462">
        <f t="shared" si="3"/>
        <v>0</v>
      </c>
      <c r="M8" s="462">
        <f t="shared" si="3"/>
        <v>0</v>
      </c>
      <c r="N8" s="462">
        <f t="shared" si="3"/>
        <v>0</v>
      </c>
      <c r="O8" s="697">
        <f t="shared" si="1"/>
        <v>11171304.028736943</v>
      </c>
      <c r="P8" s="723">
        <f t="shared" ref="P8" si="4">P9+P10-P11+P12</f>
        <v>2814781.3647156586</v>
      </c>
      <c r="Q8" s="740"/>
      <c r="R8" s="158"/>
      <c r="S8" s="158"/>
      <c r="T8" s="158"/>
      <c r="U8" s="158"/>
      <c r="V8" s="158"/>
      <c r="W8" s="158"/>
      <c r="X8" s="158"/>
      <c r="Y8" s="158"/>
      <c r="Z8" s="158"/>
      <c r="AA8" s="158"/>
      <c r="AB8" s="158"/>
    </row>
    <row r="9" spans="2:30" ht="20.100000000000001" customHeight="1">
      <c r="B9" s="358" t="s">
        <v>186</v>
      </c>
      <c r="C9" s="472">
        <v>1552094.2664615384</v>
      </c>
      <c r="D9" s="363">
        <v>1685226.7098753653</v>
      </c>
      <c r="E9" s="363">
        <v>1326384.459539722</v>
      </c>
      <c r="F9" s="364">
        <v>846959.0975614026</v>
      </c>
      <c r="G9" s="363"/>
      <c r="H9" s="364"/>
      <c r="I9" s="364"/>
      <c r="J9" s="364"/>
      <c r="K9" s="364"/>
      <c r="L9" s="364"/>
      <c r="M9" s="364"/>
      <c r="N9" s="364"/>
      <c r="O9" s="701">
        <f t="shared" si="1"/>
        <v>5410664.5334380278</v>
      </c>
      <c r="P9" s="724">
        <v>846959.0975614026</v>
      </c>
      <c r="Q9" s="720"/>
      <c r="R9" s="537"/>
      <c r="S9" s="624"/>
      <c r="T9" s="158"/>
      <c r="U9" s="158"/>
      <c r="V9" s="165"/>
    </row>
    <row r="10" spans="2:30" ht="20.100000000000001" customHeight="1">
      <c r="B10" s="166" t="s">
        <v>407</v>
      </c>
      <c r="C10" s="175">
        <v>2662039.451700917</v>
      </c>
      <c r="D10" s="176">
        <v>2210773.1560438713</v>
      </c>
      <c r="E10" s="176">
        <v>2856536.481381957</v>
      </c>
      <c r="F10" s="177">
        <v>2717168.6991031002</v>
      </c>
      <c r="G10" s="176"/>
      <c r="H10" s="177"/>
      <c r="I10" s="177"/>
      <c r="J10" s="177"/>
      <c r="K10" s="177"/>
      <c r="L10" s="177"/>
      <c r="M10" s="177"/>
      <c r="N10" s="177"/>
      <c r="O10" s="702">
        <f t="shared" si="1"/>
        <v>10446517.788229845</v>
      </c>
      <c r="P10" s="725">
        <f>2717168.6991031-50000-15000+'비용 증가 사유'!F12</f>
        <v>2706906.6991031002</v>
      </c>
      <c r="Q10" s="721" t="s">
        <v>896</v>
      </c>
      <c r="R10" s="623"/>
      <c r="S10" s="158"/>
      <c r="T10" s="158"/>
      <c r="U10" s="158"/>
      <c r="V10" s="158"/>
      <c r="W10" s="158"/>
      <c r="X10" s="158"/>
      <c r="Y10" s="158"/>
      <c r="Z10" s="158"/>
      <c r="AA10" s="158"/>
    </row>
    <row r="11" spans="2:30" ht="20.100000000000001" customHeight="1">
      <c r="B11" s="166" t="s">
        <v>187</v>
      </c>
      <c r="C11" s="175">
        <v>1629668.0262297452</v>
      </c>
      <c r="D11" s="176">
        <v>1326384.459539722</v>
      </c>
      <c r="E11" s="176">
        <v>846959.0975614026</v>
      </c>
      <c r="F11" s="177">
        <v>808791.43194884446</v>
      </c>
      <c r="G11" s="176"/>
      <c r="H11" s="177"/>
      <c r="I11" s="177"/>
      <c r="J11" s="177"/>
      <c r="K11" s="177"/>
      <c r="L11" s="177"/>
      <c r="M11" s="177"/>
      <c r="N11" s="177"/>
      <c r="O11" s="702">
        <f t="shared" si="1"/>
        <v>4611803.0152797149</v>
      </c>
      <c r="P11" s="725">
        <v>808791.43194884446</v>
      </c>
      <c r="Q11" s="721"/>
      <c r="R11" s="158"/>
      <c r="S11" s="158"/>
      <c r="T11" s="158"/>
      <c r="U11" s="158"/>
      <c r="V11" s="158"/>
      <c r="W11" s="158"/>
      <c r="X11" s="158"/>
      <c r="Y11" s="158"/>
      <c r="Z11" s="158"/>
    </row>
    <row r="12" spans="2:30" ht="20.100000000000001" customHeight="1">
      <c r="B12" s="166" t="s">
        <v>188</v>
      </c>
      <c r="C12" s="175">
        <v>49088</v>
      </c>
      <c r="D12" s="176">
        <v>12193.199032711906</v>
      </c>
      <c r="E12" s="176">
        <v>-92960</v>
      </c>
      <c r="F12" s="177">
        <v>69707</v>
      </c>
      <c r="G12" s="176"/>
      <c r="H12" s="177"/>
      <c r="I12" s="177"/>
      <c r="J12" s="177"/>
      <c r="K12" s="177"/>
      <c r="L12" s="177"/>
      <c r="M12" s="177"/>
      <c r="N12" s="177"/>
      <c r="O12" s="702">
        <f t="shared" si="1"/>
        <v>38028.199032711906</v>
      </c>
      <c r="P12" s="725">
        <v>69707</v>
      </c>
      <c r="Q12" s="721"/>
      <c r="R12" s="158"/>
      <c r="S12" s="158"/>
      <c r="T12" s="158"/>
      <c r="U12" s="158"/>
      <c r="V12" s="158"/>
      <c r="W12" s="158"/>
      <c r="X12" s="158"/>
      <c r="Y12" s="158"/>
      <c r="Z12" s="158"/>
      <c r="AA12" s="158"/>
      <c r="AB12" s="158"/>
    </row>
    <row r="13" spans="2:30" ht="20.100000000000001" customHeight="1" thickBot="1">
      <c r="B13" s="178" t="s">
        <v>189</v>
      </c>
      <c r="C13" s="179">
        <v>204746.19188154209</v>
      </c>
      <c r="D13" s="180">
        <f>+'PL USD'!F17</f>
        <v>95089.476823953461</v>
      </c>
      <c r="E13" s="180">
        <v>112368.47668392782</v>
      </c>
      <c r="F13" s="181"/>
      <c r="G13" s="180"/>
      <c r="H13" s="181"/>
      <c r="I13" s="181"/>
      <c r="J13" s="181"/>
      <c r="K13" s="181"/>
      <c r="L13" s="181"/>
      <c r="M13" s="181"/>
      <c r="N13" s="181"/>
      <c r="O13" s="703">
        <f t="shared" si="1"/>
        <v>412204.14538942336</v>
      </c>
      <c r="P13" s="726"/>
      <c r="Q13" s="721"/>
      <c r="R13" s="158"/>
      <c r="S13" s="158"/>
      <c r="T13" s="158"/>
      <c r="U13" s="158"/>
      <c r="V13" s="158"/>
      <c r="W13" s="158"/>
    </row>
    <row r="14" spans="2:30" ht="20.100000000000001" customHeight="1" thickBot="1">
      <c r="B14" s="182" t="s">
        <v>96</v>
      </c>
      <c r="C14" s="183">
        <f>C4-C8-C13</f>
        <v>807881.18977613281</v>
      </c>
      <c r="D14" s="184">
        <f t="shared" ref="D14:F14" si="5">D4-D8-D13</f>
        <v>466933.25848074257</v>
      </c>
      <c r="E14" s="184">
        <f t="shared" si="5"/>
        <v>853243.60193203145</v>
      </c>
      <c r="F14" s="185">
        <f t="shared" si="5"/>
        <v>469562.8445501104</v>
      </c>
      <c r="G14" s="184">
        <f t="shared" ref="G14:N14" si="6">G4-G8</f>
        <v>0</v>
      </c>
      <c r="H14" s="185">
        <f>H4-H8</f>
        <v>0</v>
      </c>
      <c r="I14" s="185">
        <f>I4-I8</f>
        <v>0</v>
      </c>
      <c r="J14" s="185">
        <f t="shared" si="6"/>
        <v>0</v>
      </c>
      <c r="K14" s="185">
        <f t="shared" si="6"/>
        <v>0</v>
      </c>
      <c r="L14" s="185">
        <f t="shared" si="6"/>
        <v>0</v>
      </c>
      <c r="M14" s="185">
        <f t="shared" si="6"/>
        <v>0</v>
      </c>
      <c r="N14" s="185">
        <f t="shared" si="6"/>
        <v>0</v>
      </c>
      <c r="O14" s="704">
        <f>O4-O8</f>
        <v>3009825.0401284415</v>
      </c>
      <c r="P14" s="727">
        <f t="shared" ref="P14" si="7">P4-P8-P13</f>
        <v>560800.84455011133</v>
      </c>
      <c r="Q14" s="741"/>
      <c r="R14" s="174"/>
      <c r="S14" s="174"/>
      <c r="T14" s="174"/>
      <c r="U14" s="158"/>
      <c r="V14" s="158"/>
      <c r="W14" s="158"/>
    </row>
    <row r="15" spans="2:30" ht="20.100000000000001" customHeight="1">
      <c r="B15" s="186" t="s">
        <v>190</v>
      </c>
      <c r="C15" s="187">
        <v>348666.17571675486</v>
      </c>
      <c r="D15" s="188">
        <f>+'PL USD'!F46</f>
        <v>334109.76775994833</v>
      </c>
      <c r="E15" s="188">
        <f>+'PL USD'!G46</f>
        <v>351521.91465242655</v>
      </c>
      <c r="F15" s="188">
        <f>+'PL USD'!H46</f>
        <v>366191.261670593</v>
      </c>
      <c r="G15" s="190"/>
      <c r="H15" s="189"/>
      <c r="I15" s="189"/>
      <c r="J15" s="189"/>
      <c r="K15" s="189"/>
      <c r="L15" s="189"/>
      <c r="M15" s="189"/>
      <c r="N15" s="189"/>
      <c r="O15" s="705">
        <f>SUM(C15:N15)</f>
        <v>1400489.1197997227</v>
      </c>
      <c r="P15" s="728">
        <f>F15-12000</f>
        <v>354191.261670593</v>
      </c>
      <c r="Q15" s="728" t="s">
        <v>892</v>
      </c>
      <c r="R15" s="158"/>
      <c r="S15" s="626"/>
      <c r="T15" s="158"/>
      <c r="U15" s="158"/>
      <c r="V15" s="158"/>
      <c r="W15" s="158"/>
      <c r="X15" s="158"/>
      <c r="Y15" s="158"/>
      <c r="Z15" s="158"/>
      <c r="AA15" s="158"/>
      <c r="AB15" s="158"/>
      <c r="AC15" s="158"/>
    </row>
    <row r="16" spans="2:30" ht="20.100000000000001" customHeight="1" thickBot="1">
      <c r="B16" s="192" t="s">
        <v>191</v>
      </c>
      <c r="C16" s="193">
        <v>70161.860488993334</v>
      </c>
      <c r="D16" s="194">
        <f>+'PL USD'!F62</f>
        <v>59271.188573101848</v>
      </c>
      <c r="E16" s="194">
        <f>+'PL USD'!G62</f>
        <v>65128.591086139488</v>
      </c>
      <c r="F16" s="194">
        <f>+'PL USD'!H62</f>
        <v>64351.365610642264</v>
      </c>
      <c r="G16" s="194"/>
      <c r="H16" s="195"/>
      <c r="I16" s="195"/>
      <c r="J16" s="195"/>
      <c r="K16" s="195"/>
      <c r="L16" s="195"/>
      <c r="M16" s="195"/>
      <c r="N16" s="195"/>
      <c r="O16" s="706">
        <f>SUM(C16:N16)</f>
        <v>258913.00575887694</v>
      </c>
      <c r="P16" s="729">
        <f>F16</f>
        <v>64351.365610642264</v>
      </c>
      <c r="Q16" s="729"/>
      <c r="R16" s="527"/>
      <c r="S16" s="158"/>
      <c r="T16" s="158"/>
      <c r="U16" s="158"/>
      <c r="V16" s="158"/>
      <c r="W16" s="158"/>
      <c r="X16" s="158"/>
      <c r="Y16" s="158"/>
      <c r="Z16" s="158"/>
      <c r="AA16" s="158"/>
      <c r="AB16" s="158"/>
      <c r="AC16" s="158"/>
      <c r="AD16" s="158"/>
    </row>
    <row r="17" spans="2:27" ht="15" customHeight="1" thickBot="1">
      <c r="B17" s="182" t="s">
        <v>192</v>
      </c>
      <c r="C17" s="183">
        <f>+C14-C15-C16</f>
        <v>389053.1535703846</v>
      </c>
      <c r="D17" s="184">
        <f>+D14-D15-D16</f>
        <v>73552.30214769239</v>
      </c>
      <c r="E17" s="184">
        <f>+E14-E15-E16</f>
        <v>436593.0961934654</v>
      </c>
      <c r="F17" s="185">
        <f>+F14-F15-F16</f>
        <v>39020.217268875138</v>
      </c>
      <c r="G17" s="184">
        <f t="shared" ref="G17:O17" si="8">G14-G15-G16</f>
        <v>0</v>
      </c>
      <c r="H17" s="185">
        <f>H14-H15-H16</f>
        <v>0</v>
      </c>
      <c r="I17" s="185">
        <f t="shared" si="8"/>
        <v>0</v>
      </c>
      <c r="J17" s="185">
        <f t="shared" si="8"/>
        <v>0</v>
      </c>
      <c r="K17" s="185">
        <f t="shared" si="8"/>
        <v>0</v>
      </c>
      <c r="L17" s="185">
        <f t="shared" si="8"/>
        <v>0</v>
      </c>
      <c r="M17" s="185">
        <f t="shared" si="8"/>
        <v>0</v>
      </c>
      <c r="N17" s="185">
        <f t="shared" si="8"/>
        <v>0</v>
      </c>
      <c r="O17" s="704">
        <f t="shared" si="8"/>
        <v>1350422.9145698419</v>
      </c>
      <c r="P17" s="727">
        <f>+P14-P15-P16</f>
        <v>142258.21726887606</v>
      </c>
      <c r="Q17" s="741"/>
      <c r="R17" s="158"/>
      <c r="S17" s="158"/>
      <c r="T17" s="158"/>
      <c r="U17" s="158"/>
      <c r="V17" s="165"/>
      <c r="W17" s="158"/>
    </row>
    <row r="18" spans="2:27" ht="20.100000000000001" customHeight="1" thickBot="1">
      <c r="B18" s="365" t="s">
        <v>193</v>
      </c>
      <c r="C18" s="196">
        <v>-96154.297264230729</v>
      </c>
      <c r="D18" s="197">
        <v>-73552.302147692317</v>
      </c>
      <c r="E18" s="538">
        <f>-395029.837433846</f>
        <v>-395029.83743384603</v>
      </c>
      <c r="F18" s="173">
        <v>-29210.881693846153</v>
      </c>
      <c r="G18" s="172"/>
      <c r="H18" s="173"/>
      <c r="I18" s="173"/>
      <c r="J18" s="173"/>
      <c r="K18" s="173"/>
      <c r="L18" s="173"/>
      <c r="M18" s="173"/>
      <c r="N18" s="173"/>
      <c r="O18" s="707">
        <f>SUM(C18:N18)</f>
        <v>-593947.31853961525</v>
      </c>
      <c r="P18" s="722">
        <v>-29210.881693846153</v>
      </c>
      <c r="Q18" s="722"/>
      <c r="R18" s="537"/>
      <c r="S18" s="158"/>
      <c r="T18" s="158"/>
      <c r="U18" s="158"/>
      <c r="V18" s="165"/>
      <c r="W18" s="158"/>
      <c r="X18" s="158"/>
      <c r="Y18" s="158"/>
      <c r="Z18" s="158"/>
      <c r="AA18" s="158"/>
    </row>
    <row r="19" spans="2:27" ht="23.25" hidden="1" customHeight="1" thickBot="1">
      <c r="B19" s="366" t="s">
        <v>194</v>
      </c>
      <c r="C19" s="171"/>
      <c r="D19" s="172"/>
      <c r="E19" s="172"/>
      <c r="F19" s="173"/>
      <c r="G19" s="172"/>
      <c r="H19" s="173"/>
      <c r="I19" s="173"/>
      <c r="J19" s="173"/>
      <c r="K19" s="173"/>
      <c r="L19" s="173"/>
      <c r="M19" s="173"/>
      <c r="N19" s="173"/>
      <c r="O19" s="700">
        <f>SUM(C19:N19)</f>
        <v>0</v>
      </c>
      <c r="P19" s="722"/>
      <c r="Q19" s="722"/>
      <c r="T19" s="158"/>
      <c r="U19" s="158"/>
      <c r="V19" s="165"/>
    </row>
    <row r="20" spans="2:27" ht="20.100000000000001" customHeight="1" thickBot="1">
      <c r="B20" s="182" t="s">
        <v>195</v>
      </c>
      <c r="C20" s="183">
        <f>C17+C18</f>
        <v>292898.85630615387</v>
      </c>
      <c r="D20" s="184">
        <f>D17+D18</f>
        <v>0</v>
      </c>
      <c r="E20" s="184">
        <f t="shared" ref="E20:O20" si="9">E17+E18</f>
        <v>41563.258759619377</v>
      </c>
      <c r="F20" s="185">
        <f t="shared" si="9"/>
        <v>9809.3355750289847</v>
      </c>
      <c r="G20" s="198">
        <f>G17+G18</f>
        <v>0</v>
      </c>
      <c r="H20" s="185">
        <f t="shared" si="9"/>
        <v>0</v>
      </c>
      <c r="I20" s="185">
        <f t="shared" si="9"/>
        <v>0</v>
      </c>
      <c r="J20" s="185">
        <f t="shared" si="9"/>
        <v>0</v>
      </c>
      <c r="K20" s="185">
        <f t="shared" si="9"/>
        <v>0</v>
      </c>
      <c r="L20" s="185">
        <f t="shared" si="9"/>
        <v>0</v>
      </c>
      <c r="M20" s="185">
        <f t="shared" si="9"/>
        <v>0</v>
      </c>
      <c r="N20" s="185">
        <f t="shared" si="9"/>
        <v>0</v>
      </c>
      <c r="O20" s="704">
        <f t="shared" si="9"/>
        <v>756475.59603022668</v>
      </c>
      <c r="P20" s="727">
        <f t="shared" ref="P20" si="10">P17+P18</f>
        <v>113047.33557502991</v>
      </c>
      <c r="Q20" s="741"/>
      <c r="R20" s="158"/>
      <c r="S20" s="158"/>
      <c r="T20" s="158"/>
      <c r="U20" s="158"/>
      <c r="V20" s="165"/>
    </row>
    <row r="21" spans="2:27" ht="18.75" customHeight="1">
      <c r="B21" s="199" t="s">
        <v>196</v>
      </c>
      <c r="C21" s="187">
        <v>14107</v>
      </c>
      <c r="D21" s="189">
        <v>9892.8426253846155</v>
      </c>
      <c r="E21" s="188">
        <v>8792</v>
      </c>
      <c r="F21" s="189">
        <v>13566</v>
      </c>
      <c r="G21" s="188"/>
      <c r="H21" s="189"/>
      <c r="I21" s="189"/>
      <c r="J21" s="189"/>
      <c r="K21" s="189"/>
      <c r="L21" s="189"/>
      <c r="M21" s="189"/>
      <c r="N21" s="189"/>
      <c r="O21" s="705">
        <f>SUM(C21:N21)</f>
        <v>46357.842625384612</v>
      </c>
      <c r="P21" s="728">
        <v>13566</v>
      </c>
      <c r="Q21" s="728"/>
      <c r="V21" s="165"/>
    </row>
    <row r="22" spans="2:27" ht="15" customHeight="1">
      <c r="B22" s="200" t="s">
        <v>197</v>
      </c>
      <c r="C22" s="171">
        <f t="shared" ref="C22:N22" si="11">+C20+C21</f>
        <v>307005.85630615387</v>
      </c>
      <c r="D22" s="173">
        <f>+D20+D21</f>
        <v>9892.8426253846155</v>
      </c>
      <c r="E22" s="173">
        <f t="shared" si="11"/>
        <v>50355.258759619377</v>
      </c>
      <c r="F22" s="173">
        <f t="shared" si="11"/>
        <v>23375.335575028985</v>
      </c>
      <c r="G22" s="173">
        <f t="shared" si="11"/>
        <v>0</v>
      </c>
      <c r="H22" s="173">
        <f t="shared" si="11"/>
        <v>0</v>
      </c>
      <c r="I22" s="173">
        <f t="shared" si="11"/>
        <v>0</v>
      </c>
      <c r="J22" s="173">
        <f t="shared" si="11"/>
        <v>0</v>
      </c>
      <c r="K22" s="173">
        <f t="shared" si="11"/>
        <v>0</v>
      </c>
      <c r="L22" s="173">
        <f t="shared" si="11"/>
        <v>0</v>
      </c>
      <c r="M22" s="173">
        <f t="shared" si="11"/>
        <v>0</v>
      </c>
      <c r="N22" s="173">
        <f t="shared" si="11"/>
        <v>0</v>
      </c>
      <c r="O22" s="708">
        <f>SUM(C22:N22)</f>
        <v>390629.29326618684</v>
      </c>
      <c r="P22" s="722">
        <f t="shared" ref="P22" si="12">+P20+P21</f>
        <v>126613.33557502991</v>
      </c>
      <c r="Q22" s="722"/>
      <c r="S22" s="533" t="s">
        <v>891</v>
      </c>
      <c r="T22" s="533" t="s">
        <v>603</v>
      </c>
      <c r="V22" s="165"/>
    </row>
    <row r="23" spans="2:27" ht="18.75" hidden="1" customHeight="1">
      <c r="B23" s="201" t="s">
        <v>198</v>
      </c>
      <c r="C23" s="171"/>
      <c r="D23" s="172"/>
      <c r="E23" s="172"/>
      <c r="F23" s="173"/>
      <c r="G23" s="172"/>
      <c r="H23" s="173"/>
      <c r="I23" s="173"/>
      <c r="J23" s="173"/>
      <c r="K23" s="173"/>
      <c r="L23" s="173"/>
      <c r="M23" s="173"/>
      <c r="N23" s="173"/>
      <c r="O23" s="708">
        <f>SUM(C23:N23)</f>
        <v>0</v>
      </c>
      <c r="P23" s="722"/>
      <c r="Q23" s="722"/>
      <c r="R23" s="533"/>
      <c r="V23" s="165"/>
    </row>
    <row r="24" spans="2:27" ht="20.25" customHeight="1">
      <c r="B24" s="367" t="s">
        <v>199</v>
      </c>
      <c r="C24" s="368">
        <f>+C20+C13+C23</f>
        <v>497645.04818769597</v>
      </c>
      <c r="D24" s="369">
        <f>+D20+D13-D23</f>
        <v>95089.476823953461</v>
      </c>
      <c r="E24" s="369">
        <f>+E20+E13-E23+Q18</f>
        <v>153931.73544354719</v>
      </c>
      <c r="F24" s="369">
        <f t="shared" ref="F24:J24" si="13">+F20+F13-F23</f>
        <v>9809.3355750289847</v>
      </c>
      <c r="G24" s="369">
        <f t="shared" si="13"/>
        <v>0</v>
      </c>
      <c r="H24" s="370">
        <f t="shared" si="13"/>
        <v>0</v>
      </c>
      <c r="I24" s="370">
        <f t="shared" si="13"/>
        <v>0</v>
      </c>
      <c r="J24" s="370">
        <f t="shared" si="13"/>
        <v>0</v>
      </c>
      <c r="K24" s="370">
        <f>+K20+K13-K23</f>
        <v>0</v>
      </c>
      <c r="L24" s="370">
        <f>+L20+L13-L23</f>
        <v>0</v>
      </c>
      <c r="M24" s="370">
        <f>+M20+M13-M23</f>
        <v>0</v>
      </c>
      <c r="N24" s="370">
        <f>+N20-N23+N13</f>
        <v>0</v>
      </c>
      <c r="O24" s="709">
        <f>+O20+O13-O23+S24</f>
        <v>1168679.7414196501</v>
      </c>
      <c r="P24" s="371">
        <f t="shared" ref="P24" si="14">+P20+P13-P23</f>
        <v>113047.33557502991</v>
      </c>
      <c r="Q24" s="742"/>
      <c r="R24" s="535"/>
      <c r="S24" s="174"/>
      <c r="T24" s="174"/>
      <c r="U24" s="174"/>
      <c r="V24" s="174"/>
      <c r="W24" s="174"/>
      <c r="X24" s="174"/>
      <c r="Y24" s="174"/>
      <c r="Z24" s="174"/>
      <c r="AA24" s="174"/>
    </row>
    <row r="25" spans="2:27" ht="24" customHeight="1" thickBot="1">
      <c r="B25" s="372" t="s">
        <v>200</v>
      </c>
      <c r="C25" s="373">
        <f t="shared" ref="C25:M25" si="15">+C20-C23</f>
        <v>292898.85630615387</v>
      </c>
      <c r="D25" s="374">
        <f t="shared" si="15"/>
        <v>0</v>
      </c>
      <c r="E25" s="374">
        <f t="shared" si="15"/>
        <v>41563.258759619377</v>
      </c>
      <c r="F25" s="374">
        <f t="shared" si="15"/>
        <v>9809.3355750289847</v>
      </c>
      <c r="G25" s="374">
        <f t="shared" si="15"/>
        <v>0</v>
      </c>
      <c r="H25" s="375">
        <f t="shared" si="15"/>
        <v>0</v>
      </c>
      <c r="I25" s="375">
        <f t="shared" si="15"/>
        <v>0</v>
      </c>
      <c r="J25" s="375">
        <f t="shared" si="15"/>
        <v>0</v>
      </c>
      <c r="K25" s="375">
        <f t="shared" si="15"/>
        <v>0</v>
      </c>
      <c r="L25" s="375">
        <f t="shared" si="15"/>
        <v>0</v>
      </c>
      <c r="M25" s="375">
        <f t="shared" si="15"/>
        <v>0</v>
      </c>
      <c r="N25" s="375">
        <f>+N20-N23</f>
        <v>0</v>
      </c>
      <c r="O25" s="710">
        <f>SUM(C25:N25)</f>
        <v>344271.45064080221</v>
      </c>
      <c r="P25" s="730">
        <f t="shared" ref="P25" si="16">+P20-P23</f>
        <v>113047.33557502991</v>
      </c>
      <c r="Q25" s="743"/>
      <c r="S25" s="536">
        <v>941645.1949230769</v>
      </c>
      <c r="T25" s="534">
        <f>+S25-O22</f>
        <v>551015.90165689006</v>
      </c>
      <c r="U25" s="174"/>
      <c r="V25" s="174"/>
      <c r="W25" s="174"/>
      <c r="X25" s="174"/>
      <c r="Y25" s="174"/>
      <c r="Z25" s="174"/>
      <c r="AA25" s="174"/>
    </row>
    <row r="26" spans="2:27" ht="15.75" customHeight="1">
      <c r="B26" s="202" t="s">
        <v>201</v>
      </c>
      <c r="C26" s="203">
        <f t="shared" ref="C26:H26" si="17">IF(C14/C4&lt;&gt;0,C14/C4,"")</f>
        <v>0.22156913589061397</v>
      </c>
      <c r="D26" s="204">
        <f t="shared" si="17"/>
        <v>0.14852363497790649</v>
      </c>
      <c r="E26" s="205">
        <f t="shared" si="17"/>
        <v>0.20828546962758884</v>
      </c>
      <c r="F26" s="204">
        <f t="shared" si="17"/>
        <v>0.14252472517944914</v>
      </c>
      <c r="G26" s="204" t="e">
        <f t="shared" si="17"/>
        <v>#DIV/0!</v>
      </c>
      <c r="H26" s="204" t="e">
        <f t="shared" si="17"/>
        <v>#DIV/0!</v>
      </c>
      <c r="I26" s="204" t="e">
        <f t="shared" ref="I26:N26" si="18">IF(I14/I4&lt;&gt;0,I14/I4,"")</f>
        <v>#DIV/0!</v>
      </c>
      <c r="J26" s="204" t="e">
        <f t="shared" si="18"/>
        <v>#DIV/0!</v>
      </c>
      <c r="K26" s="204" t="e">
        <f t="shared" si="18"/>
        <v>#DIV/0!</v>
      </c>
      <c r="L26" s="204" t="e">
        <f t="shared" si="18"/>
        <v>#DIV/0!</v>
      </c>
      <c r="M26" s="204" t="e">
        <f t="shared" si="18"/>
        <v>#DIV/0!</v>
      </c>
      <c r="N26" s="204" t="e">
        <f t="shared" si="18"/>
        <v>#DIV/0!</v>
      </c>
      <c r="O26" s="711">
        <f>O14/O4</f>
        <v>0.21224156592273749</v>
      </c>
      <c r="P26" s="731">
        <f t="shared" ref="P26" si="19">IF(P14/P4&lt;&gt;0,P14/P4,"")</f>
        <v>0.16613455391806095</v>
      </c>
      <c r="Q26" s="744"/>
      <c r="R26" s="529"/>
      <c r="U26" s="158"/>
    </row>
    <row r="27" spans="2:27" ht="15.75" customHeight="1">
      <c r="B27" s="166" t="s">
        <v>9</v>
      </c>
      <c r="C27" s="206">
        <f t="shared" ref="C27:O27" si="20">C8/C4</f>
        <v>0.72227726456257879</v>
      </c>
      <c r="D27" s="207">
        <f t="shared" si="20"/>
        <v>0.82122999792459228</v>
      </c>
      <c r="E27" s="208">
        <f t="shared" si="20"/>
        <v>0.76428423861932626</v>
      </c>
      <c r="F27" s="207">
        <f t="shared" si="20"/>
        <v>0.85747527482055086</v>
      </c>
      <c r="G27" s="207" t="e">
        <f t="shared" si="20"/>
        <v>#DIV/0!</v>
      </c>
      <c r="H27" s="207" t="e">
        <f t="shared" si="20"/>
        <v>#DIV/0!</v>
      </c>
      <c r="I27" s="207" t="e">
        <f t="shared" ref="I27:N27" si="21">I8/I4</f>
        <v>#DIV/0!</v>
      </c>
      <c r="J27" s="207" t="e">
        <f t="shared" si="21"/>
        <v>#DIV/0!</v>
      </c>
      <c r="K27" s="207" t="e">
        <f t="shared" si="21"/>
        <v>#DIV/0!</v>
      </c>
      <c r="L27" s="207" t="e">
        <f t="shared" si="21"/>
        <v>#DIV/0!</v>
      </c>
      <c r="M27" s="207" t="e">
        <f t="shared" si="21"/>
        <v>#DIV/0!</v>
      </c>
      <c r="N27" s="207" t="e">
        <f t="shared" si="21"/>
        <v>#DIV/0!</v>
      </c>
      <c r="O27" s="712">
        <f t="shared" si="20"/>
        <v>0.78775843407726254</v>
      </c>
      <c r="P27" s="732">
        <f t="shared" ref="P27" si="22">P8/P4</f>
        <v>0.83386544608193902</v>
      </c>
      <c r="Q27" s="745"/>
      <c r="R27" s="532"/>
    </row>
    <row r="28" spans="2:27" ht="15.75" customHeight="1">
      <c r="B28" s="166" t="s">
        <v>408</v>
      </c>
      <c r="C28" s="206">
        <f t="shared" ref="C28:O28" si="23">(C15+C16)/C4</f>
        <v>0.1148675909815223</v>
      </c>
      <c r="D28" s="207">
        <f t="shared" si="23"/>
        <v>0.12512788177858905</v>
      </c>
      <c r="E28" s="208">
        <f t="shared" si="23"/>
        <v>0.10170863990286635</v>
      </c>
      <c r="F28" s="207">
        <f t="shared" si="23"/>
        <v>0.13068105865592516</v>
      </c>
      <c r="G28" s="207" t="e">
        <f t="shared" si="23"/>
        <v>#DIV/0!</v>
      </c>
      <c r="H28" s="207" t="e">
        <f t="shared" si="23"/>
        <v>#DIV/0!</v>
      </c>
      <c r="I28" s="207" t="e">
        <f t="shared" ref="I28:N28" si="24">(I15+I16)/I4</f>
        <v>#DIV/0!</v>
      </c>
      <c r="J28" s="207" t="e">
        <f t="shared" si="24"/>
        <v>#DIV/0!</v>
      </c>
      <c r="K28" s="207" t="e">
        <f t="shared" si="24"/>
        <v>#DIV/0!</v>
      </c>
      <c r="L28" s="207" t="e">
        <f t="shared" si="24"/>
        <v>#DIV/0!</v>
      </c>
      <c r="M28" s="207" t="e">
        <f t="shared" si="24"/>
        <v>#DIV/0!</v>
      </c>
      <c r="N28" s="207" t="e">
        <f t="shared" si="24"/>
        <v>#DIV/0!</v>
      </c>
      <c r="O28" s="712">
        <f t="shared" si="23"/>
        <v>0.11701481013961086</v>
      </c>
      <c r="P28" s="732">
        <f t="shared" ref="P28" si="25">(P15+P16)/P4</f>
        <v>0.12399124101684175</v>
      </c>
      <c r="Q28" s="745"/>
      <c r="R28" s="209"/>
      <c r="S28" s="209"/>
      <c r="T28" s="209"/>
    </row>
    <row r="29" spans="2:27" ht="15.75" customHeight="1">
      <c r="B29" s="210" t="s">
        <v>202</v>
      </c>
      <c r="C29" s="211">
        <f t="shared" ref="C29:M29" si="26">C24/C4</f>
        <v>0.13648390964238816</v>
      </c>
      <c r="D29" s="212">
        <f t="shared" si="26"/>
        <v>3.0246367097501219E-2</v>
      </c>
      <c r="E29" s="213">
        <f>E24/E4</f>
        <v>3.7576307322844713E-2</v>
      </c>
      <c r="F29" s="212">
        <f t="shared" si="26"/>
        <v>2.9773924262757579E-3</v>
      </c>
      <c r="G29" s="212" t="e">
        <f t="shared" si="26"/>
        <v>#DIV/0!</v>
      </c>
      <c r="H29" s="212" t="e">
        <f t="shared" si="26"/>
        <v>#DIV/0!</v>
      </c>
      <c r="I29" s="212" t="e">
        <f>I24/I4</f>
        <v>#DIV/0!</v>
      </c>
      <c r="J29" s="212" t="e">
        <f>J24/J4</f>
        <v>#DIV/0!</v>
      </c>
      <c r="K29" s="212" t="e">
        <f>K24/K4</f>
        <v>#DIV/0!</v>
      </c>
      <c r="L29" s="212" t="e">
        <f>L24/L4</f>
        <v>#DIV/0!</v>
      </c>
      <c r="M29" s="212" t="e">
        <f t="shared" si="26"/>
        <v>#DIV/0!</v>
      </c>
      <c r="N29" s="212" t="e">
        <f t="shared" ref="N29" si="27">N24/N4</f>
        <v>#DIV/0!</v>
      </c>
      <c r="O29" s="713">
        <f>O24/O4</f>
        <v>8.2410909296741552E-2</v>
      </c>
      <c r="P29" s="733">
        <f t="shared" ref="P29" si="28">P24/P4</f>
        <v>3.3489729642703345E-2</v>
      </c>
      <c r="Q29" s="746" t="s">
        <v>895</v>
      </c>
      <c r="R29" s="471"/>
    </row>
    <row r="30" spans="2:27" ht="15.75" customHeight="1">
      <c r="B30" s="215" t="s">
        <v>203</v>
      </c>
      <c r="C30" s="394">
        <f t="shared" ref="C30:H30" si="29">C25/C4</f>
        <v>8.0330310095580934E-2</v>
      </c>
      <c r="D30" s="214">
        <f t="shared" si="29"/>
        <v>0</v>
      </c>
      <c r="E30" s="542">
        <f t="shared" si="29"/>
        <v>1.0146015569759793E-2</v>
      </c>
      <c r="F30" s="214">
        <f t="shared" si="29"/>
        <v>2.9773924262757579E-3</v>
      </c>
      <c r="G30" s="214" t="e">
        <f t="shared" si="29"/>
        <v>#DIV/0!</v>
      </c>
      <c r="H30" s="214" t="e">
        <f t="shared" si="29"/>
        <v>#DIV/0!</v>
      </c>
      <c r="I30" s="214" t="e">
        <f t="shared" ref="I30:P30" si="30">I25/I4</f>
        <v>#DIV/0!</v>
      </c>
      <c r="J30" s="214" t="e">
        <f t="shared" si="30"/>
        <v>#DIV/0!</v>
      </c>
      <c r="K30" s="214" t="e">
        <f t="shared" si="30"/>
        <v>#DIV/0!</v>
      </c>
      <c r="L30" s="214" t="e">
        <f t="shared" si="30"/>
        <v>#DIV/0!</v>
      </c>
      <c r="M30" s="214" t="e">
        <f t="shared" si="30"/>
        <v>#DIV/0!</v>
      </c>
      <c r="N30" s="214" t="e">
        <f t="shared" si="30"/>
        <v>#DIV/0!</v>
      </c>
      <c r="O30" s="714">
        <f t="shared" si="30"/>
        <v>2.4276730644575324E-2</v>
      </c>
      <c r="P30" s="734">
        <f t="shared" si="30"/>
        <v>3.3489729642703345E-2</v>
      </c>
      <c r="Q30" s="747"/>
    </row>
    <row r="31" spans="2:27" ht="20.25" customHeight="1" thickBot="1">
      <c r="B31" s="216" t="s">
        <v>204</v>
      </c>
      <c r="C31" s="217">
        <f t="shared" ref="C31:H31" si="31">+C25+C33+C34+C35+C36</f>
        <v>703640.85335615394</v>
      </c>
      <c r="D31" s="218">
        <f t="shared" si="31"/>
        <v>400745.32209576922</v>
      </c>
      <c r="E31" s="219">
        <f t="shared" si="31"/>
        <v>432934.00751231168</v>
      </c>
      <c r="F31" s="218">
        <f t="shared" si="31"/>
        <v>407234.0963373367</v>
      </c>
      <c r="G31" s="218">
        <f t="shared" si="31"/>
        <v>0</v>
      </c>
      <c r="H31" s="218">
        <f t="shared" si="31"/>
        <v>0</v>
      </c>
      <c r="I31" s="218">
        <f>+I25+I33+I34+I35+I36</f>
        <v>0</v>
      </c>
      <c r="J31" s="220">
        <f>+J24+J33+J34+J35+J36</f>
        <v>0</v>
      </c>
      <c r="K31" s="220">
        <f>+K24+K33+K34+K35+K36</f>
        <v>0</v>
      </c>
      <c r="L31" s="220">
        <f>+L24+L33+L34+L35+L36</f>
        <v>0</v>
      </c>
      <c r="M31" s="220">
        <f>+M24+M33+M34+M35+M36</f>
        <v>0</v>
      </c>
      <c r="N31" s="220">
        <f>+N24+N33+N34+N35+N36</f>
        <v>0</v>
      </c>
      <c r="O31" s="715">
        <f>+O25+O33+O34+O35+O36</f>
        <v>1944554.2793015714</v>
      </c>
      <c r="P31" s="735">
        <f t="shared" ref="P31" si="32">+P25+P33+P34+P35+P36</f>
        <v>510472.09633733757</v>
      </c>
      <c r="Q31" s="748"/>
    </row>
    <row r="32" spans="2:27" ht="8.25" customHeight="1" thickBot="1">
      <c r="B32" s="221"/>
      <c r="C32" s="222"/>
      <c r="D32" s="223"/>
      <c r="E32" s="223"/>
      <c r="F32" s="224"/>
      <c r="G32" s="223"/>
      <c r="H32" s="225"/>
      <c r="I32" s="225"/>
      <c r="J32" s="225"/>
      <c r="K32" s="225"/>
      <c r="L32" s="225"/>
      <c r="M32" s="225"/>
      <c r="N32" s="225"/>
      <c r="O32" s="226"/>
      <c r="P32" s="736"/>
      <c r="Q32" s="736"/>
    </row>
    <row r="33" spans="2:17" ht="15.75" customHeight="1">
      <c r="B33" s="227" t="s">
        <v>205</v>
      </c>
      <c r="C33" s="228">
        <v>77451.044065000009</v>
      </c>
      <c r="D33" s="229">
        <v>63055.526115384615</v>
      </c>
      <c r="E33" s="229">
        <v>52889.094421923059</v>
      </c>
      <c r="F33" s="230">
        <f>+'PL USD'!H90</f>
        <v>58686.245884230761</v>
      </c>
      <c r="G33" s="229"/>
      <c r="H33" s="230"/>
      <c r="I33" s="230"/>
      <c r="J33" s="230"/>
      <c r="K33" s="230"/>
      <c r="L33" s="230"/>
      <c r="M33" s="230"/>
      <c r="N33" s="230"/>
      <c r="O33" s="716">
        <f>SUM(C33:N33)</f>
        <v>252081.91048653843</v>
      </c>
      <c r="P33" s="737">
        <f>F33</f>
        <v>58686.245884230761</v>
      </c>
      <c r="Q33" s="737"/>
    </row>
    <row r="34" spans="2:17" ht="15.75" hidden="1" customHeight="1">
      <c r="B34" s="221" t="s">
        <v>206</v>
      </c>
      <c r="C34" s="231">
        <v>0</v>
      </c>
      <c r="D34" s="232">
        <v>0</v>
      </c>
      <c r="E34" s="232">
        <v>0</v>
      </c>
      <c r="F34" s="233"/>
      <c r="G34" s="232"/>
      <c r="H34" s="233"/>
      <c r="I34" s="233"/>
      <c r="J34" s="233"/>
      <c r="K34" s="233"/>
      <c r="L34" s="233"/>
      <c r="M34" s="233"/>
      <c r="N34" s="233"/>
      <c r="O34" s="717">
        <f>SUM(C34:N34)</f>
        <v>0</v>
      </c>
      <c r="P34" s="738"/>
      <c r="Q34" s="738"/>
    </row>
    <row r="35" spans="2:17" ht="15.75" customHeight="1">
      <c r="B35" s="221" t="s">
        <v>409</v>
      </c>
      <c r="C35" s="231">
        <v>205800.60856192309</v>
      </c>
      <c r="D35" s="232">
        <v>209386.76501884614</v>
      </c>
      <c r="E35" s="232">
        <v>209759.10606153851</v>
      </c>
      <c r="F35" s="233">
        <f>+'PL USD'!H92</f>
        <v>205689.6146473077</v>
      </c>
      <c r="G35" s="232"/>
      <c r="H35" s="233"/>
      <c r="I35" s="233"/>
      <c r="J35" s="233"/>
      <c r="K35" s="233"/>
      <c r="L35" s="233"/>
      <c r="M35" s="233"/>
      <c r="N35" s="233"/>
      <c r="O35" s="717">
        <f>SUM(C35:N35)</f>
        <v>830636.0942896154</v>
      </c>
      <c r="P35" s="738">
        <f>F35</f>
        <v>205689.6146473077</v>
      </c>
      <c r="Q35" s="738"/>
    </row>
    <row r="36" spans="2:17" ht="15.75" customHeight="1" thickBot="1">
      <c r="B36" s="216" t="s">
        <v>0</v>
      </c>
      <c r="C36" s="234">
        <v>127490.34442307692</v>
      </c>
      <c r="D36" s="235">
        <v>128303.03096153846</v>
      </c>
      <c r="E36" s="235">
        <v>128722.54826923077</v>
      </c>
      <c r="F36" s="236">
        <f>+'PL USD'!H93</f>
        <v>133048.90023076924</v>
      </c>
      <c r="G36" s="235"/>
      <c r="H36" s="236"/>
      <c r="I36" s="236"/>
      <c r="J36" s="236"/>
      <c r="K36" s="236"/>
      <c r="L36" s="236"/>
      <c r="M36" s="236"/>
      <c r="N36" s="236"/>
      <c r="O36" s="718">
        <f>SUM(C36:N36)</f>
        <v>517564.82388461538</v>
      </c>
      <c r="P36" s="739">
        <f>F36</f>
        <v>133048.90023076924</v>
      </c>
      <c r="Q36" s="739"/>
    </row>
    <row r="37" spans="2:17" ht="20.100000000000001" customHeight="1">
      <c r="B37" s="237"/>
      <c r="C37" s="237"/>
      <c r="D37" s="237"/>
      <c r="E37" s="237"/>
      <c r="F37" s="237"/>
      <c r="G37" s="237"/>
      <c r="H37" s="237"/>
      <c r="I37" s="237"/>
      <c r="J37" s="237"/>
      <c r="K37" s="237"/>
      <c r="L37" s="237"/>
      <c r="M37" s="237"/>
      <c r="N37" s="237"/>
      <c r="O37" s="191"/>
      <c r="P37" s="191"/>
    </row>
    <row r="38" spans="2:17">
      <c r="B38" s="237"/>
      <c r="C38" s="239"/>
      <c r="D38" s="239"/>
      <c r="E38" s="239"/>
      <c r="F38" s="239"/>
      <c r="G38" s="239"/>
      <c r="H38" s="239"/>
      <c r="I38" s="239"/>
      <c r="J38" s="239"/>
      <c r="K38" s="239"/>
      <c r="L38" s="239"/>
      <c r="M38" s="239"/>
      <c r="N38" s="239"/>
      <c r="O38" s="239"/>
      <c r="P38" s="239"/>
    </row>
    <row r="39" spans="2:17">
      <c r="B39" s="237"/>
      <c r="C39" s="237"/>
      <c r="D39" s="237"/>
      <c r="E39" s="237"/>
      <c r="F39" s="237"/>
      <c r="G39" s="237"/>
      <c r="H39" s="238"/>
      <c r="I39" s="237"/>
      <c r="J39" s="237"/>
      <c r="K39" s="237"/>
      <c r="L39" s="237"/>
      <c r="M39" s="237"/>
      <c r="N39" s="237"/>
      <c r="O39" s="237"/>
      <c r="P39" s="237"/>
    </row>
    <row r="40" spans="2:17">
      <c r="B40" s="237"/>
      <c r="C40" s="237"/>
      <c r="D40" s="237"/>
      <c r="E40" s="237"/>
      <c r="F40" s="237"/>
      <c r="G40" s="237"/>
      <c r="H40" s="238"/>
      <c r="I40" s="237"/>
      <c r="J40" s="237"/>
      <c r="K40" s="239"/>
      <c r="L40" s="239"/>
      <c r="M40" s="239"/>
      <c r="N40" s="237"/>
      <c r="O40" s="237"/>
      <c r="P40" s="237"/>
    </row>
    <row r="41" spans="2:17">
      <c r="B41" s="237"/>
      <c r="C41" s="237"/>
      <c r="D41" s="237"/>
      <c r="E41" s="237"/>
      <c r="F41" s="237"/>
      <c r="G41" s="237"/>
      <c r="H41" s="238"/>
      <c r="I41" s="237"/>
      <c r="J41" s="237"/>
      <c r="K41" s="237"/>
      <c r="L41" s="237"/>
      <c r="M41" s="237"/>
      <c r="N41" s="237"/>
    </row>
    <row r="44" spans="2:17">
      <c r="O44" s="240"/>
      <c r="P44" s="240"/>
    </row>
  </sheetData>
  <phoneticPr fontId="93" type="noConversion"/>
  <pageMargins left="0.7" right="0.7" top="0.75" bottom="0.75" header="0.3" footer="0.3"/>
  <pageSetup paperSize="9" orientation="portrait" r:id="rId1"/>
  <customProperties>
    <customPr name="BudgetSheetCodeName"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103"/>
  <sheetViews>
    <sheetView zoomScale="85" zoomScaleNormal="85" zoomScaleSheetLayoutView="85" workbookViewId="0">
      <pane xSplit="4" ySplit="5" topLeftCell="E6" activePane="bottomRight" state="frozen"/>
      <selection activeCell="I85" sqref="I85"/>
      <selection pane="topRight" activeCell="I85" sqref="I85"/>
      <selection pane="bottomLeft" activeCell="I85" sqref="I85"/>
      <selection pane="bottomRight" activeCell="H26" sqref="H26"/>
    </sheetView>
  </sheetViews>
  <sheetFormatPr defaultColWidth="9.125" defaultRowHeight="16.5"/>
  <cols>
    <col min="1" max="1" width="0" style="1" hidden="1" customWidth="1"/>
    <col min="2" max="2" width="4.25" style="1" customWidth="1"/>
    <col min="3" max="3" width="36" style="1" customWidth="1"/>
    <col min="4" max="4" width="11.125" style="1" hidden="1" customWidth="1"/>
    <col min="5" max="5" width="16" style="1" customWidth="1"/>
    <col min="6" max="6" width="17" style="1" customWidth="1"/>
    <col min="7" max="7" width="17.875" style="1" customWidth="1"/>
    <col min="8" max="8" width="15.125" style="1" customWidth="1"/>
    <col min="9" max="9" width="15.125" style="1" hidden="1" customWidth="1"/>
    <col min="10" max="10" width="15.25" style="1" hidden="1" customWidth="1"/>
    <col min="11" max="11" width="15.625" style="1" hidden="1" customWidth="1"/>
    <col min="12" max="12" width="15.75" style="1" hidden="1" customWidth="1"/>
    <col min="13" max="13" width="15.875" style="1" hidden="1" customWidth="1"/>
    <col min="14" max="14" width="14.375" style="1" hidden="1" customWidth="1"/>
    <col min="15" max="15" width="15.875" style="1" hidden="1" customWidth="1"/>
    <col min="16" max="16" width="16.75" style="1" hidden="1" customWidth="1"/>
    <col min="17" max="17" width="13.375" style="1" customWidth="1"/>
    <col min="18" max="18" width="8.375" style="2" customWidth="1"/>
    <col min="19" max="20" width="13.25" style="1" customWidth="1"/>
    <col min="21" max="21" width="18.875" style="1" bestFit="1" customWidth="1"/>
    <col min="22" max="22" width="19.625" style="1" bestFit="1" customWidth="1"/>
    <col min="23" max="24" width="13.375" style="1" bestFit="1" customWidth="1"/>
    <col min="25" max="25" width="16.875" style="598" bestFit="1" customWidth="1"/>
    <col min="26" max="29" width="13.25" style="1" bestFit="1" customWidth="1"/>
    <col min="30" max="30" width="5.125" style="1" bestFit="1" customWidth="1"/>
    <col min="31" max="16384" width="9.125" style="1"/>
  </cols>
  <sheetData>
    <row r="1" spans="1:22" ht="20.25">
      <c r="A1" s="154" t="s">
        <v>147</v>
      </c>
      <c r="B1" s="154"/>
      <c r="C1" s="154" t="s">
        <v>147</v>
      </c>
    </row>
    <row r="2" spans="1:22" ht="17.25" thickBot="1">
      <c r="A2" s="153" t="s">
        <v>146</v>
      </c>
      <c r="B2" s="153"/>
      <c r="C2" s="153" t="s">
        <v>433</v>
      </c>
      <c r="D2" s="152">
        <v>25000</v>
      </c>
      <c r="E2" s="152">
        <v>25000</v>
      </c>
      <c r="F2" s="152">
        <v>25000</v>
      </c>
      <c r="G2" s="152">
        <v>25000</v>
      </c>
      <c r="H2" s="152">
        <v>25000</v>
      </c>
      <c r="I2" s="152">
        <v>25000</v>
      </c>
      <c r="J2" s="152">
        <v>25000</v>
      </c>
      <c r="K2" s="152">
        <v>25000</v>
      </c>
      <c r="L2" s="152">
        <v>25000</v>
      </c>
      <c r="M2" s="152">
        <v>25000</v>
      </c>
      <c r="N2" s="152">
        <v>25000</v>
      </c>
      <c r="O2" s="152">
        <v>25000</v>
      </c>
      <c r="P2" s="152">
        <v>25000</v>
      </c>
    </row>
    <row r="3" spans="1:22" ht="17.25" thickBot="1">
      <c r="D3" s="151" t="s">
        <v>134</v>
      </c>
      <c r="E3" s="151" t="s">
        <v>145</v>
      </c>
      <c r="F3" s="151" t="s">
        <v>144</v>
      </c>
      <c r="G3" s="151" t="s">
        <v>143</v>
      </c>
      <c r="H3" s="151" t="s">
        <v>142</v>
      </c>
      <c r="I3" s="151" t="s">
        <v>141</v>
      </c>
      <c r="J3" s="151" t="s">
        <v>140</v>
      </c>
      <c r="K3" s="151" t="s">
        <v>139</v>
      </c>
      <c r="L3" s="151" t="s">
        <v>138</v>
      </c>
      <c r="M3" s="151" t="s">
        <v>137</v>
      </c>
      <c r="N3" s="151" t="s">
        <v>136</v>
      </c>
      <c r="O3" s="151" t="s">
        <v>135</v>
      </c>
      <c r="P3" s="151" t="s">
        <v>134</v>
      </c>
      <c r="Q3" s="150">
        <v>4</v>
      </c>
      <c r="S3" s="149" t="s">
        <v>133</v>
      </c>
    </row>
    <row r="4" spans="1:22" ht="18" thickTop="1" thickBot="1">
      <c r="A4" s="148" t="s">
        <v>6</v>
      </c>
      <c r="B4" s="135"/>
      <c r="C4" s="147" t="s">
        <v>6</v>
      </c>
      <c r="D4" s="145">
        <v>45992</v>
      </c>
      <c r="E4" s="146" t="s">
        <v>420</v>
      </c>
      <c r="F4" s="146" t="s">
        <v>132</v>
      </c>
      <c r="G4" s="146" t="s">
        <v>131</v>
      </c>
      <c r="H4" s="146" t="s">
        <v>130</v>
      </c>
      <c r="I4" s="146" t="s">
        <v>129</v>
      </c>
      <c r="J4" s="145" t="s">
        <v>128</v>
      </c>
      <c r="K4" s="145" t="s">
        <v>127</v>
      </c>
      <c r="L4" s="145" t="s">
        <v>126</v>
      </c>
      <c r="M4" s="145" t="s">
        <v>125</v>
      </c>
      <c r="N4" s="145" t="s">
        <v>124</v>
      </c>
      <c r="O4" s="145" t="s">
        <v>123</v>
      </c>
      <c r="P4" s="145" t="s">
        <v>122</v>
      </c>
      <c r="Q4" s="144" t="s">
        <v>93</v>
      </c>
      <c r="R4" s="143" t="s">
        <v>92</v>
      </c>
      <c r="S4" s="142" t="s">
        <v>91</v>
      </c>
    </row>
    <row r="5" spans="1:22" ht="17.25" thickTop="1">
      <c r="A5" s="105" t="s">
        <v>121</v>
      </c>
      <c r="B5" s="135"/>
      <c r="C5" s="141" t="s">
        <v>120</v>
      </c>
      <c r="D5" s="384">
        <f t="shared" ref="D5" si="0">+D6+D7+D8</f>
        <v>4017516.5859423075</v>
      </c>
      <c r="E5" s="140">
        <f>+E6+E7+E8</f>
        <v>3646181.0735903853</v>
      </c>
      <c r="F5" s="139">
        <f>+F6+F7+F8</f>
        <v>3143831.3407169222</v>
      </c>
      <c r="G5" s="139">
        <f>+G9</f>
        <v>4096510.445292308</v>
      </c>
      <c r="H5" s="384">
        <f t="shared" ref="H5" si="1">+H6+H7+H8</f>
        <v>3294606.209265769</v>
      </c>
      <c r="I5" s="139"/>
      <c r="J5" s="139"/>
      <c r="K5" s="139"/>
      <c r="L5" s="139"/>
      <c r="M5" s="139"/>
      <c r="N5" s="139"/>
      <c r="O5" s="139"/>
      <c r="P5" s="384"/>
      <c r="Q5" s="138">
        <f ca="1">SUM(E5:OFFSET(E5,0,$Q$3-1))</f>
        <v>14181129.068865385</v>
      </c>
      <c r="R5" s="137"/>
      <c r="S5" s="136"/>
    </row>
    <row r="6" spans="1:22">
      <c r="A6" s="70" t="s">
        <v>119</v>
      </c>
      <c r="B6" s="135"/>
      <c r="C6" s="79" t="s">
        <v>118</v>
      </c>
      <c r="D6" s="78">
        <v>3823390.0356269232</v>
      </c>
      <c r="E6" s="78">
        <v>3468446.8610980776</v>
      </c>
      <c r="F6" s="7">
        <v>2951628.6418611533</v>
      </c>
      <c r="G6" s="7">
        <v>3887018.1585807693</v>
      </c>
      <c r="H6" s="78">
        <v>3055323.5491807689</v>
      </c>
      <c r="I6" s="7"/>
      <c r="J6" s="7"/>
      <c r="K6" s="7"/>
      <c r="L6" s="7"/>
      <c r="M6" s="7"/>
      <c r="N6" s="7"/>
      <c r="O6" s="7"/>
      <c r="P6" s="78"/>
      <c r="Q6" s="68">
        <f ca="1">SUM(E6:OFFSET(E6,0,$Q$3-1))</f>
        <v>13362417.210720768</v>
      </c>
      <c r="R6" s="67"/>
      <c r="S6" s="66">
        <f ca="1">AVERAGE(E6:OFFSET(E6,0,$Q$3-1))</f>
        <v>3340604.302680192</v>
      </c>
    </row>
    <row r="7" spans="1:22">
      <c r="A7" s="70" t="s">
        <v>117</v>
      </c>
      <c r="B7" s="135"/>
      <c r="C7" s="79" t="s">
        <v>116</v>
      </c>
      <c r="D7" s="78">
        <v>54436.812892307695</v>
      </c>
      <c r="E7" s="78">
        <v>56448.550030769235</v>
      </c>
      <c r="F7" s="7">
        <v>98973.046932692305</v>
      </c>
      <c r="G7" s="7">
        <v>64460.584942307694</v>
      </c>
      <c r="H7" s="78">
        <v>118084.66217307693</v>
      </c>
      <c r="I7" s="7"/>
      <c r="J7" s="7"/>
      <c r="K7" s="7"/>
      <c r="L7" s="7"/>
      <c r="M7" s="7"/>
      <c r="N7" s="7"/>
      <c r="O7" s="7"/>
      <c r="P7" s="78"/>
      <c r="Q7" s="68">
        <f ca="1">SUM(E7:OFFSET(E7,0,$Q$3-1))</f>
        <v>337966.84407884616</v>
      </c>
      <c r="R7" s="67"/>
      <c r="S7" s="66">
        <f ca="1">AVERAGE(E7:OFFSET(E7,0,$Q$3-1))</f>
        <v>84491.71101971154</v>
      </c>
    </row>
    <row r="8" spans="1:22">
      <c r="A8" s="70" t="s">
        <v>115</v>
      </c>
      <c r="B8" s="59"/>
      <c r="C8" s="79" t="s">
        <v>114</v>
      </c>
      <c r="D8" s="78">
        <v>139689.73742307693</v>
      </c>
      <c r="E8" s="78">
        <v>121285.66246153846</v>
      </c>
      <c r="F8" s="7">
        <v>93229.651923076919</v>
      </c>
      <c r="G8" s="7">
        <v>145031.70176923077</v>
      </c>
      <c r="H8" s="78">
        <v>121197.99791192308</v>
      </c>
      <c r="I8" s="7"/>
      <c r="J8" s="7"/>
      <c r="K8" s="7"/>
      <c r="L8" s="7"/>
      <c r="M8" s="7"/>
      <c r="N8" s="7"/>
      <c r="O8" s="7"/>
      <c r="P8" s="78"/>
      <c r="Q8" s="68">
        <f ca="1">SUM(E8:OFFSET(E8,0,$Q$3-1))</f>
        <v>480745.01406576927</v>
      </c>
      <c r="R8" s="67"/>
      <c r="S8" s="66">
        <f ca="1">AVERAGE(E8:OFFSET(E8,0,$Q$3-1))</f>
        <v>120186.25351644232</v>
      </c>
    </row>
    <row r="9" spans="1:22">
      <c r="A9" s="130" t="s">
        <v>6</v>
      </c>
      <c r="B9" s="59"/>
      <c r="C9" s="75" t="s">
        <v>113</v>
      </c>
      <c r="D9" s="78">
        <f t="shared" ref="D9" si="2">SUM(D6:D8)</f>
        <v>4017516.5859423075</v>
      </c>
      <c r="E9" s="78">
        <f t="shared" ref="E9:G9" si="3">SUM(E6:E8)</f>
        <v>3646181.0735903853</v>
      </c>
      <c r="F9" s="78">
        <f t="shared" si="3"/>
        <v>3143831.3407169222</v>
      </c>
      <c r="G9" s="78">
        <f t="shared" si="3"/>
        <v>4096510.445292308</v>
      </c>
      <c r="H9" s="78">
        <v>3294606.2092657695</v>
      </c>
      <c r="I9" s="7"/>
      <c r="J9" s="7"/>
      <c r="K9" s="7"/>
      <c r="L9" s="7"/>
      <c r="M9" s="7"/>
      <c r="N9" s="7"/>
      <c r="O9" s="7"/>
      <c r="P9" s="78"/>
      <c r="Q9" s="68">
        <f t="shared" ref="Q9" ca="1" si="4">SUM(Q6:Q8)</f>
        <v>14181129.068865383</v>
      </c>
      <c r="R9" s="134"/>
      <c r="S9" s="66">
        <f ca="1">AVERAGE(E9:OFFSET(E9,0,$Q$3-1))</f>
        <v>3545282.2672163462</v>
      </c>
    </row>
    <row r="10" spans="1:22">
      <c r="A10" s="105" t="s">
        <v>112</v>
      </c>
      <c r="B10" s="104"/>
      <c r="C10" s="80" t="s">
        <v>111</v>
      </c>
      <c r="D10" s="74">
        <v>3299928.2672170317</v>
      </c>
      <c r="E10" s="73">
        <v>2633553.6976375696</v>
      </c>
      <c r="F10" s="73">
        <v>2581808.6054122266</v>
      </c>
      <c r="G10" s="74">
        <v>3130898.2669767868</v>
      </c>
      <c r="H10" s="600">
        <v>2825043.3157365769</v>
      </c>
      <c r="I10" s="73"/>
      <c r="J10" s="73"/>
      <c r="K10" s="73"/>
      <c r="L10" s="73"/>
      <c r="M10" s="73"/>
      <c r="N10" s="73"/>
      <c r="O10" s="74"/>
      <c r="P10" s="74"/>
      <c r="Q10" s="133">
        <f ca="1">SUM(E10:OFFSET(E10,0,$Q$3-1))</f>
        <v>11171303.885763161</v>
      </c>
      <c r="R10" s="67"/>
      <c r="S10" s="66">
        <f ca="1">AVERAGE(E10:OFFSET(E10,0,$Q$3-1))</f>
        <v>2792825.9714407902</v>
      </c>
      <c r="T10" s="12"/>
      <c r="U10" s="12"/>
    </row>
    <row r="11" spans="1:22">
      <c r="A11" s="70" t="s">
        <v>110</v>
      </c>
      <c r="B11" s="59"/>
      <c r="C11" s="79" t="s">
        <v>109</v>
      </c>
      <c r="D11" s="78">
        <v>1454995.0399100154</v>
      </c>
      <c r="E11" s="78">
        <v>1552094.2664615384</v>
      </c>
      <c r="F11" s="78">
        <v>1685226.7098753653</v>
      </c>
      <c r="G11" s="7">
        <v>1326384.459539722</v>
      </c>
      <c r="H11" s="78">
        <v>846959.0975614026</v>
      </c>
      <c r="I11" s="7"/>
      <c r="J11" s="7"/>
      <c r="K11" s="7"/>
      <c r="L11" s="7"/>
      <c r="M11" s="7"/>
      <c r="N11" s="7"/>
      <c r="O11" s="78"/>
      <c r="P11" s="78"/>
      <c r="Q11" s="68">
        <f ca="1">SUM(E11:OFFSET(E11,0,$Q$3-1))</f>
        <v>5410664.5334380278</v>
      </c>
      <c r="R11" s="67"/>
      <c r="S11" s="66">
        <f ca="1">AVERAGE(E11:OFFSET(E11,0,$Q$3-1))</f>
        <v>1352666.133359507</v>
      </c>
      <c r="U11" s="41"/>
      <c r="V11" s="625"/>
    </row>
    <row r="12" spans="1:22">
      <c r="A12" s="70" t="s">
        <v>108</v>
      </c>
      <c r="B12" s="59"/>
      <c r="C12" s="79" t="s">
        <v>107</v>
      </c>
      <c r="D12" s="78">
        <v>3264245.8141471744</v>
      </c>
      <c r="E12" s="78">
        <v>2816146.9050389254</v>
      </c>
      <c r="F12" s="78">
        <v>2210773.1560438713</v>
      </c>
      <c r="G12" s="7">
        <v>2856536.481381957</v>
      </c>
      <c r="H12" s="78">
        <v>2717168.6991031002</v>
      </c>
      <c r="I12" s="7"/>
      <c r="J12" s="7"/>
      <c r="K12" s="7"/>
      <c r="L12" s="7"/>
      <c r="M12" s="7"/>
      <c r="N12" s="7"/>
      <c r="O12" s="78"/>
      <c r="P12" s="78"/>
      <c r="Q12" s="68">
        <f ca="1">SUM(E12:OFFSET(E12,0,$Q$3-1))</f>
        <v>10600625.241567854</v>
      </c>
      <c r="R12" s="67"/>
      <c r="S12" s="66">
        <f ca="1">AVERAGE(E12:OFFSET(E12,0,$Q$3-1))</f>
        <v>2650156.3103919635</v>
      </c>
      <c r="U12" s="41"/>
      <c r="V12" s="625"/>
    </row>
    <row r="13" spans="1:22">
      <c r="A13" s="70" t="s">
        <v>106</v>
      </c>
      <c r="B13" s="59"/>
      <c r="C13" s="79" t="s">
        <v>105</v>
      </c>
      <c r="D13" s="78">
        <v>1532520.8701243442</v>
      </c>
      <c r="E13" s="78">
        <v>1665118.0045688835</v>
      </c>
      <c r="F13" s="78">
        <v>1326384.459539722</v>
      </c>
      <c r="G13" s="7">
        <v>846959.0975614026</v>
      </c>
      <c r="H13" s="78">
        <v>808791.43194884446</v>
      </c>
      <c r="I13" s="7"/>
      <c r="J13" s="7"/>
      <c r="K13" s="7"/>
      <c r="L13" s="7"/>
      <c r="M13" s="7"/>
      <c r="N13" s="7"/>
      <c r="O13" s="78"/>
      <c r="P13" s="78"/>
      <c r="Q13" s="68">
        <f ca="1">SUM(E13:OFFSET(E13,0,$Q$3-1))</f>
        <v>4647252.9936188525</v>
      </c>
      <c r="R13" s="67"/>
      <c r="S13" s="66">
        <f ca="1">AVERAGE(E13:OFFSET(E13,0,$Q$3-1))</f>
        <v>1161813.2484047131</v>
      </c>
      <c r="U13" s="41"/>
      <c r="V13" s="625"/>
    </row>
    <row r="14" spans="1:22">
      <c r="A14" s="70" t="s">
        <v>104</v>
      </c>
      <c r="B14" s="59"/>
      <c r="C14" s="79" t="s">
        <v>103</v>
      </c>
      <c r="D14" s="78">
        <v>74475.206361108634</v>
      </c>
      <c r="E14" s="78">
        <v>14119.820973393133</v>
      </c>
      <c r="F14" s="78">
        <v>31288.489318204145</v>
      </c>
      <c r="G14" s="7">
        <v>-139435.40491364346</v>
      </c>
      <c r="H14" s="78">
        <v>-16440.74436405292</v>
      </c>
      <c r="I14" s="7"/>
      <c r="J14" s="7"/>
      <c r="K14" s="7"/>
      <c r="L14" s="7"/>
      <c r="M14" s="7"/>
      <c r="N14" s="7"/>
      <c r="O14" s="78"/>
      <c r="P14" s="78"/>
      <c r="Q14" s="68">
        <f ca="1">SUM(E14:OFFSET(E14,0,$Q$3-1))</f>
        <v>-110467.83898609912</v>
      </c>
      <c r="R14" s="67"/>
      <c r="S14" s="66">
        <f ca="1">AVERAGE(E14:OFFSET(E14,0,$Q$3-1))</f>
        <v>-27616.959746524779</v>
      </c>
      <c r="U14" s="41"/>
      <c r="V14" s="625"/>
    </row>
    <row r="15" spans="1:22">
      <c r="A15" s="70" t="s">
        <v>102</v>
      </c>
      <c r="B15" s="59"/>
      <c r="C15" s="79" t="s">
        <v>101</v>
      </c>
      <c r="D15" s="78">
        <v>38733.076923076922</v>
      </c>
      <c r="E15" s="78">
        <v>40113.886892072471</v>
      </c>
      <c r="F15" s="78">
        <v>75994.186538461538</v>
      </c>
      <c r="G15" s="7">
        <v>46740.305214081389</v>
      </c>
      <c r="H15" s="78">
        <v>86147.69538497155</v>
      </c>
      <c r="I15" s="7"/>
      <c r="J15" s="7"/>
      <c r="K15" s="7"/>
      <c r="L15" s="7"/>
      <c r="M15" s="7"/>
      <c r="N15" s="7"/>
      <c r="O15" s="78"/>
      <c r="P15" s="78"/>
      <c r="Q15" s="68">
        <f ca="1">SUM(E15:OFFSET(E15,0,$Q$3-1))</f>
        <v>248996.07402958698</v>
      </c>
      <c r="R15" s="67"/>
      <c r="S15" s="66">
        <f ca="1">AVERAGE(E15:OFFSET(E15,0,$Q$3-1))</f>
        <v>62249.018507396744</v>
      </c>
      <c r="U15" s="41"/>
      <c r="V15" s="625"/>
    </row>
    <row r="16" spans="1:22">
      <c r="A16" s="130" t="s">
        <v>6</v>
      </c>
      <c r="B16" s="59"/>
      <c r="C16" s="80" t="s">
        <v>100</v>
      </c>
      <c r="D16" s="74">
        <f t="shared" ref="D16" si="5">+D10</f>
        <v>3299928.2672170317</v>
      </c>
      <c r="E16" s="73">
        <f>+E10</f>
        <v>2633553.6976375696</v>
      </c>
      <c r="F16" s="73">
        <f>+F10</f>
        <v>2581808.6054122266</v>
      </c>
      <c r="G16" s="73">
        <f>+G10</f>
        <v>3130898.2669767868</v>
      </c>
      <c r="H16" s="73">
        <f>+H10</f>
        <v>2825043.3157365769</v>
      </c>
      <c r="I16" s="73"/>
      <c r="J16" s="73"/>
      <c r="K16" s="73"/>
      <c r="L16" s="73"/>
      <c r="M16" s="73"/>
      <c r="N16" s="73"/>
      <c r="O16" s="73"/>
      <c r="P16" s="74"/>
      <c r="Q16" s="133">
        <f t="shared" ref="Q16" ca="1" si="6">+Q10</f>
        <v>11171303.885763161</v>
      </c>
      <c r="R16" s="132"/>
      <c r="S16" s="131">
        <f ca="1">AVERAGE(E16:OFFSET(E16,0,$Q$3-1))</f>
        <v>2792825.9714407902</v>
      </c>
      <c r="V16" s="625"/>
    </row>
    <row r="17" spans="1:27">
      <c r="A17" s="130"/>
      <c r="B17" s="59"/>
      <c r="C17" s="129" t="s">
        <v>99</v>
      </c>
      <c r="D17" s="386">
        <v>227313.95831848122</v>
      </c>
      <c r="E17" s="386">
        <v>204746.19188154209</v>
      </c>
      <c r="F17" s="386">
        <f>2472326397.42279/26000</f>
        <v>95089.476823953461</v>
      </c>
      <c r="G17" s="386">
        <v>112368.47668392782</v>
      </c>
      <c r="H17" s="386"/>
      <c r="I17" s="128"/>
      <c r="J17" s="128"/>
      <c r="K17" s="128"/>
      <c r="L17" s="128"/>
      <c r="M17" s="128"/>
      <c r="N17" s="128"/>
      <c r="O17" s="128"/>
      <c r="P17" s="128"/>
      <c r="Q17" s="127">
        <f ca="1">SUM(E17:OFFSET(E17,0,$Q$3-1))</f>
        <v>412204.14538942336</v>
      </c>
      <c r="R17" s="126"/>
      <c r="S17" s="125">
        <f ca="1">AVERAGE(E17:OFFSET(E17,0,$Q$3-1))</f>
        <v>137401.38179647445</v>
      </c>
    </row>
    <row r="18" spans="1:27">
      <c r="A18" s="85" t="s">
        <v>6</v>
      </c>
      <c r="B18" s="59"/>
      <c r="C18" s="121" t="s">
        <v>98</v>
      </c>
      <c r="D18" s="119">
        <f t="shared" ref="D18" si="7">D5-D10</f>
        <v>717588.31872527581</v>
      </c>
      <c r="E18" s="119">
        <f t="shared" ref="E18:P18" si="8">E5-E10</f>
        <v>1012627.3759528156</v>
      </c>
      <c r="F18" s="119">
        <f t="shared" si="8"/>
        <v>562022.73530469555</v>
      </c>
      <c r="G18" s="119">
        <f t="shared" si="8"/>
        <v>965612.17831552122</v>
      </c>
      <c r="H18" s="119">
        <f t="shared" si="8"/>
        <v>469562.89352919208</v>
      </c>
      <c r="I18" s="119">
        <f t="shared" si="8"/>
        <v>0</v>
      </c>
      <c r="J18" s="119">
        <f t="shared" si="8"/>
        <v>0</v>
      </c>
      <c r="K18" s="119">
        <f t="shared" si="8"/>
        <v>0</v>
      </c>
      <c r="L18" s="119">
        <f t="shared" si="8"/>
        <v>0</v>
      </c>
      <c r="M18" s="119">
        <f t="shared" si="8"/>
        <v>0</v>
      </c>
      <c r="N18" s="119">
        <f t="shared" si="8"/>
        <v>0</v>
      </c>
      <c r="O18" s="119">
        <f t="shared" si="8"/>
        <v>0</v>
      </c>
      <c r="P18" s="119">
        <f t="shared" si="8"/>
        <v>0</v>
      </c>
      <c r="Q18" s="124">
        <f ca="1">Q5-Q10</f>
        <v>3009825.183102224</v>
      </c>
      <c r="R18" s="123">
        <f ca="1">+Q18/Q5</f>
        <v>0.21224157600471205</v>
      </c>
      <c r="S18" s="116">
        <f ca="1">AVERAGE(E18:OFFSET(E18,0,$Q$3-1))</f>
        <v>752456.29577555612</v>
      </c>
    </row>
    <row r="19" spans="1:27" s="106" customFormat="1">
      <c r="A19" s="122"/>
      <c r="B19" s="113"/>
      <c r="C19" s="121" t="s">
        <v>96</v>
      </c>
      <c r="D19" s="120">
        <f t="shared" ref="D19" si="9">+D18/D5</f>
        <v>0.17861489887464041</v>
      </c>
      <c r="E19" s="120">
        <f t="shared" ref="E19:F19" si="10">+E18/E5</f>
        <v>0.27772273387280899</v>
      </c>
      <c r="F19" s="120">
        <f t="shared" si="10"/>
        <v>0.17877000207540758</v>
      </c>
      <c r="G19" s="120">
        <f t="shared" ref="G19:H19" si="11">+G18/G5</f>
        <v>0.23571578571835416</v>
      </c>
      <c r="H19" s="120">
        <f t="shared" si="11"/>
        <v>0.14252474004589402</v>
      </c>
      <c r="I19" s="120"/>
      <c r="J19" s="120"/>
      <c r="K19" s="120"/>
      <c r="L19" s="120"/>
      <c r="M19" s="120"/>
      <c r="N19" s="120"/>
      <c r="O19" s="120"/>
      <c r="P19" s="120"/>
      <c r="Q19" s="118">
        <f ca="1">+Q18/Q5</f>
        <v>0.21224157600471205</v>
      </c>
      <c r="R19" s="117"/>
      <c r="S19" s="116"/>
      <c r="T19" s="1"/>
      <c r="U19" s="1"/>
      <c r="V19" s="1"/>
      <c r="W19" s="1"/>
      <c r="Y19" s="599"/>
    </row>
    <row r="20" spans="1:27">
      <c r="A20" s="85" t="s">
        <v>6</v>
      </c>
      <c r="B20" s="59"/>
      <c r="C20" s="112" t="s">
        <v>97</v>
      </c>
      <c r="D20" s="110">
        <f t="shared" ref="D20" si="12">+D9-D16-D17</f>
        <v>490274.36040679459</v>
      </c>
      <c r="E20" s="110">
        <f>+E9-E16-E17</f>
        <v>807881.18407127354</v>
      </c>
      <c r="F20" s="110">
        <f>+F9-F16-F17</f>
        <v>466933.25848074211</v>
      </c>
      <c r="G20" s="110">
        <f>+G9-G16-G17</f>
        <v>853243.7016315934</v>
      </c>
      <c r="H20" s="110">
        <f>+H9-H16-H17</f>
        <v>469562.89352919254</v>
      </c>
      <c r="I20" s="110"/>
      <c r="J20" s="110"/>
      <c r="K20" s="110"/>
      <c r="L20" s="110"/>
      <c r="M20" s="110"/>
      <c r="N20" s="110"/>
      <c r="O20" s="110"/>
      <c r="P20" s="110"/>
      <c r="Q20" s="115">
        <f ca="1">+Q9-Q16-Q17</f>
        <v>2597621.0377127989</v>
      </c>
      <c r="R20" s="108">
        <f ca="1">+Q20/Q5</f>
        <v>0.18317448667862885</v>
      </c>
      <c r="S20" s="107">
        <f ca="1">AVERAGE(E20:OFFSET(E20,0,$Q$3-1))</f>
        <v>649405.25942820043</v>
      </c>
    </row>
    <row r="21" spans="1:27" s="106" customFormat="1" ht="17.25" thickBot="1">
      <c r="A21" s="114"/>
      <c r="B21" s="113"/>
      <c r="C21" s="112" t="s">
        <v>96</v>
      </c>
      <c r="D21" s="111">
        <f t="shared" ref="D21" si="13">+D20/D5</f>
        <v>0.12203418453138778</v>
      </c>
      <c r="E21" s="111">
        <f t="shared" ref="E21:F21" si="14">+E20/E5</f>
        <v>0.22156913432600181</v>
      </c>
      <c r="F21" s="111">
        <f t="shared" si="14"/>
        <v>0.14852363497790635</v>
      </c>
      <c r="G21" s="111">
        <f t="shared" ref="G21:H21" si="15">+G20/G5</f>
        <v>0.20828549396526924</v>
      </c>
      <c r="H21" s="111">
        <f t="shared" si="15"/>
        <v>0.14252474004589416</v>
      </c>
      <c r="I21" s="111"/>
      <c r="J21" s="111"/>
      <c r="K21" s="111"/>
      <c r="L21" s="111"/>
      <c r="M21" s="111"/>
      <c r="N21" s="111"/>
      <c r="O21" s="111"/>
      <c r="P21" s="111"/>
      <c r="Q21" s="109">
        <f ca="1">+Q20/Q5</f>
        <v>0.18317448667862885</v>
      </c>
      <c r="R21" s="108"/>
      <c r="S21" s="107"/>
      <c r="T21" s="41"/>
      <c r="U21" s="41"/>
      <c r="V21" s="41"/>
      <c r="W21" s="41"/>
      <c r="Y21" s="599"/>
    </row>
    <row r="22" spans="1:27" ht="17.25" thickTop="1">
      <c r="A22" s="105" t="s">
        <v>95</v>
      </c>
      <c r="B22" s="104"/>
      <c r="C22" s="103" t="s">
        <v>94</v>
      </c>
      <c r="D22" s="466" t="s">
        <v>178</v>
      </c>
      <c r="E22" s="102" t="s">
        <v>420</v>
      </c>
      <c r="F22" s="102" t="s">
        <v>421</v>
      </c>
      <c r="G22" s="102" t="s">
        <v>422</v>
      </c>
      <c r="H22" s="102" t="s">
        <v>423</v>
      </c>
      <c r="I22" s="102" t="s">
        <v>424</v>
      </c>
      <c r="J22" s="102" t="s">
        <v>425</v>
      </c>
      <c r="K22" s="102" t="s">
        <v>426</v>
      </c>
      <c r="L22" s="314" t="s">
        <v>427</v>
      </c>
      <c r="M22" s="101" t="s">
        <v>428</v>
      </c>
      <c r="N22" s="101" t="s">
        <v>429</v>
      </c>
      <c r="O22" s="101" t="s">
        <v>430</v>
      </c>
      <c r="P22" s="385" t="s">
        <v>431</v>
      </c>
      <c r="Q22" s="100" t="s">
        <v>93</v>
      </c>
      <c r="R22" s="99" t="s">
        <v>92</v>
      </c>
      <c r="S22" s="98" t="s">
        <v>91</v>
      </c>
    </row>
    <row r="23" spans="1:27" ht="15.75" customHeight="1">
      <c r="A23" s="70" t="s">
        <v>90</v>
      </c>
      <c r="B23" s="59"/>
      <c r="C23" s="94" t="s">
        <v>57</v>
      </c>
      <c r="D23" s="467">
        <v>132527.42215384619</v>
      </c>
      <c r="E23" s="78">
        <v>111161.20369230768</v>
      </c>
      <c r="F23" s="78">
        <v>112429.81707692309</v>
      </c>
      <c r="G23" s="78">
        <v>112019.33357692306</v>
      </c>
      <c r="H23" s="78">
        <v>111093.03599999999</v>
      </c>
      <c r="I23" s="7"/>
      <c r="J23" s="7"/>
      <c r="K23" s="7"/>
      <c r="L23" s="78"/>
      <c r="M23" s="7"/>
      <c r="N23" s="7"/>
      <c r="O23" s="78"/>
      <c r="P23" s="78"/>
      <c r="Q23" s="68">
        <f ca="1">SUM(E23:OFFSET(E23,0,$Q$3-1))</f>
        <v>446703.39034615387</v>
      </c>
      <c r="R23" s="92">
        <f t="shared" ref="R23:R63" ca="1" si="16">+Q23/($Q$46+$Q$62)</f>
        <v>0.26919538276219895</v>
      </c>
      <c r="S23" s="66">
        <f ca="1">AVERAGE(E23:OFFSET(E23,0,$Q$3-1))</f>
        <v>111675.84758653847</v>
      </c>
      <c r="X23" s="41"/>
      <c r="Z23" s="41"/>
      <c r="AA23" s="41"/>
    </row>
    <row r="24" spans="1:27">
      <c r="A24" s="70" t="s">
        <v>89</v>
      </c>
      <c r="B24" s="59"/>
      <c r="C24" s="94" t="s">
        <v>56</v>
      </c>
      <c r="D24" s="467">
        <v>21448.982711538469</v>
      </c>
      <c r="E24" s="78">
        <v>7760.4778846153849</v>
      </c>
      <c r="F24" s="78">
        <v>9958.0507692307729</v>
      </c>
      <c r="G24" s="78">
        <v>8847.4436923076955</v>
      </c>
      <c r="H24" s="603">
        <v>13127.860153846163</v>
      </c>
      <c r="I24" s="7"/>
      <c r="J24" s="7"/>
      <c r="K24" s="7"/>
      <c r="L24" s="78"/>
      <c r="M24" s="7"/>
      <c r="N24" s="7"/>
      <c r="O24" s="78"/>
      <c r="P24" s="78"/>
      <c r="Q24" s="68">
        <f ca="1">SUM(E24:OFFSET(E24,0,$Q$3-1))</f>
        <v>39693.832500000019</v>
      </c>
      <c r="R24" s="92">
        <f t="shared" ca="1" si="16"/>
        <v>2.3920562646403739E-2</v>
      </c>
      <c r="S24" s="66">
        <f ca="1">AVERAGE(E24:OFFSET(E24,0,$Q$3-1))</f>
        <v>9923.4581250000047</v>
      </c>
    </row>
    <row r="25" spans="1:27">
      <c r="A25" s="70" t="s">
        <v>88</v>
      </c>
      <c r="B25" s="59"/>
      <c r="C25" s="94" t="s">
        <v>55</v>
      </c>
      <c r="D25" s="467">
        <v>1642.5093461538463</v>
      </c>
      <c r="E25" s="78">
        <v>3053.3860384615386</v>
      </c>
      <c r="F25" s="78">
        <v>9733.6692692307697</v>
      </c>
      <c r="G25" s="381">
        <v>-3304.3546923076919</v>
      </c>
      <c r="H25" s="78">
        <v>760.4723076923076</v>
      </c>
      <c r="I25" s="7"/>
      <c r="J25" s="7"/>
      <c r="K25" s="7"/>
      <c r="L25" s="78"/>
      <c r="M25" s="7"/>
      <c r="N25" s="7"/>
      <c r="O25" s="78"/>
      <c r="P25" s="78"/>
      <c r="Q25" s="68">
        <f ca="1">SUM(E25:OFFSET(E25,0,$Q$3-1))</f>
        <v>10243.172923076923</v>
      </c>
      <c r="R25" s="92">
        <f t="shared" ca="1" si="16"/>
        <v>6.1728093301247232E-3</v>
      </c>
      <c r="S25" s="66">
        <f ca="1">AVERAGE(E25:OFFSET(E25,0,$Q$3-1))</f>
        <v>2560.7932307692308</v>
      </c>
    </row>
    <row r="26" spans="1:27">
      <c r="A26" s="70" t="s">
        <v>87</v>
      </c>
      <c r="B26" s="59"/>
      <c r="C26" s="94" t="s">
        <v>54</v>
      </c>
      <c r="D26" s="467">
        <v>51957.064884615414</v>
      </c>
      <c r="E26" s="78">
        <v>59898.606269230746</v>
      </c>
      <c r="F26" s="78">
        <v>35460.457423076994</v>
      </c>
      <c r="G26" s="78">
        <v>43152.635807692175</v>
      </c>
      <c r="H26" s="381">
        <v>68193.467346153819</v>
      </c>
      <c r="I26" s="7"/>
      <c r="J26" s="7"/>
      <c r="K26" s="7"/>
      <c r="L26" s="78"/>
      <c r="M26" s="7"/>
      <c r="N26" s="7"/>
      <c r="O26" s="78"/>
      <c r="P26" s="78"/>
      <c r="Q26" s="68">
        <f ca="1">SUM(E26:OFFSET(E26,0,$Q$3-1))</f>
        <v>206705.16684615373</v>
      </c>
      <c r="R26" s="92">
        <f t="shared" ca="1" si="16"/>
        <v>0.124566049218824</v>
      </c>
      <c r="S26" s="66">
        <f ca="1">AVERAGE(E26:OFFSET(E26,0,$Q$3-1))</f>
        <v>51676.291711538433</v>
      </c>
      <c r="T26" s="41"/>
    </row>
    <row r="27" spans="1:27">
      <c r="A27" s="70" t="s">
        <v>86</v>
      </c>
      <c r="B27" s="59"/>
      <c r="C27" s="94" t="s">
        <v>53</v>
      </c>
      <c r="D27" s="467">
        <v>519.93511923076937</v>
      </c>
      <c r="E27" s="78">
        <v>504.55728346153842</v>
      </c>
      <c r="F27" s="78">
        <v>468.64223076923076</v>
      </c>
      <c r="G27" s="78">
        <v>552.98807692307696</v>
      </c>
      <c r="H27" s="78">
        <v>513.33261538461534</v>
      </c>
      <c r="I27" s="7"/>
      <c r="J27" s="7"/>
      <c r="K27" s="7"/>
      <c r="L27" s="78"/>
      <c r="M27" s="7"/>
      <c r="N27" s="7"/>
      <c r="O27" s="78"/>
      <c r="P27" s="78"/>
      <c r="Q27" s="68">
        <f ca="1">SUM(E27:OFFSET(E27,0,$Q$3-1))</f>
        <v>2039.5202065384615</v>
      </c>
      <c r="R27" s="92">
        <f t="shared" ca="1" si="16"/>
        <v>1.2290692985896371E-3</v>
      </c>
      <c r="S27" s="66">
        <f ca="1">AVERAGE(E27:OFFSET(E27,0,$Q$3-1))</f>
        <v>509.88005163461537</v>
      </c>
    </row>
    <row r="28" spans="1:27">
      <c r="A28" s="70" t="s">
        <v>85</v>
      </c>
      <c r="B28" s="59"/>
      <c r="C28" s="94" t="s">
        <v>84</v>
      </c>
      <c r="D28" s="467">
        <v>5811.0830384615374</v>
      </c>
      <c r="E28" s="78">
        <v>2273.363038461539</v>
      </c>
      <c r="F28" s="78">
        <v>3631.2689230769192</v>
      </c>
      <c r="G28" s="78">
        <v>3247.2722307692311</v>
      </c>
      <c r="H28" s="78">
        <v>4612.3829615384639</v>
      </c>
      <c r="I28" s="7"/>
      <c r="J28" s="7"/>
      <c r="K28" s="7"/>
      <c r="L28" s="78"/>
      <c r="M28" s="7"/>
      <c r="N28" s="7"/>
      <c r="O28" s="78"/>
      <c r="P28" s="78"/>
      <c r="Q28" s="68">
        <f ca="1">SUM(E28:OFFSET(E28,0,$Q$3-1))</f>
        <v>13764.287153846153</v>
      </c>
      <c r="R28" s="92">
        <f t="shared" ca="1" si="16"/>
        <v>8.2947267222601134E-3</v>
      </c>
      <c r="S28" s="66">
        <f ca="1">AVERAGE(E28:OFFSET(E28,0,$Q$3-1))</f>
        <v>3441.0717884615383</v>
      </c>
    </row>
    <row r="29" spans="1:27">
      <c r="A29" s="70" t="s">
        <v>83</v>
      </c>
      <c r="B29" s="59"/>
      <c r="C29" s="94" t="s">
        <v>82</v>
      </c>
      <c r="D29" s="467">
        <v>30004.385330000001</v>
      </c>
      <c r="E29" s="78">
        <v>10398.846153846154</v>
      </c>
      <c r="F29" s="78">
        <v>0</v>
      </c>
      <c r="G29" s="78">
        <v>10140</v>
      </c>
      <c r="H29" s="78">
        <v>10318.788461538461</v>
      </c>
      <c r="I29" s="7"/>
      <c r="J29" s="7"/>
      <c r="K29" s="7"/>
      <c r="L29" s="78"/>
      <c r="M29" s="7"/>
      <c r="N29" s="7"/>
      <c r="O29" s="78"/>
      <c r="P29" s="78"/>
      <c r="Q29" s="68">
        <f ca="1">SUM(E29:OFFSET(E29,0,$Q$3-1))</f>
        <v>30857.634615384617</v>
      </c>
      <c r="R29" s="92">
        <f t="shared" ca="1" si="16"/>
        <v>1.8595634017882855E-2</v>
      </c>
      <c r="S29" s="66">
        <f ca="1">AVERAGE(E29:OFFSET(E29,0,$Q$3-1))</f>
        <v>7714.4086538461543</v>
      </c>
    </row>
    <row r="30" spans="1:27">
      <c r="A30" s="70" t="s">
        <v>81</v>
      </c>
      <c r="B30" s="59"/>
      <c r="C30" s="94" t="s">
        <v>52</v>
      </c>
      <c r="D30" s="467">
        <v>3917.9304615384617</v>
      </c>
      <c r="E30" s="78">
        <v>5199.2401923076923</v>
      </c>
      <c r="F30" s="78">
        <v>2290.5982692307689</v>
      </c>
      <c r="G30" s="78">
        <v>7317.3775000000014</v>
      </c>
      <c r="H30" s="78">
        <v>4768.2416153846152</v>
      </c>
      <c r="I30" s="7"/>
      <c r="J30" s="7"/>
      <c r="K30" s="7"/>
      <c r="L30" s="78"/>
      <c r="M30" s="7"/>
      <c r="N30" s="7"/>
      <c r="O30" s="78"/>
      <c r="P30" s="78"/>
      <c r="Q30" s="68">
        <f ca="1">SUM(E30:OFFSET(E30,0,$Q$3-1))</f>
        <v>19575.45757692308</v>
      </c>
      <c r="R30" s="92">
        <f t="shared" ca="1" si="16"/>
        <v>1.1796693083259398E-2</v>
      </c>
      <c r="S30" s="66">
        <f ca="1">AVERAGE(E30:OFFSET(E30,0,$Q$3-1))</f>
        <v>4893.8643942307699</v>
      </c>
    </row>
    <row r="31" spans="1:27">
      <c r="A31" s="70" t="s">
        <v>80</v>
      </c>
      <c r="B31" s="59"/>
      <c r="C31" s="94" t="s">
        <v>51</v>
      </c>
      <c r="D31" s="467">
        <v>9646.49873076923</v>
      </c>
      <c r="E31" s="78">
        <v>6865.1065769230772</v>
      </c>
      <c r="F31" s="78">
        <v>8327.2716346153829</v>
      </c>
      <c r="G31" s="78">
        <v>8229.7944230769226</v>
      </c>
      <c r="H31" s="78">
        <v>8579.3791153846159</v>
      </c>
      <c r="I31" s="7"/>
      <c r="J31" s="7"/>
      <c r="K31" s="7"/>
      <c r="L31" s="78"/>
      <c r="M31" s="7"/>
      <c r="N31" s="7"/>
      <c r="O31" s="78"/>
      <c r="P31" s="78"/>
      <c r="Q31" s="68">
        <f ca="1">SUM(E31:OFFSET(E31,0,$Q$3-1))</f>
        <v>32001.551749999999</v>
      </c>
      <c r="R31" s="92">
        <f t="shared" ca="1" si="16"/>
        <v>1.9284989007247056E-2</v>
      </c>
      <c r="S31" s="66">
        <f ca="1">AVERAGE(E31:OFFSET(E31,0,$Q$3-1))</f>
        <v>8000.3879374999997</v>
      </c>
    </row>
    <row r="32" spans="1:27">
      <c r="A32" s="70" t="s">
        <v>79</v>
      </c>
      <c r="B32" s="59"/>
      <c r="C32" s="94" t="s">
        <v>78</v>
      </c>
      <c r="D32" s="467">
        <v>6084.5</v>
      </c>
      <c r="E32" s="78">
        <v>4902.4552307692311</v>
      </c>
      <c r="F32" s="78">
        <v>4071.9849230769232</v>
      </c>
      <c r="G32" s="78">
        <v>4346.3260769230774</v>
      </c>
      <c r="H32" s="78">
        <v>4928.6418461538469</v>
      </c>
      <c r="I32" s="7"/>
      <c r="J32" s="7"/>
      <c r="K32" s="7"/>
      <c r="L32" s="78"/>
      <c r="M32" s="7"/>
      <c r="N32" s="7"/>
      <c r="O32" s="78"/>
      <c r="P32" s="78"/>
      <c r="Q32" s="68">
        <f ca="1">SUM(E32:OFFSET(E32,0,$Q$3-1))</f>
        <v>18249.408076923079</v>
      </c>
      <c r="R32" s="92">
        <f t="shared" ca="1" si="16"/>
        <v>1.0997580270532575E-2</v>
      </c>
      <c r="S32" s="66">
        <f ca="1">AVERAGE(E32:OFFSET(E32,0,$Q$3-1))</f>
        <v>4562.3520192307697</v>
      </c>
    </row>
    <row r="33" spans="1:20">
      <c r="A33" s="70" t="s">
        <v>77</v>
      </c>
      <c r="B33" s="59"/>
      <c r="C33" s="94" t="s">
        <v>76</v>
      </c>
      <c r="D33" s="467">
        <v>39635.471312692302</v>
      </c>
      <c r="E33" s="78">
        <v>43561.063323076924</v>
      </c>
      <c r="F33" s="78">
        <v>40420.792338461542</v>
      </c>
      <c r="G33" s="78">
        <v>41677.70440269231</v>
      </c>
      <c r="H33" s="381">
        <v>56755.040535384614</v>
      </c>
      <c r="I33" s="7"/>
      <c r="J33" s="7"/>
      <c r="K33" s="7"/>
      <c r="L33" s="78"/>
      <c r="M33" s="7"/>
      <c r="N33" s="7"/>
      <c r="O33" s="78"/>
      <c r="P33" s="78"/>
      <c r="Q33" s="68">
        <f ca="1">SUM(E33:OFFSET(E33,0,$Q$3-1))</f>
        <v>182414.60059961537</v>
      </c>
      <c r="R33" s="92">
        <f t="shared" ca="1" si="16"/>
        <v>0.10992790583428332</v>
      </c>
      <c r="S33" s="66">
        <f ca="1">AVERAGE(E33:OFFSET(E33,0,$Q$3-1))</f>
        <v>45603.650149903842</v>
      </c>
    </row>
    <row r="34" spans="1:20">
      <c r="A34" s="70" t="s">
        <v>75</v>
      </c>
      <c r="B34" s="59"/>
      <c r="C34" s="94" t="s">
        <v>74</v>
      </c>
      <c r="D34" s="467">
        <v>41246.381651153839</v>
      </c>
      <c r="E34" s="78">
        <v>54131.264899999995</v>
      </c>
      <c r="F34" s="78">
        <v>65976.920053846159</v>
      </c>
      <c r="G34" s="78">
        <v>66618.488766538459</v>
      </c>
      <c r="H34" s="78">
        <v>48253.841636923076</v>
      </c>
      <c r="I34" s="7"/>
      <c r="J34" s="7"/>
      <c r="K34" s="7"/>
      <c r="L34" s="78"/>
      <c r="M34" s="7"/>
      <c r="N34" s="7"/>
      <c r="O34" s="78"/>
      <c r="P34" s="78"/>
      <c r="Q34" s="68">
        <f ca="1">SUM(E34:OFFSET(E34,0,$Q$3-1))</f>
        <v>234980.51535730768</v>
      </c>
      <c r="R34" s="92">
        <f t="shared" ca="1" si="16"/>
        <v>0.14160552872511648</v>
      </c>
      <c r="S34" s="66">
        <f ca="1">AVERAGE(E34:OFFSET(E34,0,$Q$3-1))</f>
        <v>58745.128839326921</v>
      </c>
    </row>
    <row r="35" spans="1:20">
      <c r="A35" s="70" t="s">
        <v>73</v>
      </c>
      <c r="B35" s="59"/>
      <c r="C35" s="94" t="s">
        <v>50</v>
      </c>
      <c r="D35" s="467">
        <v>7743.5878557736078</v>
      </c>
      <c r="E35" s="78">
        <v>11418.360219447226</v>
      </c>
      <c r="F35" s="78">
        <v>5086.4433425938905</v>
      </c>
      <c r="G35" s="78">
        <v>6943.2808697343753</v>
      </c>
      <c r="H35" s="78">
        <v>2513.2909496242196</v>
      </c>
      <c r="I35" s="7"/>
      <c r="J35" s="7"/>
      <c r="K35" s="7"/>
      <c r="L35" s="78"/>
      <c r="M35" s="7"/>
      <c r="N35" s="7"/>
      <c r="O35" s="78"/>
      <c r="P35" s="78"/>
      <c r="Q35" s="68">
        <f ca="1">SUM(E35:OFFSET(E35,0,$Q$3-1))</f>
        <v>25961.375381399714</v>
      </c>
      <c r="R35" s="92">
        <f t="shared" ca="1" si="16"/>
        <v>1.5645017552728763E-2</v>
      </c>
      <c r="S35" s="66">
        <f ca="1">AVERAGE(E35:OFFSET(E35,0,$Q$3-1))</f>
        <v>6490.3438453499284</v>
      </c>
    </row>
    <row r="36" spans="1:20">
      <c r="A36" s="70" t="s">
        <v>72</v>
      </c>
      <c r="B36" s="59"/>
      <c r="C36" s="94" t="s">
        <v>1</v>
      </c>
      <c r="D36" s="467">
        <v>12366.184116923077</v>
      </c>
      <c r="E36" s="78">
        <v>11236.376424999999</v>
      </c>
      <c r="F36" s="78">
        <v>12289.489978076923</v>
      </c>
      <c r="G36" s="78">
        <v>8550.0057599999982</v>
      </c>
      <c r="H36" s="78">
        <v>8550.00576</v>
      </c>
      <c r="I36" s="7"/>
      <c r="J36" s="7"/>
      <c r="K36" s="7"/>
      <c r="L36" s="78"/>
      <c r="M36" s="7"/>
      <c r="N36" s="7"/>
      <c r="O36" s="78"/>
      <c r="P36" s="78"/>
      <c r="Q36" s="68">
        <f ca="1">SUM(E36:OFFSET(E36,0,$Q$3-1))</f>
        <v>40625.877923076921</v>
      </c>
      <c r="R36" s="92">
        <f t="shared" ca="1" si="16"/>
        <v>2.4482238088854528E-2</v>
      </c>
      <c r="S36" s="66">
        <f ca="1">AVERAGE(E36:OFFSET(E36,0,$Q$3-1))</f>
        <v>10156.46948076923</v>
      </c>
    </row>
    <row r="37" spans="1:20">
      <c r="A37" s="70" t="s">
        <v>71</v>
      </c>
      <c r="B37" s="59"/>
      <c r="C37" s="94" t="s">
        <v>0</v>
      </c>
      <c r="D37" s="467">
        <v>1748.9993076923076</v>
      </c>
      <c r="E37" s="78">
        <v>1956.210846153846</v>
      </c>
      <c r="F37" s="78">
        <v>3018.6488846153843</v>
      </c>
      <c r="G37" s="78">
        <v>1158.2439999999999</v>
      </c>
      <c r="H37" s="78">
        <v>2117.8534999999997</v>
      </c>
      <c r="I37" s="7"/>
      <c r="J37" s="7"/>
      <c r="K37" s="7"/>
      <c r="L37" s="78"/>
      <c r="M37" s="7"/>
      <c r="N37" s="7"/>
      <c r="O37" s="78"/>
      <c r="P37" s="78"/>
      <c r="Q37" s="68">
        <f ca="1">SUM(E37:OFFSET(E37,0,$Q$3-1))</f>
        <v>8250.9572307692306</v>
      </c>
      <c r="R37" s="92">
        <f t="shared" ca="1" si="16"/>
        <v>4.972246994074286E-3</v>
      </c>
      <c r="S37" s="66">
        <f ca="1">AVERAGE(E37:OFFSET(E37,0,$Q$3-1))</f>
        <v>2062.7393076923076</v>
      </c>
    </row>
    <row r="38" spans="1:20">
      <c r="A38" s="70" t="s">
        <v>70</v>
      </c>
      <c r="B38" s="59"/>
      <c r="C38" s="94" t="s">
        <v>49</v>
      </c>
      <c r="D38" s="467">
        <v>783.92646538461531</v>
      </c>
      <c r="E38" s="78">
        <v>2110.4423076923076</v>
      </c>
      <c r="F38" s="78">
        <v>2456.9769230769234</v>
      </c>
      <c r="G38" s="78">
        <v>1761.1771923076922</v>
      </c>
      <c r="H38" s="78">
        <v>329.8692307692308</v>
      </c>
      <c r="I38" s="7"/>
      <c r="J38" s="7"/>
      <c r="K38" s="7"/>
      <c r="L38" s="78"/>
      <c r="M38" s="7"/>
      <c r="N38" s="7"/>
      <c r="O38" s="78"/>
      <c r="P38" s="78"/>
      <c r="Q38" s="68">
        <f ca="1">SUM(E38:OFFSET(E38,0,$Q$3-1))</f>
        <v>6658.4656538461541</v>
      </c>
      <c r="R38" s="92">
        <f t="shared" ca="1" si="16"/>
        <v>4.0125690761091031E-3</v>
      </c>
      <c r="S38" s="66">
        <f ca="1">AVERAGE(E38:OFFSET(E38,0,$Q$3-1))</f>
        <v>1664.6164134615385</v>
      </c>
    </row>
    <row r="39" spans="1:20">
      <c r="A39" s="70" t="s">
        <v>69</v>
      </c>
      <c r="B39" s="59"/>
      <c r="C39" s="94" t="s">
        <v>68</v>
      </c>
      <c r="D39" s="467">
        <v>546.98111538461546</v>
      </c>
      <c r="E39" s="78">
        <v>546.98111538461535</v>
      </c>
      <c r="F39" s="78">
        <v>511.83023076923081</v>
      </c>
      <c r="G39" s="78">
        <v>473.43788461538463</v>
      </c>
      <c r="H39" s="78">
        <v>473.43788461538463</v>
      </c>
      <c r="I39" s="7"/>
      <c r="J39" s="7"/>
      <c r="K39" s="7"/>
      <c r="L39" s="78"/>
      <c r="M39" s="7"/>
      <c r="N39" s="7"/>
      <c r="O39" s="78"/>
      <c r="P39" s="78"/>
      <c r="Q39" s="68">
        <f ca="1">SUM(E39:OFFSET(E39,0,$Q$3-1))</f>
        <v>2005.6871153846155</v>
      </c>
      <c r="R39" s="92">
        <f t="shared" ca="1" si="16"/>
        <v>1.2086805750652189E-3</v>
      </c>
      <c r="S39" s="66">
        <f ca="1">AVERAGE(E39:OFFSET(E39,0,$Q$3-1))</f>
        <v>501.42177884615387</v>
      </c>
    </row>
    <row r="40" spans="1:20">
      <c r="A40" s="70" t="s">
        <v>67</v>
      </c>
      <c r="B40" s="59"/>
      <c r="C40" s="94" t="s">
        <v>66</v>
      </c>
      <c r="D40" s="467">
        <v>914.20673076923072</v>
      </c>
      <c r="E40" s="78">
        <v>634.90384615384619</v>
      </c>
      <c r="F40" s="78">
        <v>755.19230769230774</v>
      </c>
      <c r="G40" s="78">
        <v>721.44230769230774</v>
      </c>
      <c r="H40" s="78">
        <v>786.05769230769226</v>
      </c>
      <c r="I40" s="7"/>
      <c r="J40" s="7"/>
      <c r="K40" s="7"/>
      <c r="L40" s="78"/>
      <c r="M40" s="7"/>
      <c r="N40" s="7"/>
      <c r="O40" s="78"/>
      <c r="P40" s="78"/>
      <c r="Q40" s="68">
        <f ca="1">SUM(E40:OFFSET(E40,0,$Q$3-1))</f>
        <v>2897.5961538461538</v>
      </c>
      <c r="R40" s="92">
        <f t="shared" ca="1" si="16"/>
        <v>1.7461687611559156E-3</v>
      </c>
      <c r="S40" s="66">
        <f ca="1">AVERAGE(E40:OFFSET(E40,0,$Q$3-1))</f>
        <v>724.39903846153845</v>
      </c>
    </row>
    <row r="41" spans="1:20">
      <c r="A41" s="70" t="s">
        <v>65</v>
      </c>
      <c r="B41" s="59"/>
      <c r="C41" s="94" t="s">
        <v>48</v>
      </c>
      <c r="D41" s="467">
        <v>257.08973076923075</v>
      </c>
      <c r="E41" s="78">
        <v>0</v>
      </c>
      <c r="F41" s="78">
        <v>0</v>
      </c>
      <c r="G41" s="78">
        <v>0</v>
      </c>
      <c r="H41" s="78">
        <v>323.91026923076925</v>
      </c>
      <c r="I41" s="7"/>
      <c r="J41" s="7"/>
      <c r="K41" s="7"/>
      <c r="L41" s="78"/>
      <c r="M41" s="7"/>
      <c r="N41" s="7"/>
      <c r="O41" s="78"/>
      <c r="P41" s="78"/>
      <c r="Q41" s="68">
        <f ca="1">SUM(E41:OFFSET(E41,0,$Q$3-1))</f>
        <v>323.91026923076925</v>
      </c>
      <c r="R41" s="92">
        <f t="shared" ca="1" si="16"/>
        <v>1.9519697139217066E-4</v>
      </c>
      <c r="S41" s="66">
        <f ca="1">AVERAGE(E41:OFFSET(E41,0,$Q$3-1))</f>
        <v>80.977567307692311</v>
      </c>
    </row>
    <row r="42" spans="1:20">
      <c r="A42" s="70" t="s">
        <v>64</v>
      </c>
      <c r="B42" s="59"/>
      <c r="C42" s="94" t="s">
        <v>63</v>
      </c>
      <c r="D42" s="467">
        <v>10319.341884615385</v>
      </c>
      <c r="E42" s="78">
        <v>1708.1549538461538</v>
      </c>
      <c r="F42" s="78">
        <v>1848.9886711538461</v>
      </c>
      <c r="G42" s="78">
        <v>1927.2266919230767</v>
      </c>
      <c r="H42" s="78">
        <v>1962.3210807692308</v>
      </c>
      <c r="I42" s="7"/>
      <c r="J42" s="7"/>
      <c r="K42" s="7"/>
      <c r="L42" s="78"/>
      <c r="M42" s="7"/>
      <c r="N42" s="7"/>
      <c r="O42" s="78"/>
      <c r="P42" s="78"/>
      <c r="Q42" s="68">
        <f ca="1">SUM(E42:OFFSET(E42,0,$Q$3-1))</f>
        <v>7446.6913976923079</v>
      </c>
      <c r="R42" s="92">
        <f t="shared" ca="1" si="16"/>
        <v>4.4875749422012756E-3</v>
      </c>
      <c r="S42" s="66">
        <f ca="1">AVERAGE(E42:OFFSET(E42,0,$Q$3-1))</f>
        <v>1861.672849423077</v>
      </c>
    </row>
    <row r="43" spans="1:20">
      <c r="A43" s="70" t="s">
        <v>62</v>
      </c>
      <c r="B43" s="59"/>
      <c r="C43" s="94" t="s">
        <v>47</v>
      </c>
      <c r="D43" s="467">
        <v>7703.2868461538455</v>
      </c>
      <c r="E43" s="78">
        <v>6170.6083076923078</v>
      </c>
      <c r="F43" s="78">
        <v>3207.1877307692307</v>
      </c>
      <c r="G43" s="78">
        <v>10287.61803846154</v>
      </c>
      <c r="H43" s="78">
        <v>4722.9717307692317</v>
      </c>
      <c r="I43" s="7"/>
      <c r="J43" s="7"/>
      <c r="K43" s="7"/>
      <c r="L43" s="78"/>
      <c r="M43" s="7"/>
      <c r="N43" s="7"/>
      <c r="O43" s="78"/>
      <c r="P43" s="78"/>
      <c r="Q43" s="68">
        <f ca="1">SUM(E43:OFFSET(E43,0,$Q$3-1))</f>
        <v>24388.385807692313</v>
      </c>
      <c r="R43" s="92">
        <f t="shared" ca="1" si="16"/>
        <v>1.4697092062288709E-2</v>
      </c>
      <c r="S43" s="66">
        <f ca="1">AVERAGE(E43:OFFSET(E43,0,$Q$3-1))</f>
        <v>6097.0964519230783</v>
      </c>
    </row>
    <row r="44" spans="1:20">
      <c r="A44" s="70" t="s">
        <v>61</v>
      </c>
      <c r="B44" s="59"/>
      <c r="C44" s="94" t="s">
        <v>60</v>
      </c>
      <c r="D44" s="467">
        <v>786.82719230769226</v>
      </c>
      <c r="E44" s="78">
        <v>0</v>
      </c>
      <c r="F44" s="78">
        <v>0</v>
      </c>
      <c r="G44" s="78">
        <v>37.743615384615381</v>
      </c>
      <c r="H44" s="78">
        <v>0</v>
      </c>
      <c r="I44" s="7"/>
      <c r="J44" s="7"/>
      <c r="K44" s="7"/>
      <c r="L44" s="78"/>
      <c r="M44" s="7"/>
      <c r="N44" s="7"/>
      <c r="O44" s="78"/>
      <c r="P44" s="78"/>
      <c r="Q44" s="68">
        <f ca="1">SUM(E44:OFFSET(E44,0,$Q$3-1))</f>
        <v>37.743615384615381</v>
      </c>
      <c r="R44" s="92">
        <f t="shared" ca="1" si="16"/>
        <v>2.2745309773488358E-5</v>
      </c>
      <c r="S44" s="66">
        <f ca="1">AVERAGE(E44:OFFSET(E44,0,$Q$3-1))</f>
        <v>9.4359038461538454</v>
      </c>
    </row>
    <row r="45" spans="1:20">
      <c r="A45" s="70" t="s">
        <v>59</v>
      </c>
      <c r="B45" s="59"/>
      <c r="C45" s="94" t="s">
        <v>483</v>
      </c>
      <c r="D45" s="467">
        <v>19508.39173346154</v>
      </c>
      <c r="E45" s="78">
        <v>3174.5671119230765</v>
      </c>
      <c r="F45" s="78">
        <v>12165.536779662038</v>
      </c>
      <c r="G45" s="78">
        <v>16816.728430769235</v>
      </c>
      <c r="H45" s="78">
        <v>12507.058977122679</v>
      </c>
      <c r="I45" s="7"/>
      <c r="J45" s="7"/>
      <c r="K45" s="7"/>
      <c r="L45" s="78"/>
      <c r="M45" s="7"/>
      <c r="N45" s="7"/>
      <c r="O45" s="78"/>
      <c r="P45" s="78"/>
      <c r="Q45" s="68">
        <f ca="1">SUM(E45:OFFSET(E45,0,$Q$3-1))</f>
        <v>44663.891299477029</v>
      </c>
      <c r="R45" s="92">
        <f t="shared" ca="1" si="16"/>
        <v>2.6915652698975508E-2</v>
      </c>
      <c r="S45" s="66">
        <f ca="1">AVERAGE(E45:OFFSET(E45,0,$Q$3-1))</f>
        <v>11165.972824869257</v>
      </c>
    </row>
    <row r="46" spans="1:20">
      <c r="A46" s="70"/>
      <c r="B46" s="59"/>
      <c r="C46" s="93" t="s">
        <v>58</v>
      </c>
      <c r="D46" s="468">
        <v>407120.98771923519</v>
      </c>
      <c r="E46" s="382">
        <f t="shared" ref="E46:F46" si="17">SUM(E23:E45)</f>
        <v>348666.17571675486</v>
      </c>
      <c r="F46" s="382">
        <f t="shared" si="17"/>
        <v>334109.76775994833</v>
      </c>
      <c r="G46" s="97">
        <f t="shared" ref="G46:Q46" si="18">SUM(G23:G45)</f>
        <v>351521.91465242655</v>
      </c>
      <c r="H46" s="97">
        <f t="shared" si="18"/>
        <v>366191.261670593</v>
      </c>
      <c r="I46" s="97">
        <f t="shared" si="18"/>
        <v>0</v>
      </c>
      <c r="J46" s="97">
        <f t="shared" si="18"/>
        <v>0</v>
      </c>
      <c r="K46" s="97">
        <f t="shared" si="18"/>
        <v>0</v>
      </c>
      <c r="L46" s="97">
        <f t="shared" si="18"/>
        <v>0</v>
      </c>
      <c r="M46" s="97">
        <f t="shared" si="18"/>
        <v>0</v>
      </c>
      <c r="N46" s="97">
        <f t="shared" si="18"/>
        <v>0</v>
      </c>
      <c r="O46" s="382">
        <f t="shared" si="18"/>
        <v>0</v>
      </c>
      <c r="P46" s="382">
        <f t="shared" si="18"/>
        <v>0</v>
      </c>
      <c r="Q46" s="96">
        <f t="shared" ca="1" si="18"/>
        <v>1400489.1197997232</v>
      </c>
      <c r="R46" s="95">
        <f t="shared" ca="1" si="16"/>
        <v>0.84397211394934202</v>
      </c>
      <c r="S46" s="66">
        <f ca="1">AVERAGE(E46:OFFSET(E46,0,$Q$3-1))</f>
        <v>350122.27994993067</v>
      </c>
      <c r="T46" s="41"/>
    </row>
    <row r="47" spans="1:20">
      <c r="A47" s="70"/>
      <c r="B47" s="59"/>
      <c r="C47" s="94" t="s">
        <v>57</v>
      </c>
      <c r="D47" s="467">
        <v>55502.412230769223</v>
      </c>
      <c r="E47" s="78">
        <v>50620.956499999993</v>
      </c>
      <c r="F47" s="78">
        <v>47781.143615384608</v>
      </c>
      <c r="G47" s="7">
        <v>46669.744692307679</v>
      </c>
      <c r="H47" s="78">
        <v>45478.653999999988</v>
      </c>
      <c r="I47" s="7"/>
      <c r="J47" s="7"/>
      <c r="K47" s="7"/>
      <c r="L47" s="78"/>
      <c r="M47" s="7"/>
      <c r="N47" s="7"/>
      <c r="O47" s="78"/>
      <c r="P47" s="78"/>
      <c r="Q47" s="68">
        <f ca="1">SUM(E47:OFFSET(E47,0,$Q$3-1))</f>
        <v>190550.49880769226</v>
      </c>
      <c r="R47" s="92">
        <f t="shared" ca="1" si="16"/>
        <v>0.11483081519107237</v>
      </c>
      <c r="S47" s="66">
        <f ca="1">AVERAGE(E47:OFFSET(E47,0,$Q$3-1))</f>
        <v>47637.624701923065</v>
      </c>
    </row>
    <row r="48" spans="1:20">
      <c r="A48" s="70"/>
      <c r="B48" s="59"/>
      <c r="C48" s="94" t="s">
        <v>56</v>
      </c>
      <c r="D48" s="467">
        <v>4909.5409230769228</v>
      </c>
      <c r="E48" s="78">
        <v>1372.1695384615384</v>
      </c>
      <c r="F48" s="78">
        <v>1085.2895384615383</v>
      </c>
      <c r="G48" s="7">
        <v>1644.4780000000001</v>
      </c>
      <c r="H48" s="78">
        <v>1487.7466153846153</v>
      </c>
      <c r="I48" s="7"/>
      <c r="J48" s="7"/>
      <c r="K48" s="7"/>
      <c r="L48" s="78"/>
      <c r="M48" s="7"/>
      <c r="N48" s="7"/>
      <c r="O48" s="78"/>
      <c r="P48" s="78"/>
      <c r="Q48" s="68">
        <f ca="1">SUM(E48:OFFSET(E48,0,$Q$3-1))</f>
        <v>5589.6836923076926</v>
      </c>
      <c r="R48" s="92">
        <f t="shared" ca="1" si="16"/>
        <v>3.3684925469322589E-3</v>
      </c>
      <c r="S48" s="66">
        <f ca="1">AVERAGE(E48:OFFSET(E48,0,$Q$3-1))</f>
        <v>1397.4209230769231</v>
      </c>
    </row>
    <row r="49" spans="1:24">
      <c r="A49" s="70"/>
      <c r="B49" s="59"/>
      <c r="C49" s="94" t="s">
        <v>55</v>
      </c>
      <c r="D49" s="467">
        <v>0</v>
      </c>
      <c r="E49" s="78">
        <v>0</v>
      </c>
      <c r="F49" s="78">
        <v>999.92384615384617</v>
      </c>
      <c r="G49" s="7">
        <v>0</v>
      </c>
      <c r="H49" s="78">
        <v>0</v>
      </c>
      <c r="I49" s="7"/>
      <c r="J49" s="7"/>
      <c r="K49" s="7"/>
      <c r="L49" s="78"/>
      <c r="M49" s="7"/>
      <c r="N49" s="7"/>
      <c r="O49" s="78"/>
      <c r="P49" s="78"/>
      <c r="Q49" s="68">
        <f ca="1">SUM(E49:OFFSET(E49,0,$Q$3-1))</f>
        <v>999.92384615384617</v>
      </c>
      <c r="R49" s="92">
        <f t="shared" ca="1" si="16"/>
        <v>6.0258079145056201E-4</v>
      </c>
      <c r="S49" s="66">
        <f ca="1">AVERAGE(E49:OFFSET(E49,0,$Q$3-1))</f>
        <v>249.98096153846154</v>
      </c>
    </row>
    <row r="50" spans="1:24">
      <c r="A50" s="70"/>
      <c r="B50" s="59"/>
      <c r="C50" s="94" t="s">
        <v>54</v>
      </c>
      <c r="D50" s="467">
        <v>619.91923076923081</v>
      </c>
      <c r="E50" s="78">
        <v>556.65000000000009</v>
      </c>
      <c r="F50" s="78">
        <v>0</v>
      </c>
      <c r="G50" s="7">
        <v>1119.5783846153847</v>
      </c>
      <c r="H50" s="78">
        <v>0</v>
      </c>
      <c r="I50" s="7"/>
      <c r="J50" s="7"/>
      <c r="K50" s="7"/>
      <c r="L50" s="78"/>
      <c r="M50" s="7"/>
      <c r="N50" s="7"/>
      <c r="O50" s="78"/>
      <c r="P50" s="78"/>
      <c r="Q50" s="68">
        <f ca="1">SUM(E50:OFFSET(E50,0,$Q$3-1))</f>
        <v>1676.2283846153848</v>
      </c>
      <c r="R50" s="92">
        <f t="shared" ca="1" si="16"/>
        <v>1.0101399526959872E-3</v>
      </c>
      <c r="S50" s="66">
        <f ca="1">AVERAGE(E50:OFFSET(E50,0,$Q$3-1))</f>
        <v>419.0570961538462</v>
      </c>
    </row>
    <row r="51" spans="1:24">
      <c r="A51" s="70"/>
      <c r="B51" s="59"/>
      <c r="C51" s="94" t="s">
        <v>53</v>
      </c>
      <c r="D51" s="467">
        <v>36.861538846153849</v>
      </c>
      <c r="E51" s="78">
        <v>27.611538461538462</v>
      </c>
      <c r="F51" s="78">
        <v>26.795461538461538</v>
      </c>
      <c r="G51" s="7">
        <v>46.867153846153847</v>
      </c>
      <c r="H51" s="78">
        <v>23.850615384615384</v>
      </c>
      <c r="I51" s="7"/>
      <c r="J51" s="7"/>
      <c r="K51" s="7"/>
      <c r="L51" s="78"/>
      <c r="M51" s="7"/>
      <c r="N51" s="7"/>
      <c r="O51" s="78"/>
      <c r="P51" s="78"/>
      <c r="Q51" s="68">
        <f ca="1">SUM(E51:OFFSET(E51,0,$Q$3-1))</f>
        <v>125.12476923076922</v>
      </c>
      <c r="R51" s="92">
        <f t="shared" ca="1" si="16"/>
        <v>7.5403524741568471E-5</v>
      </c>
      <c r="S51" s="66">
        <f ca="1">AVERAGE(E51:OFFSET(E51,0,$Q$3-1))</f>
        <v>31.281192307692304</v>
      </c>
    </row>
    <row r="52" spans="1:24">
      <c r="A52" s="70"/>
      <c r="B52" s="59"/>
      <c r="C52" s="94" t="s">
        <v>52</v>
      </c>
      <c r="D52" s="467">
        <v>95.538461538461533</v>
      </c>
      <c r="E52" s="78">
        <v>0</v>
      </c>
      <c r="F52" s="78">
        <v>0</v>
      </c>
      <c r="G52" s="7">
        <v>157.84615384615384</v>
      </c>
      <c r="H52" s="78">
        <v>0</v>
      </c>
      <c r="I52" s="7"/>
      <c r="J52" s="7"/>
      <c r="K52" s="7"/>
      <c r="L52" s="78"/>
      <c r="M52" s="7"/>
      <c r="N52" s="7"/>
      <c r="O52" s="78"/>
      <c r="P52" s="78"/>
      <c r="Q52" s="68">
        <f ca="1">SUM(E52:OFFSET(E52,0,$Q$3-1))</f>
        <v>157.84615384615384</v>
      </c>
      <c r="R52" s="92">
        <f t="shared" ca="1" si="16"/>
        <v>9.5122304241365555E-5</v>
      </c>
      <c r="S52" s="66">
        <f ca="1">AVERAGE(E52:OFFSET(E52,0,$Q$3-1))</f>
        <v>39.46153846153846</v>
      </c>
    </row>
    <row r="53" spans="1:24">
      <c r="A53" s="70"/>
      <c r="B53" s="59"/>
      <c r="C53" s="94" t="s">
        <v>51</v>
      </c>
      <c r="D53" s="467">
        <v>2526.1407692307689</v>
      </c>
      <c r="E53" s="78">
        <v>1607.5751153846154</v>
      </c>
      <c r="F53" s="78">
        <v>1893.0303269230769</v>
      </c>
      <c r="G53" s="7">
        <v>2044.1031153846152</v>
      </c>
      <c r="H53" s="78">
        <v>2670.4420769230769</v>
      </c>
      <c r="I53" s="7"/>
      <c r="J53" s="7"/>
      <c r="K53" s="7"/>
      <c r="L53" s="78"/>
      <c r="M53" s="7"/>
      <c r="N53" s="7"/>
      <c r="O53" s="78"/>
      <c r="P53" s="78"/>
      <c r="Q53" s="68">
        <f ca="1">SUM(E53:OFFSET(E53,0,$Q$3-1))</f>
        <v>8215.1506346153838</v>
      </c>
      <c r="R53" s="92">
        <f t="shared" ca="1" si="16"/>
        <v>4.9506689837762741E-3</v>
      </c>
      <c r="S53" s="66">
        <f ca="1">AVERAGE(E53:OFFSET(E53,0,$Q$3-1))</f>
        <v>2053.7876586538459</v>
      </c>
    </row>
    <row r="54" spans="1:24">
      <c r="A54" s="70"/>
      <c r="B54" s="59"/>
      <c r="C54" s="94" t="s">
        <v>50</v>
      </c>
      <c r="D54" s="467">
        <v>5315.1890742379082</v>
      </c>
      <c r="E54" s="78">
        <v>7112.7628855478142</v>
      </c>
      <c r="F54" s="78">
        <v>1154.0732461787793</v>
      </c>
      <c r="G54" s="7">
        <v>2141.5213869087338</v>
      </c>
      <c r="H54" s="78">
        <v>2848.2685460268867</v>
      </c>
      <c r="I54" s="7"/>
      <c r="J54" s="318"/>
      <c r="K54" s="318"/>
      <c r="L54" s="78"/>
      <c r="M54" s="7"/>
      <c r="N54" s="7"/>
      <c r="O54" s="78"/>
      <c r="P54" s="381"/>
      <c r="Q54" s="68">
        <f ca="1">SUM(E54:OFFSET(E54,0,$Q$3-1))</f>
        <v>13256.626064662214</v>
      </c>
      <c r="R54" s="92">
        <f t="shared" ca="1" si="16"/>
        <v>7.9887966035958116E-3</v>
      </c>
      <c r="S54" s="66">
        <f ca="1">AVERAGE(E54:OFFSET(E54,0,$Q$3-1))</f>
        <v>3314.1565161655535</v>
      </c>
    </row>
    <row r="55" spans="1:24">
      <c r="A55" s="70"/>
      <c r="B55" s="59"/>
      <c r="C55" s="94" t="s">
        <v>1</v>
      </c>
      <c r="D55" s="467">
        <v>0</v>
      </c>
      <c r="E55" s="78">
        <v>0</v>
      </c>
      <c r="F55" s="78">
        <v>0</v>
      </c>
      <c r="G55" s="7">
        <v>4507.1127761538464</v>
      </c>
      <c r="H55" s="78">
        <v>4507.1127761538464</v>
      </c>
      <c r="I55" s="7"/>
      <c r="J55" s="7"/>
      <c r="K55" s="7"/>
      <c r="L55" s="78"/>
      <c r="M55" s="7"/>
      <c r="N55" s="7"/>
      <c r="O55" s="78"/>
      <c r="P55" s="78"/>
      <c r="Q55" s="68">
        <f ca="1">SUM(E55:OFFSET(E55,0,$Q$3-1))</f>
        <v>9014.2255523076929</v>
      </c>
      <c r="R55" s="92">
        <f t="shared" ca="1" si="16"/>
        <v>5.4322128515252189E-3</v>
      </c>
      <c r="S55" s="66">
        <f ca="1">AVERAGE(E55:OFFSET(E55,0,$Q$3-1))</f>
        <v>2253.5563880769232</v>
      </c>
    </row>
    <row r="56" spans="1:24">
      <c r="A56" s="70"/>
      <c r="B56" s="59"/>
      <c r="C56" s="94" t="s">
        <v>0</v>
      </c>
      <c r="D56" s="467">
        <v>483.50961538461536</v>
      </c>
      <c r="E56" s="78">
        <v>483.50961538461536</v>
      </c>
      <c r="F56" s="78">
        <v>483.50961538461536</v>
      </c>
      <c r="G56" s="7">
        <v>483.50961538461536</v>
      </c>
      <c r="H56" s="78">
        <v>483.50961538461536</v>
      </c>
      <c r="I56" s="7"/>
      <c r="J56" s="7"/>
      <c r="K56" s="7"/>
      <c r="L56" s="78"/>
      <c r="M56" s="7"/>
      <c r="N56" s="7"/>
      <c r="O56" s="78"/>
      <c r="P56" s="78"/>
      <c r="Q56" s="68">
        <f ca="1">SUM(E56:OFFSET(E56,0,$Q$3-1))</f>
        <v>1934.0384615384614</v>
      </c>
      <c r="R56" s="92">
        <f t="shared" ca="1" si="16"/>
        <v>1.1655031843998702E-3</v>
      </c>
      <c r="S56" s="66">
        <f ca="1">AVERAGE(E56:OFFSET(E56,0,$Q$3-1))</f>
        <v>483.50961538461536</v>
      </c>
    </row>
    <row r="57" spans="1:24">
      <c r="A57" s="70"/>
      <c r="B57" s="59"/>
      <c r="C57" s="94" t="s">
        <v>49</v>
      </c>
      <c r="D57" s="467">
        <v>0</v>
      </c>
      <c r="E57" s="78">
        <v>0</v>
      </c>
      <c r="F57" s="78">
        <v>55.153846153846153</v>
      </c>
      <c r="G57" s="7">
        <v>306.09999999999997</v>
      </c>
      <c r="H57" s="78">
        <v>1020.6415384615384</v>
      </c>
      <c r="I57" s="7"/>
      <c r="J57" s="7"/>
      <c r="K57" s="7"/>
      <c r="L57" s="78"/>
      <c r="M57" s="7"/>
      <c r="N57" s="7"/>
      <c r="O57" s="78"/>
      <c r="P57" s="78"/>
      <c r="Q57" s="68">
        <f ca="1">SUM(E57:OFFSET(E57,0,$Q$3-1))</f>
        <v>1381.8953846153845</v>
      </c>
      <c r="R57" s="92">
        <f t="shared" ca="1" si="16"/>
        <v>8.3276703297592851E-4</v>
      </c>
      <c r="S57" s="66">
        <f ca="1">AVERAGE(E57:OFFSET(E57,0,$Q$3-1))</f>
        <v>345.47384615384613</v>
      </c>
    </row>
    <row r="58" spans="1:24">
      <c r="A58" s="70"/>
      <c r="B58" s="59"/>
      <c r="C58" s="94" t="s">
        <v>48</v>
      </c>
      <c r="D58" s="467">
        <v>2339.1541538461538</v>
      </c>
      <c r="E58" s="78">
        <v>2339.1541538461538</v>
      </c>
      <c r="F58" s="78">
        <v>2339.1541538461538</v>
      </c>
      <c r="G58" s="7">
        <v>2339.1541538461538</v>
      </c>
      <c r="H58" s="78">
        <v>2339.1541538461538</v>
      </c>
      <c r="I58" s="7"/>
      <c r="J58" s="7"/>
      <c r="K58" s="7"/>
      <c r="L58" s="78"/>
      <c r="M58" s="7"/>
      <c r="N58" s="7"/>
      <c r="O58" s="78"/>
      <c r="P58" s="78"/>
      <c r="Q58" s="68">
        <f ca="1">SUM(E58:OFFSET(E58,0,$Q$3-1))</f>
        <v>9356.6166153846152</v>
      </c>
      <c r="R58" s="92">
        <f t="shared" ca="1" si="16"/>
        <v>5.6385468424267103E-3</v>
      </c>
      <c r="S58" s="66">
        <f ca="1">AVERAGE(E58:OFFSET(E58,0,$Q$3-1))</f>
        <v>2339.1541538461538</v>
      </c>
    </row>
    <row r="59" spans="1:24">
      <c r="A59" s="70"/>
      <c r="B59" s="59"/>
      <c r="C59" s="94" t="s">
        <v>47</v>
      </c>
      <c r="D59" s="467">
        <v>2269.1488461569229</v>
      </c>
      <c r="E59" s="78">
        <v>1994.6901923076921</v>
      </c>
      <c r="F59" s="78">
        <v>1994.6901923076921</v>
      </c>
      <c r="G59" s="7">
        <v>2215.459423076923</v>
      </c>
      <c r="H59" s="78">
        <v>2220.5983076923076</v>
      </c>
      <c r="I59" s="7"/>
      <c r="J59" s="7"/>
      <c r="K59" s="7"/>
      <c r="L59" s="78"/>
      <c r="M59" s="7"/>
      <c r="N59" s="7"/>
      <c r="O59" s="78"/>
      <c r="P59" s="78"/>
      <c r="Q59" s="68">
        <f ca="1">SUM(E59:OFFSET(E59,0,$Q$3-1))</f>
        <v>8425.4381153846152</v>
      </c>
      <c r="R59" s="92">
        <f t="shared" ca="1" si="16"/>
        <v>5.0773938309548582E-3</v>
      </c>
      <c r="S59" s="66">
        <f ca="1">AVERAGE(E59:OFFSET(E59,0,$Q$3-1))</f>
        <v>2106.3595288461538</v>
      </c>
      <c r="X59" s="41"/>
    </row>
    <row r="60" spans="1:24">
      <c r="A60" s="70"/>
      <c r="B60" s="59"/>
      <c r="C60" s="94" t="s">
        <v>46</v>
      </c>
      <c r="D60" s="467">
        <v>93.95157889386951</v>
      </c>
      <c r="E60" s="78">
        <v>815.63715729168541</v>
      </c>
      <c r="F60" s="78">
        <v>1120.0155769230769</v>
      </c>
      <c r="G60" s="7">
        <v>37.793076923076939</v>
      </c>
      <c r="H60" s="78">
        <v>1147.8581730769231</v>
      </c>
      <c r="I60" s="7"/>
      <c r="J60" s="7"/>
      <c r="K60" s="7"/>
      <c r="L60" s="78"/>
      <c r="M60" s="7"/>
      <c r="N60" s="7"/>
      <c r="O60" s="78"/>
      <c r="P60" s="78"/>
      <c r="Q60" s="68">
        <f ca="1">SUM(E60:OFFSET(E60,0,$Q$3-1))</f>
        <v>3121.3039842147627</v>
      </c>
      <c r="R60" s="92">
        <f t="shared" ca="1" si="16"/>
        <v>1.8809810691088795E-3</v>
      </c>
      <c r="S60" s="66">
        <f ca="1">AVERAGE(E60:OFFSET(E60,0,$Q$3-1))</f>
        <v>780.32599605369069</v>
      </c>
    </row>
    <row r="61" spans="1:24">
      <c r="A61" s="70"/>
      <c r="B61" s="59"/>
      <c r="C61" s="94" t="s">
        <v>483</v>
      </c>
      <c r="D61" s="467">
        <v>3899.7317692307688</v>
      </c>
      <c r="E61" s="78">
        <v>3231.1437923076919</v>
      </c>
      <c r="F61" s="78">
        <v>338.40915384615386</v>
      </c>
      <c r="G61" s="7">
        <v>1415.3231538461539</v>
      </c>
      <c r="H61" s="78">
        <v>123.52919230769231</v>
      </c>
      <c r="I61" s="7"/>
      <c r="J61" s="7"/>
      <c r="K61" s="7"/>
      <c r="L61" s="78"/>
      <c r="M61" s="7"/>
      <c r="N61" s="7"/>
      <c r="O61" s="78"/>
      <c r="P61" s="78"/>
      <c r="Q61" s="68">
        <f ca="1">SUM(E61:OFFSET(E61,0,$Q$3-1))</f>
        <v>5108.4052923076915</v>
      </c>
      <c r="R61" s="92">
        <f t="shared" ca="1" si="16"/>
        <v>3.0784613407603433E-3</v>
      </c>
      <c r="S61" s="66">
        <f ca="1">AVERAGE(E61:OFFSET(E61,0,$Q$3-1))</f>
        <v>1277.1013230769229</v>
      </c>
    </row>
    <row r="62" spans="1:24">
      <c r="A62" s="70"/>
      <c r="B62" s="59"/>
      <c r="C62" s="93" t="s">
        <v>44</v>
      </c>
      <c r="D62" s="469">
        <v>78091.098191981</v>
      </c>
      <c r="E62" s="81">
        <f t="shared" ref="E62:F62" si="19">SUM(E47:E61)</f>
        <v>70161.860488993334</v>
      </c>
      <c r="F62" s="81">
        <f t="shared" si="19"/>
        <v>59271.188573101848</v>
      </c>
      <c r="G62" s="9">
        <f t="shared" ref="G62:P62" si="20">SUM(G47:G61)</f>
        <v>65128.591086139488</v>
      </c>
      <c r="H62" s="9">
        <f t="shared" si="20"/>
        <v>64351.365610642264</v>
      </c>
      <c r="I62" s="9">
        <f t="shared" si="20"/>
        <v>0</v>
      </c>
      <c r="J62" s="9">
        <f t="shared" si="20"/>
        <v>0</v>
      </c>
      <c r="K62" s="9">
        <f t="shared" si="20"/>
        <v>0</v>
      </c>
      <c r="L62" s="9">
        <f t="shared" si="20"/>
        <v>0</v>
      </c>
      <c r="M62" s="9">
        <f t="shared" si="20"/>
        <v>0</v>
      </c>
      <c r="N62" s="9">
        <f t="shared" si="20"/>
        <v>0</v>
      </c>
      <c r="O62" s="81">
        <f t="shared" si="20"/>
        <v>0</v>
      </c>
      <c r="P62" s="81">
        <f t="shared" si="20"/>
        <v>0</v>
      </c>
      <c r="Q62" s="68">
        <f ca="1">SUM(E62:OFFSET(E62,0,$Q$3-1))</f>
        <v>258913.00575887694</v>
      </c>
      <c r="R62" s="92">
        <f t="shared" ca="1" si="16"/>
        <v>0.15602788605065801</v>
      </c>
      <c r="S62" s="66">
        <f ca="1">AVERAGE(E62:OFFSET(E62,0,$Q$3-1))</f>
        <v>64728.251439719235</v>
      </c>
      <c r="T62" s="41"/>
    </row>
    <row r="63" spans="1:24" ht="17.25" thickBot="1">
      <c r="A63" s="70"/>
      <c r="B63" s="59"/>
      <c r="C63" s="91" t="s">
        <v>43</v>
      </c>
      <c r="D63" s="470">
        <f t="shared" ref="D63" si="21">+D46+D62</f>
        <v>485212.08591121621</v>
      </c>
      <c r="E63" s="395">
        <f t="shared" ref="E63:Q63" si="22">+E46+E62</f>
        <v>418828.03620574821</v>
      </c>
      <c r="F63" s="90">
        <f t="shared" si="22"/>
        <v>393380.95633305016</v>
      </c>
      <c r="G63" s="90">
        <f t="shared" si="22"/>
        <v>416650.50573856605</v>
      </c>
      <c r="H63" s="90">
        <f t="shared" si="22"/>
        <v>430542.62728123524</v>
      </c>
      <c r="I63" s="90">
        <f t="shared" si="22"/>
        <v>0</v>
      </c>
      <c r="J63" s="90">
        <f t="shared" si="22"/>
        <v>0</v>
      </c>
      <c r="K63" s="89">
        <f t="shared" si="22"/>
        <v>0</v>
      </c>
      <c r="L63" s="89">
        <f t="shared" si="22"/>
        <v>0</v>
      </c>
      <c r="M63" s="90">
        <f t="shared" si="22"/>
        <v>0</v>
      </c>
      <c r="N63" s="89">
        <f t="shared" si="22"/>
        <v>0</v>
      </c>
      <c r="O63" s="383">
        <f t="shared" si="22"/>
        <v>0</v>
      </c>
      <c r="P63" s="383">
        <f t="shared" si="22"/>
        <v>0</v>
      </c>
      <c r="Q63" s="88">
        <f t="shared" ca="1" si="22"/>
        <v>1659402.1255586001</v>
      </c>
      <c r="R63" s="87">
        <f t="shared" ca="1" si="16"/>
        <v>1</v>
      </c>
      <c r="S63" s="86">
        <f ca="1">AVERAGE(E63:OFFSET(E63,0,$Q$3-1))</f>
        <v>414850.5313896499</v>
      </c>
    </row>
    <row r="64" spans="1:24" ht="17.25" thickTop="1">
      <c r="A64" s="85" t="s">
        <v>6</v>
      </c>
      <c r="B64" s="59"/>
      <c r="C64" s="75" t="s">
        <v>42</v>
      </c>
      <c r="D64" s="73">
        <f t="shared" ref="D64" si="23">D20-D46-D62</f>
        <v>5062.2744955784001</v>
      </c>
      <c r="E64" s="84">
        <f t="shared" ref="E64:Q64" si="24">E20-E46-E62</f>
        <v>389053.14786552533</v>
      </c>
      <c r="F64" s="528">
        <f t="shared" si="24"/>
        <v>73552.302147691924</v>
      </c>
      <c r="G64" s="528">
        <f t="shared" si="24"/>
        <v>436593.19589302735</v>
      </c>
      <c r="H64" s="73">
        <f t="shared" si="24"/>
        <v>39020.266247957283</v>
      </c>
      <c r="I64" s="73">
        <f t="shared" si="24"/>
        <v>0</v>
      </c>
      <c r="J64" s="73">
        <f t="shared" si="24"/>
        <v>0</v>
      </c>
      <c r="K64" s="73">
        <f t="shared" si="24"/>
        <v>0</v>
      </c>
      <c r="L64" s="73">
        <f t="shared" si="24"/>
        <v>0</v>
      </c>
      <c r="M64" s="73">
        <f t="shared" si="24"/>
        <v>0</v>
      </c>
      <c r="N64" s="73">
        <f t="shared" si="24"/>
        <v>0</v>
      </c>
      <c r="O64" s="73">
        <f t="shared" si="24"/>
        <v>0</v>
      </c>
      <c r="P64" s="73">
        <f t="shared" si="24"/>
        <v>0</v>
      </c>
      <c r="Q64" s="72">
        <f t="shared" ca="1" si="24"/>
        <v>938218.91215419886</v>
      </c>
      <c r="R64" s="83">
        <f ca="1">+Q64/Q9</f>
        <v>6.615967653901797E-2</v>
      </c>
      <c r="S64" s="66">
        <f ca="1">AVERAGE(E64:OFFSET(E64,0,$Q$3-1))</f>
        <v>234554.72803855047</v>
      </c>
    </row>
    <row r="65" spans="1:21">
      <c r="A65" s="70" t="s">
        <v>41</v>
      </c>
      <c r="B65" s="59"/>
      <c r="C65" s="80" t="s">
        <v>40</v>
      </c>
      <c r="D65" s="7"/>
      <c r="E65" s="7"/>
      <c r="F65" s="7"/>
      <c r="G65" s="7"/>
      <c r="H65" s="7"/>
      <c r="I65" s="7"/>
      <c r="J65" s="7"/>
      <c r="K65" s="7"/>
      <c r="L65" s="78"/>
      <c r="M65" s="7"/>
      <c r="N65" s="7"/>
      <c r="O65" s="7"/>
      <c r="P65" s="7"/>
      <c r="Q65" s="68"/>
      <c r="R65" s="67"/>
      <c r="S65" s="66"/>
    </row>
    <row r="66" spans="1:21">
      <c r="A66" s="70" t="s">
        <v>39</v>
      </c>
      <c r="B66" s="59"/>
      <c r="C66" s="79" t="s">
        <v>38</v>
      </c>
      <c r="D66" s="78">
        <v>6038.5492307692311</v>
      </c>
      <c r="E66" s="78">
        <v>1632.3728461538462</v>
      </c>
      <c r="F66" s="78">
        <v>1468.2573461538461</v>
      </c>
      <c r="G66" s="7">
        <v>2371.1437307692308</v>
      </c>
      <c r="H66" s="7">
        <v>18888.977115384616</v>
      </c>
      <c r="I66" s="7"/>
      <c r="J66" s="78"/>
      <c r="K66" s="78"/>
      <c r="L66" s="78"/>
      <c r="M66" s="78"/>
      <c r="N66" s="7"/>
      <c r="O66" s="78"/>
      <c r="P66" s="78"/>
      <c r="Q66" s="68">
        <f ca="1">SUM(E66:OFFSET(E66,0,$Q$3-1))</f>
        <v>24360.751038461538</v>
      </c>
      <c r="R66" s="71"/>
      <c r="S66" s="66">
        <f ca="1">AVERAGE(E66:OFFSET(E66,0,$Q$3-1))</f>
        <v>6090.1877596153845</v>
      </c>
    </row>
    <row r="67" spans="1:21">
      <c r="A67" s="70" t="s">
        <v>37</v>
      </c>
      <c r="B67" s="59"/>
      <c r="C67" s="79" t="s">
        <v>36</v>
      </c>
      <c r="D67" s="78">
        <v>49719.830764615392</v>
      </c>
      <c r="E67" s="78">
        <v>36320.948295769231</v>
      </c>
      <c r="F67" s="78">
        <v>38167.874231538459</v>
      </c>
      <c r="G67" s="7">
        <v>49578.102212307698</v>
      </c>
      <c r="H67" s="7">
        <v>20513.597200384611</v>
      </c>
      <c r="I67" s="7"/>
      <c r="J67" s="78"/>
      <c r="K67" s="78"/>
      <c r="L67" s="78"/>
      <c r="M67" s="78"/>
      <c r="N67" s="7"/>
      <c r="O67" s="78"/>
      <c r="P67" s="78"/>
      <c r="Q67" s="68">
        <f ca="1">SUM(E67:OFFSET(E67,0,$Q$3-1))</f>
        <v>144580.52194000001</v>
      </c>
      <c r="R67" s="71"/>
      <c r="S67" s="66">
        <f ca="1">AVERAGE(E67:OFFSET(E67,0,$Q$3-1))</f>
        <v>36145.130485000001</v>
      </c>
    </row>
    <row r="68" spans="1:21">
      <c r="A68" s="70" t="s">
        <v>35</v>
      </c>
      <c r="B68" s="59"/>
      <c r="C68" s="79" t="s">
        <v>34</v>
      </c>
      <c r="D68" s="78">
        <v>745.99957692307692</v>
      </c>
      <c r="E68" s="78">
        <v>689.15935384615386</v>
      </c>
      <c r="F68" s="78">
        <v>698.80384615384617</v>
      </c>
      <c r="G68" s="7">
        <v>1599.1761538461537</v>
      </c>
      <c r="H68" s="7">
        <v>1239.3221153846155</v>
      </c>
      <c r="I68" s="7"/>
      <c r="J68" s="78"/>
      <c r="K68" s="78"/>
      <c r="L68" s="78"/>
      <c r="M68" s="78"/>
      <c r="N68" s="7"/>
      <c r="O68" s="78"/>
      <c r="P68" s="78"/>
      <c r="Q68" s="68">
        <f ca="1">SUM(E68:OFFSET(E68,0,$Q$3-1))</f>
        <v>4226.4614692307696</v>
      </c>
      <c r="R68" s="71"/>
      <c r="S68" s="66">
        <f ca="1">AVERAGE(E68:OFFSET(E68,0,$Q$3-1))</f>
        <v>1056.6153673076924</v>
      </c>
    </row>
    <row r="69" spans="1:21">
      <c r="A69" s="70" t="s">
        <v>33</v>
      </c>
      <c r="B69" s="59"/>
      <c r="C69" s="79" t="s">
        <v>32</v>
      </c>
      <c r="D69" s="78">
        <v>20743.531461538463</v>
      </c>
      <c r="E69" s="78">
        <v>0</v>
      </c>
      <c r="F69" s="78">
        <v>0</v>
      </c>
      <c r="G69" s="7">
        <v>0</v>
      </c>
      <c r="H69" s="7">
        <v>0</v>
      </c>
      <c r="I69" s="7"/>
      <c r="J69" s="78"/>
      <c r="K69" s="78"/>
      <c r="L69" s="78"/>
      <c r="M69" s="78"/>
      <c r="N69" s="7"/>
      <c r="O69" s="78"/>
      <c r="P69" s="78"/>
      <c r="Q69" s="68">
        <f ca="1">SUM(E69:OFFSET(E69,0,$Q$3-1))</f>
        <v>0</v>
      </c>
      <c r="R69" s="71"/>
      <c r="S69" s="66">
        <f ca="1">AVERAGE(E69:OFFSET(E69,0,$Q$3-1))</f>
        <v>0</v>
      </c>
    </row>
    <row r="70" spans="1:21">
      <c r="A70" s="82" t="s">
        <v>6</v>
      </c>
      <c r="B70" s="76"/>
      <c r="C70" s="75" t="s">
        <v>31</v>
      </c>
      <c r="D70" s="81">
        <f t="shared" ref="D70" si="25">SUM(D66:D69)</f>
        <v>77247.911033846161</v>
      </c>
      <c r="E70" s="81">
        <f t="shared" ref="E70" si="26">SUM(E66:E69)</f>
        <v>38642.480495769232</v>
      </c>
      <c r="F70" s="9">
        <f t="shared" ref="F70:J70" si="27">SUM(F66:F69)</f>
        <v>40334.935423846153</v>
      </c>
      <c r="G70" s="9">
        <f t="shared" si="27"/>
        <v>53548.422096923081</v>
      </c>
      <c r="H70" s="9">
        <f t="shared" si="27"/>
        <v>40641.896431153844</v>
      </c>
      <c r="I70" s="9">
        <f t="shared" si="27"/>
        <v>0</v>
      </c>
      <c r="J70" s="81">
        <f t="shared" si="27"/>
        <v>0</v>
      </c>
      <c r="K70" s="81">
        <f>SUM(K66:K69)</f>
        <v>0</v>
      </c>
      <c r="L70" s="81">
        <f t="shared" ref="L70" si="28">SUM(L66:L69)</f>
        <v>0</v>
      </c>
      <c r="M70" s="9">
        <f t="shared" ref="M70:Q70" si="29">SUM(M66:M69)</f>
        <v>0</v>
      </c>
      <c r="N70" s="9">
        <f t="shared" si="29"/>
        <v>0</v>
      </c>
      <c r="O70" s="81">
        <f t="shared" si="29"/>
        <v>0</v>
      </c>
      <c r="P70" s="81">
        <f t="shared" si="29"/>
        <v>0</v>
      </c>
      <c r="Q70" s="72">
        <f t="shared" ca="1" si="29"/>
        <v>173167.73444769232</v>
      </c>
      <c r="R70" s="71"/>
      <c r="S70" s="66">
        <f ca="1">AVERAGE(E68:OFFSET(E68,0,$Q$3-1))</f>
        <v>1056.6153673076924</v>
      </c>
    </row>
    <row r="71" spans="1:21">
      <c r="A71" s="70" t="s">
        <v>30</v>
      </c>
      <c r="B71" s="59"/>
      <c r="C71" s="80" t="s">
        <v>29</v>
      </c>
      <c r="D71" s="78"/>
      <c r="E71" s="78"/>
      <c r="F71" s="7"/>
      <c r="G71" s="7"/>
      <c r="H71" s="7"/>
      <c r="I71" s="7"/>
      <c r="J71" s="78"/>
      <c r="K71" s="78"/>
      <c r="L71" s="78"/>
      <c r="M71" s="7"/>
      <c r="N71" s="7"/>
      <c r="O71" s="78"/>
      <c r="P71" s="78"/>
      <c r="Q71" s="68"/>
      <c r="R71" s="67"/>
      <c r="S71" s="66"/>
      <c r="U71" s="41"/>
    </row>
    <row r="72" spans="1:21">
      <c r="A72" s="70" t="s">
        <v>28</v>
      </c>
      <c r="B72" s="59"/>
      <c r="C72" s="79" t="s">
        <v>27</v>
      </c>
      <c r="D72" s="78">
        <v>58596.576220000017</v>
      </c>
      <c r="E72" s="78">
        <v>77067.747911153841</v>
      </c>
      <c r="F72" s="78">
        <v>62672.229961538462</v>
      </c>
      <c r="G72" s="381">
        <v>52505.798268076906</v>
      </c>
      <c r="H72" s="7">
        <v>58302.949730384607</v>
      </c>
      <c r="I72" s="7"/>
      <c r="J72" s="78"/>
      <c r="K72" s="78"/>
      <c r="L72" s="78"/>
      <c r="M72" s="7"/>
      <c r="N72" s="7"/>
      <c r="O72" s="78"/>
      <c r="P72" s="78"/>
      <c r="Q72" s="68">
        <f ca="1">SUM(E72:OFFSET(E72,0,$Q$3-1))</f>
        <v>250548.72587115382</v>
      </c>
      <c r="R72" s="71"/>
      <c r="S72" s="66">
        <f ca="1">AVERAGE(E72:OFFSET(E72,0,$Q$3-1))</f>
        <v>62637.181467788454</v>
      </c>
      <c r="U72" s="41"/>
    </row>
    <row r="73" spans="1:21">
      <c r="A73" s="70" t="s">
        <v>26</v>
      </c>
      <c r="B73" s="59"/>
      <c r="C73" s="79" t="s">
        <v>25</v>
      </c>
      <c r="D73" s="78">
        <v>383.29615384615386</v>
      </c>
      <c r="E73" s="78">
        <v>383.29615384615386</v>
      </c>
      <c r="F73" s="78">
        <v>383.29615384615386</v>
      </c>
      <c r="G73" s="78">
        <v>383.29615384615386</v>
      </c>
      <c r="H73" s="7">
        <v>383.29615384615386</v>
      </c>
      <c r="I73" s="7"/>
      <c r="J73" s="78"/>
      <c r="K73" s="78"/>
      <c r="L73" s="78"/>
      <c r="M73" s="7"/>
      <c r="N73" s="7"/>
      <c r="O73" s="78"/>
      <c r="P73" s="78"/>
      <c r="Q73" s="68">
        <f ca="1">SUM(E73:OFFSET(E73,0,$Q$3-1))</f>
        <v>1533.1846153846154</v>
      </c>
      <c r="R73" s="71"/>
      <c r="S73" s="66">
        <f ca="1">AVERAGE(E73:OFFSET(E73,0,$Q$3-1))</f>
        <v>383.29615384615386</v>
      </c>
    </row>
    <row r="74" spans="1:21">
      <c r="A74" s="70" t="s">
        <v>24</v>
      </c>
      <c r="B74" s="59"/>
      <c r="C74" s="79" t="s">
        <v>23</v>
      </c>
      <c r="D74" s="78">
        <v>34533.751288846157</v>
      </c>
      <c r="E74" s="78">
        <v>56070.950800384613</v>
      </c>
      <c r="F74" s="78">
        <v>50238.663023076922</v>
      </c>
      <c r="G74" s="78">
        <v>27200.311699615388</v>
      </c>
      <c r="H74" s="7">
        <v>6451.3439615384614</v>
      </c>
      <c r="I74" s="7"/>
      <c r="J74" s="78"/>
      <c r="K74" s="78"/>
      <c r="L74" s="78"/>
      <c r="M74" s="7"/>
      <c r="N74" s="7"/>
      <c r="O74" s="78"/>
      <c r="P74" s="78"/>
      <c r="Q74" s="68">
        <f ca="1">SUM(E74:OFFSET(E74,0,$Q$3-1))</f>
        <v>139961.26948461539</v>
      </c>
      <c r="R74" s="71"/>
      <c r="S74" s="66">
        <f ca="1">AVERAGE(E74:OFFSET(E74,0,$Q$3-1))</f>
        <v>34990.317371153847</v>
      </c>
    </row>
    <row r="75" spans="1:21">
      <c r="A75" s="70" t="s">
        <v>22</v>
      </c>
      <c r="B75" s="59"/>
      <c r="C75" s="79" t="s">
        <v>21</v>
      </c>
      <c r="D75" s="78">
        <v>0</v>
      </c>
      <c r="E75" s="78">
        <v>0</v>
      </c>
      <c r="F75" s="78">
        <v>0</v>
      </c>
      <c r="G75" s="78">
        <v>0</v>
      </c>
      <c r="H75" s="7">
        <v>0</v>
      </c>
      <c r="I75" s="7"/>
      <c r="J75" s="78"/>
      <c r="K75" s="78"/>
      <c r="L75" s="78"/>
      <c r="M75" s="7"/>
      <c r="N75" s="7"/>
      <c r="O75" s="78"/>
      <c r="P75" s="78"/>
      <c r="Q75" s="68">
        <f ca="1">SUM(E75:OFFSET(E75,0,$Q$3-1))</f>
        <v>0</v>
      </c>
      <c r="R75" s="71"/>
      <c r="S75" s="66">
        <f ca="1">AVERAGE(E75:OFFSET(E75,0,$Q$3-1))</f>
        <v>0</v>
      </c>
    </row>
    <row r="76" spans="1:21">
      <c r="A76" s="70" t="s">
        <v>20</v>
      </c>
      <c r="B76" s="59"/>
      <c r="C76" s="79" t="s">
        <v>19</v>
      </c>
      <c r="D76" s="78">
        <v>0</v>
      </c>
      <c r="E76" s="78">
        <v>0</v>
      </c>
      <c r="F76" s="78">
        <v>0</v>
      </c>
      <c r="G76" s="78">
        <v>0</v>
      </c>
      <c r="H76" s="7">
        <v>0</v>
      </c>
      <c r="I76" s="7"/>
      <c r="J76" s="78"/>
      <c r="K76" s="78"/>
      <c r="L76" s="78"/>
      <c r="M76" s="7"/>
      <c r="N76" s="7"/>
      <c r="O76" s="78"/>
      <c r="P76" s="78"/>
      <c r="Q76" s="68">
        <f ca="1">SUM(E76:OFFSET(E76,0,$Q$3-1))</f>
        <v>0</v>
      </c>
      <c r="R76" s="71"/>
      <c r="S76" s="66">
        <f ca="1">AVERAGE(E76:OFFSET(E76,0,$Q$3-1))</f>
        <v>0</v>
      </c>
    </row>
    <row r="77" spans="1:21">
      <c r="A77" s="70" t="s">
        <v>18</v>
      </c>
      <c r="B77" s="59"/>
      <c r="C77" s="79" t="s">
        <v>17</v>
      </c>
      <c r="D77" s="78">
        <v>935.52804846153833</v>
      </c>
      <c r="E77" s="78">
        <v>1274.7828946153845</v>
      </c>
      <c r="F77" s="78">
        <v>593.04843307692306</v>
      </c>
      <c r="G77" s="78">
        <v>1114.1090484615384</v>
      </c>
      <c r="H77" s="7">
        <v>4715.1882792307697</v>
      </c>
      <c r="I77" s="7"/>
      <c r="J77" s="78"/>
      <c r="K77" s="78"/>
      <c r="L77" s="78"/>
      <c r="M77" s="7"/>
      <c r="N77" s="7"/>
      <c r="O77" s="78"/>
      <c r="P77" s="78"/>
      <c r="Q77" s="68">
        <f ca="1">SUM(E77:OFFSET(E77,0,$Q$3-1))</f>
        <v>7697.1286553846157</v>
      </c>
      <c r="R77" s="71"/>
      <c r="S77" s="66">
        <f ca="1">AVERAGE(E77:OFFSET(E77,0,$Q$3-1))</f>
        <v>1924.2821638461539</v>
      </c>
    </row>
    <row r="78" spans="1:21" ht="19.5" customHeight="1">
      <c r="A78" s="70" t="s">
        <v>16</v>
      </c>
      <c r="B78" s="59"/>
      <c r="C78" s="540" t="s">
        <v>15</v>
      </c>
      <c r="D78" s="381">
        <v>2780.7692330769232</v>
      </c>
      <c r="E78" s="78">
        <v>0</v>
      </c>
      <c r="F78" s="78">
        <v>0</v>
      </c>
      <c r="G78" s="381">
        <f>367374.744360769</f>
        <v>367374.74436076899</v>
      </c>
      <c r="H78" s="7">
        <v>0</v>
      </c>
      <c r="I78" s="7"/>
      <c r="J78" s="78"/>
      <c r="K78" s="78"/>
      <c r="L78" s="78"/>
      <c r="M78" s="7"/>
      <c r="N78" s="7"/>
      <c r="O78" s="78"/>
      <c r="P78" s="78"/>
      <c r="Q78" s="68">
        <f ca="1">SUM(E78:OFFSET(E78,0,$Q$3-1))</f>
        <v>367374.74436076899</v>
      </c>
      <c r="R78" s="71"/>
      <c r="S78" s="66">
        <f ca="1">AVERAGE(E78:OFFSET(E78,0,$Q$3-1))</f>
        <v>91843.686090192248</v>
      </c>
      <c r="T78" s="41"/>
      <c r="U78" s="41"/>
    </row>
    <row r="79" spans="1:21">
      <c r="A79" s="77" t="s">
        <v>6</v>
      </c>
      <c r="B79" s="76"/>
      <c r="C79" s="75" t="s">
        <v>14</v>
      </c>
      <c r="D79" s="73">
        <f t="shared" ref="D79" si="30">SUM(D72:D78)</f>
        <v>97229.920944230777</v>
      </c>
      <c r="E79" s="73">
        <f t="shared" ref="E79:J79" si="31">SUM(E72:E78)</f>
        <v>134796.77775999997</v>
      </c>
      <c r="F79" s="73">
        <f t="shared" si="31"/>
        <v>113887.23757153847</v>
      </c>
      <c r="G79" s="73">
        <f t="shared" si="31"/>
        <v>448578.25953076896</v>
      </c>
      <c r="H79" s="73">
        <f t="shared" si="31"/>
        <v>69852.778124999997</v>
      </c>
      <c r="I79" s="73">
        <f t="shared" si="31"/>
        <v>0</v>
      </c>
      <c r="J79" s="74">
        <f t="shared" si="31"/>
        <v>0</v>
      </c>
      <c r="K79" s="74">
        <f t="shared" ref="K79:P79" si="32">SUM(K72:K78)</f>
        <v>0</v>
      </c>
      <c r="L79" s="74">
        <f t="shared" si="32"/>
        <v>0</v>
      </c>
      <c r="M79" s="73">
        <f t="shared" si="32"/>
        <v>0</v>
      </c>
      <c r="N79" s="73">
        <f t="shared" si="32"/>
        <v>0</v>
      </c>
      <c r="O79" s="73">
        <f t="shared" si="32"/>
        <v>0</v>
      </c>
      <c r="P79" s="73">
        <f t="shared" si="32"/>
        <v>0</v>
      </c>
      <c r="Q79" s="72">
        <f ca="1">SUM(E79:OFFSET(E79,0,$Q$3-1))</f>
        <v>767115.05298730731</v>
      </c>
      <c r="R79" s="71"/>
      <c r="S79" s="66">
        <f ca="1">AVERAGE(E79:OFFSET(E79,0,$Q$3-1))</f>
        <v>191778.76324682683</v>
      </c>
    </row>
    <row r="80" spans="1:21" hidden="1">
      <c r="A80" s="70" t="s">
        <v>6</v>
      </c>
      <c r="B80" s="59"/>
      <c r="C80" s="69" t="s">
        <v>13</v>
      </c>
      <c r="D80" s="6"/>
      <c r="E80" s="7"/>
      <c r="F80" s="7"/>
      <c r="G80" s="7"/>
      <c r="H80" s="7"/>
      <c r="I80" s="7"/>
      <c r="J80" s="6"/>
      <c r="K80" s="7"/>
      <c r="L80" s="78"/>
      <c r="M80" s="7"/>
      <c r="N80" s="6"/>
      <c r="O80" s="6"/>
      <c r="P80" s="6"/>
      <c r="Q80" s="68"/>
      <c r="R80" s="67"/>
      <c r="S80" s="66"/>
    </row>
    <row r="81" spans="1:24" ht="17.25" thickBot="1">
      <c r="A81" s="65" t="s">
        <v>6</v>
      </c>
      <c r="B81" s="59"/>
      <c r="C81" s="64" t="s">
        <v>12</v>
      </c>
      <c r="D81" s="63">
        <f t="shared" ref="D81" si="33">+D64+D70-D79-D80+D17</f>
        <v>212394.22290367499</v>
      </c>
      <c r="E81" s="63">
        <f t="shared" ref="E81:K81" si="34">+E64+E70-E79-E80+E17</f>
        <v>497645.0424828367</v>
      </c>
      <c r="F81" s="63">
        <f t="shared" si="34"/>
        <v>95089.476823953068</v>
      </c>
      <c r="G81" s="63">
        <f>+G64+G70-G79-G80+G17+G78</f>
        <v>521306.57950387831</v>
      </c>
      <c r="H81" s="63">
        <f t="shared" si="34"/>
        <v>9809.3845541111223</v>
      </c>
      <c r="I81" s="63">
        <f t="shared" si="34"/>
        <v>0</v>
      </c>
      <c r="J81" s="63">
        <f t="shared" si="34"/>
        <v>0</v>
      </c>
      <c r="K81" s="63">
        <f t="shared" si="34"/>
        <v>0</v>
      </c>
      <c r="L81" s="63">
        <f t="shared" ref="L81:P81" si="35">+L64+L70-L79-L80+L17</f>
        <v>0</v>
      </c>
      <c r="M81" s="63">
        <f t="shared" si="35"/>
        <v>0</v>
      </c>
      <c r="N81" s="63">
        <f t="shared" si="35"/>
        <v>0</v>
      </c>
      <c r="O81" s="63">
        <f t="shared" si="35"/>
        <v>0</v>
      </c>
      <c r="P81" s="63">
        <f t="shared" si="35"/>
        <v>0</v>
      </c>
      <c r="Q81" s="62">
        <f ca="1">+Q64+Q70-Q79-Q80+Q17</f>
        <v>756475.73900400719</v>
      </c>
      <c r="R81" s="530">
        <f ca="1">+Q81/Q5</f>
        <v>5.3343830052632893E-2</v>
      </c>
      <c r="S81" s="61">
        <f ca="1">AVERAGE(E81:OFFSET(E81,0,$Q$3-1))</f>
        <v>280962.62084119482</v>
      </c>
      <c r="T81" s="41"/>
    </row>
    <row r="82" spans="1:24" ht="17.25" thickBot="1">
      <c r="A82" s="60"/>
      <c r="B82" s="59"/>
      <c r="C82" s="58" t="s">
        <v>11</v>
      </c>
      <c r="D82" s="456">
        <f t="shared" ref="D82" si="36">+D64+D70-D79-D80</f>
        <v>-14919.735414806215</v>
      </c>
      <c r="E82" s="57">
        <f t="shared" ref="E82:J82" si="37">+E64+E70-E79-E80</f>
        <v>292898.8506012946</v>
      </c>
      <c r="F82" s="57">
        <f t="shared" si="37"/>
        <v>-3.92901711165905E-10</v>
      </c>
      <c r="G82" s="57">
        <f t="shared" si="37"/>
        <v>41563.358459181502</v>
      </c>
      <c r="H82" s="57">
        <f t="shared" si="37"/>
        <v>9809.3845541111223</v>
      </c>
      <c r="I82" s="57">
        <f t="shared" si="37"/>
        <v>0</v>
      </c>
      <c r="J82" s="57">
        <f t="shared" si="37"/>
        <v>0</v>
      </c>
      <c r="K82" s="57">
        <f t="shared" ref="K82:Q82" si="38">+K64+K70-K79-K80</f>
        <v>0</v>
      </c>
      <c r="L82" s="57">
        <f t="shared" si="38"/>
        <v>0</v>
      </c>
      <c r="M82" s="57">
        <f t="shared" si="38"/>
        <v>0</v>
      </c>
      <c r="N82" s="57">
        <f t="shared" si="38"/>
        <v>0</v>
      </c>
      <c r="O82" s="57">
        <f t="shared" si="38"/>
        <v>0</v>
      </c>
      <c r="P82" s="57">
        <f t="shared" si="38"/>
        <v>0</v>
      </c>
      <c r="Q82" s="56">
        <f t="shared" ca="1" si="38"/>
        <v>344271.59361458384</v>
      </c>
      <c r="R82" s="531">
        <f ca="1">+Q82/Q5</f>
        <v>2.4276740726549822E-2</v>
      </c>
      <c r="S82" s="55">
        <f ca="1">AVERAGE(E82:OFFSET(E82,0,$Q$3-1))</f>
        <v>86067.898403646701</v>
      </c>
      <c r="T82" s="41"/>
      <c r="U82" s="41"/>
    </row>
    <row r="83" spans="1:24">
      <c r="A83" s="18"/>
      <c r="B83" s="18"/>
      <c r="C83" s="30" t="s">
        <v>10</v>
      </c>
      <c r="D83" s="54">
        <f t="shared" ref="D83" si="39">+D20/D9</f>
        <v>0.12203418453138778</v>
      </c>
      <c r="E83" s="54">
        <f t="shared" ref="E83:P83" si="40">+E20/E9</f>
        <v>0.22156913432600181</v>
      </c>
      <c r="F83" s="54">
        <f t="shared" si="40"/>
        <v>0.14852363497790635</v>
      </c>
      <c r="G83" s="54">
        <f t="shared" si="40"/>
        <v>0.20828549396526924</v>
      </c>
      <c r="H83" s="54">
        <f t="shared" si="40"/>
        <v>0.14252474004589416</v>
      </c>
      <c r="I83" s="54" t="e">
        <f t="shared" si="40"/>
        <v>#DIV/0!</v>
      </c>
      <c r="J83" s="54" t="e">
        <f t="shared" si="40"/>
        <v>#DIV/0!</v>
      </c>
      <c r="K83" s="54" t="e">
        <f t="shared" si="40"/>
        <v>#DIV/0!</v>
      </c>
      <c r="L83" s="54" t="e">
        <f t="shared" si="40"/>
        <v>#DIV/0!</v>
      </c>
      <c r="M83" s="54" t="e">
        <f t="shared" si="40"/>
        <v>#DIV/0!</v>
      </c>
      <c r="N83" s="54" t="e">
        <f t="shared" si="40"/>
        <v>#DIV/0!</v>
      </c>
      <c r="O83" s="54" t="e">
        <f t="shared" si="40"/>
        <v>#DIV/0!</v>
      </c>
      <c r="P83" s="54" t="e">
        <f t="shared" si="40"/>
        <v>#DIV/0!</v>
      </c>
      <c r="Q83" s="53">
        <f ca="1">Q20/Q9</f>
        <v>0.18317448667862887</v>
      </c>
      <c r="R83" s="26"/>
      <c r="S83" s="25"/>
      <c r="X83" s="41"/>
    </row>
    <row r="84" spans="1:24">
      <c r="A84" s="18"/>
      <c r="B84" s="18"/>
      <c r="C84" s="23" t="s">
        <v>9</v>
      </c>
      <c r="D84" s="457">
        <f t="shared" ref="D84" si="41">+D10/D9</f>
        <v>0.82138510112535956</v>
      </c>
      <c r="E84" s="52">
        <f t="shared" ref="E84:P84" si="42">+E10/E9</f>
        <v>0.72227726612719101</v>
      </c>
      <c r="F84" s="52">
        <f t="shared" si="42"/>
        <v>0.82122999792459239</v>
      </c>
      <c r="G84" s="52">
        <f t="shared" si="42"/>
        <v>0.76428421428164584</v>
      </c>
      <c r="H84" s="52">
        <f t="shared" si="42"/>
        <v>0.8574752599541059</v>
      </c>
      <c r="I84" s="52" t="e">
        <f t="shared" si="42"/>
        <v>#DIV/0!</v>
      </c>
      <c r="J84" s="52" t="e">
        <f t="shared" si="42"/>
        <v>#DIV/0!</v>
      </c>
      <c r="K84" s="52" t="e">
        <f t="shared" si="42"/>
        <v>#DIV/0!</v>
      </c>
      <c r="L84" s="52" t="e">
        <f t="shared" si="42"/>
        <v>#DIV/0!</v>
      </c>
      <c r="M84" s="52" t="e">
        <f t="shared" si="42"/>
        <v>#DIV/0!</v>
      </c>
      <c r="N84" s="52" t="e">
        <f t="shared" si="42"/>
        <v>#DIV/0!</v>
      </c>
      <c r="O84" s="52" t="e">
        <f t="shared" si="42"/>
        <v>#DIV/0!</v>
      </c>
      <c r="P84" s="52" t="e">
        <f t="shared" si="42"/>
        <v>#DIV/0!</v>
      </c>
      <c r="Q84" s="51">
        <f ca="1">+Q16/Q9</f>
        <v>0.78775842399528806</v>
      </c>
      <c r="R84" s="20"/>
      <c r="S84" s="19"/>
    </row>
    <row r="85" spans="1:24">
      <c r="A85" s="18"/>
      <c r="B85" s="18"/>
      <c r="C85" s="23" t="s">
        <v>8</v>
      </c>
      <c r="D85" s="457">
        <f t="shared" ref="D85" si="43">D63/D9</f>
        <v>0.12077413385398877</v>
      </c>
      <c r="E85" s="52">
        <f t="shared" ref="E85:P85" si="44">E63/E9</f>
        <v>0.1148675909815223</v>
      </c>
      <c r="F85" s="52">
        <f t="shared" si="44"/>
        <v>0.12512788177858905</v>
      </c>
      <c r="G85" s="52">
        <f t="shared" si="44"/>
        <v>0.10170863990286635</v>
      </c>
      <c r="H85" s="52">
        <f t="shared" si="44"/>
        <v>0.13068105865592516</v>
      </c>
      <c r="I85" s="52" t="e">
        <f t="shared" si="44"/>
        <v>#DIV/0!</v>
      </c>
      <c r="J85" s="52" t="e">
        <f t="shared" si="44"/>
        <v>#DIV/0!</v>
      </c>
      <c r="K85" s="52" t="e">
        <f t="shared" si="44"/>
        <v>#DIV/0!</v>
      </c>
      <c r="L85" s="52" t="e">
        <f t="shared" si="44"/>
        <v>#DIV/0!</v>
      </c>
      <c r="M85" s="52" t="e">
        <f t="shared" si="44"/>
        <v>#DIV/0!</v>
      </c>
      <c r="N85" s="52" t="e">
        <f t="shared" si="44"/>
        <v>#DIV/0!</v>
      </c>
      <c r="O85" s="52" t="e">
        <f t="shared" si="44"/>
        <v>#DIV/0!</v>
      </c>
      <c r="P85" s="52" t="e">
        <f t="shared" si="44"/>
        <v>#DIV/0!</v>
      </c>
      <c r="Q85" s="51">
        <f ca="1">+Q20/Q10</f>
        <v>0.23252621755489414</v>
      </c>
      <c r="R85" s="20"/>
      <c r="S85" s="19"/>
    </row>
    <row r="86" spans="1:24" ht="17.25" thickBot="1">
      <c r="A86" s="18"/>
      <c r="B86" s="18"/>
      <c r="C86" s="47" t="s">
        <v>7</v>
      </c>
      <c r="D86" s="458">
        <f t="shared" ref="D86" si="45">+D81/D9</f>
        <v>5.2867043199488865E-2</v>
      </c>
      <c r="E86" s="46">
        <f t="shared" ref="E86:Q86" si="46">+E81/E9</f>
        <v>0.13648390807777599</v>
      </c>
      <c r="F86" s="46">
        <f t="shared" si="46"/>
        <v>3.0246367097501094E-2</v>
      </c>
      <c r="G86" s="46">
        <f t="shared" si="46"/>
        <v>0.12725625540707741</v>
      </c>
      <c r="H86" s="46">
        <f t="shared" si="46"/>
        <v>2.9774072927207969E-3</v>
      </c>
      <c r="I86" s="46" t="e">
        <f t="shared" si="46"/>
        <v>#DIV/0!</v>
      </c>
      <c r="J86" s="46" t="e">
        <f t="shared" si="46"/>
        <v>#DIV/0!</v>
      </c>
      <c r="K86" s="46" t="e">
        <f t="shared" si="46"/>
        <v>#DIV/0!</v>
      </c>
      <c r="L86" s="46" t="e">
        <f t="shared" ref="L86" si="47">+L81/L9</f>
        <v>#DIV/0!</v>
      </c>
      <c r="M86" s="46" t="e">
        <f t="shared" si="46"/>
        <v>#DIV/0!</v>
      </c>
      <c r="N86" s="46" t="e">
        <f t="shared" si="46"/>
        <v>#DIV/0!</v>
      </c>
      <c r="O86" s="45" t="e">
        <f t="shared" si="46"/>
        <v>#DIV/0!</v>
      </c>
      <c r="P86" s="46" t="e">
        <f t="shared" si="46"/>
        <v>#DIV/0!</v>
      </c>
      <c r="Q86" s="50">
        <f t="shared" ca="1" si="46"/>
        <v>5.33438300526329E-2</v>
      </c>
      <c r="R86" s="49"/>
      <c r="S86" s="48"/>
    </row>
    <row r="87" spans="1:24" ht="17.25" thickBot="1">
      <c r="A87" s="18"/>
      <c r="B87" s="18"/>
      <c r="C87" s="47" t="s">
        <v>5</v>
      </c>
      <c r="D87" s="458">
        <f t="shared" ref="D87" si="48">+D82/D9</f>
        <v>-3.7136711437637526E-3</v>
      </c>
      <c r="E87" s="46">
        <f t="shared" ref="E87:K87" si="49">+E82/E9</f>
        <v>8.0330308530968772E-2</v>
      </c>
      <c r="F87" s="46">
        <f t="shared" si="49"/>
        <v>-1.2497544193204312E-16</v>
      </c>
      <c r="G87" s="539">
        <f t="shared" si="49"/>
        <v>1.014603990744023E-2</v>
      </c>
      <c r="H87" s="46">
        <f t="shared" si="49"/>
        <v>2.9774072927207969E-3</v>
      </c>
      <c r="I87" s="46" t="e">
        <f t="shared" si="49"/>
        <v>#DIV/0!</v>
      </c>
      <c r="J87" s="46" t="e">
        <f t="shared" si="49"/>
        <v>#DIV/0!</v>
      </c>
      <c r="K87" s="46" t="e">
        <f t="shared" si="49"/>
        <v>#DIV/0!</v>
      </c>
      <c r="L87" s="46" t="e">
        <f t="shared" ref="L87:P87" si="50">+L82/L9</f>
        <v>#DIV/0!</v>
      </c>
      <c r="M87" s="46" t="e">
        <f t="shared" si="50"/>
        <v>#DIV/0!</v>
      </c>
      <c r="N87" s="46" t="e">
        <f t="shared" si="50"/>
        <v>#DIV/0!</v>
      </c>
      <c r="O87" s="46" t="e">
        <f t="shared" si="50"/>
        <v>#DIV/0!</v>
      </c>
      <c r="P87" s="46" t="e">
        <f t="shared" si="50"/>
        <v>#DIV/0!</v>
      </c>
      <c r="Q87" s="44">
        <f ca="1">+Q82/Q9</f>
        <v>2.4276740726549825E-2</v>
      </c>
      <c r="R87" s="43"/>
      <c r="S87" s="42"/>
    </row>
    <row r="88" spans="1:24" ht="17.25" thickBot="1">
      <c r="A88" s="18"/>
      <c r="B88" s="18"/>
      <c r="C88" s="40" t="s">
        <v>4</v>
      </c>
      <c r="D88" s="38">
        <f t="shared" ref="D88" si="51">+D81+D80+D90+D92+D93</f>
        <v>596938.93518713652</v>
      </c>
      <c r="E88" s="39">
        <f t="shared" ref="E88:O88" si="52">+E82+E80+E90+E92+E93</f>
        <v>703640.84765129467</v>
      </c>
      <c r="F88" s="39">
        <f t="shared" si="52"/>
        <v>400745.32209576888</v>
      </c>
      <c r="G88" s="39">
        <f t="shared" si="52"/>
        <v>432934.10721187381</v>
      </c>
      <c r="H88" s="39">
        <f t="shared" si="52"/>
        <v>407234.14531641878</v>
      </c>
      <c r="I88" s="39">
        <f t="shared" si="52"/>
        <v>356497.24637176475</v>
      </c>
      <c r="J88" s="39">
        <f t="shared" si="52"/>
        <v>370760.09307803918</v>
      </c>
      <c r="K88" s="39">
        <f t="shared" si="52"/>
        <v>380870.6170513726</v>
      </c>
      <c r="L88" s="39">
        <f t="shared" si="52"/>
        <v>381578.26218784315</v>
      </c>
      <c r="M88" s="39">
        <f t="shared" si="52"/>
        <v>386721.03499923076</v>
      </c>
      <c r="N88" s="39">
        <f t="shared" si="52"/>
        <v>381259.13002961536</v>
      </c>
      <c r="O88" s="39">
        <f t="shared" si="52"/>
        <v>364984.14491807693</v>
      </c>
      <c r="P88" s="38">
        <f t="shared" ref="P88" si="53">+P81+P80+P90+P92+P93</f>
        <v>384544.71228346159</v>
      </c>
      <c r="Q88" s="37">
        <f ca="1">SUM(E88:OFFSET(E88,0,$Q$3-1))</f>
        <v>1944554.422275356</v>
      </c>
      <c r="R88" s="36"/>
      <c r="S88" s="35"/>
    </row>
    <row r="89" spans="1:24" ht="17.25" thickBot="1">
      <c r="C89" s="34"/>
      <c r="Q89" s="33"/>
      <c r="R89" s="32"/>
      <c r="S89" s="31"/>
    </row>
    <row r="90" spans="1:24">
      <c r="A90" s="18"/>
      <c r="B90" s="18"/>
      <c r="C90" s="30" t="s">
        <v>3</v>
      </c>
      <c r="D90" s="315">
        <v>58979.87237384617</v>
      </c>
      <c r="E90" s="29">
        <v>77451.044065000009</v>
      </c>
      <c r="F90" s="28">
        <v>63055.526115384615</v>
      </c>
      <c r="G90" s="28">
        <v>52889.094421923059</v>
      </c>
      <c r="H90" s="28">
        <v>58686.245884230761</v>
      </c>
      <c r="I90" s="28">
        <v>66759.403963137273</v>
      </c>
      <c r="J90" s="28">
        <v>67487.60127137255</v>
      </c>
      <c r="K90" s="28">
        <v>61994.939384313744</v>
      </c>
      <c r="L90" s="315">
        <v>63961.589527450982</v>
      </c>
      <c r="M90" s="28">
        <v>60109.182763076926</v>
      </c>
      <c r="N90" s="28">
        <v>60381.641151538461</v>
      </c>
      <c r="O90" s="28">
        <v>60446.344861538477</v>
      </c>
      <c r="P90" s="315">
        <v>58979.87237384617</v>
      </c>
      <c r="Q90" s="27">
        <f ca="1">SUM(E90:OFFSET(E90,0,$Q$3-1))</f>
        <v>252081.91048653843</v>
      </c>
      <c r="R90" s="26"/>
      <c r="S90" s="25"/>
    </row>
    <row r="91" spans="1:24">
      <c r="A91" s="18"/>
      <c r="B91" s="18"/>
      <c r="C91" s="23" t="s">
        <v>2</v>
      </c>
      <c r="D91" s="459">
        <v>0</v>
      </c>
      <c r="E91" s="22">
        <v>0</v>
      </c>
      <c r="F91" s="22">
        <v>0</v>
      </c>
      <c r="G91" s="22">
        <v>0</v>
      </c>
      <c r="H91" s="22">
        <v>0</v>
      </c>
      <c r="I91" s="22">
        <v>0</v>
      </c>
      <c r="J91" s="22">
        <v>0</v>
      </c>
      <c r="K91" s="22">
        <v>0</v>
      </c>
      <c r="L91" s="316">
        <v>0</v>
      </c>
      <c r="M91" s="22">
        <v>0</v>
      </c>
      <c r="N91" s="22">
        <v>0</v>
      </c>
      <c r="O91" s="22">
        <v>0</v>
      </c>
      <c r="P91" s="387">
        <v>0</v>
      </c>
      <c r="Q91" s="24">
        <f ca="1">SUM(E91:OFFSET(E91,0,$Q$3-1))</f>
        <v>0</v>
      </c>
      <c r="R91" s="20"/>
      <c r="S91" s="19"/>
    </row>
    <row r="92" spans="1:24">
      <c r="A92" s="18"/>
      <c r="B92" s="18"/>
      <c r="C92" s="23" t="s">
        <v>1</v>
      </c>
      <c r="D92" s="459">
        <v>202202.87471730768</v>
      </c>
      <c r="E92" s="22">
        <v>205800.60856192309</v>
      </c>
      <c r="F92" s="22">
        <v>209386.76501884614</v>
      </c>
      <c r="G92" s="22">
        <v>209759.10606153851</v>
      </c>
      <c r="H92" s="22">
        <v>205689.6146473077</v>
      </c>
      <c r="I92" s="22">
        <v>181536.51060470592</v>
      </c>
      <c r="J92" s="22">
        <v>182418.1687478431</v>
      </c>
      <c r="K92" s="22">
        <v>183799.13511803924</v>
      </c>
      <c r="L92" s="316">
        <v>187387.4599937255</v>
      </c>
      <c r="M92" s="22">
        <v>186374.02454384614</v>
      </c>
      <c r="N92" s="22">
        <v>195101.29830115385</v>
      </c>
      <c r="O92" s="22">
        <v>196275.81174884617</v>
      </c>
      <c r="P92" s="387">
        <v>202202.87471730768</v>
      </c>
      <c r="Q92" s="21">
        <f ca="1">SUM(E92:OFFSET(E92,0,$Q$3-1))</f>
        <v>830636.0942896154</v>
      </c>
      <c r="R92" s="20"/>
      <c r="S92" s="19"/>
    </row>
    <row r="93" spans="1:24" ht="17.25" thickBot="1">
      <c r="A93" s="18"/>
      <c r="B93" s="18"/>
      <c r="C93" s="17" t="s">
        <v>0</v>
      </c>
      <c r="D93" s="460">
        <v>123361.96519230769</v>
      </c>
      <c r="E93" s="16">
        <v>127490.34442307692</v>
      </c>
      <c r="F93" s="16">
        <v>128303.03096153846</v>
      </c>
      <c r="G93" s="16">
        <v>128722.54826923077</v>
      </c>
      <c r="H93" s="16">
        <v>133048.90023076924</v>
      </c>
      <c r="I93" s="16">
        <v>108201.33180392157</v>
      </c>
      <c r="J93" s="16">
        <v>120854.32305882353</v>
      </c>
      <c r="K93" s="16">
        <v>135076.54254901962</v>
      </c>
      <c r="L93" s="317">
        <v>130229.21266666667</v>
      </c>
      <c r="M93" s="16">
        <v>140237.82769230771</v>
      </c>
      <c r="N93" s="16">
        <v>125776.19057692308</v>
      </c>
      <c r="O93" s="16">
        <v>108261.98830769231</v>
      </c>
      <c r="P93" s="388">
        <v>123361.96519230769</v>
      </c>
      <c r="Q93" s="15">
        <f ca="1">SUM(E93:OFFSET(E93,0,$Q$3-1))</f>
        <v>517564.82388461538</v>
      </c>
      <c r="R93" s="14"/>
      <c r="S93" s="13"/>
    </row>
    <row r="94" spans="1:24">
      <c r="E94" s="9"/>
      <c r="F94" s="8"/>
      <c r="G94" s="7"/>
      <c r="H94" s="7"/>
      <c r="I94" s="7"/>
      <c r="J94" s="6"/>
      <c r="M94" s="5"/>
      <c r="N94" s="5"/>
      <c r="O94" s="5"/>
      <c r="Q94" s="4"/>
      <c r="R94" s="3"/>
    </row>
    <row r="95" spans="1:24">
      <c r="D95" s="10"/>
      <c r="E95" s="11"/>
      <c r="F95" s="11"/>
      <c r="G95" s="11"/>
      <c r="H95" s="11"/>
      <c r="I95" s="11"/>
      <c r="J95" s="11"/>
      <c r="K95" s="11"/>
      <c r="L95" s="11"/>
      <c r="M95" s="11"/>
      <c r="N95" s="11"/>
      <c r="O95" s="11"/>
      <c r="P95" s="10"/>
      <c r="Q95" s="10"/>
      <c r="R95" s="3"/>
    </row>
    <row r="96" spans="1:24">
      <c r="D96" s="10">
        <v>264242.51125251432</v>
      </c>
      <c r="F96" s="9"/>
      <c r="G96" s="7"/>
      <c r="H96" s="7"/>
      <c r="I96" s="10"/>
      <c r="J96" s="10"/>
      <c r="K96" s="10"/>
      <c r="L96" s="10"/>
      <c r="M96" s="10"/>
      <c r="N96" s="10"/>
      <c r="O96" s="10"/>
      <c r="P96" s="10"/>
      <c r="Q96" s="10"/>
      <c r="R96" s="3"/>
    </row>
    <row r="97" spans="4:18">
      <c r="E97" s="9"/>
      <c r="F97" s="9"/>
      <c r="G97" s="9"/>
      <c r="H97" s="7"/>
      <c r="I97" s="7"/>
      <c r="J97" s="6"/>
      <c r="M97" s="5"/>
      <c r="N97" s="5"/>
      <c r="O97" s="5"/>
      <c r="Q97" s="4"/>
      <c r="R97" s="9"/>
    </row>
    <row r="98" spans="4:18">
      <c r="D98" s="9"/>
      <c r="E98" s="9"/>
      <c r="F98" s="9"/>
      <c r="G98" s="9"/>
      <c r="H98" s="9"/>
      <c r="I98" s="9"/>
      <c r="J98" s="9"/>
      <c r="K98" s="9"/>
      <c r="L98" s="9"/>
      <c r="M98" s="9"/>
      <c r="N98" s="9"/>
      <c r="O98" s="9"/>
      <c r="P98" s="9"/>
      <c r="Q98" s="9"/>
      <c r="R98" s="3"/>
    </row>
    <row r="99" spans="4:18">
      <c r="E99" s="9"/>
      <c r="F99" s="8"/>
      <c r="G99" s="7"/>
      <c r="H99" s="7"/>
      <c r="I99" s="7"/>
      <c r="J99" s="6"/>
      <c r="M99" s="5"/>
      <c r="N99" s="5"/>
      <c r="O99" s="5"/>
      <c r="Q99" s="4"/>
      <c r="R99" s="3"/>
    </row>
    <row r="100" spans="4:18">
      <c r="E100" s="9"/>
      <c r="F100" s="8"/>
      <c r="G100" s="7"/>
      <c r="H100" s="7"/>
      <c r="I100" s="7"/>
      <c r="J100" s="6"/>
      <c r="M100" s="5"/>
      <c r="N100" s="5"/>
      <c r="O100" s="5"/>
      <c r="Q100" s="4"/>
      <c r="R100" s="3"/>
    </row>
    <row r="101" spans="4:18">
      <c r="E101" s="9"/>
      <c r="F101" s="8"/>
      <c r="G101" s="7"/>
      <c r="H101" s="7"/>
      <c r="I101" s="7"/>
      <c r="J101" s="6"/>
      <c r="M101" s="5"/>
      <c r="N101" s="5"/>
      <c r="O101" s="5"/>
      <c r="Q101" s="4"/>
      <c r="R101" s="3"/>
    </row>
    <row r="102" spans="4:18">
      <c r="E102" s="9"/>
      <c r="F102" s="8"/>
      <c r="G102" s="7"/>
      <c r="H102" s="7"/>
      <c r="I102" s="7"/>
      <c r="J102" s="6"/>
      <c r="M102" s="5"/>
      <c r="N102" s="5"/>
      <c r="O102" s="5"/>
      <c r="Q102" s="4"/>
      <c r="R102" s="3"/>
    </row>
    <row r="103" spans="4:18">
      <c r="E103" s="9"/>
      <c r="F103" s="8"/>
      <c r="G103" s="7"/>
      <c r="H103" s="7"/>
      <c r="I103" s="7"/>
      <c r="J103" s="6"/>
      <c r="M103" s="5"/>
      <c r="N103" s="5"/>
      <c r="O103" s="5"/>
      <c r="Q103" s="4"/>
      <c r="R103" s="3"/>
    </row>
  </sheetData>
  <phoneticPr fontId="93" type="noConversion"/>
  <pageMargins left="0.7" right="0.7" top="0.75" bottom="0.75" header="0.3" footer="0.3"/>
  <pageSetup paperSize="8" scale="75" orientation="portrait" r:id="rId1"/>
  <customProperties>
    <customPr name="BudgetSheetCodeName"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990"/>
  <sheetViews>
    <sheetView zoomScale="70" zoomScaleNormal="70" workbookViewId="0">
      <pane xSplit="2" ySplit="4" topLeftCell="D7" activePane="bottomRight" state="frozen"/>
      <selection activeCell="I85" sqref="I85"/>
      <selection pane="topRight" activeCell="I85" sqref="I85"/>
      <selection pane="bottomLeft" activeCell="I85" sqref="I85"/>
      <selection pane="bottomRight" activeCell="K41" sqref="K41"/>
    </sheetView>
  </sheetViews>
  <sheetFormatPr defaultColWidth="14.375" defaultRowHeight="15.75"/>
  <cols>
    <col min="1" max="1" width="11.375" style="408" customWidth="1"/>
    <col min="2" max="2" width="35.75" style="408" customWidth="1"/>
    <col min="3" max="3" width="13.75" style="408" hidden="1" customWidth="1"/>
    <col min="4" max="4" width="15.75" style="408" customWidth="1"/>
    <col min="5" max="5" width="12.625" style="408" customWidth="1"/>
    <col min="6" max="7" width="14.75" style="408" customWidth="1"/>
    <col min="8" max="9" width="15.125" style="408" customWidth="1"/>
    <col min="10" max="11" width="15.625" style="408" customWidth="1"/>
    <col min="12" max="12" width="79.25" style="408" customWidth="1"/>
    <col min="13" max="13" width="6.25" style="408" customWidth="1"/>
    <col min="14" max="14" width="19.125" style="408" customWidth="1"/>
    <col min="15" max="15" width="14.5" style="407" customWidth="1"/>
    <col min="16" max="19" width="12.875" style="407" customWidth="1"/>
    <col min="20" max="21" width="14.375" style="407"/>
    <col min="22" max="22" width="27.75" style="407" customWidth="1"/>
    <col min="23" max="26" width="14.375" style="407"/>
    <col min="27" max="16384" width="14.375" style="408"/>
  </cols>
  <sheetData>
    <row r="1" spans="1:21" ht="22.5" customHeight="1">
      <c r="A1" s="402"/>
      <c r="B1" s="403" t="s">
        <v>180</v>
      </c>
      <c r="C1" s="404"/>
      <c r="D1" s="404"/>
      <c r="E1" s="405"/>
      <c r="F1" s="405"/>
      <c r="G1" s="404"/>
      <c r="H1" s="404"/>
      <c r="I1" s="404"/>
      <c r="J1" s="404"/>
      <c r="K1" s="404"/>
      <c r="L1" s="407"/>
      <c r="M1" s="407"/>
      <c r="N1" s="407"/>
    </row>
    <row r="2" spans="1:21" ht="15.75" customHeight="1" thickBot="1">
      <c r="A2" s="402"/>
      <c r="B2" s="404"/>
      <c r="C2" s="404"/>
      <c r="D2" s="404"/>
      <c r="E2" s="409"/>
      <c r="F2" s="404"/>
      <c r="G2" s="409"/>
      <c r="H2" s="404"/>
      <c r="I2" s="409"/>
      <c r="J2" s="404"/>
      <c r="K2" s="410">
        <v>25500</v>
      </c>
      <c r="L2" s="407"/>
      <c r="M2" s="407"/>
      <c r="N2" s="407"/>
    </row>
    <row r="3" spans="1:21" ht="18.75" customHeight="1" thickBot="1">
      <c r="A3" s="402"/>
      <c r="B3" s="411" t="s">
        <v>179</v>
      </c>
      <c r="C3" s="452" t="s">
        <v>434</v>
      </c>
      <c r="D3" s="756" t="s">
        <v>420</v>
      </c>
      <c r="E3" s="757"/>
      <c r="F3" s="756" t="s">
        <v>421</v>
      </c>
      <c r="G3" s="757"/>
      <c r="H3" s="756" t="s">
        <v>422</v>
      </c>
      <c r="I3" s="757"/>
      <c r="J3" s="756" t="s">
        <v>423</v>
      </c>
      <c r="K3" s="757"/>
      <c r="L3" s="407"/>
      <c r="M3" s="407"/>
      <c r="N3" s="407"/>
    </row>
    <row r="4" spans="1:21" ht="19.5" customHeight="1">
      <c r="A4" s="412"/>
      <c r="B4" s="413" t="s">
        <v>177</v>
      </c>
      <c r="C4" s="453">
        <v>1149306.9611371683</v>
      </c>
      <c r="D4" s="414"/>
      <c r="E4" s="414">
        <f>D5+D6-D8-D7</f>
        <v>1168999.3610574722</v>
      </c>
      <c r="F4" s="415"/>
      <c r="G4" s="414">
        <f>F5+F6-F8-F7</f>
        <v>703067.00812044705</v>
      </c>
      <c r="H4" s="415"/>
      <c r="I4" s="414">
        <f>H5+H6-H8-H7</f>
        <v>1269497.5301529907</v>
      </c>
      <c r="J4" s="415"/>
      <c r="K4" s="414">
        <f>J5+J6-J8-J7</f>
        <v>891773.10984459938</v>
      </c>
      <c r="L4" s="416"/>
      <c r="M4" s="416"/>
      <c r="N4" s="417"/>
      <c r="O4" s="418"/>
      <c r="P4" s="434"/>
      <c r="Q4" s="418"/>
      <c r="S4" s="449"/>
    </row>
    <row r="5" spans="1:21" ht="19.5" customHeight="1">
      <c r="A5" s="402"/>
      <c r="B5" s="419" t="s">
        <v>176</v>
      </c>
      <c r="C5" s="420">
        <v>1030861.0338997766</v>
      </c>
      <c r="D5" s="421">
        <v>856754.83480769233</v>
      </c>
      <c r="E5" s="422"/>
      <c r="F5" s="423">
        <f>D8</f>
        <v>772365.72132523078</v>
      </c>
      <c r="G5" s="422"/>
      <c r="H5" s="423">
        <f>F8</f>
        <v>638942.0200846626</v>
      </c>
      <c r="I5" s="422"/>
      <c r="J5" s="423">
        <f>H8</f>
        <v>602966.11565936403</v>
      </c>
      <c r="K5" s="422"/>
      <c r="L5" s="424"/>
      <c r="M5" s="424"/>
      <c r="N5" s="418"/>
      <c r="O5" s="449"/>
      <c r="P5" s="449"/>
    </row>
    <row r="6" spans="1:21" ht="19.5" customHeight="1">
      <c r="A6" s="402"/>
      <c r="B6" s="419" t="s">
        <v>175</v>
      </c>
      <c r="C6" s="420">
        <v>1085840.320336923</v>
      </c>
      <c r="D6" s="425">
        <v>1247024.2277157693</v>
      </c>
      <c r="E6" s="422"/>
      <c r="F6" s="426">
        <v>672651.56201153842</v>
      </c>
      <c r="G6" s="422"/>
      <c r="H6" s="426">
        <v>1375706.6257276922</v>
      </c>
      <c r="I6" s="422"/>
      <c r="J6" s="426">
        <v>1112834.8698007693</v>
      </c>
      <c r="K6" s="422"/>
      <c r="L6" s="418"/>
      <c r="M6" s="418"/>
      <c r="N6" s="424"/>
      <c r="O6" s="449"/>
      <c r="P6" s="449"/>
    </row>
    <row r="7" spans="1:21" ht="19.5" customHeight="1" thickBot="1">
      <c r="A7" s="402"/>
      <c r="B7" s="419" t="s">
        <v>174</v>
      </c>
      <c r="C7" s="420">
        <v>12121.90018961695</v>
      </c>
      <c r="D7" s="425">
        <f>144827.980140759+17586</f>
        <v>162413.980140759</v>
      </c>
      <c r="E7" s="422"/>
      <c r="F7" s="426">
        <f>7919.25513165968+95089</f>
        <v>103008.25513165968</v>
      </c>
      <c r="G7" s="422"/>
      <c r="H7" s="426">
        <v>142185</v>
      </c>
      <c r="I7" s="422"/>
      <c r="J7" s="426">
        <v>13495.691807185183</v>
      </c>
      <c r="K7" s="422"/>
      <c r="L7" s="424"/>
      <c r="M7" s="424"/>
      <c r="N7" s="755" t="s">
        <v>840</v>
      </c>
      <c r="O7" s="755"/>
      <c r="P7" s="755"/>
      <c r="Q7" s="755"/>
      <c r="R7" s="755"/>
      <c r="S7" s="755"/>
      <c r="T7" s="755"/>
      <c r="U7" s="755"/>
    </row>
    <row r="8" spans="1:21" ht="19.5" customHeight="1">
      <c r="A8" s="402"/>
      <c r="B8" s="419" t="s">
        <v>173</v>
      </c>
      <c r="C8" s="420">
        <v>856754.83480769233</v>
      </c>
      <c r="D8" s="425">
        <v>772365.72132523078</v>
      </c>
      <c r="E8" s="422"/>
      <c r="F8" s="426">
        <v>638942.0200846626</v>
      </c>
      <c r="G8" s="422"/>
      <c r="H8" s="426">
        <v>602966.11565936403</v>
      </c>
      <c r="I8" s="422"/>
      <c r="J8" s="426">
        <v>810532.18380834872</v>
      </c>
      <c r="K8" s="422"/>
      <c r="L8" s="418"/>
      <c r="M8" s="418"/>
      <c r="N8" s="630" t="s">
        <v>841</v>
      </c>
      <c r="O8" s="630" t="s">
        <v>842</v>
      </c>
      <c r="P8" s="630" t="s">
        <v>420</v>
      </c>
      <c r="Q8" s="630" t="s">
        <v>421</v>
      </c>
      <c r="R8" s="636" t="s">
        <v>422</v>
      </c>
      <c r="S8" s="641" t="s">
        <v>423</v>
      </c>
      <c r="T8" s="639" t="s">
        <v>843</v>
      </c>
      <c r="U8" s="630" t="s">
        <v>844</v>
      </c>
    </row>
    <row r="9" spans="1:21" ht="19.5" customHeight="1">
      <c r="A9" s="402"/>
      <c r="B9" s="427" t="s">
        <v>172</v>
      </c>
      <c r="C9" s="454"/>
      <c r="D9" s="428"/>
      <c r="E9" s="429">
        <f>D10</f>
        <v>433923.41153846151</v>
      </c>
      <c r="F9" s="430"/>
      <c r="G9" s="429">
        <f>F10</f>
        <v>488222.35665384616</v>
      </c>
      <c r="H9" s="430"/>
      <c r="I9" s="429">
        <v>547646.11311538459</v>
      </c>
      <c r="J9" s="430"/>
      <c r="K9" s="429">
        <f>J10</f>
        <v>598756.38061538467</v>
      </c>
      <c r="L9" s="431"/>
      <c r="N9" s="631" t="s">
        <v>851</v>
      </c>
      <c r="O9" s="632" t="s">
        <v>588</v>
      </c>
      <c r="P9" s="633">
        <v>433923</v>
      </c>
      <c r="Q9" s="633">
        <v>488222</v>
      </c>
      <c r="R9" s="637">
        <v>547646</v>
      </c>
      <c r="S9" s="642">
        <v>598756</v>
      </c>
      <c r="T9" s="640">
        <f>AVERAGE(P9:R9)</f>
        <v>489930.33333333331</v>
      </c>
      <c r="U9" s="634">
        <f>IFERROR((S9-T9)/T9,0)</f>
        <v>0.22212477828480381</v>
      </c>
    </row>
    <row r="10" spans="1:21">
      <c r="A10" s="402"/>
      <c r="B10" s="419" t="s">
        <v>57</v>
      </c>
      <c r="C10" s="432">
        <v>707689.54673076922</v>
      </c>
      <c r="D10" s="433">
        <v>433923.41153846151</v>
      </c>
      <c r="E10" s="422"/>
      <c r="F10" s="426">
        <v>488222.35665384616</v>
      </c>
      <c r="G10" s="422"/>
      <c r="H10" s="588">
        <v>547646.11311538459</v>
      </c>
      <c r="I10" s="422"/>
      <c r="J10" s="541">
        <v>598756.38061538467</v>
      </c>
      <c r="K10" s="422"/>
      <c r="L10" s="627"/>
      <c r="M10" s="627"/>
      <c r="N10" s="631" t="s">
        <v>845</v>
      </c>
      <c r="O10" s="632" t="s">
        <v>846</v>
      </c>
      <c r="P10" s="633">
        <v>84286</v>
      </c>
      <c r="Q10" s="633">
        <v>59208</v>
      </c>
      <c r="R10" s="637">
        <v>62988</v>
      </c>
      <c r="S10" s="642">
        <v>81166</v>
      </c>
      <c r="T10" s="640">
        <f>AVERAGE(P10:R10)</f>
        <v>68827.333333333328</v>
      </c>
      <c r="U10" s="634">
        <f>IFERROR((S10-T10)/T10,0)</f>
        <v>0.17926986371693424</v>
      </c>
    </row>
    <row r="11" spans="1:21" ht="19.5" customHeight="1">
      <c r="A11" s="402"/>
      <c r="B11" s="427" t="s">
        <v>171</v>
      </c>
      <c r="C11" s="454" t="s">
        <v>170</v>
      </c>
      <c r="D11" s="428" t="s">
        <v>170</v>
      </c>
      <c r="E11" s="429">
        <f>SUM(D12:D32)</f>
        <v>1073405.7133095181</v>
      </c>
      <c r="F11" s="430" t="s">
        <v>170</v>
      </c>
      <c r="G11" s="429">
        <f>SUM(F12:F32)</f>
        <v>1041810.5202339374</v>
      </c>
      <c r="H11" s="430" t="s">
        <v>170</v>
      </c>
      <c r="I11" s="429">
        <f>SUM(H12:H32)</f>
        <v>1116032.5229425235</v>
      </c>
      <c r="J11" s="430"/>
      <c r="K11" s="429">
        <f>SUM(J12:J32)</f>
        <v>1180721.9937166157</v>
      </c>
      <c r="L11" s="431"/>
      <c r="M11" s="431"/>
      <c r="N11" s="631" t="s">
        <v>847</v>
      </c>
      <c r="O11" s="632" t="s">
        <v>848</v>
      </c>
      <c r="P11" s="633">
        <v>867</v>
      </c>
      <c r="Q11" s="633">
        <v>858</v>
      </c>
      <c r="R11" s="637">
        <v>827</v>
      </c>
      <c r="S11" s="642">
        <v>801</v>
      </c>
      <c r="T11" s="640">
        <f>AVERAGE(P11:R11)</f>
        <v>850.66666666666663</v>
      </c>
      <c r="U11" s="634">
        <f>IFERROR((S11-T11)/T11,0)</f>
        <v>-5.8385579937304033E-2</v>
      </c>
    </row>
    <row r="12" spans="1:21" ht="17.25" customHeight="1" thickBot="1">
      <c r="A12" s="402"/>
      <c r="B12" s="419" t="s">
        <v>169</v>
      </c>
      <c r="C12" s="420">
        <v>40725.694769230766</v>
      </c>
      <c r="D12" s="425">
        <v>30875.726923076923</v>
      </c>
      <c r="E12" s="422"/>
      <c r="F12" s="426">
        <v>26018.553846153845</v>
      </c>
      <c r="G12" s="422"/>
      <c r="H12" s="426">
        <v>39132.474999999999</v>
      </c>
      <c r="I12" s="422"/>
      <c r="J12" s="426">
        <v>36421.748076923075</v>
      </c>
      <c r="K12" s="422"/>
      <c r="L12" s="435"/>
      <c r="M12" s="435"/>
      <c r="N12" s="631" t="s">
        <v>849</v>
      </c>
      <c r="O12" s="632" t="s">
        <v>850</v>
      </c>
      <c r="P12" s="635">
        <f>P10/P11</f>
        <v>97.215686274509807</v>
      </c>
      <c r="Q12" s="635">
        <f>Q10/Q11</f>
        <v>69.006993006993014</v>
      </c>
      <c r="R12" s="638">
        <f>R10/R11</f>
        <v>76.16444981862152</v>
      </c>
      <c r="S12" s="643">
        <f>S10/S11</f>
        <v>101.33083645443196</v>
      </c>
      <c r="T12" s="640">
        <f>AVERAGE(P12:R12)</f>
        <v>80.795709700041456</v>
      </c>
      <c r="U12" s="634">
        <f>IFERROR((S12-T12)/T12,0)</f>
        <v>0.25416110373469458</v>
      </c>
    </row>
    <row r="13" spans="1:21">
      <c r="A13" s="412"/>
      <c r="B13" s="436" t="s">
        <v>84</v>
      </c>
      <c r="C13" s="432">
        <v>419174.62273076922</v>
      </c>
      <c r="D13" s="437">
        <v>165249.43342307693</v>
      </c>
      <c r="E13" s="422"/>
      <c r="F13" s="426">
        <v>261565.85180769232</v>
      </c>
      <c r="G13" s="422"/>
      <c r="H13" s="541">
        <v>233883.33126923078</v>
      </c>
      <c r="I13" s="422"/>
      <c r="J13" s="541">
        <v>332468.06726923079</v>
      </c>
      <c r="K13" s="422"/>
      <c r="L13" s="604"/>
      <c r="M13" s="604"/>
      <c r="N13" s="434"/>
      <c r="O13" s="434"/>
      <c r="P13" s="434"/>
      <c r="Q13" s="434"/>
      <c r="R13" s="434"/>
      <c r="S13" s="434"/>
    </row>
    <row r="14" spans="1:21" ht="17.25" customHeight="1">
      <c r="A14" s="402"/>
      <c r="B14" s="438" t="s">
        <v>168</v>
      </c>
      <c r="C14" s="420">
        <v>1916.4866153846153</v>
      </c>
      <c r="D14" s="425">
        <v>2014.1001923076924</v>
      </c>
      <c r="E14" s="422"/>
      <c r="F14" s="426">
        <v>1722.0364615384615</v>
      </c>
      <c r="G14" s="422"/>
      <c r="H14" s="426">
        <v>1220.705923076923</v>
      </c>
      <c r="I14" s="422"/>
      <c r="J14" s="426">
        <v>2420.7851923076923</v>
      </c>
      <c r="K14" s="422"/>
      <c r="L14" s="435"/>
      <c r="M14" s="435"/>
      <c r="N14" s="434"/>
      <c r="O14" s="434"/>
      <c r="P14" s="434"/>
      <c r="Q14" s="434"/>
      <c r="R14" s="434"/>
      <c r="S14" s="434"/>
    </row>
    <row r="15" spans="1:21" ht="17.25" customHeight="1">
      <c r="A15" s="402"/>
      <c r="B15" s="419" t="s">
        <v>167</v>
      </c>
      <c r="C15" s="420">
        <v>1243.201423076923</v>
      </c>
      <c r="D15" s="425">
        <v>1433.0995</v>
      </c>
      <c r="E15" s="422"/>
      <c r="F15" s="426">
        <v>1079.4899230769231</v>
      </c>
      <c r="G15" s="422"/>
      <c r="H15" s="426">
        <v>1615.8566538461539</v>
      </c>
      <c r="I15" s="422"/>
      <c r="J15" s="426">
        <v>1882.0412307692309</v>
      </c>
      <c r="K15" s="422"/>
      <c r="L15" s="435"/>
      <c r="M15" s="435"/>
      <c r="N15" s="434"/>
      <c r="O15" s="434"/>
      <c r="P15" s="434"/>
      <c r="Q15" s="434"/>
      <c r="R15" s="434"/>
      <c r="S15" s="434"/>
    </row>
    <row r="16" spans="1:21" ht="17.25" customHeight="1">
      <c r="A16" s="412"/>
      <c r="B16" s="436" t="s">
        <v>166</v>
      </c>
      <c r="C16" s="439">
        <v>20311.871346153846</v>
      </c>
      <c r="D16" s="425">
        <v>9777.1291538461537</v>
      </c>
      <c r="E16" s="422"/>
      <c r="F16" s="426">
        <v>5936.5593846153843</v>
      </c>
      <c r="G16" s="422"/>
      <c r="H16" s="426">
        <v>25174.5825</v>
      </c>
      <c r="I16" s="422"/>
      <c r="J16" s="426">
        <v>21625.903769230768</v>
      </c>
      <c r="K16" s="422"/>
      <c r="L16" s="435"/>
      <c r="M16" s="435"/>
      <c r="N16" s="434"/>
      <c r="O16" s="434"/>
      <c r="P16" s="434"/>
      <c r="Q16" s="434"/>
      <c r="R16" s="434"/>
      <c r="S16" s="434"/>
    </row>
    <row r="17" spans="1:19" ht="17.25" customHeight="1">
      <c r="A17" s="402"/>
      <c r="B17" s="419" t="s">
        <v>165</v>
      </c>
      <c r="C17" s="420">
        <v>8829.0431923076922</v>
      </c>
      <c r="D17" s="425">
        <v>9193.1379615384612</v>
      </c>
      <c r="E17" s="422"/>
      <c r="F17" s="426">
        <v>4507.1176538461541</v>
      </c>
      <c r="G17" s="422"/>
      <c r="H17" s="426">
        <v>6140.4253846153842</v>
      </c>
      <c r="I17" s="422"/>
      <c r="J17" s="426">
        <v>7120.4120000000003</v>
      </c>
      <c r="K17" s="422"/>
      <c r="L17" s="628"/>
      <c r="M17" s="628"/>
      <c r="N17" s="434"/>
      <c r="O17" s="434"/>
      <c r="P17" s="434"/>
      <c r="Q17" s="434"/>
      <c r="R17" s="434"/>
      <c r="S17" s="434"/>
    </row>
    <row r="18" spans="1:19" ht="17.25" customHeight="1">
      <c r="A18" s="402"/>
      <c r="B18" s="436" t="s">
        <v>164</v>
      </c>
      <c r="C18" s="439">
        <v>525.15269230769229</v>
      </c>
      <c r="D18" s="425">
        <v>0</v>
      </c>
      <c r="E18" s="422"/>
      <c r="F18" s="426">
        <v>3165.6298076923076</v>
      </c>
      <c r="G18" s="422"/>
      <c r="H18" s="426">
        <v>0</v>
      </c>
      <c r="I18" s="422"/>
      <c r="J18" s="426">
        <v>858.98830769230767</v>
      </c>
      <c r="K18" s="422"/>
      <c r="L18" s="628"/>
      <c r="M18" s="628"/>
      <c r="N18" s="434"/>
      <c r="O18" s="434"/>
      <c r="P18" s="434"/>
      <c r="Q18" s="434"/>
      <c r="R18" s="434"/>
      <c r="S18" s="434"/>
    </row>
    <row r="19" spans="1:19" ht="17.25" customHeight="1">
      <c r="A19" s="402"/>
      <c r="B19" s="419" t="s">
        <v>163</v>
      </c>
      <c r="C19" s="420">
        <v>41890.523038461535</v>
      </c>
      <c r="D19" s="425">
        <v>39464.831730769234</v>
      </c>
      <c r="E19" s="422"/>
      <c r="F19" s="426">
        <v>39304</v>
      </c>
      <c r="G19" s="422"/>
      <c r="H19" s="426">
        <v>40245.247730769232</v>
      </c>
      <c r="I19" s="422"/>
      <c r="J19" s="426">
        <v>41604.531999999999</v>
      </c>
      <c r="K19" s="422"/>
      <c r="L19" s="435"/>
      <c r="M19" s="435"/>
      <c r="N19" s="434"/>
      <c r="O19" s="434"/>
      <c r="P19" s="434"/>
      <c r="Q19" s="434"/>
      <c r="R19" s="434"/>
      <c r="S19" s="434"/>
    </row>
    <row r="20" spans="1:19" ht="17.25" customHeight="1">
      <c r="A20" s="402"/>
      <c r="B20" s="419" t="s">
        <v>602</v>
      </c>
      <c r="C20" s="420">
        <v>4185.0892692307689</v>
      </c>
      <c r="D20" s="425">
        <v>3673.9295000000002</v>
      </c>
      <c r="E20" s="422"/>
      <c r="F20" s="426">
        <v>1429.8446538461537</v>
      </c>
      <c r="G20" s="422"/>
      <c r="H20" s="426">
        <v>6763.475692307692</v>
      </c>
      <c r="I20" s="422"/>
      <c r="J20" s="426">
        <v>5937.7376153846153</v>
      </c>
      <c r="K20" s="422"/>
      <c r="L20" s="435"/>
      <c r="M20" s="435"/>
      <c r="N20" s="434"/>
      <c r="O20" s="434"/>
      <c r="P20" s="434"/>
      <c r="Q20" s="434"/>
      <c r="R20" s="434"/>
      <c r="S20" s="434"/>
    </row>
    <row r="21" spans="1:19" ht="17.25" customHeight="1">
      <c r="A21" s="402"/>
      <c r="B21" s="419" t="s">
        <v>1</v>
      </c>
      <c r="C21" s="420">
        <v>189836.69060038458</v>
      </c>
      <c r="D21" s="425">
        <v>194564.23213692306</v>
      </c>
      <c r="E21" s="422"/>
      <c r="F21" s="426">
        <v>197097.27504076922</v>
      </c>
      <c r="G21" s="422"/>
      <c r="H21" s="426">
        <v>196701.98752538458</v>
      </c>
      <c r="I21" s="422"/>
      <c r="J21" s="426">
        <v>192632.49611115383</v>
      </c>
      <c r="K21" s="422"/>
      <c r="L21" s="435"/>
      <c r="M21" s="435"/>
      <c r="N21" s="434"/>
      <c r="O21" s="434"/>
      <c r="P21" s="434"/>
      <c r="Q21" s="434"/>
      <c r="R21" s="434"/>
      <c r="S21" s="434"/>
    </row>
    <row r="22" spans="1:19" ht="17.25" customHeight="1">
      <c r="A22" s="402"/>
      <c r="B22" s="419" t="s">
        <v>0</v>
      </c>
      <c r="C22" s="420">
        <v>121129.45626923077</v>
      </c>
      <c r="D22" s="425">
        <v>120468.2091923077</v>
      </c>
      <c r="E22" s="422"/>
      <c r="F22" s="426">
        <v>124800.87246153846</v>
      </c>
      <c r="G22" s="422"/>
      <c r="H22" s="426">
        <v>127080.79465384615</v>
      </c>
      <c r="I22" s="422"/>
      <c r="J22" s="426">
        <v>130447.53711538462</v>
      </c>
      <c r="K22" s="422"/>
      <c r="L22" s="435"/>
      <c r="M22" s="435"/>
      <c r="N22" s="434"/>
      <c r="O22" s="434"/>
      <c r="P22" s="434"/>
      <c r="Q22" s="434"/>
      <c r="R22" s="434"/>
      <c r="S22" s="434"/>
    </row>
    <row r="23" spans="1:19" ht="17.25" customHeight="1">
      <c r="A23" s="402"/>
      <c r="B23" s="419" t="s">
        <v>162</v>
      </c>
      <c r="C23" s="420">
        <v>68404.03734615384</v>
      </c>
      <c r="D23" s="425">
        <v>66169.141807692315</v>
      </c>
      <c r="E23" s="422"/>
      <c r="F23" s="426">
        <v>67646.06815384615</v>
      </c>
      <c r="G23" s="422"/>
      <c r="H23" s="426">
        <v>68804.584153846154</v>
      </c>
      <c r="I23" s="422"/>
      <c r="J23" s="426">
        <v>69983.352269230774</v>
      </c>
      <c r="K23" s="422"/>
      <c r="L23" s="435"/>
      <c r="M23" s="435"/>
      <c r="N23" s="434"/>
      <c r="O23" s="434"/>
      <c r="P23" s="434"/>
      <c r="Q23" s="434"/>
      <c r="R23" s="434"/>
      <c r="S23" s="434"/>
    </row>
    <row r="24" spans="1:19" ht="17.25" customHeight="1">
      <c r="A24" s="412"/>
      <c r="B24" s="436" t="s">
        <v>161</v>
      </c>
      <c r="C24" s="439">
        <v>87754.566153846157</v>
      </c>
      <c r="D24" s="425">
        <v>98953.734615384616</v>
      </c>
      <c r="E24" s="422"/>
      <c r="F24" s="426">
        <v>72915.855384615381</v>
      </c>
      <c r="G24" s="422"/>
      <c r="H24" s="426">
        <v>68269.669230769228</v>
      </c>
      <c r="I24" s="422"/>
      <c r="J24" s="426">
        <v>51752.566461538459</v>
      </c>
      <c r="K24" s="422"/>
      <c r="L24" s="435"/>
      <c r="M24" s="435"/>
      <c r="N24" s="434"/>
      <c r="O24" s="434"/>
      <c r="P24" s="434"/>
      <c r="Q24" s="434"/>
      <c r="R24" s="434"/>
      <c r="S24" s="434"/>
    </row>
    <row r="25" spans="1:19" ht="24.95" hidden="1" customHeight="1">
      <c r="A25" s="402"/>
      <c r="B25" s="419" t="s">
        <v>160</v>
      </c>
      <c r="C25" s="420">
        <v>0</v>
      </c>
      <c r="D25" s="425">
        <v>0</v>
      </c>
      <c r="E25" s="422"/>
      <c r="F25" s="426">
        <v>0</v>
      </c>
      <c r="G25" s="422"/>
      <c r="H25" s="426">
        <v>0</v>
      </c>
      <c r="I25" s="422"/>
      <c r="J25" s="426">
        <v>0</v>
      </c>
      <c r="K25" s="422"/>
      <c r="L25" s="435"/>
      <c r="M25" s="435"/>
      <c r="N25" s="434"/>
      <c r="O25" s="434"/>
      <c r="P25" s="434"/>
      <c r="Q25" s="434"/>
      <c r="R25" s="434"/>
      <c r="S25" s="434"/>
    </row>
    <row r="26" spans="1:19" ht="17.25" customHeight="1">
      <c r="A26" s="402"/>
      <c r="B26" s="419" t="s">
        <v>159</v>
      </c>
      <c r="C26" s="420">
        <v>157183.23175716985</v>
      </c>
      <c r="D26" s="425">
        <v>186565.44233125236</v>
      </c>
      <c r="E26" s="422"/>
      <c r="F26" s="426">
        <v>120012.68518289358</v>
      </c>
      <c r="G26" s="422"/>
      <c r="H26" s="541">
        <v>182136.45988950081</v>
      </c>
      <c r="I26" s="422"/>
      <c r="J26" s="426">
        <v>155166.33783287567</v>
      </c>
      <c r="K26" s="422"/>
      <c r="L26" s="435"/>
      <c r="M26" s="435"/>
      <c r="N26" s="434"/>
      <c r="O26" s="434"/>
      <c r="P26" s="434"/>
      <c r="Q26" s="434"/>
      <c r="R26" s="434"/>
      <c r="S26" s="434"/>
    </row>
    <row r="27" spans="1:19" ht="17.25" customHeight="1">
      <c r="A27" s="412"/>
      <c r="B27" s="436" t="s">
        <v>158</v>
      </c>
      <c r="C27" s="439">
        <v>68978.213258894859</v>
      </c>
      <c r="D27" s="425">
        <v>77037.882159804154</v>
      </c>
      <c r="E27" s="422"/>
      <c r="F27" s="426">
        <v>58515.961471813163</v>
      </c>
      <c r="G27" s="422"/>
      <c r="H27" s="426">
        <v>54899.256393022362</v>
      </c>
      <c r="I27" s="422"/>
      <c r="J27" s="426">
        <v>57669.670761419868</v>
      </c>
      <c r="K27" s="422"/>
      <c r="L27" s="435"/>
      <c r="M27" s="435"/>
      <c r="N27" s="434"/>
      <c r="O27" s="434"/>
      <c r="P27" s="434"/>
      <c r="Q27" s="434"/>
      <c r="R27" s="434"/>
      <c r="S27" s="434"/>
    </row>
    <row r="28" spans="1:19" ht="17.25" customHeight="1">
      <c r="A28" s="402"/>
      <c r="B28" s="419" t="s">
        <v>157</v>
      </c>
      <c r="C28" s="420">
        <v>5180.5048076923076</v>
      </c>
      <c r="D28" s="425">
        <v>3597.7884615384614</v>
      </c>
      <c r="E28" s="422"/>
      <c r="F28" s="426">
        <v>4279.4230769230771</v>
      </c>
      <c r="G28" s="422"/>
      <c r="H28" s="426">
        <v>4088.1730769230771</v>
      </c>
      <c r="I28" s="422"/>
      <c r="J28" s="426">
        <v>4454.3269230769229</v>
      </c>
      <c r="K28" s="422"/>
      <c r="L28" s="435"/>
      <c r="M28" s="435"/>
      <c r="N28" s="434"/>
      <c r="O28" s="434"/>
      <c r="P28" s="434"/>
      <c r="Q28" s="434"/>
      <c r="R28" s="434"/>
      <c r="S28" s="434"/>
    </row>
    <row r="29" spans="1:19" ht="17.25" customHeight="1">
      <c r="A29" s="402"/>
      <c r="B29" s="419" t="s">
        <v>156</v>
      </c>
      <c r="C29" s="420">
        <v>3099.5597307692306</v>
      </c>
      <c r="D29" s="425">
        <v>3099.5597307692306</v>
      </c>
      <c r="E29" s="422"/>
      <c r="F29" s="426">
        <v>2900.371269230769</v>
      </c>
      <c r="G29" s="422"/>
      <c r="H29" s="426">
        <v>2682.8147307692307</v>
      </c>
      <c r="I29" s="422"/>
      <c r="J29" s="426">
        <v>2992.4230769230771</v>
      </c>
      <c r="K29" s="422"/>
      <c r="L29" s="435"/>
      <c r="M29" s="435"/>
      <c r="N29" s="434"/>
      <c r="O29" s="434"/>
      <c r="P29" s="434"/>
      <c r="Q29" s="434"/>
      <c r="R29" s="434"/>
      <c r="S29" s="434"/>
    </row>
    <row r="30" spans="1:19" ht="17.25" customHeight="1">
      <c r="A30" s="402"/>
      <c r="B30" s="419" t="s">
        <v>155</v>
      </c>
      <c r="C30" s="420">
        <v>37613.434115384618</v>
      </c>
      <c r="D30" s="425">
        <v>37506.739500000003</v>
      </c>
      <c r="E30" s="422"/>
      <c r="F30" s="426">
        <v>26003.423730769231</v>
      </c>
      <c r="G30" s="422"/>
      <c r="H30" s="426">
        <v>35617.722615384613</v>
      </c>
      <c r="I30" s="422"/>
      <c r="J30" s="426">
        <v>38360.332346153846</v>
      </c>
      <c r="K30" s="422"/>
      <c r="L30" s="435"/>
      <c r="M30" s="435"/>
      <c r="N30" s="434"/>
      <c r="O30" s="434"/>
      <c r="P30" s="434"/>
      <c r="Q30" s="434"/>
      <c r="R30" s="434"/>
      <c r="S30" s="434"/>
    </row>
    <row r="31" spans="1:19" ht="17.25" customHeight="1">
      <c r="A31" s="402"/>
      <c r="B31" s="419" t="s">
        <v>154</v>
      </c>
      <c r="C31" s="420">
        <v>2685.2371153846152</v>
      </c>
      <c r="D31" s="425">
        <v>1811.1249230769231</v>
      </c>
      <c r="E31" s="422"/>
      <c r="F31" s="426">
        <v>2175.5190769230771</v>
      </c>
      <c r="G31" s="422"/>
      <c r="H31" s="426">
        <v>2012.8434807692308</v>
      </c>
      <c r="I31" s="422"/>
      <c r="J31" s="426">
        <v>2208.0545000000002</v>
      </c>
      <c r="K31" s="422"/>
      <c r="L31" s="435"/>
      <c r="M31" s="435"/>
      <c r="N31" s="434"/>
      <c r="O31" s="434"/>
      <c r="P31" s="434"/>
      <c r="Q31" s="434"/>
      <c r="R31" s="434"/>
      <c r="S31" s="434"/>
    </row>
    <row r="32" spans="1:19" ht="17.25" customHeight="1">
      <c r="A32" s="402"/>
      <c r="B32" s="419" t="s">
        <v>45</v>
      </c>
      <c r="C32" s="420">
        <v>40330.683421538459</v>
      </c>
      <c r="D32" s="425">
        <v>21950.470066153848</v>
      </c>
      <c r="E32" s="422"/>
      <c r="F32" s="426">
        <v>20733.981846153845</v>
      </c>
      <c r="G32" s="422"/>
      <c r="H32" s="426">
        <v>19562.11703846154</v>
      </c>
      <c r="I32" s="422"/>
      <c r="J32" s="426">
        <v>24714.680857320098</v>
      </c>
      <c r="K32" s="422"/>
      <c r="L32" s="435"/>
      <c r="M32" s="435"/>
      <c r="N32" s="434"/>
      <c r="O32" s="434"/>
      <c r="P32" s="434"/>
      <c r="Q32" s="434"/>
      <c r="R32" s="434"/>
      <c r="S32" s="434"/>
    </row>
    <row r="33" spans="1:16" ht="19.5" customHeight="1">
      <c r="A33" s="402"/>
      <c r="B33" s="427" t="s">
        <v>153</v>
      </c>
      <c r="C33" s="454">
        <v>3177993.8075213097</v>
      </c>
      <c r="D33" s="440"/>
      <c r="E33" s="441">
        <f>E4+E9+E11</f>
        <v>2676328.4859054517</v>
      </c>
      <c r="F33" s="442"/>
      <c r="G33" s="441">
        <f>G4+G9+G11</f>
        <v>2233099.8850082308</v>
      </c>
      <c r="H33" s="442"/>
      <c r="I33" s="441">
        <f>I4+I9+I11</f>
        <v>2933176.1662108987</v>
      </c>
      <c r="J33" s="442"/>
      <c r="K33" s="441">
        <f>K4+K9+K11</f>
        <v>2671251.4841765999</v>
      </c>
      <c r="L33" s="434"/>
      <c r="M33" s="434"/>
      <c r="N33" s="434"/>
    </row>
    <row r="34" spans="1:16" ht="19.5" customHeight="1">
      <c r="A34" s="402"/>
      <c r="B34" s="427" t="s">
        <v>152</v>
      </c>
      <c r="C34" s="454">
        <v>515178.8508740933</v>
      </c>
      <c r="D34" s="440"/>
      <c r="E34" s="440">
        <v>400127.00184615387</v>
      </c>
      <c r="F34" s="442"/>
      <c r="G34" s="440">
        <f>E36</f>
        <v>419869.59561802616</v>
      </c>
      <c r="H34" s="442"/>
      <c r="I34" s="440">
        <f>G36</f>
        <v>439834.96061313339</v>
      </c>
      <c r="J34" s="442"/>
      <c r="K34" s="440">
        <f>I36</f>
        <v>240830.65607957458</v>
      </c>
      <c r="L34" s="434"/>
      <c r="M34" s="434"/>
      <c r="N34" s="434"/>
    </row>
    <row r="35" spans="1:16" ht="19.5" customHeight="1">
      <c r="A35" s="402"/>
      <c r="B35" s="427" t="s">
        <v>151</v>
      </c>
      <c r="C35" s="454">
        <v>3693172.6583954031</v>
      </c>
      <c r="D35" s="440"/>
      <c r="E35" s="443">
        <f>E33+E34</f>
        <v>3076455.4877516055</v>
      </c>
      <c r="F35" s="442"/>
      <c r="G35" s="443">
        <f>G33+G34</f>
        <v>2652969.4806262571</v>
      </c>
      <c r="H35" s="442"/>
      <c r="I35" s="443">
        <f>I33+I34</f>
        <v>3373011.126824032</v>
      </c>
      <c r="J35" s="442"/>
      <c r="K35" s="443">
        <f>K33+K34</f>
        <v>2912082.1402561744</v>
      </c>
      <c r="L35" s="434"/>
      <c r="M35" s="434"/>
      <c r="N35" s="434"/>
    </row>
    <row r="36" spans="1:16" ht="19.5" customHeight="1">
      <c r="A36" s="402"/>
      <c r="B36" s="427" t="s">
        <v>150</v>
      </c>
      <c r="C36" s="454">
        <v>400127.00180769229</v>
      </c>
      <c r="D36" s="440"/>
      <c r="E36" s="440">
        <v>419869.59561802616</v>
      </c>
      <c r="F36" s="442"/>
      <c r="G36" s="440">
        <v>439834.96061313339</v>
      </c>
      <c r="H36" s="442"/>
      <c r="I36" s="440">
        <v>240830.65607957458</v>
      </c>
      <c r="J36" s="442"/>
      <c r="K36" s="440">
        <v>194873.57747225423</v>
      </c>
      <c r="L36" s="434"/>
      <c r="M36" s="434"/>
      <c r="N36" s="434"/>
    </row>
    <row r="37" spans="1:16" ht="19.5" customHeight="1" thickBot="1">
      <c r="A37" s="402"/>
      <c r="B37" s="444" t="s">
        <v>149</v>
      </c>
      <c r="C37" s="455">
        <v>28799.842440536537</v>
      </c>
      <c r="D37" s="445"/>
      <c r="E37" s="440">
        <v>-155823.36061588069</v>
      </c>
      <c r="F37" s="442"/>
      <c r="G37" s="440">
        <v>2360.8871452985331</v>
      </c>
      <c r="H37" s="442"/>
      <c r="I37" s="440">
        <v>275644</v>
      </c>
      <c r="J37" s="442"/>
      <c r="K37" s="440">
        <v>40</v>
      </c>
      <c r="L37" s="451"/>
      <c r="M37" s="451"/>
      <c r="N37" s="434"/>
      <c r="O37" s="434"/>
      <c r="P37" s="434"/>
    </row>
    <row r="38" spans="1:16" ht="19.5" customHeight="1" thickBot="1">
      <c r="A38" s="402"/>
      <c r="B38" s="446" t="s">
        <v>148</v>
      </c>
      <c r="C38" s="465">
        <f>C35-C36-C37</f>
        <v>3264245.8141471739</v>
      </c>
      <c r="D38" s="447"/>
      <c r="E38" s="447">
        <f>E35-E36-E37</f>
        <v>2812409.2527494598</v>
      </c>
      <c r="F38" s="448"/>
      <c r="G38" s="447">
        <f>G35-G36-G37</f>
        <v>2210773.6328678252</v>
      </c>
      <c r="H38" s="448"/>
      <c r="I38" s="447">
        <f>I35-I36-I37</f>
        <v>2856536.4707444576</v>
      </c>
      <c r="J38" s="448"/>
      <c r="K38" s="447">
        <f>K35-K36-K37</f>
        <v>2717168.5627839202</v>
      </c>
      <c r="L38" s="434"/>
      <c r="M38" s="434"/>
      <c r="N38" s="434"/>
    </row>
    <row r="39" spans="1:16" ht="11.25" customHeight="1">
      <c r="A39" s="402"/>
      <c r="B39" s="404"/>
      <c r="C39" s="404"/>
      <c r="D39" s="404"/>
      <c r="E39" s="406"/>
      <c r="F39" s="404"/>
      <c r="G39" s="406"/>
      <c r="H39" s="404"/>
      <c r="I39" s="406"/>
      <c r="J39" s="404"/>
      <c r="K39" s="406"/>
      <c r="L39" s="434"/>
      <c r="M39" s="434"/>
      <c r="N39" s="434"/>
    </row>
    <row r="40" spans="1:16" ht="11.25" customHeight="1">
      <c r="A40" s="407"/>
      <c r="B40" s="407"/>
      <c r="C40" s="407"/>
      <c r="D40" s="407"/>
      <c r="E40" s="407"/>
      <c r="F40" s="407"/>
      <c r="G40" s="407"/>
      <c r="H40" s="407"/>
      <c r="I40" s="434"/>
      <c r="J40" s="407"/>
      <c r="K40" s="434"/>
      <c r="L40" s="434"/>
      <c r="M40" s="434"/>
      <c r="N40" s="434"/>
    </row>
    <row r="41" spans="1:16" ht="11.25" customHeight="1">
      <c r="A41" s="407"/>
      <c r="B41" s="407"/>
      <c r="C41" s="407"/>
      <c r="D41" s="407"/>
      <c r="E41" s="434"/>
      <c r="F41" s="434"/>
      <c r="G41" s="434"/>
      <c r="H41" s="407"/>
      <c r="I41" s="434"/>
      <c r="J41" s="407"/>
      <c r="K41" s="407"/>
      <c r="L41" s="434"/>
      <c r="M41" s="434"/>
      <c r="N41" s="434"/>
    </row>
    <row r="42" spans="1:16" ht="11.25" customHeight="1">
      <c r="A42" s="407"/>
      <c r="B42" s="407"/>
      <c r="C42" s="407"/>
      <c r="D42" s="407"/>
      <c r="E42" s="434"/>
      <c r="F42" s="434"/>
      <c r="G42" s="434"/>
      <c r="H42" s="407"/>
      <c r="I42" s="434"/>
      <c r="J42" s="407"/>
      <c r="K42" s="434"/>
      <c r="L42" s="434"/>
      <c r="M42" s="434"/>
      <c r="N42" s="434"/>
    </row>
    <row r="43" spans="1:16" ht="11.25" customHeight="1">
      <c r="A43" s="407"/>
      <c r="B43" s="407"/>
      <c r="C43" s="407"/>
      <c r="D43" s="407"/>
      <c r="E43" s="434"/>
      <c r="F43" s="434"/>
      <c r="G43" s="434"/>
      <c r="H43" s="407"/>
      <c r="I43" s="434"/>
      <c r="J43" s="407"/>
      <c r="K43" s="407"/>
      <c r="L43" s="434"/>
      <c r="M43" s="434"/>
      <c r="N43" s="434"/>
    </row>
    <row r="44" spans="1:16" ht="11.25" customHeight="1">
      <c r="A44" s="407"/>
      <c r="B44" s="407"/>
      <c r="C44" s="407"/>
      <c r="D44" s="407"/>
      <c r="E44" s="434"/>
      <c r="F44" s="434"/>
      <c r="G44" s="434"/>
      <c r="H44" s="407"/>
      <c r="I44" s="434"/>
      <c r="J44" s="407"/>
      <c r="K44" s="407"/>
      <c r="L44" s="434"/>
      <c r="M44" s="434"/>
      <c r="N44" s="434"/>
    </row>
    <row r="45" spans="1:16" ht="11.25" customHeight="1">
      <c r="A45" s="407"/>
      <c r="B45" s="407"/>
      <c r="C45" s="407"/>
      <c r="D45" s="407"/>
      <c r="E45" s="434"/>
      <c r="F45" s="434"/>
      <c r="G45" s="434"/>
      <c r="H45" s="407"/>
      <c r="I45" s="434"/>
      <c r="J45" s="407"/>
      <c r="K45" s="407"/>
      <c r="L45" s="434"/>
      <c r="M45" s="434"/>
      <c r="N45" s="434"/>
    </row>
    <row r="46" spans="1:16" ht="11.25" customHeight="1">
      <c r="A46" s="407"/>
      <c r="B46" s="407"/>
      <c r="C46" s="407"/>
      <c r="D46" s="407"/>
      <c r="E46" s="434"/>
      <c r="F46" s="434"/>
      <c r="G46" s="434"/>
      <c r="H46" s="407"/>
      <c r="I46" s="434"/>
      <c r="J46" s="407"/>
      <c r="K46" s="407"/>
      <c r="L46" s="434"/>
      <c r="M46" s="434"/>
      <c r="N46" s="434"/>
    </row>
    <row r="47" spans="1:16" ht="11.25" customHeight="1">
      <c r="A47" s="407"/>
      <c r="B47" s="407"/>
      <c r="C47" s="407"/>
      <c r="D47" s="407"/>
      <c r="E47" s="434"/>
      <c r="F47" s="434"/>
      <c r="G47" s="434"/>
      <c r="H47" s="407"/>
      <c r="I47" s="434"/>
      <c r="J47" s="407"/>
      <c r="K47" s="407"/>
      <c r="L47" s="434"/>
      <c r="M47" s="434"/>
      <c r="N47" s="434"/>
    </row>
    <row r="48" spans="1:16" ht="11.25" customHeight="1">
      <c r="A48" s="407"/>
      <c r="B48" s="407"/>
      <c r="C48" s="407"/>
      <c r="D48" s="407"/>
      <c r="E48" s="434"/>
      <c r="F48" s="434"/>
      <c r="G48" s="434"/>
      <c r="H48" s="407"/>
      <c r="I48" s="434"/>
      <c r="J48" s="407"/>
      <c r="K48" s="407"/>
      <c r="L48" s="434"/>
      <c r="M48" s="434"/>
      <c r="N48" s="434"/>
    </row>
    <row r="49" spans="1:14" ht="11.25" customHeight="1">
      <c r="A49" s="407"/>
      <c r="B49" s="407"/>
      <c r="C49" s="407"/>
      <c r="D49" s="407"/>
      <c r="E49" s="434"/>
      <c r="F49" s="434"/>
      <c r="G49" s="434"/>
      <c r="H49" s="407"/>
      <c r="I49" s="434"/>
      <c r="J49" s="407"/>
      <c r="K49" s="407"/>
      <c r="L49" s="434"/>
      <c r="M49" s="434"/>
      <c r="N49" s="434"/>
    </row>
    <row r="50" spans="1:14" ht="11.25" customHeight="1">
      <c r="A50" s="407"/>
      <c r="B50" s="407"/>
      <c r="C50" s="407"/>
      <c r="D50" s="407"/>
      <c r="E50" s="434"/>
      <c r="F50" s="434"/>
      <c r="G50" s="434"/>
      <c r="H50" s="407"/>
      <c r="I50" s="434"/>
      <c r="J50" s="407"/>
      <c r="K50" s="407"/>
      <c r="L50" s="434"/>
      <c r="M50" s="434"/>
      <c r="N50" s="434"/>
    </row>
    <row r="51" spans="1:14" ht="11.25" customHeight="1">
      <c r="A51" s="407"/>
      <c r="B51" s="407"/>
      <c r="C51" s="407"/>
      <c r="D51" s="407"/>
      <c r="E51" s="434"/>
      <c r="F51" s="434"/>
      <c r="G51" s="434"/>
      <c r="H51" s="407"/>
      <c r="I51" s="434"/>
      <c r="J51" s="407"/>
      <c r="K51" s="407"/>
      <c r="L51" s="434"/>
      <c r="M51" s="434"/>
      <c r="N51" s="434"/>
    </row>
    <row r="52" spans="1:14" ht="11.25" customHeight="1">
      <c r="A52" s="407"/>
      <c r="B52" s="407"/>
      <c r="C52" s="407"/>
      <c r="D52" s="407"/>
      <c r="E52" s="434"/>
      <c r="F52" s="434"/>
      <c r="G52" s="434"/>
      <c r="H52" s="407"/>
      <c r="I52" s="434"/>
      <c r="J52" s="407"/>
      <c r="K52" s="407"/>
      <c r="L52" s="434"/>
      <c r="M52" s="434"/>
      <c r="N52" s="434"/>
    </row>
    <row r="53" spans="1:14" ht="11.25" customHeight="1">
      <c r="A53" s="407"/>
      <c r="B53" s="407"/>
      <c r="C53" s="407"/>
      <c r="D53" s="407"/>
      <c r="E53" s="434"/>
      <c r="F53" s="434"/>
      <c r="G53" s="434"/>
      <c r="H53" s="407"/>
      <c r="I53" s="434"/>
      <c r="J53" s="407"/>
      <c r="K53" s="407"/>
      <c r="L53" s="434"/>
      <c r="M53" s="434"/>
      <c r="N53" s="434"/>
    </row>
    <row r="54" spans="1:14" ht="11.25" customHeight="1">
      <c r="A54" s="407"/>
      <c r="B54" s="407"/>
      <c r="C54" s="407"/>
      <c r="D54" s="407"/>
      <c r="E54" s="434"/>
      <c r="F54" s="434"/>
      <c r="G54" s="434"/>
      <c r="H54" s="407"/>
      <c r="I54" s="434"/>
      <c r="J54" s="407"/>
      <c r="K54" s="407"/>
      <c r="L54" s="434"/>
      <c r="M54" s="434"/>
      <c r="N54" s="434"/>
    </row>
    <row r="55" spans="1:14" ht="11.25" customHeight="1">
      <c r="A55" s="407"/>
      <c r="B55" s="407"/>
      <c r="C55" s="407"/>
      <c r="D55" s="407"/>
      <c r="E55" s="434"/>
      <c r="F55" s="434"/>
      <c r="G55" s="434"/>
      <c r="H55" s="407"/>
      <c r="I55" s="434"/>
      <c r="J55" s="407"/>
      <c r="K55" s="407"/>
      <c r="L55" s="434"/>
      <c r="M55" s="434"/>
      <c r="N55" s="434"/>
    </row>
    <row r="56" spans="1:14" ht="11.25" customHeight="1">
      <c r="A56" s="407"/>
      <c r="B56" s="407"/>
      <c r="C56" s="407"/>
      <c r="D56" s="407"/>
      <c r="E56" s="434"/>
      <c r="F56" s="434"/>
      <c r="G56" s="434"/>
      <c r="H56" s="407"/>
      <c r="I56" s="434"/>
      <c r="J56" s="407"/>
      <c r="K56" s="407"/>
      <c r="L56" s="434"/>
      <c r="M56" s="434"/>
      <c r="N56" s="434"/>
    </row>
    <row r="57" spans="1:14" ht="14.25" customHeight="1">
      <c r="A57" s="407"/>
      <c r="B57" s="407"/>
      <c r="C57" s="407"/>
      <c r="D57" s="407"/>
      <c r="E57" s="407"/>
      <c r="F57" s="407"/>
      <c r="G57" s="407"/>
      <c r="H57" s="407"/>
      <c r="I57" s="449"/>
      <c r="J57" s="449"/>
      <c r="K57" s="449"/>
      <c r="L57" s="434"/>
      <c r="M57" s="434"/>
      <c r="N57" s="434"/>
    </row>
    <row r="58" spans="1:14" ht="14.25" customHeight="1">
      <c r="A58" s="407"/>
      <c r="B58" s="407"/>
      <c r="C58" s="407"/>
      <c r="D58" s="407"/>
      <c r="E58" s="407"/>
      <c r="F58" s="407"/>
      <c r="G58" s="407"/>
      <c r="H58" s="407"/>
      <c r="I58" s="450"/>
      <c r="J58" s="407"/>
      <c r="K58" s="450"/>
      <c r="L58" s="434"/>
      <c r="M58" s="434"/>
      <c r="N58" s="434"/>
    </row>
    <row r="59" spans="1:14" ht="14.25" customHeight="1">
      <c r="A59" s="407"/>
      <c r="B59" s="407"/>
      <c r="C59" s="407"/>
      <c r="D59" s="407"/>
      <c r="E59" s="407"/>
      <c r="F59" s="407"/>
      <c r="G59" s="407"/>
      <c r="H59" s="407"/>
      <c r="I59" s="407"/>
      <c r="J59" s="407"/>
      <c r="K59" s="407"/>
    </row>
    <row r="60" spans="1:14" ht="14.25" customHeight="1">
      <c r="A60" s="407"/>
      <c r="B60" s="407"/>
      <c r="C60" s="407"/>
      <c r="D60" s="407"/>
      <c r="E60" s="407"/>
      <c r="F60" s="407"/>
      <c r="G60" s="407"/>
      <c r="H60" s="407"/>
      <c r="I60" s="407"/>
      <c r="J60" s="407"/>
      <c r="K60" s="407"/>
    </row>
    <row r="61" spans="1:14" ht="14.25" customHeight="1">
      <c r="A61" s="407"/>
      <c r="B61" s="407"/>
      <c r="C61" s="407"/>
      <c r="D61" s="407"/>
      <c r="E61" s="407"/>
      <c r="F61" s="407"/>
      <c r="G61" s="407"/>
      <c r="H61" s="407"/>
      <c r="I61" s="407"/>
      <c r="J61" s="407"/>
      <c r="K61" s="407"/>
    </row>
    <row r="62" spans="1:14" ht="14.25" customHeight="1">
      <c r="A62" s="407"/>
      <c r="B62" s="407"/>
      <c r="C62" s="407"/>
      <c r="D62" s="407"/>
      <c r="E62" s="407"/>
      <c r="F62" s="407"/>
      <c r="G62" s="407"/>
      <c r="H62" s="407"/>
      <c r="I62" s="407"/>
      <c r="J62" s="407"/>
      <c r="K62" s="407"/>
    </row>
    <row r="63" spans="1:14" ht="14.25" customHeight="1">
      <c r="A63" s="407"/>
      <c r="B63" s="407"/>
      <c r="C63" s="407"/>
      <c r="D63" s="407"/>
      <c r="E63" s="407"/>
      <c r="F63" s="407"/>
      <c r="G63" s="407"/>
      <c r="H63" s="407"/>
      <c r="I63" s="407"/>
      <c r="J63" s="407"/>
      <c r="K63" s="407"/>
    </row>
    <row r="64" spans="1:14" ht="14.25" customHeight="1">
      <c r="A64" s="407"/>
      <c r="B64" s="407"/>
      <c r="C64" s="407"/>
      <c r="D64" s="407"/>
      <c r="E64" s="407"/>
      <c r="F64" s="407"/>
      <c r="G64" s="407"/>
      <c r="H64" s="407"/>
      <c r="I64" s="407"/>
      <c r="J64" s="407"/>
      <c r="K64" s="40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mergeCells count="5">
    <mergeCell ref="N7:U7"/>
    <mergeCell ref="D3:E3"/>
    <mergeCell ref="F3:G3"/>
    <mergeCell ref="H3:I3"/>
    <mergeCell ref="J3:K3"/>
  </mergeCells>
  <phoneticPr fontId="93" type="noConversion"/>
  <pageMargins left="0.7" right="0.7" top="0.75" bottom="0.75" header="0.3" footer="0.3"/>
  <pageSetup paperSize="9" orientation="portrait" r:id="rId1"/>
  <customProperties>
    <customPr name="BudgetSheetCodeName" r:id="rId2"/>
  </customProperties>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AE38"/>
  <sheetViews>
    <sheetView zoomScale="85" zoomScaleNormal="85" workbookViewId="0">
      <pane xSplit="2" ySplit="9" topLeftCell="C10" activePane="bottomRight" state="frozen"/>
      <selection activeCell="P17" sqref="P17"/>
      <selection pane="topRight" activeCell="P17" sqref="P17"/>
      <selection pane="bottomLeft" activeCell="P17" sqref="P17"/>
      <selection pane="bottomRight" activeCell="H4" sqref="H4"/>
    </sheetView>
  </sheetViews>
  <sheetFormatPr defaultColWidth="9.125" defaultRowHeight="16.5"/>
  <cols>
    <col min="1" max="1" width="9.125" style="1"/>
    <col min="2" max="2" width="13.125" style="1" bestFit="1" customWidth="1"/>
    <col min="3" max="3" width="11.125" style="1" customWidth="1"/>
    <col min="4" max="4" width="11.125" style="301" customWidth="1"/>
    <col min="5" max="5" width="11.125" style="1" customWidth="1"/>
    <col min="6" max="6" width="11.125" style="301" customWidth="1"/>
    <col min="7" max="7" width="11.125" style="1" customWidth="1"/>
    <col min="8" max="8" width="11.125" style="301" customWidth="1"/>
    <col min="9" max="9" width="11.125" style="1" customWidth="1"/>
    <col min="10" max="10" width="11.125" style="301" customWidth="1"/>
    <col min="11" max="11" width="12.375" style="1" customWidth="1"/>
    <col min="12" max="12" width="12.875" style="301" customWidth="1"/>
    <col min="13" max="13" width="13.875" style="1" customWidth="1"/>
    <col min="14" max="14" width="14.875" style="301" customWidth="1"/>
    <col min="15" max="15" width="13.625" style="1" customWidth="1"/>
    <col min="16" max="16" width="12" style="301" customWidth="1"/>
    <col min="17" max="17" width="10.125" style="1" customWidth="1"/>
    <col min="18" max="18" width="10.125" style="301" customWidth="1"/>
    <col min="19" max="19" width="10.125" style="1" customWidth="1"/>
    <col min="20" max="20" width="14.25" style="301" customWidth="1"/>
    <col min="21" max="21" width="10.125" style="301" customWidth="1"/>
    <col min="22" max="22" width="11.375" style="301" customWidth="1"/>
    <col min="23" max="26" width="11.875" style="301" customWidth="1"/>
    <col min="27" max="27" width="14.625" style="1" customWidth="1"/>
    <col min="28" max="28" width="14.75" style="301" customWidth="1"/>
    <col min="29" max="29" width="15.75" style="301" customWidth="1"/>
    <col min="30" max="30" width="8.25" style="309" customWidth="1"/>
    <col min="31" max="16384" width="9.125" style="1"/>
  </cols>
  <sheetData>
    <row r="1" spans="2:31" ht="17.25" thickBot="1">
      <c r="B1" s="329" t="s">
        <v>378</v>
      </c>
      <c r="D1" s="330"/>
      <c r="F1" s="330"/>
      <c r="H1" s="330"/>
      <c r="J1" s="330"/>
      <c r="L1" s="330"/>
      <c r="N1" s="330"/>
      <c r="P1" s="330"/>
      <c r="R1" s="330"/>
      <c r="T1" s="330"/>
      <c r="U1" s="1" t="s">
        <v>397</v>
      </c>
      <c r="V1" s="330"/>
      <c r="W1" s="330"/>
      <c r="X1" s="330"/>
      <c r="Y1" s="330"/>
      <c r="Z1" s="330"/>
      <c r="AB1" s="330"/>
      <c r="AC1" s="330"/>
      <c r="AD1" s="331"/>
    </row>
    <row r="2" spans="2:31" ht="17.25" thickTop="1">
      <c r="B2" s="758" t="s">
        <v>374</v>
      </c>
      <c r="C2" s="332" t="s">
        <v>420</v>
      </c>
      <c r="D2" s="333"/>
      <c r="E2" s="332" t="s">
        <v>421</v>
      </c>
      <c r="F2" s="333"/>
      <c r="G2" s="332" t="s">
        <v>422</v>
      </c>
      <c r="H2" s="333"/>
      <c r="I2" s="332" t="s">
        <v>423</v>
      </c>
      <c r="J2" s="333"/>
      <c r="K2" s="332" t="s">
        <v>424</v>
      </c>
      <c r="L2" s="333"/>
      <c r="M2" s="332" t="s">
        <v>425</v>
      </c>
      <c r="N2" s="333"/>
      <c r="O2" s="332" t="s">
        <v>426</v>
      </c>
      <c r="P2" s="333"/>
      <c r="Q2" s="332" t="s">
        <v>427</v>
      </c>
      <c r="R2" s="333"/>
      <c r="S2" s="332" t="s">
        <v>428</v>
      </c>
      <c r="T2" s="333"/>
      <c r="U2" s="332" t="s">
        <v>429</v>
      </c>
      <c r="V2" s="333"/>
      <c r="W2" s="332" t="s">
        <v>430</v>
      </c>
      <c r="X2" s="333"/>
      <c r="Y2" s="332" t="s">
        <v>431</v>
      </c>
      <c r="Z2" s="333"/>
      <c r="AA2" s="333" t="s">
        <v>435</v>
      </c>
      <c r="AB2" s="333"/>
      <c r="AC2" s="354"/>
      <c r="AD2" s="334"/>
    </row>
    <row r="3" spans="2:31">
      <c r="B3" s="759"/>
      <c r="C3" s="295" t="s">
        <v>436</v>
      </c>
      <c r="D3" s="296" t="s">
        <v>437</v>
      </c>
      <c r="E3" s="295" t="s">
        <v>438</v>
      </c>
      <c r="F3" s="296" t="s">
        <v>439</v>
      </c>
      <c r="G3" s="295" t="s">
        <v>440</v>
      </c>
      <c r="H3" s="296" t="s">
        <v>441</v>
      </c>
      <c r="I3" s="295" t="s">
        <v>442</v>
      </c>
      <c r="J3" s="296" t="s">
        <v>443</v>
      </c>
      <c r="K3" s="295" t="s">
        <v>444</v>
      </c>
      <c r="L3" s="296" t="s">
        <v>445</v>
      </c>
      <c r="M3" s="295" t="s">
        <v>446</v>
      </c>
      <c r="N3" s="296" t="s">
        <v>447</v>
      </c>
      <c r="O3" s="295" t="s">
        <v>448</v>
      </c>
      <c r="P3" s="296" t="s">
        <v>447</v>
      </c>
      <c r="Q3" s="295" t="s">
        <v>449</v>
      </c>
      <c r="R3" s="296" t="s">
        <v>450</v>
      </c>
      <c r="S3" s="295" t="s">
        <v>451</v>
      </c>
      <c r="T3" s="296" t="s">
        <v>452</v>
      </c>
      <c r="U3" s="295" t="s">
        <v>453</v>
      </c>
      <c r="V3" s="296" t="s">
        <v>454</v>
      </c>
      <c r="W3" s="295" t="s">
        <v>455</v>
      </c>
      <c r="X3" s="296" t="s">
        <v>456</v>
      </c>
      <c r="Y3" s="295" t="s">
        <v>457</v>
      </c>
      <c r="Z3" s="296" t="s">
        <v>458</v>
      </c>
      <c r="AA3" s="543" t="s">
        <v>375</v>
      </c>
      <c r="AB3" s="544" t="s">
        <v>376</v>
      </c>
      <c r="AC3" s="545" t="s">
        <v>406</v>
      </c>
      <c r="AD3" s="335" t="s">
        <v>380</v>
      </c>
    </row>
    <row r="4" spans="2:31">
      <c r="B4" s="336" t="s">
        <v>301</v>
      </c>
      <c r="C4" s="297">
        <f>SUMIF('NG by model'!$A:$A,B4,'NG by model'!D:D)</f>
        <v>82154</v>
      </c>
      <c r="D4" s="298">
        <f>SUMIF('NG by model'!$A:$A,B4,'NG by model'!E:E)</f>
        <v>83789.619807155381</v>
      </c>
      <c r="E4" s="297">
        <f>SUMIF('NG by model'!$A:$A,B4,'NG by model'!F:F)</f>
        <v>15974</v>
      </c>
      <c r="F4" s="298">
        <f>SUMIF('NG by model'!$A:$A,B4,'NG by model'!G:G)</f>
        <v>11734.883657415261</v>
      </c>
      <c r="G4" s="297">
        <f>SUMIF('NG by model'!$A:$A,B4,'NG by model'!H:H)</f>
        <v>109353</v>
      </c>
      <c r="H4" s="298">
        <f>SUMIF('NG by model'!$A:$A,B4,'NG by model'!I:I)</f>
        <v>138744.47721059222</v>
      </c>
      <c r="I4" s="297">
        <f>SUMIF('NG by model'!$A:$A,B4,'NG by model'!J:J)</f>
        <v>74013</v>
      </c>
      <c r="J4" s="298">
        <f>SUMIF('NG by model'!$A:$A,B4,'NG by model'!K:K)</f>
        <v>114274.94362876061</v>
      </c>
      <c r="K4" s="297"/>
      <c r="L4" s="298"/>
      <c r="M4" s="297"/>
      <c r="N4" s="298"/>
      <c r="O4" s="297"/>
      <c r="P4" s="298"/>
      <c r="Q4" s="297"/>
      <c r="R4" s="298"/>
      <c r="S4" s="297"/>
      <c r="T4" s="298"/>
      <c r="U4" s="297"/>
      <c r="V4" s="298"/>
      <c r="W4" s="297"/>
      <c r="X4" s="298"/>
      <c r="Y4" s="297"/>
      <c r="Z4" s="298"/>
      <c r="AA4" s="307">
        <f>C4+E4+G4+I4+K4+M4+O4+Q4+S4+U4+W4</f>
        <v>281494</v>
      </c>
      <c r="AB4" s="308">
        <f>D4+F4+H4+J4+L4+N4+P4+R4+T4+V4+X4</f>
        <v>348543.9243039235</v>
      </c>
      <c r="AC4" s="355">
        <f>SUMIF('Sch 1 - Sales'!R:R,B4,'Sch 1 - Sales'!P:P)</f>
        <v>0</v>
      </c>
      <c r="AD4" s="337">
        <f>AB4/$AB$9</f>
        <v>0.39690464790628222</v>
      </c>
    </row>
    <row r="5" spans="2:31">
      <c r="B5" s="336" t="s">
        <v>338</v>
      </c>
      <c r="C5" s="297">
        <v>3919</v>
      </c>
      <c r="D5" s="298">
        <f>SUMIF('NG by model'!$A:$A,B5,'NG by model'!E:E)</f>
        <v>47060.261783615126</v>
      </c>
      <c r="E5" s="297">
        <f>SUMIF('NG by model'!$A:$A,B5,'NG by model'!F:F)</f>
        <v>24530</v>
      </c>
      <c r="F5" s="298">
        <f>SUMIF('NG by model'!$A:$A,B5,'NG by model'!G:G)</f>
        <v>18277.959598490881</v>
      </c>
      <c r="G5" s="297">
        <f>SUMIF('NG by model'!$A:$A,B5,'NG by model'!H:H)</f>
        <v>100143</v>
      </c>
      <c r="H5" s="298">
        <f>SUMIF('NG by model'!$A:$A,B5,'NG by model'!I:I)</f>
        <v>62822.711844122459</v>
      </c>
      <c r="I5" s="297">
        <f>SUMIF('NG by model'!$A:$A,B5,'NG by model'!J:J)</f>
        <v>103193</v>
      </c>
      <c r="J5" s="298">
        <f>SUMIF('NG by model'!$A:$A,B5,'NG by model'!K:K)</f>
        <v>62099.278071054003</v>
      </c>
      <c r="K5" s="297"/>
      <c r="L5" s="298"/>
      <c r="M5" s="297"/>
      <c r="N5" s="298"/>
      <c r="O5" s="297"/>
      <c r="P5" s="298"/>
      <c r="Q5" s="297"/>
      <c r="R5" s="298"/>
      <c r="S5" s="297"/>
      <c r="T5" s="298"/>
      <c r="U5" s="297"/>
      <c r="V5" s="298"/>
      <c r="W5" s="297"/>
      <c r="X5" s="298"/>
      <c r="Y5" s="297"/>
      <c r="Z5" s="298"/>
      <c r="AA5" s="307">
        <f t="shared" ref="AA5:AA8" si="0">C5+E5+G5+I5+K5+M5+O5+Q5+S5+U5+W5</f>
        <v>231785</v>
      </c>
      <c r="AB5" s="308">
        <f t="shared" ref="AB5:AB8" si="1">D5+F5+H5+J5+L5+N5+P5+R5+T5+V5+X5</f>
        <v>190260.21129728245</v>
      </c>
      <c r="AC5" s="355">
        <f>SUMIF('Sch 1 - Sales'!R:R,B5,'Sch 1 - Sales'!P:P)</f>
        <v>0</v>
      </c>
      <c r="AD5" s="337">
        <f>AB5/$AB$9</f>
        <v>0.21665895432357329</v>
      </c>
    </row>
    <row r="6" spans="2:31">
      <c r="B6" s="336" t="s">
        <v>223</v>
      </c>
      <c r="C6" s="297">
        <v>19807</v>
      </c>
      <c r="D6" s="298">
        <f>SUMIF('NG by model'!$A:$A,B6,'NG by model'!E:E)</f>
        <v>60051.501063736163</v>
      </c>
      <c r="E6" s="297">
        <f>SUMIF('NG by model'!$A:$A,B6,'NG by model'!F:F)</f>
        <v>11056</v>
      </c>
      <c r="F6" s="298">
        <f>SUMIF('NG by model'!$A:$A,B6,'NG by model'!G:G)</f>
        <v>12286.578602537906</v>
      </c>
      <c r="G6" s="297">
        <f>SUMIF('NG by model'!$A:$A,B6,'NG by model'!H:H)</f>
        <v>55934</v>
      </c>
      <c r="H6" s="298">
        <f>SUMIF('NG by model'!$A:$A,B6,'NG by model'!I:I)</f>
        <v>94008.947893506891</v>
      </c>
      <c r="I6" s="297">
        <f>SUMIF('NG by model'!$A:$A,B6,'NG by model'!J:J)</f>
        <v>41752</v>
      </c>
      <c r="J6" s="298">
        <f>SUMIF('NG by model'!$A:$A,B6,'NG by model'!K:K)</f>
        <v>62956.793846905442</v>
      </c>
      <c r="K6" s="297"/>
      <c r="L6" s="298"/>
      <c r="M6" s="297"/>
      <c r="N6" s="298"/>
      <c r="O6" s="297"/>
      <c r="P6" s="298"/>
      <c r="Q6" s="297"/>
      <c r="R6" s="298"/>
      <c r="S6" s="297"/>
      <c r="T6" s="298"/>
      <c r="U6" s="297"/>
      <c r="V6" s="298"/>
      <c r="W6" s="297"/>
      <c r="X6" s="298"/>
      <c r="Y6" s="297"/>
      <c r="Z6" s="298"/>
      <c r="AA6" s="307">
        <f t="shared" si="0"/>
        <v>128549</v>
      </c>
      <c r="AB6" s="308">
        <f t="shared" si="1"/>
        <v>229303.82140668642</v>
      </c>
      <c r="AC6" s="355">
        <f>SUMIF('Sch 1 - Sales'!R:R,B6,'Sch 1 - Sales'!P:P)</f>
        <v>2680709.0037884619</v>
      </c>
      <c r="AD6" s="337">
        <f>AB6/$AB$9</f>
        <v>0.26111989380031603</v>
      </c>
    </row>
    <row r="7" spans="2:31">
      <c r="B7" s="336" t="s">
        <v>233</v>
      </c>
      <c r="C7" s="297">
        <v>58068</v>
      </c>
      <c r="D7" s="298">
        <f>SUMIF('NG by model'!$A:$A,B7,'NG by model'!E:E)</f>
        <v>26455.294395291163</v>
      </c>
      <c r="E7" s="297">
        <f>SUMIF('NG by model'!$A:$A,B7,'NG by model'!F:F)</f>
        <v>16611</v>
      </c>
      <c r="F7" s="298">
        <f>SUMIF('NG by model'!$A:$A,B7,'NG by model'!G:G)</f>
        <v>11075.958422942831</v>
      </c>
      <c r="G7" s="297">
        <f>SUMIF('NG by model'!$A:$A,B7,'NG by model'!H:H)</f>
        <v>65767</v>
      </c>
      <c r="H7" s="298">
        <f>SUMIF('NG by model'!$A:$A,B7,'NG by model'!I:I)</f>
        <v>28491.298536126709</v>
      </c>
      <c r="I7" s="297">
        <f>SUMIF('NG by model'!$A:$A,B7,'NG by model'!J:J)</f>
        <v>46003</v>
      </c>
      <c r="J7" s="298">
        <f>SUMIF('NG by model'!$A:$A,B7,'NG by model'!K:K)</f>
        <v>25824.410729584208</v>
      </c>
      <c r="K7" s="297"/>
      <c r="L7" s="298"/>
      <c r="M7" s="297"/>
      <c r="N7" s="298"/>
      <c r="O7" s="297"/>
      <c r="P7" s="298"/>
      <c r="Q7" s="297"/>
      <c r="R7" s="298"/>
      <c r="S7" s="297"/>
      <c r="T7" s="298"/>
      <c r="U7" s="297"/>
      <c r="V7" s="298"/>
      <c r="W7" s="297"/>
      <c r="X7" s="298"/>
      <c r="Y7" s="297"/>
      <c r="Z7" s="298"/>
      <c r="AA7" s="307">
        <f t="shared" si="0"/>
        <v>186449</v>
      </c>
      <c r="AB7" s="308">
        <f t="shared" si="1"/>
        <v>91846.96208394492</v>
      </c>
      <c r="AC7" s="355">
        <f>SUMIF('Sch 1 - Sales'!R:R,B7,'Sch 1 - Sales'!P:P)</f>
        <v>2385496.4719638461</v>
      </c>
      <c r="AD7" s="337">
        <f>AB7/$AB$9</f>
        <v>0.10459079503392005</v>
      </c>
    </row>
    <row r="8" spans="2:31">
      <c r="B8" s="336" t="s">
        <v>345</v>
      </c>
      <c r="C8" s="297">
        <v>672</v>
      </c>
      <c r="D8" s="298">
        <f>SUMIF('NG by model'!$A:$A,B8,'NG by model'!E:E)</f>
        <v>7382.5640731931253</v>
      </c>
      <c r="E8" s="297">
        <f>SUMIF('NG by model'!$A:$A,B8,'NG by model'!F:F)</f>
        <v>1668</v>
      </c>
      <c r="F8" s="298">
        <f>SUMIF('NG by model'!$A:$A,B8,'NG by model'!G:G)</f>
        <v>3585.0748530536575</v>
      </c>
      <c r="G8" s="297">
        <f>SUMIF('NG by model'!$A:$A,B8,'NG by model'!H:H)</f>
        <v>2222</v>
      </c>
      <c r="H8" s="298">
        <f>SUMIF('NG by model'!$A:$A,B8,'NG by model'!I:I)</f>
        <v>5019.2724133696647</v>
      </c>
      <c r="I8" s="297">
        <f>SUMIF('NG by model'!$A:$A,B8,'NG by model'!J:J)</f>
        <v>711</v>
      </c>
      <c r="J8" s="298">
        <f>SUMIF('NG by model'!$A:$A,B8,'NG by model'!K:K)</f>
        <v>2213.4800254352335</v>
      </c>
      <c r="K8" s="297"/>
      <c r="L8" s="298"/>
      <c r="M8" s="297"/>
      <c r="N8" s="298"/>
      <c r="O8" s="297"/>
      <c r="P8" s="298"/>
      <c r="Q8" s="297"/>
      <c r="R8" s="298"/>
      <c r="S8" s="297"/>
      <c r="T8" s="298"/>
      <c r="U8" s="297"/>
      <c r="V8" s="298"/>
      <c r="W8" s="297"/>
      <c r="X8" s="298"/>
      <c r="Y8" s="297"/>
      <c r="Z8" s="298"/>
      <c r="AA8" s="307">
        <f t="shared" si="0"/>
        <v>5273</v>
      </c>
      <c r="AB8" s="308">
        <f t="shared" si="1"/>
        <v>18200.391365051681</v>
      </c>
      <c r="AC8" s="355">
        <f>SUMIF('Sch 1 - Sales'!R:R,B8,'Sch 1 - Sales'!P:P)</f>
        <v>0</v>
      </c>
      <c r="AD8" s="337">
        <f>AB8/$AB$9</f>
        <v>2.0725708935908308E-2</v>
      </c>
    </row>
    <row r="9" spans="2:31">
      <c r="B9" s="338" t="s">
        <v>93</v>
      </c>
      <c r="C9" s="339">
        <f t="shared" ref="C9:AD9" si="2">SUM(C4:C8)</f>
        <v>164620</v>
      </c>
      <c r="D9" s="340">
        <f t="shared" si="2"/>
        <v>224739.24112299093</v>
      </c>
      <c r="E9" s="339">
        <f t="shared" si="2"/>
        <v>69839</v>
      </c>
      <c r="F9" s="340">
        <f t="shared" si="2"/>
        <v>56960.455134440534</v>
      </c>
      <c r="G9" s="339">
        <f t="shared" si="2"/>
        <v>333419</v>
      </c>
      <c r="H9" s="340">
        <f t="shared" si="2"/>
        <v>329086.70789771801</v>
      </c>
      <c r="I9" s="339">
        <f t="shared" si="2"/>
        <v>265672</v>
      </c>
      <c r="J9" s="340">
        <f t="shared" si="2"/>
        <v>267368.90630173945</v>
      </c>
      <c r="K9" s="339">
        <f t="shared" si="2"/>
        <v>0</v>
      </c>
      <c r="L9" s="340">
        <f t="shared" si="2"/>
        <v>0</v>
      </c>
      <c r="M9" s="339">
        <f t="shared" si="2"/>
        <v>0</v>
      </c>
      <c r="N9" s="340">
        <f t="shared" si="2"/>
        <v>0</v>
      </c>
      <c r="O9" s="339">
        <f t="shared" si="2"/>
        <v>0</v>
      </c>
      <c r="P9" s="340">
        <f t="shared" si="2"/>
        <v>0</v>
      </c>
      <c r="Q9" s="339">
        <f t="shared" si="2"/>
        <v>0</v>
      </c>
      <c r="R9" s="340">
        <f t="shared" si="2"/>
        <v>0</v>
      </c>
      <c r="S9" s="339">
        <f t="shared" si="2"/>
        <v>0</v>
      </c>
      <c r="T9" s="340">
        <f t="shared" si="2"/>
        <v>0</v>
      </c>
      <c r="U9" s="339">
        <f t="shared" si="2"/>
        <v>0</v>
      </c>
      <c r="V9" s="340">
        <f t="shared" si="2"/>
        <v>0</v>
      </c>
      <c r="W9" s="339">
        <f t="shared" si="2"/>
        <v>0</v>
      </c>
      <c r="X9" s="340">
        <f t="shared" si="2"/>
        <v>0</v>
      </c>
      <c r="Y9" s="339">
        <f t="shared" si="2"/>
        <v>0</v>
      </c>
      <c r="Z9" s="340">
        <f t="shared" si="2"/>
        <v>0</v>
      </c>
      <c r="AA9" s="339">
        <f t="shared" si="2"/>
        <v>833550</v>
      </c>
      <c r="AB9" s="340">
        <f t="shared" si="2"/>
        <v>878155.3104568891</v>
      </c>
      <c r="AC9" s="340">
        <f t="shared" si="2"/>
        <v>5066205.475752308</v>
      </c>
      <c r="AD9" s="341">
        <f t="shared" si="2"/>
        <v>0.99999999999999978</v>
      </c>
    </row>
    <row r="10" spans="2:31" s="309" customFormat="1" ht="17.25" thickBot="1">
      <c r="B10" s="342" t="s">
        <v>381</v>
      </c>
      <c r="C10" s="343"/>
      <c r="D10" s="343">
        <f>+D9/$AB$9</f>
        <v>0.25592197467446048</v>
      </c>
      <c r="E10" s="343"/>
      <c r="F10" s="343">
        <f>+F9/$AB$9</f>
        <v>6.4863759811239985E-2</v>
      </c>
      <c r="G10" s="343"/>
      <c r="H10" s="343">
        <f>+H9/$AB$9</f>
        <v>0.37474772853847443</v>
      </c>
      <c r="I10" s="343"/>
      <c r="J10" s="343">
        <f>+J9/$AB$9</f>
        <v>0.30446653697582493</v>
      </c>
      <c r="K10" s="343"/>
      <c r="L10" s="343">
        <f>+L9/$AB$9</f>
        <v>0</v>
      </c>
      <c r="M10" s="343"/>
      <c r="N10" s="343">
        <f>+N9/$AB$9</f>
        <v>0</v>
      </c>
      <c r="O10" s="343"/>
      <c r="P10" s="343">
        <f>+P9/$AB$9</f>
        <v>0</v>
      </c>
      <c r="Q10" s="343"/>
      <c r="R10" s="343">
        <f>+R9/$AB$9</f>
        <v>0</v>
      </c>
      <c r="S10" s="343"/>
      <c r="T10" s="343">
        <f>+T9/$AB$9</f>
        <v>0</v>
      </c>
      <c r="U10" s="343"/>
      <c r="V10" s="343">
        <f>+V9/$AB$9</f>
        <v>0</v>
      </c>
      <c r="W10" s="343"/>
      <c r="X10" s="343">
        <f>+X9/$AB$9</f>
        <v>0</v>
      </c>
      <c r="Y10" s="343"/>
      <c r="Z10" s="343">
        <f>+Z9/$AB$9</f>
        <v>0</v>
      </c>
      <c r="AA10" s="343"/>
      <c r="AB10" s="343"/>
      <c r="AC10" s="356"/>
      <c r="AD10" s="344"/>
    </row>
    <row r="11" spans="2:31" ht="17.25" thickTop="1"/>
    <row r="12" spans="2:31">
      <c r="B12" s="304" t="s">
        <v>377</v>
      </c>
      <c r="C12" s="305" t="s">
        <v>420</v>
      </c>
      <c r="D12" s="306" t="s">
        <v>421</v>
      </c>
      <c r="E12" s="305" t="s">
        <v>422</v>
      </c>
      <c r="F12" s="305" t="s">
        <v>423</v>
      </c>
      <c r="AB12" s="1"/>
      <c r="AD12" s="301"/>
      <c r="AE12" s="309"/>
    </row>
    <row r="13" spans="2:31">
      <c r="B13" s="302" t="s">
        <v>255</v>
      </c>
      <c r="C13" s="303">
        <f>+C9</f>
        <v>164620</v>
      </c>
      <c r="D13" s="303">
        <f>+E9</f>
        <v>69839</v>
      </c>
      <c r="E13" s="303">
        <f>+G9</f>
        <v>333419</v>
      </c>
      <c r="F13" s="303">
        <f>+I9</f>
        <v>265672</v>
      </c>
      <c r="AB13" s="1"/>
      <c r="AD13" s="301"/>
      <c r="AE13" s="309"/>
    </row>
    <row r="14" spans="2:31">
      <c r="B14" s="299" t="s">
        <v>256</v>
      </c>
      <c r="C14" s="300">
        <f>+D9</f>
        <v>224739.24112299093</v>
      </c>
      <c r="D14" s="300">
        <f>+F9</f>
        <v>56960.455134440534</v>
      </c>
      <c r="E14" s="300">
        <f>+H9</f>
        <v>329086.70789771801</v>
      </c>
      <c r="F14" s="300">
        <f>+J9</f>
        <v>267368.90630173945</v>
      </c>
      <c r="AB14" s="1"/>
      <c r="AD14" s="301"/>
      <c r="AE14" s="309"/>
    </row>
    <row r="15" spans="2:31">
      <c r="B15" s="348"/>
      <c r="C15" s="330"/>
      <c r="D15" s="330"/>
      <c r="E15" s="330"/>
      <c r="F15" s="330"/>
      <c r="G15" s="330"/>
      <c r="H15" s="330"/>
      <c r="I15" s="330"/>
      <c r="J15" s="330"/>
      <c r="K15" s="330"/>
      <c r="L15" s="330"/>
      <c r="M15" s="330"/>
    </row>
    <row r="16" spans="2:31">
      <c r="B16" s="348"/>
      <c r="C16" s="330"/>
      <c r="D16" s="330"/>
      <c r="E16" s="330"/>
      <c r="F16" s="330"/>
      <c r="G16" s="330"/>
      <c r="H16" s="330"/>
      <c r="I16" s="330"/>
      <c r="J16" s="330"/>
      <c r="K16" s="330"/>
      <c r="L16" s="330"/>
      <c r="M16" s="330"/>
    </row>
    <row r="17" spans="2:13">
      <c r="B17" s="348"/>
      <c r="C17" s="330"/>
      <c r="D17" s="330"/>
      <c r="E17" s="330"/>
      <c r="F17" s="330"/>
      <c r="G17" s="330"/>
      <c r="H17" s="330"/>
      <c r="I17" s="330"/>
      <c r="J17" s="330"/>
      <c r="K17" s="330"/>
      <c r="L17" s="330"/>
      <c r="M17" s="330"/>
    </row>
    <row r="35" spans="2:26" hidden="1">
      <c r="B35" s="310" t="s">
        <v>379</v>
      </c>
      <c r="C35" s="310"/>
      <c r="E35" s="310"/>
      <c r="G35" s="310"/>
      <c r="J35" s="301" t="s">
        <v>382</v>
      </c>
    </row>
    <row r="36" spans="2:26" hidden="1">
      <c r="B36" s="311" t="s">
        <v>383</v>
      </c>
      <c r="C36" s="310"/>
      <c r="E36" s="310"/>
      <c r="G36" s="310"/>
      <c r="J36" s="312" t="s">
        <v>384</v>
      </c>
    </row>
    <row r="37" spans="2:26" ht="15" hidden="1" customHeight="1">
      <c r="B37" s="311" t="s">
        <v>385</v>
      </c>
      <c r="C37" s="310"/>
      <c r="E37" s="310"/>
      <c r="G37" s="310"/>
      <c r="J37" s="312" t="s">
        <v>386</v>
      </c>
      <c r="K37" s="313"/>
      <c r="L37" s="313"/>
      <c r="M37" s="313"/>
      <c r="N37" s="313"/>
      <c r="O37" s="313"/>
      <c r="P37" s="313"/>
      <c r="Q37" s="313"/>
      <c r="R37" s="313"/>
      <c r="S37" s="313"/>
      <c r="T37" s="313"/>
      <c r="U37" s="313"/>
      <c r="V37" s="313"/>
      <c r="W37" s="313"/>
      <c r="X37" s="313"/>
      <c r="Y37" s="313"/>
      <c r="Z37" s="313"/>
    </row>
    <row r="38" spans="2:26" hidden="1"/>
  </sheetData>
  <mergeCells count="1">
    <mergeCell ref="B2:B3"/>
  </mergeCells>
  <phoneticPr fontId="93" type="noConversion"/>
  <pageMargins left="0.7" right="0.7" top="0.75" bottom="0.75" header="0.3" footer="0.3"/>
  <pageSetup orientation="portrait" r:id="rId1"/>
  <customProperties>
    <customPr name="BudgetSheetCodeName"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F83"/>
  <sheetViews>
    <sheetView zoomScaleNormal="100" workbookViewId="0">
      <pane xSplit="3" ySplit="3" topLeftCell="D55" activePane="bottomRight" state="frozen"/>
      <selection activeCell="P17" sqref="P17"/>
      <selection pane="topRight" activeCell="P17" sqref="P17"/>
      <selection pane="bottomLeft" activeCell="P17" sqref="P17"/>
      <selection pane="bottomRight" activeCell="AH89" sqref="AH89"/>
    </sheetView>
  </sheetViews>
  <sheetFormatPr defaultRowHeight="16.5"/>
  <cols>
    <col min="1" max="1" width="9.125" style="612"/>
    <col min="3" max="3" width="40.25" customWidth="1"/>
    <col min="4" max="4" width="12.875" style="293" customWidth="1"/>
    <col min="5" max="5" width="14.25" style="293" customWidth="1"/>
    <col min="6" max="6" width="11" style="293" customWidth="1"/>
    <col min="7" max="7" width="14.25" style="293" customWidth="1"/>
    <col min="8" max="8" width="15.25" style="293" bestFit="1" customWidth="1"/>
    <col min="9" max="9" width="14.25" style="293" customWidth="1"/>
    <col min="10" max="10" width="13.625" style="293" customWidth="1"/>
    <col min="11" max="11" width="15.375" style="293" customWidth="1"/>
    <col min="12" max="12" width="11.375" style="293" hidden="1" customWidth="1"/>
    <col min="13" max="13" width="14.25" style="293" hidden="1" customWidth="1"/>
    <col min="14" max="14" width="11.625" style="293" hidden="1" customWidth="1"/>
    <col min="15" max="15" width="18" style="293" hidden="1" customWidth="1"/>
    <col min="16" max="16" width="12.625" style="293" hidden="1" customWidth="1"/>
    <col min="17" max="17" width="17.625" style="293" hidden="1" customWidth="1"/>
    <col min="18" max="18" width="9" style="293" hidden="1" customWidth="1"/>
    <col min="19" max="19" width="15" style="293" hidden="1" customWidth="1"/>
    <col min="20" max="20" width="9" style="293" hidden="1" customWidth="1"/>
    <col min="21" max="21" width="15" style="293" hidden="1" customWidth="1"/>
    <col min="22" max="22" width="9" style="293" hidden="1" customWidth="1"/>
    <col min="23" max="23" width="15" style="293" hidden="1" customWidth="1"/>
    <col min="24" max="24" width="9" style="293" hidden="1" customWidth="1"/>
    <col min="25" max="25" width="15" style="380" hidden="1" customWidth="1"/>
    <col min="26" max="26" width="9" style="293" hidden="1" customWidth="1"/>
    <col min="27" max="27" width="15" style="380" hidden="1" customWidth="1"/>
    <col min="28" max="28" width="14.25" style="293" customWidth="1"/>
    <col min="29" max="29" width="18" style="294" customWidth="1"/>
    <col min="30" max="30" width="11.625" style="596" bestFit="1" customWidth="1"/>
    <col min="31" max="31" width="9.25" style="595" bestFit="1" customWidth="1"/>
  </cols>
  <sheetData>
    <row r="1" spans="1:32">
      <c r="D1"/>
      <c r="E1"/>
      <c r="F1"/>
      <c r="G1"/>
      <c r="H1"/>
      <c r="I1"/>
      <c r="J1"/>
      <c r="K1"/>
      <c r="L1"/>
      <c r="M1"/>
      <c r="N1"/>
      <c r="O1"/>
      <c r="P1"/>
      <c r="R1"/>
      <c r="S1" s="320">
        <v>25500</v>
      </c>
      <c r="T1"/>
      <c r="U1" s="320">
        <v>26000</v>
      </c>
      <c r="V1"/>
      <c r="W1" s="320">
        <v>26000</v>
      </c>
      <c r="X1"/>
      <c r="Y1" s="376">
        <v>26000</v>
      </c>
      <c r="Z1"/>
      <c r="AA1" s="376">
        <v>26000</v>
      </c>
      <c r="AB1"/>
      <c r="AC1" s="278"/>
    </row>
    <row r="2" spans="1:32">
      <c r="D2" s="279" t="s">
        <v>420</v>
      </c>
      <c r="E2" s="279"/>
      <c r="F2" s="279" t="s">
        <v>503</v>
      </c>
      <c r="G2" s="279"/>
      <c r="H2" s="279" t="s">
        <v>422</v>
      </c>
      <c r="I2" s="279"/>
      <c r="J2" s="279" t="s">
        <v>423</v>
      </c>
      <c r="K2" s="279"/>
      <c r="L2" s="279" t="s">
        <v>424</v>
      </c>
      <c r="M2" s="279"/>
      <c r="N2" s="279" t="s">
        <v>425</v>
      </c>
      <c r="O2" s="279"/>
      <c r="P2" s="279" t="s">
        <v>426</v>
      </c>
      <c r="Q2" s="279"/>
      <c r="R2" s="279" t="s">
        <v>427</v>
      </c>
      <c r="S2" s="279"/>
      <c r="T2" s="279" t="s">
        <v>428</v>
      </c>
      <c r="U2" s="321"/>
      <c r="V2" s="279" t="s">
        <v>429</v>
      </c>
      <c r="W2" s="321"/>
      <c r="X2" s="279" t="s">
        <v>430</v>
      </c>
      <c r="Y2" s="377"/>
      <c r="Z2" s="279" t="s">
        <v>431</v>
      </c>
      <c r="AA2" s="377"/>
      <c r="AB2" s="392" t="s">
        <v>459</v>
      </c>
      <c r="AC2" s="393"/>
    </row>
    <row r="3" spans="1:32">
      <c r="A3" s="613" t="s">
        <v>372</v>
      </c>
      <c r="B3" s="389" t="s">
        <v>253</v>
      </c>
      <c r="C3" s="389" t="s">
        <v>254</v>
      </c>
      <c r="D3" s="280" t="s">
        <v>255</v>
      </c>
      <c r="E3" s="281" t="s">
        <v>256</v>
      </c>
      <c r="F3" s="280" t="s">
        <v>255</v>
      </c>
      <c r="G3" s="281" t="s">
        <v>256</v>
      </c>
      <c r="H3" s="280" t="s">
        <v>255</v>
      </c>
      <c r="I3" s="281" t="s">
        <v>256</v>
      </c>
      <c r="J3" s="280" t="s">
        <v>255</v>
      </c>
      <c r="K3" s="281" t="s">
        <v>256</v>
      </c>
      <c r="L3" s="280" t="s">
        <v>255</v>
      </c>
      <c r="M3" s="281" t="s">
        <v>256</v>
      </c>
      <c r="N3" s="280" t="s">
        <v>255</v>
      </c>
      <c r="O3" s="281" t="s">
        <v>256</v>
      </c>
      <c r="P3" s="280" t="s">
        <v>255</v>
      </c>
      <c r="Q3" s="281" t="s">
        <v>256</v>
      </c>
      <c r="R3" s="280" t="s">
        <v>255</v>
      </c>
      <c r="S3" s="281" t="s">
        <v>256</v>
      </c>
      <c r="T3" s="280" t="s">
        <v>255</v>
      </c>
      <c r="U3" s="281" t="s">
        <v>256</v>
      </c>
      <c r="V3" s="280" t="s">
        <v>255</v>
      </c>
      <c r="W3" s="281" t="s">
        <v>256</v>
      </c>
      <c r="X3" s="280" t="s">
        <v>255</v>
      </c>
      <c r="Y3" s="281" t="s">
        <v>256</v>
      </c>
      <c r="Z3" s="280" t="s">
        <v>255</v>
      </c>
      <c r="AA3" s="281" t="s">
        <v>256</v>
      </c>
      <c r="AB3" s="323" t="s">
        <v>255</v>
      </c>
      <c r="AC3" s="324" t="s">
        <v>828</v>
      </c>
    </row>
    <row r="4" spans="1:32">
      <c r="A4" s="612" t="s">
        <v>338</v>
      </c>
      <c r="B4" s="390" t="s">
        <v>312</v>
      </c>
      <c r="C4" s="390" t="s">
        <v>313</v>
      </c>
      <c r="D4" s="282">
        <v>34558</v>
      </c>
      <c r="E4" s="283">
        <v>19659.482538875203</v>
      </c>
      <c r="F4" s="282">
        <v>5420</v>
      </c>
      <c r="G4" s="283">
        <v>3772.4068055890348</v>
      </c>
      <c r="H4" s="282">
        <v>62447</v>
      </c>
      <c r="I4" s="283">
        <v>36654.308959786555</v>
      </c>
      <c r="J4" s="282">
        <v>90710</v>
      </c>
      <c r="K4" s="283">
        <v>55851.949137634074</v>
      </c>
      <c r="L4" s="282"/>
      <c r="M4" s="283"/>
      <c r="N4" s="282"/>
      <c r="O4" s="283"/>
      <c r="P4" s="284"/>
      <c r="Q4" s="283"/>
      <c r="R4" s="284"/>
      <c r="S4" s="283"/>
      <c r="T4" s="284"/>
      <c r="U4" s="283"/>
      <c r="V4" s="284"/>
      <c r="W4" s="283"/>
      <c r="X4" s="284"/>
      <c r="Y4" s="378"/>
      <c r="Z4" s="284"/>
      <c r="AA4" s="378"/>
      <c r="AB4" s="325">
        <f t="shared" ref="AB4:AB35" si="0">D4+F4+H4+J4+L4+N4+P4+R4+T4+V4+X4+Z4</f>
        <v>193135</v>
      </c>
      <c r="AC4" s="326">
        <f t="shared" ref="AC4:AC35" si="1">E4+G4+I4+K4+M4+O4+Q4+S4+U4+W4+Y4+AA4</f>
        <v>115938.14744188487</v>
      </c>
      <c r="AF4" s="597"/>
    </row>
    <row r="5" spans="1:32">
      <c r="A5" s="612" t="s">
        <v>301</v>
      </c>
      <c r="B5" s="391" t="s">
        <v>269</v>
      </c>
      <c r="C5" s="391" t="s">
        <v>270</v>
      </c>
      <c r="D5" s="282">
        <v>18581</v>
      </c>
      <c r="E5" s="283">
        <v>29502.250285329032</v>
      </c>
      <c r="F5" s="282">
        <v>1042</v>
      </c>
      <c r="G5" s="283">
        <v>1956.724617301448</v>
      </c>
      <c r="H5" s="285">
        <v>28792</v>
      </c>
      <c r="I5" s="286">
        <v>48686.602168333106</v>
      </c>
      <c r="J5" s="282">
        <v>15198</v>
      </c>
      <c r="K5" s="283">
        <v>27650.593102689134</v>
      </c>
      <c r="L5" s="285"/>
      <c r="M5" s="286"/>
      <c r="N5" s="285"/>
      <c r="O5" s="286"/>
      <c r="P5" s="287"/>
      <c r="Q5" s="286"/>
      <c r="R5" s="284"/>
      <c r="S5" s="286"/>
      <c r="T5" s="284"/>
      <c r="U5" s="283"/>
      <c r="V5" s="284"/>
      <c r="W5" s="283"/>
      <c r="X5" s="284"/>
      <c r="Y5" s="378"/>
      <c r="Z5" s="284"/>
      <c r="AA5" s="378"/>
      <c r="AB5" s="325">
        <f t="shared" si="0"/>
        <v>63613</v>
      </c>
      <c r="AC5" s="326">
        <f t="shared" si="1"/>
        <v>107796.17017365272</v>
      </c>
    </row>
    <row r="6" spans="1:32">
      <c r="A6" s="612" t="s">
        <v>223</v>
      </c>
      <c r="B6" s="391" t="s">
        <v>277</v>
      </c>
      <c r="C6" s="391" t="s">
        <v>278</v>
      </c>
      <c r="D6" s="282">
        <v>11549</v>
      </c>
      <c r="E6" s="283">
        <v>23987.888419048501</v>
      </c>
      <c r="F6" s="282">
        <v>0</v>
      </c>
      <c r="G6" s="283">
        <v>0</v>
      </c>
      <c r="H6" s="285">
        <v>21999</v>
      </c>
      <c r="I6" s="286">
        <v>47619.547340090881</v>
      </c>
      <c r="J6" s="282">
        <v>9324</v>
      </c>
      <c r="K6" s="283">
        <v>19845.452153332229</v>
      </c>
      <c r="L6" s="285"/>
      <c r="M6" s="286"/>
      <c r="N6" s="285"/>
      <c r="O6" s="286"/>
      <c r="P6" s="287"/>
      <c r="Q6" s="286"/>
      <c r="R6" s="284"/>
      <c r="S6" s="286"/>
      <c r="T6" s="284"/>
      <c r="U6" s="283"/>
      <c r="V6" s="284"/>
      <c r="W6" s="283"/>
      <c r="X6" s="284"/>
      <c r="Y6" s="378"/>
      <c r="Z6" s="284"/>
      <c r="AA6" s="378"/>
      <c r="AB6" s="325">
        <f t="shared" si="0"/>
        <v>42872</v>
      </c>
      <c r="AC6" s="326">
        <f t="shared" si="1"/>
        <v>91452.887912471604</v>
      </c>
    </row>
    <row r="7" spans="1:32">
      <c r="A7" s="612" t="s">
        <v>301</v>
      </c>
      <c r="B7" s="391" t="s">
        <v>265</v>
      </c>
      <c r="C7" s="391" t="s">
        <v>266</v>
      </c>
      <c r="D7" s="282">
        <v>4387</v>
      </c>
      <c r="E7" s="283">
        <v>9934.2606145753525</v>
      </c>
      <c r="F7" s="282">
        <v>0</v>
      </c>
      <c r="G7" s="283">
        <v>0</v>
      </c>
      <c r="H7" s="285">
        <v>17963</v>
      </c>
      <c r="I7" s="286">
        <v>39851.716344701577</v>
      </c>
      <c r="J7" s="282">
        <v>11063</v>
      </c>
      <c r="K7" s="283">
        <v>24576.381139476198</v>
      </c>
      <c r="L7" s="285"/>
      <c r="M7" s="286"/>
      <c r="N7" s="285"/>
      <c r="O7" s="286"/>
      <c r="P7" s="287"/>
      <c r="Q7" s="286"/>
      <c r="R7" s="284"/>
      <c r="S7" s="286"/>
      <c r="T7" s="284"/>
      <c r="U7" s="283"/>
      <c r="V7" s="284"/>
      <c r="W7" s="283"/>
      <c r="X7" s="284"/>
      <c r="Y7" s="378"/>
      <c r="Z7" s="284"/>
      <c r="AA7" s="378"/>
      <c r="AB7" s="325">
        <f t="shared" si="0"/>
        <v>33413</v>
      </c>
      <c r="AC7" s="326">
        <f t="shared" si="1"/>
        <v>74362.358098753131</v>
      </c>
    </row>
    <row r="8" spans="1:32">
      <c r="A8" s="612" t="s">
        <v>223</v>
      </c>
      <c r="B8" s="391" t="s">
        <v>267</v>
      </c>
      <c r="C8" s="391" t="s">
        <v>268</v>
      </c>
      <c r="D8" s="282">
        <v>4985</v>
      </c>
      <c r="E8" s="283">
        <v>12334.884037249038</v>
      </c>
      <c r="F8" s="282">
        <v>995</v>
      </c>
      <c r="G8" s="283">
        <v>2797.0888066170492</v>
      </c>
      <c r="H8" s="285">
        <v>7624</v>
      </c>
      <c r="I8" s="286">
        <v>18631.283981003209</v>
      </c>
      <c r="J8" s="282">
        <v>6620</v>
      </c>
      <c r="K8" s="283">
        <v>15480.379253163503</v>
      </c>
      <c r="L8" s="285"/>
      <c r="M8" s="286"/>
      <c r="N8" s="285"/>
      <c r="O8" s="286"/>
      <c r="P8" s="287"/>
      <c r="Q8" s="286"/>
      <c r="R8" s="284"/>
      <c r="S8" s="286"/>
      <c r="T8" s="284"/>
      <c r="U8" s="283"/>
      <c r="V8" s="284"/>
      <c r="W8" s="283"/>
      <c r="X8" s="284"/>
      <c r="Y8" s="378"/>
      <c r="Z8" s="284"/>
      <c r="AA8" s="378"/>
      <c r="AB8" s="325">
        <f t="shared" si="0"/>
        <v>20224</v>
      </c>
      <c r="AC8" s="326">
        <f t="shared" si="1"/>
        <v>49243.636078032803</v>
      </c>
    </row>
    <row r="9" spans="1:32">
      <c r="A9" s="612" t="s">
        <v>338</v>
      </c>
      <c r="B9" s="390" t="s">
        <v>460</v>
      </c>
      <c r="C9" s="390" t="s">
        <v>461</v>
      </c>
      <c r="D9" s="282">
        <v>16887</v>
      </c>
      <c r="E9" s="283">
        <v>12918.380232894597</v>
      </c>
      <c r="F9" s="282">
        <v>12609</v>
      </c>
      <c r="G9" s="283">
        <v>9671.9325659443948</v>
      </c>
      <c r="H9" s="285">
        <v>33199</v>
      </c>
      <c r="I9" s="286">
        <v>23305.39592230472</v>
      </c>
      <c r="J9" s="282">
        <v>623</v>
      </c>
      <c r="K9" s="283">
        <v>461.55821424515648</v>
      </c>
      <c r="L9" s="285"/>
      <c r="M9" s="286"/>
      <c r="N9" s="285"/>
      <c r="O9" s="286"/>
      <c r="P9" s="287"/>
      <c r="Q9" s="286"/>
      <c r="R9" s="284"/>
      <c r="S9" s="286"/>
      <c r="T9" s="284"/>
      <c r="U9" s="283"/>
      <c r="V9" s="284"/>
      <c r="W9" s="283"/>
      <c r="X9" s="284"/>
      <c r="Y9" s="378"/>
      <c r="Z9" s="284"/>
      <c r="AA9" s="378"/>
      <c r="AB9" s="325">
        <f t="shared" si="0"/>
        <v>63318</v>
      </c>
      <c r="AC9" s="326">
        <f t="shared" si="1"/>
        <v>46357.266935388863</v>
      </c>
    </row>
    <row r="10" spans="1:32">
      <c r="A10" s="612" t="s">
        <v>301</v>
      </c>
      <c r="B10" s="391" t="s">
        <v>271</v>
      </c>
      <c r="C10" s="391" t="s">
        <v>272</v>
      </c>
      <c r="D10" s="282">
        <v>6964</v>
      </c>
      <c r="E10" s="283">
        <v>16121.581891827682</v>
      </c>
      <c r="F10" s="282">
        <v>22</v>
      </c>
      <c r="G10" s="283">
        <v>51.830122378372167</v>
      </c>
      <c r="H10" s="285">
        <v>2111</v>
      </c>
      <c r="I10" s="286">
        <v>4643.8279486068559</v>
      </c>
      <c r="J10" s="282">
        <v>6541</v>
      </c>
      <c r="K10" s="283">
        <v>16237.682333191726</v>
      </c>
      <c r="L10" s="285"/>
      <c r="M10" s="286"/>
      <c r="N10" s="285"/>
      <c r="O10" s="286"/>
      <c r="P10" s="287"/>
      <c r="Q10" s="286"/>
      <c r="R10" s="284"/>
      <c r="S10" s="286"/>
      <c r="T10" s="284"/>
      <c r="U10" s="283"/>
      <c r="V10" s="284"/>
      <c r="W10" s="283"/>
      <c r="X10" s="284"/>
      <c r="Y10" s="378"/>
      <c r="Z10" s="284"/>
      <c r="AA10" s="378"/>
      <c r="AB10" s="325">
        <f t="shared" si="0"/>
        <v>15638</v>
      </c>
      <c r="AC10" s="326">
        <f t="shared" si="1"/>
        <v>37054.922296004632</v>
      </c>
    </row>
    <row r="11" spans="1:32">
      <c r="A11" s="612" t="s">
        <v>301</v>
      </c>
      <c r="B11" s="391" t="s">
        <v>285</v>
      </c>
      <c r="C11" s="391" t="s">
        <v>286</v>
      </c>
      <c r="D11" s="282">
        <v>27303</v>
      </c>
      <c r="E11" s="283">
        <v>9275.5485259724665</v>
      </c>
      <c r="F11" s="282">
        <v>7778</v>
      </c>
      <c r="G11" s="283">
        <v>4122.2081207184601</v>
      </c>
      <c r="H11" s="285">
        <v>33180</v>
      </c>
      <c r="I11" s="286">
        <v>10226.198453041126</v>
      </c>
      <c r="J11" s="282">
        <v>14736</v>
      </c>
      <c r="K11" s="283">
        <v>8041.6118925160326</v>
      </c>
      <c r="L11" s="285"/>
      <c r="M11" s="286"/>
      <c r="N11" s="285"/>
      <c r="O11" s="286"/>
      <c r="P11" s="287"/>
      <c r="Q11" s="286"/>
      <c r="R11" s="284"/>
      <c r="S11" s="286"/>
      <c r="T11" s="284"/>
      <c r="U11" s="283"/>
      <c r="V11" s="284"/>
      <c r="W11" s="283"/>
      <c r="X11" s="284"/>
      <c r="Y11" s="378"/>
      <c r="Z11" s="284"/>
      <c r="AA11" s="378"/>
      <c r="AB11" s="325">
        <f t="shared" si="0"/>
        <v>82997</v>
      </c>
      <c r="AC11" s="326">
        <f t="shared" si="1"/>
        <v>31665.566992248088</v>
      </c>
    </row>
    <row r="12" spans="1:32">
      <c r="A12" s="612" t="s">
        <v>223</v>
      </c>
      <c r="B12" s="391" t="s">
        <v>299</v>
      </c>
      <c r="C12" s="391" t="s">
        <v>300</v>
      </c>
      <c r="D12" s="282">
        <v>5558</v>
      </c>
      <c r="E12" s="283">
        <v>4673.1823911510774</v>
      </c>
      <c r="F12" s="282">
        <v>4877</v>
      </c>
      <c r="G12" s="283">
        <v>4896.9924170013801</v>
      </c>
      <c r="H12" s="285">
        <v>11555</v>
      </c>
      <c r="I12" s="286">
        <v>10326.477343718194</v>
      </c>
      <c r="J12" s="282">
        <v>10012</v>
      </c>
      <c r="K12" s="283">
        <v>9703.5570286351376</v>
      </c>
      <c r="L12" s="285"/>
      <c r="M12" s="286"/>
      <c r="N12" s="285"/>
      <c r="O12" s="286"/>
      <c r="P12" s="287"/>
      <c r="Q12" s="286"/>
      <c r="R12" s="284"/>
      <c r="S12" s="286"/>
      <c r="T12" s="284"/>
      <c r="U12" s="283"/>
      <c r="V12" s="284"/>
      <c r="W12" s="283"/>
      <c r="X12" s="284"/>
      <c r="Y12" s="378"/>
      <c r="Z12" s="284"/>
      <c r="AA12" s="378"/>
      <c r="AB12" s="325">
        <f t="shared" si="0"/>
        <v>32002</v>
      </c>
      <c r="AC12" s="326">
        <f t="shared" si="1"/>
        <v>29600.209180505786</v>
      </c>
    </row>
    <row r="13" spans="1:32">
      <c r="A13" s="612" t="s">
        <v>301</v>
      </c>
      <c r="B13" s="391" t="s">
        <v>261</v>
      </c>
      <c r="C13" s="391" t="s">
        <v>262</v>
      </c>
      <c r="D13" s="282">
        <v>0</v>
      </c>
      <c r="E13" s="283">
        <v>0</v>
      </c>
      <c r="F13" s="282">
        <v>0</v>
      </c>
      <c r="G13" s="283">
        <v>0</v>
      </c>
      <c r="H13" s="285">
        <v>6246</v>
      </c>
      <c r="I13" s="286">
        <v>22597.942307735091</v>
      </c>
      <c r="J13" s="282">
        <v>2112</v>
      </c>
      <c r="K13" s="283">
        <v>7563.0367210216673</v>
      </c>
      <c r="L13" s="285"/>
      <c r="M13" s="286"/>
      <c r="N13" s="285"/>
      <c r="O13" s="286"/>
      <c r="P13" s="287"/>
      <c r="Q13" s="286"/>
      <c r="R13" s="284"/>
      <c r="S13" s="286"/>
      <c r="T13" s="284"/>
      <c r="U13" s="283"/>
      <c r="V13" s="284"/>
      <c r="W13" s="283"/>
      <c r="X13" s="284"/>
      <c r="Y13" s="378"/>
      <c r="Z13" s="284"/>
      <c r="AA13" s="378"/>
      <c r="AB13" s="325">
        <f t="shared" si="0"/>
        <v>8358</v>
      </c>
      <c r="AC13" s="326">
        <f t="shared" si="1"/>
        <v>30160.979028756759</v>
      </c>
    </row>
    <row r="14" spans="1:32">
      <c r="A14" s="612" t="s">
        <v>233</v>
      </c>
      <c r="B14" s="391" t="s">
        <v>263</v>
      </c>
      <c r="C14" s="391" t="s">
        <v>264</v>
      </c>
      <c r="D14" s="282">
        <v>25043</v>
      </c>
      <c r="E14" s="283">
        <v>7476.9542934557694</v>
      </c>
      <c r="F14" s="282">
        <v>2372</v>
      </c>
      <c r="G14" s="283">
        <v>734.89166294217887</v>
      </c>
      <c r="H14" s="285">
        <v>42962</v>
      </c>
      <c r="I14" s="286">
        <v>12981.726753116905</v>
      </c>
      <c r="J14" s="282">
        <v>22267</v>
      </c>
      <c r="K14" s="283">
        <v>8063.4651999536491</v>
      </c>
      <c r="L14" s="285"/>
      <c r="M14" s="286"/>
      <c r="N14" s="285"/>
      <c r="O14" s="286"/>
      <c r="P14" s="287"/>
      <c r="Q14" s="286"/>
      <c r="R14" s="284"/>
      <c r="S14" s="286"/>
      <c r="T14" s="284"/>
      <c r="U14" s="283"/>
      <c r="V14" s="284"/>
      <c r="W14" s="283"/>
      <c r="X14" s="284"/>
      <c r="Y14" s="378"/>
      <c r="Z14" s="284"/>
      <c r="AA14" s="378"/>
      <c r="AB14" s="325">
        <f t="shared" si="0"/>
        <v>92644</v>
      </c>
      <c r="AC14" s="326">
        <f t="shared" si="1"/>
        <v>29257.037909468505</v>
      </c>
    </row>
    <row r="15" spans="1:32">
      <c r="A15" s="612" t="s">
        <v>223</v>
      </c>
      <c r="B15" s="391" t="s">
        <v>287</v>
      </c>
      <c r="C15" s="391" t="s">
        <v>288</v>
      </c>
      <c r="D15" s="282">
        <v>11209</v>
      </c>
      <c r="E15" s="283">
        <v>7675.1247467087196</v>
      </c>
      <c r="F15" s="282">
        <v>4724</v>
      </c>
      <c r="G15" s="283">
        <v>3233.6503172151465</v>
      </c>
      <c r="H15" s="285">
        <v>7224</v>
      </c>
      <c r="I15" s="286">
        <v>5483.7439561113642</v>
      </c>
      <c r="J15" s="282">
        <v>9425</v>
      </c>
      <c r="K15" s="283">
        <v>7956.4575121405442</v>
      </c>
      <c r="L15" s="285"/>
      <c r="M15" s="286"/>
      <c r="N15" s="285"/>
      <c r="O15" s="286"/>
      <c r="P15" s="287"/>
      <c r="Q15" s="286"/>
      <c r="R15" s="284"/>
      <c r="S15" s="286"/>
      <c r="T15" s="284"/>
      <c r="U15" s="283"/>
      <c r="V15" s="284"/>
      <c r="W15" s="283"/>
      <c r="X15" s="284"/>
      <c r="Y15" s="378"/>
      <c r="Z15" s="284"/>
      <c r="AA15" s="378"/>
      <c r="AB15" s="325">
        <f t="shared" si="0"/>
        <v>32582</v>
      </c>
      <c r="AC15" s="326">
        <f t="shared" si="1"/>
        <v>24348.976532175773</v>
      </c>
    </row>
    <row r="16" spans="1:32">
      <c r="A16" s="612" t="s">
        <v>223</v>
      </c>
      <c r="B16" s="390" t="s">
        <v>283</v>
      </c>
      <c r="C16" s="390" t="s">
        <v>284</v>
      </c>
      <c r="D16" s="282">
        <v>4638</v>
      </c>
      <c r="E16" s="283">
        <v>6807.6227490934316</v>
      </c>
      <c r="F16" s="282">
        <v>0</v>
      </c>
      <c r="G16" s="283">
        <v>0</v>
      </c>
      <c r="H16" s="285">
        <v>7274</v>
      </c>
      <c r="I16" s="286">
        <v>11248.652135087517</v>
      </c>
      <c r="J16" s="282">
        <v>4204</v>
      </c>
      <c r="K16" s="283">
        <v>6082.0700014764343</v>
      </c>
      <c r="L16" s="285"/>
      <c r="M16" s="286"/>
      <c r="N16" s="285"/>
      <c r="O16" s="286"/>
      <c r="P16" s="287"/>
      <c r="Q16" s="286"/>
      <c r="R16" s="284"/>
      <c r="S16" s="286"/>
      <c r="T16" s="284"/>
      <c r="U16" s="283"/>
      <c r="V16" s="284"/>
      <c r="W16" s="283"/>
      <c r="X16" s="284"/>
      <c r="Y16" s="378"/>
      <c r="Z16" s="284"/>
      <c r="AA16" s="378"/>
      <c r="AB16" s="325">
        <f t="shared" si="0"/>
        <v>16116</v>
      </c>
      <c r="AC16" s="326">
        <f t="shared" si="1"/>
        <v>24138.344885657381</v>
      </c>
    </row>
    <row r="17" spans="1:29">
      <c r="A17" s="612" t="s">
        <v>301</v>
      </c>
      <c r="B17" s="390" t="s">
        <v>273</v>
      </c>
      <c r="C17" s="390" t="s">
        <v>274</v>
      </c>
      <c r="D17" s="282">
        <v>0</v>
      </c>
      <c r="E17" s="283">
        <v>0</v>
      </c>
      <c r="F17" s="282">
        <v>0</v>
      </c>
      <c r="G17" s="283">
        <v>0</v>
      </c>
      <c r="H17" s="285">
        <v>0</v>
      </c>
      <c r="I17" s="286">
        <v>0</v>
      </c>
      <c r="J17" s="282">
        <v>5752</v>
      </c>
      <c r="K17" s="283">
        <v>19554.805832766215</v>
      </c>
      <c r="L17" s="285"/>
      <c r="M17" s="286"/>
      <c r="N17" s="285"/>
      <c r="O17" s="286"/>
      <c r="P17" s="287"/>
      <c r="Q17" s="286"/>
      <c r="R17" s="284"/>
      <c r="S17" s="286"/>
      <c r="T17" s="284"/>
      <c r="U17" s="283"/>
      <c r="V17" s="284"/>
      <c r="W17" s="283"/>
      <c r="X17" s="284"/>
      <c r="Y17" s="378"/>
      <c r="Z17" s="284"/>
      <c r="AA17" s="378"/>
      <c r="AB17" s="325">
        <f t="shared" si="0"/>
        <v>5752</v>
      </c>
      <c r="AC17" s="326">
        <f t="shared" si="1"/>
        <v>19554.805832766215</v>
      </c>
    </row>
    <row r="18" spans="1:29">
      <c r="A18" s="612" t="s">
        <v>338</v>
      </c>
      <c r="B18" s="390" t="s">
        <v>257</v>
      </c>
      <c r="C18" s="390" t="s">
        <v>258</v>
      </c>
      <c r="D18" s="282">
        <v>18559</v>
      </c>
      <c r="E18" s="283">
        <v>11061.393125099701</v>
      </c>
      <c r="F18" s="282">
        <v>5757</v>
      </c>
      <c r="G18" s="283">
        <v>4311.5053797786686</v>
      </c>
      <c r="H18" s="285">
        <v>1096</v>
      </c>
      <c r="I18" s="286">
        <v>395.1558875777543</v>
      </c>
      <c r="J18" s="282">
        <v>590</v>
      </c>
      <c r="K18" s="283">
        <v>479.96475476321666</v>
      </c>
      <c r="L18" s="285"/>
      <c r="M18" s="286"/>
      <c r="N18" s="285"/>
      <c r="O18" s="286"/>
      <c r="P18" s="287"/>
      <c r="Q18" s="286"/>
      <c r="R18" s="284"/>
      <c r="S18" s="286"/>
      <c r="T18" s="284"/>
      <c r="U18" s="283"/>
      <c r="V18" s="284"/>
      <c r="W18" s="283"/>
      <c r="X18" s="284"/>
      <c r="Y18" s="378"/>
      <c r="Z18" s="284"/>
      <c r="AA18" s="378"/>
      <c r="AB18" s="325">
        <f t="shared" si="0"/>
        <v>26002</v>
      </c>
      <c r="AC18" s="326">
        <f t="shared" si="1"/>
        <v>16248.01914721934</v>
      </c>
    </row>
    <row r="19" spans="1:29">
      <c r="A19" s="612" t="s">
        <v>233</v>
      </c>
      <c r="B19" s="391" t="s">
        <v>310</v>
      </c>
      <c r="C19" s="391" t="s">
        <v>311</v>
      </c>
      <c r="D19" s="282">
        <v>397</v>
      </c>
      <c r="E19" s="283">
        <v>1001.4382649682067</v>
      </c>
      <c r="F19" s="282">
        <v>1337</v>
      </c>
      <c r="G19" s="283">
        <v>3732.3042513870132</v>
      </c>
      <c r="H19" s="285">
        <v>1487</v>
      </c>
      <c r="I19" s="286">
        <v>4068.7419624711924</v>
      </c>
      <c r="J19" s="282">
        <v>1495</v>
      </c>
      <c r="K19" s="283">
        <v>3468.1689926881772</v>
      </c>
      <c r="L19" s="285"/>
      <c r="M19" s="286"/>
      <c r="N19" s="285"/>
      <c r="O19" s="286"/>
      <c r="P19" s="287"/>
      <c r="Q19" s="286"/>
      <c r="R19" s="284"/>
      <c r="S19" s="286"/>
      <c r="T19" s="284"/>
      <c r="U19" s="283"/>
      <c r="V19" s="284"/>
      <c r="W19" s="283"/>
      <c r="X19" s="284"/>
      <c r="Y19" s="378"/>
      <c r="Z19" s="284"/>
      <c r="AA19" s="378"/>
      <c r="AB19" s="325">
        <f t="shared" si="0"/>
        <v>4716</v>
      </c>
      <c r="AC19" s="326">
        <f t="shared" si="1"/>
        <v>12270.65347151459</v>
      </c>
    </row>
    <row r="20" spans="1:29">
      <c r="A20" s="612" t="s">
        <v>233</v>
      </c>
      <c r="B20" s="391" t="s">
        <v>291</v>
      </c>
      <c r="C20" s="391" t="s">
        <v>292</v>
      </c>
      <c r="D20" s="282">
        <v>6775</v>
      </c>
      <c r="E20" s="283">
        <v>2789.1269041364499</v>
      </c>
      <c r="F20" s="282">
        <v>3476</v>
      </c>
      <c r="G20" s="283">
        <v>1528.090731799422</v>
      </c>
      <c r="H20" s="285">
        <v>5746</v>
      </c>
      <c r="I20" s="286">
        <v>2653.8217374384276</v>
      </c>
      <c r="J20" s="282">
        <v>10178</v>
      </c>
      <c r="K20" s="283">
        <v>5188.0291473059724</v>
      </c>
      <c r="L20" s="285"/>
      <c r="M20" s="286"/>
      <c r="N20" s="285"/>
      <c r="O20" s="286"/>
      <c r="P20" s="287"/>
      <c r="Q20" s="286"/>
      <c r="R20" s="284"/>
      <c r="S20" s="286"/>
      <c r="T20" s="284"/>
      <c r="U20" s="283"/>
      <c r="V20" s="284"/>
      <c r="W20" s="283"/>
      <c r="X20" s="284"/>
      <c r="Y20" s="378"/>
      <c r="Z20" s="284"/>
      <c r="AA20" s="378"/>
      <c r="AB20" s="325">
        <f t="shared" si="0"/>
        <v>26175</v>
      </c>
      <c r="AC20" s="326">
        <f t="shared" si="1"/>
        <v>12159.068520680272</v>
      </c>
    </row>
    <row r="21" spans="1:29">
      <c r="A21" s="612" t="s">
        <v>233</v>
      </c>
      <c r="B21" s="391" t="s">
        <v>281</v>
      </c>
      <c r="C21" s="391" t="s">
        <v>282</v>
      </c>
      <c r="D21" s="282">
        <v>17009</v>
      </c>
      <c r="E21" s="283">
        <v>6520.1164677503557</v>
      </c>
      <c r="F21" s="282">
        <v>3993</v>
      </c>
      <c r="G21" s="283">
        <v>1689.2752595228635</v>
      </c>
      <c r="H21" s="285">
        <v>5225</v>
      </c>
      <c r="I21" s="286">
        <v>2347.263866293516</v>
      </c>
      <c r="J21" s="282">
        <v>1743</v>
      </c>
      <c r="K21" s="283">
        <v>783.61049236457995</v>
      </c>
      <c r="L21" s="285"/>
      <c r="M21" s="286"/>
      <c r="N21" s="285"/>
      <c r="O21" s="286"/>
      <c r="P21" s="287"/>
      <c r="Q21" s="286"/>
      <c r="R21" s="284"/>
      <c r="S21" s="286"/>
      <c r="T21" s="284"/>
      <c r="U21" s="283"/>
      <c r="V21" s="284"/>
      <c r="W21" s="283"/>
      <c r="X21" s="284"/>
      <c r="Y21" s="378"/>
      <c r="Z21" s="284"/>
      <c r="AA21" s="378"/>
      <c r="AB21" s="325">
        <f t="shared" si="0"/>
        <v>27970</v>
      </c>
      <c r="AC21" s="326">
        <f t="shared" si="1"/>
        <v>11340.266085931315</v>
      </c>
    </row>
    <row r="22" spans="1:29">
      <c r="A22" s="612" t="s">
        <v>301</v>
      </c>
      <c r="B22" s="390" t="s">
        <v>352</v>
      </c>
      <c r="C22" s="390" t="s">
        <v>353</v>
      </c>
      <c r="D22" s="282">
        <v>4516</v>
      </c>
      <c r="E22" s="283">
        <v>4122.4806549144041</v>
      </c>
      <c r="F22" s="282">
        <v>1995</v>
      </c>
      <c r="G22" s="283">
        <v>2188.9257508944656</v>
      </c>
      <c r="H22" s="285">
        <v>2705</v>
      </c>
      <c r="I22" s="286">
        <v>3104.3237267939512</v>
      </c>
      <c r="J22" s="282">
        <v>1332</v>
      </c>
      <c r="K22" s="283">
        <v>1512.8596823256853</v>
      </c>
      <c r="L22" s="285"/>
      <c r="M22" s="286"/>
      <c r="N22" s="285"/>
      <c r="O22" s="286"/>
      <c r="P22" s="287"/>
      <c r="Q22" s="286"/>
      <c r="R22" s="284"/>
      <c r="S22" s="286"/>
      <c r="T22" s="284"/>
      <c r="U22" s="283"/>
      <c r="V22" s="284"/>
      <c r="W22" s="283"/>
      <c r="X22" s="284"/>
      <c r="Y22" s="378"/>
      <c r="Z22" s="284"/>
      <c r="AA22" s="378"/>
      <c r="AB22" s="325">
        <f t="shared" si="0"/>
        <v>10548</v>
      </c>
      <c r="AC22" s="326">
        <f t="shared" si="1"/>
        <v>10928.589814928506</v>
      </c>
    </row>
    <row r="23" spans="1:29">
      <c r="A23" s="612" t="s">
        <v>301</v>
      </c>
      <c r="B23" s="391" t="s">
        <v>304</v>
      </c>
      <c r="C23" s="391" t="s">
        <v>305</v>
      </c>
      <c r="D23" s="282">
        <v>4757</v>
      </c>
      <c r="E23" s="283">
        <v>2595.6591491184131</v>
      </c>
      <c r="F23" s="282">
        <v>0</v>
      </c>
      <c r="G23" s="283">
        <v>0</v>
      </c>
      <c r="H23" s="285">
        <v>9258</v>
      </c>
      <c r="I23" s="286">
        <v>4017.2783073825431</v>
      </c>
      <c r="J23" s="282">
        <v>6948</v>
      </c>
      <c r="K23" s="283">
        <v>2568.6574387401906</v>
      </c>
      <c r="L23" s="285"/>
      <c r="M23" s="286"/>
      <c r="N23" s="285"/>
      <c r="O23" s="286"/>
      <c r="P23" s="287"/>
      <c r="Q23" s="286"/>
      <c r="R23" s="284"/>
      <c r="S23" s="286"/>
      <c r="T23" s="284"/>
      <c r="U23" s="283"/>
      <c r="V23" s="284"/>
      <c r="W23" s="283"/>
      <c r="X23" s="284"/>
      <c r="Y23" s="378"/>
      <c r="Z23" s="284"/>
      <c r="AA23" s="378"/>
      <c r="AB23" s="325">
        <f t="shared" si="0"/>
        <v>20963</v>
      </c>
      <c r="AC23" s="326">
        <f t="shared" si="1"/>
        <v>9181.5948952411472</v>
      </c>
    </row>
    <row r="24" spans="1:29">
      <c r="A24" s="612" t="s">
        <v>223</v>
      </c>
      <c r="B24" s="391" t="s">
        <v>293</v>
      </c>
      <c r="C24" s="391" t="s">
        <v>294</v>
      </c>
      <c r="D24" s="282">
        <v>1650</v>
      </c>
      <c r="E24" s="283">
        <v>4572.798720485398</v>
      </c>
      <c r="F24" s="282">
        <v>460</v>
      </c>
      <c r="G24" s="283">
        <v>1358.8470617043301</v>
      </c>
      <c r="H24" s="285">
        <v>258</v>
      </c>
      <c r="I24" s="286">
        <v>699.24313749571218</v>
      </c>
      <c r="J24" s="282">
        <v>1007</v>
      </c>
      <c r="K24" s="283">
        <v>2632.1304051372322</v>
      </c>
      <c r="L24" s="285"/>
      <c r="M24" s="286"/>
      <c r="N24" s="285"/>
      <c r="O24" s="286"/>
      <c r="P24" s="287"/>
      <c r="Q24" s="286"/>
      <c r="R24" s="284"/>
      <c r="S24" s="286"/>
      <c r="T24" s="284"/>
      <c r="U24" s="283"/>
      <c r="V24" s="284"/>
      <c r="W24" s="283"/>
      <c r="X24" s="284"/>
      <c r="Y24" s="378"/>
      <c r="Z24" s="284"/>
      <c r="AA24" s="378"/>
      <c r="AB24" s="325">
        <f t="shared" si="0"/>
        <v>3375</v>
      </c>
      <c r="AC24" s="326">
        <f t="shared" si="1"/>
        <v>9263.0193248226733</v>
      </c>
    </row>
    <row r="25" spans="1:29">
      <c r="A25" s="612" t="s">
        <v>301</v>
      </c>
      <c r="B25" s="391" t="s">
        <v>308</v>
      </c>
      <c r="C25" s="391" t="s">
        <v>309</v>
      </c>
      <c r="D25" s="282">
        <v>6600</v>
      </c>
      <c r="E25" s="283">
        <v>3134.2742104328609</v>
      </c>
      <c r="F25" s="282">
        <v>2126</v>
      </c>
      <c r="G25" s="283">
        <v>485.92199149926353</v>
      </c>
      <c r="H25" s="285">
        <v>5275</v>
      </c>
      <c r="I25" s="286">
        <v>1716.4346478144812</v>
      </c>
      <c r="J25" s="282">
        <v>6137</v>
      </c>
      <c r="K25" s="283">
        <v>2282.9063444387652</v>
      </c>
      <c r="L25" s="285"/>
      <c r="M25" s="286"/>
      <c r="N25" s="285"/>
      <c r="O25" s="286"/>
      <c r="P25" s="287"/>
      <c r="Q25" s="286"/>
      <c r="R25" s="284"/>
      <c r="S25" s="286"/>
      <c r="T25" s="284"/>
      <c r="U25" s="283"/>
      <c r="V25" s="284"/>
      <c r="W25" s="283"/>
      <c r="X25" s="284"/>
      <c r="Y25" s="378"/>
      <c r="Z25" s="284"/>
      <c r="AA25" s="378"/>
      <c r="AB25" s="325">
        <f t="shared" si="0"/>
        <v>20138</v>
      </c>
      <c r="AC25" s="326">
        <f t="shared" si="1"/>
        <v>7619.53719418537</v>
      </c>
    </row>
    <row r="26" spans="1:29">
      <c r="A26" s="612" t="s">
        <v>233</v>
      </c>
      <c r="B26" s="391" t="s">
        <v>297</v>
      </c>
      <c r="C26" s="391" t="s">
        <v>298</v>
      </c>
      <c r="D26" s="282">
        <v>5265</v>
      </c>
      <c r="E26" s="283">
        <v>2287.2102546845126</v>
      </c>
      <c r="F26" s="282">
        <v>2944</v>
      </c>
      <c r="G26" s="283">
        <v>1306.9653025328269</v>
      </c>
      <c r="H26" s="285">
        <v>5896</v>
      </c>
      <c r="I26" s="286">
        <v>2477.2952654740525</v>
      </c>
      <c r="J26" s="282">
        <v>4155</v>
      </c>
      <c r="K26" s="283">
        <v>1759.9148339858966</v>
      </c>
      <c r="L26" s="285"/>
      <c r="M26" s="286"/>
      <c r="N26" s="285"/>
      <c r="O26" s="286"/>
      <c r="P26" s="287"/>
      <c r="Q26" s="286"/>
      <c r="R26" s="284"/>
      <c r="S26" s="286"/>
      <c r="T26" s="284"/>
      <c r="U26" s="283"/>
      <c r="V26" s="284"/>
      <c r="W26" s="283"/>
      <c r="X26" s="284"/>
      <c r="Y26" s="378"/>
      <c r="Z26" s="284"/>
      <c r="AA26" s="378"/>
      <c r="AB26" s="325">
        <f t="shared" si="0"/>
        <v>18260</v>
      </c>
      <c r="AC26" s="326">
        <f t="shared" si="1"/>
        <v>7831.3856566772884</v>
      </c>
    </row>
    <row r="27" spans="1:29">
      <c r="A27" s="612" t="s">
        <v>338</v>
      </c>
      <c r="B27" s="390" t="s">
        <v>289</v>
      </c>
      <c r="C27" s="390" t="s">
        <v>290</v>
      </c>
      <c r="D27" s="282">
        <v>3538</v>
      </c>
      <c r="E27" s="283">
        <v>2607.6254639037975</v>
      </c>
      <c r="F27" s="282">
        <v>267</v>
      </c>
      <c r="G27" s="283">
        <v>201.85165769885467</v>
      </c>
      <c r="H27" s="285">
        <v>3128</v>
      </c>
      <c r="I27" s="286">
        <v>2160.9827105712652</v>
      </c>
      <c r="J27" s="282">
        <v>3768</v>
      </c>
      <c r="K27" s="283">
        <v>2161.302552215423</v>
      </c>
      <c r="L27" s="285"/>
      <c r="M27" s="286"/>
      <c r="N27" s="285"/>
      <c r="O27" s="286"/>
      <c r="P27" s="287"/>
      <c r="Q27" s="286"/>
      <c r="R27" s="284"/>
      <c r="S27" s="286"/>
      <c r="T27" s="284"/>
      <c r="U27" s="283"/>
      <c r="V27" s="284"/>
      <c r="W27" s="283"/>
      <c r="X27" s="284"/>
      <c r="Y27" s="378"/>
      <c r="Z27" s="284"/>
      <c r="AA27" s="378"/>
      <c r="AB27" s="325">
        <f t="shared" si="0"/>
        <v>10701</v>
      </c>
      <c r="AC27" s="326">
        <f t="shared" si="1"/>
        <v>7131.7623843893407</v>
      </c>
    </row>
    <row r="28" spans="1:29">
      <c r="A28" s="612" t="s">
        <v>301</v>
      </c>
      <c r="B28" s="391" t="s">
        <v>314</v>
      </c>
      <c r="C28" s="391" t="s">
        <v>315</v>
      </c>
      <c r="D28" s="282">
        <v>2774</v>
      </c>
      <c r="E28" s="283">
        <v>2697.5208759257989</v>
      </c>
      <c r="F28" s="282">
        <v>525</v>
      </c>
      <c r="G28" s="283">
        <v>538.23319356522677</v>
      </c>
      <c r="H28" s="285">
        <v>1391</v>
      </c>
      <c r="I28" s="286">
        <v>1422.589656494675</v>
      </c>
      <c r="J28" s="282">
        <v>1519</v>
      </c>
      <c r="K28" s="283">
        <v>1455.8743180020058</v>
      </c>
      <c r="L28" s="285"/>
      <c r="M28" s="286"/>
      <c r="N28" s="285"/>
      <c r="O28" s="286"/>
      <c r="P28" s="287"/>
      <c r="Q28" s="286"/>
      <c r="R28" s="284"/>
      <c r="S28" s="286"/>
      <c r="T28" s="284"/>
      <c r="U28" s="283"/>
      <c r="V28" s="284"/>
      <c r="W28" s="283"/>
      <c r="X28" s="284"/>
      <c r="Y28" s="378"/>
      <c r="Z28" s="284"/>
      <c r="AA28" s="378"/>
      <c r="AB28" s="325">
        <f t="shared" si="0"/>
        <v>6209</v>
      </c>
      <c r="AC28" s="326">
        <f t="shared" si="1"/>
        <v>6114.2180439877066</v>
      </c>
    </row>
    <row r="29" spans="1:29">
      <c r="A29" s="612" t="s">
        <v>233</v>
      </c>
      <c r="B29" s="391" t="s">
        <v>279</v>
      </c>
      <c r="C29" s="391" t="s">
        <v>280</v>
      </c>
      <c r="D29" s="282">
        <v>2867</v>
      </c>
      <c r="E29" s="283">
        <v>2704.6616520331559</v>
      </c>
      <c r="F29" s="282">
        <v>849</v>
      </c>
      <c r="G29" s="283">
        <v>999.38476146319647</v>
      </c>
      <c r="H29" s="285">
        <v>876</v>
      </c>
      <c r="I29" s="286">
        <v>938.78532921947419</v>
      </c>
      <c r="J29" s="282">
        <v>1257</v>
      </c>
      <c r="K29" s="283">
        <v>1467.2525348217443</v>
      </c>
      <c r="L29" s="285"/>
      <c r="M29" s="286"/>
      <c r="N29" s="285"/>
      <c r="O29" s="286"/>
      <c r="P29" s="287"/>
      <c r="Q29" s="286"/>
      <c r="R29" s="284"/>
      <c r="S29" s="286"/>
      <c r="T29" s="284"/>
      <c r="U29" s="283"/>
      <c r="V29" s="284"/>
      <c r="W29" s="283"/>
      <c r="X29" s="284"/>
      <c r="Y29" s="378"/>
      <c r="Z29" s="284"/>
      <c r="AA29" s="378"/>
      <c r="AB29" s="325">
        <f t="shared" si="0"/>
        <v>5849</v>
      </c>
      <c r="AC29" s="326">
        <f t="shared" si="1"/>
        <v>6110.0842775375704</v>
      </c>
    </row>
    <row r="30" spans="1:29">
      <c r="A30" s="612" t="s">
        <v>233</v>
      </c>
      <c r="B30" s="391" t="s">
        <v>306</v>
      </c>
      <c r="C30" s="391" t="s">
        <v>307</v>
      </c>
      <c r="D30" s="282">
        <v>2287</v>
      </c>
      <c r="E30" s="283">
        <v>1638.4817562040505</v>
      </c>
      <c r="F30" s="282">
        <v>738</v>
      </c>
      <c r="G30" s="283">
        <v>537.69654673953107</v>
      </c>
      <c r="H30" s="285">
        <v>2050</v>
      </c>
      <c r="I30" s="286">
        <v>1478.1866719191339</v>
      </c>
      <c r="J30" s="282">
        <v>2993</v>
      </c>
      <c r="K30" s="283">
        <v>2279.1399498673022</v>
      </c>
      <c r="L30" s="285"/>
      <c r="M30" s="286"/>
      <c r="N30" s="285"/>
      <c r="O30" s="286"/>
      <c r="P30" s="287"/>
      <c r="Q30" s="286"/>
      <c r="R30" s="284"/>
      <c r="S30" s="286"/>
      <c r="T30" s="284"/>
      <c r="U30" s="283"/>
      <c r="V30" s="284"/>
      <c r="W30" s="283"/>
      <c r="X30" s="284"/>
      <c r="Y30" s="378"/>
      <c r="Z30" s="284"/>
      <c r="AA30" s="378"/>
      <c r="AB30" s="325">
        <f t="shared" si="0"/>
        <v>8068</v>
      </c>
      <c r="AC30" s="326">
        <f t="shared" si="1"/>
        <v>5933.5049247300176</v>
      </c>
    </row>
    <row r="31" spans="1:29">
      <c r="A31" s="612" t="s">
        <v>301</v>
      </c>
      <c r="B31" s="391" t="s">
        <v>326</v>
      </c>
      <c r="C31" s="391" t="s">
        <v>327</v>
      </c>
      <c r="D31" s="282">
        <v>2932</v>
      </c>
      <c r="E31" s="283">
        <v>2729.1889454376646</v>
      </c>
      <c r="F31" s="282">
        <v>308</v>
      </c>
      <c r="G31" s="283">
        <v>305.44940107204411</v>
      </c>
      <c r="H31" s="285">
        <v>969</v>
      </c>
      <c r="I31" s="286">
        <v>976.73270912554972</v>
      </c>
      <c r="J31" s="282">
        <v>1137</v>
      </c>
      <c r="K31" s="283">
        <v>1206.0730483826303</v>
      </c>
      <c r="L31" s="285"/>
      <c r="M31" s="286"/>
      <c r="N31" s="285"/>
      <c r="O31" s="286"/>
      <c r="P31" s="287"/>
      <c r="Q31" s="286"/>
      <c r="R31" s="284"/>
      <c r="S31" s="286"/>
      <c r="T31" s="284"/>
      <c r="U31" s="283"/>
      <c r="V31" s="284"/>
      <c r="W31" s="283"/>
      <c r="X31" s="284"/>
      <c r="Y31" s="378"/>
      <c r="Z31" s="284"/>
      <c r="AA31" s="378"/>
      <c r="AB31" s="325">
        <f t="shared" si="0"/>
        <v>5346</v>
      </c>
      <c r="AC31" s="326">
        <f t="shared" si="1"/>
        <v>5217.444104017889</v>
      </c>
    </row>
    <row r="32" spans="1:29">
      <c r="A32" s="612" t="s">
        <v>338</v>
      </c>
      <c r="B32" s="390" t="s">
        <v>259</v>
      </c>
      <c r="C32" s="390" t="s">
        <v>260</v>
      </c>
      <c r="D32" s="282">
        <v>1211</v>
      </c>
      <c r="E32" s="283">
        <v>813.38042284182916</v>
      </c>
      <c r="F32" s="282">
        <v>477</v>
      </c>
      <c r="G32" s="283">
        <v>320.26318947992604</v>
      </c>
      <c r="H32" s="285">
        <v>273</v>
      </c>
      <c r="I32" s="286">
        <v>306.86836388216102</v>
      </c>
      <c r="J32" s="282">
        <v>7502</v>
      </c>
      <c r="K32" s="283">
        <v>3144.503412196133</v>
      </c>
      <c r="L32" s="285"/>
      <c r="M32" s="286"/>
      <c r="N32" s="285"/>
      <c r="O32" s="286"/>
      <c r="P32" s="287"/>
      <c r="Q32" s="286"/>
      <c r="R32" s="284"/>
      <c r="S32" s="286"/>
      <c r="T32" s="284"/>
      <c r="U32" s="283"/>
      <c r="V32" s="284"/>
      <c r="W32" s="283"/>
      <c r="X32" s="284"/>
      <c r="Y32" s="378"/>
      <c r="Z32" s="284"/>
      <c r="AA32" s="378"/>
      <c r="AB32" s="325">
        <f t="shared" si="0"/>
        <v>9463</v>
      </c>
      <c r="AC32" s="326">
        <f t="shared" si="1"/>
        <v>4585.0153884000492</v>
      </c>
    </row>
    <row r="33" spans="1:29">
      <c r="A33" s="612" t="s">
        <v>301</v>
      </c>
      <c r="B33" s="390" t="s">
        <v>302</v>
      </c>
      <c r="C33" s="390" t="s">
        <v>303</v>
      </c>
      <c r="D33" s="282">
        <v>2327</v>
      </c>
      <c r="E33" s="283">
        <v>2460.0442704148791</v>
      </c>
      <c r="F33" s="282">
        <v>1982</v>
      </c>
      <c r="G33" s="283">
        <v>1950.6102854026426</v>
      </c>
      <c r="H33" s="285">
        <v>0</v>
      </c>
      <c r="I33" s="286">
        <v>0</v>
      </c>
      <c r="J33" s="282">
        <v>9</v>
      </c>
      <c r="K33" s="283">
        <v>13.595674120956486</v>
      </c>
      <c r="L33" s="285"/>
      <c r="M33" s="286"/>
      <c r="N33" s="285"/>
      <c r="O33" s="286"/>
      <c r="P33" s="287"/>
      <c r="Q33" s="286"/>
      <c r="R33" s="284"/>
      <c r="S33" s="286"/>
      <c r="T33" s="284"/>
      <c r="U33" s="283"/>
      <c r="V33" s="284"/>
      <c r="W33" s="283"/>
      <c r="X33" s="284"/>
      <c r="Y33" s="378"/>
      <c r="Z33" s="284"/>
      <c r="AA33" s="378"/>
      <c r="AB33" s="325">
        <f t="shared" si="0"/>
        <v>4318</v>
      </c>
      <c r="AC33" s="326">
        <f t="shared" si="1"/>
        <v>4424.2502299384787</v>
      </c>
    </row>
    <row r="34" spans="1:29">
      <c r="A34" s="612" t="s">
        <v>233</v>
      </c>
      <c r="B34" s="391" t="s">
        <v>334</v>
      </c>
      <c r="C34" s="391" t="s">
        <v>335</v>
      </c>
      <c r="D34" s="282">
        <v>486</v>
      </c>
      <c r="E34" s="283">
        <v>1615.5657988710759</v>
      </c>
      <c r="F34" s="282">
        <v>0</v>
      </c>
      <c r="G34" s="283">
        <v>0</v>
      </c>
      <c r="H34" s="285">
        <v>221</v>
      </c>
      <c r="I34" s="286">
        <v>778.07161060776752</v>
      </c>
      <c r="J34" s="282">
        <v>557</v>
      </c>
      <c r="K34" s="283">
        <v>1834.168129596384</v>
      </c>
      <c r="L34" s="285"/>
      <c r="M34" s="286"/>
      <c r="N34" s="285"/>
      <c r="O34" s="286"/>
      <c r="P34" s="287"/>
      <c r="Q34" s="286"/>
      <c r="R34" s="284"/>
      <c r="S34" s="286"/>
      <c r="T34" s="284"/>
      <c r="U34" s="283"/>
      <c r="V34" s="284"/>
      <c r="W34" s="283"/>
      <c r="X34" s="284"/>
      <c r="Y34" s="378"/>
      <c r="Z34" s="284"/>
      <c r="AA34" s="378"/>
      <c r="AB34" s="325">
        <f t="shared" si="0"/>
        <v>1264</v>
      </c>
      <c r="AC34" s="326">
        <f t="shared" si="1"/>
        <v>4227.805539075227</v>
      </c>
    </row>
    <row r="35" spans="1:29">
      <c r="A35" s="612" t="s">
        <v>345</v>
      </c>
      <c r="B35" s="391" t="s">
        <v>328</v>
      </c>
      <c r="C35" s="391" t="s">
        <v>329</v>
      </c>
      <c r="D35" s="282">
        <v>884</v>
      </c>
      <c r="E35" s="283">
        <v>1879.5043985412694</v>
      </c>
      <c r="F35" s="282">
        <v>1225</v>
      </c>
      <c r="G35" s="283">
        <v>1594.6321549386321</v>
      </c>
      <c r="H35" s="285">
        <v>744</v>
      </c>
      <c r="I35" s="286">
        <v>509.88783839983506</v>
      </c>
      <c r="J35" s="282">
        <v>0</v>
      </c>
      <c r="K35" s="283">
        <v>0</v>
      </c>
      <c r="L35" s="285"/>
      <c r="M35" s="286"/>
      <c r="N35" s="285"/>
      <c r="O35" s="286"/>
      <c r="P35" s="287"/>
      <c r="Q35" s="286"/>
      <c r="R35" s="284"/>
      <c r="S35" s="286"/>
      <c r="T35" s="284"/>
      <c r="U35" s="283"/>
      <c r="V35" s="284"/>
      <c r="W35" s="283"/>
      <c r="X35" s="284"/>
      <c r="Y35" s="378"/>
      <c r="Z35" s="284"/>
      <c r="AA35" s="378"/>
      <c r="AB35" s="325">
        <f t="shared" si="0"/>
        <v>2853</v>
      </c>
      <c r="AC35" s="326">
        <f t="shared" si="1"/>
        <v>3984.0243918797364</v>
      </c>
    </row>
    <row r="36" spans="1:29">
      <c r="A36" s="612" t="s">
        <v>233</v>
      </c>
      <c r="B36" s="391" t="s">
        <v>316</v>
      </c>
      <c r="C36" s="391" t="s">
        <v>317</v>
      </c>
      <c r="D36" s="282">
        <v>598</v>
      </c>
      <c r="E36" s="283">
        <v>421.73900318758211</v>
      </c>
      <c r="F36" s="282">
        <v>902</v>
      </c>
      <c r="G36" s="283">
        <v>547.349906555801</v>
      </c>
      <c r="H36" s="285">
        <v>1304</v>
      </c>
      <c r="I36" s="286">
        <v>767.40533958624337</v>
      </c>
      <c r="J36" s="282">
        <v>1358</v>
      </c>
      <c r="K36" s="283">
        <v>980.66144900050404</v>
      </c>
      <c r="L36" s="285"/>
      <c r="M36" s="286"/>
      <c r="N36" s="285"/>
      <c r="O36" s="286"/>
      <c r="P36" s="287"/>
      <c r="Q36" s="286"/>
      <c r="R36" s="284"/>
      <c r="S36" s="286"/>
      <c r="T36" s="284"/>
      <c r="U36" s="283"/>
      <c r="V36" s="284"/>
      <c r="W36" s="283"/>
      <c r="X36" s="284"/>
      <c r="Y36" s="378"/>
      <c r="Z36" s="284"/>
      <c r="AA36" s="378"/>
      <c r="AB36" s="325">
        <f t="shared" ref="AB36:AB67" si="2">D36+F36+H36+J36+L36+N36+P36+R36+T36+V36+X36+Z36</f>
        <v>4162</v>
      </c>
      <c r="AC36" s="326">
        <f t="shared" ref="AC36:AC67" si="3">E36+G36+I36+K36+M36+O36+Q36+S36+U36+W36+Y36+AA36</f>
        <v>2717.1556983301307</v>
      </c>
    </row>
    <row r="37" spans="1:29">
      <c r="A37" s="612" t="s">
        <v>345</v>
      </c>
      <c r="B37" s="391" t="s">
        <v>370</v>
      </c>
      <c r="C37" s="391" t="s">
        <v>371</v>
      </c>
      <c r="D37" s="282">
        <v>40</v>
      </c>
      <c r="E37" s="283">
        <v>462.48867302176035</v>
      </c>
      <c r="F37" s="282">
        <v>154</v>
      </c>
      <c r="G37" s="283">
        <v>1371.6099273963518</v>
      </c>
      <c r="H37" s="285">
        <v>94</v>
      </c>
      <c r="I37" s="286">
        <v>240.07650508174939</v>
      </c>
      <c r="J37" s="282">
        <v>0</v>
      </c>
      <c r="K37" s="283">
        <v>0</v>
      </c>
      <c r="L37" s="285"/>
      <c r="M37" s="286"/>
      <c r="N37" s="285"/>
      <c r="O37" s="286"/>
      <c r="P37" s="287"/>
      <c r="Q37" s="286"/>
      <c r="R37" s="284"/>
      <c r="S37" s="286"/>
      <c r="T37" s="284"/>
      <c r="U37" s="283"/>
      <c r="V37" s="284"/>
      <c r="W37" s="283"/>
      <c r="X37" s="284"/>
      <c r="Y37" s="378"/>
      <c r="Z37" s="284"/>
      <c r="AA37" s="378"/>
      <c r="AB37" s="325">
        <f t="shared" si="2"/>
        <v>288</v>
      </c>
      <c r="AC37" s="326">
        <f t="shared" si="3"/>
        <v>2074.1751054998617</v>
      </c>
    </row>
    <row r="38" spans="1:29">
      <c r="A38" s="612" t="s">
        <v>301</v>
      </c>
      <c r="B38" s="391" t="s">
        <v>322</v>
      </c>
      <c r="C38" s="391" t="s">
        <v>323</v>
      </c>
      <c r="D38" s="282">
        <v>0</v>
      </c>
      <c r="E38" s="283">
        <v>0</v>
      </c>
      <c r="F38" s="282">
        <v>0</v>
      </c>
      <c r="G38" s="283">
        <v>0</v>
      </c>
      <c r="H38" s="285">
        <v>1011</v>
      </c>
      <c r="I38" s="286">
        <v>779.42297877456906</v>
      </c>
      <c r="J38" s="282">
        <v>1144</v>
      </c>
      <c r="K38" s="283">
        <v>1031.960483985305</v>
      </c>
      <c r="L38" s="285"/>
      <c r="M38" s="286"/>
      <c r="N38" s="285"/>
      <c r="O38" s="286"/>
      <c r="P38" s="287"/>
      <c r="Q38" s="286"/>
      <c r="R38" s="284"/>
      <c r="S38" s="286"/>
      <c r="T38" s="284"/>
      <c r="U38" s="283"/>
      <c r="V38" s="284"/>
      <c r="W38" s="283"/>
      <c r="X38" s="284"/>
      <c r="Y38" s="378"/>
      <c r="Z38" s="284"/>
      <c r="AA38" s="378"/>
      <c r="AB38" s="325">
        <f t="shared" si="2"/>
        <v>2155</v>
      </c>
      <c r="AC38" s="326">
        <f t="shared" si="3"/>
        <v>1811.383462759874</v>
      </c>
    </row>
    <row r="39" spans="1:29">
      <c r="A39" s="612" t="s">
        <v>301</v>
      </c>
      <c r="B39" s="391" t="s">
        <v>336</v>
      </c>
      <c r="C39" s="391" t="s">
        <v>337</v>
      </c>
      <c r="D39" s="282">
        <v>417</v>
      </c>
      <c r="E39" s="283">
        <v>618.89964709661513</v>
      </c>
      <c r="F39" s="282">
        <v>0</v>
      </c>
      <c r="G39" s="283">
        <v>0</v>
      </c>
      <c r="H39" s="285">
        <v>422</v>
      </c>
      <c r="I39" s="286">
        <v>666.91948011877764</v>
      </c>
      <c r="J39" s="282">
        <v>374</v>
      </c>
      <c r="K39" s="283">
        <v>556.06787477977002</v>
      </c>
      <c r="L39" s="285"/>
      <c r="M39" s="286"/>
      <c r="N39" s="285"/>
      <c r="O39" s="286"/>
      <c r="P39" s="287"/>
      <c r="Q39" s="286"/>
      <c r="R39" s="284"/>
      <c r="S39" s="286"/>
      <c r="T39" s="284"/>
      <c r="U39" s="283"/>
      <c r="V39" s="284"/>
      <c r="W39" s="283"/>
      <c r="X39" s="284"/>
      <c r="Y39" s="378"/>
      <c r="Z39" s="284"/>
      <c r="AA39" s="378"/>
      <c r="AB39" s="325">
        <f t="shared" si="2"/>
        <v>1213</v>
      </c>
      <c r="AC39" s="326">
        <f t="shared" si="3"/>
        <v>1841.8870019951628</v>
      </c>
    </row>
    <row r="40" spans="1:29">
      <c r="A40" s="612" t="s">
        <v>345</v>
      </c>
      <c r="B40" s="391" t="s">
        <v>341</v>
      </c>
      <c r="C40" s="391" t="s">
        <v>342</v>
      </c>
      <c r="D40" s="282">
        <v>62</v>
      </c>
      <c r="E40" s="283">
        <v>1105.9743885885257</v>
      </c>
      <c r="F40" s="282">
        <v>49</v>
      </c>
      <c r="G40" s="283">
        <v>267.08048629790403</v>
      </c>
      <c r="H40" s="285">
        <v>65</v>
      </c>
      <c r="I40" s="286">
        <v>90.440379023360379</v>
      </c>
      <c r="J40" s="282">
        <v>44</v>
      </c>
      <c r="K40" s="283">
        <v>185.09369769996812</v>
      </c>
      <c r="L40" s="285"/>
      <c r="M40" s="286"/>
      <c r="N40" s="285"/>
      <c r="O40" s="286"/>
      <c r="P40" s="287"/>
      <c r="Q40" s="286"/>
      <c r="R40" s="284"/>
      <c r="S40" s="286"/>
      <c r="T40" s="284"/>
      <c r="U40" s="283"/>
      <c r="V40" s="284"/>
      <c r="W40" s="283"/>
      <c r="X40" s="284"/>
      <c r="Y40" s="378"/>
      <c r="Z40" s="284"/>
      <c r="AA40" s="378"/>
      <c r="AB40" s="325">
        <f t="shared" si="2"/>
        <v>220</v>
      </c>
      <c r="AC40" s="326">
        <f t="shared" si="3"/>
        <v>1648.5889516097584</v>
      </c>
    </row>
    <row r="41" spans="1:29">
      <c r="A41" s="612" t="s">
        <v>345</v>
      </c>
      <c r="B41" s="391" t="s">
        <v>318</v>
      </c>
      <c r="C41" s="391" t="s">
        <v>319</v>
      </c>
      <c r="D41" s="282">
        <v>0</v>
      </c>
      <c r="E41" s="283">
        <v>0</v>
      </c>
      <c r="F41" s="282">
        <v>0</v>
      </c>
      <c r="G41" s="283">
        <v>0</v>
      </c>
      <c r="H41" s="285">
        <v>453</v>
      </c>
      <c r="I41" s="286">
        <v>875.91988233689233</v>
      </c>
      <c r="J41" s="282">
        <v>74</v>
      </c>
      <c r="K41" s="283">
        <v>507.50615306547024</v>
      </c>
      <c r="L41" s="285"/>
      <c r="M41" s="286"/>
      <c r="N41" s="285"/>
      <c r="O41" s="286"/>
      <c r="P41" s="287"/>
      <c r="Q41" s="286"/>
      <c r="R41" s="284"/>
      <c r="S41" s="286"/>
      <c r="T41" s="284"/>
      <c r="U41" s="283"/>
      <c r="V41" s="284"/>
      <c r="W41" s="283"/>
      <c r="X41" s="284"/>
      <c r="Y41" s="378"/>
      <c r="Z41" s="284"/>
      <c r="AA41" s="378"/>
      <c r="AB41" s="325">
        <f t="shared" si="2"/>
        <v>527</v>
      </c>
      <c r="AC41" s="326">
        <f t="shared" si="3"/>
        <v>1383.4260354023627</v>
      </c>
    </row>
    <row r="42" spans="1:29">
      <c r="A42" s="612" t="s">
        <v>223</v>
      </c>
      <c r="B42" s="391" t="s">
        <v>813</v>
      </c>
      <c r="C42" s="391" t="s">
        <v>814</v>
      </c>
      <c r="D42" s="282"/>
      <c r="E42" s="283"/>
      <c r="F42" s="282"/>
      <c r="G42" s="283"/>
      <c r="H42" s="285"/>
      <c r="I42" s="286"/>
      <c r="J42" s="282">
        <v>1160</v>
      </c>
      <c r="K42" s="283">
        <v>1256.7474930203598</v>
      </c>
      <c r="L42" s="285"/>
      <c r="M42" s="286"/>
      <c r="N42" s="285"/>
      <c r="O42" s="286"/>
      <c r="P42" s="287"/>
      <c r="Q42" s="286"/>
      <c r="R42" s="284"/>
      <c r="S42" s="286"/>
      <c r="T42" s="284"/>
      <c r="U42" s="283"/>
      <c r="V42" s="284"/>
      <c r="W42" s="283"/>
      <c r="X42" s="284"/>
      <c r="Y42" s="378"/>
      <c r="Z42" s="284"/>
      <c r="AA42" s="378"/>
      <c r="AB42" s="325">
        <f t="shared" si="2"/>
        <v>1160</v>
      </c>
      <c r="AC42" s="326">
        <f t="shared" si="3"/>
        <v>1256.7474930203598</v>
      </c>
    </row>
    <row r="43" spans="1:29">
      <c r="A43" s="612" t="s">
        <v>345</v>
      </c>
      <c r="B43" s="391" t="s">
        <v>343</v>
      </c>
      <c r="C43" s="391" t="s">
        <v>344</v>
      </c>
      <c r="D43" s="282">
        <v>0</v>
      </c>
      <c r="E43" s="283">
        <v>0</v>
      </c>
      <c r="F43" s="282">
        <v>0</v>
      </c>
      <c r="G43" s="283">
        <v>0</v>
      </c>
      <c r="H43" s="285">
        <v>106</v>
      </c>
      <c r="I43" s="286">
        <v>1153.4014459519622</v>
      </c>
      <c r="J43" s="282">
        <v>1</v>
      </c>
      <c r="K43" s="283">
        <v>8.1069772159197001E-2</v>
      </c>
      <c r="L43" s="285"/>
      <c r="M43" s="286"/>
      <c r="N43" s="285"/>
      <c r="O43" s="286"/>
      <c r="P43" s="287"/>
      <c r="Q43" s="286"/>
      <c r="R43" s="284"/>
      <c r="S43" s="286"/>
      <c r="T43" s="284"/>
      <c r="U43" s="283"/>
      <c r="V43" s="284"/>
      <c r="W43" s="283"/>
      <c r="X43" s="284"/>
      <c r="Y43" s="378"/>
      <c r="Z43" s="284"/>
      <c r="AA43" s="378"/>
      <c r="AB43" s="325">
        <f t="shared" si="2"/>
        <v>107</v>
      </c>
      <c r="AC43" s="326">
        <f t="shared" si="3"/>
        <v>1153.4825157241214</v>
      </c>
    </row>
    <row r="44" spans="1:29">
      <c r="A44" s="612" t="s">
        <v>345</v>
      </c>
      <c r="B44" s="391" t="s">
        <v>348</v>
      </c>
      <c r="C44" s="391" t="s">
        <v>349</v>
      </c>
      <c r="D44" s="282">
        <v>1067</v>
      </c>
      <c r="E44" s="283">
        <v>685.34859480956857</v>
      </c>
      <c r="F44" s="282">
        <v>4</v>
      </c>
      <c r="G44" s="283">
        <v>2.7083702599983734</v>
      </c>
      <c r="H44" s="285">
        <v>75</v>
      </c>
      <c r="I44" s="286">
        <v>193.4492376704894</v>
      </c>
      <c r="J44" s="282">
        <v>76</v>
      </c>
      <c r="K44" s="283">
        <v>96.568121464734972</v>
      </c>
      <c r="L44" s="285"/>
      <c r="M44" s="286"/>
      <c r="N44" s="285"/>
      <c r="O44" s="286"/>
      <c r="P44" s="287"/>
      <c r="Q44" s="286"/>
      <c r="R44" s="284"/>
      <c r="S44" s="286"/>
      <c r="T44" s="284"/>
      <c r="U44" s="283"/>
      <c r="V44" s="284"/>
      <c r="W44" s="283"/>
      <c r="X44" s="284"/>
      <c r="Y44" s="378"/>
      <c r="Z44" s="284"/>
      <c r="AA44" s="378"/>
      <c r="AB44" s="325">
        <f t="shared" si="2"/>
        <v>1222</v>
      </c>
      <c r="AC44" s="326">
        <f t="shared" si="3"/>
        <v>978.07432420479131</v>
      </c>
    </row>
    <row r="45" spans="1:29">
      <c r="A45" s="612" t="s">
        <v>345</v>
      </c>
      <c r="B45" s="391" t="s">
        <v>350</v>
      </c>
      <c r="C45" s="391" t="s">
        <v>351</v>
      </c>
      <c r="D45" s="282">
        <v>295</v>
      </c>
      <c r="E45" s="283">
        <v>434.87730932739362</v>
      </c>
      <c r="F45" s="282">
        <v>1</v>
      </c>
      <c r="G45" s="283">
        <v>0.12916043417600764</v>
      </c>
      <c r="H45" s="285">
        <v>68</v>
      </c>
      <c r="I45" s="286">
        <v>408.94299577659984</v>
      </c>
      <c r="J45" s="282">
        <v>66</v>
      </c>
      <c r="K45" s="283">
        <v>96.9379925743239</v>
      </c>
      <c r="L45" s="285"/>
      <c r="M45" s="286"/>
      <c r="N45" s="285"/>
      <c r="O45" s="286"/>
      <c r="P45" s="287"/>
      <c r="Q45" s="286"/>
      <c r="R45" s="284"/>
      <c r="S45" s="286"/>
      <c r="T45" s="284"/>
      <c r="U45" s="283"/>
      <c r="V45" s="284"/>
      <c r="W45" s="283"/>
      <c r="X45" s="284"/>
      <c r="Y45" s="378"/>
      <c r="Z45" s="284"/>
      <c r="AA45" s="378"/>
      <c r="AB45" s="325">
        <f t="shared" si="2"/>
        <v>430</v>
      </c>
      <c r="AC45" s="326">
        <f t="shared" si="3"/>
        <v>940.88745811249339</v>
      </c>
    </row>
    <row r="46" spans="1:29">
      <c r="A46" s="612" t="s">
        <v>345</v>
      </c>
      <c r="B46" s="391" t="s">
        <v>332</v>
      </c>
      <c r="C46" s="391" t="s">
        <v>333</v>
      </c>
      <c r="D46" s="282">
        <v>96</v>
      </c>
      <c r="E46" s="283">
        <v>125.90228677389693</v>
      </c>
      <c r="F46" s="282">
        <v>0</v>
      </c>
      <c r="G46" s="283">
        <v>0</v>
      </c>
      <c r="H46" s="285">
        <v>63</v>
      </c>
      <c r="I46" s="286">
        <v>717.63241104747453</v>
      </c>
      <c r="J46" s="282">
        <v>0</v>
      </c>
      <c r="K46" s="283">
        <v>0</v>
      </c>
      <c r="L46" s="285"/>
      <c r="M46" s="286"/>
      <c r="N46" s="285"/>
      <c r="O46" s="286"/>
      <c r="P46" s="287"/>
      <c r="Q46" s="286"/>
      <c r="R46" s="284"/>
      <c r="S46" s="286"/>
      <c r="T46" s="284"/>
      <c r="U46" s="283"/>
      <c r="V46" s="284"/>
      <c r="W46" s="283"/>
      <c r="X46" s="284"/>
      <c r="Y46" s="378"/>
      <c r="Z46" s="284"/>
      <c r="AA46" s="378"/>
      <c r="AB46" s="325">
        <f t="shared" si="2"/>
        <v>159</v>
      </c>
      <c r="AC46" s="326">
        <f t="shared" si="3"/>
        <v>843.53469782137142</v>
      </c>
    </row>
    <row r="47" spans="1:29">
      <c r="A47" s="612" t="s">
        <v>345</v>
      </c>
      <c r="B47" s="391" t="s">
        <v>339</v>
      </c>
      <c r="C47" s="391" t="s">
        <v>340</v>
      </c>
      <c r="D47" s="282">
        <v>769</v>
      </c>
      <c r="E47" s="283">
        <v>667.17339126567288</v>
      </c>
      <c r="F47" s="282">
        <v>0</v>
      </c>
      <c r="G47" s="283">
        <v>0</v>
      </c>
      <c r="H47" s="285">
        <v>0</v>
      </c>
      <c r="I47" s="286">
        <v>0</v>
      </c>
      <c r="J47" s="282">
        <v>47</v>
      </c>
      <c r="K47" s="283">
        <v>72.79392189382601</v>
      </c>
      <c r="L47" s="285"/>
      <c r="M47" s="286"/>
      <c r="N47" s="285"/>
      <c r="O47" s="286"/>
      <c r="P47" s="287"/>
      <c r="Q47" s="286"/>
      <c r="R47" s="284"/>
      <c r="S47" s="286"/>
      <c r="T47" s="284"/>
      <c r="U47" s="283"/>
      <c r="V47" s="284"/>
      <c r="W47" s="283"/>
      <c r="X47" s="284"/>
      <c r="Y47" s="378"/>
      <c r="Z47" s="284"/>
      <c r="AA47" s="378"/>
      <c r="AB47" s="325">
        <f t="shared" si="2"/>
        <v>816</v>
      </c>
      <c r="AC47" s="326">
        <f t="shared" si="3"/>
        <v>739.96731315949887</v>
      </c>
    </row>
    <row r="48" spans="1:29">
      <c r="A48" s="612" t="s">
        <v>301</v>
      </c>
      <c r="B48" s="391" t="s">
        <v>330</v>
      </c>
      <c r="C48" s="391" t="s">
        <v>331</v>
      </c>
      <c r="D48" s="282">
        <v>586</v>
      </c>
      <c r="E48" s="283">
        <v>581.11105578304944</v>
      </c>
      <c r="F48" s="282">
        <v>195</v>
      </c>
      <c r="G48" s="283">
        <v>133.53388924666572</v>
      </c>
      <c r="H48" s="285">
        <v>0</v>
      </c>
      <c r="I48" s="286">
        <v>0</v>
      </c>
      <c r="J48" s="282">
        <v>11</v>
      </c>
      <c r="K48" s="283">
        <v>22.837742324339839</v>
      </c>
      <c r="L48" s="285"/>
      <c r="M48" s="286"/>
      <c r="N48" s="285"/>
      <c r="O48" s="286"/>
      <c r="P48" s="287"/>
      <c r="Q48" s="286"/>
      <c r="R48" s="284"/>
      <c r="S48" s="286"/>
      <c r="T48" s="284"/>
      <c r="U48" s="283"/>
      <c r="V48" s="284"/>
      <c r="W48" s="283"/>
      <c r="X48" s="284"/>
      <c r="Y48" s="378"/>
      <c r="Z48" s="284"/>
      <c r="AA48" s="378"/>
      <c r="AB48" s="325">
        <f t="shared" si="2"/>
        <v>792</v>
      </c>
      <c r="AC48" s="326">
        <f t="shared" si="3"/>
        <v>737.48268735405497</v>
      </c>
    </row>
    <row r="49" spans="1:29">
      <c r="A49" s="612" t="s">
        <v>345</v>
      </c>
      <c r="B49" s="391" t="s">
        <v>404</v>
      </c>
      <c r="C49" s="391" t="s">
        <v>405</v>
      </c>
      <c r="D49" s="282">
        <v>144</v>
      </c>
      <c r="E49" s="283">
        <v>552.66543902379703</v>
      </c>
      <c r="F49" s="282">
        <v>0</v>
      </c>
      <c r="G49" s="283">
        <v>0</v>
      </c>
      <c r="H49" s="285">
        <v>0</v>
      </c>
      <c r="I49" s="286">
        <v>0</v>
      </c>
      <c r="J49" s="282">
        <v>0</v>
      </c>
      <c r="K49" s="283">
        <v>0</v>
      </c>
      <c r="L49" s="285"/>
      <c r="M49" s="286"/>
      <c r="N49" s="285"/>
      <c r="O49" s="286"/>
      <c r="P49" s="287"/>
      <c r="Q49" s="286"/>
      <c r="R49" s="284"/>
      <c r="S49" s="286"/>
      <c r="T49" s="284"/>
      <c r="U49" s="283"/>
      <c r="V49" s="284"/>
      <c r="W49" s="283"/>
      <c r="X49" s="284"/>
      <c r="Y49" s="378"/>
      <c r="Z49" s="284"/>
      <c r="AA49" s="378"/>
      <c r="AB49" s="325">
        <f t="shared" si="2"/>
        <v>144</v>
      </c>
      <c r="AC49" s="326">
        <f t="shared" si="3"/>
        <v>552.66543902379703</v>
      </c>
    </row>
    <row r="50" spans="1:29">
      <c r="A50" s="612" t="s">
        <v>345</v>
      </c>
      <c r="B50" s="391" t="s">
        <v>389</v>
      </c>
      <c r="C50" s="391" t="s">
        <v>390</v>
      </c>
      <c r="D50" s="282">
        <v>9</v>
      </c>
      <c r="E50" s="283">
        <v>456.66559209211715</v>
      </c>
      <c r="F50" s="282">
        <v>0</v>
      </c>
      <c r="G50" s="283">
        <v>0</v>
      </c>
      <c r="H50" s="285">
        <v>5</v>
      </c>
      <c r="I50" s="286">
        <v>0.62367079605590015</v>
      </c>
      <c r="J50" s="282">
        <v>0</v>
      </c>
      <c r="K50" s="283">
        <v>0</v>
      </c>
      <c r="L50" s="285"/>
      <c r="M50" s="286"/>
      <c r="N50" s="285"/>
      <c r="O50" s="286"/>
      <c r="P50" s="287"/>
      <c r="Q50" s="286"/>
      <c r="R50" s="284"/>
      <c r="S50" s="286"/>
      <c r="T50" s="284"/>
      <c r="U50" s="283"/>
      <c r="V50" s="284"/>
      <c r="W50" s="283"/>
      <c r="X50" s="284"/>
      <c r="Y50" s="378"/>
      <c r="Z50" s="284"/>
      <c r="AA50" s="378"/>
      <c r="AB50" s="325">
        <f t="shared" si="2"/>
        <v>14</v>
      </c>
      <c r="AC50" s="326">
        <f t="shared" si="3"/>
        <v>457.28926288817303</v>
      </c>
    </row>
    <row r="51" spans="1:29">
      <c r="A51" s="612" t="s">
        <v>345</v>
      </c>
      <c r="B51" s="391" t="s">
        <v>360</v>
      </c>
      <c r="C51" s="391" t="s">
        <v>361</v>
      </c>
      <c r="D51" s="282">
        <v>272</v>
      </c>
      <c r="E51" s="283">
        <v>349.20640513310161</v>
      </c>
      <c r="F51" s="282">
        <v>36</v>
      </c>
      <c r="G51" s="283">
        <v>40.675281816895485</v>
      </c>
      <c r="H51" s="285">
        <v>17</v>
      </c>
      <c r="I51" s="286">
        <v>30.382232613230276</v>
      </c>
      <c r="J51" s="282">
        <v>0</v>
      </c>
      <c r="K51" s="283">
        <v>0</v>
      </c>
      <c r="L51" s="285"/>
      <c r="M51" s="286"/>
      <c r="N51" s="285"/>
      <c r="O51" s="286"/>
      <c r="P51" s="287"/>
      <c r="Q51" s="286"/>
      <c r="R51" s="284"/>
      <c r="S51" s="286"/>
      <c r="T51" s="284"/>
      <c r="U51" s="283"/>
      <c r="V51" s="284"/>
      <c r="W51" s="283"/>
      <c r="X51" s="284"/>
      <c r="Y51" s="378"/>
      <c r="Z51" s="284"/>
      <c r="AA51" s="378"/>
      <c r="AB51" s="325">
        <f t="shared" si="2"/>
        <v>325</v>
      </c>
      <c r="AC51" s="326">
        <f t="shared" si="3"/>
        <v>420.26391956322738</v>
      </c>
    </row>
    <row r="52" spans="1:29">
      <c r="A52" s="612" t="s">
        <v>345</v>
      </c>
      <c r="B52" s="391" t="s">
        <v>462</v>
      </c>
      <c r="C52" s="391" t="s">
        <v>463</v>
      </c>
      <c r="D52" s="282">
        <v>250</v>
      </c>
      <c r="E52" s="283">
        <v>340.10839508820061</v>
      </c>
      <c r="F52" s="282">
        <v>0</v>
      </c>
      <c r="G52" s="283">
        <v>0</v>
      </c>
      <c r="H52" s="285">
        <v>0</v>
      </c>
      <c r="I52" s="286">
        <v>0</v>
      </c>
      <c r="J52" s="282">
        <v>0</v>
      </c>
      <c r="K52" s="283">
        <v>0</v>
      </c>
      <c r="L52" s="285"/>
      <c r="M52" s="286"/>
      <c r="N52" s="285"/>
      <c r="O52" s="286"/>
      <c r="P52" s="287"/>
      <c r="Q52" s="286"/>
      <c r="R52" s="284"/>
      <c r="S52" s="286"/>
      <c r="T52" s="284"/>
      <c r="U52" s="283"/>
      <c r="V52" s="284"/>
      <c r="W52" s="283"/>
      <c r="X52" s="284"/>
      <c r="Y52" s="378"/>
      <c r="Z52" s="284"/>
      <c r="AA52" s="378"/>
      <c r="AB52" s="325">
        <f t="shared" si="2"/>
        <v>250</v>
      </c>
      <c r="AC52" s="326">
        <f t="shared" si="3"/>
        <v>340.10839508820061</v>
      </c>
    </row>
    <row r="53" spans="1:29">
      <c r="A53" s="612" t="s">
        <v>345</v>
      </c>
      <c r="B53" s="391" t="s">
        <v>346</v>
      </c>
      <c r="C53" s="391" t="s">
        <v>347</v>
      </c>
      <c r="D53" s="282">
        <v>23</v>
      </c>
      <c r="E53" s="283">
        <v>121.6668945716673</v>
      </c>
      <c r="F53" s="282">
        <v>37</v>
      </c>
      <c r="G53" s="283">
        <v>85.992084065521254</v>
      </c>
      <c r="H53" s="285">
        <v>1</v>
      </c>
      <c r="I53" s="286">
        <v>5.2899268910378128</v>
      </c>
      <c r="J53" s="282">
        <v>40</v>
      </c>
      <c r="K53" s="283">
        <v>85.144427163616569</v>
      </c>
      <c r="L53" s="285"/>
      <c r="M53" s="286"/>
      <c r="N53" s="285"/>
      <c r="O53" s="286"/>
      <c r="P53" s="287"/>
      <c r="Q53" s="286"/>
      <c r="R53" s="284"/>
      <c r="S53" s="286"/>
      <c r="T53" s="284"/>
      <c r="U53" s="283"/>
      <c r="V53" s="284"/>
      <c r="W53" s="283"/>
      <c r="X53" s="284"/>
      <c r="Y53" s="378"/>
      <c r="Z53" s="284"/>
      <c r="AA53" s="378"/>
      <c r="AB53" s="325">
        <f t="shared" si="2"/>
        <v>101</v>
      </c>
      <c r="AC53" s="326">
        <f t="shared" si="3"/>
        <v>298.09333269184299</v>
      </c>
    </row>
    <row r="54" spans="1:29">
      <c r="A54" s="612" t="s">
        <v>345</v>
      </c>
      <c r="B54" s="391" t="s">
        <v>354</v>
      </c>
      <c r="C54" s="391" t="s">
        <v>355</v>
      </c>
      <c r="D54" s="282">
        <v>0</v>
      </c>
      <c r="E54" s="283">
        <v>0</v>
      </c>
      <c r="F54" s="282">
        <v>0</v>
      </c>
      <c r="G54" s="283">
        <v>0</v>
      </c>
      <c r="H54" s="285">
        <v>0</v>
      </c>
      <c r="I54" s="286">
        <v>0</v>
      </c>
      <c r="J54" s="282">
        <v>31</v>
      </c>
      <c r="K54" s="283">
        <v>292.27564177190771</v>
      </c>
      <c r="L54" s="285"/>
      <c r="M54" s="286"/>
      <c r="N54" s="285"/>
      <c r="O54" s="286"/>
      <c r="P54" s="287"/>
      <c r="Q54" s="286"/>
      <c r="R54" s="284"/>
      <c r="S54" s="286"/>
      <c r="T54" s="284"/>
      <c r="U54" s="283"/>
      <c r="V54" s="284"/>
      <c r="W54" s="283"/>
      <c r="X54" s="284"/>
      <c r="Y54" s="378"/>
      <c r="Z54" s="284"/>
      <c r="AA54" s="378"/>
      <c r="AB54" s="325">
        <f t="shared" si="2"/>
        <v>31</v>
      </c>
      <c r="AC54" s="326">
        <f t="shared" si="3"/>
        <v>292.27564177190771</v>
      </c>
    </row>
    <row r="55" spans="1:29">
      <c r="A55" s="612" t="s">
        <v>345</v>
      </c>
      <c r="B55" s="391" t="s">
        <v>358</v>
      </c>
      <c r="C55" s="391" t="s">
        <v>359</v>
      </c>
      <c r="D55" s="282">
        <v>58</v>
      </c>
      <c r="E55" s="283">
        <v>131.88585741703685</v>
      </c>
      <c r="F55" s="282">
        <v>0</v>
      </c>
      <c r="G55" s="283">
        <v>0</v>
      </c>
      <c r="H55" s="285">
        <v>0</v>
      </c>
      <c r="I55" s="286">
        <v>0</v>
      </c>
      <c r="J55" s="282">
        <v>11</v>
      </c>
      <c r="K55" s="283">
        <v>120.82599978861037</v>
      </c>
      <c r="L55" s="285"/>
      <c r="M55" s="286"/>
      <c r="N55" s="285"/>
      <c r="O55" s="286"/>
      <c r="P55" s="287"/>
      <c r="Q55" s="286"/>
      <c r="R55" s="284"/>
      <c r="S55" s="286"/>
      <c r="T55" s="284"/>
      <c r="U55" s="283"/>
      <c r="V55" s="284"/>
      <c r="W55" s="283"/>
      <c r="X55" s="284"/>
      <c r="Y55" s="378"/>
      <c r="Z55" s="284"/>
      <c r="AA55" s="378"/>
      <c r="AB55" s="325">
        <f t="shared" si="2"/>
        <v>69</v>
      </c>
      <c r="AC55" s="326">
        <f t="shared" si="3"/>
        <v>252.71185720564722</v>
      </c>
    </row>
    <row r="56" spans="1:29">
      <c r="A56" s="612" t="s">
        <v>345</v>
      </c>
      <c r="B56" s="391" t="s">
        <v>464</v>
      </c>
      <c r="C56" s="391" t="s">
        <v>465</v>
      </c>
      <c r="D56" s="282">
        <v>4</v>
      </c>
      <c r="E56" s="283">
        <v>5.5720399277821517</v>
      </c>
      <c r="F56" s="282">
        <v>69</v>
      </c>
      <c r="G56" s="283">
        <v>83.33981194427173</v>
      </c>
      <c r="H56" s="285">
        <v>121</v>
      </c>
      <c r="I56" s="286">
        <v>139.97982081245064</v>
      </c>
      <c r="J56" s="282">
        <v>17</v>
      </c>
      <c r="K56" s="283">
        <v>21.950771647996095</v>
      </c>
      <c r="L56" s="285"/>
      <c r="M56" s="286"/>
      <c r="N56" s="285"/>
      <c r="O56" s="286"/>
      <c r="P56" s="287"/>
      <c r="Q56" s="286"/>
      <c r="R56" s="284"/>
      <c r="S56" s="286"/>
      <c r="T56" s="284"/>
      <c r="U56" s="283"/>
      <c r="V56" s="284"/>
      <c r="W56" s="283"/>
      <c r="X56" s="284"/>
      <c r="Y56" s="378"/>
      <c r="Z56" s="284"/>
      <c r="AA56" s="378"/>
      <c r="AB56" s="325">
        <f t="shared" si="2"/>
        <v>211</v>
      </c>
      <c r="AC56" s="326">
        <f t="shared" si="3"/>
        <v>250.84244433250063</v>
      </c>
    </row>
    <row r="57" spans="1:29">
      <c r="A57" s="612" t="s">
        <v>345</v>
      </c>
      <c r="B57" s="391" t="s">
        <v>466</v>
      </c>
      <c r="C57" s="391" t="s">
        <v>467</v>
      </c>
      <c r="D57" s="282">
        <v>8</v>
      </c>
      <c r="E57" s="283">
        <v>22.065096360000222</v>
      </c>
      <c r="F57" s="282">
        <v>6</v>
      </c>
      <c r="G57" s="283">
        <v>19.290217711404743</v>
      </c>
      <c r="H57" s="285">
        <v>42</v>
      </c>
      <c r="I57" s="286">
        <v>91.264738405766181</v>
      </c>
      <c r="J57" s="282">
        <v>29</v>
      </c>
      <c r="K57" s="283">
        <v>108.90464586259965</v>
      </c>
      <c r="L57" s="285"/>
      <c r="M57" s="286"/>
      <c r="N57" s="285"/>
      <c r="O57" s="286"/>
      <c r="P57" s="287"/>
      <c r="Q57" s="286"/>
      <c r="R57" s="284"/>
      <c r="S57" s="286"/>
      <c r="T57" s="284"/>
      <c r="U57" s="283"/>
      <c r="V57" s="284"/>
      <c r="W57" s="283"/>
      <c r="X57" s="284"/>
      <c r="Y57" s="378"/>
      <c r="Z57" s="284"/>
      <c r="AA57" s="378"/>
      <c r="AB57" s="325">
        <f t="shared" si="2"/>
        <v>85</v>
      </c>
      <c r="AC57" s="326">
        <f t="shared" si="3"/>
        <v>241.52469833977079</v>
      </c>
    </row>
    <row r="58" spans="1:29">
      <c r="A58" s="612" t="s">
        <v>345</v>
      </c>
      <c r="B58" s="391" t="s">
        <v>356</v>
      </c>
      <c r="C58" s="391" t="s">
        <v>357</v>
      </c>
      <c r="D58" s="282">
        <v>1</v>
      </c>
      <c r="E58" s="283">
        <v>0.19304865434905349</v>
      </c>
      <c r="F58" s="282">
        <v>9</v>
      </c>
      <c r="G58" s="283">
        <v>28.198352943708112</v>
      </c>
      <c r="H58" s="285">
        <v>118</v>
      </c>
      <c r="I58" s="286">
        <v>182.44873123968304</v>
      </c>
      <c r="J58" s="282">
        <v>0</v>
      </c>
      <c r="K58" s="283">
        <v>0</v>
      </c>
      <c r="L58" s="285"/>
      <c r="M58" s="286"/>
      <c r="N58" s="285"/>
      <c r="O58" s="286"/>
      <c r="P58" s="287"/>
      <c r="Q58" s="286"/>
      <c r="R58" s="284"/>
      <c r="S58" s="286"/>
      <c r="T58" s="284"/>
      <c r="U58" s="283"/>
      <c r="V58" s="284"/>
      <c r="W58" s="283"/>
      <c r="X58" s="284"/>
      <c r="Y58" s="378"/>
      <c r="Z58" s="284"/>
      <c r="AA58" s="378"/>
      <c r="AB58" s="325">
        <f t="shared" si="2"/>
        <v>128</v>
      </c>
      <c r="AC58" s="326">
        <f t="shared" si="3"/>
        <v>210.84013283774021</v>
      </c>
    </row>
    <row r="59" spans="1:29">
      <c r="A59" s="612" t="s">
        <v>345</v>
      </c>
      <c r="B59" s="391" t="s">
        <v>547</v>
      </c>
      <c r="C59" s="391" t="s">
        <v>548</v>
      </c>
      <c r="D59" s="282"/>
      <c r="E59" s="283"/>
      <c r="F59" s="282"/>
      <c r="G59" s="283"/>
      <c r="H59" s="285">
        <v>46</v>
      </c>
      <c r="I59" s="286">
        <v>203.94351349900154</v>
      </c>
      <c r="J59" s="282">
        <v>0</v>
      </c>
      <c r="K59" s="283">
        <v>0</v>
      </c>
      <c r="L59" s="285"/>
      <c r="M59" s="286"/>
      <c r="N59" s="285"/>
      <c r="O59" s="286"/>
      <c r="P59" s="287"/>
      <c r="Q59" s="286"/>
      <c r="R59" s="284"/>
      <c r="S59" s="286"/>
      <c r="T59" s="284"/>
      <c r="U59" s="283"/>
      <c r="V59" s="284"/>
      <c r="W59" s="283"/>
      <c r="X59" s="284"/>
      <c r="Y59" s="378"/>
      <c r="Z59" s="284"/>
      <c r="AA59" s="378"/>
      <c r="AB59" s="325">
        <f t="shared" si="2"/>
        <v>46</v>
      </c>
      <c r="AC59" s="326">
        <f t="shared" si="3"/>
        <v>203.94351349900154</v>
      </c>
    </row>
    <row r="60" spans="1:29">
      <c r="A60" s="612" t="s">
        <v>345</v>
      </c>
      <c r="B60" s="391" t="s">
        <v>366</v>
      </c>
      <c r="C60" s="391" t="s">
        <v>367</v>
      </c>
      <c r="D60" s="282">
        <v>0</v>
      </c>
      <c r="E60" s="283">
        <v>0</v>
      </c>
      <c r="F60" s="282">
        <v>0</v>
      </c>
      <c r="G60" s="283">
        <v>0</v>
      </c>
      <c r="H60" s="285">
        <v>0</v>
      </c>
      <c r="I60" s="286">
        <v>0</v>
      </c>
      <c r="J60" s="282">
        <v>94</v>
      </c>
      <c r="K60" s="283">
        <v>195.66854743136744</v>
      </c>
      <c r="L60" s="285"/>
      <c r="M60" s="286"/>
      <c r="N60" s="285"/>
      <c r="O60" s="286"/>
      <c r="P60" s="287"/>
      <c r="Q60" s="286"/>
      <c r="R60" s="284"/>
      <c r="S60" s="286"/>
      <c r="T60" s="284"/>
      <c r="U60" s="283"/>
      <c r="V60" s="284"/>
      <c r="W60" s="283"/>
      <c r="X60" s="284"/>
      <c r="Y60" s="378"/>
      <c r="Z60" s="284"/>
      <c r="AA60" s="378"/>
      <c r="AB60" s="325">
        <f t="shared" si="2"/>
        <v>94</v>
      </c>
      <c r="AC60" s="326">
        <f t="shared" si="3"/>
        <v>195.66854743136744</v>
      </c>
    </row>
    <row r="61" spans="1:29">
      <c r="A61" s="612" t="s">
        <v>345</v>
      </c>
      <c r="B61" s="391" t="s">
        <v>362</v>
      </c>
      <c r="C61" s="391" t="s">
        <v>363</v>
      </c>
      <c r="D61" s="282">
        <v>0</v>
      </c>
      <c r="E61" s="283">
        <v>0</v>
      </c>
      <c r="F61" s="282">
        <v>10</v>
      </c>
      <c r="G61" s="283">
        <v>64.72963785419212</v>
      </c>
      <c r="H61" s="285">
        <v>0</v>
      </c>
      <c r="I61" s="286">
        <v>0</v>
      </c>
      <c r="J61" s="282">
        <v>15</v>
      </c>
      <c r="K61" s="283">
        <v>97.407117683560529</v>
      </c>
      <c r="L61" s="285"/>
      <c r="M61" s="286"/>
      <c r="N61" s="285"/>
      <c r="O61" s="286"/>
      <c r="P61" s="287"/>
      <c r="Q61" s="286"/>
      <c r="R61" s="284"/>
      <c r="S61" s="286"/>
      <c r="T61" s="284"/>
      <c r="U61" s="283"/>
      <c r="V61" s="284"/>
      <c r="W61" s="283"/>
      <c r="X61" s="284"/>
      <c r="Y61" s="378"/>
      <c r="Z61" s="284"/>
      <c r="AA61" s="378"/>
      <c r="AB61" s="325">
        <f t="shared" si="2"/>
        <v>25</v>
      </c>
      <c r="AC61" s="326">
        <f t="shared" si="3"/>
        <v>162.13675553775266</v>
      </c>
    </row>
    <row r="62" spans="1:29">
      <c r="A62" s="612" t="s">
        <v>345</v>
      </c>
      <c r="B62" s="391" t="s">
        <v>728</v>
      </c>
      <c r="C62" s="391" t="s">
        <v>729</v>
      </c>
      <c r="D62" s="282"/>
      <c r="E62" s="283"/>
      <c r="F62" s="282"/>
      <c r="G62" s="283"/>
      <c r="H62" s="285"/>
      <c r="I62" s="286"/>
      <c r="J62" s="282">
        <v>50</v>
      </c>
      <c r="K62" s="283">
        <v>107.65844378580853</v>
      </c>
      <c r="L62" s="285"/>
      <c r="M62" s="286"/>
      <c r="N62" s="285"/>
      <c r="O62" s="286"/>
      <c r="P62" s="287"/>
      <c r="Q62" s="286"/>
      <c r="R62" s="284"/>
      <c r="S62" s="286"/>
      <c r="T62" s="284"/>
      <c r="U62" s="283"/>
      <c r="V62" s="284"/>
      <c r="W62" s="283"/>
      <c r="X62" s="284"/>
      <c r="Y62" s="378"/>
      <c r="Z62" s="284"/>
      <c r="AA62" s="378"/>
      <c r="AB62" s="325">
        <f t="shared" si="2"/>
        <v>50</v>
      </c>
      <c r="AC62" s="326">
        <f t="shared" si="3"/>
        <v>107.65844378580853</v>
      </c>
    </row>
    <row r="63" spans="1:29">
      <c r="A63" s="612" t="s">
        <v>345</v>
      </c>
      <c r="B63" s="391" t="s">
        <v>368</v>
      </c>
      <c r="C63" s="391" t="s">
        <v>369</v>
      </c>
      <c r="D63" s="282">
        <v>0</v>
      </c>
      <c r="E63" s="283">
        <v>0</v>
      </c>
      <c r="F63" s="282">
        <v>0</v>
      </c>
      <c r="G63" s="283">
        <v>0</v>
      </c>
      <c r="H63" s="285">
        <v>148</v>
      </c>
      <c r="I63" s="286">
        <v>107.0063744416766</v>
      </c>
      <c r="J63" s="282">
        <v>0</v>
      </c>
      <c r="K63" s="283">
        <v>0</v>
      </c>
      <c r="L63" s="285"/>
      <c r="M63" s="286"/>
      <c r="N63" s="285"/>
      <c r="O63" s="286"/>
      <c r="P63" s="287"/>
      <c r="Q63" s="286"/>
      <c r="R63" s="284"/>
      <c r="S63" s="286"/>
      <c r="T63" s="284"/>
      <c r="U63" s="283"/>
      <c r="V63" s="284"/>
      <c r="W63" s="283"/>
      <c r="X63" s="284"/>
      <c r="Y63" s="378"/>
      <c r="Z63" s="284"/>
      <c r="AA63" s="378"/>
      <c r="AB63" s="325">
        <f t="shared" si="2"/>
        <v>148</v>
      </c>
      <c r="AC63" s="326">
        <f t="shared" si="3"/>
        <v>107.0063744416766</v>
      </c>
    </row>
    <row r="64" spans="1:29">
      <c r="A64" s="612" t="s">
        <v>345</v>
      </c>
      <c r="B64" s="391" t="s">
        <v>498</v>
      </c>
      <c r="C64" s="391" t="s">
        <v>499</v>
      </c>
      <c r="D64" s="282"/>
      <c r="E64" s="283"/>
      <c r="F64" s="282">
        <v>7</v>
      </c>
      <c r="G64" s="283">
        <v>11.692582074973853</v>
      </c>
      <c r="H64" s="285">
        <v>47</v>
      </c>
      <c r="I64" s="286">
        <v>59.570154061056684</v>
      </c>
      <c r="J64" s="282">
        <v>9</v>
      </c>
      <c r="K64" s="283">
        <v>18.691479441507408</v>
      </c>
      <c r="L64" s="285"/>
      <c r="M64" s="286"/>
      <c r="N64" s="285"/>
      <c r="O64" s="286"/>
      <c r="P64" s="287"/>
      <c r="Q64" s="286"/>
      <c r="R64" s="284"/>
      <c r="S64" s="286"/>
      <c r="T64" s="284"/>
      <c r="U64" s="283"/>
      <c r="V64" s="284"/>
      <c r="W64" s="283"/>
      <c r="X64" s="284"/>
      <c r="Y64" s="378"/>
      <c r="Z64" s="284"/>
      <c r="AA64" s="378"/>
      <c r="AB64" s="325">
        <f t="shared" si="2"/>
        <v>63</v>
      </c>
      <c r="AC64" s="326">
        <f t="shared" si="3"/>
        <v>89.954215577537951</v>
      </c>
    </row>
    <row r="65" spans="1:29">
      <c r="A65" s="612" t="s">
        <v>345</v>
      </c>
      <c r="B65" s="391" t="s">
        <v>809</v>
      </c>
      <c r="C65" s="391" t="s">
        <v>810</v>
      </c>
      <c r="D65" s="282"/>
      <c r="E65" s="283"/>
      <c r="F65" s="282"/>
      <c r="G65" s="283"/>
      <c r="H65" s="285"/>
      <c r="I65" s="286"/>
      <c r="J65" s="282">
        <v>30</v>
      </c>
      <c r="K65" s="283">
        <v>85.922554819213403</v>
      </c>
      <c r="L65" s="285"/>
      <c r="M65" s="286"/>
      <c r="N65" s="285"/>
      <c r="O65" s="286"/>
      <c r="P65" s="287"/>
      <c r="Q65" s="286"/>
      <c r="R65" s="284"/>
      <c r="S65" s="286"/>
      <c r="T65" s="284"/>
      <c r="U65" s="283"/>
      <c r="V65" s="284"/>
      <c r="W65" s="283"/>
      <c r="X65" s="284"/>
      <c r="Y65" s="378"/>
      <c r="Z65" s="284"/>
      <c r="AA65" s="378"/>
      <c r="AB65" s="325">
        <f t="shared" si="2"/>
        <v>30</v>
      </c>
      <c r="AC65" s="326">
        <f t="shared" si="3"/>
        <v>85.922554819213403</v>
      </c>
    </row>
    <row r="66" spans="1:29">
      <c r="A66" s="612" t="s">
        <v>345</v>
      </c>
      <c r="B66" s="391" t="s">
        <v>412</v>
      </c>
      <c r="C66" s="391" t="s">
        <v>413</v>
      </c>
      <c r="D66" s="282">
        <v>0</v>
      </c>
      <c r="E66" s="283">
        <v>0</v>
      </c>
      <c r="F66" s="282">
        <v>41</v>
      </c>
      <c r="G66" s="283">
        <v>4.5522635391376651</v>
      </c>
      <c r="H66" s="285">
        <v>0</v>
      </c>
      <c r="I66" s="286">
        <v>0</v>
      </c>
      <c r="J66" s="282">
        <v>43</v>
      </c>
      <c r="K66" s="283">
        <v>79.150838794305798</v>
      </c>
      <c r="L66" s="285"/>
      <c r="M66" s="286"/>
      <c r="N66" s="285"/>
      <c r="O66" s="286"/>
      <c r="P66" s="287"/>
      <c r="Q66" s="286"/>
      <c r="R66" s="284"/>
      <c r="S66" s="286"/>
      <c r="T66" s="284"/>
      <c r="U66" s="283"/>
      <c r="V66" s="284"/>
      <c r="W66" s="283"/>
      <c r="X66" s="284"/>
      <c r="Y66" s="378"/>
      <c r="Z66" s="284"/>
      <c r="AA66" s="378"/>
      <c r="AB66" s="325">
        <f t="shared" si="2"/>
        <v>84</v>
      </c>
      <c r="AC66" s="326">
        <f t="shared" si="3"/>
        <v>83.703102333443468</v>
      </c>
    </row>
    <row r="67" spans="1:29">
      <c r="A67" s="612" t="s">
        <v>345</v>
      </c>
      <c r="B67" s="391" t="s">
        <v>400</v>
      </c>
      <c r="C67" s="391" t="s">
        <v>401</v>
      </c>
      <c r="D67" s="282">
        <v>15</v>
      </c>
      <c r="E67" s="283">
        <v>41.266262596985591</v>
      </c>
      <c r="F67" s="282">
        <v>0</v>
      </c>
      <c r="G67" s="283">
        <v>0</v>
      </c>
      <c r="H67" s="285">
        <v>0</v>
      </c>
      <c r="I67" s="286">
        <v>0</v>
      </c>
      <c r="J67" s="282">
        <v>0</v>
      </c>
      <c r="K67" s="283">
        <v>0</v>
      </c>
      <c r="L67" s="285"/>
      <c r="M67" s="286"/>
      <c r="N67" s="285"/>
      <c r="O67" s="286"/>
      <c r="P67" s="287"/>
      <c r="Q67" s="286"/>
      <c r="R67" s="284"/>
      <c r="S67" s="286"/>
      <c r="T67" s="284"/>
      <c r="U67" s="283"/>
      <c r="V67" s="284"/>
      <c r="W67" s="283"/>
      <c r="X67" s="284"/>
      <c r="Y67" s="378"/>
      <c r="Z67" s="284"/>
      <c r="AA67" s="378"/>
      <c r="AB67" s="325">
        <f t="shared" si="2"/>
        <v>15</v>
      </c>
      <c r="AC67" s="326">
        <f t="shared" si="3"/>
        <v>41.266262596985591</v>
      </c>
    </row>
    <row r="68" spans="1:29">
      <c r="A68" s="612" t="s">
        <v>301</v>
      </c>
      <c r="B68" s="391" t="s">
        <v>364</v>
      </c>
      <c r="C68" s="391" t="s">
        <v>365</v>
      </c>
      <c r="D68" s="282">
        <v>0</v>
      </c>
      <c r="E68" s="283">
        <v>0</v>
      </c>
      <c r="F68" s="282">
        <v>0</v>
      </c>
      <c r="G68" s="283">
        <v>0</v>
      </c>
      <c r="H68" s="285">
        <v>18</v>
      </c>
      <c r="I68" s="286">
        <v>34.804383905018703</v>
      </c>
      <c r="J68" s="282">
        <v>0</v>
      </c>
      <c r="K68" s="283">
        <v>0</v>
      </c>
      <c r="L68" s="285"/>
      <c r="M68" s="286"/>
      <c r="N68" s="285"/>
      <c r="O68" s="286"/>
      <c r="P68" s="287"/>
      <c r="Q68" s="286"/>
      <c r="R68" s="284"/>
      <c r="S68" s="286"/>
      <c r="T68" s="284"/>
      <c r="U68" s="283"/>
      <c r="V68" s="284"/>
      <c r="W68" s="283"/>
      <c r="X68" s="284"/>
      <c r="Y68" s="378"/>
      <c r="Z68" s="284"/>
      <c r="AA68" s="378"/>
      <c r="AB68" s="325">
        <f t="shared" ref="AB68:AB80" si="4">D68+F68+H68+J68+L68+N68+P68+R68+T68+V68+X68+Z68</f>
        <v>18</v>
      </c>
      <c r="AC68" s="326">
        <f t="shared" ref="AC68:AC80" si="5">E68+G68+I68+K68+M68+O68+Q68+S68+U68+W68+Y68+AA68</f>
        <v>34.804383905018703</v>
      </c>
    </row>
    <row r="69" spans="1:29">
      <c r="A69" s="612" t="s">
        <v>345</v>
      </c>
      <c r="B69" s="391" t="s">
        <v>398</v>
      </c>
      <c r="C69" s="391" t="s">
        <v>399</v>
      </c>
      <c r="D69" s="282">
        <v>0</v>
      </c>
      <c r="E69" s="283">
        <v>0</v>
      </c>
      <c r="F69" s="282">
        <v>19</v>
      </c>
      <c r="G69" s="283">
        <v>10.425058300995248</v>
      </c>
      <c r="H69" s="285">
        <v>0</v>
      </c>
      <c r="I69" s="286">
        <v>0</v>
      </c>
      <c r="J69" s="282">
        <v>19</v>
      </c>
      <c r="K69" s="283">
        <v>18.59876109738742</v>
      </c>
      <c r="L69" s="285"/>
      <c r="M69" s="286"/>
      <c r="N69" s="285"/>
      <c r="O69" s="286"/>
      <c r="P69" s="287"/>
      <c r="Q69" s="286"/>
      <c r="R69" s="284"/>
      <c r="S69" s="286"/>
      <c r="T69" s="284"/>
      <c r="U69" s="283"/>
      <c r="V69" s="284"/>
      <c r="W69" s="283"/>
      <c r="X69" s="284"/>
      <c r="Y69" s="378"/>
      <c r="Z69" s="284"/>
      <c r="AA69" s="378"/>
      <c r="AB69" s="325">
        <f t="shared" si="4"/>
        <v>38</v>
      </c>
      <c r="AC69" s="326">
        <f t="shared" si="5"/>
        <v>29.02381939838267</v>
      </c>
    </row>
    <row r="70" spans="1:29">
      <c r="A70" s="612" t="s">
        <v>301</v>
      </c>
      <c r="B70" s="391" t="s">
        <v>295</v>
      </c>
      <c r="C70" s="391" t="s">
        <v>296</v>
      </c>
      <c r="D70" s="282">
        <v>0</v>
      </c>
      <c r="E70" s="283">
        <v>0</v>
      </c>
      <c r="F70" s="282">
        <v>0</v>
      </c>
      <c r="G70" s="283">
        <v>0</v>
      </c>
      <c r="H70" s="285">
        <v>11</v>
      </c>
      <c r="I70" s="286">
        <v>18.23781242818502</v>
      </c>
      <c r="J70" s="282">
        <v>0</v>
      </c>
      <c r="K70" s="283">
        <v>0</v>
      </c>
      <c r="L70" s="285"/>
      <c r="M70" s="286"/>
      <c r="N70" s="285"/>
      <c r="O70" s="286"/>
      <c r="P70" s="287"/>
      <c r="Q70" s="286"/>
      <c r="R70" s="284"/>
      <c r="S70" s="286"/>
      <c r="T70" s="284"/>
      <c r="U70" s="283"/>
      <c r="V70" s="284"/>
      <c r="W70" s="283"/>
      <c r="X70" s="284"/>
      <c r="Y70" s="378"/>
      <c r="Z70" s="284"/>
      <c r="AA70" s="378"/>
      <c r="AB70" s="325">
        <f t="shared" si="4"/>
        <v>11</v>
      </c>
      <c r="AC70" s="326">
        <f t="shared" si="5"/>
        <v>18.23781242818502</v>
      </c>
    </row>
    <row r="71" spans="1:29">
      <c r="A71" s="612" t="s">
        <v>301</v>
      </c>
      <c r="B71" s="391" t="s">
        <v>320</v>
      </c>
      <c r="C71" s="391" t="s">
        <v>321</v>
      </c>
      <c r="D71" s="282">
        <v>10</v>
      </c>
      <c r="E71" s="283">
        <v>16.799680327186767</v>
      </c>
      <c r="F71" s="282">
        <v>0</v>
      </c>
      <c r="G71" s="283">
        <v>0</v>
      </c>
      <c r="H71" s="285">
        <v>0</v>
      </c>
      <c r="I71" s="286">
        <v>0</v>
      </c>
      <c r="J71" s="282">
        <v>0</v>
      </c>
      <c r="K71" s="283">
        <v>0</v>
      </c>
      <c r="L71" s="285"/>
      <c r="M71" s="286"/>
      <c r="N71" s="285"/>
      <c r="O71" s="286"/>
      <c r="P71" s="287"/>
      <c r="Q71" s="286"/>
      <c r="R71" s="284"/>
      <c r="S71" s="286"/>
      <c r="T71" s="284"/>
      <c r="U71" s="283"/>
      <c r="V71" s="284"/>
      <c r="W71" s="283"/>
      <c r="X71" s="284"/>
      <c r="Y71" s="378"/>
      <c r="Z71" s="284"/>
      <c r="AA71" s="378"/>
      <c r="AB71" s="325">
        <f t="shared" si="4"/>
        <v>10</v>
      </c>
      <c r="AC71" s="326">
        <f t="shared" si="5"/>
        <v>16.799680327186767</v>
      </c>
    </row>
    <row r="72" spans="1:29">
      <c r="A72" s="612" t="s">
        <v>345</v>
      </c>
      <c r="B72" s="391" t="s">
        <v>800</v>
      </c>
      <c r="C72" s="391" t="s">
        <v>801</v>
      </c>
      <c r="D72" s="282"/>
      <c r="E72" s="283"/>
      <c r="F72" s="282"/>
      <c r="G72" s="283"/>
      <c r="H72" s="285"/>
      <c r="I72" s="286"/>
      <c r="J72" s="282">
        <v>6</v>
      </c>
      <c r="K72" s="283">
        <v>10.527791518844557</v>
      </c>
      <c r="L72" s="285"/>
      <c r="M72" s="286"/>
      <c r="N72" s="285"/>
      <c r="O72" s="286"/>
      <c r="P72" s="287"/>
      <c r="Q72" s="286"/>
      <c r="R72" s="284"/>
      <c r="S72" s="286"/>
      <c r="T72" s="284"/>
      <c r="U72" s="283"/>
      <c r="V72" s="284"/>
      <c r="W72" s="283"/>
      <c r="X72" s="284"/>
      <c r="Y72" s="378"/>
      <c r="Z72" s="284"/>
      <c r="AA72" s="378"/>
      <c r="AB72" s="325">
        <f t="shared" si="4"/>
        <v>6</v>
      </c>
      <c r="AC72" s="326">
        <f t="shared" si="5"/>
        <v>10.527791518844557</v>
      </c>
    </row>
    <row r="73" spans="1:29">
      <c r="A73" s="612" t="s">
        <v>345</v>
      </c>
      <c r="B73" s="391" t="s">
        <v>402</v>
      </c>
      <c r="C73" s="391" t="s">
        <v>403</v>
      </c>
      <c r="D73" s="282">
        <v>0</v>
      </c>
      <c r="E73" s="283">
        <v>0</v>
      </c>
      <c r="F73" s="282">
        <v>0</v>
      </c>
      <c r="G73" s="283">
        <v>0</v>
      </c>
      <c r="H73" s="285">
        <v>0</v>
      </c>
      <c r="I73" s="286">
        <v>0</v>
      </c>
      <c r="J73" s="282">
        <v>4</v>
      </c>
      <c r="K73" s="283">
        <v>9.4446696420542615</v>
      </c>
      <c r="L73" s="285"/>
      <c r="M73" s="286"/>
      <c r="N73" s="285"/>
      <c r="O73" s="286"/>
      <c r="P73" s="287"/>
      <c r="Q73" s="286"/>
      <c r="R73" s="284"/>
      <c r="S73" s="286"/>
      <c r="T73" s="284"/>
      <c r="U73" s="283"/>
      <c r="V73" s="284"/>
      <c r="W73" s="283"/>
      <c r="X73" s="284"/>
      <c r="Y73" s="378"/>
      <c r="Z73" s="284"/>
      <c r="AA73" s="378"/>
      <c r="AB73" s="325">
        <f t="shared" si="4"/>
        <v>4</v>
      </c>
      <c r="AC73" s="326">
        <f t="shared" si="5"/>
        <v>9.4446696420542615</v>
      </c>
    </row>
    <row r="74" spans="1:29">
      <c r="A74" s="612" t="s">
        <v>345</v>
      </c>
      <c r="B74" s="391" t="s">
        <v>395</v>
      </c>
      <c r="C74" s="391" t="s">
        <v>396</v>
      </c>
      <c r="D74" s="282">
        <v>0</v>
      </c>
      <c r="E74" s="283">
        <v>0</v>
      </c>
      <c r="F74" s="282">
        <v>0</v>
      </c>
      <c r="G74" s="283">
        <v>0</v>
      </c>
      <c r="H74" s="285">
        <v>5</v>
      </c>
      <c r="I74" s="286">
        <v>8.0021001964554959</v>
      </c>
      <c r="J74" s="282">
        <v>0</v>
      </c>
      <c r="K74" s="283">
        <v>0</v>
      </c>
      <c r="L74" s="285"/>
      <c r="M74" s="286"/>
      <c r="N74" s="285"/>
      <c r="O74" s="286"/>
      <c r="P74" s="287"/>
      <c r="Q74" s="286"/>
      <c r="R74" s="284"/>
      <c r="S74" s="286"/>
      <c r="T74" s="284"/>
      <c r="U74" s="283"/>
      <c r="V74" s="284"/>
      <c r="W74" s="283"/>
      <c r="X74" s="284"/>
      <c r="Y74" s="378"/>
      <c r="Z74" s="284"/>
      <c r="AA74" s="378"/>
      <c r="AB74" s="325">
        <f t="shared" si="4"/>
        <v>5</v>
      </c>
      <c r="AC74" s="326">
        <f t="shared" si="5"/>
        <v>8.0021001964554959</v>
      </c>
    </row>
    <row r="75" spans="1:29">
      <c r="A75" s="612" t="s">
        <v>301</v>
      </c>
      <c r="B75" s="391" t="s">
        <v>324</v>
      </c>
      <c r="C75" s="391" t="s">
        <v>325</v>
      </c>
      <c r="D75" s="282">
        <v>0</v>
      </c>
      <c r="E75" s="283">
        <v>0</v>
      </c>
      <c r="F75" s="282">
        <v>1</v>
      </c>
      <c r="G75" s="283">
        <v>1.4462853366721398</v>
      </c>
      <c r="H75" s="285">
        <v>1</v>
      </c>
      <c r="I75" s="286">
        <v>1.4462853366721418</v>
      </c>
      <c r="J75" s="282">
        <v>0</v>
      </c>
      <c r="K75" s="283">
        <v>0</v>
      </c>
      <c r="L75" s="285"/>
      <c r="M75" s="286"/>
      <c r="N75" s="285"/>
      <c r="O75" s="286"/>
      <c r="P75" s="287"/>
      <c r="Q75" s="286"/>
      <c r="R75" s="284"/>
      <c r="S75" s="286"/>
      <c r="T75" s="284"/>
      <c r="U75" s="283"/>
      <c r="V75" s="284"/>
      <c r="W75" s="283"/>
      <c r="X75" s="284"/>
      <c r="Y75" s="378"/>
      <c r="Z75" s="284"/>
      <c r="AA75" s="378"/>
      <c r="AB75" s="325">
        <f t="shared" si="4"/>
        <v>2</v>
      </c>
      <c r="AC75" s="326">
        <f t="shared" si="5"/>
        <v>2.8925706733442818</v>
      </c>
    </row>
    <row r="76" spans="1:29">
      <c r="A76" s="612" t="s">
        <v>345</v>
      </c>
      <c r="B76" s="391" t="s">
        <v>387</v>
      </c>
      <c r="C76" s="391" t="s">
        <v>388</v>
      </c>
      <c r="D76" s="282">
        <v>0</v>
      </c>
      <c r="E76" s="283">
        <v>0</v>
      </c>
      <c r="F76" s="282">
        <v>0</v>
      </c>
      <c r="G76" s="283">
        <v>0</v>
      </c>
      <c r="H76" s="285">
        <v>0</v>
      </c>
      <c r="I76" s="286">
        <v>0</v>
      </c>
      <c r="J76" s="282">
        <v>5</v>
      </c>
      <c r="K76" s="283">
        <v>2.3273785159715383</v>
      </c>
      <c r="L76" s="285"/>
      <c r="M76" s="286"/>
      <c r="N76" s="285"/>
      <c r="O76" s="286"/>
      <c r="P76" s="287"/>
      <c r="Q76" s="286"/>
      <c r="R76" s="284"/>
      <c r="S76" s="286"/>
      <c r="T76" s="284"/>
      <c r="U76" s="283"/>
      <c r="V76" s="284"/>
      <c r="W76" s="283"/>
      <c r="X76" s="284"/>
      <c r="Y76" s="378"/>
      <c r="Z76" s="284"/>
      <c r="AA76" s="378"/>
      <c r="AB76" s="325">
        <f t="shared" si="4"/>
        <v>5</v>
      </c>
      <c r="AC76" s="326">
        <f t="shared" si="5"/>
        <v>2.3273785159715383</v>
      </c>
    </row>
    <row r="77" spans="1:29">
      <c r="A77" s="612" t="s">
        <v>345</v>
      </c>
      <c r="B77" s="391" t="s">
        <v>410</v>
      </c>
      <c r="C77" s="391" t="s">
        <v>411</v>
      </c>
      <c r="D77" s="282">
        <v>0</v>
      </c>
      <c r="E77" s="283">
        <v>0</v>
      </c>
      <c r="F77" s="282">
        <v>0</v>
      </c>
      <c r="G77" s="283">
        <v>0</v>
      </c>
      <c r="H77" s="285">
        <v>2</v>
      </c>
      <c r="I77" s="286">
        <v>0.81975024495973048</v>
      </c>
      <c r="J77" s="282">
        <v>0</v>
      </c>
      <c r="K77" s="283">
        <v>0</v>
      </c>
      <c r="L77" s="285"/>
      <c r="M77" s="286"/>
      <c r="N77" s="285"/>
      <c r="O77" s="286"/>
      <c r="P77" s="287"/>
      <c r="Q77" s="286"/>
      <c r="R77" s="284"/>
      <c r="S77" s="286"/>
      <c r="T77" s="284"/>
      <c r="U77" s="283"/>
      <c r="V77" s="284"/>
      <c r="W77" s="283"/>
      <c r="X77" s="284"/>
      <c r="Y77" s="378"/>
      <c r="Z77" s="284"/>
      <c r="AA77" s="378"/>
      <c r="AB77" s="325">
        <f t="shared" si="4"/>
        <v>2</v>
      </c>
      <c r="AC77" s="326">
        <f t="shared" si="5"/>
        <v>0.81975024495973048</v>
      </c>
    </row>
    <row r="78" spans="1:29">
      <c r="A78" s="612" t="s">
        <v>345</v>
      </c>
      <c r="B78" s="391" t="s">
        <v>414</v>
      </c>
      <c r="C78" s="391" t="s">
        <v>415</v>
      </c>
      <c r="D78" s="282">
        <v>0</v>
      </c>
      <c r="E78" s="283">
        <v>0</v>
      </c>
      <c r="F78" s="282">
        <v>0</v>
      </c>
      <c r="G78" s="283">
        <v>0</v>
      </c>
      <c r="H78" s="285">
        <v>1</v>
      </c>
      <c r="I78" s="286">
        <v>9.5352439963650532E-2</v>
      </c>
      <c r="J78" s="282">
        <v>0</v>
      </c>
      <c r="K78" s="283">
        <v>0</v>
      </c>
      <c r="L78" s="285"/>
      <c r="M78" s="286"/>
      <c r="N78" s="285"/>
      <c r="O78" s="286"/>
      <c r="P78" s="287"/>
      <c r="Q78" s="286"/>
      <c r="R78" s="284"/>
      <c r="S78" s="286"/>
      <c r="T78" s="284"/>
      <c r="U78" s="283"/>
      <c r="V78" s="284"/>
      <c r="W78" s="283"/>
      <c r="X78" s="284"/>
      <c r="Y78" s="378"/>
      <c r="Z78" s="284"/>
      <c r="AA78" s="378"/>
      <c r="AB78" s="325">
        <f t="shared" si="4"/>
        <v>1</v>
      </c>
      <c r="AC78" s="326">
        <f t="shared" si="5"/>
        <v>9.5352439963650532E-2</v>
      </c>
    </row>
    <row r="79" spans="1:29">
      <c r="A79" s="612" t="s">
        <v>345</v>
      </c>
      <c r="B79" s="391" t="s">
        <v>414</v>
      </c>
      <c r="C79" s="391" t="s">
        <v>415</v>
      </c>
      <c r="D79" s="282"/>
      <c r="E79" s="283"/>
      <c r="F79" s="282"/>
      <c r="G79" s="283"/>
      <c r="H79" s="285">
        <v>1</v>
      </c>
      <c r="I79" s="286">
        <v>9.5352439963650532E-2</v>
      </c>
      <c r="J79" s="282">
        <v>0</v>
      </c>
      <c r="K79" s="283">
        <v>0</v>
      </c>
      <c r="L79" s="285"/>
      <c r="M79" s="286"/>
      <c r="N79" s="285"/>
      <c r="O79" s="286"/>
      <c r="P79" s="287"/>
      <c r="Q79" s="286"/>
      <c r="R79" s="284"/>
      <c r="S79" s="286"/>
      <c r="T79" s="284"/>
      <c r="U79" s="283"/>
      <c r="V79" s="284"/>
      <c r="W79" s="283"/>
      <c r="X79" s="284"/>
      <c r="Y79" s="378"/>
      <c r="Z79" s="284"/>
      <c r="AA79" s="378"/>
      <c r="AB79" s="325">
        <f t="shared" si="4"/>
        <v>1</v>
      </c>
      <c r="AC79" s="326">
        <f t="shared" si="5"/>
        <v>9.5352439963650532E-2</v>
      </c>
    </row>
    <row r="80" spans="1:29">
      <c r="A80" s="612" t="s">
        <v>345</v>
      </c>
      <c r="B80" s="391" t="s">
        <v>500</v>
      </c>
      <c r="C80" s="391" t="s">
        <v>501</v>
      </c>
      <c r="D80" s="282"/>
      <c r="E80" s="283"/>
      <c r="F80" s="282">
        <v>1</v>
      </c>
      <c r="G80" s="283">
        <v>1.9463475494892933E-2</v>
      </c>
      <c r="H80" s="285">
        <v>0</v>
      </c>
      <c r="I80" s="286">
        <v>0</v>
      </c>
      <c r="J80" s="282">
        <v>0</v>
      </c>
      <c r="K80" s="283">
        <v>0</v>
      </c>
      <c r="L80" s="285"/>
      <c r="M80" s="286"/>
      <c r="N80" s="285"/>
      <c r="O80" s="286"/>
      <c r="P80" s="287"/>
      <c r="Q80" s="286"/>
      <c r="R80" s="284"/>
      <c r="S80" s="286"/>
      <c r="T80" s="284"/>
      <c r="U80" s="283"/>
      <c r="V80" s="284"/>
      <c r="W80" s="283"/>
      <c r="X80" s="284"/>
      <c r="Y80" s="378"/>
      <c r="Z80" s="284"/>
      <c r="AA80" s="378"/>
      <c r="AB80" s="325">
        <f t="shared" si="4"/>
        <v>1</v>
      </c>
      <c r="AC80" s="326">
        <f t="shared" si="5"/>
        <v>1.9463475494892933E-2</v>
      </c>
    </row>
    <row r="81" spans="2:29">
      <c r="B81" s="322"/>
      <c r="C81" s="322"/>
      <c r="D81" s="288">
        <v>0</v>
      </c>
      <c r="E81" s="345">
        <v>0</v>
      </c>
      <c r="F81" s="282">
        <v>0</v>
      </c>
      <c r="G81" s="283">
        <v>0</v>
      </c>
      <c r="H81" s="346">
        <v>0</v>
      </c>
      <c r="I81" s="345">
        <v>0</v>
      </c>
      <c r="J81" s="346"/>
      <c r="K81" s="345"/>
      <c r="L81" s="346"/>
      <c r="M81" s="345"/>
      <c r="N81" s="346"/>
      <c r="O81" s="345"/>
      <c r="P81" s="347"/>
      <c r="Q81" s="345"/>
      <c r="R81" s="347"/>
      <c r="S81" s="345"/>
      <c r="T81" s="347">
        <v>0</v>
      </c>
      <c r="U81" s="345">
        <v>0</v>
      </c>
      <c r="V81" s="347">
        <v>0</v>
      </c>
      <c r="W81" s="283">
        <v>0</v>
      </c>
      <c r="X81" s="284">
        <v>0</v>
      </c>
      <c r="Y81" s="378">
        <v>0</v>
      </c>
      <c r="Z81" s="284">
        <v>0</v>
      </c>
      <c r="AA81" s="378">
        <v>0</v>
      </c>
      <c r="AB81" s="325">
        <f t="shared" ref="AB81" si="6">D81+F81+H81+J81+L81+N81+P81+R81+T81+V81+X81+Z81</f>
        <v>0</v>
      </c>
      <c r="AC81" s="326">
        <f t="shared" ref="AC81" si="7">E81+G81+I81+K81+M81+O81+Q81+S81+U81+W81+Y81+AA81</f>
        <v>0</v>
      </c>
    </row>
    <row r="82" spans="2:29">
      <c r="B82" s="289"/>
      <c r="C82" s="289"/>
      <c r="D82" s="290">
        <f>SUM(D4:D80)</f>
        <v>261220</v>
      </c>
      <c r="E82" s="290">
        <f>SUM(E4:E80)</f>
        <v>224739.24112299099</v>
      </c>
      <c r="F82" s="290">
        <f t="shared" ref="F82:K82" si="8">SUM(F4:F81)</f>
        <v>69839</v>
      </c>
      <c r="G82" s="290">
        <f t="shared" si="8"/>
        <v>56960.455134440526</v>
      </c>
      <c r="H82" s="290">
        <f t="shared" si="8"/>
        <v>333419</v>
      </c>
      <c r="I82" s="290">
        <f t="shared" si="8"/>
        <v>329086.70789771806</v>
      </c>
      <c r="J82" s="290">
        <f t="shared" si="8"/>
        <v>265672</v>
      </c>
      <c r="K82" s="290">
        <f t="shared" si="8"/>
        <v>267368.90630173945</v>
      </c>
      <c r="L82" s="290">
        <f t="shared" ref="L82:S82" si="9">SUM(L4:L80)</f>
        <v>0</v>
      </c>
      <c r="M82" s="290">
        <f t="shared" si="9"/>
        <v>0</v>
      </c>
      <c r="N82" s="290">
        <f t="shared" si="9"/>
        <v>0</v>
      </c>
      <c r="O82" s="290">
        <f t="shared" si="9"/>
        <v>0</v>
      </c>
      <c r="P82" s="290">
        <f t="shared" si="9"/>
        <v>0</v>
      </c>
      <c r="Q82" s="290">
        <f t="shared" si="9"/>
        <v>0</v>
      </c>
      <c r="R82" s="290">
        <f t="shared" si="9"/>
        <v>0</v>
      </c>
      <c r="S82" s="290">
        <f t="shared" si="9"/>
        <v>0</v>
      </c>
      <c r="T82" s="290">
        <f t="shared" ref="T82:AC82" si="10">SUM(T4:T81)</f>
        <v>0</v>
      </c>
      <c r="U82" s="290">
        <f t="shared" si="10"/>
        <v>0</v>
      </c>
      <c r="V82" s="290">
        <f t="shared" si="10"/>
        <v>0</v>
      </c>
      <c r="W82" s="290">
        <f t="shared" si="10"/>
        <v>0</v>
      </c>
      <c r="X82" s="290">
        <f t="shared" si="10"/>
        <v>0</v>
      </c>
      <c r="Y82" s="379">
        <f t="shared" si="10"/>
        <v>0</v>
      </c>
      <c r="Z82" s="290">
        <f t="shared" si="10"/>
        <v>0</v>
      </c>
      <c r="AA82" s="379">
        <f t="shared" si="10"/>
        <v>0</v>
      </c>
      <c r="AB82" s="291">
        <f t="shared" si="10"/>
        <v>930150</v>
      </c>
      <c r="AC82" s="292">
        <f t="shared" si="10"/>
        <v>878155.3104568891</v>
      </c>
    </row>
    <row r="83" spans="2:29" ht="18.75">
      <c r="F83" s="483"/>
      <c r="G83" s="483"/>
      <c r="I83" s="596"/>
      <c r="J83" s="596"/>
      <c r="K83" s="596"/>
    </row>
  </sheetData>
  <autoFilter ref="A3:AC82" xr:uid="{00000000-0009-0000-0000-000006000000}"/>
  <sortState xmlns:xlrd2="http://schemas.microsoft.com/office/spreadsheetml/2017/richdata2" ref="A4:AC183">
    <sortCondition descending="1" ref="AC4:AC183"/>
  </sortState>
  <phoneticPr fontId="93" type="noConversion"/>
  <pageMargins left="0.7" right="0.7" top="0.75" bottom="0.75" header="0.3" footer="0.3"/>
  <customProperties>
    <customPr name="BudgetSheetCodeName"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171A4-C9E3-4255-9A78-A7A6CDD5D9B5}">
  <dimension ref="B2:I34"/>
  <sheetViews>
    <sheetView showGridLines="0" workbookViewId="0">
      <selection activeCell="D30" sqref="D30"/>
    </sheetView>
  </sheetViews>
  <sheetFormatPr defaultRowHeight="16.5"/>
  <cols>
    <col min="1" max="1" width="3.875" customWidth="1"/>
    <col min="2" max="2" width="20.5" customWidth="1"/>
    <col min="4" max="9" width="11.125" customWidth="1"/>
  </cols>
  <sheetData>
    <row r="2" spans="2:9">
      <c r="B2" s="644" t="s">
        <v>903</v>
      </c>
    </row>
    <row r="3" spans="2:9">
      <c r="B3" s="645" t="s">
        <v>881</v>
      </c>
    </row>
    <row r="4" spans="2:9">
      <c r="B4" s="645" t="s">
        <v>888</v>
      </c>
    </row>
    <row r="5" spans="2:9">
      <c r="B5" s="645" t="s">
        <v>901</v>
      </c>
    </row>
    <row r="6" spans="2:9">
      <c r="B6" s="645" t="s">
        <v>902</v>
      </c>
    </row>
    <row r="7" spans="2:9">
      <c r="B7" s="684" t="s">
        <v>900</v>
      </c>
      <c r="C7" s="685" t="s">
        <v>882</v>
      </c>
      <c r="D7" s="685" t="s">
        <v>899</v>
      </c>
      <c r="E7" s="685" t="s">
        <v>898</v>
      </c>
      <c r="F7" s="685" t="s">
        <v>889</v>
      </c>
      <c r="G7" s="685" t="s">
        <v>890</v>
      </c>
    </row>
    <row r="8" spans="2:9">
      <c r="B8" s="680" t="s">
        <v>884</v>
      </c>
      <c r="C8" s="682">
        <v>5</v>
      </c>
      <c r="D8" s="682">
        <f>E8/C8</f>
        <v>10982.8</v>
      </c>
      <c r="E8" s="682">
        <v>54914</v>
      </c>
      <c r="F8" s="686">
        <f>6500*5</f>
        <v>32500</v>
      </c>
      <c r="G8" s="686">
        <f>E8-F8</f>
        <v>22414</v>
      </c>
    </row>
    <row r="9" spans="2:9">
      <c r="B9" s="680" t="s">
        <v>883</v>
      </c>
      <c r="C9" s="682">
        <v>5</v>
      </c>
      <c r="D9" s="682">
        <f t="shared" ref="D9:D11" si="0">E9/C9</f>
        <v>2683.4</v>
      </c>
      <c r="E9" s="682">
        <v>13417</v>
      </c>
      <c r="F9" s="686">
        <v>10341</v>
      </c>
      <c r="G9" s="686">
        <f t="shared" ref="G9:G12" si="1">E9-F9</f>
        <v>3076</v>
      </c>
    </row>
    <row r="10" spans="2:9">
      <c r="B10" s="680" t="s">
        <v>885</v>
      </c>
      <c r="C10" s="682">
        <v>5</v>
      </c>
      <c r="D10" s="682">
        <f t="shared" si="0"/>
        <v>2187.6</v>
      </c>
      <c r="E10" s="682">
        <v>10938</v>
      </c>
      <c r="F10" s="686">
        <v>9497</v>
      </c>
      <c r="G10" s="686">
        <f t="shared" si="1"/>
        <v>1441</v>
      </c>
    </row>
    <row r="11" spans="2:9">
      <c r="B11" s="680" t="s">
        <v>886</v>
      </c>
      <c r="C11" s="682">
        <v>5</v>
      </c>
      <c r="D11" s="682">
        <f t="shared" si="0"/>
        <v>341.4</v>
      </c>
      <c r="E11" s="682">
        <v>1707</v>
      </c>
      <c r="F11" s="686">
        <v>2400</v>
      </c>
      <c r="G11" s="688">
        <f t="shared" si="1"/>
        <v>-693</v>
      </c>
    </row>
    <row r="12" spans="2:9">
      <c r="B12" s="681" t="s">
        <v>887</v>
      </c>
      <c r="C12" s="683"/>
      <c r="D12" s="683"/>
      <c r="E12" s="683">
        <f>SUM(E8:E11)</f>
        <v>80976</v>
      </c>
      <c r="F12" s="687">
        <f>SUM(F8:F11)</f>
        <v>54738</v>
      </c>
      <c r="G12" s="687">
        <f t="shared" si="1"/>
        <v>26238</v>
      </c>
    </row>
    <row r="13" spans="2:9">
      <c r="B13" s="679"/>
      <c r="C13" s="679"/>
      <c r="D13" s="679"/>
      <c r="E13" s="679"/>
    </row>
    <row r="14" spans="2:9" ht="18.75">
      <c r="B14" s="644" t="s">
        <v>904</v>
      </c>
      <c r="C14" s="629"/>
      <c r="D14" s="629"/>
      <c r="E14" s="629"/>
      <c r="F14" s="629"/>
      <c r="G14" s="629"/>
      <c r="H14" s="629"/>
      <c r="I14" s="629"/>
    </row>
    <row r="15" spans="2:9" ht="18.75">
      <c r="B15" s="645" t="s">
        <v>852</v>
      </c>
      <c r="C15" s="629"/>
      <c r="D15" s="629"/>
      <c r="E15" s="629"/>
      <c r="F15" s="629"/>
      <c r="G15" s="629"/>
      <c r="H15" s="629"/>
      <c r="I15" s="629"/>
    </row>
    <row r="16" spans="2:9" ht="18.75">
      <c r="B16" s="645" t="s">
        <v>853</v>
      </c>
      <c r="C16" s="629"/>
      <c r="D16" s="629"/>
      <c r="E16" s="629"/>
      <c r="F16" s="629"/>
      <c r="G16" s="629"/>
      <c r="H16" s="629"/>
      <c r="I16" s="629"/>
    </row>
    <row r="17" spans="2:9" ht="18.75">
      <c r="B17" s="645" t="s">
        <v>854</v>
      </c>
      <c r="C17" s="629"/>
      <c r="D17" s="629"/>
      <c r="E17" s="629"/>
      <c r="F17" s="629"/>
      <c r="G17" s="629"/>
      <c r="H17" s="629"/>
      <c r="I17" s="629"/>
    </row>
    <row r="18" spans="2:9">
      <c r="B18" s="695" t="s">
        <v>841</v>
      </c>
      <c r="C18" s="695" t="s">
        <v>842</v>
      </c>
      <c r="D18" s="695" t="s">
        <v>420</v>
      </c>
      <c r="E18" s="695" t="s">
        <v>421</v>
      </c>
      <c r="F18" s="695" t="s">
        <v>422</v>
      </c>
      <c r="G18" s="695" t="s">
        <v>423</v>
      </c>
      <c r="H18" s="695" t="s">
        <v>843</v>
      </c>
      <c r="I18" s="695" t="s">
        <v>844</v>
      </c>
    </row>
    <row r="19" spans="2:9">
      <c r="B19" s="689" t="s">
        <v>851</v>
      </c>
      <c r="C19" s="690" t="s">
        <v>588</v>
      </c>
      <c r="D19" s="691">
        <v>433923</v>
      </c>
      <c r="E19" s="691">
        <v>488222</v>
      </c>
      <c r="F19" s="691">
        <v>547646</v>
      </c>
      <c r="G19" s="691">
        <v>598756</v>
      </c>
      <c r="H19" s="692">
        <f>AVERAGE(D19:F19)</f>
        <v>489930.33333333331</v>
      </c>
      <c r="I19" s="693">
        <f>IFERROR((G19-H19)/H19,0)</f>
        <v>0.22212477828480381</v>
      </c>
    </row>
    <row r="20" spans="2:9">
      <c r="B20" s="689" t="s">
        <v>845</v>
      </c>
      <c r="C20" s="690" t="s">
        <v>846</v>
      </c>
      <c r="D20" s="691">
        <v>84286</v>
      </c>
      <c r="E20" s="691">
        <v>59208</v>
      </c>
      <c r="F20" s="691">
        <v>62988</v>
      </c>
      <c r="G20" s="691">
        <v>81166</v>
      </c>
      <c r="H20" s="692">
        <f>AVERAGE(D20:F20)</f>
        <v>68827.333333333328</v>
      </c>
      <c r="I20" s="693">
        <f>IFERROR((G20-H20)/H20,0)</f>
        <v>0.17926986371693424</v>
      </c>
    </row>
    <row r="21" spans="2:9">
      <c r="B21" s="689" t="s">
        <v>847</v>
      </c>
      <c r="C21" s="690" t="s">
        <v>848</v>
      </c>
      <c r="D21" s="691">
        <v>867</v>
      </c>
      <c r="E21" s="691">
        <v>858</v>
      </c>
      <c r="F21" s="691">
        <v>827</v>
      </c>
      <c r="G21" s="691">
        <v>801</v>
      </c>
      <c r="H21" s="692">
        <f>AVERAGE(D21:F21)</f>
        <v>850.66666666666663</v>
      </c>
      <c r="I21" s="693">
        <f>IFERROR((G21-H21)/H21,0)</f>
        <v>-5.8385579937304033E-2</v>
      </c>
    </row>
    <row r="22" spans="2:9">
      <c r="B22" s="689" t="s">
        <v>849</v>
      </c>
      <c r="C22" s="690" t="s">
        <v>850</v>
      </c>
      <c r="D22" s="694">
        <f>D20/D21</f>
        <v>97.215686274509807</v>
      </c>
      <c r="E22" s="694">
        <f>E20/E21</f>
        <v>69.006993006993014</v>
      </c>
      <c r="F22" s="694">
        <f>F20/F21</f>
        <v>76.16444981862152</v>
      </c>
      <c r="G22" s="696">
        <f>G20/G21</f>
        <v>101.33083645443196</v>
      </c>
      <c r="H22" s="692">
        <f>AVERAGE(D22:F22)</f>
        <v>80.795709700041456</v>
      </c>
      <c r="I22" s="693">
        <f>IFERROR((G22-H22)/H22,0)</f>
        <v>0.25416110373469458</v>
      </c>
    </row>
    <row r="24" spans="2:9">
      <c r="B24" s="644" t="s">
        <v>905</v>
      </c>
    </row>
    <row r="25" spans="2:9">
      <c r="B25" s="678" t="s">
        <v>878</v>
      </c>
    </row>
    <row r="26" spans="2:9">
      <c r="B26" s="678" t="s">
        <v>879</v>
      </c>
    </row>
    <row r="27" spans="2:9">
      <c r="B27" s="678" t="s">
        <v>880</v>
      </c>
    </row>
    <row r="29" spans="2:9">
      <c r="B29" s="644" t="s">
        <v>906</v>
      </c>
    </row>
    <row r="30" spans="2:9">
      <c r="B30" s="645" t="s">
        <v>855</v>
      </c>
      <c r="C30" s="646"/>
      <c r="D30" s="646"/>
      <c r="E30" s="646"/>
    </row>
    <row r="31" spans="2:9">
      <c r="B31" s="645" t="s">
        <v>856</v>
      </c>
      <c r="C31" s="646"/>
      <c r="D31" s="646"/>
      <c r="E31" s="646"/>
    </row>
    <row r="32" spans="2:9">
      <c r="B32" s="645" t="s">
        <v>857</v>
      </c>
      <c r="C32" s="646"/>
      <c r="D32" s="646"/>
      <c r="E32" s="646"/>
    </row>
    <row r="33" spans="2:5">
      <c r="B33" s="645" t="s">
        <v>858</v>
      </c>
      <c r="C33" s="646"/>
      <c r="D33" s="646"/>
      <c r="E33" s="646"/>
    </row>
    <row r="34" spans="2:5">
      <c r="B34" s="645" t="s">
        <v>859</v>
      </c>
      <c r="C34" s="646"/>
      <c r="D34" s="646"/>
      <c r="E34" s="646"/>
    </row>
  </sheetData>
  <phoneticPr fontId="93" type="noConversion"/>
  <pageMargins left="0.7" right="0.7" top="0.75" bottom="0.75" header="0.3" footer="0.3"/>
  <ignoredErrors>
    <ignoredError sqref="H19:H2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E81C-F67A-472F-8F03-74A9C1076EB0}">
  <dimension ref="A2:AL22"/>
  <sheetViews>
    <sheetView zoomScale="70" zoomScaleNormal="70" workbookViewId="0">
      <selection activeCell="U9" sqref="U9"/>
    </sheetView>
  </sheetViews>
  <sheetFormatPr defaultRowHeight="16.5"/>
  <cols>
    <col min="1" max="1" width="17.5" bestFit="1" customWidth="1"/>
    <col min="2" max="2" width="75.875" customWidth="1"/>
    <col min="3" max="33" width="11.125" customWidth="1"/>
    <col min="34" max="34" width="15.25" customWidth="1"/>
    <col min="35" max="35" width="16.5" customWidth="1"/>
    <col min="36" max="36" width="17.375" customWidth="1"/>
    <col min="37" max="37" width="18.625" customWidth="1"/>
    <col min="38" max="38" width="16.25" customWidth="1"/>
    <col min="39" max="39" width="13.375" customWidth="1"/>
  </cols>
  <sheetData>
    <row r="2" spans="1:38" ht="17.25" thickBot="1"/>
    <row r="3" spans="1:38" s="654" customFormat="1" ht="45" customHeight="1">
      <c r="A3" s="647" t="s">
        <v>860</v>
      </c>
      <c r="B3" s="647" t="s">
        <v>861</v>
      </c>
      <c r="C3" s="648">
        <v>46071</v>
      </c>
      <c r="D3" s="648">
        <v>46072</v>
      </c>
      <c r="E3" s="648">
        <v>46073</v>
      </c>
      <c r="F3" s="648">
        <v>46074</v>
      </c>
      <c r="G3" s="648">
        <v>46075</v>
      </c>
      <c r="H3" s="648">
        <v>46076</v>
      </c>
      <c r="I3" s="648">
        <v>46077</v>
      </c>
      <c r="J3" s="648">
        <v>46078</v>
      </c>
      <c r="K3" s="648">
        <v>46079</v>
      </c>
      <c r="L3" s="648">
        <v>46080</v>
      </c>
      <c r="M3" s="648">
        <v>46081</v>
      </c>
      <c r="N3" s="648">
        <v>46082</v>
      </c>
      <c r="O3" s="648">
        <v>46083</v>
      </c>
      <c r="P3" s="648">
        <v>46084</v>
      </c>
      <c r="Q3" s="648">
        <v>46085</v>
      </c>
      <c r="R3" s="648">
        <v>46086</v>
      </c>
      <c r="S3" s="648">
        <v>46087</v>
      </c>
      <c r="T3" s="648">
        <v>46088</v>
      </c>
      <c r="U3" s="648">
        <v>46089</v>
      </c>
      <c r="V3" s="648">
        <v>46090</v>
      </c>
      <c r="W3" s="648">
        <v>46091</v>
      </c>
      <c r="X3" s="648">
        <v>46092</v>
      </c>
      <c r="Y3" s="648">
        <v>46093</v>
      </c>
      <c r="Z3" s="648">
        <v>46094</v>
      </c>
      <c r="AA3" s="648">
        <v>46095</v>
      </c>
      <c r="AB3" s="648">
        <v>46096</v>
      </c>
      <c r="AC3" s="648">
        <v>46097</v>
      </c>
      <c r="AD3" s="648">
        <v>46098</v>
      </c>
      <c r="AE3" s="648"/>
      <c r="AF3" s="648"/>
      <c r="AG3" s="649"/>
      <c r="AH3" s="650" t="s">
        <v>862</v>
      </c>
      <c r="AI3" s="651" t="s">
        <v>863</v>
      </c>
      <c r="AJ3" s="652" t="s">
        <v>864</v>
      </c>
      <c r="AK3" s="653" t="s">
        <v>865</v>
      </c>
      <c r="AL3" s="653" t="s">
        <v>866</v>
      </c>
    </row>
    <row r="4" spans="1:38" s="662" customFormat="1" ht="45" customHeight="1">
      <c r="A4" s="655" t="s">
        <v>867</v>
      </c>
      <c r="B4" s="656" t="s">
        <v>868</v>
      </c>
      <c r="C4" s="657">
        <v>4512.0000000024447</v>
      </c>
      <c r="D4" s="657">
        <v>4486.0000000044238</v>
      </c>
      <c r="E4" s="657">
        <v>4533.9999999996508</v>
      </c>
      <c r="F4" s="657">
        <v>7604.9999999959255</v>
      </c>
      <c r="G4" s="657">
        <v>16521.999999997206</v>
      </c>
      <c r="H4" s="658">
        <v>37290.000000000873</v>
      </c>
      <c r="I4" s="657">
        <v>46188.000000001921</v>
      </c>
      <c r="J4" s="657">
        <v>45941.99999999546</v>
      </c>
      <c r="K4" s="657">
        <v>46061.000000001513</v>
      </c>
      <c r="L4" s="657">
        <v>45432.999999997264</v>
      </c>
      <c r="M4" s="657">
        <v>46027.000000001863</v>
      </c>
      <c r="N4" s="658">
        <v>47991.99999999837</v>
      </c>
      <c r="O4" s="657">
        <v>48824.000000000524</v>
      </c>
      <c r="P4" s="657">
        <v>45473.000000005413</v>
      </c>
      <c r="Q4" s="657">
        <v>44057.999999997264</v>
      </c>
      <c r="R4" s="657">
        <v>46461.999999999534</v>
      </c>
      <c r="S4" s="657">
        <v>32887.99999999901</v>
      </c>
      <c r="T4" s="657">
        <v>19016.00000000326</v>
      </c>
      <c r="U4" s="658">
        <v>21192.999999999302</v>
      </c>
      <c r="V4" s="657">
        <v>33448.000000003958</v>
      </c>
      <c r="W4" s="657">
        <v>37400.000000001455</v>
      </c>
      <c r="X4" s="657">
        <v>29027.000000001863</v>
      </c>
      <c r="Y4" s="657">
        <v>33508.999999998196</v>
      </c>
      <c r="Z4" s="657">
        <v>31252.999999996973</v>
      </c>
      <c r="AA4" s="657">
        <v>33588.999999999942</v>
      </c>
      <c r="AB4" s="658">
        <v>30371.999999995751</v>
      </c>
      <c r="AC4" s="657">
        <v>37711.999999999534</v>
      </c>
      <c r="AD4" s="657">
        <v>36163.000000000466</v>
      </c>
      <c r="AE4" s="655"/>
      <c r="AF4" s="655"/>
      <c r="AG4" s="659"/>
      <c r="AH4" s="660">
        <f>SUM(C4:AG4)</f>
        <v>912978.9999999993</v>
      </c>
      <c r="AI4" s="661">
        <f>AVERAGE(C4:AD4)</f>
        <v>32606.392857142833</v>
      </c>
      <c r="AJ4" s="760">
        <v>4</v>
      </c>
      <c r="AK4" s="761">
        <v>24</v>
      </c>
      <c r="AL4" s="761">
        <v>28</v>
      </c>
    </row>
    <row r="5" spans="1:38" s="662" customFormat="1" ht="45" customHeight="1">
      <c r="A5" s="655" t="s">
        <v>869</v>
      </c>
      <c r="B5" s="656" t="s">
        <v>870</v>
      </c>
      <c r="C5" s="657">
        <v>5808.640000000596</v>
      </c>
      <c r="D5" s="657">
        <v>5772.160000000149</v>
      </c>
      <c r="E5" s="657">
        <v>5866.2400000006892</v>
      </c>
      <c r="F5" s="657">
        <v>6079.3599999998696</v>
      </c>
      <c r="G5" s="657">
        <v>13791.999999999534</v>
      </c>
      <c r="H5" s="658">
        <v>26583.040000000037</v>
      </c>
      <c r="I5" s="657">
        <v>33264.639999999199</v>
      </c>
      <c r="J5" s="657">
        <v>35201.920000000391</v>
      </c>
      <c r="K5" s="657">
        <v>35095.679999999702</v>
      </c>
      <c r="L5" s="657">
        <v>36382.719999998808</v>
      </c>
      <c r="M5" s="657">
        <v>34610.560000000987</v>
      </c>
      <c r="N5" s="658">
        <v>34412.160000000149</v>
      </c>
      <c r="O5" s="657">
        <v>34839.680000001099</v>
      </c>
      <c r="P5" s="657">
        <v>34426.88000000082</v>
      </c>
      <c r="Q5" s="657">
        <v>34826.88000000082</v>
      </c>
      <c r="R5" s="657">
        <v>35559.040000000969</v>
      </c>
      <c r="S5" s="657">
        <v>34291.199999998789</v>
      </c>
      <c r="T5" s="657">
        <v>20854.40000000177</v>
      </c>
      <c r="U5" s="658">
        <v>24300.800000000745</v>
      </c>
      <c r="V5" s="657">
        <v>32414.719999998342</v>
      </c>
      <c r="W5" s="657">
        <v>32712.960000000894</v>
      </c>
      <c r="X5" s="657">
        <v>33655.679999999702</v>
      </c>
      <c r="Y5" s="657">
        <v>34237.439999999478</v>
      </c>
      <c r="Z5" s="657">
        <v>33031.040000000503</v>
      </c>
      <c r="AA5" s="657">
        <v>33609.599999999627</v>
      </c>
      <c r="AB5" s="658">
        <v>32991.999999999534</v>
      </c>
      <c r="AC5" s="657">
        <v>33568.000000000466</v>
      </c>
      <c r="AD5" s="657">
        <v>34349.439999999013</v>
      </c>
      <c r="AE5" s="655"/>
      <c r="AF5" s="655"/>
      <c r="AG5" s="659"/>
      <c r="AH5" s="660">
        <f t="shared" ref="AH5:AH17" si="0">SUM(C5:AG5)</f>
        <v>792538.88000000268</v>
      </c>
      <c r="AI5" s="661">
        <f>AVERAGE(C5:AD5)</f>
        <v>28304.960000000097</v>
      </c>
      <c r="AJ5" s="760"/>
      <c r="AK5" s="761"/>
      <c r="AL5" s="761"/>
    </row>
    <row r="6" spans="1:38" s="662" customFormat="1" ht="45" customHeight="1">
      <c r="A6" s="655" t="s">
        <v>871</v>
      </c>
      <c r="B6" s="656" t="s">
        <v>872</v>
      </c>
      <c r="C6" s="657">
        <v>2921.1999999999534</v>
      </c>
      <c r="D6" s="657">
        <v>3498.4000000025844</v>
      </c>
      <c r="E6" s="657">
        <v>3212.8000000026077</v>
      </c>
      <c r="F6" s="657">
        <v>3595.9999999991851</v>
      </c>
      <c r="G6" s="657">
        <v>5396.0000000020955</v>
      </c>
      <c r="H6" s="658">
        <v>15472.400000001653</v>
      </c>
      <c r="I6" s="657">
        <v>17209.200000000419</v>
      </c>
      <c r="J6" s="657">
        <v>17658.799999998882</v>
      </c>
      <c r="K6" s="657">
        <v>17531.600000002072</v>
      </c>
      <c r="L6" s="657">
        <v>17588.399999999092</v>
      </c>
      <c r="M6" s="657">
        <v>18399.599999998463</v>
      </c>
      <c r="N6" s="658">
        <v>19070.39999999979</v>
      </c>
      <c r="O6" s="657">
        <v>19096.000000002095</v>
      </c>
      <c r="P6" s="657">
        <v>18905.600000001141</v>
      </c>
      <c r="Q6" s="657">
        <v>18106.79999999993</v>
      </c>
      <c r="R6" s="657">
        <v>18467.600000000675</v>
      </c>
      <c r="S6" s="657">
        <v>17179.60000000021</v>
      </c>
      <c r="T6" s="657">
        <v>9530.4000000003725</v>
      </c>
      <c r="U6" s="658">
        <v>10716.000000000349</v>
      </c>
      <c r="V6" s="657">
        <v>17004.800000000978</v>
      </c>
      <c r="W6" s="657">
        <v>18047.200000000885</v>
      </c>
      <c r="X6" s="657">
        <v>18153.599999999278</v>
      </c>
      <c r="Y6" s="657">
        <v>18374.400000000605</v>
      </c>
      <c r="Z6" s="657">
        <v>18839.600000000792</v>
      </c>
      <c r="AA6" s="657">
        <v>18620.799999998417</v>
      </c>
      <c r="AB6" s="658">
        <v>18939.199999999255</v>
      </c>
      <c r="AC6" s="657">
        <v>18732.800000000861</v>
      </c>
      <c r="AD6" s="657">
        <v>18493.600000001607</v>
      </c>
      <c r="AE6" s="655"/>
      <c r="AF6" s="655"/>
      <c r="AG6" s="659"/>
      <c r="AH6" s="660">
        <f t="shared" si="0"/>
        <v>418762.80000001425</v>
      </c>
      <c r="AI6" s="661">
        <f t="shared" ref="AI6:AI9" si="1">AVERAGE(C6:AD6)</f>
        <v>14955.814285714794</v>
      </c>
      <c r="AJ6" s="760"/>
      <c r="AK6" s="761"/>
      <c r="AL6" s="761"/>
    </row>
    <row r="7" spans="1:38" s="662" customFormat="1" ht="45" customHeight="1">
      <c r="A7" s="655" t="s">
        <v>873</v>
      </c>
      <c r="B7" s="656" t="s">
        <v>874</v>
      </c>
      <c r="C7" s="657">
        <v>4141.8000000001484</v>
      </c>
      <c r="D7" s="657">
        <v>4145.3999999997905</v>
      </c>
      <c r="E7" s="657">
        <v>4139.1000000006898</v>
      </c>
      <c r="F7" s="657">
        <v>4149.0000000005239</v>
      </c>
      <c r="G7" s="657">
        <v>5106.3000000001921</v>
      </c>
      <c r="H7" s="658">
        <v>8164.8000000001048</v>
      </c>
      <c r="I7" s="657">
        <v>10138.799999999537</v>
      </c>
      <c r="J7" s="657">
        <v>10940.999999999258</v>
      </c>
      <c r="K7" s="657">
        <v>11703.899999999703</v>
      </c>
      <c r="L7" s="657">
        <v>11859.600000000864</v>
      </c>
      <c r="M7" s="657">
        <v>11304.60000000021</v>
      </c>
      <c r="N7" s="658">
        <v>11188.200000000506</v>
      </c>
      <c r="O7" s="657">
        <v>12354.60000000021</v>
      </c>
      <c r="P7" s="657">
        <v>14207.099999999991</v>
      </c>
      <c r="Q7" s="657">
        <v>14114.099999999598</v>
      </c>
      <c r="R7" s="657">
        <v>14684.100000000035</v>
      </c>
      <c r="S7" s="657">
        <v>14218.20000000007</v>
      </c>
      <c r="T7" s="657">
        <v>8079.0000000000873</v>
      </c>
      <c r="U7" s="658">
        <v>9233.3999999995285</v>
      </c>
      <c r="V7" s="657">
        <v>12861.899999999878</v>
      </c>
      <c r="W7" s="657">
        <v>14221.799999999712</v>
      </c>
      <c r="X7" s="657">
        <v>14445.599999999467</v>
      </c>
      <c r="Y7" s="657">
        <v>14951.699999999983</v>
      </c>
      <c r="Z7" s="657">
        <v>14931.000000000131</v>
      </c>
      <c r="AA7" s="657">
        <v>15584.999999999127</v>
      </c>
      <c r="AB7" s="658">
        <v>14420.39999999979</v>
      </c>
      <c r="AC7" s="657">
        <v>15000</v>
      </c>
      <c r="AD7" s="657">
        <v>15710.399999999572</v>
      </c>
      <c r="AE7" s="655"/>
      <c r="AF7" s="655"/>
      <c r="AG7" s="659"/>
      <c r="AH7" s="660">
        <f t="shared" si="0"/>
        <v>316000.79999999871</v>
      </c>
      <c r="AI7" s="661">
        <f t="shared" si="1"/>
        <v>11285.742857142812</v>
      </c>
      <c r="AJ7" s="760"/>
      <c r="AK7" s="761"/>
      <c r="AL7" s="761"/>
    </row>
    <row r="8" spans="1:38" s="662" customFormat="1" ht="45" customHeight="1">
      <c r="A8" s="655" t="s">
        <v>875</v>
      </c>
      <c r="B8" s="656" t="s">
        <v>876</v>
      </c>
      <c r="C8" s="657">
        <v>28.800000000410364</v>
      </c>
      <c r="D8" s="657">
        <v>29.099999999380088</v>
      </c>
      <c r="E8" s="657">
        <v>28.800000000410364</v>
      </c>
      <c r="F8" s="657">
        <v>2356.2000000008993</v>
      </c>
      <c r="G8" s="657">
        <v>4866.8999999994412</v>
      </c>
      <c r="H8" s="658">
        <v>10045.499999999083</v>
      </c>
      <c r="I8" s="657">
        <v>11973.600000000079</v>
      </c>
      <c r="J8" s="657">
        <v>12064.500000000044</v>
      </c>
      <c r="K8" s="657">
        <v>12864.900000000489</v>
      </c>
      <c r="L8" s="657">
        <v>13884.899999999834</v>
      </c>
      <c r="M8" s="657">
        <v>12111.599999999817</v>
      </c>
      <c r="N8" s="658">
        <v>13139.999999999782</v>
      </c>
      <c r="O8" s="657">
        <v>12420.600000000559</v>
      </c>
      <c r="P8" s="657">
        <v>12795.90000000062</v>
      </c>
      <c r="Q8" s="657">
        <v>15486.299999999756</v>
      </c>
      <c r="R8" s="657">
        <v>15313.799999999537</v>
      </c>
      <c r="S8" s="657">
        <v>15728.399999999965</v>
      </c>
      <c r="T8" s="657">
        <v>6770.9999999999127</v>
      </c>
      <c r="U8" s="658">
        <v>11886.899999999878</v>
      </c>
      <c r="V8" s="657">
        <v>14265.299999999843</v>
      </c>
      <c r="W8" s="657">
        <v>13343.999999999869</v>
      </c>
      <c r="X8" s="657">
        <v>12883.499999999913</v>
      </c>
      <c r="Y8" s="657">
        <v>13993.500000000131</v>
      </c>
      <c r="Z8" s="657">
        <v>13925.099999999293</v>
      </c>
      <c r="AA8" s="657">
        <v>14754.300000000148</v>
      </c>
      <c r="AB8" s="658">
        <v>14872.200000000157</v>
      </c>
      <c r="AC8" s="657">
        <v>13929.899999999179</v>
      </c>
      <c r="AD8" s="657">
        <v>14422.200000000157</v>
      </c>
      <c r="AE8" s="655"/>
      <c r="AF8" s="655"/>
      <c r="AG8" s="663"/>
      <c r="AH8" s="660">
        <f t="shared" si="0"/>
        <v>310187.69999999867</v>
      </c>
      <c r="AI8" s="661">
        <f t="shared" si="1"/>
        <v>11078.132142857095</v>
      </c>
      <c r="AJ8" s="760"/>
      <c r="AK8" s="761"/>
      <c r="AL8" s="761"/>
    </row>
    <row r="9" spans="1:38" s="662" customFormat="1" ht="45" customHeight="1" thickBot="1">
      <c r="A9" s="664"/>
      <c r="B9" s="665" t="s">
        <v>877</v>
      </c>
      <c r="C9" s="666">
        <f t="shared" ref="C9:AD9" si="2">+C8+C7+C6+C5+C4</f>
        <v>17412.440000003553</v>
      </c>
      <c r="D9" s="666">
        <f t="shared" si="2"/>
        <v>17931.060000006328</v>
      </c>
      <c r="E9" s="666">
        <f t="shared" si="2"/>
        <v>17780.940000004048</v>
      </c>
      <c r="F9" s="666">
        <f t="shared" si="2"/>
        <v>23785.559999996403</v>
      </c>
      <c r="G9" s="666">
        <f t="shared" si="2"/>
        <v>45683.199999998469</v>
      </c>
      <c r="H9" s="667">
        <f t="shared" si="2"/>
        <v>97555.740000001751</v>
      </c>
      <c r="I9" s="666">
        <f t="shared" si="2"/>
        <v>118774.24000000115</v>
      </c>
      <c r="J9" s="666">
        <f t="shared" si="2"/>
        <v>121808.21999999403</v>
      </c>
      <c r="K9" s="666">
        <f t="shared" si="2"/>
        <v>123257.08000000348</v>
      </c>
      <c r="L9" s="666">
        <f t="shared" si="2"/>
        <v>125148.61999999586</v>
      </c>
      <c r="M9" s="666">
        <f t="shared" si="2"/>
        <v>122453.36000000134</v>
      </c>
      <c r="N9" s="667">
        <f t="shared" si="2"/>
        <v>125802.7599999986</v>
      </c>
      <c r="O9" s="666">
        <f t="shared" si="2"/>
        <v>127534.88000000449</v>
      </c>
      <c r="P9" s="666">
        <f t="shared" si="2"/>
        <v>125808.48000000798</v>
      </c>
      <c r="Q9" s="666">
        <f t="shared" si="2"/>
        <v>126592.07999999737</v>
      </c>
      <c r="R9" s="666">
        <f t="shared" si="2"/>
        <v>130486.54000000075</v>
      </c>
      <c r="S9" s="666">
        <f t="shared" si="2"/>
        <v>114305.39999999804</v>
      </c>
      <c r="T9" s="666">
        <f t="shared" si="2"/>
        <v>64250.800000005402</v>
      </c>
      <c r="U9" s="667">
        <f t="shared" si="2"/>
        <v>77330.099999999802</v>
      </c>
      <c r="V9" s="666">
        <f t="shared" si="2"/>
        <v>109994.720000003</v>
      </c>
      <c r="W9" s="666">
        <f t="shared" si="2"/>
        <v>115725.96000000281</v>
      </c>
      <c r="X9" s="666">
        <f t="shared" si="2"/>
        <v>108165.38000000022</v>
      </c>
      <c r="Y9" s="666">
        <f t="shared" si="2"/>
        <v>115066.03999999839</v>
      </c>
      <c r="Z9" s="666">
        <f t="shared" si="2"/>
        <v>111979.73999999769</v>
      </c>
      <c r="AA9" s="666">
        <f t="shared" si="2"/>
        <v>116158.69999999726</v>
      </c>
      <c r="AB9" s="667">
        <f t="shared" si="2"/>
        <v>111595.79999999449</v>
      </c>
      <c r="AC9" s="666">
        <f t="shared" si="2"/>
        <v>118942.70000000004</v>
      </c>
      <c r="AD9" s="666">
        <f t="shared" si="2"/>
        <v>119138.64000000081</v>
      </c>
      <c r="AE9" s="664"/>
      <c r="AF9" s="664"/>
      <c r="AG9" s="668"/>
      <c r="AH9" s="669">
        <f t="shared" si="0"/>
        <v>2750469.1800000137</v>
      </c>
      <c r="AI9" s="670">
        <f t="shared" si="1"/>
        <v>98231.042142857637</v>
      </c>
      <c r="AJ9" s="760"/>
      <c r="AK9" s="761"/>
      <c r="AL9" s="761"/>
    </row>
    <row r="10" spans="1:38" s="662" customFormat="1" ht="18.75" customHeight="1" thickBot="1">
      <c r="A10" s="762"/>
      <c r="B10" s="763"/>
      <c r="C10" s="763"/>
      <c r="D10" s="763"/>
      <c r="E10" s="763"/>
      <c r="F10" s="763"/>
      <c r="G10" s="763"/>
      <c r="H10" s="763"/>
      <c r="I10" s="763"/>
      <c r="J10" s="763"/>
      <c r="K10" s="763"/>
      <c r="L10" s="763"/>
      <c r="M10" s="763"/>
      <c r="N10" s="763"/>
      <c r="O10" s="763"/>
      <c r="P10" s="763"/>
      <c r="Q10" s="763"/>
      <c r="R10" s="763"/>
      <c r="S10" s="763"/>
      <c r="T10" s="763"/>
      <c r="U10" s="763"/>
      <c r="V10" s="763"/>
      <c r="W10" s="763"/>
      <c r="X10" s="763"/>
      <c r="Y10" s="763"/>
      <c r="Z10" s="763"/>
      <c r="AA10" s="763"/>
      <c r="AB10" s="763"/>
      <c r="AC10" s="763"/>
      <c r="AD10" s="763"/>
      <c r="AE10" s="763"/>
      <c r="AF10" s="763"/>
      <c r="AG10" s="763"/>
      <c r="AH10" s="764"/>
      <c r="AI10" s="764"/>
      <c r="AJ10" s="763"/>
      <c r="AK10" s="763"/>
      <c r="AL10" s="765"/>
    </row>
    <row r="11" spans="1:38" s="654" customFormat="1" ht="45" customHeight="1">
      <c r="A11" s="647" t="s">
        <v>860</v>
      </c>
      <c r="B11" s="647" t="s">
        <v>861</v>
      </c>
      <c r="C11" s="648">
        <v>46099</v>
      </c>
      <c r="D11" s="648">
        <v>46100</v>
      </c>
      <c r="E11" s="648">
        <v>46101</v>
      </c>
      <c r="F11" s="648">
        <v>46102</v>
      </c>
      <c r="G11" s="648">
        <v>46103</v>
      </c>
      <c r="H11" s="648">
        <v>46104</v>
      </c>
      <c r="I11" s="648">
        <v>46105</v>
      </c>
      <c r="J11" s="648">
        <v>46106</v>
      </c>
      <c r="K11" s="648">
        <v>46107</v>
      </c>
      <c r="L11" s="648">
        <v>46108</v>
      </c>
      <c r="M11" s="648">
        <v>46109</v>
      </c>
      <c r="N11" s="648">
        <v>46110</v>
      </c>
      <c r="O11" s="648">
        <v>46111</v>
      </c>
      <c r="P11" s="648">
        <v>46112</v>
      </c>
      <c r="Q11" s="648">
        <v>46113</v>
      </c>
      <c r="R11" s="648">
        <v>46114</v>
      </c>
      <c r="S11" s="648">
        <v>46115</v>
      </c>
      <c r="T11" s="648">
        <v>46116</v>
      </c>
      <c r="U11" s="648">
        <v>46117</v>
      </c>
      <c r="V11" s="648">
        <v>46118</v>
      </c>
      <c r="W11" s="648">
        <v>46119</v>
      </c>
      <c r="X11" s="648">
        <v>46120</v>
      </c>
      <c r="Y11" s="648">
        <v>46121</v>
      </c>
      <c r="Z11" s="648">
        <v>46122</v>
      </c>
      <c r="AA11" s="648">
        <v>46123</v>
      </c>
      <c r="AB11" s="648">
        <v>46124</v>
      </c>
      <c r="AC11" s="648">
        <v>46125</v>
      </c>
      <c r="AD11" s="648">
        <v>46126</v>
      </c>
      <c r="AE11" s="648">
        <v>46127</v>
      </c>
      <c r="AF11" s="648">
        <v>46128</v>
      </c>
      <c r="AG11" s="649">
        <v>46129</v>
      </c>
      <c r="AH11" s="650" t="s">
        <v>862</v>
      </c>
      <c r="AI11" s="651" t="s">
        <v>863</v>
      </c>
      <c r="AJ11" s="671" t="s">
        <v>864</v>
      </c>
      <c r="AK11" s="647" t="s">
        <v>865</v>
      </c>
      <c r="AL11" s="647" t="s">
        <v>866</v>
      </c>
    </row>
    <row r="12" spans="1:38" s="662" customFormat="1" ht="45" customHeight="1">
      <c r="A12" s="655" t="s">
        <v>867</v>
      </c>
      <c r="B12" s="656" t="s">
        <v>868</v>
      </c>
      <c r="C12" s="657">
        <v>41654.999999998836</v>
      </c>
      <c r="D12" s="657">
        <v>34925.999999999476</v>
      </c>
      <c r="E12" s="657">
        <v>42480.000000003201</v>
      </c>
      <c r="F12" s="657">
        <v>38569.999999999709</v>
      </c>
      <c r="G12" s="657">
        <v>30401.000000005297</v>
      </c>
      <c r="H12" s="658">
        <v>34089.999999996508</v>
      </c>
      <c r="I12" s="657">
        <v>48599.999999998545</v>
      </c>
      <c r="J12" s="657">
        <v>35017.999999996391</v>
      </c>
      <c r="K12" s="657">
        <v>49466.000000000349</v>
      </c>
      <c r="L12" s="657">
        <v>49664.000000004307</v>
      </c>
      <c r="M12" s="657">
        <v>49779.999999998836</v>
      </c>
      <c r="N12" s="658">
        <v>38108.000000000175</v>
      </c>
      <c r="O12" s="657">
        <v>44963.999999999942</v>
      </c>
      <c r="P12" s="657">
        <v>45178.999999996449</v>
      </c>
      <c r="Q12" s="657">
        <v>49280.999999995402</v>
      </c>
      <c r="R12" s="657">
        <v>49903.999999994994</v>
      </c>
      <c r="S12" s="657">
        <v>29800.999999999476</v>
      </c>
      <c r="T12" s="657">
        <v>37929.000000003725</v>
      </c>
      <c r="U12" s="658">
        <v>34057.000000000698</v>
      </c>
      <c r="V12" s="657">
        <v>37940.999999998894</v>
      </c>
      <c r="W12" s="657">
        <v>40080.000000001746</v>
      </c>
      <c r="X12" s="657">
        <v>43413.000000000466</v>
      </c>
      <c r="Y12" s="657">
        <v>35069.999999999709</v>
      </c>
      <c r="Z12" s="657">
        <v>35285.000000003492</v>
      </c>
      <c r="AA12" s="657">
        <v>42726.999999998952</v>
      </c>
      <c r="AB12" s="658">
        <v>30475.999999995111</v>
      </c>
      <c r="AC12" s="657">
        <v>49036.000000000058</v>
      </c>
      <c r="AD12" s="657">
        <v>53033.000000003085</v>
      </c>
      <c r="AE12" s="657">
        <v>53467.000000004191</v>
      </c>
      <c r="AF12" s="657">
        <v>54712.9999999961</v>
      </c>
      <c r="AG12" s="672">
        <v>54095.99999999773</v>
      </c>
      <c r="AH12" s="660">
        <f t="shared" si="0"/>
        <v>1313209.9999999916</v>
      </c>
      <c r="AI12" s="661">
        <f>AVERAGE(C12:AG12)</f>
        <v>42361.612903225534</v>
      </c>
      <c r="AJ12" s="760">
        <v>4</v>
      </c>
      <c r="AK12" s="761">
        <v>27</v>
      </c>
      <c r="AL12" s="761">
        <f>AK12+AJ12</f>
        <v>31</v>
      </c>
    </row>
    <row r="13" spans="1:38" s="662" customFormat="1" ht="45" customHeight="1">
      <c r="A13" s="655" t="s">
        <v>869</v>
      </c>
      <c r="B13" s="656" t="s">
        <v>870</v>
      </c>
      <c r="C13" s="657">
        <v>34121.599999999162</v>
      </c>
      <c r="D13" s="657">
        <v>32850.560000000987</v>
      </c>
      <c r="E13" s="657">
        <v>31937.280000001192</v>
      </c>
      <c r="F13" s="657">
        <v>33212.800000000279</v>
      </c>
      <c r="G13" s="657">
        <v>27653.11999999918</v>
      </c>
      <c r="H13" s="658">
        <v>30947.839999999851</v>
      </c>
      <c r="I13" s="657">
        <v>33662.720000001136</v>
      </c>
      <c r="J13" s="657">
        <v>29197.439999999478</v>
      </c>
      <c r="K13" s="657">
        <v>30769.920000000857</v>
      </c>
      <c r="L13" s="657">
        <v>30085.120000001043</v>
      </c>
      <c r="M13" s="657">
        <v>28547.199999999721</v>
      </c>
      <c r="N13" s="658">
        <v>24794.879999998957</v>
      </c>
      <c r="O13" s="657">
        <v>26842.880000001751</v>
      </c>
      <c r="P13" s="657">
        <v>30515.840000000317</v>
      </c>
      <c r="Q13" s="657">
        <v>32053.120000001509</v>
      </c>
      <c r="R13" s="657">
        <v>33488.640000000596</v>
      </c>
      <c r="S13" s="657">
        <v>33992.959999998566</v>
      </c>
      <c r="T13" s="657">
        <v>34040.959999999031</v>
      </c>
      <c r="U13" s="658">
        <v>29708.159999998752</v>
      </c>
      <c r="V13" s="657">
        <v>30560</v>
      </c>
      <c r="W13" s="657">
        <v>34757.119999998249</v>
      </c>
      <c r="X13" s="657">
        <v>35697.279999998864</v>
      </c>
      <c r="Y13" s="657">
        <v>35123.199999998324</v>
      </c>
      <c r="Z13" s="657">
        <v>34623.999999999069</v>
      </c>
      <c r="AA13" s="657">
        <v>34908.159999998752</v>
      </c>
      <c r="AB13" s="658">
        <v>28360.320000001229</v>
      </c>
      <c r="AC13" s="657">
        <v>32449.280000000726</v>
      </c>
      <c r="AD13" s="657">
        <v>35422.080000001006</v>
      </c>
      <c r="AE13" s="657">
        <v>36280.96000000136</v>
      </c>
      <c r="AF13" s="657">
        <v>35756.799999999348</v>
      </c>
      <c r="AG13" s="672">
        <v>34373.760000001639</v>
      </c>
      <c r="AH13" s="660">
        <f t="shared" si="0"/>
        <v>996736.00000000093</v>
      </c>
      <c r="AI13" s="661">
        <f t="shared" ref="AI13:AI17" si="3">AVERAGE(C13:AG13)</f>
        <v>32152.774193548415</v>
      </c>
      <c r="AJ13" s="760"/>
      <c r="AK13" s="761"/>
      <c r="AL13" s="761"/>
    </row>
    <row r="14" spans="1:38" s="662" customFormat="1" ht="45" customHeight="1">
      <c r="A14" s="655" t="s">
        <v>871</v>
      </c>
      <c r="B14" s="656" t="s">
        <v>872</v>
      </c>
      <c r="C14" s="657">
        <v>18620.39999999979</v>
      </c>
      <c r="D14" s="657">
        <v>18096.799999999348</v>
      </c>
      <c r="E14" s="657">
        <v>18053.200000000652</v>
      </c>
      <c r="F14" s="657">
        <v>18235.19999999844</v>
      </c>
      <c r="G14" s="657">
        <v>18172.400000001653</v>
      </c>
      <c r="H14" s="658">
        <v>18115.600000001723</v>
      </c>
      <c r="I14" s="657">
        <v>19440.399999998044</v>
      </c>
      <c r="J14" s="657">
        <v>17694.399999998859</v>
      </c>
      <c r="K14" s="657">
        <v>19514.400000000023</v>
      </c>
      <c r="L14" s="657">
        <v>19337.200000000303</v>
      </c>
      <c r="M14" s="657">
        <v>19330.400000000373</v>
      </c>
      <c r="N14" s="658">
        <v>18349.600000001374</v>
      </c>
      <c r="O14" s="657">
        <v>18929.199999998673</v>
      </c>
      <c r="P14" s="657">
        <v>19827.999999999884</v>
      </c>
      <c r="Q14" s="657">
        <v>18271.59999999858</v>
      </c>
      <c r="R14" s="657">
        <v>18540.000000002328</v>
      </c>
      <c r="S14" s="657">
        <v>19450.800000000163</v>
      </c>
      <c r="T14" s="657">
        <v>19683.599999998114</v>
      </c>
      <c r="U14" s="658">
        <v>19350.399999998626</v>
      </c>
      <c r="V14" s="657">
        <v>19802.000000001863</v>
      </c>
      <c r="W14" s="657">
        <v>20666.000000000349</v>
      </c>
      <c r="X14" s="657">
        <v>20322.000000000116</v>
      </c>
      <c r="Y14" s="657">
        <v>20207.600000000093</v>
      </c>
      <c r="Z14" s="657">
        <v>20377.999999999884</v>
      </c>
      <c r="AA14" s="657">
        <v>20635.19999999844</v>
      </c>
      <c r="AB14" s="658">
        <v>20843.599999998696</v>
      </c>
      <c r="AC14" s="657">
        <v>20685.20000000135</v>
      </c>
      <c r="AD14" s="657">
        <v>20737.200000000303</v>
      </c>
      <c r="AE14" s="657">
        <v>20618.400000000838</v>
      </c>
      <c r="AF14" s="657">
        <v>20518.799999999464</v>
      </c>
      <c r="AG14" s="672">
        <v>19399.199999999837</v>
      </c>
      <c r="AH14" s="660">
        <f t="shared" si="0"/>
        <v>601826.79999999818</v>
      </c>
      <c r="AI14" s="661">
        <f t="shared" si="3"/>
        <v>19413.767741935426</v>
      </c>
      <c r="AJ14" s="760"/>
      <c r="AK14" s="761"/>
      <c r="AL14" s="761"/>
    </row>
    <row r="15" spans="1:38" s="662" customFormat="1" ht="45" customHeight="1">
      <c r="A15" s="655" t="s">
        <v>873</v>
      </c>
      <c r="B15" s="656" t="s">
        <v>874</v>
      </c>
      <c r="C15" s="657">
        <v>14433.300000000236</v>
      </c>
      <c r="D15" s="657">
        <v>14984.100000000035</v>
      </c>
      <c r="E15" s="657">
        <v>16085.099999999511</v>
      </c>
      <c r="F15" s="657">
        <v>14939.999999999782</v>
      </c>
      <c r="G15" s="657">
        <v>13136.40000000014</v>
      </c>
      <c r="H15" s="658">
        <v>13796.100000000297</v>
      </c>
      <c r="I15" s="657">
        <v>13562.999999999738</v>
      </c>
      <c r="J15" s="657">
        <v>11518.800000000192</v>
      </c>
      <c r="K15" s="657">
        <v>12560.999999999694</v>
      </c>
      <c r="L15" s="657">
        <v>13102.799999999843</v>
      </c>
      <c r="M15" s="657">
        <v>13184.399999999005</v>
      </c>
      <c r="N15" s="658">
        <v>11889.300000000367</v>
      </c>
      <c r="O15" s="657">
        <v>12499.200000000201</v>
      </c>
      <c r="P15" s="657">
        <v>13106.700000000637</v>
      </c>
      <c r="Q15" s="657">
        <v>13194.29999999993</v>
      </c>
      <c r="R15" s="657">
        <v>14191.200000000026</v>
      </c>
      <c r="S15" s="657">
        <v>15311.100000000079</v>
      </c>
      <c r="T15" s="657">
        <v>14716.800000000148</v>
      </c>
      <c r="U15" s="658">
        <v>13587.600000000384</v>
      </c>
      <c r="V15" s="657">
        <v>12745.500000000175</v>
      </c>
      <c r="W15" s="657">
        <v>14009.700000000157</v>
      </c>
      <c r="X15" s="657">
        <v>14559.599999999773</v>
      </c>
      <c r="Y15" s="657">
        <v>14996.400000000358</v>
      </c>
      <c r="Z15" s="657">
        <v>14428.499999999258</v>
      </c>
      <c r="AA15" s="657">
        <v>15440.700000000288</v>
      </c>
      <c r="AB15" s="658">
        <v>13972.500000000218</v>
      </c>
      <c r="AC15" s="657">
        <v>14627.70000000055</v>
      </c>
      <c r="AD15" s="657">
        <v>14846.700000000419</v>
      </c>
      <c r="AE15" s="657">
        <v>14450.700000000506</v>
      </c>
      <c r="AF15" s="657">
        <v>15163.800000000629</v>
      </c>
      <c r="AG15" s="672">
        <v>15183.600000000297</v>
      </c>
      <c r="AH15" s="660">
        <f t="shared" si="0"/>
        <v>434226.60000000289</v>
      </c>
      <c r="AI15" s="661">
        <f t="shared" si="3"/>
        <v>14007.309677419447</v>
      </c>
      <c r="AJ15" s="760"/>
      <c r="AK15" s="761"/>
      <c r="AL15" s="761"/>
    </row>
    <row r="16" spans="1:38" s="662" customFormat="1" ht="45" customHeight="1">
      <c r="A16" s="655" t="s">
        <v>875</v>
      </c>
      <c r="B16" s="656" t="s">
        <v>876</v>
      </c>
      <c r="C16" s="657">
        <v>14523.000000001048</v>
      </c>
      <c r="D16" s="657">
        <v>12207.299999999668</v>
      </c>
      <c r="E16" s="657">
        <v>2553.0000000006112</v>
      </c>
      <c r="F16" s="657">
        <v>15100</v>
      </c>
      <c r="G16" s="657">
        <v>15100</v>
      </c>
      <c r="H16" s="658">
        <v>11332</v>
      </c>
      <c r="I16" s="657">
        <v>15100</v>
      </c>
      <c r="J16" s="657">
        <v>15100</v>
      </c>
      <c r="K16" s="657">
        <v>15100</v>
      </c>
      <c r="L16" s="657">
        <v>15100</v>
      </c>
      <c r="M16" s="657">
        <v>15100</v>
      </c>
      <c r="N16" s="658">
        <v>11600</v>
      </c>
      <c r="O16" s="657">
        <v>15100</v>
      </c>
      <c r="P16" s="657">
        <v>15100</v>
      </c>
      <c r="Q16" s="657">
        <v>15100</v>
      </c>
      <c r="R16" s="657">
        <v>15100</v>
      </c>
      <c r="S16" s="657">
        <v>15100</v>
      </c>
      <c r="T16" s="657">
        <v>9539.9999999999854</v>
      </c>
      <c r="U16" s="658">
        <v>11241.899999999987</v>
      </c>
      <c r="V16" s="657">
        <v>14922.299999999996</v>
      </c>
      <c r="W16" s="657">
        <v>15411.60000000002</v>
      </c>
      <c r="X16" s="657">
        <v>16134.300000000019</v>
      </c>
      <c r="Y16" s="657">
        <v>15027.899999999989</v>
      </c>
      <c r="Z16" s="657">
        <v>15678.900000000011</v>
      </c>
      <c r="AA16" s="657">
        <v>15898.500000000036</v>
      </c>
      <c r="AB16" s="658">
        <v>14739.600000000019</v>
      </c>
      <c r="AC16" s="657">
        <v>14397.900000000049</v>
      </c>
      <c r="AD16" s="657">
        <v>16099.80000000005</v>
      </c>
      <c r="AE16" s="657">
        <v>15922.799999999937</v>
      </c>
      <c r="AF16" s="657">
        <v>15828.900000000045</v>
      </c>
      <c r="AG16" s="672">
        <v>15519.3</v>
      </c>
      <c r="AH16" s="660">
        <f t="shared" si="0"/>
        <v>439779.00000000151</v>
      </c>
      <c r="AI16" s="661">
        <f t="shared" si="3"/>
        <v>14186.419354838759</v>
      </c>
      <c r="AJ16" s="760"/>
      <c r="AK16" s="761"/>
      <c r="AL16" s="761"/>
    </row>
    <row r="17" spans="1:38" ht="45" customHeight="1" thickBot="1">
      <c r="A17" s="673"/>
      <c r="B17" s="674" t="s">
        <v>877</v>
      </c>
      <c r="C17" s="675">
        <f>+C16+C15+C14+C13+C12</f>
        <v>123353.29999999907</v>
      </c>
      <c r="D17" s="675">
        <f t="shared" ref="D17:AG17" si="4">+D16+D15+D14+D13+D12</f>
        <v>113064.75999999951</v>
      </c>
      <c r="E17" s="675">
        <f t="shared" si="4"/>
        <v>111108.58000000517</v>
      </c>
      <c r="F17" s="675">
        <f t="shared" si="4"/>
        <v>120057.99999999821</v>
      </c>
      <c r="G17" s="675">
        <f t="shared" si="4"/>
        <v>104462.92000000627</v>
      </c>
      <c r="H17" s="676">
        <f t="shared" si="4"/>
        <v>108281.53999999838</v>
      </c>
      <c r="I17" s="675">
        <f t="shared" si="4"/>
        <v>130366.11999999746</v>
      </c>
      <c r="J17" s="675">
        <f t="shared" si="4"/>
        <v>108528.63999999492</v>
      </c>
      <c r="K17" s="675">
        <f t="shared" si="4"/>
        <v>127411.32000000092</v>
      </c>
      <c r="L17" s="675">
        <f t="shared" si="4"/>
        <v>127289.1200000055</v>
      </c>
      <c r="M17" s="675">
        <f t="shared" si="4"/>
        <v>125941.99999999793</v>
      </c>
      <c r="N17" s="676">
        <f t="shared" si="4"/>
        <v>104741.78000000087</v>
      </c>
      <c r="O17" s="675">
        <f t="shared" si="4"/>
        <v>118335.28000000057</v>
      </c>
      <c r="P17" s="675">
        <f t="shared" si="4"/>
        <v>123729.53999999729</v>
      </c>
      <c r="Q17" s="675">
        <f t="shared" si="4"/>
        <v>127900.01999999542</v>
      </c>
      <c r="R17" s="675">
        <f t="shared" si="4"/>
        <v>131223.83999999793</v>
      </c>
      <c r="S17" s="675">
        <f t="shared" si="4"/>
        <v>113655.85999999828</v>
      </c>
      <c r="T17" s="675">
        <f t="shared" si="4"/>
        <v>115910.360000001</v>
      </c>
      <c r="U17" s="676">
        <f t="shared" si="4"/>
        <v>107945.05999999846</v>
      </c>
      <c r="V17" s="675">
        <f t="shared" si="4"/>
        <v>115970.80000000092</v>
      </c>
      <c r="W17" s="675">
        <f t="shared" si="4"/>
        <v>124924.42000000052</v>
      </c>
      <c r="X17" s="675">
        <f t="shared" si="4"/>
        <v>130126.17999999924</v>
      </c>
      <c r="Y17" s="675">
        <f t="shared" si="4"/>
        <v>120425.09999999846</v>
      </c>
      <c r="Z17" s="675">
        <f t="shared" si="4"/>
        <v>120394.40000000171</v>
      </c>
      <c r="AA17" s="675">
        <f t="shared" si="4"/>
        <v>129609.55999999648</v>
      </c>
      <c r="AB17" s="676">
        <f t="shared" si="4"/>
        <v>108392.01999999527</v>
      </c>
      <c r="AC17" s="675">
        <f t="shared" si="4"/>
        <v>131196.08000000275</v>
      </c>
      <c r="AD17" s="675">
        <f t="shared" si="4"/>
        <v>140138.78000000486</v>
      </c>
      <c r="AE17" s="675">
        <f t="shared" si="4"/>
        <v>140739.86000000683</v>
      </c>
      <c r="AF17" s="675">
        <f t="shared" si="4"/>
        <v>141981.29999999559</v>
      </c>
      <c r="AG17" s="677">
        <f t="shared" si="4"/>
        <v>138571.85999999952</v>
      </c>
      <c r="AH17" s="669">
        <f t="shared" si="0"/>
        <v>3785778.3999999948</v>
      </c>
      <c r="AI17" s="670">
        <f t="shared" si="3"/>
        <v>122121.88387096758</v>
      </c>
      <c r="AJ17" s="760"/>
      <c r="AK17" s="761"/>
      <c r="AL17" s="761"/>
    </row>
    <row r="18" spans="1:38" ht="32.25" customHeight="1"/>
    <row r="19" spans="1:38" ht="34.5" customHeight="1"/>
    <row r="20" spans="1:38" ht="34.5" customHeight="1"/>
    <row r="21" spans="1:38" ht="34.5" customHeight="1"/>
    <row r="22" spans="1:38" ht="34.5" customHeight="1"/>
  </sheetData>
  <mergeCells count="7">
    <mergeCell ref="AJ4:AJ9"/>
    <mergeCell ref="AK4:AK9"/>
    <mergeCell ref="AL4:AL9"/>
    <mergeCell ref="A10:AL10"/>
    <mergeCell ref="AJ12:AJ17"/>
    <mergeCell ref="AK12:AK17"/>
    <mergeCell ref="AL12:AL17"/>
  </mergeCells>
  <phoneticPr fontId="93"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Sources/>
</file>

<file path=customXml/itemProps1.xml><?xml version="1.0" encoding="utf-8"?>
<ds:datastoreItem xmlns:ds="http://schemas.openxmlformats.org/officeDocument/2006/customXml" ds:itemID="{B4156FFD-D911-4A14-8828-23CAF7A9F8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vt:i4>
      </vt:variant>
    </vt:vector>
  </HeadingPairs>
  <TitlesOfParts>
    <vt:vector size="10" baseType="lpstr">
      <vt:lpstr>Sale detail by code</vt:lpstr>
      <vt:lpstr>Sch 1 - Sales</vt:lpstr>
      <vt:lpstr>02.Income Statement </vt:lpstr>
      <vt:lpstr>PL USD</vt:lpstr>
      <vt:lpstr>Sch 2 - Manufacturing State</vt:lpstr>
      <vt:lpstr>NG by Customers</vt:lpstr>
      <vt:lpstr>NG by model</vt:lpstr>
      <vt:lpstr>비용 증가 사유</vt:lpstr>
      <vt:lpstr>전기사용량</vt:lpstr>
      <vt:lpstr>'PL USD'!Print_Area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ACC-PC01</dc:creator>
  <cp:lastModifiedBy>임재홍</cp:lastModifiedBy>
  <cp:lastPrinted>2026-01-11T07:18:11Z</cp:lastPrinted>
  <dcterms:created xsi:type="dcterms:W3CDTF">2025-08-09T03:07:49Z</dcterms:created>
  <dcterms:modified xsi:type="dcterms:W3CDTF">2026-05-12T13:32:25Z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FIDA_U9App_DataSourceXMLPart">
    <vt:lpwstr>{B4156FFD-D911-4A14-8828-23CAF7A9F81B}</vt:lpwstr>
  </property>
</Properties>
</file>