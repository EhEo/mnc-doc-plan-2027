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sexycoke-my.sharepoint.com/personal/jhlim_lcinc_world/Documents/Cowork/01_경영재무/경영마감/2026년04월/제조경비/"/>
    </mc:Choice>
  </mc:AlternateContent>
  <xr:revisionPtr revIDLastSave="3" documentId="11_C30BF7E7DFEFA270A421882DAF2A1C4366CE2455" xr6:coauthVersionLast="47" xr6:coauthVersionMax="47" xr10:uidLastSave="{A757F80F-C733-4895-A3F0-A62F9A3B37F3}"/>
  <bookViews>
    <workbookView minimized="1" xWindow="2145" yWindow="825" windowWidth="16950" windowHeight="10920" activeTab="5" xr2:uid="{00000000-000D-0000-FFFF-FFFF00000000}"/>
  </bookViews>
  <sheets>
    <sheet name="Thang 1" sheetId="1" r:id="rId1"/>
    <sheet name="Thang 2" sheetId="2" r:id="rId2"/>
    <sheet name="Thang 3" sheetId="3" r:id="rId3"/>
    <sheet name="Thang 4" sheetId="4" r:id="rId4"/>
    <sheet name="Thang 5" sheetId="5" r:id="rId5"/>
    <sheet name="Compare Mar,April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4" l="1"/>
  <c r="I39" i="4"/>
  <c r="AG17" i="7" l="1"/>
  <c r="AF17" i="7"/>
  <c r="AE17" i="7"/>
  <c r="AD17" i="7"/>
  <c r="AC17" i="7"/>
  <c r="AB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AI16" i="7"/>
  <c r="AH16" i="7"/>
  <c r="AA17" i="7"/>
  <c r="AI14" i="7"/>
  <c r="AH14" i="7"/>
  <c r="AI13" i="7"/>
  <c r="AH13" i="7"/>
  <c r="AL12" i="7"/>
  <c r="AI12" i="7"/>
  <c r="AH12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AI8" i="7"/>
  <c r="AH8" i="7"/>
  <c r="AI7" i="7"/>
  <c r="AH7" i="7"/>
  <c r="AI6" i="7"/>
  <c r="AH6" i="7"/>
  <c r="AI5" i="7"/>
  <c r="AH5" i="7"/>
  <c r="AI4" i="7"/>
  <c r="AH4" i="7"/>
  <c r="AI9" i="7" l="1"/>
  <c r="AI17" i="7"/>
  <c r="AH17" i="7"/>
  <c r="AH15" i="7"/>
  <c r="AI15" i="7"/>
  <c r="AH9" i="7"/>
  <c r="I33" i="5" l="1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5" i="4"/>
  <c r="I4" i="4"/>
  <c r="I35" i="4" s="1"/>
  <c r="I35" i="5" l="1"/>
  <c r="I35" i="3" l="1"/>
  <c r="I35" i="2" l="1"/>
</calcChain>
</file>

<file path=xl/sharedStrings.xml><?xml version="1.0" encoding="utf-8"?>
<sst xmlns="http://schemas.openxmlformats.org/spreadsheetml/2006/main" count="111" uniqueCount="27">
  <si>
    <t>No</t>
  </si>
  <si>
    <t>Date</t>
  </si>
  <si>
    <t>3750 KVA</t>
  </si>
  <si>
    <t>1250 KVA-1</t>
  </si>
  <si>
    <t>2500 KVA</t>
  </si>
  <si>
    <t>1250 KVA-2</t>
  </si>
  <si>
    <t>1250 KVA-3</t>
  </si>
  <si>
    <t>Total</t>
  </si>
  <si>
    <t>KWh</t>
  </si>
  <si>
    <t>TOTAL</t>
  </si>
  <si>
    <t>Trans 3750 KVA</t>
  </si>
  <si>
    <t>CNC 1,CNC2,CNC3,CNC4. Chromate, Barel,Casting(1 machine)
Trimming, Chiller-AHU trimming, Exhaust fan casting, Pump for casting
Chiller factory B, Chiller casting, AHU, Exhaust FAN CNC 3, Air compressor(5 machine)</t>
  </si>
  <si>
    <t xml:space="preserve">Trans 2500 KVA </t>
  </si>
  <si>
    <t>Casting(16 machine),Aluminum transport line,Office, Pump, Bavia area, Canteen.</t>
  </si>
  <si>
    <t>Trans 1250A KVA</t>
  </si>
  <si>
    <t>Chiller CNC3(3 machine),Air compressor(7 machine),chiller casting(1 machine),
CNC2(1V4,1V2)</t>
  </si>
  <si>
    <t>Trans 1250B KVA</t>
  </si>
  <si>
    <t>Casting machine(9 machine)</t>
  </si>
  <si>
    <t>Trans 1250C KVA</t>
  </si>
  <si>
    <t>Recycling line, blaster,jnjection, air compress(4 machine)</t>
  </si>
  <si>
    <t>AVG</t>
  </si>
  <si>
    <t>SUNDAY</t>
  </si>
  <si>
    <t>NOMAL DAY</t>
  </si>
  <si>
    <t>TOTAL DAY</t>
  </si>
  <si>
    <t>Total
kWh</t>
  </si>
  <si>
    <t>AREA USING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</si>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</sst>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* #,##0.00_);_(* \(#,##0.00\);_(* &quot;-&quot;??_);_(@_)"/>
    <numFmt numFmtId="177" formatCode="m/d;@"/>
    <numFmt numFmtId="178" formatCode="_(* #,##0_);_(* \(#,##0\);_(* &quot;-&quot;??_);_(@_)"/>
  </numFmts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76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4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/>
    </xf>
    <xf numFmtId="178" fontId="0" fillId="0" borderId="1" xfId="1" applyNumberFormat="1" applyFont="1" applyBorder="1"/>
    <xf numFmtId="0" fontId="0" fillId="0" borderId="1" xfId="0" applyBorder="1" applyAlignment="1">
      <alignment horizontal="left" vertical="center" wrapText="1"/>
    </xf>
    <xf numFmtId="178" fontId="0" fillId="0" borderId="1" xfId="1" applyNumberFormat="1" applyFont="1" applyBorder="1" applyAlignment="1">
      <alignment horizontal="center" vertical="center"/>
    </xf>
    <xf numFmtId="178" fontId="0" fillId="2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8" fontId="2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78" fontId="2" fillId="0" borderId="1" xfId="0" applyNumberFormat="1" applyFont="1" applyBorder="1" applyAlignment="1">
      <alignment vertical="center"/>
    </xf>
    <xf numFmtId="178" fontId="2" fillId="2" borderId="1" xfId="1" applyNumberFormat="1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177" fontId="2" fillId="3" borderId="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178" fontId="2" fillId="0" borderId="2" xfId="0" applyNumberFormat="1" applyFont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178" fontId="0" fillId="0" borderId="2" xfId="1" applyNumberFormat="1" applyFont="1" applyBorder="1" applyAlignment="1">
      <alignment horizontal="center" vertical="center"/>
    </xf>
    <xf numFmtId="178" fontId="2" fillId="0" borderId="2" xfId="0" applyNumberFormat="1" applyFont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177" fontId="2" fillId="3" borderId="6" xfId="0" applyNumberFormat="1" applyFont="1" applyFill="1" applyBorder="1" applyAlignment="1">
      <alignment horizontal="center" vertical="center" wrapText="1"/>
    </xf>
    <xf numFmtId="177" fontId="2" fillId="3" borderId="7" xfId="0" applyNumberFormat="1" applyFont="1" applyFill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8" fontId="2" fillId="0" borderId="9" xfId="0" applyNumberFormat="1" applyFont="1" applyBorder="1" applyAlignment="1">
      <alignment horizontal="center" vertical="center"/>
    </xf>
    <xf numFmtId="178" fontId="2" fillId="0" borderId="10" xfId="0" applyNumberFormat="1" applyFont="1" applyBorder="1" applyAlignment="1">
      <alignment horizontal="center" vertical="center"/>
    </xf>
    <xf numFmtId="0" fontId="2" fillId="3" borderId="4" xfId="0" applyFont="1" applyFill="1" applyBorder="1" applyAlignment="1">
      <alignment vertical="center"/>
    </xf>
    <xf numFmtId="178" fontId="0" fillId="0" borderId="0" xfId="0" applyNumberFormat="1"/>
    <xf numFmtId="9" fontId="0" fillId="0" borderId="0" xfId="2" applyFont="1" applyAlignment="1"/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3">
    <cellStyle name="백분율" xfId="2" builtinId="5"/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'Thang 1'!$D$2:$D$3</c:f>
              <c:strCache>
                <c:ptCount val="2"/>
                <c:pt idx="0">
                  <c:v>3750 KVA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'Thang 1'!$C$4:$C$34</c:f>
              <c:numCache>
                <c:formatCode>m/d;@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'Thang 1'!$D$4:$D$34</c:f>
              <c:numCache>
                <c:formatCode>_(* #,##0_);_(* \(#,##0\);_(* "-"??_);_(@_)</c:formatCode>
                <c:ptCount val="31"/>
                <c:pt idx="0">
                  <c:v>39008.999999998196</c:v>
                </c:pt>
                <c:pt idx="1">
                  <c:v>45500.999999996566</c:v>
                </c:pt>
                <c:pt idx="2">
                  <c:v>46004.000000000815</c:v>
                </c:pt>
                <c:pt idx="3">
                  <c:v>46890.999999995984</c:v>
                </c:pt>
                <c:pt idx="4">
                  <c:v>46955.999999998312</c:v>
                </c:pt>
                <c:pt idx="5">
                  <c:v>46338.999999999942</c:v>
                </c:pt>
                <c:pt idx="6">
                  <c:v>41307.999999997264</c:v>
                </c:pt>
                <c:pt idx="7">
                  <c:v>43167.000000001281</c:v>
                </c:pt>
                <c:pt idx="8">
                  <c:v>34201.000000000931</c:v>
                </c:pt>
                <c:pt idx="9">
                  <c:v>28159.999999996217</c:v>
                </c:pt>
                <c:pt idx="10">
                  <c:v>43760.000000002037</c:v>
                </c:pt>
                <c:pt idx="11">
                  <c:v>36195.999999996275</c:v>
                </c:pt>
                <c:pt idx="12">
                  <c:v>41997.999999999593</c:v>
                </c:pt>
                <c:pt idx="13">
                  <c:v>33203.000000001339</c:v>
                </c:pt>
                <c:pt idx="14">
                  <c:v>35014.999999999418</c:v>
                </c:pt>
                <c:pt idx="15">
                  <c:v>27924.999999995634</c:v>
                </c:pt>
                <c:pt idx="16">
                  <c:v>33057.000000000698</c:v>
                </c:pt>
                <c:pt idx="17">
                  <c:v>28360.999999997148</c:v>
                </c:pt>
                <c:pt idx="18">
                  <c:v>43038.000000000466</c:v>
                </c:pt>
                <c:pt idx="19">
                  <c:v>28536.999999996624</c:v>
                </c:pt>
                <c:pt idx="20">
                  <c:v>36644.999999996799</c:v>
                </c:pt>
                <c:pt idx="21">
                  <c:v>40647.000000004482</c:v>
                </c:pt>
                <c:pt idx="22">
                  <c:v>42713.000000003376</c:v>
                </c:pt>
                <c:pt idx="23">
                  <c:v>46095.99999999773</c:v>
                </c:pt>
                <c:pt idx="24">
                  <c:v>44091.000000000349</c:v>
                </c:pt>
                <c:pt idx="25">
                  <c:v>43510.999999998603</c:v>
                </c:pt>
                <c:pt idx="26">
                  <c:v>41544.000000001688</c:v>
                </c:pt>
                <c:pt idx="27">
                  <c:v>37613.000000004831</c:v>
                </c:pt>
                <c:pt idx="28">
                  <c:v>40372.000000003027</c:v>
                </c:pt>
                <c:pt idx="29">
                  <c:v>43194.999999999709</c:v>
                </c:pt>
                <c:pt idx="30">
                  <c:v>33853.000000002794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3C-418D-89BD-8191900D04EF}"/>
            </c:ext>
          </c:extLst>
        </c:ser>
        <c:ser>
          <c:idx val="1"/>
          <c:order val="1"/>
          <c:tx>
            <c:strRef>
              <c:f>'Thang 1'!$E$2:$E$3</c:f>
              <c:strCache>
                <c:ptCount val="2"/>
                <c:pt idx="0">
                  <c:v>1250 KVA-1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'Thang 1'!$C$4:$C$34</c:f>
              <c:numCache>
                <c:formatCode>m/d;@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'Thang 1'!$E$4:$E$34</c:f>
              <c:numCache>
                <c:formatCode>_(* #,##0_);_(* \(#,##0\);_(* "-"??_);_(@_)</c:formatCode>
                <c:ptCount val="31"/>
                <c:pt idx="0">
                  <c:v>30538.879999998026</c:v>
                </c:pt>
                <c:pt idx="1">
                  <c:v>35347.199999999721</c:v>
                </c:pt>
                <c:pt idx="2">
                  <c:v>35596.799999999348</c:v>
                </c:pt>
                <c:pt idx="3">
                  <c:v>35687.679999999236</c:v>
                </c:pt>
                <c:pt idx="4">
                  <c:v>36071.040000000503</c:v>
                </c:pt>
                <c:pt idx="5">
                  <c:v>35913.600000001024</c:v>
                </c:pt>
                <c:pt idx="6">
                  <c:v>37495.679999999702</c:v>
                </c:pt>
                <c:pt idx="7">
                  <c:v>35639.679999998771</c:v>
                </c:pt>
                <c:pt idx="8">
                  <c:v>35431.680000000633</c:v>
                </c:pt>
                <c:pt idx="9">
                  <c:v>35503.999999999069</c:v>
                </c:pt>
                <c:pt idx="10">
                  <c:v>34444.799999999814</c:v>
                </c:pt>
                <c:pt idx="11">
                  <c:v>35420.160000000615</c:v>
                </c:pt>
                <c:pt idx="12">
                  <c:v>34491.520000000019</c:v>
                </c:pt>
                <c:pt idx="13">
                  <c:v>32356.480000000447</c:v>
                </c:pt>
                <c:pt idx="14">
                  <c:v>36148.479999999981</c:v>
                </c:pt>
                <c:pt idx="15">
                  <c:v>35332.480000001378</c:v>
                </c:pt>
                <c:pt idx="16">
                  <c:v>35827.200000002049</c:v>
                </c:pt>
                <c:pt idx="17">
                  <c:v>35376.000000000931</c:v>
                </c:pt>
                <c:pt idx="18">
                  <c:v>36172.800000000279</c:v>
                </c:pt>
                <c:pt idx="19">
                  <c:v>35579.520000000484</c:v>
                </c:pt>
                <c:pt idx="20">
                  <c:v>34572.160000000149</c:v>
                </c:pt>
                <c:pt idx="21">
                  <c:v>35937.919999998994</c:v>
                </c:pt>
                <c:pt idx="22">
                  <c:v>37413.759999999311</c:v>
                </c:pt>
                <c:pt idx="23">
                  <c:v>37932.800000000279</c:v>
                </c:pt>
                <c:pt idx="24">
                  <c:v>36484.479999998584</c:v>
                </c:pt>
                <c:pt idx="25">
                  <c:v>34915.840000000317</c:v>
                </c:pt>
                <c:pt idx="26">
                  <c:v>35307.519999998622</c:v>
                </c:pt>
                <c:pt idx="27">
                  <c:v>25151.999999999534</c:v>
                </c:pt>
                <c:pt idx="28">
                  <c:v>32571.520000000019</c:v>
                </c:pt>
                <c:pt idx="29">
                  <c:v>35247.360000000335</c:v>
                </c:pt>
                <c:pt idx="30">
                  <c:v>28719.360000002198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3C-418D-89BD-8191900D04EF}"/>
            </c:ext>
          </c:extLst>
        </c:ser>
        <c:ser>
          <c:idx val="2"/>
          <c:order val="2"/>
          <c:tx>
            <c:strRef>
              <c:f>'Thang 1'!$F$2:$F$3</c:f>
              <c:strCache>
                <c:ptCount val="2"/>
                <c:pt idx="0">
                  <c:v>2500 KVA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'Thang 1'!$C$4:$C$34</c:f>
              <c:numCache>
                <c:formatCode>m/d;@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'Thang 1'!$F$4:$F$34</c:f>
              <c:numCache>
                <c:formatCode>_(* #,##0_);_(* \(#,##0\);_(* "-"??_);_(@_)</c:formatCode>
                <c:ptCount val="31"/>
                <c:pt idx="0">
                  <c:v>13826.399999999558</c:v>
                </c:pt>
                <c:pt idx="1">
                  <c:v>17764.79999999865</c:v>
                </c:pt>
                <c:pt idx="2">
                  <c:v>18065.200000000186</c:v>
                </c:pt>
                <c:pt idx="3">
                  <c:v>17244.800000000396</c:v>
                </c:pt>
                <c:pt idx="4">
                  <c:v>17932.799999997951</c:v>
                </c:pt>
                <c:pt idx="5">
                  <c:v>17957.600000000093</c:v>
                </c:pt>
                <c:pt idx="6">
                  <c:v>17290.400000000955</c:v>
                </c:pt>
                <c:pt idx="7">
                  <c:v>17475.200000000768</c:v>
                </c:pt>
                <c:pt idx="8">
                  <c:v>18224.400000000605</c:v>
                </c:pt>
                <c:pt idx="9">
                  <c:v>18280.799999998999</c:v>
                </c:pt>
                <c:pt idx="10">
                  <c:v>18706.79999999993</c:v>
                </c:pt>
                <c:pt idx="11">
                  <c:v>18448.000000001048</c:v>
                </c:pt>
                <c:pt idx="12">
                  <c:v>18597.599999999511</c:v>
                </c:pt>
                <c:pt idx="13">
                  <c:v>13858.400000000256</c:v>
                </c:pt>
                <c:pt idx="14">
                  <c:v>15518.799999999464</c:v>
                </c:pt>
                <c:pt idx="15">
                  <c:v>16533.600000001024</c:v>
                </c:pt>
                <c:pt idx="16">
                  <c:v>17500</c:v>
                </c:pt>
                <c:pt idx="17">
                  <c:v>17664.400000000023</c:v>
                </c:pt>
                <c:pt idx="18">
                  <c:v>17324.000000001979</c:v>
                </c:pt>
                <c:pt idx="19">
                  <c:v>17795.999999999185</c:v>
                </c:pt>
                <c:pt idx="20">
                  <c:v>16302.800000002026</c:v>
                </c:pt>
                <c:pt idx="21">
                  <c:v>17253.200000000652</c:v>
                </c:pt>
                <c:pt idx="22">
                  <c:v>17118.400000000838</c:v>
                </c:pt>
                <c:pt idx="23">
                  <c:v>17613.59999999986</c:v>
                </c:pt>
                <c:pt idx="24">
                  <c:v>15755.999999999767</c:v>
                </c:pt>
                <c:pt idx="25">
                  <c:v>15314.400000000023</c:v>
                </c:pt>
                <c:pt idx="26">
                  <c:v>15352.000000001863</c:v>
                </c:pt>
                <c:pt idx="27">
                  <c:v>12821.199999999953</c:v>
                </c:pt>
                <c:pt idx="28">
                  <c:v>15398.7999999983</c:v>
                </c:pt>
                <c:pt idx="29">
                  <c:v>17473.600000000442</c:v>
                </c:pt>
                <c:pt idx="30">
                  <c:v>14673.600000000442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3C-418D-89BD-8191900D04EF}"/>
            </c:ext>
          </c:extLst>
        </c:ser>
        <c:ser>
          <c:idx val="3"/>
          <c:order val="3"/>
          <c:tx>
            <c:strRef>
              <c:f>'Thang 1'!$G$2:$G$3</c:f>
              <c:strCache>
                <c:ptCount val="2"/>
                <c:pt idx="0">
                  <c:v>1250 KVA-2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'Thang 1'!$C$4:$C$34</c:f>
              <c:numCache>
                <c:formatCode>m/d;@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'Thang 1'!$G$4:$G$34</c:f>
              <c:numCache>
                <c:formatCode>_(* #,##0_);_(* \(#,##0\);_(* "-"??_);_(@_)</c:formatCode>
                <c:ptCount val="31"/>
                <c:pt idx="0">
                  <c:v>9956.0999999999694</c:v>
                </c:pt>
                <c:pt idx="1">
                  <c:v>11426.399999999921</c:v>
                </c:pt>
                <c:pt idx="2">
                  <c:v>11968.800000000192</c:v>
                </c:pt>
                <c:pt idx="3">
                  <c:v>11836.199999999917</c:v>
                </c:pt>
                <c:pt idx="4">
                  <c:v>11526.000000000022</c:v>
                </c:pt>
                <c:pt idx="5">
                  <c:v>10755.000000000109</c:v>
                </c:pt>
                <c:pt idx="6">
                  <c:v>11255.70000000007</c:v>
                </c:pt>
                <c:pt idx="7">
                  <c:v>10989.899999999943</c:v>
                </c:pt>
                <c:pt idx="8">
                  <c:v>11439.899999999943</c:v>
                </c:pt>
                <c:pt idx="9">
                  <c:v>11598.899999999594</c:v>
                </c:pt>
                <c:pt idx="10">
                  <c:v>10848.300000000017</c:v>
                </c:pt>
                <c:pt idx="11">
                  <c:v>10723.799999999756</c:v>
                </c:pt>
                <c:pt idx="12">
                  <c:v>12071.700000000419</c:v>
                </c:pt>
                <c:pt idx="13">
                  <c:v>10600.200000000223</c:v>
                </c:pt>
                <c:pt idx="14">
                  <c:v>10753.199999999742</c:v>
                </c:pt>
                <c:pt idx="15">
                  <c:v>11474.699999999939</c:v>
                </c:pt>
                <c:pt idx="16">
                  <c:v>11428.499999999804</c:v>
                </c:pt>
                <c:pt idx="17">
                  <c:v>11570.699999999852</c:v>
                </c:pt>
                <c:pt idx="18">
                  <c:v>11272.499999999673</c:v>
                </c:pt>
                <c:pt idx="19">
                  <c:v>11132.099999999991</c:v>
                </c:pt>
                <c:pt idx="20">
                  <c:v>9577.8000000003885</c:v>
                </c:pt>
                <c:pt idx="21">
                  <c:v>10255.800000000454</c:v>
                </c:pt>
                <c:pt idx="22">
                  <c:v>11105.099999999948</c:v>
                </c:pt>
                <c:pt idx="23">
                  <c:v>10326.899999999659</c:v>
                </c:pt>
                <c:pt idx="24">
                  <c:v>10295.100000000275</c:v>
                </c:pt>
                <c:pt idx="25">
                  <c:v>11502.600000000166</c:v>
                </c:pt>
                <c:pt idx="26">
                  <c:v>11781.300000000192</c:v>
                </c:pt>
                <c:pt idx="27">
                  <c:v>8191.5000000000873</c:v>
                </c:pt>
                <c:pt idx="28">
                  <c:v>8897.3999999998341</c:v>
                </c:pt>
                <c:pt idx="29">
                  <c:v>11601.000000000022</c:v>
                </c:pt>
                <c:pt idx="30">
                  <c:v>10337.699999999677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3C-418D-89BD-8191900D04EF}"/>
            </c:ext>
          </c:extLst>
        </c:ser>
        <c:ser>
          <c:idx val="4"/>
          <c:order val="4"/>
          <c:tx>
            <c:strRef>
              <c:f>'Thang 1'!$H$2:$H$3</c:f>
              <c:strCache>
                <c:ptCount val="2"/>
                <c:pt idx="0">
                  <c:v>1250 KVA-3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'Thang 1'!$C$4:$C$34</c:f>
              <c:numCache>
                <c:formatCode>m/d;@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'Thang 1'!$H$4:$H$34</c:f>
              <c:numCache>
                <c:formatCode>_(* #,##0_);_(* \(#,##0\);_(* "-"??_);_(@_)</c:formatCode>
                <c:ptCount val="31"/>
                <c:pt idx="0">
                  <c:v>12776.699999999983</c:v>
                </c:pt>
                <c:pt idx="1">
                  <c:v>14452.499999999782</c:v>
                </c:pt>
                <c:pt idx="2">
                  <c:v>14861.699999999109</c:v>
                </c:pt>
                <c:pt idx="3">
                  <c:v>14552.699999999459</c:v>
                </c:pt>
                <c:pt idx="4">
                  <c:v>14661.599999999817</c:v>
                </c:pt>
                <c:pt idx="5">
                  <c:v>14458.799999999974</c:v>
                </c:pt>
                <c:pt idx="6">
                  <c:v>13710.300000000279</c:v>
                </c:pt>
                <c:pt idx="7">
                  <c:v>12783.000000000175</c:v>
                </c:pt>
                <c:pt idx="8">
                  <c:v>14246.699999999328</c:v>
                </c:pt>
                <c:pt idx="9">
                  <c:v>13241.099999999642</c:v>
                </c:pt>
                <c:pt idx="10">
                  <c:v>13926.000000000568</c:v>
                </c:pt>
                <c:pt idx="11">
                  <c:v>14301.900000000751</c:v>
                </c:pt>
                <c:pt idx="12">
                  <c:v>14006.399999999485</c:v>
                </c:pt>
                <c:pt idx="13">
                  <c:v>10847.099999999773</c:v>
                </c:pt>
                <c:pt idx="14">
                  <c:v>13431.900000000314</c:v>
                </c:pt>
                <c:pt idx="15">
                  <c:v>14459.700000000157</c:v>
                </c:pt>
                <c:pt idx="16">
                  <c:v>13981.199999999808</c:v>
                </c:pt>
                <c:pt idx="17">
                  <c:v>14620.799999999144</c:v>
                </c:pt>
                <c:pt idx="18">
                  <c:v>14432.700000000114</c:v>
                </c:pt>
                <c:pt idx="19">
                  <c:v>14105.099999999948</c:v>
                </c:pt>
                <c:pt idx="20">
                  <c:v>13930.19999999924</c:v>
                </c:pt>
                <c:pt idx="21">
                  <c:v>13427.400000000489</c:v>
                </c:pt>
                <c:pt idx="22">
                  <c:v>13920.299999999406</c:v>
                </c:pt>
                <c:pt idx="23">
                  <c:v>14728.500000000349</c:v>
                </c:pt>
                <c:pt idx="24">
                  <c:v>14295.90000000062</c:v>
                </c:pt>
                <c:pt idx="25">
                  <c:v>14445.300000000498</c:v>
                </c:pt>
                <c:pt idx="26">
                  <c:v>13825.499999999738</c:v>
                </c:pt>
                <c:pt idx="27">
                  <c:v>9682.2000000003754</c:v>
                </c:pt>
                <c:pt idx="28">
                  <c:v>12584.999999999127</c:v>
                </c:pt>
                <c:pt idx="29">
                  <c:v>14853.299999999581</c:v>
                </c:pt>
                <c:pt idx="30">
                  <c:v>10797.599999999511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03C-418D-89BD-8191900D04EF}"/>
            </c:ext>
          </c:extLst>
        </c:ser>
        <c:ser>
          <c:idx val="5"/>
          <c:order val="5"/>
          <c:tx>
            <c:strRef>
              <c:f>'Thang 1'!$I$2:$I$3</c:f>
              <c:strCache>
                <c:ptCount val="2"/>
                <c:pt idx="0">
                  <c:v>Total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'Thang 1'!$C$4:$C$34</c:f>
              <c:numCache>
                <c:formatCode>m/d;@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'Thang 1'!$I$4:$I$34</c:f>
              <c:numCache>
                <c:formatCode>_(* #,##0_);_(* \(#,##0\);_(* "-"??_);_(@_)</c:formatCode>
                <c:ptCount val="31"/>
                <c:pt idx="0">
                  <c:v>106107.07999999574</c:v>
                </c:pt>
                <c:pt idx="1">
                  <c:v>124491.89999999464</c:v>
                </c:pt>
                <c:pt idx="2">
                  <c:v>126496.49999999965</c:v>
                </c:pt>
                <c:pt idx="3">
                  <c:v>126212.379999995</c:v>
                </c:pt>
                <c:pt idx="4">
                  <c:v>127147.43999999661</c:v>
                </c:pt>
                <c:pt idx="5">
                  <c:v>125424.00000000115</c:v>
                </c:pt>
                <c:pt idx="6">
                  <c:v>121060.07999999827</c:v>
                </c:pt>
                <c:pt idx="7">
                  <c:v>120054.78000000093</c:v>
                </c:pt>
                <c:pt idx="8">
                  <c:v>113543.68000000143</c:v>
                </c:pt>
                <c:pt idx="9">
                  <c:v>106784.79999999351</c:v>
                </c:pt>
                <c:pt idx="10">
                  <c:v>121685.90000000237</c:v>
                </c:pt>
                <c:pt idx="11">
                  <c:v>115089.85999999844</c:v>
                </c:pt>
                <c:pt idx="12">
                  <c:v>121165.21999999903</c:v>
                </c:pt>
                <c:pt idx="13">
                  <c:v>100865.18000000203</c:v>
                </c:pt>
                <c:pt idx="14">
                  <c:v>110867.37999999893</c:v>
                </c:pt>
                <c:pt idx="15">
                  <c:v>105725.47999999813</c:v>
                </c:pt>
                <c:pt idx="16">
                  <c:v>111793.90000000235</c:v>
                </c:pt>
                <c:pt idx="17">
                  <c:v>107592.8999999971</c:v>
                </c:pt>
                <c:pt idx="18">
                  <c:v>122240.00000000252</c:v>
                </c:pt>
                <c:pt idx="19">
                  <c:v>107149.71999999623</c:v>
                </c:pt>
                <c:pt idx="20">
                  <c:v>111027.95999999861</c:v>
                </c:pt>
                <c:pt idx="21">
                  <c:v>117521.32000000507</c:v>
                </c:pt>
                <c:pt idx="22">
                  <c:v>122270.56000000288</c:v>
                </c:pt>
                <c:pt idx="23">
                  <c:v>126697.79999999788</c:v>
                </c:pt>
                <c:pt idx="24">
                  <c:v>120922.47999999959</c:v>
                </c:pt>
                <c:pt idx="25">
                  <c:v>119689.13999999961</c:v>
                </c:pt>
                <c:pt idx="26">
                  <c:v>117810.3200000021</c:v>
                </c:pt>
                <c:pt idx="27">
                  <c:v>93459.900000004782</c:v>
                </c:pt>
                <c:pt idx="28">
                  <c:v>109824.72000000031</c:v>
                </c:pt>
                <c:pt idx="29">
                  <c:v>122370.2600000001</c:v>
                </c:pt>
                <c:pt idx="30">
                  <c:v>98381.260000004622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3C-418D-89BD-8191900D0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736840"/>
        <c:axId val="524139376"/>
      </c:lineChart>
      <c:dateAx>
        <c:axId val="526736840"/>
        <c:scaling>
          <c:orientation val="minMax"/>
        </c:scaling>
        <c:delete val="0"/>
        <c:axPos val="b"/>
        <c:numFmt formatCode="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4139376"/>
        <c:crosses val="autoZero"/>
        <c:auto val="1"/>
        <c:lblOffset val="100"/>
        <c:baseTimeUnit val="days"/>
      </c:dateAx>
      <c:valAx>
        <c:axId val="52413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6736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'Thang 2'!$D$2:$D$3</c:f>
              <c:strCache>
                <c:ptCount val="2"/>
                <c:pt idx="0">
                  <c:v>3750 KVA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'Thang 2'!$C$4:$C$34</c:f>
              <c:numCache>
                <c:formatCode>m/d;@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'Thang 2'!$D$4:$D$34</c:f>
              <c:numCache>
                <c:formatCode>_(* #,##0_);_(* \(#,##0\);_(* "-"??_);_(@_)</c:formatCode>
                <c:ptCount val="31"/>
                <c:pt idx="0">
                  <c:v>39010.999999998603</c:v>
                </c:pt>
                <c:pt idx="1">
                  <c:v>38216.999999996915</c:v>
                </c:pt>
                <c:pt idx="2">
                  <c:v>42921.000000002095</c:v>
                </c:pt>
                <c:pt idx="3">
                  <c:v>43370.000000002619</c:v>
                </c:pt>
                <c:pt idx="4">
                  <c:v>41341.000000000349</c:v>
                </c:pt>
                <c:pt idx="5">
                  <c:v>41203.000000001339</c:v>
                </c:pt>
                <c:pt idx="6">
                  <c:v>41926.999999996042</c:v>
                </c:pt>
                <c:pt idx="7">
                  <c:v>41097.000000001572</c:v>
                </c:pt>
                <c:pt idx="8">
                  <c:v>38826.000000000931</c:v>
                </c:pt>
                <c:pt idx="9">
                  <c:v>37690.999999998894</c:v>
                </c:pt>
                <c:pt idx="10">
                  <c:v>39968.000000000757</c:v>
                </c:pt>
                <c:pt idx="11">
                  <c:v>23489.000000001397</c:v>
                </c:pt>
                <c:pt idx="12">
                  <c:v>14000</c:v>
                </c:pt>
                <c:pt idx="13">
                  <c:v>4658.000000003085</c:v>
                </c:pt>
                <c:pt idx="14">
                  <c:v>4452.000000004773</c:v>
                </c:pt>
                <c:pt idx="15">
                  <c:v>4411.0000000000582</c:v>
                </c:pt>
                <c:pt idx="16">
                  <c:v>4220.9999999977299</c:v>
                </c:pt>
                <c:pt idx="17">
                  <c:v>4512.0000000024447</c:v>
                </c:pt>
                <c:pt idx="18">
                  <c:v>4486.0000000044238</c:v>
                </c:pt>
                <c:pt idx="19">
                  <c:v>4533.9999999996508</c:v>
                </c:pt>
                <c:pt idx="20">
                  <c:v>7604.9999999959255</c:v>
                </c:pt>
                <c:pt idx="21">
                  <c:v>16521.999999997206</c:v>
                </c:pt>
                <c:pt idx="22">
                  <c:v>37290.000000000873</c:v>
                </c:pt>
                <c:pt idx="23">
                  <c:v>46188.000000001921</c:v>
                </c:pt>
                <c:pt idx="24">
                  <c:v>45941.99999999546</c:v>
                </c:pt>
                <c:pt idx="25">
                  <c:v>46061.000000001513</c:v>
                </c:pt>
                <c:pt idx="26">
                  <c:v>45432.999999997264</c:v>
                </c:pt>
                <c:pt idx="27">
                  <c:v>46027.000000001863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63-4490-81E3-F7A42B219DB8}"/>
            </c:ext>
          </c:extLst>
        </c:ser>
        <c:ser>
          <c:idx val="1"/>
          <c:order val="1"/>
          <c:tx>
            <c:strRef>
              <c:f>'Thang 2'!$E$2:$E$3</c:f>
              <c:strCache>
                <c:ptCount val="2"/>
                <c:pt idx="0">
                  <c:v>1250 KVA-1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'Thang 2'!$C$4:$C$34</c:f>
              <c:numCache>
                <c:formatCode>m/d;@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'Thang 2'!$E$4:$E$34</c:f>
              <c:numCache>
                <c:formatCode>_(* #,##0_);_(* \(#,##0\);_(* "-"??_);_(@_)</c:formatCode>
                <c:ptCount val="31"/>
                <c:pt idx="0">
                  <c:v>32424.320000000298</c:v>
                </c:pt>
                <c:pt idx="1">
                  <c:v>31653.760000001639</c:v>
                </c:pt>
                <c:pt idx="2">
                  <c:v>34335.999999998603</c:v>
                </c:pt>
                <c:pt idx="3">
                  <c:v>35376.000000000931</c:v>
                </c:pt>
                <c:pt idx="4">
                  <c:v>35301.119999999646</c:v>
                </c:pt>
                <c:pt idx="5">
                  <c:v>35939.839999999385</c:v>
                </c:pt>
                <c:pt idx="6">
                  <c:v>38176.639999998733</c:v>
                </c:pt>
                <c:pt idx="7">
                  <c:v>35031.039999998175</c:v>
                </c:pt>
                <c:pt idx="8">
                  <c:v>34568.319999999367</c:v>
                </c:pt>
                <c:pt idx="9">
                  <c:v>37197.439999999478</c:v>
                </c:pt>
                <c:pt idx="10">
                  <c:v>37268.479999999981</c:v>
                </c:pt>
                <c:pt idx="11">
                  <c:v>30314.880000001285</c:v>
                </c:pt>
                <c:pt idx="12">
                  <c:v>13280.64000000013</c:v>
                </c:pt>
                <c:pt idx="13">
                  <c:v>6152.9599999985658</c:v>
                </c:pt>
                <c:pt idx="14">
                  <c:v>5831.0399999981746</c:v>
                </c:pt>
                <c:pt idx="15">
                  <c:v>6042.8799999994226</c:v>
                </c:pt>
                <c:pt idx="16">
                  <c:v>6059.5200000004843</c:v>
                </c:pt>
                <c:pt idx="17">
                  <c:v>5808.640000000596</c:v>
                </c:pt>
                <c:pt idx="18">
                  <c:v>5772.160000000149</c:v>
                </c:pt>
                <c:pt idx="19">
                  <c:v>5866.2400000006892</c:v>
                </c:pt>
                <c:pt idx="20">
                  <c:v>6079.3599999998696</c:v>
                </c:pt>
                <c:pt idx="21">
                  <c:v>13791.999999999534</c:v>
                </c:pt>
                <c:pt idx="22">
                  <c:v>26583.040000000037</c:v>
                </c:pt>
                <c:pt idx="23">
                  <c:v>33264.639999999199</c:v>
                </c:pt>
                <c:pt idx="24">
                  <c:v>35201.920000000391</c:v>
                </c:pt>
                <c:pt idx="25">
                  <c:v>35095.679999999702</c:v>
                </c:pt>
                <c:pt idx="26">
                  <c:v>36382.719999998808</c:v>
                </c:pt>
                <c:pt idx="27">
                  <c:v>34610.560000000987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63-4490-81E3-F7A42B219DB8}"/>
            </c:ext>
          </c:extLst>
        </c:ser>
        <c:ser>
          <c:idx val="2"/>
          <c:order val="2"/>
          <c:tx>
            <c:strRef>
              <c:f>'Thang 2'!$F$2:$F$3</c:f>
              <c:strCache>
                <c:ptCount val="2"/>
                <c:pt idx="0">
                  <c:v>2500 KVA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'Thang 2'!$C$4:$C$34</c:f>
              <c:numCache>
                <c:formatCode>m/d;@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'Thang 2'!$F$4:$F$34</c:f>
              <c:numCache>
                <c:formatCode>_(* #,##0_);_(* \(#,##0\);_(* "-"??_);_(@_)</c:formatCode>
                <c:ptCount val="31"/>
                <c:pt idx="0">
                  <c:v>14092.399999999907</c:v>
                </c:pt>
                <c:pt idx="1">
                  <c:v>14603.199999997742</c:v>
                </c:pt>
                <c:pt idx="2">
                  <c:v>15597.200000000885</c:v>
                </c:pt>
                <c:pt idx="3">
                  <c:v>15278.39999999851</c:v>
                </c:pt>
                <c:pt idx="4">
                  <c:v>15133.600000001024</c:v>
                </c:pt>
                <c:pt idx="5">
                  <c:v>16404.800000000978</c:v>
                </c:pt>
                <c:pt idx="6">
                  <c:v>17518.799999999464</c:v>
                </c:pt>
                <c:pt idx="7">
                  <c:v>14895.599999997648</c:v>
                </c:pt>
                <c:pt idx="8">
                  <c:v>14775.999999998021</c:v>
                </c:pt>
                <c:pt idx="9">
                  <c:v>16297.200000000885</c:v>
                </c:pt>
                <c:pt idx="10">
                  <c:v>17277.199999999721</c:v>
                </c:pt>
                <c:pt idx="11">
                  <c:v>16606.399999998393</c:v>
                </c:pt>
                <c:pt idx="12">
                  <c:v>10154.800000000978</c:v>
                </c:pt>
                <c:pt idx="13">
                  <c:v>2560.8000000007451</c:v>
                </c:pt>
                <c:pt idx="14">
                  <c:v>3492.3999999999069</c:v>
                </c:pt>
                <c:pt idx="15">
                  <c:v>2629.6000000002095</c:v>
                </c:pt>
                <c:pt idx="16">
                  <c:v>1847.9999999981374</c:v>
                </c:pt>
                <c:pt idx="17">
                  <c:v>2921.1999999999534</c:v>
                </c:pt>
                <c:pt idx="18">
                  <c:v>3498.4000000025844</c:v>
                </c:pt>
                <c:pt idx="19">
                  <c:v>3212.8000000026077</c:v>
                </c:pt>
                <c:pt idx="20">
                  <c:v>3595.9999999991851</c:v>
                </c:pt>
                <c:pt idx="21">
                  <c:v>5396.0000000020955</c:v>
                </c:pt>
                <c:pt idx="22">
                  <c:v>15472.400000001653</c:v>
                </c:pt>
                <c:pt idx="23">
                  <c:v>17209.200000000419</c:v>
                </c:pt>
                <c:pt idx="24">
                  <c:v>17658.799999998882</c:v>
                </c:pt>
                <c:pt idx="25">
                  <c:v>17531.600000002072</c:v>
                </c:pt>
                <c:pt idx="26">
                  <c:v>17588.399999999092</c:v>
                </c:pt>
                <c:pt idx="27">
                  <c:v>18399.599999998463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63-4490-81E3-F7A42B219DB8}"/>
            </c:ext>
          </c:extLst>
        </c:ser>
        <c:ser>
          <c:idx val="3"/>
          <c:order val="3"/>
          <c:tx>
            <c:strRef>
              <c:f>'Thang 2'!$G$2:$G$3</c:f>
              <c:strCache>
                <c:ptCount val="2"/>
                <c:pt idx="0">
                  <c:v>1250 KVA-2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'Thang 2'!$C$4:$C$34</c:f>
              <c:numCache>
                <c:formatCode>m/d;@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'Thang 2'!$G$4:$G$34</c:f>
              <c:numCache>
                <c:formatCode>_(* #,##0_);_(* \(#,##0\);_(* "-"??_);_(@_)</c:formatCode>
                <c:ptCount val="31"/>
                <c:pt idx="0">
                  <c:v>10299.000000000524</c:v>
                </c:pt>
                <c:pt idx="1">
                  <c:v>9828.6000000007334</c:v>
                </c:pt>
                <c:pt idx="2">
                  <c:v>10548.90000000014</c:v>
                </c:pt>
                <c:pt idx="3">
                  <c:v>11307.89999999979</c:v>
                </c:pt>
                <c:pt idx="4">
                  <c:v>10674.000000000524</c:v>
                </c:pt>
                <c:pt idx="5">
                  <c:v>10677.000000000044</c:v>
                </c:pt>
                <c:pt idx="6">
                  <c:v>12173.700000000463</c:v>
                </c:pt>
                <c:pt idx="7">
                  <c:v>11479.799999999886</c:v>
                </c:pt>
                <c:pt idx="8">
                  <c:v>12252.300000000105</c:v>
                </c:pt>
                <c:pt idx="9">
                  <c:v>13152.000000000044</c:v>
                </c:pt>
                <c:pt idx="10">
                  <c:v>12682.800000000498</c:v>
                </c:pt>
                <c:pt idx="11">
                  <c:v>9201.5999999995984</c:v>
                </c:pt>
                <c:pt idx="12">
                  <c:v>4852.7999999998428</c:v>
                </c:pt>
                <c:pt idx="13">
                  <c:v>4201.8000000003667</c:v>
                </c:pt>
                <c:pt idx="14">
                  <c:v>4112.6999999996769</c:v>
                </c:pt>
                <c:pt idx="15">
                  <c:v>4106.699999999546</c:v>
                </c:pt>
                <c:pt idx="16">
                  <c:v>4123.4999999996944</c:v>
                </c:pt>
                <c:pt idx="17">
                  <c:v>4141.8000000001484</c:v>
                </c:pt>
                <c:pt idx="18">
                  <c:v>4145.3999999997905</c:v>
                </c:pt>
                <c:pt idx="19">
                  <c:v>4139.1000000006898</c:v>
                </c:pt>
                <c:pt idx="20">
                  <c:v>4149.0000000005239</c:v>
                </c:pt>
                <c:pt idx="21">
                  <c:v>5106.3000000001921</c:v>
                </c:pt>
                <c:pt idx="22">
                  <c:v>8164.8000000001048</c:v>
                </c:pt>
                <c:pt idx="23">
                  <c:v>10138.799999999537</c:v>
                </c:pt>
                <c:pt idx="24">
                  <c:v>10940.999999999258</c:v>
                </c:pt>
                <c:pt idx="25">
                  <c:v>11703.899999999703</c:v>
                </c:pt>
                <c:pt idx="26">
                  <c:v>11859.600000000864</c:v>
                </c:pt>
                <c:pt idx="27">
                  <c:v>11304.60000000021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63-4490-81E3-F7A42B219DB8}"/>
            </c:ext>
          </c:extLst>
        </c:ser>
        <c:ser>
          <c:idx val="4"/>
          <c:order val="4"/>
          <c:tx>
            <c:strRef>
              <c:f>'Thang 2'!$H$2:$H$3</c:f>
              <c:strCache>
                <c:ptCount val="2"/>
                <c:pt idx="0">
                  <c:v>1250 KVA-3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'Thang 2'!$C$4:$C$34</c:f>
              <c:numCache>
                <c:formatCode>m/d;@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'Thang 2'!$H$4:$H$34</c:f>
              <c:numCache>
                <c:formatCode>_(* #,##0_);_(* \(#,##0\);_(* "-"??_);_(@_)</c:formatCode>
                <c:ptCount val="31"/>
                <c:pt idx="0">
                  <c:v>11410.499999999956</c:v>
                </c:pt>
                <c:pt idx="1">
                  <c:v>12277.200000000812</c:v>
                </c:pt>
                <c:pt idx="2">
                  <c:v>13044.29999999993</c:v>
                </c:pt>
                <c:pt idx="3">
                  <c:v>12434.100000000035</c:v>
                </c:pt>
                <c:pt idx="4">
                  <c:v>12411.899999999878</c:v>
                </c:pt>
                <c:pt idx="5">
                  <c:v>13959.599999999773</c:v>
                </c:pt>
                <c:pt idx="6">
                  <c:v>13968.599999999424</c:v>
                </c:pt>
                <c:pt idx="7">
                  <c:v>10699.200000000201</c:v>
                </c:pt>
                <c:pt idx="8">
                  <c:v>13207.800000000498</c:v>
                </c:pt>
                <c:pt idx="9">
                  <c:v>13131.899999999223</c:v>
                </c:pt>
                <c:pt idx="10">
                  <c:v>15368.999999999869</c:v>
                </c:pt>
                <c:pt idx="11">
                  <c:v>10775.699999999415</c:v>
                </c:pt>
                <c:pt idx="12">
                  <c:v>3853.8000000004104</c:v>
                </c:pt>
                <c:pt idx="13">
                  <c:v>616.20000000002619</c:v>
                </c:pt>
                <c:pt idx="14">
                  <c:v>30.599999999685679</c:v>
                </c:pt>
                <c:pt idx="15">
                  <c:v>28.200000000288128</c:v>
                </c:pt>
                <c:pt idx="16">
                  <c:v>28.500000000349246</c:v>
                </c:pt>
                <c:pt idx="17">
                  <c:v>28.800000000410364</c:v>
                </c:pt>
                <c:pt idx="18">
                  <c:v>29.099999999380088</c:v>
                </c:pt>
                <c:pt idx="19">
                  <c:v>28.800000000410364</c:v>
                </c:pt>
                <c:pt idx="20">
                  <c:v>2356.2000000008993</c:v>
                </c:pt>
                <c:pt idx="21">
                  <c:v>4866.8999999994412</c:v>
                </c:pt>
                <c:pt idx="22">
                  <c:v>10045.499999999083</c:v>
                </c:pt>
                <c:pt idx="23">
                  <c:v>11973.600000000079</c:v>
                </c:pt>
                <c:pt idx="24">
                  <c:v>12064.500000000044</c:v>
                </c:pt>
                <c:pt idx="25">
                  <c:v>12864.900000000489</c:v>
                </c:pt>
                <c:pt idx="26">
                  <c:v>13884.899999999834</c:v>
                </c:pt>
                <c:pt idx="27">
                  <c:v>12111.599999999817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63-4490-81E3-F7A42B219DB8}"/>
            </c:ext>
          </c:extLst>
        </c:ser>
        <c:ser>
          <c:idx val="5"/>
          <c:order val="5"/>
          <c:tx>
            <c:strRef>
              <c:f>'Thang 2'!$I$2:$I$3</c:f>
              <c:strCache>
                <c:ptCount val="2"/>
                <c:pt idx="0">
                  <c:v>Total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'Thang 2'!$C$4:$C$34</c:f>
              <c:numCache>
                <c:formatCode>m/d;@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'Thang 2'!$I$4:$I$34</c:f>
              <c:numCache>
                <c:formatCode>_(* #,##0_);_(* \(#,##0\);_(* "-"??_);_(@_)</c:formatCode>
                <c:ptCount val="31"/>
                <c:pt idx="0">
                  <c:v>107237.21999999929</c:v>
                </c:pt>
                <c:pt idx="1">
                  <c:v>106579.75999999784</c:v>
                </c:pt>
                <c:pt idx="2">
                  <c:v>116447.40000000165</c:v>
                </c:pt>
                <c:pt idx="3">
                  <c:v>117766.40000000189</c:v>
                </c:pt>
                <c:pt idx="4">
                  <c:v>114861.62000000142</c:v>
                </c:pt>
                <c:pt idx="5">
                  <c:v>118184.24000000152</c:v>
                </c:pt>
                <c:pt idx="6">
                  <c:v>123764.73999999413</c:v>
                </c:pt>
                <c:pt idx="7">
                  <c:v>113202.63999999748</c:v>
                </c:pt>
                <c:pt idx="8">
                  <c:v>113630.41999999892</c:v>
                </c:pt>
                <c:pt idx="9">
                  <c:v>117469.53999999852</c:v>
                </c:pt>
                <c:pt idx="10">
                  <c:v>122565.48000000083</c:v>
                </c:pt>
                <c:pt idx="11">
                  <c:v>90387.580000000089</c:v>
                </c:pt>
                <c:pt idx="12">
                  <c:v>46142.040000001361</c:v>
                </c:pt>
                <c:pt idx="13">
                  <c:v>18189.760000002789</c:v>
                </c:pt>
                <c:pt idx="14">
                  <c:v>17918.740000002217</c:v>
                </c:pt>
                <c:pt idx="15">
                  <c:v>17218.379999999524</c:v>
                </c:pt>
                <c:pt idx="16">
                  <c:v>16280.519999996395</c:v>
                </c:pt>
                <c:pt idx="17">
                  <c:v>17412.440000003553</c:v>
                </c:pt>
                <c:pt idx="18">
                  <c:v>17931.060000006328</c:v>
                </c:pt>
                <c:pt idx="19">
                  <c:v>17780.940000004048</c:v>
                </c:pt>
                <c:pt idx="20">
                  <c:v>23785.559999996403</c:v>
                </c:pt>
                <c:pt idx="21">
                  <c:v>45683.199999998469</c:v>
                </c:pt>
                <c:pt idx="22">
                  <c:v>97555.740000001751</c:v>
                </c:pt>
                <c:pt idx="23">
                  <c:v>118774.24000000115</c:v>
                </c:pt>
                <c:pt idx="24">
                  <c:v>121808.21999999403</c:v>
                </c:pt>
                <c:pt idx="25">
                  <c:v>123257.08000000348</c:v>
                </c:pt>
                <c:pt idx="26">
                  <c:v>125148.61999999586</c:v>
                </c:pt>
                <c:pt idx="27">
                  <c:v>122453.36000000134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63-4490-81E3-F7A42B219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736840"/>
        <c:axId val="524139376"/>
      </c:lineChart>
      <c:dateAx>
        <c:axId val="526736840"/>
        <c:scaling>
          <c:orientation val="minMax"/>
        </c:scaling>
        <c:delete val="0"/>
        <c:axPos val="b"/>
        <c:numFmt formatCode="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4139376"/>
        <c:crosses val="autoZero"/>
        <c:auto val="1"/>
        <c:lblOffset val="100"/>
        <c:baseTimeUnit val="days"/>
      </c:dateAx>
      <c:valAx>
        <c:axId val="52413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6736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'Thang 3'!$D$2:$D$3</c:f>
              <c:strCache>
                <c:ptCount val="2"/>
                <c:pt idx="0">
                  <c:v>3750 KVA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'Thang 3'!$C$4:$C$34</c:f>
              <c:numCache>
                <c:formatCode>m/d;@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'Thang 3'!$D$4:$D$34</c:f>
              <c:numCache>
                <c:formatCode>_(* #,##0_);_(* \(#,##0\);_(* "-"??_);_(@_)</c:formatCode>
                <c:ptCount val="31"/>
                <c:pt idx="0">
                  <c:v>47991.99999999837</c:v>
                </c:pt>
                <c:pt idx="1">
                  <c:v>48824.000000000524</c:v>
                </c:pt>
                <c:pt idx="2">
                  <c:v>45473.000000005413</c:v>
                </c:pt>
                <c:pt idx="3">
                  <c:v>44057.999999997264</c:v>
                </c:pt>
                <c:pt idx="4">
                  <c:v>46461.999999999534</c:v>
                </c:pt>
                <c:pt idx="5">
                  <c:v>32887.99999999901</c:v>
                </c:pt>
                <c:pt idx="6">
                  <c:v>19016.00000000326</c:v>
                </c:pt>
                <c:pt idx="7">
                  <c:v>21192.999999999302</c:v>
                </c:pt>
                <c:pt idx="8">
                  <c:v>33448.000000003958</c:v>
                </c:pt>
                <c:pt idx="9">
                  <c:v>37400.000000001455</c:v>
                </c:pt>
                <c:pt idx="10">
                  <c:v>29027.000000001863</c:v>
                </c:pt>
                <c:pt idx="11">
                  <c:v>33508.999999998196</c:v>
                </c:pt>
                <c:pt idx="12">
                  <c:v>31252.999999996973</c:v>
                </c:pt>
                <c:pt idx="13">
                  <c:v>33588.999999999942</c:v>
                </c:pt>
                <c:pt idx="14">
                  <c:v>30371.999999995751</c:v>
                </c:pt>
                <c:pt idx="15">
                  <c:v>37711.999999999534</c:v>
                </c:pt>
                <c:pt idx="16">
                  <c:v>36163.000000000466</c:v>
                </c:pt>
                <c:pt idx="17">
                  <c:v>41654.999999998836</c:v>
                </c:pt>
                <c:pt idx="18">
                  <c:v>34925.999999999476</c:v>
                </c:pt>
                <c:pt idx="19">
                  <c:v>42480.000000003201</c:v>
                </c:pt>
                <c:pt idx="20">
                  <c:v>38569.999999999709</c:v>
                </c:pt>
                <c:pt idx="21">
                  <c:v>30401.000000005297</c:v>
                </c:pt>
                <c:pt idx="22">
                  <c:v>34089.999999996508</c:v>
                </c:pt>
                <c:pt idx="23">
                  <c:v>48599.999999998545</c:v>
                </c:pt>
                <c:pt idx="24">
                  <c:v>35017.999999996391</c:v>
                </c:pt>
                <c:pt idx="25">
                  <c:v>49466.000000000349</c:v>
                </c:pt>
                <c:pt idx="26">
                  <c:v>49664.000000004307</c:v>
                </c:pt>
                <c:pt idx="27">
                  <c:v>49779.999999998836</c:v>
                </c:pt>
                <c:pt idx="28">
                  <c:v>38108.000000000175</c:v>
                </c:pt>
                <c:pt idx="29">
                  <c:v>44963.999999999942</c:v>
                </c:pt>
                <c:pt idx="30">
                  <c:v>45178.999999996449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79-463D-9C60-B7C6A196CF8F}"/>
            </c:ext>
          </c:extLst>
        </c:ser>
        <c:ser>
          <c:idx val="1"/>
          <c:order val="1"/>
          <c:tx>
            <c:strRef>
              <c:f>'Thang 3'!$E$2:$E$3</c:f>
              <c:strCache>
                <c:ptCount val="2"/>
                <c:pt idx="0">
                  <c:v>1250 KVA-1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'Thang 3'!$C$4:$C$34</c:f>
              <c:numCache>
                <c:formatCode>m/d;@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'Thang 3'!$E$4:$E$34</c:f>
              <c:numCache>
                <c:formatCode>_(* #,##0_);_(* \(#,##0\);_(* "-"??_);_(@_)</c:formatCode>
                <c:ptCount val="31"/>
                <c:pt idx="0">
                  <c:v>34412.160000000149</c:v>
                </c:pt>
                <c:pt idx="1">
                  <c:v>34839.680000001099</c:v>
                </c:pt>
                <c:pt idx="2">
                  <c:v>34426.88000000082</c:v>
                </c:pt>
                <c:pt idx="3">
                  <c:v>34826.88000000082</c:v>
                </c:pt>
                <c:pt idx="4">
                  <c:v>35559.040000000969</c:v>
                </c:pt>
                <c:pt idx="5">
                  <c:v>34291.199999998789</c:v>
                </c:pt>
                <c:pt idx="6">
                  <c:v>20854.40000000177</c:v>
                </c:pt>
                <c:pt idx="7">
                  <c:v>24300.800000000745</c:v>
                </c:pt>
                <c:pt idx="8">
                  <c:v>32414.719999998342</c:v>
                </c:pt>
                <c:pt idx="9">
                  <c:v>32712.960000000894</c:v>
                </c:pt>
                <c:pt idx="10">
                  <c:v>33655.679999999702</c:v>
                </c:pt>
                <c:pt idx="11">
                  <c:v>34237.439999999478</c:v>
                </c:pt>
                <c:pt idx="12">
                  <c:v>33031.040000000503</c:v>
                </c:pt>
                <c:pt idx="13">
                  <c:v>33609.599999999627</c:v>
                </c:pt>
                <c:pt idx="14">
                  <c:v>32991.999999999534</c:v>
                </c:pt>
                <c:pt idx="15">
                  <c:v>33568.000000000466</c:v>
                </c:pt>
                <c:pt idx="16">
                  <c:v>34349.439999999013</c:v>
                </c:pt>
                <c:pt idx="17">
                  <c:v>34121.599999999162</c:v>
                </c:pt>
                <c:pt idx="18">
                  <c:v>32850.560000000987</c:v>
                </c:pt>
                <c:pt idx="19">
                  <c:v>31937.280000001192</c:v>
                </c:pt>
                <c:pt idx="20">
                  <c:v>33212.800000000279</c:v>
                </c:pt>
                <c:pt idx="21">
                  <c:v>27653.11999999918</c:v>
                </c:pt>
                <c:pt idx="22">
                  <c:v>30947.839999999851</c:v>
                </c:pt>
                <c:pt idx="23">
                  <c:v>33662.720000001136</c:v>
                </c:pt>
                <c:pt idx="24">
                  <c:v>29197.439999999478</c:v>
                </c:pt>
                <c:pt idx="25">
                  <c:v>30769.920000000857</c:v>
                </c:pt>
                <c:pt idx="26">
                  <c:v>30085.120000001043</c:v>
                </c:pt>
                <c:pt idx="27">
                  <c:v>28547.199999999721</c:v>
                </c:pt>
                <c:pt idx="28">
                  <c:v>24794.879999998957</c:v>
                </c:pt>
                <c:pt idx="29">
                  <c:v>26842.880000001751</c:v>
                </c:pt>
                <c:pt idx="30">
                  <c:v>30515.840000000317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79-463D-9C60-B7C6A196CF8F}"/>
            </c:ext>
          </c:extLst>
        </c:ser>
        <c:ser>
          <c:idx val="2"/>
          <c:order val="2"/>
          <c:tx>
            <c:strRef>
              <c:f>'Thang 3'!$F$2:$F$3</c:f>
              <c:strCache>
                <c:ptCount val="2"/>
                <c:pt idx="0">
                  <c:v>2500 KVA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'Thang 3'!$C$4:$C$34</c:f>
              <c:numCache>
                <c:formatCode>m/d;@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'Thang 3'!$F$4:$F$34</c:f>
              <c:numCache>
                <c:formatCode>_(* #,##0_);_(* \(#,##0\);_(* "-"??_);_(@_)</c:formatCode>
                <c:ptCount val="31"/>
                <c:pt idx="0">
                  <c:v>19070.39999999979</c:v>
                </c:pt>
                <c:pt idx="1">
                  <c:v>19096.000000002095</c:v>
                </c:pt>
                <c:pt idx="2">
                  <c:v>18905.600000001141</c:v>
                </c:pt>
                <c:pt idx="3">
                  <c:v>18106.79999999993</c:v>
                </c:pt>
                <c:pt idx="4">
                  <c:v>18467.600000000675</c:v>
                </c:pt>
                <c:pt idx="5">
                  <c:v>17179.60000000021</c:v>
                </c:pt>
                <c:pt idx="6">
                  <c:v>9530.4000000003725</c:v>
                </c:pt>
                <c:pt idx="7">
                  <c:v>10716.000000000349</c:v>
                </c:pt>
                <c:pt idx="8">
                  <c:v>17004.800000000978</c:v>
                </c:pt>
                <c:pt idx="9">
                  <c:v>18047.200000000885</c:v>
                </c:pt>
                <c:pt idx="10">
                  <c:v>18153.599999999278</c:v>
                </c:pt>
                <c:pt idx="11">
                  <c:v>18374.400000000605</c:v>
                </c:pt>
                <c:pt idx="12">
                  <c:v>18839.600000000792</c:v>
                </c:pt>
                <c:pt idx="13">
                  <c:v>18620.799999998417</c:v>
                </c:pt>
                <c:pt idx="14">
                  <c:v>18939.199999999255</c:v>
                </c:pt>
                <c:pt idx="15">
                  <c:v>18732.800000000861</c:v>
                </c:pt>
                <c:pt idx="16">
                  <c:v>18493.600000001607</c:v>
                </c:pt>
                <c:pt idx="17">
                  <c:v>18620.39999999979</c:v>
                </c:pt>
                <c:pt idx="18">
                  <c:v>18096.799999999348</c:v>
                </c:pt>
                <c:pt idx="19">
                  <c:v>18053.200000000652</c:v>
                </c:pt>
                <c:pt idx="20">
                  <c:v>18235.19999999844</c:v>
                </c:pt>
                <c:pt idx="21">
                  <c:v>18172.400000001653</c:v>
                </c:pt>
                <c:pt idx="22">
                  <c:v>18115.600000001723</c:v>
                </c:pt>
                <c:pt idx="23">
                  <c:v>19440.399999998044</c:v>
                </c:pt>
                <c:pt idx="24">
                  <c:v>17694.399999998859</c:v>
                </c:pt>
                <c:pt idx="25">
                  <c:v>19514.400000000023</c:v>
                </c:pt>
                <c:pt idx="26">
                  <c:v>19337.200000000303</c:v>
                </c:pt>
                <c:pt idx="27">
                  <c:v>19330.400000000373</c:v>
                </c:pt>
                <c:pt idx="28">
                  <c:v>18349.600000001374</c:v>
                </c:pt>
                <c:pt idx="29">
                  <c:v>18929.199999998673</c:v>
                </c:pt>
                <c:pt idx="30">
                  <c:v>19827.999999999884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79-463D-9C60-B7C6A196CF8F}"/>
            </c:ext>
          </c:extLst>
        </c:ser>
        <c:ser>
          <c:idx val="3"/>
          <c:order val="3"/>
          <c:tx>
            <c:strRef>
              <c:f>'Thang 3'!$G$2:$G$3</c:f>
              <c:strCache>
                <c:ptCount val="2"/>
                <c:pt idx="0">
                  <c:v>1250 KVA-2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'Thang 3'!$C$4:$C$34</c:f>
              <c:numCache>
                <c:formatCode>m/d;@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'Thang 3'!$G$4:$G$34</c:f>
              <c:numCache>
                <c:formatCode>_(* #,##0_);_(* \(#,##0\);_(* "-"??_);_(@_)</c:formatCode>
                <c:ptCount val="31"/>
                <c:pt idx="0">
                  <c:v>11188.200000000506</c:v>
                </c:pt>
                <c:pt idx="1">
                  <c:v>12354.60000000021</c:v>
                </c:pt>
                <c:pt idx="2">
                  <c:v>14207.099999999991</c:v>
                </c:pt>
                <c:pt idx="3">
                  <c:v>14114.099999999598</c:v>
                </c:pt>
                <c:pt idx="4">
                  <c:v>14684.100000000035</c:v>
                </c:pt>
                <c:pt idx="5">
                  <c:v>14218.20000000007</c:v>
                </c:pt>
                <c:pt idx="6">
                  <c:v>8079.0000000000873</c:v>
                </c:pt>
                <c:pt idx="7">
                  <c:v>9233.3999999995285</c:v>
                </c:pt>
                <c:pt idx="8">
                  <c:v>12861.899999999878</c:v>
                </c:pt>
                <c:pt idx="9">
                  <c:v>14221.799999999712</c:v>
                </c:pt>
                <c:pt idx="10">
                  <c:v>14445.599999999467</c:v>
                </c:pt>
                <c:pt idx="11">
                  <c:v>14951.699999999983</c:v>
                </c:pt>
                <c:pt idx="12">
                  <c:v>14931.000000000131</c:v>
                </c:pt>
                <c:pt idx="13">
                  <c:v>15584.999999999127</c:v>
                </c:pt>
                <c:pt idx="14">
                  <c:v>14420.39999999979</c:v>
                </c:pt>
                <c:pt idx="15">
                  <c:v>15000</c:v>
                </c:pt>
                <c:pt idx="16">
                  <c:v>15710.399999999572</c:v>
                </c:pt>
                <c:pt idx="17">
                  <c:v>14433.300000000236</c:v>
                </c:pt>
                <c:pt idx="18">
                  <c:v>14984.100000000035</c:v>
                </c:pt>
                <c:pt idx="19">
                  <c:v>16085.099999999511</c:v>
                </c:pt>
                <c:pt idx="20">
                  <c:v>14939.999999999782</c:v>
                </c:pt>
                <c:pt idx="21">
                  <c:v>13136.40000000014</c:v>
                </c:pt>
                <c:pt idx="22">
                  <c:v>13796.100000000297</c:v>
                </c:pt>
                <c:pt idx="23">
                  <c:v>13562.999999999738</c:v>
                </c:pt>
                <c:pt idx="24">
                  <c:v>11518.800000000192</c:v>
                </c:pt>
                <c:pt idx="25">
                  <c:v>12560.999999999694</c:v>
                </c:pt>
                <c:pt idx="26">
                  <c:v>13102.799999999843</c:v>
                </c:pt>
                <c:pt idx="27">
                  <c:v>13184.399999999005</c:v>
                </c:pt>
                <c:pt idx="28">
                  <c:v>11889.300000000367</c:v>
                </c:pt>
                <c:pt idx="29">
                  <c:v>12499.200000000201</c:v>
                </c:pt>
                <c:pt idx="30">
                  <c:v>13106.700000000637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79-463D-9C60-B7C6A196CF8F}"/>
            </c:ext>
          </c:extLst>
        </c:ser>
        <c:ser>
          <c:idx val="4"/>
          <c:order val="4"/>
          <c:tx>
            <c:strRef>
              <c:f>'Thang 3'!$H$2:$H$3</c:f>
              <c:strCache>
                <c:ptCount val="2"/>
                <c:pt idx="0">
                  <c:v>1250 KVA-3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'Thang 3'!$C$4:$C$34</c:f>
              <c:numCache>
                <c:formatCode>m/d;@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'Thang 3'!$H$4:$H$34</c:f>
              <c:numCache>
                <c:formatCode>_(* #,##0_);_(* \(#,##0\);_(* "-"??_);_(@_)</c:formatCode>
                <c:ptCount val="31"/>
                <c:pt idx="0">
                  <c:v>13139.999999999782</c:v>
                </c:pt>
                <c:pt idx="1">
                  <c:v>12420.600000000559</c:v>
                </c:pt>
                <c:pt idx="2">
                  <c:v>12795.90000000062</c:v>
                </c:pt>
                <c:pt idx="3">
                  <c:v>15486.299999999756</c:v>
                </c:pt>
                <c:pt idx="4">
                  <c:v>15313.799999999537</c:v>
                </c:pt>
                <c:pt idx="5">
                  <c:v>15728.399999999965</c:v>
                </c:pt>
                <c:pt idx="6">
                  <c:v>6770.9999999999127</c:v>
                </c:pt>
                <c:pt idx="7">
                  <c:v>11886.899999999878</c:v>
                </c:pt>
                <c:pt idx="8">
                  <c:v>14265.299999999843</c:v>
                </c:pt>
                <c:pt idx="9">
                  <c:v>13343.999999999869</c:v>
                </c:pt>
                <c:pt idx="10">
                  <c:v>12883.499999999913</c:v>
                </c:pt>
                <c:pt idx="11">
                  <c:v>13993.500000000131</c:v>
                </c:pt>
                <c:pt idx="12">
                  <c:v>13925.099999999293</c:v>
                </c:pt>
                <c:pt idx="13">
                  <c:v>14754.300000000148</c:v>
                </c:pt>
                <c:pt idx="14">
                  <c:v>14872.200000000157</c:v>
                </c:pt>
                <c:pt idx="15">
                  <c:v>13929.899999999179</c:v>
                </c:pt>
                <c:pt idx="16">
                  <c:v>14422.200000000157</c:v>
                </c:pt>
                <c:pt idx="17">
                  <c:v>14523.000000001048</c:v>
                </c:pt>
                <c:pt idx="18">
                  <c:v>12207.299999999668</c:v>
                </c:pt>
                <c:pt idx="19">
                  <c:v>2553.0000000006112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79-463D-9C60-B7C6A196CF8F}"/>
            </c:ext>
          </c:extLst>
        </c:ser>
        <c:ser>
          <c:idx val="5"/>
          <c:order val="5"/>
          <c:tx>
            <c:strRef>
              <c:f>'Thang 3'!$I$2:$I$3</c:f>
              <c:strCache>
                <c:ptCount val="2"/>
                <c:pt idx="0">
                  <c:v>Total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'Thang 3'!$C$4:$C$34</c:f>
              <c:numCache>
                <c:formatCode>m/d;@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'Thang 3'!$I$4:$I$34</c:f>
              <c:numCache>
                <c:formatCode>_(* #,##0_);_(* \(#,##0\);_(* "-"??_);_(@_)</c:formatCode>
                <c:ptCount val="31"/>
                <c:pt idx="0">
                  <c:v>125802.7599999986</c:v>
                </c:pt>
                <c:pt idx="1">
                  <c:v>127534.88000000449</c:v>
                </c:pt>
                <c:pt idx="2">
                  <c:v>125808.48000000798</c:v>
                </c:pt>
                <c:pt idx="3">
                  <c:v>126592.07999999737</c:v>
                </c:pt>
                <c:pt idx="4">
                  <c:v>130486.54000000075</c:v>
                </c:pt>
                <c:pt idx="5">
                  <c:v>114305.39999999804</c:v>
                </c:pt>
                <c:pt idx="6">
                  <c:v>64250.800000005402</c:v>
                </c:pt>
                <c:pt idx="7">
                  <c:v>77330.099999999802</c:v>
                </c:pt>
                <c:pt idx="8">
                  <c:v>109994.720000003</c:v>
                </c:pt>
                <c:pt idx="9">
                  <c:v>115725.96000000281</c:v>
                </c:pt>
                <c:pt idx="10">
                  <c:v>108165.38000000022</c:v>
                </c:pt>
                <c:pt idx="11">
                  <c:v>115066.03999999839</c:v>
                </c:pt>
                <c:pt idx="12">
                  <c:v>111979.73999999769</c:v>
                </c:pt>
                <c:pt idx="13">
                  <c:v>116158.69999999726</c:v>
                </c:pt>
                <c:pt idx="14">
                  <c:v>111595.79999999449</c:v>
                </c:pt>
                <c:pt idx="15">
                  <c:v>118942.70000000004</c:v>
                </c:pt>
                <c:pt idx="16">
                  <c:v>119138.64000000081</c:v>
                </c:pt>
                <c:pt idx="17">
                  <c:v>123353.29999999907</c:v>
                </c:pt>
                <c:pt idx="18">
                  <c:v>113064.75999999951</c:v>
                </c:pt>
                <c:pt idx="19">
                  <c:v>111108.58000000517</c:v>
                </c:pt>
                <c:pt idx="20">
                  <c:v>104957.99999999821</c:v>
                </c:pt>
                <c:pt idx="21">
                  <c:v>89362.92000000627</c:v>
                </c:pt>
                <c:pt idx="22">
                  <c:v>96949.539999998378</c:v>
                </c:pt>
                <c:pt idx="23">
                  <c:v>115266.11999999746</c:v>
                </c:pt>
                <c:pt idx="24">
                  <c:v>93428.639999994921</c:v>
                </c:pt>
                <c:pt idx="25">
                  <c:v>112311.32000000092</c:v>
                </c:pt>
                <c:pt idx="26">
                  <c:v>112189.1200000055</c:v>
                </c:pt>
                <c:pt idx="27">
                  <c:v>110841.99999999793</c:v>
                </c:pt>
                <c:pt idx="28">
                  <c:v>93141.780000000872</c:v>
                </c:pt>
                <c:pt idx="29">
                  <c:v>103235.28000000057</c:v>
                </c:pt>
                <c:pt idx="30">
                  <c:v>108629.53999999729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E79-463D-9C60-B7C6A196C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736840"/>
        <c:axId val="524139376"/>
      </c:lineChart>
      <c:dateAx>
        <c:axId val="526736840"/>
        <c:scaling>
          <c:orientation val="minMax"/>
        </c:scaling>
        <c:delete val="0"/>
        <c:axPos val="b"/>
        <c:numFmt formatCode="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4139376"/>
        <c:crosses val="autoZero"/>
        <c:auto val="1"/>
        <c:lblOffset val="100"/>
        <c:baseTimeUnit val="days"/>
      </c:dateAx>
      <c:valAx>
        <c:axId val="52413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6736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'Thang 4'!$D$2:$D$3</c:f>
              <c:strCache>
                <c:ptCount val="2"/>
                <c:pt idx="0">
                  <c:v>3750 KVA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'Thang 4'!$C$4:$C$34</c:f>
              <c:numCache>
                <c:formatCode>m/d;@</c:formatCode>
                <c:ptCount val="31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</c:numCache>
            </c:numRef>
          </c:cat>
          <c:val>
            <c:numRef>
              <c:f>'Thang 4'!$D$4:$D$34</c:f>
              <c:numCache>
                <c:formatCode>_(* #,##0_);_(* \(#,##0\);_(* "-"??_);_(@_)</c:formatCode>
                <c:ptCount val="31"/>
                <c:pt idx="0">
                  <c:v>49280.999999995402</c:v>
                </c:pt>
                <c:pt idx="1">
                  <c:v>49903.999999994994</c:v>
                </c:pt>
                <c:pt idx="2">
                  <c:v>29800.999999999476</c:v>
                </c:pt>
                <c:pt idx="3">
                  <c:v>37929.000000003725</c:v>
                </c:pt>
                <c:pt idx="4">
                  <c:v>34057.000000000698</c:v>
                </c:pt>
                <c:pt idx="5">
                  <c:v>37940.999999998894</c:v>
                </c:pt>
                <c:pt idx="6">
                  <c:v>40080.000000001746</c:v>
                </c:pt>
                <c:pt idx="7">
                  <c:v>43413.000000000466</c:v>
                </c:pt>
                <c:pt idx="8">
                  <c:v>35069.999999999709</c:v>
                </c:pt>
                <c:pt idx="9">
                  <c:v>35285.000000003492</c:v>
                </c:pt>
                <c:pt idx="10">
                  <c:v>42726.999999998952</c:v>
                </c:pt>
                <c:pt idx="11">
                  <c:v>30475.999999995111</c:v>
                </c:pt>
                <c:pt idx="12">
                  <c:v>49036.000000000058</c:v>
                </c:pt>
                <c:pt idx="13">
                  <c:v>53033.000000003085</c:v>
                </c:pt>
                <c:pt idx="14">
                  <c:v>53467.000000004191</c:v>
                </c:pt>
                <c:pt idx="15">
                  <c:v>54712.9999999961</c:v>
                </c:pt>
                <c:pt idx="16">
                  <c:v>54095.99999999773</c:v>
                </c:pt>
                <c:pt idx="17">
                  <c:v>54429.999999993015</c:v>
                </c:pt>
                <c:pt idx="18">
                  <c:v>51525.000000001455</c:v>
                </c:pt>
                <c:pt idx="19">
                  <c:v>50708.999999995285</c:v>
                </c:pt>
                <c:pt idx="20">
                  <c:v>52123.999999996158</c:v>
                </c:pt>
                <c:pt idx="21">
                  <c:v>49773.000000001048</c:v>
                </c:pt>
                <c:pt idx="22">
                  <c:v>47303.999999996449</c:v>
                </c:pt>
                <c:pt idx="23">
                  <c:v>47329.00000000518</c:v>
                </c:pt>
                <c:pt idx="24">
                  <c:v>40649.999999994179</c:v>
                </c:pt>
                <c:pt idx="25">
                  <c:v>12476.000000002387</c:v>
                </c:pt>
                <c:pt idx="26">
                  <c:v>17430.999999996857</c:v>
                </c:pt>
                <c:pt idx="27">
                  <c:v>44437.999999994645</c:v>
                </c:pt>
                <c:pt idx="28">
                  <c:v>32899.000000004889</c:v>
                </c:pt>
                <c:pt idx="29">
                  <c:v>2635.0000000020373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71-473B-ADDF-F7EBB7030540}"/>
            </c:ext>
          </c:extLst>
        </c:ser>
        <c:ser>
          <c:idx val="1"/>
          <c:order val="1"/>
          <c:tx>
            <c:strRef>
              <c:f>'Thang 4'!$E$2:$E$3</c:f>
              <c:strCache>
                <c:ptCount val="2"/>
                <c:pt idx="0">
                  <c:v>1250 KVA-1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'Thang 4'!$C$4:$C$34</c:f>
              <c:numCache>
                <c:formatCode>m/d;@</c:formatCode>
                <c:ptCount val="31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</c:numCache>
            </c:numRef>
          </c:cat>
          <c:val>
            <c:numRef>
              <c:f>'Thang 4'!$E$4:$E$34</c:f>
              <c:numCache>
                <c:formatCode>_(* #,##0_);_(* \(#,##0\);_(* "-"??_);_(@_)</c:formatCode>
                <c:ptCount val="31"/>
                <c:pt idx="0">
                  <c:v>32053.120000001509</c:v>
                </c:pt>
                <c:pt idx="1">
                  <c:v>33488.640000000596</c:v>
                </c:pt>
                <c:pt idx="2">
                  <c:v>33992.959999998566</c:v>
                </c:pt>
                <c:pt idx="3">
                  <c:v>34040.959999999031</c:v>
                </c:pt>
                <c:pt idx="4">
                  <c:v>29708.159999998752</c:v>
                </c:pt>
                <c:pt idx="5">
                  <c:v>30560</c:v>
                </c:pt>
                <c:pt idx="6">
                  <c:v>34757.119999998249</c:v>
                </c:pt>
                <c:pt idx="7">
                  <c:v>35697.279999998864</c:v>
                </c:pt>
                <c:pt idx="8">
                  <c:v>35123.199999998324</c:v>
                </c:pt>
                <c:pt idx="9">
                  <c:v>34623.999999999069</c:v>
                </c:pt>
                <c:pt idx="10">
                  <c:v>34908.159999998752</c:v>
                </c:pt>
                <c:pt idx="11">
                  <c:v>28360.320000001229</c:v>
                </c:pt>
                <c:pt idx="12">
                  <c:v>32449.280000000726</c:v>
                </c:pt>
                <c:pt idx="13">
                  <c:v>35422.080000001006</c:v>
                </c:pt>
                <c:pt idx="14">
                  <c:v>36280.96000000136</c:v>
                </c:pt>
                <c:pt idx="15">
                  <c:v>35756.799999999348</c:v>
                </c:pt>
                <c:pt idx="16">
                  <c:v>34373.760000001639</c:v>
                </c:pt>
                <c:pt idx="17">
                  <c:v>34044.799999999814</c:v>
                </c:pt>
                <c:pt idx="18">
                  <c:v>32338.559999999125</c:v>
                </c:pt>
                <c:pt idx="19">
                  <c:v>32073.600000001024</c:v>
                </c:pt>
                <c:pt idx="20">
                  <c:v>34237.440000001807</c:v>
                </c:pt>
                <c:pt idx="21">
                  <c:v>33367.040000001434</c:v>
                </c:pt>
                <c:pt idx="22">
                  <c:v>31991.040000000503</c:v>
                </c:pt>
                <c:pt idx="23">
                  <c:v>34213.11999999918</c:v>
                </c:pt>
                <c:pt idx="24">
                  <c:v>31127.680000001565</c:v>
                </c:pt>
                <c:pt idx="25">
                  <c:v>13340.799999998417</c:v>
                </c:pt>
                <c:pt idx="26">
                  <c:v>15719.679999998771</c:v>
                </c:pt>
                <c:pt idx="27">
                  <c:v>31499.520000000484</c:v>
                </c:pt>
                <c:pt idx="28">
                  <c:v>21005.439999999944</c:v>
                </c:pt>
                <c:pt idx="29">
                  <c:v>6562.5600000005215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71-473B-ADDF-F7EBB7030540}"/>
            </c:ext>
          </c:extLst>
        </c:ser>
        <c:ser>
          <c:idx val="2"/>
          <c:order val="2"/>
          <c:tx>
            <c:strRef>
              <c:f>'Thang 4'!$F$2:$F$3</c:f>
              <c:strCache>
                <c:ptCount val="2"/>
                <c:pt idx="0">
                  <c:v>2500 KVA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'Thang 4'!$C$4:$C$34</c:f>
              <c:numCache>
                <c:formatCode>m/d;@</c:formatCode>
                <c:ptCount val="31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</c:numCache>
            </c:numRef>
          </c:cat>
          <c:val>
            <c:numRef>
              <c:f>'Thang 4'!$F$4:$F$34</c:f>
              <c:numCache>
                <c:formatCode>_(* #,##0_);_(* \(#,##0\);_(* "-"??_);_(@_)</c:formatCode>
                <c:ptCount val="31"/>
                <c:pt idx="0">
                  <c:v>18271.59999999858</c:v>
                </c:pt>
                <c:pt idx="1">
                  <c:v>18540.000000002328</c:v>
                </c:pt>
                <c:pt idx="2">
                  <c:v>19450.800000000163</c:v>
                </c:pt>
                <c:pt idx="3">
                  <c:v>19683.599999998114</c:v>
                </c:pt>
                <c:pt idx="4">
                  <c:v>19350.399999998626</c:v>
                </c:pt>
                <c:pt idx="5">
                  <c:v>19802.000000001863</c:v>
                </c:pt>
                <c:pt idx="6">
                  <c:v>20666.000000000349</c:v>
                </c:pt>
                <c:pt idx="7">
                  <c:v>20322.000000000116</c:v>
                </c:pt>
                <c:pt idx="8">
                  <c:v>20207.600000000093</c:v>
                </c:pt>
                <c:pt idx="9">
                  <c:v>20377.999999999884</c:v>
                </c:pt>
                <c:pt idx="10">
                  <c:v>20635.19999999844</c:v>
                </c:pt>
                <c:pt idx="11">
                  <c:v>20843.599999998696</c:v>
                </c:pt>
                <c:pt idx="12">
                  <c:v>20685.20000000135</c:v>
                </c:pt>
                <c:pt idx="13">
                  <c:v>20737.200000000303</c:v>
                </c:pt>
                <c:pt idx="14">
                  <c:v>20618.400000000838</c:v>
                </c:pt>
                <c:pt idx="15">
                  <c:v>20518.799999999464</c:v>
                </c:pt>
                <c:pt idx="16">
                  <c:v>19399.199999999837</c:v>
                </c:pt>
                <c:pt idx="17">
                  <c:v>19710.399999999208</c:v>
                </c:pt>
                <c:pt idx="18">
                  <c:v>20085.599999999977</c:v>
                </c:pt>
                <c:pt idx="19">
                  <c:v>20294.799999997485</c:v>
                </c:pt>
                <c:pt idx="20">
                  <c:v>20072.000000000116</c:v>
                </c:pt>
                <c:pt idx="21">
                  <c:v>20135.999999998603</c:v>
                </c:pt>
                <c:pt idx="22">
                  <c:v>17786.799999998766</c:v>
                </c:pt>
                <c:pt idx="23">
                  <c:v>18698.7999999983</c:v>
                </c:pt>
                <c:pt idx="24">
                  <c:v>16614.80000000156</c:v>
                </c:pt>
                <c:pt idx="25">
                  <c:v>4316.8000000005122</c:v>
                </c:pt>
                <c:pt idx="26">
                  <c:v>5215.2000000001863</c:v>
                </c:pt>
                <c:pt idx="27">
                  <c:v>18797.200000000885</c:v>
                </c:pt>
                <c:pt idx="28">
                  <c:v>15637.200000000303</c:v>
                </c:pt>
                <c:pt idx="29">
                  <c:v>1154.4000000023516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71-473B-ADDF-F7EBB7030540}"/>
            </c:ext>
          </c:extLst>
        </c:ser>
        <c:ser>
          <c:idx val="3"/>
          <c:order val="3"/>
          <c:tx>
            <c:strRef>
              <c:f>'Thang 4'!$G$2:$G$3</c:f>
              <c:strCache>
                <c:ptCount val="2"/>
                <c:pt idx="0">
                  <c:v>1250 KVA-2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'Thang 4'!$C$4:$C$34</c:f>
              <c:numCache>
                <c:formatCode>m/d;@</c:formatCode>
                <c:ptCount val="31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</c:numCache>
            </c:numRef>
          </c:cat>
          <c:val>
            <c:numRef>
              <c:f>'Thang 4'!$G$4:$G$34</c:f>
              <c:numCache>
                <c:formatCode>_(* #,##0_);_(* \(#,##0\);_(* "-"??_);_(@_)</c:formatCode>
                <c:ptCount val="31"/>
                <c:pt idx="0">
                  <c:v>13194.29999999993</c:v>
                </c:pt>
                <c:pt idx="1">
                  <c:v>14191.200000000026</c:v>
                </c:pt>
                <c:pt idx="2">
                  <c:v>15311.100000000079</c:v>
                </c:pt>
                <c:pt idx="3">
                  <c:v>14716.800000000148</c:v>
                </c:pt>
                <c:pt idx="4">
                  <c:v>13587.600000000384</c:v>
                </c:pt>
                <c:pt idx="5">
                  <c:v>12745.500000000175</c:v>
                </c:pt>
                <c:pt idx="6">
                  <c:v>14009.700000000157</c:v>
                </c:pt>
                <c:pt idx="7">
                  <c:v>14559.599999999773</c:v>
                </c:pt>
                <c:pt idx="8">
                  <c:v>14996.400000000358</c:v>
                </c:pt>
                <c:pt idx="9">
                  <c:v>14428.499999999258</c:v>
                </c:pt>
                <c:pt idx="10">
                  <c:v>15440.700000000288</c:v>
                </c:pt>
                <c:pt idx="11">
                  <c:v>13972.500000000218</c:v>
                </c:pt>
                <c:pt idx="12">
                  <c:v>14627.70000000055</c:v>
                </c:pt>
                <c:pt idx="13">
                  <c:v>14846.700000000419</c:v>
                </c:pt>
                <c:pt idx="14">
                  <c:v>14450.700000000506</c:v>
                </c:pt>
                <c:pt idx="15">
                  <c:v>15163.800000000629</c:v>
                </c:pt>
                <c:pt idx="16">
                  <c:v>15183.600000000297</c:v>
                </c:pt>
                <c:pt idx="17">
                  <c:v>15007.499999999345</c:v>
                </c:pt>
                <c:pt idx="18">
                  <c:v>13280.099999999948</c:v>
                </c:pt>
                <c:pt idx="19">
                  <c:v>13296.600000000035</c:v>
                </c:pt>
                <c:pt idx="20">
                  <c:v>15018.000000000393</c:v>
                </c:pt>
                <c:pt idx="21">
                  <c:v>15569.399999999223</c:v>
                </c:pt>
                <c:pt idx="22">
                  <c:v>15899.699999999939</c:v>
                </c:pt>
                <c:pt idx="23">
                  <c:v>16256.400000000576</c:v>
                </c:pt>
                <c:pt idx="24">
                  <c:v>13695.299999999406</c:v>
                </c:pt>
                <c:pt idx="25">
                  <c:v>6657.3000000007596</c:v>
                </c:pt>
                <c:pt idx="26">
                  <c:v>7063.7999999995372</c:v>
                </c:pt>
                <c:pt idx="27">
                  <c:v>14226.900000000751</c:v>
                </c:pt>
                <c:pt idx="28">
                  <c:v>12513.299999999799</c:v>
                </c:pt>
                <c:pt idx="29">
                  <c:v>6470.3999999997905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71-473B-ADDF-F7EBB7030540}"/>
            </c:ext>
          </c:extLst>
        </c:ser>
        <c:ser>
          <c:idx val="4"/>
          <c:order val="4"/>
          <c:tx>
            <c:strRef>
              <c:f>'Thang 4'!$H$2:$H$3</c:f>
              <c:strCache>
                <c:ptCount val="2"/>
                <c:pt idx="0">
                  <c:v>1250 KVA-3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'Thang 4'!$C$4:$C$34</c:f>
              <c:numCache>
                <c:formatCode>m/d;@</c:formatCode>
                <c:ptCount val="31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</c:numCache>
            </c:numRef>
          </c:cat>
          <c:val>
            <c:numRef>
              <c:f>'Thang 4'!$H$4:$H$34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9539.9999999999854</c:v>
                </c:pt>
                <c:pt idx="4">
                  <c:v>11241.899999999987</c:v>
                </c:pt>
                <c:pt idx="5">
                  <c:v>14922.299999999996</c:v>
                </c:pt>
                <c:pt idx="6">
                  <c:v>15411.60000000002</c:v>
                </c:pt>
                <c:pt idx="7">
                  <c:v>16134.300000000019</c:v>
                </c:pt>
                <c:pt idx="8">
                  <c:v>15027.899999999989</c:v>
                </c:pt>
                <c:pt idx="9">
                  <c:v>15678.900000000011</c:v>
                </c:pt>
                <c:pt idx="10">
                  <c:v>15898.500000000036</c:v>
                </c:pt>
                <c:pt idx="11">
                  <c:v>14739.600000000019</c:v>
                </c:pt>
                <c:pt idx="12">
                  <c:v>14397.900000000049</c:v>
                </c:pt>
                <c:pt idx="13">
                  <c:v>16099.80000000005</c:v>
                </c:pt>
                <c:pt idx="14">
                  <c:v>15922.799999999937</c:v>
                </c:pt>
                <c:pt idx="15">
                  <c:v>15828.900000000045</c:v>
                </c:pt>
                <c:pt idx="16">
                  <c:v>15519.3</c:v>
                </c:pt>
                <c:pt idx="17">
                  <c:v>15417.300000000023</c:v>
                </c:pt>
                <c:pt idx="18">
                  <c:v>11977.199999999993</c:v>
                </c:pt>
                <c:pt idx="19">
                  <c:v>15009.900000000038</c:v>
                </c:pt>
                <c:pt idx="20">
                  <c:v>15338.099999999986</c:v>
                </c:pt>
                <c:pt idx="21">
                  <c:v>15059.099999999966</c:v>
                </c:pt>
                <c:pt idx="22">
                  <c:v>15358.199999999988</c:v>
                </c:pt>
                <c:pt idx="23">
                  <c:v>15123.600000000009</c:v>
                </c:pt>
                <c:pt idx="24">
                  <c:v>7945.5000000000382</c:v>
                </c:pt>
                <c:pt idx="25">
                  <c:v>1722.8999999999814</c:v>
                </c:pt>
                <c:pt idx="26">
                  <c:v>3229.8000000000229</c:v>
                </c:pt>
                <c:pt idx="27">
                  <c:v>14168.100000000028</c:v>
                </c:pt>
                <c:pt idx="28">
                  <c:v>9198.0000000000255</c:v>
                </c:pt>
                <c:pt idx="29">
                  <c:v>67.499999999972715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71-473B-ADDF-F7EBB7030540}"/>
            </c:ext>
          </c:extLst>
        </c:ser>
        <c:ser>
          <c:idx val="5"/>
          <c:order val="5"/>
          <c:tx>
            <c:strRef>
              <c:f>'Thang 4'!$I$2:$I$3</c:f>
              <c:strCache>
                <c:ptCount val="2"/>
                <c:pt idx="0">
                  <c:v>Total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'Thang 4'!$C$4:$C$34</c:f>
              <c:numCache>
                <c:formatCode>m/d;@</c:formatCode>
                <c:ptCount val="31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</c:numCache>
            </c:numRef>
          </c:cat>
          <c:val>
            <c:numRef>
              <c:f>'Thang 4'!$I$4:$I$34</c:f>
              <c:numCache>
                <c:formatCode>_(* #,##0_);_(* \(#,##0\);_(* "-"??_);_(@_)</c:formatCode>
                <c:ptCount val="31"/>
                <c:pt idx="0">
                  <c:v>112800.01999999542</c:v>
                </c:pt>
                <c:pt idx="1">
                  <c:v>116123.83999999794</c:v>
                </c:pt>
                <c:pt idx="2">
                  <c:v>98555.859999998283</c:v>
                </c:pt>
                <c:pt idx="3">
                  <c:v>115910.360000001</c:v>
                </c:pt>
                <c:pt idx="4">
                  <c:v>107945.05999999846</c:v>
                </c:pt>
                <c:pt idx="5">
                  <c:v>115970.80000000092</c:v>
                </c:pt>
                <c:pt idx="6">
                  <c:v>124924.42000000052</c:v>
                </c:pt>
                <c:pt idx="7">
                  <c:v>130126.17999999924</c:v>
                </c:pt>
                <c:pt idx="8">
                  <c:v>120425.09999999848</c:v>
                </c:pt>
                <c:pt idx="9">
                  <c:v>120394.40000000171</c:v>
                </c:pt>
                <c:pt idx="10">
                  <c:v>129609.55999999648</c:v>
                </c:pt>
                <c:pt idx="11">
                  <c:v>108392.01999999527</c:v>
                </c:pt>
                <c:pt idx="12">
                  <c:v>131196.08000000272</c:v>
                </c:pt>
                <c:pt idx="13">
                  <c:v>140138.78000000486</c:v>
                </c:pt>
                <c:pt idx="14">
                  <c:v>140739.86000000683</c:v>
                </c:pt>
                <c:pt idx="15">
                  <c:v>141981.29999999559</c:v>
                </c:pt>
                <c:pt idx="16">
                  <c:v>138571.85999999949</c:v>
                </c:pt>
                <c:pt idx="17">
                  <c:v>138609.99999999141</c:v>
                </c:pt>
                <c:pt idx="18">
                  <c:v>129206.4600000005</c:v>
                </c:pt>
                <c:pt idx="19">
                  <c:v>131383.89999999385</c:v>
                </c:pt>
                <c:pt idx="20">
                  <c:v>136789.53999999847</c:v>
                </c:pt>
                <c:pt idx="21">
                  <c:v>133904.54000000027</c:v>
                </c:pt>
                <c:pt idx="22">
                  <c:v>128339.73999999564</c:v>
                </c:pt>
                <c:pt idx="23">
                  <c:v>131620.92000000324</c:v>
                </c:pt>
                <c:pt idx="24">
                  <c:v>110033.27999999675</c:v>
                </c:pt>
                <c:pt idx="25">
                  <c:v>38513.800000002055</c:v>
                </c:pt>
                <c:pt idx="26">
                  <c:v>48659.479999995376</c:v>
                </c:pt>
                <c:pt idx="27">
                  <c:v>123129.7199999968</c:v>
                </c:pt>
                <c:pt idx="28">
                  <c:v>91252.940000004965</c:v>
                </c:pt>
                <c:pt idx="29">
                  <c:v>16889.860000004672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71-473B-ADDF-F7EBB7030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736840"/>
        <c:axId val="524139376"/>
      </c:lineChart>
      <c:dateAx>
        <c:axId val="526736840"/>
        <c:scaling>
          <c:orientation val="minMax"/>
        </c:scaling>
        <c:delete val="0"/>
        <c:axPos val="b"/>
        <c:numFmt formatCode="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4139376"/>
        <c:crosses val="autoZero"/>
        <c:auto val="1"/>
        <c:lblOffset val="100"/>
        <c:baseTimeUnit val="days"/>
      </c:dateAx>
      <c:valAx>
        <c:axId val="52413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6736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'Thang 5'!$D$2:$D$3</c:f>
              <c:strCache>
                <c:ptCount val="2"/>
                <c:pt idx="0">
                  <c:v>3750 KVA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'Thang 5'!$C$4:$C$34</c:f>
              <c:numCache>
                <c:formatCode>m/d;@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</c:numCache>
            </c:numRef>
          </c:cat>
          <c:val>
            <c:numRef>
              <c:f>'Thang 5'!$D$4:$D$34</c:f>
              <c:numCache>
                <c:formatCode>_(* #,##0_);_(* \(#,##0\);_(* "-"??_);_(@_)</c:formatCode>
                <c:ptCount val="31"/>
                <c:pt idx="0">
                  <c:v>544.00000000168802</c:v>
                </c:pt>
                <c:pt idx="1">
                  <c:v>15485.999999999998</c:v>
                </c:pt>
                <c:pt idx="2">
                  <c:v>34563.999999999993</c:v>
                </c:pt>
                <c:pt idx="3">
                  <c:v>42875</c:v>
                </c:pt>
                <c:pt idx="4">
                  <c:v>45914.999999999993</c:v>
                </c:pt>
                <c:pt idx="5">
                  <c:v>47650.999999999985</c:v>
                </c:pt>
                <c:pt idx="6">
                  <c:v>47333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5B-46CE-8D31-9AC2E5AC07C2}"/>
            </c:ext>
          </c:extLst>
        </c:ser>
        <c:ser>
          <c:idx val="1"/>
          <c:order val="1"/>
          <c:tx>
            <c:strRef>
              <c:f>'Thang 5'!$E$2:$E$3</c:f>
              <c:strCache>
                <c:ptCount val="2"/>
                <c:pt idx="0">
                  <c:v>1250 KVA-1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'Thang 5'!$C$4:$C$34</c:f>
              <c:numCache>
                <c:formatCode>m/d;@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</c:numCache>
            </c:numRef>
          </c:cat>
          <c:val>
            <c:numRef>
              <c:f>'Thang 5'!$E$4:$E$34</c:f>
              <c:numCache>
                <c:formatCode>_(* #,##0_);_(* \(#,##0\);_(* "-"??_);_(@_)</c:formatCode>
                <c:ptCount val="31"/>
                <c:pt idx="0">
                  <c:v>9487.359999998007</c:v>
                </c:pt>
                <c:pt idx="1">
                  <c:v>25667.199999999721</c:v>
                </c:pt>
                <c:pt idx="2">
                  <c:v>24711.040000000503</c:v>
                </c:pt>
                <c:pt idx="3">
                  <c:v>29468.159999998752</c:v>
                </c:pt>
                <c:pt idx="4">
                  <c:v>32786.560000001919</c:v>
                </c:pt>
                <c:pt idx="5">
                  <c:v>31732.47999999905</c:v>
                </c:pt>
                <c:pt idx="6">
                  <c:v>32955.520000001416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5B-46CE-8D31-9AC2E5AC07C2}"/>
            </c:ext>
          </c:extLst>
        </c:ser>
        <c:ser>
          <c:idx val="2"/>
          <c:order val="2"/>
          <c:tx>
            <c:strRef>
              <c:f>'Thang 5'!$F$2:$F$3</c:f>
              <c:strCache>
                <c:ptCount val="2"/>
                <c:pt idx="0">
                  <c:v>2500 KVA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'Thang 5'!$C$4:$C$34</c:f>
              <c:numCache>
                <c:formatCode>m/d;@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</c:numCache>
            </c:numRef>
          </c:cat>
          <c:val>
            <c:numRef>
              <c:f>'Thang 5'!$F$4:$F$34</c:f>
              <c:numCache>
                <c:formatCode>_(* #,##0_);_(* \(#,##0\);_(* "-"??_);_(@_)</c:formatCode>
                <c:ptCount val="31"/>
                <c:pt idx="0">
                  <c:v>73.999999999068677</c:v>
                </c:pt>
                <c:pt idx="1">
                  <c:v>9258.0000000000018</c:v>
                </c:pt>
                <c:pt idx="2">
                  <c:v>17932.8</c:v>
                </c:pt>
                <c:pt idx="3">
                  <c:v>17281.2</c:v>
                </c:pt>
                <c:pt idx="4">
                  <c:v>16831.999999999993</c:v>
                </c:pt>
                <c:pt idx="5">
                  <c:v>17048.799999999996</c:v>
                </c:pt>
                <c:pt idx="6">
                  <c:v>18963.999999999985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5B-46CE-8D31-9AC2E5AC07C2}"/>
            </c:ext>
          </c:extLst>
        </c:ser>
        <c:ser>
          <c:idx val="3"/>
          <c:order val="3"/>
          <c:tx>
            <c:strRef>
              <c:f>'Thang 5'!$G$2:$G$3</c:f>
              <c:strCache>
                <c:ptCount val="2"/>
                <c:pt idx="0">
                  <c:v>1250 KVA-2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'Thang 5'!$C$4:$C$34</c:f>
              <c:numCache>
                <c:formatCode>m/d;@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</c:numCache>
            </c:numRef>
          </c:cat>
          <c:val>
            <c:numRef>
              <c:f>'Thang 5'!$G$4:$G$34</c:f>
              <c:numCache>
                <c:formatCode>_(* #,##0_);_(* \(#,##0\);_(* "-"??_);_(@_)</c:formatCode>
                <c:ptCount val="31"/>
                <c:pt idx="0">
                  <c:v>5788.199999999415</c:v>
                </c:pt>
                <c:pt idx="1">
                  <c:v>11514.599999999336</c:v>
                </c:pt>
                <c:pt idx="2">
                  <c:v>13260.600000000341</c:v>
                </c:pt>
                <c:pt idx="3">
                  <c:v>13463.700000000244</c:v>
                </c:pt>
                <c:pt idx="4">
                  <c:v>15021.600000000035</c:v>
                </c:pt>
                <c:pt idx="5">
                  <c:v>15974.399999999878</c:v>
                </c:pt>
                <c:pt idx="6">
                  <c:v>15991.800000000148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5B-46CE-8D31-9AC2E5AC07C2}"/>
            </c:ext>
          </c:extLst>
        </c:ser>
        <c:ser>
          <c:idx val="4"/>
          <c:order val="4"/>
          <c:tx>
            <c:strRef>
              <c:f>'Thang 5'!$H$2:$H$3</c:f>
              <c:strCache>
                <c:ptCount val="2"/>
                <c:pt idx="0">
                  <c:v>1250 KVA-3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'Thang 5'!$C$4:$C$34</c:f>
              <c:numCache>
                <c:formatCode>m/d;@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</c:numCache>
            </c:numRef>
          </c:cat>
          <c:val>
            <c:numRef>
              <c:f>'Thang 5'!$H$4:$H$34</c:f>
              <c:numCache>
                <c:formatCode>_(* #,##0_);_(* \(#,##0\);_(* "-"??_);_(@_)</c:formatCode>
                <c:ptCount val="31"/>
                <c:pt idx="0">
                  <c:v>154.4999999999618</c:v>
                </c:pt>
                <c:pt idx="1">
                  <c:v>6367.1999999999798</c:v>
                </c:pt>
                <c:pt idx="2">
                  <c:v>7320.900000000006</c:v>
                </c:pt>
                <c:pt idx="3">
                  <c:v>11597.400000000038</c:v>
                </c:pt>
                <c:pt idx="4">
                  <c:v>12791.999999999962</c:v>
                </c:pt>
                <c:pt idx="5">
                  <c:v>12375.900000000047</c:v>
                </c:pt>
                <c:pt idx="6">
                  <c:v>14762.399999999958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5B-46CE-8D31-9AC2E5AC07C2}"/>
            </c:ext>
          </c:extLst>
        </c:ser>
        <c:ser>
          <c:idx val="5"/>
          <c:order val="5"/>
          <c:tx>
            <c:strRef>
              <c:f>'Thang 5'!$I$2:$I$3</c:f>
              <c:strCache>
                <c:ptCount val="2"/>
                <c:pt idx="0">
                  <c:v>Total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'Thang 5'!$C$4:$C$34</c:f>
              <c:numCache>
                <c:formatCode>m/d;@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</c:numCache>
            </c:numRef>
          </c:cat>
          <c:val>
            <c:numRef>
              <c:f>'Thang 5'!$I$4:$I$34</c:f>
              <c:numCache>
                <c:formatCode>_(* #,##0_);_(* \(#,##0\);_(* "-"??_);_(@_)</c:formatCode>
                <c:ptCount val="31"/>
                <c:pt idx="0">
                  <c:v>16048.05999999814</c:v>
                </c:pt>
                <c:pt idx="1">
                  <c:v>68292.99999999904</c:v>
                </c:pt>
                <c:pt idx="2">
                  <c:v>97789.340000000841</c:v>
                </c:pt>
                <c:pt idx="3">
                  <c:v>114685.45999999903</c:v>
                </c:pt>
                <c:pt idx="4">
                  <c:v>123347.16000000191</c:v>
                </c:pt>
                <c:pt idx="5">
                  <c:v>124782.57999999897</c:v>
                </c:pt>
                <c:pt idx="6">
                  <c:v>130006.72000000151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5B-46CE-8D31-9AC2E5AC0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736840"/>
        <c:axId val="524139376"/>
      </c:lineChart>
      <c:dateAx>
        <c:axId val="526736840"/>
        <c:scaling>
          <c:orientation val="minMax"/>
        </c:scaling>
        <c:delete val="0"/>
        <c:axPos val="b"/>
        <c:numFmt formatCode="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4139376"/>
        <c:crosses val="autoZero"/>
        <c:auto val="1"/>
        <c:lblOffset val="100"/>
        <c:baseTimeUnit val="days"/>
      </c:dateAx>
      <c:valAx>
        <c:axId val="52413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6736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209550</xdr:colOff>
      <xdr:row>1</xdr:row>
      <xdr:rowOff>9525</xdr:rowOff>
    </xdr:from>
    <xdr:to>
      <xdr:col>31</xdr:col>
      <xdr:colOff>0</xdr:colOff>
      <xdr:row>35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209550</xdr:colOff>
      <xdr:row>1</xdr:row>
      <xdr:rowOff>9525</xdr:rowOff>
    </xdr:from>
    <xdr:to>
      <xdr:col>31</xdr:col>
      <xdr:colOff>0</xdr:colOff>
      <xdr:row>35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209550</xdr:colOff>
      <xdr:row>1</xdr:row>
      <xdr:rowOff>9525</xdr:rowOff>
    </xdr:from>
    <xdr:to>
      <xdr:col>31</xdr:col>
      <xdr:colOff>0</xdr:colOff>
      <xdr:row>35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209550</xdr:colOff>
      <xdr:row>1</xdr:row>
      <xdr:rowOff>9525</xdr:rowOff>
    </xdr:from>
    <xdr:to>
      <xdr:col>31</xdr:col>
      <xdr:colOff>0</xdr:colOff>
      <xdr:row>35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209550</xdr:colOff>
      <xdr:row>1</xdr:row>
      <xdr:rowOff>9525</xdr:rowOff>
    </xdr:from>
    <xdr:to>
      <xdr:col>31</xdr:col>
      <xdr:colOff>0</xdr:colOff>
      <xdr:row>35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5"/>
  <sheetViews>
    <sheetView zoomScale="85" zoomScaleNormal="85" workbookViewId="0">
      <selection activeCell="H41" sqref="H41"/>
    </sheetView>
  </sheetViews>
  <sheetFormatPr defaultRowHeight="16.5" x14ac:dyDescent="0.3"/>
  <cols>
    <col min="2" max="2" width="9.125" style="3"/>
    <col min="4" max="9" width="11.75" customWidth="1"/>
  </cols>
  <sheetData>
    <row r="2" spans="2:9" s="5" customFormat="1" x14ac:dyDescent="0.3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</row>
    <row r="3" spans="2:9" s="5" customFormat="1" x14ac:dyDescent="0.3">
      <c r="B3" s="4"/>
      <c r="C3" s="6"/>
      <c r="D3" s="4" t="s">
        <v>8</v>
      </c>
      <c r="E3" s="4" t="s">
        <v>8</v>
      </c>
      <c r="F3" s="4" t="s">
        <v>8</v>
      </c>
      <c r="G3" s="4" t="s">
        <v>8</v>
      </c>
      <c r="H3" s="4" t="s">
        <v>8</v>
      </c>
      <c r="I3" s="4" t="s">
        <v>8</v>
      </c>
    </row>
    <row r="4" spans="2:9" x14ac:dyDescent="0.3">
      <c r="B4" s="2">
        <v>1</v>
      </c>
      <c r="C4" s="7">
        <v>46023</v>
      </c>
      <c r="D4" s="8">
        <v>39008.999999998196</v>
      </c>
      <c r="E4" s="8">
        <v>30538.879999998026</v>
      </c>
      <c r="F4" s="8">
        <v>13826.399999999558</v>
      </c>
      <c r="G4" s="8">
        <v>9956.0999999999694</v>
      </c>
      <c r="H4" s="8">
        <v>12776.699999999983</v>
      </c>
      <c r="I4" s="8">
        <v>106107.07999999574</v>
      </c>
    </row>
    <row r="5" spans="2:9" x14ac:dyDescent="0.3">
      <c r="B5" s="2">
        <v>2</v>
      </c>
      <c r="C5" s="7">
        <v>46024</v>
      </c>
      <c r="D5" s="8">
        <v>45500.999999996566</v>
      </c>
      <c r="E5" s="8">
        <v>35347.199999999721</v>
      </c>
      <c r="F5" s="8">
        <v>17764.79999999865</v>
      </c>
      <c r="G5" s="8">
        <v>11426.399999999921</v>
      </c>
      <c r="H5" s="8">
        <v>14452.499999999782</v>
      </c>
      <c r="I5" s="8">
        <v>124491.89999999464</v>
      </c>
    </row>
    <row r="6" spans="2:9" x14ac:dyDescent="0.3">
      <c r="B6" s="2">
        <v>3</v>
      </c>
      <c r="C6" s="7">
        <v>46025</v>
      </c>
      <c r="D6" s="8">
        <v>46004.000000000815</v>
      </c>
      <c r="E6" s="8">
        <v>35596.799999999348</v>
      </c>
      <c r="F6" s="8">
        <v>18065.200000000186</v>
      </c>
      <c r="G6" s="8">
        <v>11968.800000000192</v>
      </c>
      <c r="H6" s="8">
        <v>14861.699999999109</v>
      </c>
      <c r="I6" s="8">
        <v>126496.49999999965</v>
      </c>
    </row>
    <row r="7" spans="2:9" x14ac:dyDescent="0.3">
      <c r="B7" s="2">
        <v>4</v>
      </c>
      <c r="C7" s="7">
        <v>46026</v>
      </c>
      <c r="D7" s="8">
        <v>46890.999999995984</v>
      </c>
      <c r="E7" s="8">
        <v>35687.679999999236</v>
      </c>
      <c r="F7" s="8">
        <v>17244.800000000396</v>
      </c>
      <c r="G7" s="8">
        <v>11836.199999999917</v>
      </c>
      <c r="H7" s="8">
        <v>14552.699999999459</v>
      </c>
      <c r="I7" s="8">
        <v>126212.379999995</v>
      </c>
    </row>
    <row r="8" spans="2:9" x14ac:dyDescent="0.3">
      <c r="B8" s="2">
        <v>5</v>
      </c>
      <c r="C8" s="7">
        <v>46027</v>
      </c>
      <c r="D8" s="8">
        <v>46955.999999998312</v>
      </c>
      <c r="E8" s="8">
        <v>36071.040000000503</v>
      </c>
      <c r="F8" s="8">
        <v>17932.799999997951</v>
      </c>
      <c r="G8" s="8">
        <v>11526.000000000022</v>
      </c>
      <c r="H8" s="8">
        <v>14661.599999999817</v>
      </c>
      <c r="I8" s="8">
        <v>127147.43999999661</v>
      </c>
    </row>
    <row r="9" spans="2:9" x14ac:dyDescent="0.3">
      <c r="B9" s="2">
        <v>6</v>
      </c>
      <c r="C9" s="7">
        <v>46028</v>
      </c>
      <c r="D9" s="8">
        <v>46338.999999999942</v>
      </c>
      <c r="E9" s="8">
        <v>35913.600000001024</v>
      </c>
      <c r="F9" s="8">
        <v>17957.600000000093</v>
      </c>
      <c r="G9" s="8">
        <v>10755.000000000109</v>
      </c>
      <c r="H9" s="8">
        <v>14458.799999999974</v>
      </c>
      <c r="I9" s="8">
        <v>125424.00000000115</v>
      </c>
    </row>
    <row r="10" spans="2:9" x14ac:dyDescent="0.3">
      <c r="B10" s="2">
        <v>7</v>
      </c>
      <c r="C10" s="7">
        <v>46029</v>
      </c>
      <c r="D10" s="8">
        <v>41307.999999997264</v>
      </c>
      <c r="E10" s="8">
        <v>37495.679999999702</v>
      </c>
      <c r="F10" s="8">
        <v>17290.400000000955</v>
      </c>
      <c r="G10" s="8">
        <v>11255.70000000007</v>
      </c>
      <c r="H10" s="8">
        <v>13710.300000000279</v>
      </c>
      <c r="I10" s="8">
        <v>121060.07999999827</v>
      </c>
    </row>
    <row r="11" spans="2:9" x14ac:dyDescent="0.3">
      <c r="B11" s="2">
        <v>8</v>
      </c>
      <c r="C11" s="7">
        <v>46030</v>
      </c>
      <c r="D11" s="8">
        <v>43167.000000001281</v>
      </c>
      <c r="E11" s="8">
        <v>35639.679999998771</v>
      </c>
      <c r="F11" s="8">
        <v>17475.200000000768</v>
      </c>
      <c r="G11" s="8">
        <v>10989.899999999943</v>
      </c>
      <c r="H11" s="8">
        <v>12783.000000000175</v>
      </c>
      <c r="I11" s="8">
        <v>120054.78000000093</v>
      </c>
    </row>
    <row r="12" spans="2:9" x14ac:dyDescent="0.3">
      <c r="B12" s="2">
        <v>9</v>
      </c>
      <c r="C12" s="7">
        <v>46031</v>
      </c>
      <c r="D12" s="8">
        <v>34201.000000000931</v>
      </c>
      <c r="E12" s="8">
        <v>35431.680000000633</v>
      </c>
      <c r="F12" s="8">
        <v>18224.400000000605</v>
      </c>
      <c r="G12" s="8">
        <v>11439.899999999943</v>
      </c>
      <c r="H12" s="8">
        <v>14246.699999999328</v>
      </c>
      <c r="I12" s="8">
        <v>113543.68000000143</v>
      </c>
    </row>
    <row r="13" spans="2:9" x14ac:dyDescent="0.3">
      <c r="B13" s="2">
        <v>10</v>
      </c>
      <c r="C13" s="7">
        <v>46032</v>
      </c>
      <c r="D13" s="8">
        <v>28159.999999996217</v>
      </c>
      <c r="E13" s="8">
        <v>35503.999999999069</v>
      </c>
      <c r="F13" s="8">
        <v>18280.799999998999</v>
      </c>
      <c r="G13" s="8">
        <v>11598.899999999594</v>
      </c>
      <c r="H13" s="8">
        <v>13241.099999999642</v>
      </c>
      <c r="I13" s="8">
        <v>106784.79999999351</v>
      </c>
    </row>
    <row r="14" spans="2:9" x14ac:dyDescent="0.3">
      <c r="B14" s="2">
        <v>11</v>
      </c>
      <c r="C14" s="7">
        <v>46033</v>
      </c>
      <c r="D14" s="8">
        <v>43760.000000002037</v>
      </c>
      <c r="E14" s="8">
        <v>34444.799999999814</v>
      </c>
      <c r="F14" s="8">
        <v>18706.79999999993</v>
      </c>
      <c r="G14" s="8">
        <v>10848.300000000017</v>
      </c>
      <c r="H14" s="8">
        <v>13926.000000000568</v>
      </c>
      <c r="I14" s="8">
        <v>121685.90000000237</v>
      </c>
    </row>
    <row r="15" spans="2:9" x14ac:dyDescent="0.3">
      <c r="B15" s="2">
        <v>12</v>
      </c>
      <c r="C15" s="7">
        <v>46034</v>
      </c>
      <c r="D15" s="8">
        <v>36195.999999996275</v>
      </c>
      <c r="E15" s="8">
        <v>35420.160000000615</v>
      </c>
      <c r="F15" s="8">
        <v>18448.000000001048</v>
      </c>
      <c r="G15" s="8">
        <v>10723.799999999756</v>
      </c>
      <c r="H15" s="8">
        <v>14301.900000000751</v>
      </c>
      <c r="I15" s="8">
        <v>115089.85999999844</v>
      </c>
    </row>
    <row r="16" spans="2:9" x14ac:dyDescent="0.3">
      <c r="B16" s="2">
        <v>13</v>
      </c>
      <c r="C16" s="7">
        <v>46035</v>
      </c>
      <c r="D16" s="8">
        <v>41997.999999999593</v>
      </c>
      <c r="E16" s="8">
        <v>34491.520000000019</v>
      </c>
      <c r="F16" s="8">
        <v>18597.599999999511</v>
      </c>
      <c r="G16" s="8">
        <v>12071.700000000419</v>
      </c>
      <c r="H16" s="8">
        <v>14006.399999999485</v>
      </c>
      <c r="I16" s="8">
        <v>121165.21999999903</v>
      </c>
    </row>
    <row r="17" spans="2:9" x14ac:dyDescent="0.3">
      <c r="B17" s="2">
        <v>14</v>
      </c>
      <c r="C17" s="7">
        <v>46036</v>
      </c>
      <c r="D17" s="8">
        <v>33203.000000001339</v>
      </c>
      <c r="E17" s="8">
        <v>32356.480000000447</v>
      </c>
      <c r="F17" s="8">
        <v>13858.400000000256</v>
      </c>
      <c r="G17" s="8">
        <v>10600.200000000223</v>
      </c>
      <c r="H17" s="8">
        <v>10847.099999999773</v>
      </c>
      <c r="I17" s="8">
        <v>100865.18000000203</v>
      </c>
    </row>
    <row r="18" spans="2:9" x14ac:dyDescent="0.3">
      <c r="B18" s="2">
        <v>15</v>
      </c>
      <c r="C18" s="7">
        <v>46037</v>
      </c>
      <c r="D18" s="8">
        <v>35014.999999999418</v>
      </c>
      <c r="E18" s="8">
        <v>36148.479999999981</v>
      </c>
      <c r="F18" s="8">
        <v>15518.799999999464</v>
      </c>
      <c r="G18" s="8">
        <v>10753.199999999742</v>
      </c>
      <c r="H18" s="8">
        <v>13431.900000000314</v>
      </c>
      <c r="I18" s="8">
        <v>110867.37999999893</v>
      </c>
    </row>
    <row r="19" spans="2:9" x14ac:dyDescent="0.3">
      <c r="B19" s="2">
        <v>16</v>
      </c>
      <c r="C19" s="7">
        <v>46038</v>
      </c>
      <c r="D19" s="8">
        <v>27924.999999995634</v>
      </c>
      <c r="E19" s="8">
        <v>35332.480000001378</v>
      </c>
      <c r="F19" s="8">
        <v>16533.600000001024</v>
      </c>
      <c r="G19" s="8">
        <v>11474.699999999939</v>
      </c>
      <c r="H19" s="8">
        <v>14459.700000000157</v>
      </c>
      <c r="I19" s="8">
        <v>105725.47999999813</v>
      </c>
    </row>
    <row r="20" spans="2:9" x14ac:dyDescent="0.3">
      <c r="B20" s="2">
        <v>17</v>
      </c>
      <c r="C20" s="7">
        <v>46039</v>
      </c>
      <c r="D20" s="8">
        <v>33057.000000000698</v>
      </c>
      <c r="E20" s="8">
        <v>35827.200000002049</v>
      </c>
      <c r="F20" s="8">
        <v>17500</v>
      </c>
      <c r="G20" s="8">
        <v>11428.499999999804</v>
      </c>
      <c r="H20" s="8">
        <v>13981.199999999808</v>
      </c>
      <c r="I20" s="8">
        <v>111793.90000000235</v>
      </c>
    </row>
    <row r="21" spans="2:9" x14ac:dyDescent="0.3">
      <c r="B21" s="2">
        <v>18</v>
      </c>
      <c r="C21" s="7">
        <v>46040</v>
      </c>
      <c r="D21" s="8">
        <v>28360.999999997148</v>
      </c>
      <c r="E21" s="8">
        <v>35376.000000000931</v>
      </c>
      <c r="F21" s="8">
        <v>17664.400000000023</v>
      </c>
      <c r="G21" s="8">
        <v>11570.699999999852</v>
      </c>
      <c r="H21" s="8">
        <v>14620.799999999144</v>
      </c>
      <c r="I21" s="8">
        <v>107592.8999999971</v>
      </c>
    </row>
    <row r="22" spans="2:9" x14ac:dyDescent="0.3">
      <c r="B22" s="2">
        <v>19</v>
      </c>
      <c r="C22" s="7">
        <v>46041</v>
      </c>
      <c r="D22" s="8">
        <v>43038.000000000466</v>
      </c>
      <c r="E22" s="8">
        <v>36172.800000000279</v>
      </c>
      <c r="F22" s="8">
        <v>17324.000000001979</v>
      </c>
      <c r="G22" s="8">
        <v>11272.499999999673</v>
      </c>
      <c r="H22" s="8">
        <v>14432.700000000114</v>
      </c>
      <c r="I22" s="8">
        <v>122240.00000000252</v>
      </c>
    </row>
    <row r="23" spans="2:9" x14ac:dyDescent="0.3">
      <c r="B23" s="2">
        <v>20</v>
      </c>
      <c r="C23" s="7">
        <v>46042</v>
      </c>
      <c r="D23" s="8">
        <v>28536.999999996624</v>
      </c>
      <c r="E23" s="8">
        <v>35579.520000000484</v>
      </c>
      <c r="F23" s="8">
        <v>17795.999999999185</v>
      </c>
      <c r="G23" s="8">
        <v>11132.099999999991</v>
      </c>
      <c r="H23" s="8">
        <v>14105.099999999948</v>
      </c>
      <c r="I23" s="8">
        <v>107149.71999999623</v>
      </c>
    </row>
    <row r="24" spans="2:9" x14ac:dyDescent="0.3">
      <c r="B24" s="2">
        <v>21</v>
      </c>
      <c r="C24" s="7">
        <v>46043</v>
      </c>
      <c r="D24" s="8">
        <v>36644.999999996799</v>
      </c>
      <c r="E24" s="8">
        <v>34572.160000000149</v>
      </c>
      <c r="F24" s="8">
        <v>16302.800000002026</v>
      </c>
      <c r="G24" s="8">
        <v>9577.8000000003885</v>
      </c>
      <c r="H24" s="8">
        <v>13930.19999999924</v>
      </c>
      <c r="I24" s="8">
        <v>111027.95999999861</v>
      </c>
    </row>
    <row r="25" spans="2:9" x14ac:dyDescent="0.3">
      <c r="B25" s="2">
        <v>22</v>
      </c>
      <c r="C25" s="7">
        <v>46044</v>
      </c>
      <c r="D25" s="8">
        <v>40647.000000004482</v>
      </c>
      <c r="E25" s="8">
        <v>35937.919999998994</v>
      </c>
      <c r="F25" s="8">
        <v>17253.200000000652</v>
      </c>
      <c r="G25" s="8">
        <v>10255.800000000454</v>
      </c>
      <c r="H25" s="8">
        <v>13427.400000000489</v>
      </c>
      <c r="I25" s="8">
        <v>117521.32000000507</v>
      </c>
    </row>
    <row r="26" spans="2:9" x14ac:dyDescent="0.3">
      <c r="B26" s="2">
        <v>23</v>
      </c>
      <c r="C26" s="7">
        <v>46045</v>
      </c>
      <c r="D26" s="8">
        <v>42713.000000003376</v>
      </c>
      <c r="E26" s="8">
        <v>37413.759999999311</v>
      </c>
      <c r="F26" s="8">
        <v>17118.400000000838</v>
      </c>
      <c r="G26" s="8">
        <v>11105.099999999948</v>
      </c>
      <c r="H26" s="8">
        <v>13920.299999999406</v>
      </c>
      <c r="I26" s="8">
        <v>122270.56000000288</v>
      </c>
    </row>
    <row r="27" spans="2:9" x14ac:dyDescent="0.3">
      <c r="B27" s="2">
        <v>24</v>
      </c>
      <c r="C27" s="7">
        <v>46046</v>
      </c>
      <c r="D27" s="8">
        <v>46095.99999999773</v>
      </c>
      <c r="E27" s="8">
        <v>37932.800000000279</v>
      </c>
      <c r="F27" s="8">
        <v>17613.59999999986</v>
      </c>
      <c r="G27" s="8">
        <v>10326.899999999659</v>
      </c>
      <c r="H27" s="8">
        <v>14728.500000000349</v>
      </c>
      <c r="I27" s="8">
        <v>126697.79999999788</v>
      </c>
    </row>
    <row r="28" spans="2:9" x14ac:dyDescent="0.3">
      <c r="B28" s="2">
        <v>25</v>
      </c>
      <c r="C28" s="7">
        <v>46047</v>
      </c>
      <c r="D28" s="8">
        <v>44091.000000000349</v>
      </c>
      <c r="E28" s="8">
        <v>36484.479999998584</v>
      </c>
      <c r="F28" s="8">
        <v>15755.999999999767</v>
      </c>
      <c r="G28" s="8">
        <v>10295.100000000275</v>
      </c>
      <c r="H28" s="8">
        <v>14295.90000000062</v>
      </c>
      <c r="I28" s="8">
        <v>120922.47999999959</v>
      </c>
    </row>
    <row r="29" spans="2:9" x14ac:dyDescent="0.3">
      <c r="B29" s="2">
        <v>26</v>
      </c>
      <c r="C29" s="7">
        <v>46048</v>
      </c>
      <c r="D29" s="8">
        <v>43510.999999998603</v>
      </c>
      <c r="E29" s="8">
        <v>34915.840000000317</v>
      </c>
      <c r="F29" s="8">
        <v>15314.400000000023</v>
      </c>
      <c r="G29" s="8">
        <v>11502.600000000166</v>
      </c>
      <c r="H29" s="8">
        <v>14445.300000000498</v>
      </c>
      <c r="I29" s="8">
        <v>119689.13999999961</v>
      </c>
    </row>
    <row r="30" spans="2:9" x14ac:dyDescent="0.3">
      <c r="B30" s="2">
        <v>27</v>
      </c>
      <c r="C30" s="7">
        <v>46049</v>
      </c>
      <c r="D30" s="8">
        <v>41544.000000001688</v>
      </c>
      <c r="E30" s="8">
        <v>35307.519999998622</v>
      </c>
      <c r="F30" s="8">
        <v>15352.000000001863</v>
      </c>
      <c r="G30" s="8">
        <v>11781.300000000192</v>
      </c>
      <c r="H30" s="8">
        <v>13825.499999999738</v>
      </c>
      <c r="I30" s="8">
        <v>117810.3200000021</v>
      </c>
    </row>
    <row r="31" spans="2:9" x14ac:dyDescent="0.3">
      <c r="B31" s="2">
        <v>28</v>
      </c>
      <c r="C31" s="7">
        <v>46050</v>
      </c>
      <c r="D31" s="8">
        <v>37613.000000004831</v>
      </c>
      <c r="E31" s="8">
        <v>25151.999999999534</v>
      </c>
      <c r="F31" s="8">
        <v>12821.199999999953</v>
      </c>
      <c r="G31" s="8">
        <v>8191.5000000000873</v>
      </c>
      <c r="H31" s="8">
        <v>9682.2000000003754</v>
      </c>
      <c r="I31" s="8">
        <v>93459.900000004782</v>
      </c>
    </row>
    <row r="32" spans="2:9" x14ac:dyDescent="0.3">
      <c r="B32" s="2">
        <v>29</v>
      </c>
      <c r="C32" s="7">
        <v>46051</v>
      </c>
      <c r="D32" s="8">
        <v>40372.000000003027</v>
      </c>
      <c r="E32" s="8">
        <v>32571.520000000019</v>
      </c>
      <c r="F32" s="8">
        <v>15398.7999999983</v>
      </c>
      <c r="G32" s="8">
        <v>8897.3999999998341</v>
      </c>
      <c r="H32" s="8">
        <v>12584.999999999127</v>
      </c>
      <c r="I32" s="8">
        <v>109824.72000000031</v>
      </c>
    </row>
    <row r="33" spans="2:9" x14ac:dyDescent="0.3">
      <c r="B33" s="2">
        <v>30</v>
      </c>
      <c r="C33" s="7">
        <v>46052</v>
      </c>
      <c r="D33" s="8">
        <v>43194.999999999709</v>
      </c>
      <c r="E33" s="8">
        <v>35247.360000000335</v>
      </c>
      <c r="F33" s="8">
        <v>17473.600000000442</v>
      </c>
      <c r="G33" s="8">
        <v>11601.000000000022</v>
      </c>
      <c r="H33" s="8">
        <v>14853.299999999581</v>
      </c>
      <c r="I33" s="8">
        <v>122370.2600000001</v>
      </c>
    </row>
    <row r="34" spans="2:9" x14ac:dyDescent="0.3">
      <c r="B34" s="2">
        <v>31</v>
      </c>
      <c r="C34" s="7">
        <v>46053</v>
      </c>
      <c r="D34" s="8">
        <v>33853.000000002794</v>
      </c>
      <c r="E34" s="8">
        <v>28719.360000002198</v>
      </c>
      <c r="F34" s="8">
        <v>14673.600000000442</v>
      </c>
      <c r="G34" s="8">
        <v>10337.699999999677</v>
      </c>
      <c r="H34" s="8">
        <v>10797.599999999511</v>
      </c>
      <c r="I34" s="8">
        <v>98381.260000004622</v>
      </c>
    </row>
    <row r="35" spans="2:9" x14ac:dyDescent="0.3">
      <c r="B35" s="2" t="s">
        <v>9</v>
      </c>
      <c r="C35" s="1"/>
      <c r="D35" s="8"/>
      <c r="E35" s="8"/>
      <c r="F35" s="8"/>
      <c r="G35" s="8"/>
      <c r="H35" s="8"/>
      <c r="I35" s="8">
        <v>3175232.4999999958</v>
      </c>
    </row>
  </sheetData>
  <phoneticPr fontId="3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35"/>
  <sheetViews>
    <sheetView zoomScale="85" zoomScaleNormal="85" workbookViewId="0">
      <selection activeCell="I25" sqref="I25:I31"/>
    </sheetView>
  </sheetViews>
  <sheetFormatPr defaultRowHeight="16.5" x14ac:dyDescent="0.3"/>
  <cols>
    <col min="2" max="2" width="9.125" style="3"/>
    <col min="4" max="9" width="11.75" customWidth="1"/>
  </cols>
  <sheetData>
    <row r="2" spans="2:9" s="5" customFormat="1" x14ac:dyDescent="0.3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</row>
    <row r="3" spans="2:9" s="5" customFormat="1" x14ac:dyDescent="0.3">
      <c r="B3" s="4"/>
      <c r="C3" s="6"/>
      <c r="D3" s="4" t="s">
        <v>8</v>
      </c>
      <c r="E3" s="4" t="s">
        <v>8</v>
      </c>
      <c r="F3" s="4" t="s">
        <v>8</v>
      </c>
      <c r="G3" s="4" t="s">
        <v>8</v>
      </c>
      <c r="H3" s="4" t="s">
        <v>8</v>
      </c>
      <c r="I3" s="4" t="s">
        <v>8</v>
      </c>
    </row>
    <row r="4" spans="2:9" x14ac:dyDescent="0.3">
      <c r="B4" s="2">
        <v>1</v>
      </c>
      <c r="C4" s="7">
        <v>46054</v>
      </c>
      <c r="D4" s="8">
        <v>39010.999999998603</v>
      </c>
      <c r="E4" s="8">
        <v>32424.320000000298</v>
      </c>
      <c r="F4" s="8">
        <v>14092.399999999907</v>
      </c>
      <c r="G4" s="8">
        <v>10299.000000000524</v>
      </c>
      <c r="H4" s="8">
        <v>11410.499999999956</v>
      </c>
      <c r="I4" s="8">
        <v>107237.21999999929</v>
      </c>
    </row>
    <row r="5" spans="2:9" x14ac:dyDescent="0.3">
      <c r="B5" s="2">
        <v>2</v>
      </c>
      <c r="C5" s="7">
        <v>46055</v>
      </c>
      <c r="D5" s="8">
        <v>38216.999999996915</v>
      </c>
      <c r="E5" s="8">
        <v>31653.760000001639</v>
      </c>
      <c r="F5" s="8">
        <v>14603.199999997742</v>
      </c>
      <c r="G5" s="8">
        <v>9828.6000000007334</v>
      </c>
      <c r="H5" s="8">
        <v>12277.200000000812</v>
      </c>
      <c r="I5" s="8">
        <v>106579.75999999784</v>
      </c>
    </row>
    <row r="6" spans="2:9" x14ac:dyDescent="0.3">
      <c r="B6" s="2">
        <v>3</v>
      </c>
      <c r="C6" s="7">
        <v>46056</v>
      </c>
      <c r="D6" s="8">
        <v>42921.000000002095</v>
      </c>
      <c r="E6" s="8">
        <v>34335.999999998603</v>
      </c>
      <c r="F6" s="8">
        <v>15597.200000000885</v>
      </c>
      <c r="G6" s="8">
        <v>10548.90000000014</v>
      </c>
      <c r="H6" s="8">
        <v>13044.29999999993</v>
      </c>
      <c r="I6" s="8">
        <v>116447.40000000165</v>
      </c>
    </row>
    <row r="7" spans="2:9" x14ac:dyDescent="0.3">
      <c r="B7" s="2">
        <v>4</v>
      </c>
      <c r="C7" s="7">
        <v>46057</v>
      </c>
      <c r="D7" s="8">
        <v>43370.000000002619</v>
      </c>
      <c r="E7" s="8">
        <v>35376.000000000931</v>
      </c>
      <c r="F7" s="8">
        <v>15278.39999999851</v>
      </c>
      <c r="G7" s="8">
        <v>11307.89999999979</v>
      </c>
      <c r="H7" s="8">
        <v>12434.100000000035</v>
      </c>
      <c r="I7" s="8">
        <v>117766.40000000189</v>
      </c>
    </row>
    <row r="8" spans="2:9" x14ac:dyDescent="0.3">
      <c r="B8" s="2">
        <v>5</v>
      </c>
      <c r="C8" s="7">
        <v>46058</v>
      </c>
      <c r="D8" s="8">
        <v>41341.000000000349</v>
      </c>
      <c r="E8" s="8">
        <v>35301.119999999646</v>
      </c>
      <c r="F8" s="8">
        <v>15133.600000001024</v>
      </c>
      <c r="G8" s="8">
        <v>10674.000000000524</v>
      </c>
      <c r="H8" s="8">
        <v>12411.899999999878</v>
      </c>
      <c r="I8" s="8">
        <v>114861.62000000142</v>
      </c>
    </row>
    <row r="9" spans="2:9" x14ac:dyDescent="0.3">
      <c r="B9" s="2">
        <v>6</v>
      </c>
      <c r="C9" s="7">
        <v>46059</v>
      </c>
      <c r="D9" s="8">
        <v>41203.000000001339</v>
      </c>
      <c r="E9" s="8">
        <v>35939.839999999385</v>
      </c>
      <c r="F9" s="8">
        <v>16404.800000000978</v>
      </c>
      <c r="G9" s="8">
        <v>10677.000000000044</v>
      </c>
      <c r="H9" s="8">
        <v>13959.599999999773</v>
      </c>
      <c r="I9" s="8">
        <v>118184.24000000152</v>
      </c>
    </row>
    <row r="10" spans="2:9" x14ac:dyDescent="0.3">
      <c r="B10" s="2">
        <v>7</v>
      </c>
      <c r="C10" s="7">
        <v>46060</v>
      </c>
      <c r="D10" s="8">
        <v>41926.999999996042</v>
      </c>
      <c r="E10" s="8">
        <v>38176.639999998733</v>
      </c>
      <c r="F10" s="8">
        <v>17518.799999999464</v>
      </c>
      <c r="G10" s="8">
        <v>12173.700000000463</v>
      </c>
      <c r="H10" s="8">
        <v>13968.599999999424</v>
      </c>
      <c r="I10" s="8">
        <v>123764.73999999413</v>
      </c>
    </row>
    <row r="11" spans="2:9" x14ac:dyDescent="0.3">
      <c r="B11" s="2">
        <v>8</v>
      </c>
      <c r="C11" s="7">
        <v>46061</v>
      </c>
      <c r="D11" s="8">
        <v>41097.000000001572</v>
      </c>
      <c r="E11" s="8">
        <v>35031.039999998175</v>
      </c>
      <c r="F11" s="8">
        <v>14895.599999997648</v>
      </c>
      <c r="G11" s="8">
        <v>11479.799999999886</v>
      </c>
      <c r="H11" s="8">
        <v>10699.200000000201</v>
      </c>
      <c r="I11" s="8">
        <v>113202.63999999748</v>
      </c>
    </row>
    <row r="12" spans="2:9" x14ac:dyDescent="0.3">
      <c r="B12" s="2">
        <v>9</v>
      </c>
      <c r="C12" s="7">
        <v>46062</v>
      </c>
      <c r="D12" s="8">
        <v>38826.000000000931</v>
      </c>
      <c r="E12" s="8">
        <v>34568.319999999367</v>
      </c>
      <c r="F12" s="8">
        <v>14775.999999998021</v>
      </c>
      <c r="G12" s="8">
        <v>12252.300000000105</v>
      </c>
      <c r="H12" s="8">
        <v>13207.800000000498</v>
      </c>
      <c r="I12" s="8">
        <v>113630.41999999892</v>
      </c>
    </row>
    <row r="13" spans="2:9" x14ac:dyDescent="0.3">
      <c r="B13" s="2">
        <v>10</v>
      </c>
      <c r="C13" s="7">
        <v>46063</v>
      </c>
      <c r="D13" s="8">
        <v>37690.999999998894</v>
      </c>
      <c r="E13" s="8">
        <v>37197.439999999478</v>
      </c>
      <c r="F13" s="8">
        <v>16297.200000000885</v>
      </c>
      <c r="G13" s="8">
        <v>13152.000000000044</v>
      </c>
      <c r="H13" s="8">
        <v>13131.899999999223</v>
      </c>
      <c r="I13" s="8">
        <v>117469.53999999852</v>
      </c>
    </row>
    <row r="14" spans="2:9" x14ac:dyDescent="0.3">
      <c r="B14" s="2">
        <v>11</v>
      </c>
      <c r="C14" s="7">
        <v>46064</v>
      </c>
      <c r="D14" s="8">
        <v>39968.000000000757</v>
      </c>
      <c r="E14" s="8">
        <v>37268.479999999981</v>
      </c>
      <c r="F14" s="8">
        <v>17277.199999999721</v>
      </c>
      <c r="G14" s="8">
        <v>12682.800000000498</v>
      </c>
      <c r="H14" s="8">
        <v>15368.999999999869</v>
      </c>
      <c r="I14" s="8">
        <v>122565.48000000083</v>
      </c>
    </row>
    <row r="15" spans="2:9" x14ac:dyDescent="0.3">
      <c r="B15" s="2">
        <v>12</v>
      </c>
      <c r="C15" s="7">
        <v>46065</v>
      </c>
      <c r="D15" s="8">
        <v>23489.000000001397</v>
      </c>
      <c r="E15" s="8">
        <v>30314.880000001285</v>
      </c>
      <c r="F15" s="8">
        <v>16606.399999998393</v>
      </c>
      <c r="G15" s="8">
        <v>9201.5999999995984</v>
      </c>
      <c r="H15" s="8">
        <v>10775.699999999415</v>
      </c>
      <c r="I15" s="8">
        <v>90387.580000000089</v>
      </c>
    </row>
    <row r="16" spans="2:9" x14ac:dyDescent="0.3">
      <c r="B16" s="2">
        <v>13</v>
      </c>
      <c r="C16" s="7">
        <v>46066</v>
      </c>
      <c r="D16" s="8">
        <v>14000</v>
      </c>
      <c r="E16" s="8">
        <v>13280.64000000013</v>
      </c>
      <c r="F16" s="8">
        <v>10154.800000000978</v>
      </c>
      <c r="G16" s="8">
        <v>4852.7999999998428</v>
      </c>
      <c r="H16" s="8">
        <v>3853.8000000004104</v>
      </c>
      <c r="I16" s="8">
        <v>46142.040000001361</v>
      </c>
    </row>
    <row r="17" spans="2:9" x14ac:dyDescent="0.3">
      <c r="B17" s="2">
        <v>14</v>
      </c>
      <c r="C17" s="7">
        <v>46067</v>
      </c>
      <c r="D17" s="8">
        <v>4658.000000003085</v>
      </c>
      <c r="E17" s="8">
        <v>6152.9599999985658</v>
      </c>
      <c r="F17" s="8">
        <v>2560.8000000007451</v>
      </c>
      <c r="G17" s="8">
        <v>4201.8000000003667</v>
      </c>
      <c r="H17" s="8">
        <v>616.20000000002619</v>
      </c>
      <c r="I17" s="8">
        <v>18189.760000002789</v>
      </c>
    </row>
    <row r="18" spans="2:9" x14ac:dyDescent="0.3">
      <c r="B18" s="2">
        <v>15</v>
      </c>
      <c r="C18" s="7">
        <v>46068</v>
      </c>
      <c r="D18" s="8">
        <v>4452.000000004773</v>
      </c>
      <c r="E18" s="8">
        <v>5831.0399999981746</v>
      </c>
      <c r="F18" s="8">
        <v>3492.3999999999069</v>
      </c>
      <c r="G18" s="8">
        <v>4112.6999999996769</v>
      </c>
      <c r="H18" s="8">
        <v>30.599999999685679</v>
      </c>
      <c r="I18" s="8">
        <v>17918.740000002217</v>
      </c>
    </row>
    <row r="19" spans="2:9" x14ac:dyDescent="0.3">
      <c r="B19" s="2">
        <v>16</v>
      </c>
      <c r="C19" s="7">
        <v>46069</v>
      </c>
      <c r="D19" s="8">
        <v>4411.0000000000582</v>
      </c>
      <c r="E19" s="8">
        <v>6042.8799999994226</v>
      </c>
      <c r="F19" s="8">
        <v>2629.6000000002095</v>
      </c>
      <c r="G19" s="8">
        <v>4106.699999999546</v>
      </c>
      <c r="H19" s="8">
        <v>28.200000000288128</v>
      </c>
      <c r="I19" s="8">
        <v>17218.379999999524</v>
      </c>
    </row>
    <row r="20" spans="2:9" x14ac:dyDescent="0.3">
      <c r="B20" s="2">
        <v>17</v>
      </c>
      <c r="C20" s="7">
        <v>46070</v>
      </c>
      <c r="D20" s="8">
        <v>4220.9999999977299</v>
      </c>
      <c r="E20" s="8">
        <v>6059.5200000004843</v>
      </c>
      <c r="F20" s="8">
        <v>1847.9999999981374</v>
      </c>
      <c r="G20" s="8">
        <v>4123.4999999996944</v>
      </c>
      <c r="H20" s="8">
        <v>28.500000000349246</v>
      </c>
      <c r="I20" s="8">
        <v>16280.519999996395</v>
      </c>
    </row>
    <row r="21" spans="2:9" x14ac:dyDescent="0.3">
      <c r="B21" s="2">
        <v>18</v>
      </c>
      <c r="C21" s="7">
        <v>46071</v>
      </c>
      <c r="D21" s="8">
        <v>4512.0000000024447</v>
      </c>
      <c r="E21" s="8">
        <v>5808.640000000596</v>
      </c>
      <c r="F21" s="8">
        <v>2921.1999999999534</v>
      </c>
      <c r="G21" s="8">
        <v>4141.8000000001484</v>
      </c>
      <c r="H21" s="8">
        <v>28.800000000410364</v>
      </c>
      <c r="I21" s="8">
        <v>17412.440000003553</v>
      </c>
    </row>
    <row r="22" spans="2:9" x14ac:dyDescent="0.3">
      <c r="B22" s="2">
        <v>19</v>
      </c>
      <c r="C22" s="7">
        <v>46072</v>
      </c>
      <c r="D22" s="8">
        <v>4486.0000000044238</v>
      </c>
      <c r="E22" s="8">
        <v>5772.160000000149</v>
      </c>
      <c r="F22" s="8">
        <v>3498.4000000025844</v>
      </c>
      <c r="G22" s="8">
        <v>4145.3999999997905</v>
      </c>
      <c r="H22" s="8">
        <v>29.099999999380088</v>
      </c>
      <c r="I22" s="8">
        <v>17931.060000006328</v>
      </c>
    </row>
    <row r="23" spans="2:9" x14ac:dyDescent="0.3">
      <c r="B23" s="2">
        <v>20</v>
      </c>
      <c r="C23" s="7">
        <v>46073</v>
      </c>
      <c r="D23" s="8">
        <v>4533.9999999996508</v>
      </c>
      <c r="E23" s="8">
        <v>5866.2400000006892</v>
      </c>
      <c r="F23" s="8">
        <v>3212.8000000026077</v>
      </c>
      <c r="G23" s="8">
        <v>4139.1000000006898</v>
      </c>
      <c r="H23" s="8">
        <v>28.800000000410364</v>
      </c>
      <c r="I23" s="8">
        <v>17780.940000004048</v>
      </c>
    </row>
    <row r="24" spans="2:9" x14ac:dyDescent="0.3">
      <c r="B24" s="2">
        <v>21</v>
      </c>
      <c r="C24" s="7">
        <v>46074</v>
      </c>
      <c r="D24" s="8">
        <v>7604.9999999959255</v>
      </c>
      <c r="E24" s="8">
        <v>6079.3599999998696</v>
      </c>
      <c r="F24" s="8">
        <v>3595.9999999991851</v>
      </c>
      <c r="G24" s="8">
        <v>4149.0000000005239</v>
      </c>
      <c r="H24" s="8">
        <v>2356.2000000008993</v>
      </c>
      <c r="I24" s="8">
        <v>23785.559999996403</v>
      </c>
    </row>
    <row r="25" spans="2:9" x14ac:dyDescent="0.3">
      <c r="B25" s="2">
        <v>22</v>
      </c>
      <c r="C25" s="7">
        <v>46075</v>
      </c>
      <c r="D25" s="8">
        <v>16521.999999997206</v>
      </c>
      <c r="E25" s="8">
        <v>13791.999999999534</v>
      </c>
      <c r="F25" s="8">
        <v>5396.0000000020955</v>
      </c>
      <c r="G25" s="8">
        <v>5106.3000000001921</v>
      </c>
      <c r="H25" s="8">
        <v>4866.8999999994412</v>
      </c>
      <c r="I25" s="8">
        <v>45683.199999998469</v>
      </c>
    </row>
    <row r="26" spans="2:9" x14ac:dyDescent="0.3">
      <c r="B26" s="2">
        <v>23</v>
      </c>
      <c r="C26" s="7">
        <v>46076</v>
      </c>
      <c r="D26" s="8">
        <v>37290.000000000873</v>
      </c>
      <c r="E26" s="8">
        <v>26583.040000000037</v>
      </c>
      <c r="F26" s="8">
        <v>15472.400000001653</v>
      </c>
      <c r="G26" s="8">
        <v>8164.8000000001048</v>
      </c>
      <c r="H26" s="8">
        <v>10045.499999999083</v>
      </c>
      <c r="I26" s="8">
        <v>97555.740000001751</v>
      </c>
    </row>
    <row r="27" spans="2:9" x14ac:dyDescent="0.3">
      <c r="B27" s="2">
        <v>24</v>
      </c>
      <c r="C27" s="7">
        <v>46077</v>
      </c>
      <c r="D27" s="8">
        <v>46188.000000001921</v>
      </c>
      <c r="E27" s="8">
        <v>33264.639999999199</v>
      </c>
      <c r="F27" s="8">
        <v>17209.200000000419</v>
      </c>
      <c r="G27" s="8">
        <v>10138.799999999537</v>
      </c>
      <c r="H27" s="8">
        <v>11973.600000000079</v>
      </c>
      <c r="I27" s="8">
        <v>118774.24000000115</v>
      </c>
    </row>
    <row r="28" spans="2:9" x14ac:dyDescent="0.3">
      <c r="B28" s="2">
        <v>25</v>
      </c>
      <c r="C28" s="7">
        <v>46078</v>
      </c>
      <c r="D28" s="8">
        <v>45941.99999999546</v>
      </c>
      <c r="E28" s="8">
        <v>35201.920000000391</v>
      </c>
      <c r="F28" s="8">
        <v>17658.799999998882</v>
      </c>
      <c r="G28" s="8">
        <v>10940.999999999258</v>
      </c>
      <c r="H28" s="8">
        <v>12064.500000000044</v>
      </c>
      <c r="I28" s="8">
        <v>121808.21999999403</v>
      </c>
    </row>
    <row r="29" spans="2:9" x14ac:dyDescent="0.3">
      <c r="B29" s="2">
        <v>26</v>
      </c>
      <c r="C29" s="7">
        <v>46079</v>
      </c>
      <c r="D29" s="8">
        <v>46061.000000001513</v>
      </c>
      <c r="E29" s="8">
        <v>35095.679999999702</v>
      </c>
      <c r="F29" s="8">
        <v>17531.600000002072</v>
      </c>
      <c r="G29" s="8">
        <v>11703.899999999703</v>
      </c>
      <c r="H29" s="8">
        <v>12864.900000000489</v>
      </c>
      <c r="I29" s="8">
        <v>123257.08000000348</v>
      </c>
    </row>
    <row r="30" spans="2:9" x14ac:dyDescent="0.3">
      <c r="B30" s="2">
        <v>27</v>
      </c>
      <c r="C30" s="7">
        <v>46080</v>
      </c>
      <c r="D30" s="8">
        <v>45432.999999997264</v>
      </c>
      <c r="E30" s="8">
        <v>36382.719999998808</v>
      </c>
      <c r="F30" s="8">
        <v>17588.399999999092</v>
      </c>
      <c r="G30" s="8">
        <v>11859.600000000864</v>
      </c>
      <c r="H30" s="8">
        <v>13884.899999999834</v>
      </c>
      <c r="I30" s="8">
        <v>125148.61999999586</v>
      </c>
    </row>
    <row r="31" spans="2:9" x14ac:dyDescent="0.3">
      <c r="B31" s="2">
        <v>28</v>
      </c>
      <c r="C31" s="7">
        <v>46081</v>
      </c>
      <c r="D31" s="8">
        <v>46027.000000001863</v>
      </c>
      <c r="E31" s="8">
        <v>34610.560000000987</v>
      </c>
      <c r="F31" s="8">
        <v>18399.599999998463</v>
      </c>
      <c r="G31" s="8">
        <v>11304.60000000021</v>
      </c>
      <c r="H31" s="8">
        <v>12111.599999999817</v>
      </c>
      <c r="I31" s="8">
        <v>122453.36000000134</v>
      </c>
    </row>
    <row r="32" spans="2:9" x14ac:dyDescent="0.3">
      <c r="B32" s="2">
        <v>29</v>
      </c>
      <c r="C32" s="7"/>
      <c r="D32" s="8"/>
      <c r="E32" s="8"/>
      <c r="F32" s="8"/>
      <c r="G32" s="8"/>
      <c r="H32" s="8"/>
      <c r="I32" s="8"/>
    </row>
    <row r="33" spans="2:9" x14ac:dyDescent="0.3">
      <c r="B33" s="2">
        <v>30</v>
      </c>
      <c r="C33" s="7"/>
      <c r="D33" s="8"/>
      <c r="E33" s="8"/>
      <c r="F33" s="8"/>
      <c r="G33" s="8"/>
      <c r="H33" s="8"/>
      <c r="I33" s="8"/>
    </row>
    <row r="34" spans="2:9" x14ac:dyDescent="0.3">
      <c r="B34" s="2">
        <v>31</v>
      </c>
      <c r="C34" s="7"/>
      <c r="D34" s="8"/>
      <c r="E34" s="8"/>
      <c r="F34" s="8"/>
      <c r="G34" s="8"/>
      <c r="H34" s="8"/>
      <c r="I34" s="8"/>
    </row>
    <row r="35" spans="2:9" x14ac:dyDescent="0.3">
      <c r="B35" s="2" t="s">
        <v>9</v>
      </c>
      <c r="C35" s="1"/>
      <c r="D35" s="8"/>
      <c r="E35" s="8"/>
      <c r="F35" s="8"/>
      <c r="G35" s="8"/>
      <c r="H35" s="8"/>
      <c r="I35" s="8">
        <f>SUM(I4:I34)</f>
        <v>2309436.9400000023</v>
      </c>
    </row>
  </sheetData>
  <phoneticPr fontId="3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35"/>
  <sheetViews>
    <sheetView topLeftCell="A3" zoomScale="85" zoomScaleNormal="85" workbookViewId="0">
      <selection activeCell="I21" sqref="I21"/>
    </sheetView>
  </sheetViews>
  <sheetFormatPr defaultRowHeight="16.5" x14ac:dyDescent="0.3"/>
  <cols>
    <col min="2" max="2" width="9.125" style="3"/>
    <col min="4" max="9" width="11.75" customWidth="1"/>
  </cols>
  <sheetData>
    <row r="2" spans="2:9" s="5" customFormat="1" x14ac:dyDescent="0.3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</row>
    <row r="3" spans="2:9" s="5" customFormat="1" x14ac:dyDescent="0.3">
      <c r="B3" s="4"/>
      <c r="C3" s="6"/>
      <c r="D3" s="4" t="s">
        <v>8</v>
      </c>
      <c r="E3" s="4" t="s">
        <v>8</v>
      </c>
      <c r="F3" s="4" t="s">
        <v>8</v>
      </c>
      <c r="G3" s="4" t="s">
        <v>8</v>
      </c>
      <c r="H3" s="4" t="s">
        <v>8</v>
      </c>
      <c r="I3" s="4" t="s">
        <v>8</v>
      </c>
    </row>
    <row r="4" spans="2:9" x14ac:dyDescent="0.3">
      <c r="B4" s="2">
        <v>1</v>
      </c>
      <c r="C4" s="7">
        <v>46082</v>
      </c>
      <c r="D4" s="8">
        <v>47991.99999999837</v>
      </c>
      <c r="E4" s="8">
        <v>34412.160000000149</v>
      </c>
      <c r="F4" s="8">
        <v>19070.39999999979</v>
      </c>
      <c r="G4" s="8">
        <v>11188.200000000506</v>
      </c>
      <c r="H4" s="8">
        <v>13139.999999999782</v>
      </c>
      <c r="I4" s="8">
        <v>125802.7599999986</v>
      </c>
    </row>
    <row r="5" spans="2:9" x14ac:dyDescent="0.3">
      <c r="B5" s="2">
        <v>2</v>
      </c>
      <c r="C5" s="7">
        <v>46083</v>
      </c>
      <c r="D5" s="8">
        <v>48824.000000000524</v>
      </c>
      <c r="E5" s="8">
        <v>34839.680000001099</v>
      </c>
      <c r="F5" s="8">
        <v>19096.000000002095</v>
      </c>
      <c r="G5" s="8">
        <v>12354.60000000021</v>
      </c>
      <c r="H5" s="8">
        <v>12420.600000000559</v>
      </c>
      <c r="I5" s="8">
        <v>127534.88000000449</v>
      </c>
    </row>
    <row r="6" spans="2:9" x14ac:dyDescent="0.3">
      <c r="B6" s="2">
        <v>3</v>
      </c>
      <c r="C6" s="7">
        <v>46084</v>
      </c>
      <c r="D6" s="8">
        <v>45473.000000005413</v>
      </c>
      <c r="E6" s="8">
        <v>34426.88000000082</v>
      </c>
      <c r="F6" s="8">
        <v>18905.600000001141</v>
      </c>
      <c r="G6" s="8">
        <v>14207.099999999991</v>
      </c>
      <c r="H6" s="8">
        <v>12795.90000000062</v>
      </c>
      <c r="I6" s="8">
        <v>125808.48000000798</v>
      </c>
    </row>
    <row r="7" spans="2:9" x14ac:dyDescent="0.3">
      <c r="B7" s="2">
        <v>4</v>
      </c>
      <c r="C7" s="7">
        <v>46085</v>
      </c>
      <c r="D7" s="8">
        <v>44057.999999997264</v>
      </c>
      <c r="E7" s="8">
        <v>34826.88000000082</v>
      </c>
      <c r="F7" s="8">
        <v>18106.79999999993</v>
      </c>
      <c r="G7" s="8">
        <v>14114.099999999598</v>
      </c>
      <c r="H7" s="8">
        <v>15486.299999999756</v>
      </c>
      <c r="I7" s="8">
        <v>126592.07999999737</v>
      </c>
    </row>
    <row r="8" spans="2:9" x14ac:dyDescent="0.3">
      <c r="B8" s="2">
        <v>5</v>
      </c>
      <c r="C8" s="7">
        <v>46086</v>
      </c>
      <c r="D8" s="8">
        <v>46461.999999999534</v>
      </c>
      <c r="E8" s="8">
        <v>35559.040000000969</v>
      </c>
      <c r="F8" s="8">
        <v>18467.600000000675</v>
      </c>
      <c r="G8" s="8">
        <v>14684.100000000035</v>
      </c>
      <c r="H8" s="8">
        <v>15313.799999999537</v>
      </c>
      <c r="I8" s="8">
        <v>130486.54000000075</v>
      </c>
    </row>
    <row r="9" spans="2:9" x14ac:dyDescent="0.3">
      <c r="B9" s="2">
        <v>6</v>
      </c>
      <c r="C9" s="7">
        <v>46087</v>
      </c>
      <c r="D9" s="8">
        <v>32887.99999999901</v>
      </c>
      <c r="E9" s="8">
        <v>34291.199999998789</v>
      </c>
      <c r="F9" s="8">
        <v>17179.60000000021</v>
      </c>
      <c r="G9" s="8">
        <v>14218.20000000007</v>
      </c>
      <c r="H9" s="8">
        <v>15728.399999999965</v>
      </c>
      <c r="I9" s="8">
        <v>114305.39999999804</v>
      </c>
    </row>
    <row r="10" spans="2:9" x14ac:dyDescent="0.3">
      <c r="B10" s="2">
        <v>7</v>
      </c>
      <c r="C10" s="7">
        <v>46088</v>
      </c>
      <c r="D10" s="8">
        <v>19016.00000000326</v>
      </c>
      <c r="E10" s="8">
        <v>20854.40000000177</v>
      </c>
      <c r="F10" s="8">
        <v>9530.4000000003725</v>
      </c>
      <c r="G10" s="8">
        <v>8079.0000000000873</v>
      </c>
      <c r="H10" s="8">
        <v>6770.9999999999127</v>
      </c>
      <c r="I10" s="8">
        <v>64250.800000005402</v>
      </c>
    </row>
    <row r="11" spans="2:9" x14ac:dyDescent="0.3">
      <c r="B11" s="2">
        <v>8</v>
      </c>
      <c r="C11" s="7">
        <v>46089</v>
      </c>
      <c r="D11" s="8">
        <v>21192.999999999302</v>
      </c>
      <c r="E11" s="8">
        <v>24300.800000000745</v>
      </c>
      <c r="F11" s="8">
        <v>10716.000000000349</v>
      </c>
      <c r="G11" s="8">
        <v>9233.3999999995285</v>
      </c>
      <c r="H11" s="8">
        <v>11886.899999999878</v>
      </c>
      <c r="I11" s="8">
        <v>77330.099999999802</v>
      </c>
    </row>
    <row r="12" spans="2:9" x14ac:dyDescent="0.3">
      <c r="B12" s="2">
        <v>9</v>
      </c>
      <c r="C12" s="7">
        <v>46090</v>
      </c>
      <c r="D12" s="8">
        <v>33448.000000003958</v>
      </c>
      <c r="E12" s="8">
        <v>32414.719999998342</v>
      </c>
      <c r="F12" s="8">
        <v>17004.800000000978</v>
      </c>
      <c r="G12" s="8">
        <v>12861.899999999878</v>
      </c>
      <c r="H12" s="8">
        <v>14265.299999999843</v>
      </c>
      <c r="I12" s="8">
        <v>109994.720000003</v>
      </c>
    </row>
    <row r="13" spans="2:9" x14ac:dyDescent="0.3">
      <c r="B13" s="2">
        <v>10</v>
      </c>
      <c r="C13" s="7">
        <v>46091</v>
      </c>
      <c r="D13" s="8">
        <v>37400.000000001455</v>
      </c>
      <c r="E13" s="8">
        <v>32712.960000000894</v>
      </c>
      <c r="F13" s="8">
        <v>18047.200000000885</v>
      </c>
      <c r="G13" s="8">
        <v>14221.799999999712</v>
      </c>
      <c r="H13" s="8">
        <v>13343.999999999869</v>
      </c>
      <c r="I13" s="8">
        <v>115725.96000000281</v>
      </c>
    </row>
    <row r="14" spans="2:9" x14ac:dyDescent="0.3">
      <c r="B14" s="2">
        <v>11</v>
      </c>
      <c r="C14" s="7">
        <v>46092</v>
      </c>
      <c r="D14" s="8">
        <v>29027.000000001863</v>
      </c>
      <c r="E14" s="8">
        <v>33655.679999999702</v>
      </c>
      <c r="F14" s="8">
        <v>18153.599999999278</v>
      </c>
      <c r="G14" s="8">
        <v>14445.599999999467</v>
      </c>
      <c r="H14" s="8">
        <v>12883.499999999913</v>
      </c>
      <c r="I14" s="8">
        <v>108165.38000000022</v>
      </c>
    </row>
    <row r="15" spans="2:9" x14ac:dyDescent="0.3">
      <c r="B15" s="2">
        <v>12</v>
      </c>
      <c r="C15" s="7">
        <v>46093</v>
      </c>
      <c r="D15" s="8">
        <v>33508.999999998196</v>
      </c>
      <c r="E15" s="8">
        <v>34237.439999999478</v>
      </c>
      <c r="F15" s="8">
        <v>18374.400000000605</v>
      </c>
      <c r="G15" s="8">
        <v>14951.699999999983</v>
      </c>
      <c r="H15" s="8">
        <v>13993.500000000131</v>
      </c>
      <c r="I15" s="8">
        <v>115066.03999999839</v>
      </c>
    </row>
    <row r="16" spans="2:9" x14ac:dyDescent="0.3">
      <c r="B16" s="2">
        <v>13</v>
      </c>
      <c r="C16" s="7">
        <v>46094</v>
      </c>
      <c r="D16" s="8">
        <v>31252.999999996973</v>
      </c>
      <c r="E16" s="8">
        <v>33031.040000000503</v>
      </c>
      <c r="F16" s="8">
        <v>18839.600000000792</v>
      </c>
      <c r="G16" s="8">
        <v>14931.000000000131</v>
      </c>
      <c r="H16" s="8">
        <v>13925.099999999293</v>
      </c>
      <c r="I16" s="8">
        <v>111979.73999999769</v>
      </c>
    </row>
    <row r="17" spans="2:9" x14ac:dyDescent="0.3">
      <c r="B17" s="2">
        <v>14</v>
      </c>
      <c r="C17" s="7">
        <v>46095</v>
      </c>
      <c r="D17" s="8">
        <v>33588.999999999942</v>
      </c>
      <c r="E17" s="8">
        <v>33609.599999999627</v>
      </c>
      <c r="F17" s="8">
        <v>18620.799999998417</v>
      </c>
      <c r="G17" s="8">
        <v>15584.999999999127</v>
      </c>
      <c r="H17" s="8">
        <v>14754.300000000148</v>
      </c>
      <c r="I17" s="8">
        <v>116158.69999999726</v>
      </c>
    </row>
    <row r="18" spans="2:9" x14ac:dyDescent="0.3">
      <c r="B18" s="2">
        <v>15</v>
      </c>
      <c r="C18" s="7">
        <v>46096</v>
      </c>
      <c r="D18" s="8">
        <v>30371.999999995751</v>
      </c>
      <c r="E18" s="8">
        <v>32991.999999999534</v>
      </c>
      <c r="F18" s="8">
        <v>18939.199999999255</v>
      </c>
      <c r="G18" s="8">
        <v>14420.39999999979</v>
      </c>
      <c r="H18" s="8">
        <v>14872.200000000157</v>
      </c>
      <c r="I18" s="8">
        <v>111595.79999999449</v>
      </c>
    </row>
    <row r="19" spans="2:9" x14ac:dyDescent="0.3">
      <c r="B19" s="2">
        <v>16</v>
      </c>
      <c r="C19" s="7">
        <v>46097</v>
      </c>
      <c r="D19" s="8">
        <v>37711.999999999534</v>
      </c>
      <c r="E19" s="8">
        <v>33568.000000000466</v>
      </c>
      <c r="F19" s="8">
        <v>18732.800000000861</v>
      </c>
      <c r="G19" s="8">
        <v>15000</v>
      </c>
      <c r="H19" s="8">
        <v>13929.899999999179</v>
      </c>
      <c r="I19" s="8">
        <v>118942.70000000004</v>
      </c>
    </row>
    <row r="20" spans="2:9" x14ac:dyDescent="0.3">
      <c r="B20" s="2">
        <v>17</v>
      </c>
      <c r="C20" s="7">
        <v>46098</v>
      </c>
      <c r="D20" s="8">
        <v>36163.000000000466</v>
      </c>
      <c r="E20" s="8">
        <v>34349.439999999013</v>
      </c>
      <c r="F20" s="8">
        <v>18493.600000001607</v>
      </c>
      <c r="G20" s="8">
        <v>15710.399999999572</v>
      </c>
      <c r="H20" s="8">
        <v>14422.200000000157</v>
      </c>
      <c r="I20" s="8">
        <v>119138.64000000081</v>
      </c>
    </row>
    <row r="21" spans="2:9" x14ac:dyDescent="0.3">
      <c r="B21" s="2">
        <v>18</v>
      </c>
      <c r="C21" s="7">
        <v>46099</v>
      </c>
      <c r="D21" s="8">
        <v>41654.999999998836</v>
      </c>
      <c r="E21" s="8">
        <v>34121.599999999162</v>
      </c>
      <c r="F21" s="8">
        <v>18620.39999999979</v>
      </c>
      <c r="G21" s="8">
        <v>14433.300000000236</v>
      </c>
      <c r="H21" s="8">
        <v>14523.000000001048</v>
      </c>
      <c r="I21" s="8">
        <v>123353.29999999907</v>
      </c>
    </row>
    <row r="22" spans="2:9" x14ac:dyDescent="0.3">
      <c r="B22" s="2">
        <v>19</v>
      </c>
      <c r="C22" s="7">
        <v>46100</v>
      </c>
      <c r="D22" s="8">
        <v>34925.999999999476</v>
      </c>
      <c r="E22" s="8">
        <v>32850.560000000987</v>
      </c>
      <c r="F22" s="8">
        <v>18096.799999999348</v>
      </c>
      <c r="G22" s="8">
        <v>14984.100000000035</v>
      </c>
      <c r="H22" s="8">
        <v>12207.299999999668</v>
      </c>
      <c r="I22" s="8">
        <v>113064.75999999951</v>
      </c>
    </row>
    <row r="23" spans="2:9" x14ac:dyDescent="0.3">
      <c r="B23" s="2">
        <v>20</v>
      </c>
      <c r="C23" s="7">
        <v>46101</v>
      </c>
      <c r="D23" s="8">
        <v>42480.000000003201</v>
      </c>
      <c r="E23" s="8">
        <v>31937.280000001192</v>
      </c>
      <c r="F23" s="8">
        <v>18053.200000000652</v>
      </c>
      <c r="G23" s="8">
        <v>16085.099999999511</v>
      </c>
      <c r="H23" s="8">
        <v>2553.0000000006112</v>
      </c>
      <c r="I23" s="8">
        <v>111108.58000000517</v>
      </c>
    </row>
    <row r="24" spans="2:9" x14ac:dyDescent="0.3">
      <c r="B24" s="2">
        <v>21</v>
      </c>
      <c r="C24" s="7">
        <v>46102</v>
      </c>
      <c r="D24" s="8">
        <v>38569.999999999709</v>
      </c>
      <c r="E24" s="8">
        <v>33212.800000000279</v>
      </c>
      <c r="F24" s="8">
        <v>18235.19999999844</v>
      </c>
      <c r="G24" s="8">
        <v>14939.999999999782</v>
      </c>
      <c r="H24" s="8">
        <v>0</v>
      </c>
      <c r="I24" s="8">
        <v>104957.99999999821</v>
      </c>
    </row>
    <row r="25" spans="2:9" x14ac:dyDescent="0.3">
      <c r="B25" s="2">
        <v>22</v>
      </c>
      <c r="C25" s="7">
        <v>46103</v>
      </c>
      <c r="D25" s="8">
        <v>30401.000000005297</v>
      </c>
      <c r="E25" s="8">
        <v>27653.11999999918</v>
      </c>
      <c r="F25" s="8">
        <v>18172.400000001653</v>
      </c>
      <c r="G25" s="8">
        <v>13136.40000000014</v>
      </c>
      <c r="H25" s="8">
        <v>0</v>
      </c>
      <c r="I25" s="8">
        <v>89362.92000000627</v>
      </c>
    </row>
    <row r="26" spans="2:9" x14ac:dyDescent="0.3">
      <c r="B26" s="2">
        <v>23</v>
      </c>
      <c r="C26" s="7">
        <v>46104</v>
      </c>
      <c r="D26" s="8">
        <v>34089.999999996508</v>
      </c>
      <c r="E26" s="8">
        <v>30947.839999999851</v>
      </c>
      <c r="F26" s="8">
        <v>18115.600000001723</v>
      </c>
      <c r="G26" s="8">
        <v>13796.100000000297</v>
      </c>
      <c r="H26" s="8">
        <v>0</v>
      </c>
      <c r="I26" s="8">
        <v>96949.539999998378</v>
      </c>
    </row>
    <row r="27" spans="2:9" x14ac:dyDescent="0.3">
      <c r="B27" s="2">
        <v>24</v>
      </c>
      <c r="C27" s="7">
        <v>46105</v>
      </c>
      <c r="D27" s="8">
        <v>48599.999999998545</v>
      </c>
      <c r="E27" s="8">
        <v>33662.720000001136</v>
      </c>
      <c r="F27" s="8">
        <v>19440.399999998044</v>
      </c>
      <c r="G27" s="8">
        <v>13562.999999999738</v>
      </c>
      <c r="H27" s="8">
        <v>0</v>
      </c>
      <c r="I27" s="8">
        <v>115266.11999999746</v>
      </c>
    </row>
    <row r="28" spans="2:9" x14ac:dyDescent="0.3">
      <c r="B28" s="2">
        <v>25</v>
      </c>
      <c r="C28" s="7">
        <v>46106</v>
      </c>
      <c r="D28" s="8">
        <v>35017.999999996391</v>
      </c>
      <c r="E28" s="8">
        <v>29197.439999999478</v>
      </c>
      <c r="F28" s="8">
        <v>17694.399999998859</v>
      </c>
      <c r="G28" s="8">
        <v>11518.800000000192</v>
      </c>
      <c r="H28" s="8">
        <v>0</v>
      </c>
      <c r="I28" s="8">
        <v>93428.639999994921</v>
      </c>
    </row>
    <row r="29" spans="2:9" x14ac:dyDescent="0.3">
      <c r="B29" s="2">
        <v>26</v>
      </c>
      <c r="C29" s="7">
        <v>46107</v>
      </c>
      <c r="D29" s="8">
        <v>49466.000000000349</v>
      </c>
      <c r="E29" s="8">
        <v>30769.920000000857</v>
      </c>
      <c r="F29" s="8">
        <v>19514.400000000023</v>
      </c>
      <c r="G29" s="8">
        <v>12560.999999999694</v>
      </c>
      <c r="H29" s="8">
        <v>0</v>
      </c>
      <c r="I29" s="8">
        <v>112311.32000000092</v>
      </c>
    </row>
    <row r="30" spans="2:9" x14ac:dyDescent="0.3">
      <c r="B30" s="2">
        <v>27</v>
      </c>
      <c r="C30" s="7">
        <v>46108</v>
      </c>
      <c r="D30" s="8">
        <v>49664.000000004307</v>
      </c>
      <c r="E30" s="8">
        <v>30085.120000001043</v>
      </c>
      <c r="F30" s="8">
        <v>19337.200000000303</v>
      </c>
      <c r="G30" s="8">
        <v>13102.799999999843</v>
      </c>
      <c r="H30" s="8">
        <v>0</v>
      </c>
      <c r="I30" s="8">
        <v>112189.1200000055</v>
      </c>
    </row>
    <row r="31" spans="2:9" x14ac:dyDescent="0.3">
      <c r="B31" s="2">
        <v>28</v>
      </c>
      <c r="C31" s="7">
        <v>46109</v>
      </c>
      <c r="D31" s="8">
        <v>49779.999999998836</v>
      </c>
      <c r="E31" s="8">
        <v>28547.199999999721</v>
      </c>
      <c r="F31" s="8">
        <v>19330.400000000373</v>
      </c>
      <c r="G31" s="8">
        <v>13184.399999999005</v>
      </c>
      <c r="H31" s="8">
        <v>0</v>
      </c>
      <c r="I31" s="8">
        <v>110841.99999999793</v>
      </c>
    </row>
    <row r="32" spans="2:9" x14ac:dyDescent="0.3">
      <c r="B32" s="2">
        <v>29</v>
      </c>
      <c r="C32" s="7">
        <v>46110</v>
      </c>
      <c r="D32" s="8">
        <v>38108.000000000175</v>
      </c>
      <c r="E32" s="8">
        <v>24794.879999998957</v>
      </c>
      <c r="F32" s="8">
        <v>18349.600000001374</v>
      </c>
      <c r="G32" s="8">
        <v>11889.300000000367</v>
      </c>
      <c r="H32" s="8">
        <v>0</v>
      </c>
      <c r="I32" s="8">
        <v>93141.780000000872</v>
      </c>
    </row>
    <row r="33" spans="2:9" x14ac:dyDescent="0.3">
      <c r="B33" s="2">
        <v>30</v>
      </c>
      <c r="C33" s="7">
        <v>46111</v>
      </c>
      <c r="D33" s="8">
        <v>44963.999999999942</v>
      </c>
      <c r="E33" s="8">
        <v>26842.880000001751</v>
      </c>
      <c r="F33" s="8">
        <v>18929.199999998673</v>
      </c>
      <c r="G33" s="8">
        <v>12499.200000000201</v>
      </c>
      <c r="H33" s="8">
        <v>0</v>
      </c>
      <c r="I33" s="8">
        <v>103235.28000000057</v>
      </c>
    </row>
    <row r="34" spans="2:9" x14ac:dyDescent="0.3">
      <c r="B34" s="2">
        <v>31</v>
      </c>
      <c r="C34" s="7">
        <v>46112</v>
      </c>
      <c r="D34" s="8">
        <v>45178.999999996449</v>
      </c>
      <c r="E34" s="8">
        <v>30515.840000000317</v>
      </c>
      <c r="F34" s="8">
        <v>19827.999999999884</v>
      </c>
      <c r="G34" s="8">
        <v>13106.700000000637</v>
      </c>
      <c r="H34" s="8">
        <v>0</v>
      </c>
      <c r="I34" s="8">
        <v>108629.53999999729</v>
      </c>
    </row>
    <row r="35" spans="2:9" x14ac:dyDescent="0.3">
      <c r="B35" s="2" t="s">
        <v>9</v>
      </c>
      <c r="C35" s="1"/>
      <c r="D35" s="8"/>
      <c r="E35" s="8"/>
      <c r="F35" s="8"/>
      <c r="G35" s="8"/>
      <c r="H35" s="8"/>
      <c r="I35" s="8">
        <f>SUM(I4:I34)</f>
        <v>3406719.620000009</v>
      </c>
    </row>
  </sheetData>
  <phoneticPr fontId="3" type="noConversion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40"/>
  <sheetViews>
    <sheetView zoomScale="85" zoomScaleNormal="85" workbookViewId="0">
      <selection activeCell="I40" sqref="I40"/>
    </sheetView>
  </sheetViews>
  <sheetFormatPr defaultRowHeight="16.5" x14ac:dyDescent="0.3"/>
  <cols>
    <col min="2" max="2" width="9.125" style="3"/>
    <col min="4" max="9" width="11.75" customWidth="1"/>
  </cols>
  <sheetData>
    <row r="2" spans="2:9" s="5" customFormat="1" x14ac:dyDescent="0.3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</row>
    <row r="3" spans="2:9" s="5" customFormat="1" x14ac:dyDescent="0.3">
      <c r="B3" s="4"/>
      <c r="C3" s="6"/>
      <c r="D3" s="4" t="s">
        <v>8</v>
      </c>
      <c r="E3" s="4" t="s">
        <v>8</v>
      </c>
      <c r="F3" s="4" t="s">
        <v>8</v>
      </c>
      <c r="G3" s="4" t="s">
        <v>8</v>
      </c>
      <c r="H3" s="4" t="s">
        <v>8</v>
      </c>
      <c r="I3" s="4" t="s">
        <v>8</v>
      </c>
    </row>
    <row r="4" spans="2:9" x14ac:dyDescent="0.3">
      <c r="B4" s="2">
        <v>1</v>
      </c>
      <c r="C4" s="7">
        <v>46113</v>
      </c>
      <c r="D4" s="8">
        <v>49280.999999995402</v>
      </c>
      <c r="E4" s="8">
        <v>32053.120000001509</v>
      </c>
      <c r="F4" s="8">
        <v>18271.59999999858</v>
      </c>
      <c r="G4" s="8">
        <v>13194.29999999993</v>
      </c>
      <c r="H4" s="8">
        <v>0</v>
      </c>
      <c r="I4" s="8">
        <f>SUM(D4:H4)</f>
        <v>112800.01999999542</v>
      </c>
    </row>
    <row r="5" spans="2:9" x14ac:dyDescent="0.3">
      <c r="B5" s="2">
        <v>2</v>
      </c>
      <c r="C5" s="7">
        <v>46114</v>
      </c>
      <c r="D5" s="8">
        <v>49903.999999994994</v>
      </c>
      <c r="E5" s="8">
        <v>33488.640000000596</v>
      </c>
      <c r="F5" s="8">
        <v>18540.000000002328</v>
      </c>
      <c r="G5" s="8">
        <v>14191.200000000026</v>
      </c>
      <c r="H5" s="8">
        <v>0</v>
      </c>
      <c r="I5" s="8">
        <f>SUM(D5:H5)</f>
        <v>116123.83999999794</v>
      </c>
    </row>
    <row r="6" spans="2:9" x14ac:dyDescent="0.3">
      <c r="B6" s="2">
        <v>3</v>
      </c>
      <c r="C6" s="7">
        <v>46115</v>
      </c>
      <c r="D6" s="8">
        <v>29800.999999999476</v>
      </c>
      <c r="E6" s="8">
        <v>33992.959999998566</v>
      </c>
      <c r="F6" s="8">
        <v>19450.800000000163</v>
      </c>
      <c r="G6" s="8">
        <v>15311.100000000079</v>
      </c>
      <c r="H6" s="8">
        <v>0</v>
      </c>
      <c r="I6" s="8">
        <f t="shared" ref="I6:I33" si="0">SUM(D6:H6)</f>
        <v>98555.859999998283</v>
      </c>
    </row>
    <row r="7" spans="2:9" x14ac:dyDescent="0.3">
      <c r="B7" s="2">
        <v>4</v>
      </c>
      <c r="C7" s="7">
        <v>46116</v>
      </c>
      <c r="D7" s="8">
        <v>37929.000000003725</v>
      </c>
      <c r="E7" s="8">
        <v>34040.959999999031</v>
      </c>
      <c r="F7" s="8">
        <v>19683.599999998114</v>
      </c>
      <c r="G7" s="8">
        <v>14716.800000000148</v>
      </c>
      <c r="H7" s="8">
        <v>9539.9999999999854</v>
      </c>
      <c r="I7" s="8">
        <f t="shared" si="0"/>
        <v>115910.360000001</v>
      </c>
    </row>
    <row r="8" spans="2:9" x14ac:dyDescent="0.3">
      <c r="B8" s="2">
        <v>5</v>
      </c>
      <c r="C8" s="7">
        <v>46117</v>
      </c>
      <c r="D8" s="8">
        <v>34057.000000000698</v>
      </c>
      <c r="E8" s="8">
        <v>29708.159999998752</v>
      </c>
      <c r="F8" s="8">
        <v>19350.399999998626</v>
      </c>
      <c r="G8" s="8">
        <v>13587.600000000384</v>
      </c>
      <c r="H8" s="8">
        <v>11241.899999999987</v>
      </c>
      <c r="I8" s="8">
        <f t="shared" si="0"/>
        <v>107945.05999999846</v>
      </c>
    </row>
    <row r="9" spans="2:9" x14ac:dyDescent="0.3">
      <c r="B9" s="2">
        <v>6</v>
      </c>
      <c r="C9" s="7">
        <v>46118</v>
      </c>
      <c r="D9" s="8">
        <v>37940.999999998894</v>
      </c>
      <c r="E9" s="8">
        <v>30560</v>
      </c>
      <c r="F9" s="8">
        <v>19802.000000001863</v>
      </c>
      <c r="G9" s="8">
        <v>12745.500000000175</v>
      </c>
      <c r="H9" s="8">
        <v>14922.299999999996</v>
      </c>
      <c r="I9" s="8">
        <f t="shared" si="0"/>
        <v>115970.80000000092</v>
      </c>
    </row>
    <row r="10" spans="2:9" x14ac:dyDescent="0.3">
      <c r="B10" s="2">
        <v>7</v>
      </c>
      <c r="C10" s="7">
        <v>46119</v>
      </c>
      <c r="D10" s="8">
        <v>40080.000000001746</v>
      </c>
      <c r="E10" s="8">
        <v>34757.119999998249</v>
      </c>
      <c r="F10" s="8">
        <v>20666.000000000349</v>
      </c>
      <c r="G10" s="8">
        <v>14009.700000000157</v>
      </c>
      <c r="H10" s="8">
        <v>15411.60000000002</v>
      </c>
      <c r="I10" s="8">
        <f t="shared" si="0"/>
        <v>124924.42000000052</v>
      </c>
    </row>
    <row r="11" spans="2:9" x14ac:dyDescent="0.3">
      <c r="B11" s="2">
        <v>8</v>
      </c>
      <c r="C11" s="7">
        <v>46120</v>
      </c>
      <c r="D11" s="8">
        <v>43413.000000000466</v>
      </c>
      <c r="E11" s="8">
        <v>35697.279999998864</v>
      </c>
      <c r="F11" s="8">
        <v>20322.000000000116</v>
      </c>
      <c r="G11" s="8">
        <v>14559.599999999773</v>
      </c>
      <c r="H11" s="8">
        <v>16134.300000000019</v>
      </c>
      <c r="I11" s="8">
        <f t="shared" si="0"/>
        <v>130126.17999999924</v>
      </c>
    </row>
    <row r="12" spans="2:9" x14ac:dyDescent="0.3">
      <c r="B12" s="2">
        <v>9</v>
      </c>
      <c r="C12" s="7">
        <v>46121</v>
      </c>
      <c r="D12" s="8">
        <v>35069.999999999709</v>
      </c>
      <c r="E12" s="8">
        <v>35123.199999998324</v>
      </c>
      <c r="F12" s="8">
        <v>20207.600000000093</v>
      </c>
      <c r="G12" s="8">
        <v>14996.400000000358</v>
      </c>
      <c r="H12" s="8">
        <v>15027.899999999989</v>
      </c>
      <c r="I12" s="8">
        <f t="shared" si="0"/>
        <v>120425.09999999848</v>
      </c>
    </row>
    <row r="13" spans="2:9" x14ac:dyDescent="0.3">
      <c r="B13" s="2">
        <v>10</v>
      </c>
      <c r="C13" s="7">
        <v>46122</v>
      </c>
      <c r="D13" s="8">
        <v>35285.000000003492</v>
      </c>
      <c r="E13" s="8">
        <v>34623.999999999069</v>
      </c>
      <c r="F13" s="8">
        <v>20377.999999999884</v>
      </c>
      <c r="G13" s="8">
        <v>14428.499999999258</v>
      </c>
      <c r="H13" s="8">
        <v>15678.900000000011</v>
      </c>
      <c r="I13" s="8">
        <f t="shared" si="0"/>
        <v>120394.40000000171</v>
      </c>
    </row>
    <row r="14" spans="2:9" x14ac:dyDescent="0.3">
      <c r="B14" s="2">
        <v>11</v>
      </c>
      <c r="C14" s="7">
        <v>46123</v>
      </c>
      <c r="D14" s="8">
        <v>42726.999999998952</v>
      </c>
      <c r="E14" s="8">
        <v>34908.159999998752</v>
      </c>
      <c r="F14" s="8">
        <v>20635.19999999844</v>
      </c>
      <c r="G14" s="8">
        <v>15440.700000000288</v>
      </c>
      <c r="H14" s="8">
        <v>15898.500000000036</v>
      </c>
      <c r="I14" s="8">
        <f t="shared" si="0"/>
        <v>129609.55999999648</v>
      </c>
    </row>
    <row r="15" spans="2:9" x14ac:dyDescent="0.3">
      <c r="B15" s="2">
        <v>12</v>
      </c>
      <c r="C15" s="7">
        <v>46124</v>
      </c>
      <c r="D15" s="8">
        <v>30475.999999995111</v>
      </c>
      <c r="E15" s="8">
        <v>28360.320000001229</v>
      </c>
      <c r="F15" s="8">
        <v>20843.599999998696</v>
      </c>
      <c r="G15" s="8">
        <v>13972.500000000218</v>
      </c>
      <c r="H15" s="8">
        <v>14739.600000000019</v>
      </c>
      <c r="I15" s="8">
        <f t="shared" si="0"/>
        <v>108392.01999999527</v>
      </c>
    </row>
    <row r="16" spans="2:9" x14ac:dyDescent="0.3">
      <c r="B16" s="2">
        <v>13</v>
      </c>
      <c r="C16" s="7">
        <v>46125</v>
      </c>
      <c r="D16" s="8">
        <v>49036.000000000058</v>
      </c>
      <c r="E16" s="8">
        <v>32449.280000000726</v>
      </c>
      <c r="F16" s="8">
        <v>20685.20000000135</v>
      </c>
      <c r="G16" s="8">
        <v>14627.70000000055</v>
      </c>
      <c r="H16" s="8">
        <v>14397.900000000049</v>
      </c>
      <c r="I16" s="8">
        <f t="shared" si="0"/>
        <v>131196.08000000272</v>
      </c>
    </row>
    <row r="17" spans="2:9" x14ac:dyDescent="0.3">
      <c r="B17" s="2">
        <v>14</v>
      </c>
      <c r="C17" s="7">
        <v>46126</v>
      </c>
      <c r="D17" s="8">
        <v>53033.000000003085</v>
      </c>
      <c r="E17" s="8">
        <v>35422.080000001006</v>
      </c>
      <c r="F17" s="8">
        <v>20737.200000000303</v>
      </c>
      <c r="G17" s="8">
        <v>14846.700000000419</v>
      </c>
      <c r="H17" s="8">
        <v>16099.80000000005</v>
      </c>
      <c r="I17" s="8">
        <f t="shared" si="0"/>
        <v>140138.78000000486</v>
      </c>
    </row>
    <row r="18" spans="2:9" x14ac:dyDescent="0.3">
      <c r="B18" s="2">
        <v>15</v>
      </c>
      <c r="C18" s="7">
        <v>46127</v>
      </c>
      <c r="D18" s="8">
        <v>53467.000000004191</v>
      </c>
      <c r="E18" s="8">
        <v>36280.96000000136</v>
      </c>
      <c r="F18" s="8">
        <v>20618.400000000838</v>
      </c>
      <c r="G18" s="8">
        <v>14450.700000000506</v>
      </c>
      <c r="H18" s="8">
        <v>15922.799999999937</v>
      </c>
      <c r="I18" s="8">
        <f t="shared" si="0"/>
        <v>140739.86000000683</v>
      </c>
    </row>
    <row r="19" spans="2:9" x14ac:dyDescent="0.3">
      <c r="B19" s="2">
        <v>16</v>
      </c>
      <c r="C19" s="7">
        <v>46128</v>
      </c>
      <c r="D19" s="8">
        <v>54712.9999999961</v>
      </c>
      <c r="E19" s="8">
        <v>35756.799999999348</v>
      </c>
      <c r="F19" s="8">
        <v>20518.799999999464</v>
      </c>
      <c r="G19" s="8">
        <v>15163.800000000629</v>
      </c>
      <c r="H19" s="8">
        <v>15828.900000000045</v>
      </c>
      <c r="I19" s="8">
        <f t="shared" si="0"/>
        <v>141981.29999999559</v>
      </c>
    </row>
    <row r="20" spans="2:9" x14ac:dyDescent="0.3">
      <c r="B20" s="2">
        <v>17</v>
      </c>
      <c r="C20" s="7">
        <v>46129</v>
      </c>
      <c r="D20" s="8">
        <v>54095.99999999773</v>
      </c>
      <c r="E20" s="8">
        <v>34373.760000001639</v>
      </c>
      <c r="F20" s="8">
        <v>19399.199999999837</v>
      </c>
      <c r="G20" s="8">
        <v>15183.600000000297</v>
      </c>
      <c r="H20" s="8">
        <v>15519.3</v>
      </c>
      <c r="I20" s="8">
        <f t="shared" si="0"/>
        <v>138571.85999999949</v>
      </c>
    </row>
    <row r="21" spans="2:9" x14ac:dyDescent="0.3">
      <c r="B21" s="2">
        <v>18</v>
      </c>
      <c r="C21" s="7">
        <v>46130</v>
      </c>
      <c r="D21" s="8">
        <v>54429.999999993015</v>
      </c>
      <c r="E21" s="8">
        <v>34044.799999999814</v>
      </c>
      <c r="F21" s="8">
        <v>19710.399999999208</v>
      </c>
      <c r="G21" s="8">
        <v>15007.499999999345</v>
      </c>
      <c r="H21" s="8">
        <v>15417.300000000023</v>
      </c>
      <c r="I21" s="8">
        <f t="shared" si="0"/>
        <v>138609.99999999141</v>
      </c>
    </row>
    <row r="22" spans="2:9" x14ac:dyDescent="0.3">
      <c r="B22" s="2">
        <v>19</v>
      </c>
      <c r="C22" s="7">
        <v>46131</v>
      </c>
      <c r="D22" s="8">
        <v>51525.000000001455</v>
      </c>
      <c r="E22" s="8">
        <v>32338.559999999125</v>
      </c>
      <c r="F22" s="8">
        <v>20085.599999999977</v>
      </c>
      <c r="G22" s="8">
        <v>13280.099999999948</v>
      </c>
      <c r="H22" s="8">
        <v>11977.199999999993</v>
      </c>
      <c r="I22" s="8">
        <f t="shared" si="0"/>
        <v>129206.4600000005</v>
      </c>
    </row>
    <row r="23" spans="2:9" x14ac:dyDescent="0.3">
      <c r="B23" s="2">
        <v>20</v>
      </c>
      <c r="C23" s="7">
        <v>46132</v>
      </c>
      <c r="D23" s="8">
        <v>50708.999999995285</v>
      </c>
      <c r="E23" s="8">
        <v>32073.600000001024</v>
      </c>
      <c r="F23" s="8">
        <v>20294.799999997485</v>
      </c>
      <c r="G23" s="8">
        <v>13296.600000000035</v>
      </c>
      <c r="H23" s="8">
        <v>15009.900000000038</v>
      </c>
      <c r="I23" s="8">
        <f t="shared" si="0"/>
        <v>131383.89999999385</v>
      </c>
    </row>
    <row r="24" spans="2:9" x14ac:dyDescent="0.3">
      <c r="B24" s="2">
        <v>21</v>
      </c>
      <c r="C24" s="7">
        <v>46133</v>
      </c>
      <c r="D24" s="8">
        <v>52123.999999996158</v>
      </c>
      <c r="E24" s="8">
        <v>34237.440000001807</v>
      </c>
      <c r="F24" s="8">
        <v>20072.000000000116</v>
      </c>
      <c r="G24" s="8">
        <v>15018.000000000393</v>
      </c>
      <c r="H24" s="8">
        <v>15338.099999999986</v>
      </c>
      <c r="I24" s="8">
        <f t="shared" si="0"/>
        <v>136789.53999999847</v>
      </c>
    </row>
    <row r="25" spans="2:9" x14ac:dyDescent="0.3">
      <c r="B25" s="2">
        <v>22</v>
      </c>
      <c r="C25" s="7">
        <v>46134</v>
      </c>
      <c r="D25" s="8">
        <v>49773.000000001048</v>
      </c>
      <c r="E25" s="8">
        <v>33367.040000001434</v>
      </c>
      <c r="F25" s="8">
        <v>20135.999999998603</v>
      </c>
      <c r="G25" s="8">
        <v>15569.399999999223</v>
      </c>
      <c r="H25" s="8">
        <v>15059.099999999966</v>
      </c>
      <c r="I25" s="8">
        <f t="shared" si="0"/>
        <v>133904.54000000027</v>
      </c>
    </row>
    <row r="26" spans="2:9" x14ac:dyDescent="0.3">
      <c r="B26" s="2">
        <v>23</v>
      </c>
      <c r="C26" s="7">
        <v>46135</v>
      </c>
      <c r="D26" s="8">
        <v>47303.999999996449</v>
      </c>
      <c r="E26" s="8">
        <v>31991.040000000503</v>
      </c>
      <c r="F26" s="8">
        <v>17786.799999998766</v>
      </c>
      <c r="G26" s="8">
        <v>15899.699999999939</v>
      </c>
      <c r="H26" s="8">
        <v>15358.199999999988</v>
      </c>
      <c r="I26" s="8">
        <f t="shared" si="0"/>
        <v>128339.73999999564</v>
      </c>
    </row>
    <row r="27" spans="2:9" x14ac:dyDescent="0.3">
      <c r="B27" s="2">
        <v>24</v>
      </c>
      <c r="C27" s="7">
        <v>46136</v>
      </c>
      <c r="D27" s="8">
        <v>47329.00000000518</v>
      </c>
      <c r="E27" s="8">
        <v>34213.11999999918</v>
      </c>
      <c r="F27" s="8">
        <v>18698.7999999983</v>
      </c>
      <c r="G27" s="8">
        <v>16256.400000000576</v>
      </c>
      <c r="H27" s="8">
        <v>15123.600000000009</v>
      </c>
      <c r="I27" s="8">
        <f t="shared" si="0"/>
        <v>131620.92000000324</v>
      </c>
    </row>
    <row r="28" spans="2:9" x14ac:dyDescent="0.3">
      <c r="B28" s="2">
        <v>25</v>
      </c>
      <c r="C28" s="7">
        <v>46137</v>
      </c>
      <c r="D28" s="8">
        <v>40649.999999994179</v>
      </c>
      <c r="E28" s="8">
        <v>31127.680000001565</v>
      </c>
      <c r="F28" s="8">
        <v>16614.80000000156</v>
      </c>
      <c r="G28" s="8">
        <v>13695.299999999406</v>
      </c>
      <c r="H28" s="8">
        <v>7945.5000000000382</v>
      </c>
      <c r="I28" s="8">
        <f t="shared" si="0"/>
        <v>110033.27999999675</v>
      </c>
    </row>
    <row r="29" spans="2:9" x14ac:dyDescent="0.3">
      <c r="B29" s="2">
        <v>26</v>
      </c>
      <c r="C29" s="7">
        <v>46138</v>
      </c>
      <c r="D29" s="8">
        <v>12476.000000002387</v>
      </c>
      <c r="E29" s="8">
        <v>13340.799999998417</v>
      </c>
      <c r="F29" s="8">
        <v>4316.8000000005122</v>
      </c>
      <c r="G29" s="8">
        <v>6657.3000000007596</v>
      </c>
      <c r="H29" s="8">
        <v>1722.8999999999814</v>
      </c>
      <c r="I29" s="8">
        <f t="shared" si="0"/>
        <v>38513.800000002055</v>
      </c>
    </row>
    <row r="30" spans="2:9" x14ac:dyDescent="0.3">
      <c r="B30" s="2">
        <v>27</v>
      </c>
      <c r="C30" s="7">
        <v>46139</v>
      </c>
      <c r="D30" s="8">
        <v>17430.999999996857</v>
      </c>
      <c r="E30" s="8">
        <v>15719.679999998771</v>
      </c>
      <c r="F30" s="8">
        <v>5215.2000000001863</v>
      </c>
      <c r="G30" s="8">
        <v>7063.7999999995372</v>
      </c>
      <c r="H30" s="8">
        <v>3229.8000000000229</v>
      </c>
      <c r="I30" s="8">
        <f t="shared" si="0"/>
        <v>48659.479999995376</v>
      </c>
    </row>
    <row r="31" spans="2:9" x14ac:dyDescent="0.3">
      <c r="B31" s="2">
        <v>28</v>
      </c>
      <c r="C31" s="7">
        <v>46140</v>
      </c>
      <c r="D31" s="8">
        <v>44437.999999994645</v>
      </c>
      <c r="E31" s="8">
        <v>31499.520000000484</v>
      </c>
      <c r="F31" s="8">
        <v>18797.200000000885</v>
      </c>
      <c r="G31" s="8">
        <v>14226.900000000751</v>
      </c>
      <c r="H31" s="8">
        <v>14168.100000000028</v>
      </c>
      <c r="I31" s="8">
        <f t="shared" si="0"/>
        <v>123129.7199999968</v>
      </c>
    </row>
    <row r="32" spans="2:9" x14ac:dyDescent="0.3">
      <c r="B32" s="2">
        <v>29</v>
      </c>
      <c r="C32" s="7">
        <v>46141</v>
      </c>
      <c r="D32" s="8">
        <v>32899.000000004889</v>
      </c>
      <c r="E32" s="8">
        <v>21005.439999999944</v>
      </c>
      <c r="F32" s="8">
        <v>15637.200000000303</v>
      </c>
      <c r="G32" s="8">
        <v>12513.299999999799</v>
      </c>
      <c r="H32" s="8">
        <v>9198.0000000000255</v>
      </c>
      <c r="I32" s="8">
        <f t="shared" si="0"/>
        <v>91252.940000004965</v>
      </c>
    </row>
    <row r="33" spans="2:9" x14ac:dyDescent="0.3">
      <c r="B33" s="2">
        <v>30</v>
      </c>
      <c r="C33" s="7">
        <v>46142</v>
      </c>
      <c r="D33" s="8">
        <v>2635.0000000020373</v>
      </c>
      <c r="E33" s="8">
        <v>6562.5600000005215</v>
      </c>
      <c r="F33" s="8">
        <v>1154.4000000023516</v>
      </c>
      <c r="G33" s="8">
        <v>6470.3999999997905</v>
      </c>
      <c r="H33" s="8">
        <v>67.499999999972715</v>
      </c>
      <c r="I33" s="8">
        <f t="shared" si="0"/>
        <v>16889.860000004672</v>
      </c>
    </row>
    <row r="34" spans="2:9" x14ac:dyDescent="0.3">
      <c r="B34" s="2">
        <v>31</v>
      </c>
      <c r="C34" s="7"/>
      <c r="D34" s="8"/>
      <c r="E34" s="8"/>
      <c r="F34" s="8"/>
      <c r="G34" s="8"/>
      <c r="H34" s="8"/>
      <c r="I34" s="8"/>
    </row>
    <row r="35" spans="2:9" x14ac:dyDescent="0.3">
      <c r="B35" s="2" t="s">
        <v>9</v>
      </c>
      <c r="C35" s="1"/>
      <c r="D35" s="8"/>
      <c r="E35" s="8"/>
      <c r="F35" s="8"/>
      <c r="G35" s="8"/>
      <c r="H35" s="8"/>
      <c r="I35" s="8">
        <f>SUM(I4:I34)</f>
        <v>3452139.6799999774</v>
      </c>
    </row>
    <row r="39" spans="2:9" x14ac:dyDescent="0.3">
      <c r="I39" s="38">
        <f>I17-I5</f>
        <v>24014.940000006914</v>
      </c>
    </row>
    <row r="40" spans="2:9" x14ac:dyDescent="0.3">
      <c r="I40" s="39">
        <f>I39/I5</f>
        <v>0.20680456312853018</v>
      </c>
    </row>
  </sheetData>
  <phoneticPr fontId="3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35"/>
  <sheetViews>
    <sheetView zoomScale="85" zoomScaleNormal="85" workbookViewId="0">
      <selection activeCell="I46" sqref="I46"/>
    </sheetView>
  </sheetViews>
  <sheetFormatPr defaultRowHeight="16.5" x14ac:dyDescent="0.3"/>
  <cols>
    <col min="2" max="2" width="9.125" style="3"/>
    <col min="4" max="9" width="11.75" customWidth="1"/>
  </cols>
  <sheetData>
    <row r="2" spans="2:9" s="5" customFormat="1" x14ac:dyDescent="0.3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</row>
    <row r="3" spans="2:9" s="5" customFormat="1" x14ac:dyDescent="0.3">
      <c r="B3" s="4"/>
      <c r="C3" s="6"/>
      <c r="D3" s="4" t="s">
        <v>8</v>
      </c>
      <c r="E3" s="4" t="s">
        <v>8</v>
      </c>
      <c r="F3" s="4" t="s">
        <v>8</v>
      </c>
      <c r="G3" s="4" t="s">
        <v>8</v>
      </c>
      <c r="H3" s="4" t="s">
        <v>8</v>
      </c>
      <c r="I3" s="4" t="s">
        <v>8</v>
      </c>
    </row>
    <row r="4" spans="2:9" x14ac:dyDescent="0.3">
      <c r="B4" s="2">
        <v>1</v>
      </c>
      <c r="C4" s="7">
        <v>46143</v>
      </c>
      <c r="D4" s="8">
        <v>544.00000000168802</v>
      </c>
      <c r="E4" s="8">
        <v>9487.359999998007</v>
      </c>
      <c r="F4" s="8">
        <v>73.999999999068677</v>
      </c>
      <c r="G4" s="8">
        <v>5788.199999999415</v>
      </c>
      <c r="H4" s="8">
        <v>154.4999999999618</v>
      </c>
      <c r="I4" s="8">
        <f>SUM(D4:H4)</f>
        <v>16048.05999999814</v>
      </c>
    </row>
    <row r="5" spans="2:9" x14ac:dyDescent="0.3">
      <c r="B5" s="2">
        <v>2</v>
      </c>
      <c r="C5" s="7">
        <v>46144</v>
      </c>
      <c r="D5" s="8">
        <v>15485.999999999998</v>
      </c>
      <c r="E5" s="8">
        <v>25667.199999999721</v>
      </c>
      <c r="F5" s="8">
        <v>9258.0000000000018</v>
      </c>
      <c r="G5" s="8">
        <v>11514.599999999336</v>
      </c>
      <c r="H5" s="8">
        <v>6367.1999999999798</v>
      </c>
      <c r="I5" s="8">
        <f>SUM(D5:H5)</f>
        <v>68292.99999999904</v>
      </c>
    </row>
    <row r="6" spans="2:9" x14ac:dyDescent="0.3">
      <c r="B6" s="2">
        <v>3</v>
      </c>
      <c r="C6" s="7">
        <v>46145</v>
      </c>
      <c r="D6" s="8">
        <v>34563.999999999993</v>
      </c>
      <c r="E6" s="8">
        <v>24711.040000000503</v>
      </c>
      <c r="F6" s="8">
        <v>17932.8</v>
      </c>
      <c r="G6" s="8">
        <v>13260.600000000341</v>
      </c>
      <c r="H6" s="8">
        <v>7320.900000000006</v>
      </c>
      <c r="I6" s="8">
        <f t="shared" ref="I6:I33" si="0">SUM(D6:H6)</f>
        <v>97789.340000000841</v>
      </c>
    </row>
    <row r="7" spans="2:9" x14ac:dyDescent="0.3">
      <c r="B7" s="2">
        <v>4</v>
      </c>
      <c r="C7" s="7">
        <v>46146</v>
      </c>
      <c r="D7" s="8">
        <v>42875</v>
      </c>
      <c r="E7" s="8">
        <v>29468.159999998752</v>
      </c>
      <c r="F7" s="8">
        <v>17281.2</v>
      </c>
      <c r="G7" s="8">
        <v>13463.700000000244</v>
      </c>
      <c r="H7" s="8">
        <v>11597.400000000038</v>
      </c>
      <c r="I7" s="8">
        <f t="shared" si="0"/>
        <v>114685.45999999903</v>
      </c>
    </row>
    <row r="8" spans="2:9" x14ac:dyDescent="0.3">
      <c r="B8" s="2">
        <v>5</v>
      </c>
      <c r="C8" s="7">
        <v>46147</v>
      </c>
      <c r="D8" s="8">
        <v>45914.999999999993</v>
      </c>
      <c r="E8" s="8">
        <v>32786.560000001919</v>
      </c>
      <c r="F8" s="8">
        <v>16831.999999999993</v>
      </c>
      <c r="G8" s="8">
        <v>15021.600000000035</v>
      </c>
      <c r="H8" s="8">
        <v>12791.999999999962</v>
      </c>
      <c r="I8" s="8">
        <f t="shared" si="0"/>
        <v>123347.16000000191</v>
      </c>
    </row>
    <row r="9" spans="2:9" x14ac:dyDescent="0.3">
      <c r="B9" s="2">
        <v>6</v>
      </c>
      <c r="C9" s="7">
        <v>46148</v>
      </c>
      <c r="D9" s="8">
        <v>47650.999999999985</v>
      </c>
      <c r="E9" s="8">
        <v>31732.47999999905</v>
      </c>
      <c r="F9" s="8">
        <v>17048.799999999996</v>
      </c>
      <c r="G9" s="8">
        <v>15974.399999999878</v>
      </c>
      <c r="H9" s="8">
        <v>12375.900000000047</v>
      </c>
      <c r="I9" s="8">
        <f t="shared" si="0"/>
        <v>124782.57999999897</v>
      </c>
    </row>
    <row r="10" spans="2:9" x14ac:dyDescent="0.3">
      <c r="B10" s="2">
        <v>7</v>
      </c>
      <c r="C10" s="7"/>
      <c r="D10" s="8">
        <v>47333</v>
      </c>
      <c r="E10" s="8">
        <v>32955.520000001416</v>
      </c>
      <c r="F10" s="8">
        <v>18963.999999999985</v>
      </c>
      <c r="G10" s="8">
        <v>15991.800000000148</v>
      </c>
      <c r="H10" s="8">
        <v>14762.399999999958</v>
      </c>
      <c r="I10" s="8">
        <f t="shared" si="0"/>
        <v>130006.72000000151</v>
      </c>
    </row>
    <row r="11" spans="2:9" x14ac:dyDescent="0.3">
      <c r="B11" s="2">
        <v>8</v>
      </c>
      <c r="C11" s="7"/>
      <c r="D11" s="8"/>
      <c r="E11" s="8"/>
      <c r="F11" s="8"/>
      <c r="G11" s="8"/>
      <c r="H11" s="8"/>
      <c r="I11" s="8">
        <f t="shared" si="0"/>
        <v>0</v>
      </c>
    </row>
    <row r="12" spans="2:9" x14ac:dyDescent="0.3">
      <c r="B12" s="2">
        <v>9</v>
      </c>
      <c r="C12" s="7"/>
      <c r="D12" s="8"/>
      <c r="E12" s="8"/>
      <c r="F12" s="8"/>
      <c r="G12" s="8"/>
      <c r="H12" s="8"/>
      <c r="I12" s="8">
        <f t="shared" si="0"/>
        <v>0</v>
      </c>
    </row>
    <row r="13" spans="2:9" x14ac:dyDescent="0.3">
      <c r="B13" s="2">
        <v>10</v>
      </c>
      <c r="C13" s="7"/>
      <c r="D13" s="8"/>
      <c r="E13" s="8"/>
      <c r="F13" s="8"/>
      <c r="G13" s="8"/>
      <c r="H13" s="8"/>
      <c r="I13" s="8">
        <f t="shared" si="0"/>
        <v>0</v>
      </c>
    </row>
    <row r="14" spans="2:9" x14ac:dyDescent="0.3">
      <c r="B14" s="2">
        <v>11</v>
      </c>
      <c r="C14" s="7"/>
      <c r="D14" s="8"/>
      <c r="E14" s="8"/>
      <c r="F14" s="8"/>
      <c r="G14" s="8"/>
      <c r="H14" s="8"/>
      <c r="I14" s="8">
        <f t="shared" si="0"/>
        <v>0</v>
      </c>
    </row>
    <row r="15" spans="2:9" x14ac:dyDescent="0.3">
      <c r="B15" s="2">
        <v>12</v>
      </c>
      <c r="C15" s="7"/>
      <c r="D15" s="8"/>
      <c r="E15" s="8"/>
      <c r="F15" s="8"/>
      <c r="G15" s="8"/>
      <c r="H15" s="8"/>
      <c r="I15" s="8">
        <f t="shared" si="0"/>
        <v>0</v>
      </c>
    </row>
    <row r="16" spans="2:9" x14ac:dyDescent="0.3">
      <c r="B16" s="2">
        <v>13</v>
      </c>
      <c r="C16" s="7"/>
      <c r="D16" s="8"/>
      <c r="E16" s="8"/>
      <c r="F16" s="8"/>
      <c r="G16" s="8"/>
      <c r="H16" s="8"/>
      <c r="I16" s="8">
        <f t="shared" si="0"/>
        <v>0</v>
      </c>
    </row>
    <row r="17" spans="2:9" x14ac:dyDescent="0.3">
      <c r="B17" s="2">
        <v>14</v>
      </c>
      <c r="C17" s="7"/>
      <c r="D17" s="8"/>
      <c r="E17" s="8"/>
      <c r="F17" s="8"/>
      <c r="G17" s="8"/>
      <c r="H17" s="8"/>
      <c r="I17" s="8">
        <f t="shared" si="0"/>
        <v>0</v>
      </c>
    </row>
    <row r="18" spans="2:9" x14ac:dyDescent="0.3">
      <c r="B18" s="2">
        <v>15</v>
      </c>
      <c r="C18" s="7"/>
      <c r="D18" s="8"/>
      <c r="E18" s="8"/>
      <c r="F18" s="8"/>
      <c r="G18" s="8"/>
      <c r="H18" s="8"/>
      <c r="I18" s="8">
        <f t="shared" si="0"/>
        <v>0</v>
      </c>
    </row>
    <row r="19" spans="2:9" x14ac:dyDescent="0.3">
      <c r="B19" s="2">
        <v>16</v>
      </c>
      <c r="C19" s="7"/>
      <c r="D19" s="8"/>
      <c r="E19" s="8"/>
      <c r="F19" s="8"/>
      <c r="G19" s="8"/>
      <c r="H19" s="8"/>
      <c r="I19" s="8">
        <f t="shared" si="0"/>
        <v>0</v>
      </c>
    </row>
    <row r="20" spans="2:9" x14ac:dyDescent="0.3">
      <c r="B20" s="2">
        <v>17</v>
      </c>
      <c r="C20" s="7"/>
      <c r="D20" s="8"/>
      <c r="E20" s="8"/>
      <c r="F20" s="8"/>
      <c r="G20" s="8"/>
      <c r="H20" s="8"/>
      <c r="I20" s="8">
        <f t="shared" si="0"/>
        <v>0</v>
      </c>
    </row>
    <row r="21" spans="2:9" x14ac:dyDescent="0.3">
      <c r="B21" s="2">
        <v>18</v>
      </c>
      <c r="C21" s="7"/>
      <c r="D21" s="8"/>
      <c r="E21" s="8"/>
      <c r="F21" s="8"/>
      <c r="G21" s="8"/>
      <c r="H21" s="8"/>
      <c r="I21" s="8">
        <f t="shared" si="0"/>
        <v>0</v>
      </c>
    </row>
    <row r="22" spans="2:9" x14ac:dyDescent="0.3">
      <c r="B22" s="2">
        <v>19</v>
      </c>
      <c r="C22" s="7"/>
      <c r="D22" s="8"/>
      <c r="E22" s="8"/>
      <c r="F22" s="8"/>
      <c r="G22" s="8"/>
      <c r="H22" s="8"/>
      <c r="I22" s="8">
        <f t="shared" si="0"/>
        <v>0</v>
      </c>
    </row>
    <row r="23" spans="2:9" x14ac:dyDescent="0.3">
      <c r="B23" s="2">
        <v>20</v>
      </c>
      <c r="C23" s="7"/>
      <c r="D23" s="8"/>
      <c r="E23" s="8"/>
      <c r="F23" s="8"/>
      <c r="G23" s="8"/>
      <c r="H23" s="8"/>
      <c r="I23" s="8">
        <f t="shared" si="0"/>
        <v>0</v>
      </c>
    </row>
    <row r="24" spans="2:9" x14ac:dyDescent="0.3">
      <c r="B24" s="2">
        <v>21</v>
      </c>
      <c r="C24" s="7"/>
      <c r="D24" s="8"/>
      <c r="E24" s="8"/>
      <c r="F24" s="8"/>
      <c r="G24" s="8"/>
      <c r="H24" s="8"/>
      <c r="I24" s="8">
        <f t="shared" si="0"/>
        <v>0</v>
      </c>
    </row>
    <row r="25" spans="2:9" x14ac:dyDescent="0.3">
      <c r="B25" s="2">
        <v>22</v>
      </c>
      <c r="C25" s="7"/>
      <c r="D25" s="8"/>
      <c r="E25" s="8"/>
      <c r="F25" s="8"/>
      <c r="G25" s="8"/>
      <c r="H25" s="8"/>
      <c r="I25" s="8">
        <f t="shared" si="0"/>
        <v>0</v>
      </c>
    </row>
    <row r="26" spans="2:9" x14ac:dyDescent="0.3">
      <c r="B26" s="2">
        <v>23</v>
      </c>
      <c r="C26" s="7"/>
      <c r="D26" s="8"/>
      <c r="E26" s="8"/>
      <c r="F26" s="8"/>
      <c r="G26" s="8"/>
      <c r="H26" s="8"/>
      <c r="I26" s="8">
        <f t="shared" si="0"/>
        <v>0</v>
      </c>
    </row>
    <row r="27" spans="2:9" x14ac:dyDescent="0.3">
      <c r="B27" s="2">
        <v>24</v>
      </c>
      <c r="C27" s="7"/>
      <c r="D27" s="8"/>
      <c r="E27" s="8"/>
      <c r="F27" s="8"/>
      <c r="G27" s="8"/>
      <c r="H27" s="8"/>
      <c r="I27" s="8">
        <f t="shared" si="0"/>
        <v>0</v>
      </c>
    </row>
    <row r="28" spans="2:9" x14ac:dyDescent="0.3">
      <c r="B28" s="2">
        <v>25</v>
      </c>
      <c r="C28" s="7"/>
      <c r="D28" s="8"/>
      <c r="E28" s="8"/>
      <c r="F28" s="8"/>
      <c r="G28" s="8"/>
      <c r="H28" s="8"/>
      <c r="I28" s="8">
        <f t="shared" si="0"/>
        <v>0</v>
      </c>
    </row>
    <row r="29" spans="2:9" x14ac:dyDescent="0.3">
      <c r="B29" s="2">
        <v>26</v>
      </c>
      <c r="C29" s="7"/>
      <c r="D29" s="8"/>
      <c r="E29" s="8"/>
      <c r="F29" s="8"/>
      <c r="G29" s="8"/>
      <c r="H29" s="8"/>
      <c r="I29" s="8">
        <f t="shared" si="0"/>
        <v>0</v>
      </c>
    </row>
    <row r="30" spans="2:9" x14ac:dyDescent="0.3">
      <c r="B30" s="2">
        <v>27</v>
      </c>
      <c r="C30" s="7"/>
      <c r="D30" s="8"/>
      <c r="E30" s="8"/>
      <c r="F30" s="8"/>
      <c r="G30" s="8"/>
      <c r="H30" s="8"/>
      <c r="I30" s="8">
        <f t="shared" si="0"/>
        <v>0</v>
      </c>
    </row>
    <row r="31" spans="2:9" x14ac:dyDescent="0.3">
      <c r="B31" s="2">
        <v>28</v>
      </c>
      <c r="C31" s="7"/>
      <c r="D31" s="8"/>
      <c r="E31" s="8"/>
      <c r="F31" s="8"/>
      <c r="G31" s="8"/>
      <c r="H31" s="8"/>
      <c r="I31" s="8">
        <f t="shared" si="0"/>
        <v>0</v>
      </c>
    </row>
    <row r="32" spans="2:9" x14ac:dyDescent="0.3">
      <c r="B32" s="2">
        <v>29</v>
      </c>
      <c r="C32" s="7"/>
      <c r="D32" s="8"/>
      <c r="E32" s="8"/>
      <c r="F32" s="8"/>
      <c r="G32" s="8"/>
      <c r="H32" s="8"/>
      <c r="I32" s="8">
        <f t="shared" si="0"/>
        <v>0</v>
      </c>
    </row>
    <row r="33" spans="2:9" x14ac:dyDescent="0.3">
      <c r="B33" s="2">
        <v>30</v>
      </c>
      <c r="C33" s="7"/>
      <c r="D33" s="8"/>
      <c r="E33" s="8"/>
      <c r="F33" s="8"/>
      <c r="G33" s="8"/>
      <c r="H33" s="8"/>
      <c r="I33" s="8">
        <f t="shared" si="0"/>
        <v>0</v>
      </c>
    </row>
    <row r="34" spans="2:9" x14ac:dyDescent="0.3">
      <c r="B34" s="2">
        <v>31</v>
      </c>
      <c r="C34" s="7"/>
      <c r="D34" s="8"/>
      <c r="E34" s="8"/>
      <c r="F34" s="8"/>
      <c r="G34" s="8"/>
      <c r="H34" s="8"/>
      <c r="I34" s="8"/>
    </row>
    <row r="35" spans="2:9" x14ac:dyDescent="0.3">
      <c r="B35" s="2" t="s">
        <v>9</v>
      </c>
      <c r="C35" s="1"/>
      <c r="D35" s="8"/>
      <c r="E35" s="8"/>
      <c r="F35" s="8"/>
      <c r="G35" s="8"/>
      <c r="H35" s="8"/>
      <c r="I35" s="8">
        <f>SUM(I4:I34)</f>
        <v>674952.31999999948</v>
      </c>
    </row>
  </sheetData>
  <phoneticPr fontId="3" type="noConversion"/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L22"/>
  <sheetViews>
    <sheetView tabSelected="1" zoomScale="70" zoomScaleNormal="70" workbookViewId="0">
      <selection activeCell="U9" sqref="U9"/>
    </sheetView>
  </sheetViews>
  <sheetFormatPr defaultRowHeight="16.5" x14ac:dyDescent="0.3"/>
  <cols>
    <col min="1" max="1" width="17.5" bestFit="1" customWidth="1"/>
    <col min="2" max="2" width="75.875" customWidth="1"/>
    <col min="3" max="33" width="11.125" customWidth="1"/>
    <col min="34" max="34" width="15.25" customWidth="1"/>
    <col min="35" max="35" width="16.5" customWidth="1"/>
    <col min="36" max="36" width="17.375" customWidth="1"/>
    <col min="37" max="37" width="18.625" customWidth="1"/>
    <col min="38" max="38" width="16.25" customWidth="1"/>
    <col min="39" max="39" width="13.375" customWidth="1"/>
  </cols>
  <sheetData>
    <row r="2" spans="1:38" ht="17.25" thickBot="1" x14ac:dyDescent="0.35"/>
    <row r="3" spans="1:38" s="14" customFormat="1" ht="45" customHeight="1" x14ac:dyDescent="0.3">
      <c r="A3" s="21" t="s">
        <v>26</v>
      </c>
      <c r="B3" s="21" t="s">
        <v>25</v>
      </c>
      <c r="C3" s="22">
        <v>46071</v>
      </c>
      <c r="D3" s="22">
        <v>46072</v>
      </c>
      <c r="E3" s="22">
        <v>46073</v>
      </c>
      <c r="F3" s="22">
        <v>46074</v>
      </c>
      <c r="G3" s="22">
        <v>46075</v>
      </c>
      <c r="H3" s="22">
        <v>46076</v>
      </c>
      <c r="I3" s="22">
        <v>46077</v>
      </c>
      <c r="J3" s="22">
        <v>46078</v>
      </c>
      <c r="K3" s="22">
        <v>46079</v>
      </c>
      <c r="L3" s="22">
        <v>46080</v>
      </c>
      <c r="M3" s="22">
        <v>46081</v>
      </c>
      <c r="N3" s="22">
        <v>46082</v>
      </c>
      <c r="O3" s="22">
        <v>46083</v>
      </c>
      <c r="P3" s="22">
        <v>46084</v>
      </c>
      <c r="Q3" s="22">
        <v>46085</v>
      </c>
      <c r="R3" s="22">
        <v>46086</v>
      </c>
      <c r="S3" s="22">
        <v>46087</v>
      </c>
      <c r="T3" s="22">
        <v>46088</v>
      </c>
      <c r="U3" s="22">
        <v>46089</v>
      </c>
      <c r="V3" s="22">
        <v>46090</v>
      </c>
      <c r="W3" s="22">
        <v>46091</v>
      </c>
      <c r="X3" s="22">
        <v>46092</v>
      </c>
      <c r="Y3" s="22">
        <v>46093</v>
      </c>
      <c r="Z3" s="22">
        <v>46094</v>
      </c>
      <c r="AA3" s="22">
        <v>46095</v>
      </c>
      <c r="AB3" s="22">
        <v>46096</v>
      </c>
      <c r="AC3" s="22">
        <v>46097</v>
      </c>
      <c r="AD3" s="22">
        <v>46098</v>
      </c>
      <c r="AE3" s="22"/>
      <c r="AF3" s="22"/>
      <c r="AG3" s="24"/>
      <c r="AH3" s="32" t="s">
        <v>24</v>
      </c>
      <c r="AI3" s="33" t="s">
        <v>20</v>
      </c>
      <c r="AJ3" s="37" t="s">
        <v>21</v>
      </c>
      <c r="AK3" s="23" t="s">
        <v>22</v>
      </c>
      <c r="AL3" s="23" t="s">
        <v>23</v>
      </c>
    </row>
    <row r="4" spans="1:38" s="5" customFormat="1" ht="45" customHeight="1" x14ac:dyDescent="0.3">
      <c r="A4" s="4" t="s">
        <v>10</v>
      </c>
      <c r="B4" s="9" t="s">
        <v>11</v>
      </c>
      <c r="C4" s="10">
        <v>4512.0000000024447</v>
      </c>
      <c r="D4" s="10">
        <v>4486.0000000044238</v>
      </c>
      <c r="E4" s="10">
        <v>4533.9999999996508</v>
      </c>
      <c r="F4" s="10">
        <v>7604.9999999959255</v>
      </c>
      <c r="G4" s="10">
        <v>16521.999999997206</v>
      </c>
      <c r="H4" s="11">
        <v>37290.000000000873</v>
      </c>
      <c r="I4" s="10">
        <v>46188.000000001921</v>
      </c>
      <c r="J4" s="10">
        <v>45941.99999999546</v>
      </c>
      <c r="K4" s="10">
        <v>46061.000000001513</v>
      </c>
      <c r="L4" s="10">
        <v>45432.999999997264</v>
      </c>
      <c r="M4" s="10">
        <v>46027.000000001863</v>
      </c>
      <c r="N4" s="11">
        <v>47991.99999999837</v>
      </c>
      <c r="O4" s="10">
        <v>48824.000000000524</v>
      </c>
      <c r="P4" s="10">
        <v>45473.000000005413</v>
      </c>
      <c r="Q4" s="10">
        <v>44057.999999997264</v>
      </c>
      <c r="R4" s="10">
        <v>46461.999999999534</v>
      </c>
      <c r="S4" s="10">
        <v>32887.99999999901</v>
      </c>
      <c r="T4" s="10">
        <v>19016.00000000326</v>
      </c>
      <c r="U4" s="11">
        <v>21192.999999999302</v>
      </c>
      <c r="V4" s="10">
        <v>33448.000000003958</v>
      </c>
      <c r="W4" s="10">
        <v>37400.000000001455</v>
      </c>
      <c r="X4" s="10">
        <v>29027.000000001863</v>
      </c>
      <c r="Y4" s="10">
        <v>33508.999999998196</v>
      </c>
      <c r="Z4" s="10">
        <v>31252.999999996973</v>
      </c>
      <c r="AA4" s="10">
        <v>33588.999999999942</v>
      </c>
      <c r="AB4" s="11">
        <v>30371.999999995751</v>
      </c>
      <c r="AC4" s="10">
        <v>37711.999999999534</v>
      </c>
      <c r="AD4" s="10">
        <v>36163.000000000466</v>
      </c>
      <c r="AE4" s="4"/>
      <c r="AF4" s="4"/>
      <c r="AG4" s="25"/>
      <c r="AH4" s="28">
        <f>SUM(C4:AG4)</f>
        <v>912978.9999999993</v>
      </c>
      <c r="AI4" s="34">
        <f>AVERAGE(C4:AD4)</f>
        <v>32606.392857142833</v>
      </c>
      <c r="AJ4" s="40">
        <v>4</v>
      </c>
      <c r="AK4" s="41">
        <v>24</v>
      </c>
      <c r="AL4" s="41">
        <v>28</v>
      </c>
    </row>
    <row r="5" spans="1:38" s="5" customFormat="1" ht="45" customHeight="1" x14ac:dyDescent="0.3">
      <c r="A5" s="4" t="s">
        <v>12</v>
      </c>
      <c r="B5" s="9" t="s">
        <v>13</v>
      </c>
      <c r="C5" s="10">
        <v>5808.640000000596</v>
      </c>
      <c r="D5" s="10">
        <v>5772.160000000149</v>
      </c>
      <c r="E5" s="10">
        <v>5866.2400000006892</v>
      </c>
      <c r="F5" s="10">
        <v>6079.3599999998696</v>
      </c>
      <c r="G5" s="10">
        <v>13791.999999999534</v>
      </c>
      <c r="H5" s="11">
        <v>26583.040000000037</v>
      </c>
      <c r="I5" s="10">
        <v>33264.639999999199</v>
      </c>
      <c r="J5" s="10">
        <v>35201.920000000391</v>
      </c>
      <c r="K5" s="10">
        <v>35095.679999999702</v>
      </c>
      <c r="L5" s="10">
        <v>36382.719999998808</v>
      </c>
      <c r="M5" s="10">
        <v>34610.560000000987</v>
      </c>
      <c r="N5" s="11">
        <v>34412.160000000149</v>
      </c>
      <c r="O5" s="10">
        <v>34839.680000001099</v>
      </c>
      <c r="P5" s="10">
        <v>34426.88000000082</v>
      </c>
      <c r="Q5" s="10">
        <v>34826.88000000082</v>
      </c>
      <c r="R5" s="10">
        <v>35559.040000000969</v>
      </c>
      <c r="S5" s="10">
        <v>34291.199999998789</v>
      </c>
      <c r="T5" s="10">
        <v>20854.40000000177</v>
      </c>
      <c r="U5" s="11">
        <v>24300.800000000745</v>
      </c>
      <c r="V5" s="10">
        <v>32414.719999998342</v>
      </c>
      <c r="W5" s="10">
        <v>32712.960000000894</v>
      </c>
      <c r="X5" s="10">
        <v>33655.679999999702</v>
      </c>
      <c r="Y5" s="10">
        <v>34237.439999999478</v>
      </c>
      <c r="Z5" s="10">
        <v>33031.040000000503</v>
      </c>
      <c r="AA5" s="10">
        <v>33609.599999999627</v>
      </c>
      <c r="AB5" s="11">
        <v>32991.999999999534</v>
      </c>
      <c r="AC5" s="10">
        <v>33568.000000000466</v>
      </c>
      <c r="AD5" s="10">
        <v>34349.439999999013</v>
      </c>
      <c r="AE5" s="4"/>
      <c r="AF5" s="4"/>
      <c r="AG5" s="25"/>
      <c r="AH5" s="28">
        <f t="shared" ref="AH5:AH17" si="0">SUM(C5:AG5)</f>
        <v>792538.88000000268</v>
      </c>
      <c r="AI5" s="34">
        <f>AVERAGE(C5:AD5)</f>
        <v>28304.960000000097</v>
      </c>
      <c r="AJ5" s="40"/>
      <c r="AK5" s="41"/>
      <c r="AL5" s="41"/>
    </row>
    <row r="6" spans="1:38" s="5" customFormat="1" ht="45" customHeight="1" x14ac:dyDescent="0.3">
      <c r="A6" s="4" t="s">
        <v>14</v>
      </c>
      <c r="B6" s="9" t="s">
        <v>15</v>
      </c>
      <c r="C6" s="10">
        <v>2921.1999999999534</v>
      </c>
      <c r="D6" s="10">
        <v>3498.4000000025844</v>
      </c>
      <c r="E6" s="10">
        <v>3212.8000000026077</v>
      </c>
      <c r="F6" s="10">
        <v>3595.9999999991851</v>
      </c>
      <c r="G6" s="10">
        <v>5396.0000000020955</v>
      </c>
      <c r="H6" s="11">
        <v>15472.400000001653</v>
      </c>
      <c r="I6" s="10">
        <v>17209.200000000419</v>
      </c>
      <c r="J6" s="10">
        <v>17658.799999998882</v>
      </c>
      <c r="K6" s="10">
        <v>17531.600000002072</v>
      </c>
      <c r="L6" s="10">
        <v>17588.399999999092</v>
      </c>
      <c r="M6" s="10">
        <v>18399.599999998463</v>
      </c>
      <c r="N6" s="11">
        <v>19070.39999999979</v>
      </c>
      <c r="O6" s="10">
        <v>19096.000000002095</v>
      </c>
      <c r="P6" s="10">
        <v>18905.600000001141</v>
      </c>
      <c r="Q6" s="10">
        <v>18106.79999999993</v>
      </c>
      <c r="R6" s="10">
        <v>18467.600000000675</v>
      </c>
      <c r="S6" s="10">
        <v>17179.60000000021</v>
      </c>
      <c r="T6" s="10">
        <v>9530.4000000003725</v>
      </c>
      <c r="U6" s="11">
        <v>10716.000000000349</v>
      </c>
      <c r="V6" s="10">
        <v>17004.800000000978</v>
      </c>
      <c r="W6" s="10">
        <v>18047.200000000885</v>
      </c>
      <c r="X6" s="10">
        <v>18153.599999999278</v>
      </c>
      <c r="Y6" s="10">
        <v>18374.400000000605</v>
      </c>
      <c r="Z6" s="10">
        <v>18839.600000000792</v>
      </c>
      <c r="AA6" s="10">
        <v>18620.799999998417</v>
      </c>
      <c r="AB6" s="11">
        <v>18939.199999999255</v>
      </c>
      <c r="AC6" s="10">
        <v>18732.800000000861</v>
      </c>
      <c r="AD6" s="10">
        <v>18493.600000001607</v>
      </c>
      <c r="AE6" s="4"/>
      <c r="AF6" s="4"/>
      <c r="AG6" s="25"/>
      <c r="AH6" s="28">
        <f t="shared" si="0"/>
        <v>418762.80000001425</v>
      </c>
      <c r="AI6" s="34">
        <f t="shared" ref="AI6:AI9" si="1">AVERAGE(C6:AD6)</f>
        <v>14955.814285714794</v>
      </c>
      <c r="AJ6" s="40"/>
      <c r="AK6" s="41"/>
      <c r="AL6" s="41"/>
    </row>
    <row r="7" spans="1:38" s="5" customFormat="1" ht="45" customHeight="1" x14ac:dyDescent="0.3">
      <c r="A7" s="4" t="s">
        <v>16</v>
      </c>
      <c r="B7" s="9" t="s">
        <v>17</v>
      </c>
      <c r="C7" s="10">
        <v>4141.8000000001484</v>
      </c>
      <c r="D7" s="10">
        <v>4145.3999999997905</v>
      </c>
      <c r="E7" s="10">
        <v>4139.1000000006898</v>
      </c>
      <c r="F7" s="10">
        <v>4149.0000000005239</v>
      </c>
      <c r="G7" s="10">
        <v>5106.3000000001921</v>
      </c>
      <c r="H7" s="11">
        <v>8164.8000000001048</v>
      </c>
      <c r="I7" s="10">
        <v>10138.799999999537</v>
      </c>
      <c r="J7" s="10">
        <v>10940.999999999258</v>
      </c>
      <c r="K7" s="10">
        <v>11703.899999999703</v>
      </c>
      <c r="L7" s="10">
        <v>11859.600000000864</v>
      </c>
      <c r="M7" s="10">
        <v>11304.60000000021</v>
      </c>
      <c r="N7" s="11">
        <v>11188.200000000506</v>
      </c>
      <c r="O7" s="10">
        <v>12354.60000000021</v>
      </c>
      <c r="P7" s="10">
        <v>14207.099999999991</v>
      </c>
      <c r="Q7" s="10">
        <v>14114.099999999598</v>
      </c>
      <c r="R7" s="10">
        <v>14684.100000000035</v>
      </c>
      <c r="S7" s="10">
        <v>14218.20000000007</v>
      </c>
      <c r="T7" s="10">
        <v>8079.0000000000873</v>
      </c>
      <c r="U7" s="11">
        <v>9233.3999999995285</v>
      </c>
      <c r="V7" s="10">
        <v>12861.899999999878</v>
      </c>
      <c r="W7" s="10">
        <v>14221.799999999712</v>
      </c>
      <c r="X7" s="10">
        <v>14445.599999999467</v>
      </c>
      <c r="Y7" s="10">
        <v>14951.699999999983</v>
      </c>
      <c r="Z7" s="10">
        <v>14931.000000000131</v>
      </c>
      <c r="AA7" s="10">
        <v>15584.999999999127</v>
      </c>
      <c r="AB7" s="11">
        <v>14420.39999999979</v>
      </c>
      <c r="AC7" s="10">
        <v>15000</v>
      </c>
      <c r="AD7" s="10">
        <v>15710.399999999572</v>
      </c>
      <c r="AE7" s="4"/>
      <c r="AF7" s="4"/>
      <c r="AG7" s="25"/>
      <c r="AH7" s="28">
        <f t="shared" si="0"/>
        <v>316000.79999999871</v>
      </c>
      <c r="AI7" s="34">
        <f t="shared" si="1"/>
        <v>11285.742857142812</v>
      </c>
      <c r="AJ7" s="40"/>
      <c r="AK7" s="41"/>
      <c r="AL7" s="41"/>
    </row>
    <row r="8" spans="1:38" s="5" customFormat="1" ht="45" customHeight="1" x14ac:dyDescent="0.3">
      <c r="A8" s="4" t="s">
        <v>18</v>
      </c>
      <c r="B8" s="9" t="s">
        <v>19</v>
      </c>
      <c r="C8" s="10">
        <v>28.800000000410364</v>
      </c>
      <c r="D8" s="10">
        <v>29.099999999380088</v>
      </c>
      <c r="E8" s="10">
        <v>28.800000000410364</v>
      </c>
      <c r="F8" s="10">
        <v>2356.2000000008993</v>
      </c>
      <c r="G8" s="10">
        <v>4866.8999999994412</v>
      </c>
      <c r="H8" s="11">
        <v>10045.499999999083</v>
      </c>
      <c r="I8" s="10">
        <v>11973.600000000079</v>
      </c>
      <c r="J8" s="10">
        <v>12064.500000000044</v>
      </c>
      <c r="K8" s="10">
        <v>12864.900000000489</v>
      </c>
      <c r="L8" s="10">
        <v>13884.899999999834</v>
      </c>
      <c r="M8" s="10">
        <v>12111.599999999817</v>
      </c>
      <c r="N8" s="11">
        <v>13139.999999999782</v>
      </c>
      <c r="O8" s="10">
        <v>12420.600000000559</v>
      </c>
      <c r="P8" s="10">
        <v>12795.90000000062</v>
      </c>
      <c r="Q8" s="10">
        <v>15486.299999999756</v>
      </c>
      <c r="R8" s="10">
        <v>15313.799999999537</v>
      </c>
      <c r="S8" s="10">
        <v>15728.399999999965</v>
      </c>
      <c r="T8" s="10">
        <v>6770.9999999999127</v>
      </c>
      <c r="U8" s="11">
        <v>11886.899999999878</v>
      </c>
      <c r="V8" s="10">
        <v>14265.299999999843</v>
      </c>
      <c r="W8" s="10">
        <v>13343.999999999869</v>
      </c>
      <c r="X8" s="10">
        <v>12883.499999999913</v>
      </c>
      <c r="Y8" s="10">
        <v>13993.500000000131</v>
      </c>
      <c r="Z8" s="10">
        <v>13925.099999999293</v>
      </c>
      <c r="AA8" s="10">
        <v>14754.300000000148</v>
      </c>
      <c r="AB8" s="11">
        <v>14872.200000000157</v>
      </c>
      <c r="AC8" s="10">
        <v>13929.899999999179</v>
      </c>
      <c r="AD8" s="10">
        <v>14422.200000000157</v>
      </c>
      <c r="AE8" s="4"/>
      <c r="AF8" s="4"/>
      <c r="AG8" s="26"/>
      <c r="AH8" s="28">
        <f t="shared" si="0"/>
        <v>310187.69999999867</v>
      </c>
      <c r="AI8" s="34">
        <f t="shared" si="1"/>
        <v>11078.132142857095</v>
      </c>
      <c r="AJ8" s="40"/>
      <c r="AK8" s="41"/>
      <c r="AL8" s="41"/>
    </row>
    <row r="9" spans="1:38" s="5" customFormat="1" ht="45" customHeight="1" thickBot="1" x14ac:dyDescent="0.35">
      <c r="A9" s="12"/>
      <c r="B9" s="15" t="s">
        <v>9</v>
      </c>
      <c r="C9" s="16">
        <f t="shared" ref="C9:AD9" si="2">+C8+C7+C6+C5+C4</f>
        <v>17412.440000003553</v>
      </c>
      <c r="D9" s="16">
        <f t="shared" si="2"/>
        <v>17931.060000006328</v>
      </c>
      <c r="E9" s="16">
        <f t="shared" si="2"/>
        <v>17780.940000004048</v>
      </c>
      <c r="F9" s="16">
        <f t="shared" si="2"/>
        <v>23785.559999996403</v>
      </c>
      <c r="G9" s="16">
        <f t="shared" si="2"/>
        <v>45683.199999998469</v>
      </c>
      <c r="H9" s="19">
        <f t="shared" si="2"/>
        <v>97555.740000001751</v>
      </c>
      <c r="I9" s="16">
        <f t="shared" si="2"/>
        <v>118774.24000000115</v>
      </c>
      <c r="J9" s="16">
        <f t="shared" si="2"/>
        <v>121808.21999999403</v>
      </c>
      <c r="K9" s="16">
        <f t="shared" si="2"/>
        <v>123257.08000000348</v>
      </c>
      <c r="L9" s="16">
        <f t="shared" si="2"/>
        <v>125148.61999999586</v>
      </c>
      <c r="M9" s="16">
        <f t="shared" si="2"/>
        <v>122453.36000000134</v>
      </c>
      <c r="N9" s="19">
        <f t="shared" si="2"/>
        <v>125802.7599999986</v>
      </c>
      <c r="O9" s="16">
        <f t="shared" si="2"/>
        <v>127534.88000000449</v>
      </c>
      <c r="P9" s="16">
        <f t="shared" si="2"/>
        <v>125808.48000000798</v>
      </c>
      <c r="Q9" s="16">
        <f t="shared" si="2"/>
        <v>126592.07999999737</v>
      </c>
      <c r="R9" s="16">
        <f t="shared" si="2"/>
        <v>130486.54000000075</v>
      </c>
      <c r="S9" s="16">
        <f t="shared" si="2"/>
        <v>114305.39999999804</v>
      </c>
      <c r="T9" s="16">
        <f t="shared" si="2"/>
        <v>64250.800000005402</v>
      </c>
      <c r="U9" s="19">
        <f t="shared" si="2"/>
        <v>77330.099999999802</v>
      </c>
      <c r="V9" s="16">
        <f t="shared" si="2"/>
        <v>109994.720000003</v>
      </c>
      <c r="W9" s="16">
        <f t="shared" si="2"/>
        <v>115725.96000000281</v>
      </c>
      <c r="X9" s="16">
        <f t="shared" si="2"/>
        <v>108165.38000000022</v>
      </c>
      <c r="Y9" s="16">
        <f t="shared" si="2"/>
        <v>115066.03999999839</v>
      </c>
      <c r="Z9" s="16">
        <f t="shared" si="2"/>
        <v>111979.73999999769</v>
      </c>
      <c r="AA9" s="16">
        <f t="shared" si="2"/>
        <v>116158.69999999726</v>
      </c>
      <c r="AB9" s="19">
        <f t="shared" si="2"/>
        <v>111595.79999999449</v>
      </c>
      <c r="AC9" s="16">
        <f t="shared" si="2"/>
        <v>118942.70000000004</v>
      </c>
      <c r="AD9" s="16">
        <f t="shared" si="2"/>
        <v>119138.64000000081</v>
      </c>
      <c r="AE9" s="12"/>
      <c r="AF9" s="12"/>
      <c r="AG9" s="27"/>
      <c r="AH9" s="35">
        <f t="shared" si="0"/>
        <v>2750469.1800000137</v>
      </c>
      <c r="AI9" s="36">
        <f t="shared" si="1"/>
        <v>98231.042142857637</v>
      </c>
      <c r="AJ9" s="40"/>
      <c r="AK9" s="41"/>
      <c r="AL9" s="41"/>
    </row>
    <row r="10" spans="1:38" s="5" customFormat="1" ht="18.75" customHeight="1" thickBot="1" x14ac:dyDescent="0.35">
      <c r="A10" s="4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4"/>
      <c r="AI10" s="44"/>
      <c r="AJ10" s="43"/>
      <c r="AK10" s="43"/>
      <c r="AL10" s="45"/>
    </row>
    <row r="11" spans="1:38" s="14" customFormat="1" ht="45" customHeight="1" x14ac:dyDescent="0.3">
      <c r="A11" s="21" t="s">
        <v>26</v>
      </c>
      <c r="B11" s="21" t="s">
        <v>25</v>
      </c>
      <c r="C11" s="22">
        <v>46099</v>
      </c>
      <c r="D11" s="22">
        <v>46100</v>
      </c>
      <c r="E11" s="22">
        <v>46101</v>
      </c>
      <c r="F11" s="22">
        <v>46102</v>
      </c>
      <c r="G11" s="22">
        <v>46103</v>
      </c>
      <c r="H11" s="22">
        <v>46104</v>
      </c>
      <c r="I11" s="22">
        <v>46105</v>
      </c>
      <c r="J11" s="22">
        <v>46106</v>
      </c>
      <c r="K11" s="22">
        <v>46107</v>
      </c>
      <c r="L11" s="22">
        <v>46108</v>
      </c>
      <c r="M11" s="22">
        <v>46109</v>
      </c>
      <c r="N11" s="22">
        <v>46110</v>
      </c>
      <c r="O11" s="22">
        <v>46111</v>
      </c>
      <c r="P11" s="22">
        <v>46112</v>
      </c>
      <c r="Q11" s="22">
        <v>46113</v>
      </c>
      <c r="R11" s="22">
        <v>46114</v>
      </c>
      <c r="S11" s="22">
        <v>46115</v>
      </c>
      <c r="T11" s="22">
        <v>46116</v>
      </c>
      <c r="U11" s="22">
        <v>46117</v>
      </c>
      <c r="V11" s="22">
        <v>46118</v>
      </c>
      <c r="W11" s="22">
        <v>46119</v>
      </c>
      <c r="X11" s="22">
        <v>46120</v>
      </c>
      <c r="Y11" s="22">
        <v>46121</v>
      </c>
      <c r="Z11" s="22">
        <v>46122</v>
      </c>
      <c r="AA11" s="22">
        <v>46123</v>
      </c>
      <c r="AB11" s="22">
        <v>46124</v>
      </c>
      <c r="AC11" s="22">
        <v>46125</v>
      </c>
      <c r="AD11" s="22">
        <v>46126</v>
      </c>
      <c r="AE11" s="22">
        <v>46127</v>
      </c>
      <c r="AF11" s="22">
        <v>46128</v>
      </c>
      <c r="AG11" s="24">
        <v>46129</v>
      </c>
      <c r="AH11" s="32" t="s">
        <v>24</v>
      </c>
      <c r="AI11" s="33" t="s">
        <v>20</v>
      </c>
      <c r="AJ11" s="31" t="s">
        <v>21</v>
      </c>
      <c r="AK11" s="21" t="s">
        <v>22</v>
      </c>
      <c r="AL11" s="21" t="s">
        <v>23</v>
      </c>
    </row>
    <row r="12" spans="1:38" s="5" customFormat="1" ht="45" customHeight="1" x14ac:dyDescent="0.3">
      <c r="A12" s="4" t="s">
        <v>10</v>
      </c>
      <c r="B12" s="9" t="s">
        <v>11</v>
      </c>
      <c r="C12" s="10">
        <v>41654.999999998836</v>
      </c>
      <c r="D12" s="10">
        <v>34925.999999999476</v>
      </c>
      <c r="E12" s="10">
        <v>42480.000000003201</v>
      </c>
      <c r="F12" s="10">
        <v>38569.999999999709</v>
      </c>
      <c r="G12" s="10">
        <v>30401.000000005297</v>
      </c>
      <c r="H12" s="11">
        <v>34089.999999996508</v>
      </c>
      <c r="I12" s="10">
        <v>48599.999999998545</v>
      </c>
      <c r="J12" s="10">
        <v>35017.999999996391</v>
      </c>
      <c r="K12" s="10">
        <v>49466.000000000349</v>
      </c>
      <c r="L12" s="10">
        <v>49664.000000004307</v>
      </c>
      <c r="M12" s="10">
        <v>49779.999999998836</v>
      </c>
      <c r="N12" s="11">
        <v>38108.000000000175</v>
      </c>
      <c r="O12" s="10">
        <v>44963.999999999942</v>
      </c>
      <c r="P12" s="10">
        <v>45178.999999996449</v>
      </c>
      <c r="Q12" s="10">
        <v>49280.999999995402</v>
      </c>
      <c r="R12" s="10">
        <v>49903.999999994994</v>
      </c>
      <c r="S12" s="10">
        <v>29800.999999999476</v>
      </c>
      <c r="T12" s="10">
        <v>37929.000000003725</v>
      </c>
      <c r="U12" s="11">
        <v>34057.000000000698</v>
      </c>
      <c r="V12" s="10">
        <v>37940.999999998894</v>
      </c>
      <c r="W12" s="10">
        <v>40080.000000001746</v>
      </c>
      <c r="X12" s="10">
        <v>43413.000000000466</v>
      </c>
      <c r="Y12" s="10">
        <v>35069.999999999709</v>
      </c>
      <c r="Z12" s="10">
        <v>35285.000000003492</v>
      </c>
      <c r="AA12" s="10">
        <v>42726.999999998952</v>
      </c>
      <c r="AB12" s="11">
        <v>30475.999999995111</v>
      </c>
      <c r="AC12" s="10">
        <v>49036.000000000058</v>
      </c>
      <c r="AD12" s="10">
        <v>53033.000000003085</v>
      </c>
      <c r="AE12" s="10">
        <v>53467.000000004191</v>
      </c>
      <c r="AF12" s="10">
        <v>54712.9999999961</v>
      </c>
      <c r="AG12" s="29">
        <v>54095.99999999773</v>
      </c>
      <c r="AH12" s="28">
        <f t="shared" si="0"/>
        <v>1313209.9999999916</v>
      </c>
      <c r="AI12" s="34">
        <f>AVERAGE(C12:AG12)</f>
        <v>42361.612903225534</v>
      </c>
      <c r="AJ12" s="40">
        <v>4</v>
      </c>
      <c r="AK12" s="41">
        <v>27</v>
      </c>
      <c r="AL12" s="41">
        <f>AK12+AJ12</f>
        <v>31</v>
      </c>
    </row>
    <row r="13" spans="1:38" s="5" customFormat="1" ht="45" customHeight="1" x14ac:dyDescent="0.3">
      <c r="A13" s="4" t="s">
        <v>12</v>
      </c>
      <c r="B13" s="9" t="s">
        <v>13</v>
      </c>
      <c r="C13" s="10">
        <v>34121.599999999162</v>
      </c>
      <c r="D13" s="10">
        <v>32850.560000000987</v>
      </c>
      <c r="E13" s="10">
        <v>31937.280000001192</v>
      </c>
      <c r="F13" s="10">
        <v>33212.800000000279</v>
      </c>
      <c r="G13" s="10">
        <v>27653.11999999918</v>
      </c>
      <c r="H13" s="11">
        <v>30947.839999999851</v>
      </c>
      <c r="I13" s="10">
        <v>33662.720000001136</v>
      </c>
      <c r="J13" s="10">
        <v>29197.439999999478</v>
      </c>
      <c r="K13" s="10">
        <v>30769.920000000857</v>
      </c>
      <c r="L13" s="10">
        <v>30085.120000001043</v>
      </c>
      <c r="M13" s="10">
        <v>28547.199999999721</v>
      </c>
      <c r="N13" s="11">
        <v>24794.879999998957</v>
      </c>
      <c r="O13" s="10">
        <v>26842.880000001751</v>
      </c>
      <c r="P13" s="10">
        <v>30515.840000000317</v>
      </c>
      <c r="Q13" s="10">
        <v>32053.120000001509</v>
      </c>
      <c r="R13" s="10">
        <v>33488.640000000596</v>
      </c>
      <c r="S13" s="10">
        <v>33992.959999998566</v>
      </c>
      <c r="T13" s="10">
        <v>34040.959999999031</v>
      </c>
      <c r="U13" s="11">
        <v>29708.159999998752</v>
      </c>
      <c r="V13" s="10">
        <v>30560</v>
      </c>
      <c r="W13" s="10">
        <v>34757.119999998249</v>
      </c>
      <c r="X13" s="10">
        <v>35697.279999998864</v>
      </c>
      <c r="Y13" s="10">
        <v>35123.199999998324</v>
      </c>
      <c r="Z13" s="10">
        <v>34623.999999999069</v>
      </c>
      <c r="AA13" s="10">
        <v>34908.159999998752</v>
      </c>
      <c r="AB13" s="11">
        <v>28360.320000001229</v>
      </c>
      <c r="AC13" s="10">
        <v>32449.280000000726</v>
      </c>
      <c r="AD13" s="10">
        <v>35422.080000001006</v>
      </c>
      <c r="AE13" s="10">
        <v>36280.96000000136</v>
      </c>
      <c r="AF13" s="10">
        <v>35756.799999999348</v>
      </c>
      <c r="AG13" s="29">
        <v>34373.760000001639</v>
      </c>
      <c r="AH13" s="28">
        <f t="shared" si="0"/>
        <v>996736.00000000093</v>
      </c>
      <c r="AI13" s="34">
        <f t="shared" ref="AI13:AI17" si="3">AVERAGE(C13:AG13)</f>
        <v>32152.774193548415</v>
      </c>
      <c r="AJ13" s="40"/>
      <c r="AK13" s="41"/>
      <c r="AL13" s="41"/>
    </row>
    <row r="14" spans="1:38" s="5" customFormat="1" ht="45" customHeight="1" x14ac:dyDescent="0.3">
      <c r="A14" s="4" t="s">
        <v>14</v>
      </c>
      <c r="B14" s="9" t="s">
        <v>15</v>
      </c>
      <c r="C14" s="10">
        <v>18620.39999999979</v>
      </c>
      <c r="D14" s="10">
        <v>18096.799999999348</v>
      </c>
      <c r="E14" s="10">
        <v>18053.200000000652</v>
      </c>
      <c r="F14" s="10">
        <v>18235.19999999844</v>
      </c>
      <c r="G14" s="10">
        <v>18172.400000001653</v>
      </c>
      <c r="H14" s="11">
        <v>18115.600000001723</v>
      </c>
      <c r="I14" s="10">
        <v>19440.399999998044</v>
      </c>
      <c r="J14" s="10">
        <v>17694.399999998859</v>
      </c>
      <c r="K14" s="10">
        <v>19514.400000000023</v>
      </c>
      <c r="L14" s="10">
        <v>19337.200000000303</v>
      </c>
      <c r="M14" s="10">
        <v>19330.400000000373</v>
      </c>
      <c r="N14" s="11">
        <v>18349.600000001374</v>
      </c>
      <c r="O14" s="10">
        <v>18929.199999998673</v>
      </c>
      <c r="P14" s="10">
        <v>19827.999999999884</v>
      </c>
      <c r="Q14" s="10">
        <v>18271.59999999858</v>
      </c>
      <c r="R14" s="10">
        <v>18540.000000002328</v>
      </c>
      <c r="S14" s="10">
        <v>19450.800000000163</v>
      </c>
      <c r="T14" s="10">
        <v>19683.599999998114</v>
      </c>
      <c r="U14" s="11">
        <v>19350.399999998626</v>
      </c>
      <c r="V14" s="10">
        <v>19802.000000001863</v>
      </c>
      <c r="W14" s="10">
        <v>20666.000000000349</v>
      </c>
      <c r="X14" s="10">
        <v>20322.000000000116</v>
      </c>
      <c r="Y14" s="10">
        <v>20207.600000000093</v>
      </c>
      <c r="Z14" s="10">
        <v>20377.999999999884</v>
      </c>
      <c r="AA14" s="10">
        <v>20635.19999999844</v>
      </c>
      <c r="AB14" s="11">
        <v>20843.599999998696</v>
      </c>
      <c r="AC14" s="10">
        <v>20685.20000000135</v>
      </c>
      <c r="AD14" s="10">
        <v>20737.200000000303</v>
      </c>
      <c r="AE14" s="10">
        <v>20618.400000000838</v>
      </c>
      <c r="AF14" s="10">
        <v>20518.799999999464</v>
      </c>
      <c r="AG14" s="29">
        <v>19399.199999999837</v>
      </c>
      <c r="AH14" s="28">
        <f t="shared" si="0"/>
        <v>601826.79999999818</v>
      </c>
      <c r="AI14" s="34">
        <f t="shared" si="3"/>
        <v>19413.767741935426</v>
      </c>
      <c r="AJ14" s="40"/>
      <c r="AK14" s="41"/>
      <c r="AL14" s="41"/>
    </row>
    <row r="15" spans="1:38" s="5" customFormat="1" ht="45" customHeight="1" x14ac:dyDescent="0.3">
      <c r="A15" s="4" t="s">
        <v>16</v>
      </c>
      <c r="B15" s="9" t="s">
        <v>17</v>
      </c>
      <c r="C15" s="10">
        <v>14433.300000000236</v>
      </c>
      <c r="D15" s="10">
        <v>14984.100000000035</v>
      </c>
      <c r="E15" s="10">
        <v>16085.099999999511</v>
      </c>
      <c r="F15" s="10">
        <v>14939.999999999782</v>
      </c>
      <c r="G15" s="10">
        <v>13136.40000000014</v>
      </c>
      <c r="H15" s="11">
        <v>13796.100000000297</v>
      </c>
      <c r="I15" s="10">
        <v>13562.999999999738</v>
      </c>
      <c r="J15" s="10">
        <v>11518.800000000192</v>
      </c>
      <c r="K15" s="10">
        <v>12560.999999999694</v>
      </c>
      <c r="L15" s="10">
        <v>13102.799999999843</v>
      </c>
      <c r="M15" s="10">
        <v>13184.399999999005</v>
      </c>
      <c r="N15" s="11">
        <v>11889.300000000367</v>
      </c>
      <c r="O15" s="10">
        <v>12499.200000000201</v>
      </c>
      <c r="P15" s="10">
        <v>13106.700000000637</v>
      </c>
      <c r="Q15" s="10">
        <v>13194.29999999993</v>
      </c>
      <c r="R15" s="10">
        <v>14191.200000000026</v>
      </c>
      <c r="S15" s="10">
        <v>15311.100000000079</v>
      </c>
      <c r="T15" s="10">
        <v>14716.800000000148</v>
      </c>
      <c r="U15" s="11">
        <v>13587.600000000384</v>
      </c>
      <c r="V15" s="10">
        <v>12745.500000000175</v>
      </c>
      <c r="W15" s="10">
        <v>14009.700000000157</v>
      </c>
      <c r="X15" s="10">
        <v>14559.599999999773</v>
      </c>
      <c r="Y15" s="10">
        <v>14996.400000000358</v>
      </c>
      <c r="Z15" s="10">
        <v>14428.499999999258</v>
      </c>
      <c r="AA15" s="10">
        <v>15440.700000000288</v>
      </c>
      <c r="AB15" s="11">
        <v>13972.500000000218</v>
      </c>
      <c r="AC15" s="10">
        <v>14627.70000000055</v>
      </c>
      <c r="AD15" s="10">
        <v>14846.700000000419</v>
      </c>
      <c r="AE15" s="10">
        <v>14450.700000000506</v>
      </c>
      <c r="AF15" s="10">
        <v>15163.800000000629</v>
      </c>
      <c r="AG15" s="29">
        <v>15183.600000000297</v>
      </c>
      <c r="AH15" s="28">
        <f t="shared" si="0"/>
        <v>434226.60000000289</v>
      </c>
      <c r="AI15" s="34">
        <f t="shared" si="3"/>
        <v>14007.309677419447</v>
      </c>
      <c r="AJ15" s="40"/>
      <c r="AK15" s="41"/>
      <c r="AL15" s="41"/>
    </row>
    <row r="16" spans="1:38" s="5" customFormat="1" ht="45" customHeight="1" x14ac:dyDescent="0.3">
      <c r="A16" s="4" t="s">
        <v>18</v>
      </c>
      <c r="B16" s="9" t="s">
        <v>19</v>
      </c>
      <c r="C16" s="10">
        <v>14523.000000001048</v>
      </c>
      <c r="D16" s="10">
        <v>12207.299999999668</v>
      </c>
      <c r="E16" s="10">
        <v>2553.0000000006112</v>
      </c>
      <c r="F16" s="10">
        <v>15100</v>
      </c>
      <c r="G16" s="10">
        <v>15100</v>
      </c>
      <c r="H16" s="11">
        <v>11332</v>
      </c>
      <c r="I16" s="10">
        <v>15100</v>
      </c>
      <c r="J16" s="10">
        <v>15100</v>
      </c>
      <c r="K16" s="10">
        <v>15100</v>
      </c>
      <c r="L16" s="10">
        <v>15100</v>
      </c>
      <c r="M16" s="10">
        <v>15100</v>
      </c>
      <c r="N16" s="11">
        <v>11600</v>
      </c>
      <c r="O16" s="10">
        <v>15100</v>
      </c>
      <c r="P16" s="10">
        <v>15100</v>
      </c>
      <c r="Q16" s="10">
        <v>15100</v>
      </c>
      <c r="R16" s="10">
        <v>15100</v>
      </c>
      <c r="S16" s="10">
        <v>15100</v>
      </c>
      <c r="T16" s="10">
        <v>9539.9999999999854</v>
      </c>
      <c r="U16" s="11">
        <v>11241.899999999987</v>
      </c>
      <c r="V16" s="10">
        <v>14922.299999999996</v>
      </c>
      <c r="W16" s="10">
        <v>15411.60000000002</v>
      </c>
      <c r="X16" s="10">
        <v>16134.300000000019</v>
      </c>
      <c r="Y16" s="10">
        <v>15027.899999999989</v>
      </c>
      <c r="Z16" s="10">
        <v>15678.900000000011</v>
      </c>
      <c r="AA16" s="10">
        <v>15898.500000000036</v>
      </c>
      <c r="AB16" s="11">
        <v>14739.600000000019</v>
      </c>
      <c r="AC16" s="10">
        <v>14397.900000000049</v>
      </c>
      <c r="AD16" s="10">
        <v>16099.80000000005</v>
      </c>
      <c r="AE16" s="10">
        <v>15922.799999999937</v>
      </c>
      <c r="AF16" s="10">
        <v>15828.900000000045</v>
      </c>
      <c r="AG16" s="29">
        <v>15519.3</v>
      </c>
      <c r="AH16" s="28">
        <f t="shared" si="0"/>
        <v>439779.00000000151</v>
      </c>
      <c r="AI16" s="34">
        <f t="shared" si="3"/>
        <v>14186.419354838759</v>
      </c>
      <c r="AJ16" s="40"/>
      <c r="AK16" s="41"/>
      <c r="AL16" s="41"/>
    </row>
    <row r="17" spans="1:38" ht="45" customHeight="1" thickBot="1" x14ac:dyDescent="0.35">
      <c r="A17" s="13"/>
      <c r="B17" s="17" t="s">
        <v>9</v>
      </c>
      <c r="C17" s="18">
        <f>+C16+C15+C14+C13+C12</f>
        <v>123353.29999999907</v>
      </c>
      <c r="D17" s="18">
        <f t="shared" ref="D17:AG17" si="4">+D16+D15+D14+D13+D12</f>
        <v>113064.75999999951</v>
      </c>
      <c r="E17" s="18">
        <f t="shared" si="4"/>
        <v>111108.58000000517</v>
      </c>
      <c r="F17" s="18">
        <f t="shared" si="4"/>
        <v>120057.99999999821</v>
      </c>
      <c r="G17" s="18">
        <f t="shared" si="4"/>
        <v>104462.92000000627</v>
      </c>
      <c r="H17" s="20">
        <f t="shared" si="4"/>
        <v>108281.53999999838</v>
      </c>
      <c r="I17" s="18">
        <f t="shared" si="4"/>
        <v>130366.11999999746</v>
      </c>
      <c r="J17" s="18">
        <f t="shared" si="4"/>
        <v>108528.63999999492</v>
      </c>
      <c r="K17" s="18">
        <f t="shared" si="4"/>
        <v>127411.32000000092</v>
      </c>
      <c r="L17" s="18">
        <f t="shared" si="4"/>
        <v>127289.1200000055</v>
      </c>
      <c r="M17" s="18">
        <f t="shared" si="4"/>
        <v>125941.99999999793</v>
      </c>
      <c r="N17" s="20">
        <f t="shared" si="4"/>
        <v>104741.78000000087</v>
      </c>
      <c r="O17" s="18">
        <f t="shared" si="4"/>
        <v>118335.28000000057</v>
      </c>
      <c r="P17" s="18">
        <f t="shared" si="4"/>
        <v>123729.53999999729</v>
      </c>
      <c r="Q17" s="18">
        <f t="shared" si="4"/>
        <v>127900.01999999542</v>
      </c>
      <c r="R17" s="18">
        <f t="shared" si="4"/>
        <v>131223.83999999793</v>
      </c>
      <c r="S17" s="18">
        <f t="shared" si="4"/>
        <v>113655.85999999828</v>
      </c>
      <c r="T17" s="18">
        <f t="shared" si="4"/>
        <v>115910.360000001</v>
      </c>
      <c r="U17" s="20">
        <f t="shared" si="4"/>
        <v>107945.05999999846</v>
      </c>
      <c r="V17" s="18">
        <f t="shared" si="4"/>
        <v>115970.80000000092</v>
      </c>
      <c r="W17" s="18">
        <f t="shared" si="4"/>
        <v>124924.42000000052</v>
      </c>
      <c r="X17" s="18">
        <f t="shared" si="4"/>
        <v>130126.17999999924</v>
      </c>
      <c r="Y17" s="18">
        <f t="shared" si="4"/>
        <v>120425.09999999846</v>
      </c>
      <c r="Z17" s="18">
        <f t="shared" si="4"/>
        <v>120394.40000000171</v>
      </c>
      <c r="AA17" s="18">
        <f t="shared" si="4"/>
        <v>129609.55999999648</v>
      </c>
      <c r="AB17" s="20">
        <f t="shared" si="4"/>
        <v>108392.01999999527</v>
      </c>
      <c r="AC17" s="18">
        <f t="shared" si="4"/>
        <v>131196.08000000275</v>
      </c>
      <c r="AD17" s="18">
        <f t="shared" si="4"/>
        <v>140138.78000000486</v>
      </c>
      <c r="AE17" s="18">
        <f t="shared" si="4"/>
        <v>140739.86000000683</v>
      </c>
      <c r="AF17" s="18">
        <f t="shared" si="4"/>
        <v>141981.29999999559</v>
      </c>
      <c r="AG17" s="30">
        <f t="shared" si="4"/>
        <v>138571.85999999952</v>
      </c>
      <c r="AH17" s="35">
        <f t="shared" si="0"/>
        <v>3785778.3999999948</v>
      </c>
      <c r="AI17" s="36">
        <f t="shared" si="3"/>
        <v>122121.88387096758</v>
      </c>
      <c r="AJ17" s="40"/>
      <c r="AK17" s="41"/>
      <c r="AL17" s="41"/>
    </row>
    <row r="18" spans="1:38" ht="32.25" customHeight="1" x14ac:dyDescent="0.3"/>
    <row r="19" spans="1:38" ht="34.5" customHeight="1" x14ac:dyDescent="0.3"/>
    <row r="20" spans="1:38" ht="34.5" customHeight="1" x14ac:dyDescent="0.3"/>
    <row r="21" spans="1:38" ht="34.5" customHeight="1" x14ac:dyDescent="0.3"/>
    <row r="22" spans="1:38" ht="34.5" customHeight="1" x14ac:dyDescent="0.3"/>
  </sheetData>
  <mergeCells count="7">
    <mergeCell ref="AJ4:AJ9"/>
    <mergeCell ref="AK4:AK9"/>
    <mergeCell ref="AL4:AL9"/>
    <mergeCell ref="A10:AL10"/>
    <mergeCell ref="AJ12:AJ17"/>
    <mergeCell ref="AK12:AK17"/>
    <mergeCell ref="AL12:AL17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Thang 1</vt:lpstr>
      <vt:lpstr>Thang 2</vt:lpstr>
      <vt:lpstr>Thang 3</vt:lpstr>
      <vt:lpstr>Thang 4</vt:lpstr>
      <vt:lpstr>Thang 5</vt:lpstr>
      <vt:lpstr>Compare Mar,April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UTILITY-PC01</dc:creator>
  <cp:lastModifiedBy>임재홍</cp:lastModifiedBy>
  <dcterms:created xsi:type="dcterms:W3CDTF">2026-05-08T05:30:51Z</dcterms:created>
  <dcterms:modified xsi:type="dcterms:W3CDTF">2026-05-12T13:23:14Z</dcterms:modified>
</cp:coreProperties>
</file>