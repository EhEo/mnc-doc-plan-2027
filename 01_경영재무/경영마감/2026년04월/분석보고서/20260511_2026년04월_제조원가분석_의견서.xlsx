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1_경영재무/경영마감/2026년04월/분석보고서/"/>
    </mc:Choice>
  </mc:AlternateContent>
  <xr:revisionPtr revIDLastSave="16" documentId="13_ncr:1_{631D9D6D-4896-49CE-9E74-E960F01E3890}" xr6:coauthVersionLast="47" xr6:coauthVersionMax="47" xr10:uidLastSave="{E5F53A1D-F283-4CED-8D4D-C54FA4C40A00}"/>
  <bookViews>
    <workbookView xWindow="28680" yWindow="-120" windowWidth="29040" windowHeight="15720" tabRatio="500" activeTab="2" xr2:uid="{00000000-000D-0000-FFFF-FFFF00000000}"/>
  </bookViews>
  <sheets>
    <sheet name="1.Summary" sheetId="1" r:id="rId1"/>
    <sheet name="2.재료비분석" sheetId="2" r:id="rId2"/>
    <sheet name="3.인건비분석" sheetId="3" r:id="rId3"/>
    <sheet name="4.경비분석" sheetId="4" r:id="rId4"/>
    <sheet name="5.원가계산검증" sheetId="5" r:id="rId5"/>
    <sheet name="6.Action Pl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2" l="1"/>
  <c r="F22" i="5" l="1"/>
  <c r="E22" i="5"/>
  <c r="F21" i="5"/>
  <c r="E21" i="5"/>
  <c r="F20" i="5"/>
  <c r="E20" i="5"/>
  <c r="F19" i="5"/>
  <c r="E19" i="5"/>
  <c r="F27" i="4"/>
  <c r="E27" i="4"/>
  <c r="D27" i="4"/>
  <c r="C27" i="4"/>
  <c r="G26" i="4"/>
  <c r="H26" i="4" s="1"/>
  <c r="I26" i="4" s="1"/>
  <c r="G25" i="4"/>
  <c r="H25" i="4" s="1"/>
  <c r="I25" i="4" s="1"/>
  <c r="G24" i="4"/>
  <c r="H24" i="4" s="1"/>
  <c r="I24" i="4" s="1"/>
  <c r="G23" i="4"/>
  <c r="H23" i="4" s="1"/>
  <c r="I23" i="4" s="1"/>
  <c r="G22" i="4"/>
  <c r="H22" i="4" s="1"/>
  <c r="I22" i="4" s="1"/>
  <c r="G21" i="4"/>
  <c r="H21" i="4" s="1"/>
  <c r="I21" i="4" s="1"/>
  <c r="G20" i="4"/>
  <c r="H20" i="4" s="1"/>
  <c r="I20" i="4" s="1"/>
  <c r="H19" i="4"/>
  <c r="I19" i="4" s="1"/>
  <c r="G19" i="4"/>
  <c r="G18" i="4"/>
  <c r="H18" i="4" s="1"/>
  <c r="I18" i="4" s="1"/>
  <c r="G17" i="4"/>
  <c r="H17" i="4" s="1"/>
  <c r="I17" i="4" s="1"/>
  <c r="G16" i="4"/>
  <c r="H16" i="4" s="1"/>
  <c r="I16" i="4" s="1"/>
  <c r="G15" i="4"/>
  <c r="H15" i="4" s="1"/>
  <c r="I15" i="4" s="1"/>
  <c r="G14" i="4"/>
  <c r="H14" i="4" s="1"/>
  <c r="I14" i="4" s="1"/>
  <c r="G13" i="4"/>
  <c r="H13" i="4" s="1"/>
  <c r="I13" i="4" s="1"/>
  <c r="G12" i="4"/>
  <c r="H12" i="4" s="1"/>
  <c r="I12" i="4" s="1"/>
  <c r="G11" i="4"/>
  <c r="H11" i="4" s="1"/>
  <c r="I11" i="4" s="1"/>
  <c r="G10" i="4"/>
  <c r="H10" i="4" s="1"/>
  <c r="I10" i="4" s="1"/>
  <c r="G9" i="4"/>
  <c r="H9" i="4" s="1"/>
  <c r="I9" i="4" s="1"/>
  <c r="G8" i="4"/>
  <c r="H8" i="4" s="1"/>
  <c r="I8" i="4" s="1"/>
  <c r="G7" i="4"/>
  <c r="H7" i="4" s="1"/>
  <c r="I7" i="4" s="1"/>
  <c r="G6" i="4"/>
  <c r="G27" i="4" s="1"/>
  <c r="H50" i="3"/>
  <c r="G50" i="3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C33" i="3"/>
  <c r="C35" i="3" s="1"/>
  <c r="C22" i="3"/>
  <c r="D22" i="3" s="1"/>
  <c r="E21" i="3"/>
  <c r="D21" i="3"/>
  <c r="E20" i="3"/>
  <c r="D20" i="3"/>
  <c r="E19" i="3"/>
  <c r="D19" i="3"/>
  <c r="D18" i="3"/>
  <c r="E17" i="3"/>
  <c r="D17" i="3"/>
  <c r="E16" i="3"/>
  <c r="D16" i="3"/>
  <c r="G10" i="3"/>
  <c r="F10" i="3"/>
  <c r="H10" i="3" s="1"/>
  <c r="E10" i="3"/>
  <c r="D10" i="3"/>
  <c r="H9" i="3"/>
  <c r="I9" i="3" s="1"/>
  <c r="H8" i="3"/>
  <c r="I8" i="3" s="1"/>
  <c r="H6" i="3"/>
  <c r="I6" i="3" s="1"/>
  <c r="H23" i="2"/>
  <c r="G23" i="2"/>
  <c r="F23" i="2"/>
  <c r="D23" i="2"/>
  <c r="H22" i="2"/>
  <c r="G22" i="2"/>
  <c r="F22" i="2"/>
  <c r="D22" i="2"/>
  <c r="H21" i="2"/>
  <c r="G21" i="2"/>
  <c r="F21" i="2"/>
  <c r="D21" i="2"/>
  <c r="H20" i="2"/>
  <c r="G20" i="2"/>
  <c r="F20" i="2"/>
  <c r="D20" i="2"/>
  <c r="H19" i="2"/>
  <c r="G19" i="2"/>
  <c r="F19" i="2"/>
  <c r="H11" i="2"/>
  <c r="I11" i="2" s="1"/>
  <c r="G10" i="2"/>
  <c r="G12" i="2" s="1"/>
  <c r="F10" i="2"/>
  <c r="F12" i="2" s="1"/>
  <c r="E10" i="2"/>
  <c r="E12" i="2" s="1"/>
  <c r="D10" i="2"/>
  <c r="D12" i="2" s="1"/>
  <c r="C10" i="2"/>
  <c r="C12" i="2" s="1"/>
  <c r="H9" i="2"/>
  <c r="I9" i="2" s="1"/>
  <c r="H8" i="2"/>
  <c r="I8" i="2" s="1"/>
  <c r="H7" i="2"/>
  <c r="I7" i="2" s="1"/>
  <c r="H6" i="2"/>
  <c r="I6" i="2" s="1"/>
  <c r="F30" i="1"/>
  <c r="E30" i="1"/>
  <c r="D30" i="1"/>
  <c r="G30" i="1" s="1"/>
  <c r="C30" i="1"/>
  <c r="G29" i="1"/>
  <c r="F29" i="1"/>
  <c r="H29" i="1" s="1"/>
  <c r="E29" i="1"/>
  <c r="D29" i="1"/>
  <c r="C29" i="1"/>
  <c r="F28" i="1"/>
  <c r="E28" i="1"/>
  <c r="D28" i="1"/>
  <c r="C28" i="1"/>
  <c r="G28" i="1" s="1"/>
  <c r="H28" i="1" s="1"/>
  <c r="F27" i="1"/>
  <c r="E27" i="1"/>
  <c r="G27" i="1" s="1"/>
  <c r="D27" i="1"/>
  <c r="C27" i="1"/>
  <c r="G26" i="1"/>
  <c r="H26" i="1" s="1"/>
  <c r="G25" i="1"/>
  <c r="H25" i="1" s="1"/>
  <c r="G24" i="1"/>
  <c r="H24" i="1" s="1"/>
  <c r="G23" i="1"/>
  <c r="H23" i="1" s="1"/>
  <c r="H22" i="1"/>
  <c r="G22" i="1"/>
  <c r="G21" i="1"/>
  <c r="H21" i="1" s="1"/>
  <c r="H20" i="1"/>
  <c r="G20" i="1"/>
  <c r="G19" i="1"/>
  <c r="H19" i="1" s="1"/>
  <c r="H18" i="1"/>
  <c r="G18" i="1"/>
  <c r="H30" i="1" l="1"/>
  <c r="H12" i="2"/>
  <c r="H27" i="1"/>
  <c r="I10" i="3"/>
  <c r="E18" i="3"/>
  <c r="H6" i="4"/>
  <c r="H10" i="2"/>
  <c r="I10" i="2" s="1"/>
  <c r="H27" i="4" l="1"/>
  <c r="I27" i="4" s="1"/>
  <c r="I6" i="4"/>
</calcChain>
</file>

<file path=xl/sharedStrings.xml><?xml version="1.0" encoding="utf-8"?>
<sst xmlns="http://schemas.openxmlformats.org/spreadsheetml/2006/main" count="519" uniqueCount="422">
  <si>
    <r>
      <rPr>
        <b/>
        <sz val="16"/>
        <color rgb="FF1F4E78"/>
        <rFont val="맑은 고딕"/>
        <family val="3"/>
        <charset val="129"/>
      </rPr>
      <t>2026</t>
    </r>
    <r>
      <rPr>
        <b/>
        <sz val="16"/>
        <color rgb="FF1F4E78"/>
        <rFont val="DejaVu Sans"/>
        <family val="2"/>
      </rPr>
      <t xml:space="preserve">년 </t>
    </r>
    <r>
      <rPr>
        <b/>
        <sz val="16"/>
        <color rgb="FF1F4E78"/>
        <rFont val="맑은 고딕"/>
        <family val="3"/>
        <charset val="129"/>
      </rPr>
      <t>4</t>
    </r>
    <r>
      <rPr>
        <b/>
        <sz val="16"/>
        <color rgb="FF1F4E78"/>
        <rFont val="DejaVu Sans"/>
        <family val="2"/>
      </rPr>
      <t>월 마감 — 제조원가 분석 의견서</t>
    </r>
  </si>
  <si>
    <t>Manufacturing Cost Review (Material / Labor / Expenses) — Apr.2026 vs 1Q.2026</t>
  </si>
  <si>
    <t>■ 핵심 결론</t>
  </si>
  <si>
    <t>#</t>
  </si>
  <si>
    <t>항목</t>
  </si>
  <si>
    <t>세부</t>
  </si>
  <si>
    <t>등급</t>
  </si>
  <si>
    <t>1</t>
  </si>
  <si>
    <t>GOOD</t>
  </si>
  <si>
    <t>2</t>
  </si>
  <si>
    <t>ALERT</t>
  </si>
  <si>
    <t>3</t>
  </si>
  <si>
    <t>4</t>
  </si>
  <si>
    <t>5</t>
  </si>
  <si>
    <t>WARN</t>
  </si>
  <si>
    <t>6</t>
  </si>
  <si>
    <t>원가계산 로직 일부 일관성 검토 필요</t>
  </si>
  <si>
    <t>7</t>
  </si>
  <si>
    <r>
      <rPr>
        <b/>
        <sz val="14"/>
        <color rgb="FF1F4E78"/>
        <rFont val="DejaVu Sans"/>
        <family val="2"/>
      </rPr>
      <t xml:space="preserve">■ 월별 </t>
    </r>
    <r>
      <rPr>
        <b/>
        <sz val="14"/>
        <color rgb="FF1F4E78"/>
        <rFont val="DejaVu Sans"/>
        <family val="2"/>
        <charset val="1"/>
      </rPr>
      <t xml:space="preserve">PL </t>
    </r>
    <r>
      <rPr>
        <b/>
        <sz val="14"/>
        <color rgb="FF1F4E78"/>
        <rFont val="DejaVu Sans"/>
        <family val="2"/>
      </rPr>
      <t xml:space="preserve">핵심 지표 </t>
    </r>
    <r>
      <rPr>
        <b/>
        <sz val="14"/>
        <color rgb="FF1F4E78"/>
        <rFont val="DejaVu Sans"/>
        <family val="2"/>
        <charset val="1"/>
      </rPr>
      <t>(USD)</t>
    </r>
  </si>
  <si>
    <t>Total Sales</t>
  </si>
  <si>
    <t>Material Cost (Sch2)</t>
  </si>
  <si>
    <t>Labor Cost (Sch2)</t>
  </si>
  <si>
    <t>Expenses (Sch2)</t>
  </si>
  <si>
    <t>Total Production Cost</t>
  </si>
  <si>
    <t>Manufacturing Cost (final)</t>
  </si>
  <si>
    <t>Gross Profit (clear stock)</t>
  </si>
  <si>
    <t>Operating Profit</t>
  </si>
  <si>
    <t>EBITDA</t>
  </si>
  <si>
    <t>Material / Sales %</t>
  </si>
  <si>
    <t>Labor / Sales %</t>
  </si>
  <si>
    <t>Expenses / Sales %</t>
  </si>
  <si>
    <t>GP / Sales (Margin) %</t>
  </si>
  <si>
    <r>
      <rPr>
        <b/>
        <sz val="14"/>
        <color rgb="FF1F4E78"/>
        <rFont val="DejaVu Sans"/>
        <family val="2"/>
      </rPr>
      <t xml:space="preserve">재료비 </t>
    </r>
    <r>
      <rPr>
        <b/>
        <sz val="14"/>
        <color rgb="FF1F4E78"/>
        <rFont val="DejaVu Sans"/>
        <family val="2"/>
        <charset val="1"/>
      </rPr>
      <t xml:space="preserve">(Material Cost) </t>
    </r>
    <r>
      <rPr>
        <b/>
        <sz val="14"/>
        <color rgb="FF1F4E78"/>
        <rFont val="DejaVu Sans"/>
        <family val="2"/>
      </rPr>
      <t>분석</t>
    </r>
  </si>
  <si>
    <r>
      <rPr>
        <b/>
        <sz val="14"/>
        <color rgb="FF1F4E78"/>
        <rFont val="맑은 고딕"/>
        <family val="3"/>
        <charset val="129"/>
      </rPr>
      <t xml:space="preserve">■ PL Sch2 — </t>
    </r>
    <r>
      <rPr>
        <b/>
        <sz val="14"/>
        <color rgb="FF1F4E78"/>
        <rFont val="DejaVu Sans"/>
        <family val="2"/>
      </rPr>
      <t>재료비 수식 검증</t>
    </r>
  </si>
  <si>
    <t>구분</t>
  </si>
  <si>
    <t>Dec.2025</t>
  </si>
  <si>
    <t>Jan.26</t>
  </si>
  <si>
    <t>Feb.26</t>
  </si>
  <si>
    <t>Mar.26</t>
  </si>
  <si>
    <t>Apr.26</t>
  </si>
  <si>
    <t>Apr vs 1Q</t>
  </si>
  <si>
    <r>
      <rPr>
        <b/>
        <sz val="14"/>
        <color rgb="FF1F4E78"/>
        <rFont val="맑은 고딕"/>
        <family val="3"/>
        <charset val="129"/>
      </rPr>
      <t xml:space="preserve">■ Costing </t>
    </r>
    <r>
      <rPr>
        <b/>
        <sz val="14"/>
        <color rgb="FF1F4E78"/>
        <rFont val="DejaVu Sans"/>
        <family val="2"/>
      </rPr>
      <t xml:space="preserve">파일 — </t>
    </r>
    <r>
      <rPr>
        <b/>
        <sz val="14"/>
        <color rgb="FF1F4E78"/>
        <rFont val="맑은 고딕"/>
        <family val="3"/>
        <charset val="129"/>
      </rPr>
      <t xml:space="preserve">F/G </t>
    </r>
    <r>
      <rPr>
        <b/>
        <sz val="14"/>
        <color rgb="FF1F4E78"/>
        <rFont val="DejaVu Sans"/>
        <family val="2"/>
      </rPr>
      <t xml:space="preserve">단계 원가 </t>
    </r>
    <r>
      <rPr>
        <b/>
        <sz val="14"/>
        <color rgb="FF1F4E78"/>
        <rFont val="맑은 고딕"/>
        <family val="3"/>
        <charset val="129"/>
      </rPr>
      <t xml:space="preserve">vs PL </t>
    </r>
    <r>
      <rPr>
        <b/>
        <sz val="14"/>
        <color rgb="FF1F4E78"/>
        <rFont val="DejaVu Sans"/>
        <family val="2"/>
      </rPr>
      <t>마감 검증</t>
    </r>
  </si>
  <si>
    <t>Costing F/G (USD)</t>
  </si>
  <si>
    <t>Costing F/G (%)</t>
  </si>
  <si>
    <t>비고</t>
  </si>
  <si>
    <t>★ 완전 일치 ✓</t>
  </si>
  <si>
    <t>■ 재료비 검토 의견</t>
  </si>
  <si>
    <t>OK</t>
  </si>
  <si>
    <t>검토</t>
  </si>
  <si>
    <t>★검토</t>
  </si>
  <si>
    <r>
      <rPr>
        <b/>
        <sz val="14"/>
        <color rgb="FF1F4E78"/>
        <rFont val="DejaVu Sans"/>
        <family val="2"/>
      </rPr>
      <t xml:space="preserve">인건비 </t>
    </r>
    <r>
      <rPr>
        <b/>
        <sz val="14"/>
        <color rgb="FF1F4E78"/>
        <rFont val="DejaVu Sans"/>
        <family val="2"/>
        <charset val="1"/>
      </rPr>
      <t xml:space="preserve">(Labor Cost) </t>
    </r>
    <r>
      <rPr>
        <b/>
        <sz val="14"/>
        <color rgb="FF1F4E78"/>
        <rFont val="DejaVu Sans"/>
        <family val="2"/>
      </rPr>
      <t>분석</t>
    </r>
  </si>
  <si>
    <r>
      <rPr>
        <b/>
        <sz val="14"/>
        <color rgb="FF1F4E78"/>
        <rFont val="DejaVu Sans"/>
        <family val="2"/>
      </rPr>
      <t>■ 월별 인건비</t>
    </r>
    <r>
      <rPr>
        <b/>
        <sz val="14"/>
        <color rgb="FF1F4E78"/>
        <rFont val="DejaVu Sans"/>
        <family val="2"/>
        <charset val="1"/>
      </rPr>
      <t>·</t>
    </r>
    <r>
      <rPr>
        <b/>
        <sz val="14"/>
        <color rgb="FF1F4E78"/>
        <rFont val="DejaVu Sans"/>
        <family val="2"/>
      </rPr>
      <t>인원</t>
    </r>
    <r>
      <rPr>
        <b/>
        <sz val="14"/>
        <color rgb="FF1F4E78"/>
        <rFont val="DejaVu Sans"/>
        <family val="2"/>
        <charset val="1"/>
      </rPr>
      <t xml:space="preserve">·OT </t>
    </r>
    <r>
      <rPr>
        <b/>
        <sz val="14"/>
        <color rgb="FF1F4E78"/>
        <rFont val="DejaVu Sans"/>
        <family val="2"/>
      </rPr>
      <t>추이</t>
    </r>
  </si>
  <si>
    <t>단위</t>
  </si>
  <si>
    <t>USD</t>
  </si>
  <si>
    <t>시간</t>
  </si>
  <si>
    <t>총 인원수</t>
  </si>
  <si>
    <t>명</t>
  </si>
  <si>
    <r>
      <rPr>
        <b/>
        <sz val="14"/>
        <color rgb="FF1F4E78"/>
        <rFont val="맑은 고딕"/>
        <family val="3"/>
        <charset val="129"/>
      </rPr>
      <t>■ HR 4</t>
    </r>
    <r>
      <rPr>
        <b/>
        <sz val="14"/>
        <color rgb="FF1F4E78"/>
        <rFont val="DejaVu Sans"/>
        <family val="2"/>
      </rPr>
      <t xml:space="preserve">월 급여 구성 </t>
    </r>
    <r>
      <rPr>
        <b/>
        <sz val="14"/>
        <color rgb="FF1F4E78"/>
        <rFont val="맑은 고딕"/>
        <family val="3"/>
        <charset val="129"/>
      </rPr>
      <t>(</t>
    </r>
    <r>
      <rPr>
        <b/>
        <sz val="14"/>
        <color rgb="FF1F4E78"/>
        <rFont val="DejaVu Sans"/>
        <family val="2"/>
      </rPr>
      <t>베트남 직원</t>
    </r>
    <r>
      <rPr>
        <b/>
        <sz val="14"/>
        <color rgb="FF1F4E78"/>
        <rFont val="맑은 고딕"/>
        <family val="3"/>
        <charset val="129"/>
      </rPr>
      <t>, 802</t>
    </r>
    <r>
      <rPr>
        <b/>
        <sz val="14"/>
        <color rgb="FF1F4E78"/>
        <rFont val="DejaVu Sans"/>
        <family val="2"/>
      </rPr>
      <t>명</t>
    </r>
    <r>
      <rPr>
        <b/>
        <sz val="14"/>
        <color rgb="FF1F4E78"/>
        <rFont val="맑은 고딕"/>
        <family val="3"/>
        <charset val="129"/>
      </rPr>
      <t>, USD/VND = 26,000)</t>
    </r>
  </si>
  <si>
    <t>VND</t>
  </si>
  <si>
    <t>비중</t>
  </si>
  <si>
    <t>정상 구성</t>
  </si>
  <si>
    <t>연차 정산 등</t>
  </si>
  <si>
    <t>합계</t>
  </si>
  <si>
    <r>
      <rPr>
        <b/>
        <sz val="14"/>
        <color rgb="FF1F4E78"/>
        <rFont val="맑은 고딕"/>
        <family val="3"/>
        <charset val="129"/>
      </rPr>
      <t xml:space="preserve">■ HR </t>
    </r>
    <r>
      <rPr>
        <b/>
        <sz val="14"/>
        <color rgb="FF1F4E78"/>
        <rFont val="DejaVu Sans"/>
        <family val="2"/>
      </rPr>
      <t xml:space="preserve">급여 </t>
    </r>
    <r>
      <rPr>
        <b/>
        <sz val="14"/>
        <color rgb="FF1F4E78"/>
        <rFont val="맑은 고딕"/>
        <family val="3"/>
        <charset val="129"/>
      </rPr>
      <t xml:space="preserve">vs PL Sch2 </t>
    </r>
    <r>
      <rPr>
        <b/>
        <sz val="14"/>
        <color rgb="FF1F4E78"/>
        <rFont val="DejaVu Sans"/>
        <family val="2"/>
      </rPr>
      <t>인건비 차이 검증</t>
    </r>
  </si>
  <si>
    <t>GL 41050111+41050120 = USD ~41K</t>
  </si>
  <si>
    <t>GL 41070104+41052805 = USD ~48K</t>
  </si>
  <si>
    <t>GL 41070105 = USD ~10K</t>
  </si>
  <si>
    <t>GL 41050206</t>
  </si>
  <si>
    <t>추정</t>
  </si>
  <si>
    <t>↑ 누적</t>
  </si>
  <si>
    <r>
      <rPr>
        <b/>
        <sz val="14"/>
        <color rgb="FF1F4E78"/>
        <rFont val="DejaVu Sans"/>
        <family val="2"/>
      </rPr>
      <t xml:space="preserve">■ 부서별 </t>
    </r>
    <r>
      <rPr>
        <b/>
        <sz val="14"/>
        <color rgb="FF1F4E78"/>
        <rFont val="DejaVu Sans"/>
        <family val="2"/>
        <charset val="1"/>
      </rPr>
      <t>OT</t>
    </r>
    <r>
      <rPr>
        <b/>
        <sz val="14"/>
        <color rgb="FF1F4E78"/>
        <rFont val="DejaVu Sans"/>
        <family val="2"/>
      </rPr>
      <t xml:space="preserve">시간 추이 </t>
    </r>
    <r>
      <rPr>
        <b/>
        <sz val="14"/>
        <color rgb="FF1F4E78"/>
        <rFont val="DejaVu Sans"/>
        <family val="2"/>
        <charset val="1"/>
      </rPr>
      <t>(</t>
    </r>
    <r>
      <rPr>
        <b/>
        <sz val="14"/>
        <color rgb="FF1F4E78"/>
        <rFont val="DejaVu Sans"/>
        <family val="2"/>
      </rPr>
      <t xml:space="preserve">상위 </t>
    </r>
    <r>
      <rPr>
        <b/>
        <sz val="14"/>
        <color rgb="FF1F4E78"/>
        <rFont val="DejaVu Sans"/>
        <family val="2"/>
        <charset val="1"/>
      </rPr>
      <t>10</t>
    </r>
    <r>
      <rPr>
        <b/>
        <sz val="14"/>
        <color rgb="FF1F4E78"/>
        <rFont val="DejaVu Sans"/>
        <family val="2"/>
      </rPr>
      <t>개 부서</t>
    </r>
    <r>
      <rPr>
        <b/>
        <sz val="14"/>
        <color rgb="FF1F4E78"/>
        <rFont val="DejaVu Sans"/>
        <family val="2"/>
        <charset val="1"/>
      </rPr>
      <t>)</t>
    </r>
  </si>
  <si>
    <t>부서</t>
  </si>
  <si>
    <t>Jan</t>
  </si>
  <si>
    <t>Feb</t>
  </si>
  <si>
    <t>Mar</t>
  </si>
  <si>
    <t>Apr</t>
  </si>
  <si>
    <t>CNC</t>
  </si>
  <si>
    <t>보합</t>
  </si>
  <si>
    <t>POLISHING</t>
  </si>
  <si>
    <t>DIE-CASTING</t>
  </si>
  <si>
    <t>↑ 큰 증가</t>
  </si>
  <si>
    <t>PRESS/TRIM</t>
  </si>
  <si>
    <t>OQC</t>
  </si>
  <si>
    <t>ASSEMBLY</t>
  </si>
  <si>
    <t>Utility</t>
  </si>
  <si>
    <t>PQC</t>
  </si>
  <si>
    <t>MOULDING</t>
  </si>
  <si>
    <t>NON CHROMATE</t>
  </si>
  <si>
    <t>■ 인건비 검토 의견</t>
  </si>
  <si>
    <t>★★★위반리스크</t>
  </si>
  <si>
    <t>★★검토</t>
  </si>
  <si>
    <t>검증</t>
  </si>
  <si>
    <r>
      <rPr>
        <b/>
        <sz val="14"/>
        <color rgb="FF1F4E78"/>
        <rFont val="DejaVu Sans"/>
        <family val="2"/>
      </rPr>
      <t xml:space="preserve">제조경비 </t>
    </r>
    <r>
      <rPr>
        <b/>
        <sz val="14"/>
        <color rgb="FF1F4E78"/>
        <rFont val="DejaVu Sans"/>
        <family val="2"/>
        <charset val="1"/>
      </rPr>
      <t xml:space="preserve">(Manufacturing Expenses) </t>
    </r>
    <r>
      <rPr>
        <b/>
        <sz val="14"/>
        <color rgb="FF1F4E78"/>
        <rFont val="DejaVu Sans"/>
        <family val="2"/>
      </rPr>
      <t>분석</t>
    </r>
  </si>
  <si>
    <r>
      <rPr>
        <b/>
        <sz val="14"/>
        <color rgb="FF1F4E78"/>
        <rFont val="DejaVu Sans"/>
        <family val="2"/>
      </rPr>
      <t xml:space="preserve">■ 경비 세부 항목 — 월별 추이 </t>
    </r>
    <r>
      <rPr>
        <b/>
        <sz val="14"/>
        <color rgb="FF1F4E78"/>
        <rFont val="DejaVu Sans"/>
        <family val="2"/>
        <charset val="1"/>
      </rPr>
      <t>(PL Sch2)</t>
    </r>
  </si>
  <si>
    <t>안정</t>
  </si>
  <si>
    <t>Tax (FCT machines)</t>
  </si>
  <si>
    <t>Foreign Contractor Tax</t>
  </si>
  <si>
    <t>Outsourcing (Ano/Paint)</t>
  </si>
  <si>
    <t>Outsourcing (Mold-Sale)</t>
  </si>
  <si>
    <t>Consumable tool (CNC)</t>
  </si>
  <si>
    <t>Others (Garden·EHS)</t>
  </si>
  <si>
    <r>
      <rPr>
        <b/>
        <sz val="14"/>
        <color rgb="FF1F4E78"/>
        <rFont val="맑은 고딕"/>
        <family val="3"/>
        <charset val="129"/>
      </rPr>
      <t>■ 1Q</t>
    </r>
    <r>
      <rPr>
        <b/>
        <sz val="14"/>
        <color rgb="FF1F4E78"/>
        <rFont val="DejaVu Sans"/>
        <family val="2"/>
      </rPr>
      <t xml:space="preserve">대비 </t>
    </r>
    <r>
      <rPr>
        <b/>
        <sz val="14"/>
        <color rgb="FF1F4E78"/>
        <rFont val="맑은 고딕"/>
        <family val="3"/>
        <charset val="129"/>
      </rPr>
      <t>4</t>
    </r>
    <r>
      <rPr>
        <b/>
        <sz val="14"/>
        <color rgb="FF1F4E78"/>
        <rFont val="DejaVu Sans"/>
        <family val="2"/>
      </rPr>
      <t xml:space="preserve">월 증감 — 상위 </t>
    </r>
    <r>
      <rPr>
        <b/>
        <sz val="14"/>
        <color rgb="FF1F4E78"/>
        <rFont val="맑은 고딕"/>
        <family val="3"/>
        <charset val="129"/>
      </rPr>
      <t>8</t>
    </r>
    <r>
      <rPr>
        <b/>
        <sz val="14"/>
        <color rgb="FF1F4E78"/>
        <rFont val="DejaVu Sans"/>
        <family val="2"/>
      </rPr>
      <t xml:space="preserve">개 항목 </t>
    </r>
    <r>
      <rPr>
        <b/>
        <sz val="14"/>
        <color rgb="FF1F4E78"/>
        <rFont val="맑은 고딕"/>
        <family val="3"/>
        <charset val="129"/>
      </rPr>
      <t>(</t>
    </r>
    <r>
      <rPr>
        <b/>
        <sz val="14"/>
        <color rgb="FF1F4E78"/>
        <rFont val="DejaVu Sans"/>
        <family val="2"/>
      </rPr>
      <t>절대값 기준</t>
    </r>
    <r>
      <rPr>
        <b/>
        <sz val="14"/>
        <color rgb="FF1F4E78"/>
        <rFont val="맑은 고딕"/>
        <family val="3"/>
        <charset val="129"/>
      </rPr>
      <t>)</t>
    </r>
  </si>
  <si>
    <t>순위</t>
  </si>
  <si>
    <t>+112,235</t>
  </si>
  <si>
    <t>Outsourcing-Ano/Paint</t>
  </si>
  <si>
    <t>-28,294</t>
  </si>
  <si>
    <t>Repair Expense</t>
  </si>
  <si>
    <t>+7,996</t>
  </si>
  <si>
    <t>Amortization</t>
  </si>
  <si>
    <t>+6,331</t>
  </si>
  <si>
    <t>Consumables</t>
  </si>
  <si>
    <t>-7,739</t>
  </si>
  <si>
    <t>-5,814</t>
  </si>
  <si>
    <t>Sewage</t>
  </si>
  <si>
    <t>+5,317</t>
  </si>
  <si>
    <t>Meal</t>
  </si>
  <si>
    <t>+4,413</t>
  </si>
  <si>
    <t>■ 경비 검토 의견</t>
  </si>
  <si>
    <t>★★★최우선</t>
  </si>
  <si>
    <t>★중요</t>
  </si>
  <si>
    <t>정상</t>
  </si>
  <si>
    <r>
      <rPr>
        <b/>
        <sz val="14"/>
        <color rgb="FF1F4E78"/>
        <rFont val="맑은 고딕"/>
        <family val="3"/>
        <charset val="129"/>
      </rPr>
      <t xml:space="preserve">02-042026-Costing Calculation Fixed.xlsx — </t>
    </r>
    <r>
      <rPr>
        <b/>
        <sz val="14"/>
        <color rgb="FF1F4E78"/>
        <rFont val="DejaVu Sans"/>
        <family val="2"/>
      </rPr>
      <t>검증 결과</t>
    </r>
  </si>
  <si>
    <t>■ 시트 구성 분석</t>
  </si>
  <si>
    <t>시트명</t>
  </si>
  <si>
    <t>행수</t>
  </si>
  <si>
    <t>역할</t>
  </si>
  <si>
    <t>연결성</t>
  </si>
  <si>
    <t>검증결과</t>
  </si>
  <si>
    <t>BOM new</t>
  </si>
  <si>
    <t>COSTING</t>
  </si>
  <si>
    <t>★ 정확 ✓</t>
  </si>
  <si>
    <t>Piv</t>
  </si>
  <si>
    <t>확인</t>
  </si>
  <si>
    <t>Book GL</t>
  </si>
  <si>
    <t>GL Trial Balance</t>
  </si>
  <si>
    <t>Manufacturing Cost.</t>
  </si>
  <si>
    <t>Re-allowcate</t>
  </si>
  <si>
    <t>Realowcate Salary-CNC1</t>
  </si>
  <si>
    <t>★일관성 검토</t>
  </si>
  <si>
    <t>Defect Warehouse</t>
  </si>
  <si>
    <t>Working Hours</t>
  </si>
  <si>
    <t>제품별 표준 가공시간</t>
  </si>
  <si>
    <t>Outsoucing</t>
  </si>
  <si>
    <t>데이터량 검토</t>
  </si>
  <si>
    <r>
      <rPr>
        <b/>
        <sz val="14"/>
        <color rgb="FF1F4E78"/>
        <rFont val="DejaVu Sans"/>
        <family val="2"/>
      </rPr>
      <t xml:space="preserve">■ 원가계산 검증 결과 </t>
    </r>
    <r>
      <rPr>
        <b/>
        <sz val="14"/>
        <color rgb="FF1F4E78"/>
        <rFont val="DejaVu Sans"/>
        <family val="2"/>
        <charset val="1"/>
      </rPr>
      <t>(3</t>
    </r>
    <r>
      <rPr>
        <b/>
        <sz val="14"/>
        <color rgb="FF1F4E78"/>
        <rFont val="DejaVu Sans"/>
        <family val="2"/>
      </rPr>
      <t>가지 핵심 매칭</t>
    </r>
    <r>
      <rPr>
        <b/>
        <sz val="14"/>
        <color rgb="FF1F4E78"/>
        <rFont val="DejaVu Sans"/>
        <family val="2"/>
        <charset val="1"/>
      </rPr>
      <t>)</t>
    </r>
  </si>
  <si>
    <t>검증 포인트</t>
  </si>
  <si>
    <t>차이</t>
  </si>
  <si>
    <t>%</t>
  </si>
  <si>
    <t>판정</t>
  </si>
  <si>
    <t>Manufacturing Cost (F/G Total)</t>
  </si>
  <si>
    <t>■ 원가계산 파일 — 검토 의견</t>
  </si>
  <si>
    <t>★ 정확</t>
  </si>
  <si>
    <t>★일관성검토</t>
  </si>
  <si>
    <t>데이터량검토</t>
  </si>
  <si>
    <r>
      <rPr>
        <b/>
        <sz val="14"/>
        <color rgb="FF1F4E78"/>
        <rFont val="맑은 고딕"/>
        <family val="3"/>
        <charset val="129"/>
      </rPr>
      <t xml:space="preserve">Action Plan — </t>
    </r>
    <r>
      <rPr>
        <b/>
        <sz val="14"/>
        <color rgb="FF1F4E78"/>
        <rFont val="DejaVu Sans"/>
        <family val="2"/>
      </rPr>
      <t>우선순위별 조치사항</t>
    </r>
  </si>
  <si>
    <t>조치 항목</t>
  </si>
  <si>
    <t>담당부서</t>
  </si>
  <si>
    <t>우선순위</t>
  </si>
  <si>
    <t>목표일</t>
  </si>
  <si>
    <t>검증 자료</t>
  </si>
  <si>
    <t>2026-05-18</t>
  </si>
  <si>
    <t>2026-05-15</t>
  </si>
  <si>
    <t>★★중요</t>
  </si>
  <si>
    <t>2026-05-13</t>
  </si>
  <si>
    <t>2026-05-20</t>
  </si>
  <si>
    <t>경영지원</t>
  </si>
  <si>
    <t>2026-05-31</t>
  </si>
  <si>
    <t>2026-06-30</t>
  </si>
  <si>
    <t>참고</t>
  </si>
  <si>
    <r>
      <rPr>
        <b/>
        <sz val="14"/>
        <color rgb="FF1F4E78"/>
        <rFont val="DejaVu Sans"/>
        <family val="2"/>
      </rPr>
      <t xml:space="preserve">■ 한눈에 보는 </t>
    </r>
    <r>
      <rPr>
        <b/>
        <sz val="14"/>
        <color rgb="FF1F4E78"/>
        <rFont val="DejaVu Sans"/>
        <family val="2"/>
        <charset val="1"/>
      </rPr>
      <t>4</t>
    </r>
    <r>
      <rPr>
        <b/>
        <sz val="14"/>
        <color rgb="FF1F4E78"/>
        <rFont val="DejaVu Sans"/>
        <family val="2"/>
      </rPr>
      <t>월 마감 진단 요약</t>
    </r>
  </si>
  <si>
    <t>변동</t>
  </si>
  <si>
    <t>평가</t>
  </si>
  <si>
    <t>매출</t>
  </si>
  <si>
    <t>USD 3,294,606</t>
  </si>
  <si>
    <t>수요 둔화</t>
  </si>
  <si>
    <t>재료비</t>
  </si>
  <si>
    <t>USD 891,773 (27.1%)</t>
  </si>
  <si>
    <t>인건비</t>
  </si>
  <si>
    <t>USD 598,756 (18.2%)</t>
  </si>
  <si>
    <t>경비</t>
  </si>
  <si>
    <t>USD 1,180,722 (35.8%)</t>
  </si>
  <si>
    <t>Total Mfg Cost</t>
  </si>
  <si>
    <t>USD 2,717,169 (82.5%)</t>
  </si>
  <si>
    <t>GP Margin</t>
  </si>
  <si>
    <t>14.25%</t>
  </si>
  <si>
    <t>★★★ 손익 압박</t>
  </si>
  <si>
    <t>USD 39,020</t>
  </si>
  <si>
    <t>작성일: 2026-05-11   |   분석대상: 20260509-PL Apr.2026.xlsx, 02-042026-Costing Calculation Fixed.xlsx, HR Salary Apr.2026</t>
  </si>
  <si>
    <t>원가계산 파일과 PL 마감 일치성 OK</t>
  </si>
  <si>
    <t>Costing F/G Total = USD 2,717,169 ≡ PL Sch2 Manufacturing Cost (정확히 일치)</t>
  </si>
  <si>
    <t>★ 인건비 증가 주원인 = OT 시간 급증 (인원 감소·OT 보전)</t>
  </si>
  <si>
    <t>★ 경비 증가 핵심 항목 = 전기료 단독으로 경비 증가폭의 100%를 설명</t>
  </si>
  <si>
    <t>Electricity 4월 USD 332,468 vs 1Q평균 220,233 → +112K USD (+51%). 경비 총증가 +104K USD를 단독 초과</t>
  </si>
  <si>
    <t>★ 베트남 노동법 OT 한도 초과 (벌금·노사 리스크)</t>
  </si>
  <si>
    <t>법정 한도 월 40시간 vs 실제 평균 101.3h (2.5배 초과). 특별업종 적용해도 위험 수준 — HR/법무 즉시 검토 필요</t>
  </si>
  <si>
    <t>재료비 절대액은 감소했으나 GP율 14.25%로 1Q평균 19.28% 대비 큰 폭 하락</t>
  </si>
  <si>
    <t>매출 -9.2% + 인건비 +22% + 경비 +9.6% 동시 발생 → 손익 압박</t>
  </si>
  <si>
    <t>CNC1만 모델별 인건비 재배분(Realowcate Salary-CNC1) 시트 별도 운영 — CNC2/Production 1·3 등도 동일 방식으로 일관성 확보 권고</t>
  </si>
  <si>
    <t>외주가공(Ano/Paint) 4월 -35% 감소 → 미청구분 확인 필요</t>
  </si>
  <si>
    <t>1Q평균 USD 80,047 → 4월 51,753. 4월 작업분이 5월 청구로 이연되었을 가능성 — 외주업체 invoice 확인 필요</t>
  </si>
  <si>
    <t>1월</t>
  </si>
  <si>
    <t>2월</t>
  </si>
  <si>
    <t>3월</t>
  </si>
  <si>
    <t>4월</t>
  </si>
  <si>
    <t>1Q평균</t>
  </si>
  <si>
    <t>4월 vs 1Q</t>
  </si>
  <si>
    <t>※ 1Q평균 = 1~3월 단순평균. 음수/감소는 괄호.</t>
  </si>
  <si>
    <t>1. 기초 자재재고</t>
  </si>
  <si>
    <t>2. 자재 투입 (Input)</t>
  </si>
  <si>
    <t>3. 기타 (Other Accounts)</t>
  </si>
  <si>
    <t>4. 기말 자재재고</t>
  </si>
  <si>
    <t>재료비 (= 1+2+3-4)</t>
  </si>
  <si>
    <t>PL Sch2 기재 재료비</t>
  </si>
  <si>
    <t>검증 차이 (= 계산 - PL기재)</t>
  </si>
  <si>
    <t>→ 산식 검증 결과: 1·2·3월 모두 0 (완전 일치) — 산식 정확 ✓</t>
  </si>
  <si>
    <t>→ 4월 재료비는 USD 891,773으로 1Q평균(1,047,188) 대비 -14.8% 감소. 매출 감소(-9.2%)를 상회.</t>
  </si>
  <si>
    <t>PL Sch2 4월 (USD)</t>
  </si>
  <si>
    <t>PL Sch2 4월 (%)</t>
  </si>
  <si>
    <t>차이 (USD)</t>
  </si>
  <si>
    <t>차이 (%)</t>
  </si>
  <si>
    <t>재료비 (Material + Raw-other)</t>
  </si>
  <si>
    <t>WIP→F/G 자재 transfer 차이 (정상)</t>
  </si>
  <si>
    <t>인건비 (Direct Labour)</t>
  </si>
  <si>
    <t>Costing의 Labour는 F/G 직접노무만; PL은 직접+간접 인건비 모두 포함</t>
  </si>
  <si>
    <t>제조경비 (MfgCost + Indirect)</t>
  </si>
  <si>
    <t>Costing에 미배부분 존재</t>
  </si>
  <si>
    <t>외주가공 (Outsourcing)</t>
  </si>
  <si>
    <t>PL은 외주를 경비에 통합 → 별도 라인 없음</t>
  </si>
  <si>
    <t>합계 (Total)</t>
  </si>
  <si>
    <t>→ COSTING F/G 합계(USD 2,717,169) = PL Sch2 Manufacturing Cost(USD 2,717,169) — 원가계산 산식 정확 ✓</t>
  </si>
  <si>
    <t>→ 단, 세부 항목별로는 Costing의 분류 기준이 PL과 다름 — 비교 시 항상 합계로 매칭 권고</t>
  </si>
  <si>
    <t>의견 / Action</t>
  </si>
  <si>
    <t>A. 재료비 산식 정확 (Beg+Input+Other-End)</t>
  </si>
  <si>
    <t>검증 결과 1,2,3월 모두 차이 0. 산식 신뢰 가능.</t>
  </si>
  <si>
    <t>B. 4월 자재 투입 감소 (-19% vs 3월)</t>
  </si>
  <si>
    <t>3월 1,375,707 → 4월 1,112,835 (USD -263K). 매출 감소(-19%)와 비례 — 정상 추세로 보이나, 4월 가동률·생산수량 자료와 교차확인 권고.</t>
  </si>
  <si>
    <t>C. 기말재고 4월 +35% 급증 (vs 3월)</t>
  </si>
  <si>
    <t>3월 602,966 → 4월 810,532 (USD +207K). 매출 감소 시점에 재고 증가 → 수요 둔화 시그널 또는 평가 오류 가능성. 재고실사 결과/평가단가 확인 필요.</t>
  </si>
  <si>
    <t>D. 외주가공(Ano/Paint) 4월 -35% 감소</t>
  </si>
  <si>
    <t>1Q평균 80K → 4월 52K (USD -28K). 4월 작업분이 5월 청구로 이연되었을 가능성. 외주업체 미청구분 확인 → 5월 비용 급증 위험.</t>
  </si>
  <si>
    <t>E. BOM 정확도</t>
  </si>
  <si>
    <t>COSTING 시트는 BOM 기반 표준 자재량 적용. BOM 미갱신 시 표준-실제 차이 누적 가능 — 분기별 BOM 갱신 권고.</t>
  </si>
  <si>
    <t>PL Sch2 인건비</t>
  </si>
  <si>
    <t>HR 베트남직원 합계 (참고)</t>
  </si>
  <si>
    <t>HR 시트는 4월만 분석</t>
  </si>
  <si>
    <t>총 OT시간</t>
  </si>
  <si>
    <t>인당 평균 OT시간</t>
  </si>
  <si>
    <t>시간/명</t>
  </si>
  <si>
    <t>→ 인건비 ↑22.2% / OT ↑16% / MP ↓4% / 인당 OT ↑25% — OT가 인건비 증가의 주요 동인</t>
  </si>
  <si>
    <t>Basic (기본급)</t>
  </si>
  <si>
    <t>Allowance (수당)</t>
  </si>
  <si>
    <t>Overtime (잔업)</t>
  </si>
  <si>
    <t>★ 비중 43.6% — 정상 회사(10~20%)의 2배 이상</t>
  </si>
  <si>
    <t>Bonus (상여)</t>
  </si>
  <si>
    <t>4월 미지급</t>
  </si>
  <si>
    <t>Other Additions (기타가산)</t>
  </si>
  <si>
    <t>Other Deductions (기타공제)</t>
  </si>
  <si>
    <t>유니폼·지각 등</t>
  </si>
  <si>
    <t>베트남 직원만 (주재원·외주노무·SHUI 제외)</t>
  </si>
  <si>
    <t>HR 베트남직원 합계</t>
  </si>
  <si>
    <t>HR Salary 시트 Total</t>
  </si>
  <si>
    <t>(+) 주재원 (Expatriates basic+other)</t>
  </si>
  <si>
    <t>(+) 사회보험 회사부담 (SHUI)</t>
  </si>
  <si>
    <t>(+) 외주노무 (Labor Outsourcing)</t>
  </si>
  <si>
    <t>(+) 식대 회사부담 (Welfare-Meal)</t>
  </si>
  <si>
    <t>GL 41050202 = USD ~38K (PL에서는 경비 항목)</t>
  </si>
  <si>
    <t>(+) 자녀교육·복리후생</t>
  </si>
  <si>
    <t>(+) 상여·노조비 등 기타</t>
  </si>
  <si>
    <t>HR + GL 누적 합계</t>
  </si>
  <si>
    <t>PL Sch2 4월 Labor Cost</t>
  </si>
  <si>
    <t>차이 (PL - 누적합)</t>
  </si>
  <si>
    <t>→ 0 이상이면 PL에 더 많음</t>
  </si>
  <si>
    <t>※ 위 보정 후 차이가 작으면(±2% 이내) PL과 HR 데이터는 합리적으로 일치. GL 상세 자료로 정확한 reconciliation 권고.</t>
  </si>
  <si>
    <t>A. 베트남 노동법 OT 한도 위반 가능성</t>
  </si>
  <si>
    <t>법정 한도: 월 40h / 연 200h(일반업), 300h(특별업). 실제 평균 101.3h/월 → 2.5배 초과. 베트남 노동법 §107~108 위반 시 단위당 1~75M VND 벌금, 누적 시 노동조합 단체교섭 / 인민위 조사 가능.</t>
  </si>
  <si>
    <t>B. OT 비중 43.6% — 구조적 비정상</t>
  </si>
  <si>
    <t>OT 5,575M VND ≈ 기본급 5,508M VND. 인원 합리화 단계에서 OT 보전이 한계 도달. 인원 충원 vs 자동화 vs 외주확대 트레이드오프 분석 필요.</t>
  </si>
  <si>
    <t>C. 인건비/매출 비율 4월 18.2%</t>
  </si>
  <si>
    <t>1월 11.9% → 4월 18.2% (+6.3%p). 매출 감소 + 인건비 증가 동시 발생. 단가 협상 또는 매출 회복 시급.</t>
  </si>
  <si>
    <t>D. CNC1만 별도 인건비 재배분 운영</t>
  </si>
  <si>
    <t>Realowcate Salary-CNC1 시트 별도 — CNC2/Casting 등 동일 방식 일관 적용 권고. 미적용 시 모델별 원가 왜곡.</t>
  </si>
  <si>
    <t>E. HR-PL 인건비 차이 USD ~106K</t>
  </si>
  <si>
    <t>주재원·SHUI·외주노무·복리후생 보정 후 합리적 일치 예상. 단, 회사부담 사회보험률(21.5%) 적용 정확성 GL 원장 확인 필요.</t>
  </si>
  <si>
    <t>F. 외주노무(Labor Outsourcing) USD 5K</t>
  </si>
  <si>
    <t>GL 41070105 = USD ~5K. 인력 부족 시 외주 확대 가능 — 인건비 vs 외주노무 단가 비교 검토.</t>
  </si>
  <si>
    <t>증감 (USD)</t>
  </si>
  <si>
    <t>증감 %</t>
  </si>
  <si>
    <t>Meal (식대)</t>
  </si>
  <si>
    <t>Electricity (전기료)</t>
  </si>
  <si>
    <t>★★★ 단독으로 경비 증가 폭 +104K 초과</t>
  </si>
  <si>
    <t>Water (수도)</t>
  </si>
  <si>
    <t>Gas (가스)</t>
  </si>
  <si>
    <t>Repair Expense (수리)</t>
  </si>
  <si>
    <t>월별 변동성 큼 — 3,4월 정기보수?</t>
  </si>
  <si>
    <t>Transportation (운송)</t>
  </si>
  <si>
    <t>Travel-Business (출장)</t>
  </si>
  <si>
    <t>Rent (SG MCT 등 임차)</t>
  </si>
  <si>
    <t>Depreciation (감가상각)</t>
  </si>
  <si>
    <t>Amortization (상각)</t>
  </si>
  <si>
    <t>Amortization-Mold (금형상각)</t>
  </si>
  <si>
    <t>★ 4월 -35% 감소 → 미청구분 확인</t>
  </si>
  <si>
    <t>Consumables (소모품)</t>
  </si>
  <si>
    <t>Security (보안)</t>
  </si>
  <si>
    <t>Insurance (Fire 등)</t>
  </si>
  <si>
    <t>Sewage (오수처리)</t>
  </si>
  <si>
    <t>Cleaning (청소)</t>
  </si>
  <si>
    <t>합계 (Total Expenses)</t>
  </si>
  <si>
    <t>PL Sch2 합계와 일치 검증</t>
  </si>
  <si>
    <t>해석 / 의심점</t>
  </si>
  <si>
    <t>★★★ 단월 +51%. (a) EVN 단가 인상 (b) 4월 청구분에 전월 미계상분 포함 (c) 누적 검침 후 정산 — GL 41050501 (8,644M VND) 세부 청구서 확인 필요</t>
  </si>
  <si>
    <t>★ -35% 감소. 작업물량 감소 vs 5월 청구이연 가능성. 외주업체 4월 작업분 invoice 확인</t>
  </si>
  <si>
    <t>★ +59%. 정기보수·CNC 절삭공구 교체 등 검토</t>
  </si>
  <si>
    <t>+5.1%. 정상 (신규 무형자산 인식)</t>
  </si>
  <si>
    <t>-4.7%. 자재 대체·재고 활용 가능</t>
  </si>
  <si>
    <t>-9.2%. 가동률 감소와 일치</t>
  </si>
  <si>
    <t>+16%. 사용량·단가 분해 검토</t>
  </si>
  <si>
    <t>+13.8%. 식자재 단가 인상 / OT 식대 증가</t>
  </si>
  <si>
    <t>A. 전기료 4월 단독 +112K USD (+51%)</t>
  </si>
  <si>
    <t>(1) EVN 단가 인상 여부 확인 (2) 4월 실제 가동시간·생산수량 대비 합리성 (3) 청구 누락분(이전 월 검침분 일시 계상) 가능성 (4) 절전 설비 효과 검증. GL 41050501 명세 + 한전 청구서 (Vietnam EVN) 대조 권고.</t>
  </si>
  <si>
    <t>B. 외주가공 4월 -35% 감소</t>
  </si>
  <si>
    <t>USD -28K. 4월 작업물량은 정상인데 외주 invoice 이연 시 5월 비용 급증 위험. 외주업체(Ano·Paint) 미수 청구분 확인 → 발생주의 경비 추가 계상 검토 (Accrual).</t>
  </si>
  <si>
    <t>C. Repair Expense 변동성</t>
  </si>
  <si>
    <t>1월 9.8K → 2월 5.9K → 3월 25.2K → 4월 21.6K. 3·4월 큰 보수 작업 발생 — 자본화 가능 항목 확인 (수익적 vs 자본적 지출 구분).</t>
  </si>
  <si>
    <t>D. Depreciation/Amortization 안정</t>
  </si>
  <si>
    <t>감가상각·상각비 변동 ±2% 이내. 신규 무형자산 인식(Mold) 추세도 안정적 — 합리적.</t>
  </si>
  <si>
    <t>E. Rent 임차료</t>
  </si>
  <si>
    <t>월별 변동 ±5% 이내. SG MCT 등 외부 창고 임대 안정적 — 계약 갱신 시점 모니터링.</t>
  </si>
  <si>
    <t>F. Insurance·Security·Cleaning 안정</t>
  </si>
  <si>
    <t>고정성 경비는 모두 안정적 변동. 검토 우선순위 낮음.</t>
  </si>
  <si>
    <t>G. Consumables/CNC Tool 감소</t>
  </si>
  <si>
    <t>4월 가동률 감소와 일치. 생산수량 데이터와 교차검증.</t>
  </si>
  <si>
    <t>H. Sewage·Water·Gas 동반 증가</t>
  </si>
  <si>
    <t>유틸리티 전반 증가 — 가동 시간 증가 또는 단가 인상 분해 분석.</t>
  </si>
  <si>
    <t>원가 합계 (USD)</t>
  </si>
  <si>
    <t>제품별 BOM (자재 사용량)</t>
  </si>
  <si>
    <t>Costing 시트 ⇐ BOM</t>
  </si>
  <si>
    <t>제품(WIP1/WIP2/F-G)별 원가 누적</t>
  </si>
  <si>
    <t>최종 결과 = PL Sch2</t>
  </si>
  <si>
    <t>Pivot — 모델별 요약</t>
  </si>
  <si>
    <t>COSTING 보조</t>
  </si>
  <si>
    <t>Manufacturing Cost 시트 ⇐ GL</t>
  </si>
  <si>
    <t>GL 계정별 비용 → 부서·작업장 매핑</t>
  </si>
  <si>
    <t>재배부 후 COSTING으로 전달</t>
  </si>
  <si>
    <t>감가상각·임차료 모델별 재배부</t>
  </si>
  <si>
    <t>COSTING의 Indirect cost 입력</t>
  </si>
  <si>
    <t>★ CNC1만 모델별 인건비 재배부</t>
  </si>
  <si>
    <t>CNC1 한정 — 다른 공정 누락 가능</t>
  </si>
  <si>
    <t>Defect/Scrap 재고 처리</t>
  </si>
  <si>
    <t>Material 보조</t>
  </si>
  <si>
    <t>Labour·OH 배부 기준</t>
  </si>
  <si>
    <t>외주 가공 거래 ledger</t>
  </si>
  <si>
    <t>Outsourcing fee 입력</t>
  </si>
  <si>
    <t>Costing 측 (USD)</t>
  </si>
  <si>
    <t>PL Sch2 측 (USD)</t>
  </si>
  <si>
    <t>Material 합계</t>
  </si>
  <si>
    <t>차이 정상(WIP→F/G 자재 transfer)</t>
  </si>
  <si>
    <t>Labour 합계</t>
  </si>
  <si>
    <t>Costing은 F/G 직접노무만; PL은 전체</t>
  </si>
  <si>
    <t>Mfg Cost(간접) 합계</t>
  </si>
  <si>
    <t>Costing은 F/G 배부분만; PL은 전체</t>
  </si>
  <si>
    <t>Outsourcing 합계</t>
  </si>
  <si>
    <t>PL은 경비에 통합 — 별도 라인 없음</t>
  </si>
  <si>
    <t>A. F/G 합계 완전 일치 (USD 2,717,169)</t>
  </si>
  <si>
    <t>COSTING 시트의 Type=F/G Total = PL Sch2 Manufacturing Cost. 산식 및 데이터 흐름 신뢰 가능.</t>
  </si>
  <si>
    <t>B. CNC1만 별도 인건비 재배분 시트 운영</t>
    <phoneticPr fontId="21" type="noConversion"/>
  </si>
  <si>
    <t>Realowcate Salary-CNC1 시트는 CNC1의 5개 모델(LG/MANDO/ZF/Braket/QUALCOM)에 GL 인건비를 모델별로 재배부. 그러나 CNC2/Production1·3/Mold 등 다른 부서는 동일 방식 적용 시트가 없음 → 모델별 원가의 정확도가 부서마다 다를 수 있음. 일관성 확보 권고.</t>
  </si>
  <si>
    <t>C. Working Hour 기준 배부</t>
    <phoneticPr fontId="21" type="noConversion"/>
  </si>
  <si>
    <t>COSTING의 Indirect cost는 Working Hour 비중(col W)으로 배부. 표준 방식 — 단, 표준 시간(Quota Hours) 정확도 분기별 재검증 필요.</t>
  </si>
  <si>
    <t>D. Outsourcing 시트 47,361행</t>
  </si>
  <si>
    <t>외주 거래 ledger가 매우 큼. 4월 단월 데이터 vs 누적 데이터인지 확인 필요. F/G Outsourcing 합계 USD 35K만 PL로 반영.</t>
  </si>
  <si>
    <t>E. BOM new 시트 — BOM 정확도</t>
  </si>
  <si>
    <t>재료비 정확도는 BOM 정확도에 직결. 모델별 정기 BOM 검토(분기/반기) 권고.</t>
  </si>
  <si>
    <t>F. Defect Warehouse 시트</t>
  </si>
  <si>
    <t>NG/Scrap 처리 시트 — Material Cost의 NG 분리 처리 로직 확인 권고.</t>
  </si>
  <si>
    <t>G. Book GL — 누락 계정 여부</t>
  </si>
  <si>
    <t>Manufacturing Cost. 시트가 추출한 GL 계정 외 누락된 비용 계정이 있는지 확인 필요. PL Sch2 합계와 GL 합계 reconciliation 권고.</t>
  </si>
  <si>
    <t>전기료 +112K USD (+51%) 원인 분해 분석</t>
  </si>
  <si>
    <t>경영지원·생산</t>
  </si>
  <si>
    <t>EVN 청구서 4월분 / 검침 자료 / GL 41050501 명세</t>
  </si>
  <si>
    <t>베트남 노동법 OT 한도 초과 — 법무·HR 리스크 평가</t>
  </si>
  <si>
    <t>HR·법무</t>
  </si>
  <si>
    <t>노동법 §107·108 검토 / 직원별 월별 OT 시간표 / 노동 inspector 사전 점검</t>
  </si>
  <si>
    <t>외주가공(Ano/Paint) 4월 미청구분 확인 → Accrual</t>
  </si>
  <si>
    <t>구매·경영지원</t>
  </si>
  <si>
    <t>외주업체 별 4월 작업물량 vs invoice 대조</t>
  </si>
  <si>
    <t>4월 기말재고 +35% 급증 원인 — 실사·평가단가 확인</t>
  </si>
  <si>
    <t>재고실사 결과 / 평가단가 적용 정확성</t>
  </si>
  <si>
    <t>CNC2/Casting/Mold 등 인건비 재배분 일관성 확보</t>
  </si>
  <si>
    <t>Realowcate Salary 시트 확장 / 모델별 인건비 정확도 재검증</t>
  </si>
  <si>
    <t>Repair Expense 3·4월 급증 — 자본적 vs 수익적 구분</t>
  </si>
  <si>
    <t>경영지원·설비</t>
  </si>
  <si>
    <t>수리내역서 / 자본화 기준 검토</t>
  </si>
  <si>
    <t>BOM 정확도 분기 재검증</t>
  </si>
  <si>
    <t>구매·생산기술</t>
  </si>
  <si>
    <t>주요 모델 10종 BOM 표준 vs 실제 차이 분석</t>
  </si>
  <si>
    <t>OT 의존 구조 탈피 — 인원충원/자동화/외주 트레이드오프</t>
  </si>
  <si>
    <t>경영진·HR</t>
  </si>
  <si>
    <t>공수 시뮬레이션 / 자동화 ROI / 외주노무 단가</t>
  </si>
  <si>
    <t>Disposal Asset Loss 3월 USD 367K — 사후 분석</t>
  </si>
  <si>
    <t>1Q 누적 손익 분석 시 분리</t>
  </si>
  <si>
    <t>GL ↔ Costing ↔ PL 3-way reconciliation 정기화</t>
  </si>
  <si>
    <t>매월 마감 후 5영업일내</t>
  </si>
  <si>
    <t>Reconciliation worksheet 정기 작성</t>
  </si>
  <si>
    <t>4월 절대값</t>
  </si>
  <si>
    <t>1Q대비 -9.2%</t>
  </si>
  <si>
    <t>1Q대비 -14.8%</t>
  </si>
  <si>
    <t>정상 (산식 검증 OK)</t>
  </si>
  <si>
    <t>1Q대비 +22.2%</t>
  </si>
  <si>
    <t>★★★ OT 의존 구조 - 노동법 리스크</t>
  </si>
  <si>
    <t>1Q대비 +9.6%</t>
  </si>
  <si>
    <t>★★★ 전기료 단독 +51% 급증</t>
  </si>
  <si>
    <t>1Q대비 +3.4%</t>
  </si>
  <si>
    <t>원가 상승 + 매출 감소 동시</t>
  </si>
  <si>
    <t>1Q평균 19.28% 대비 -5.03%p</t>
  </si>
  <si>
    <t>1Q평균 299,733 대비 -87%</t>
  </si>
  <si>
    <t>★★ 영업이익률 1.2%</t>
  </si>
  <si>
    <t>리사이클 확인</t>
    <phoneticPr fontId="21" type="noConversion"/>
  </si>
  <si>
    <t>신재와 리사이클 재료 비율 및 단가 확인 3월과 비교시 리사이클 비율 상승 단가 하락 (정상)</t>
    <phoneticPr fontId="21" type="noConversion"/>
  </si>
  <si>
    <t xml:space="preserve">사상자동화에 따른 사상외주가공 감소 </t>
    <phoneticPr fontId="21" type="noConversion"/>
  </si>
  <si>
    <t>확인 필요함</t>
    <phoneticPr fontId="21" type="noConversion"/>
  </si>
  <si>
    <t xml:space="preserve">금형비용 반영 여부 -&gt; 매출 금형은 별도 관리 진행. </t>
    <phoneticPr fontId="21" type="noConversion"/>
  </si>
  <si>
    <t>4월 MP 801명(1월比 -7.6%) / 인당 OT 101.3h (1Q평균 80.8h, +25%) / OT 비중 43.6% (정상 10~20%의 2배 이상)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</si>
</sst>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;\(0.0%\);\-"/>
    <numFmt numFmtId="177" formatCode="0.0%&quot;pp&quot;;\(0.0%&quot;pp)&quot;;\-"/>
    <numFmt numFmtId="178" formatCode="#,##0;\(#,##0\);\-"/>
    <numFmt numFmtId="179" formatCode="0.0%"/>
    <numFmt numFmtId="180" formatCode="#,##0.0"/>
  </numFmts>
  <fonts count="2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맑은 고딕"/>
      <family val="3"/>
      <charset val="129"/>
    </font>
    <font>
      <b/>
      <sz val="16"/>
      <color rgb="FF1F4E78"/>
      <name val="DejaVu Sans"/>
      <family val="2"/>
    </font>
    <font>
      <i/>
      <sz val="10"/>
      <color rgb="FF606060"/>
      <name val="맑은 고딕"/>
      <family val="3"/>
      <charset val="129"/>
    </font>
    <font>
      <sz val="9"/>
      <color rgb="FF606060"/>
      <name val="DejaVu Sans"/>
      <family val="2"/>
    </font>
    <font>
      <b/>
      <sz val="14"/>
      <color rgb="FF1F4E78"/>
      <name val="DejaVu Sans"/>
      <family val="2"/>
    </font>
    <font>
      <b/>
      <sz val="10"/>
      <name val="맑은 고딕"/>
      <family val="3"/>
      <charset val="129"/>
    </font>
    <font>
      <b/>
      <sz val="10"/>
      <name val="DejaVu Sans"/>
      <family val="2"/>
    </font>
    <font>
      <sz val="10"/>
      <name val="맑은 고딕"/>
      <family val="3"/>
      <charset val="129"/>
    </font>
    <font>
      <sz val="10"/>
      <name val="DejaVu Sans"/>
      <family val="2"/>
    </font>
    <font>
      <b/>
      <sz val="14"/>
      <color rgb="FF1F4E78"/>
      <name val="DejaVu Sans"/>
      <family val="2"/>
      <charset val="1"/>
    </font>
    <font>
      <b/>
      <sz val="11"/>
      <color rgb="FFFFFFFF"/>
      <name val="DejaVu Sans"/>
      <family val="2"/>
    </font>
    <font>
      <i/>
      <sz val="9"/>
      <color rgb="FF606060"/>
      <name val="맑은 고딕"/>
      <family val="3"/>
      <charset val="129"/>
    </font>
    <font>
      <i/>
      <sz val="9"/>
      <color rgb="FF606060"/>
      <name val="DejaVu Sans"/>
      <family val="2"/>
    </font>
    <font>
      <b/>
      <sz val="14"/>
      <color rgb="FF1F4E78"/>
      <name val="맑은 고딕"/>
      <family val="3"/>
      <charset val="129"/>
    </font>
    <font>
      <sz val="11"/>
      <color theme="1"/>
      <name val="DejaVu Sans"/>
      <family val="2"/>
    </font>
    <font>
      <b/>
      <sz val="10"/>
      <color rgb="FF006100"/>
      <name val="DejaVu Sans"/>
      <family val="2"/>
    </font>
    <font>
      <sz val="10"/>
      <color rgb="FF3D3D3D"/>
      <name val="맑은 고딕"/>
      <family val="3"/>
      <charset val="129"/>
    </font>
    <font>
      <b/>
      <sz val="10"/>
      <color rgb="FF006100"/>
      <name val="맑은 고딕"/>
      <family val="3"/>
      <charset val="129"/>
    </font>
    <font>
      <b/>
      <sz val="10"/>
      <color rgb="FF9C0006"/>
      <name val="DejaVu Sans"/>
      <family val="2"/>
    </font>
    <font>
      <sz val="8"/>
      <name val="돋움"/>
      <family val="3"/>
      <charset val="129"/>
    </font>
    <font>
      <sz val="10"/>
      <color rgb="FF60606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9C0006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AD3"/>
      </patternFill>
    </fill>
    <fill>
      <patternFill patternType="solid">
        <fgColor rgb="FFD9EAD3"/>
        <bgColor rgb="FFD9E1F2"/>
      </patternFill>
    </fill>
    <fill>
      <patternFill patternType="solid">
        <fgColor rgb="FFF4CCCC"/>
        <bgColor rgb="FFD9E1F2"/>
      </patternFill>
    </fill>
    <fill>
      <patternFill patternType="solid">
        <fgColor rgb="FFFFE699"/>
        <bgColor rgb="FFFFFFCC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41" fontId="1" fillId="0" borderId="0" applyBorder="0" applyAlignment="0" applyProtection="0"/>
  </cellStyleXfs>
  <cellXfs count="94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7" fillId="2" borderId="1" xfId="0" applyNumberFormat="1" applyFont="1" applyFill="1" applyBorder="1" applyAlignment="1">
      <alignment horizontal="right" vertical="center"/>
    </xf>
    <xf numFmtId="176" fontId="7" fillId="2" borderId="1" xfId="0" applyNumberFormat="1" applyFont="1" applyFill="1" applyBorder="1" applyAlignment="1">
      <alignment horizontal="right" vertical="center"/>
    </xf>
    <xf numFmtId="178" fontId="7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3" fontId="7" fillId="3" borderId="1" xfId="0" applyNumberFormat="1" applyFont="1" applyFill="1" applyBorder="1" applyAlignment="1">
      <alignment horizontal="right" vertical="center"/>
    </xf>
    <xf numFmtId="179" fontId="7" fillId="3" borderId="1" xfId="0" applyNumberFormat="1" applyFont="1" applyFill="1" applyBorder="1" applyAlignment="1">
      <alignment horizontal="right" vertical="center"/>
    </xf>
    <xf numFmtId="176" fontId="7" fillId="3" borderId="1" xfId="0" applyNumberFormat="1" applyFont="1" applyFill="1" applyBorder="1" applyAlignment="1">
      <alignment horizontal="right" vertical="center"/>
    </xf>
    <xf numFmtId="179" fontId="7" fillId="2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wrapText="1"/>
    </xf>
    <xf numFmtId="178" fontId="7" fillId="4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178" fontId="7" fillId="2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41" fontId="1" fillId="0" borderId="1" xfId="1" applyBorder="1"/>
    <xf numFmtId="0" fontId="23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176" fontId="24" fillId="0" borderId="1" xfId="0" applyNumberFormat="1" applyFont="1" applyBorder="1" applyAlignment="1">
      <alignment horizontal="right" vertical="center"/>
    </xf>
    <xf numFmtId="177" fontId="24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79" fontId="24" fillId="0" borderId="1" xfId="0" applyNumberFormat="1" applyFont="1" applyBorder="1" applyAlignment="1">
      <alignment horizontal="right" vertical="center"/>
    </xf>
    <xf numFmtId="178" fontId="24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 wrapText="1"/>
    </xf>
    <xf numFmtId="41" fontId="9" fillId="0" borderId="1" xfId="1" applyFont="1" applyBorder="1"/>
    <xf numFmtId="0" fontId="24" fillId="0" borderId="1" xfId="0" applyFont="1" applyBorder="1"/>
    <xf numFmtId="180" fontId="24" fillId="0" borderId="1" xfId="0" applyNumberFormat="1" applyFont="1" applyBorder="1" applyAlignment="1">
      <alignment horizontal="right" vertical="center"/>
    </xf>
    <xf numFmtId="0" fontId="24" fillId="4" borderId="1" xfId="0" applyFont="1" applyFill="1" applyBorder="1" applyAlignment="1">
      <alignment horizontal="left" vertical="center" wrapText="1"/>
    </xf>
    <xf numFmtId="178" fontId="24" fillId="4" borderId="1" xfId="0" applyNumberFormat="1" applyFont="1" applyFill="1" applyBorder="1" applyAlignment="1">
      <alignment horizontal="right" vertical="center"/>
    </xf>
    <xf numFmtId="176" fontId="24" fillId="4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/>
    <xf numFmtId="0" fontId="24" fillId="2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right" vertical="center"/>
    </xf>
    <xf numFmtId="0" fontId="24" fillId="3" borderId="1" xfId="0" applyFont="1" applyFill="1" applyBorder="1" applyAlignment="1">
      <alignment horizontal="left" vertical="center" wrapText="1"/>
    </xf>
    <xf numFmtId="3" fontId="24" fillId="3" borderId="1" xfId="0" applyNumberFormat="1" applyFont="1" applyFill="1" applyBorder="1" applyAlignment="1">
      <alignment horizontal="right" vertical="center"/>
    </xf>
    <xf numFmtId="178" fontId="24" fillId="3" borderId="1" xfId="0" applyNumberFormat="1" applyFont="1" applyFill="1" applyBorder="1" applyAlignment="1">
      <alignment horizontal="right" vertical="center"/>
    </xf>
    <xf numFmtId="176" fontId="24" fillId="3" borderId="1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/>
    <xf numFmtId="0" fontId="6" fillId="0" borderId="0" xfId="0" applyFont="1"/>
    <xf numFmtId="0" fontId="23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9" fillId="0" borderId="0" xfId="0" applyFont="1"/>
    <xf numFmtId="0" fontId="17" fillId="0" borderId="0" xfId="0" applyFont="1"/>
    <xf numFmtId="0" fontId="18" fillId="0" borderId="0" xfId="0" applyFont="1"/>
    <xf numFmtId="0" fontId="0" fillId="0" borderId="1" xfId="0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25" fillId="0" borderId="0" xfId="0" applyFont="1"/>
    <xf numFmtId="0" fontId="20" fillId="0" borderId="0" xfId="0" applyFont="1"/>
    <xf numFmtId="0" fontId="24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14" fillId="0" borderId="0" xfId="0" applyFont="1"/>
    <xf numFmtId="0" fontId="0" fillId="5" borderId="1" xfId="0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400050</xdr:colOff>
      <xdr:row>29</xdr:row>
      <xdr:rowOff>76200</xdr:rowOff>
    </xdr:from>
    <xdr:to>
      <xdr:col>27</xdr:col>
      <xdr:colOff>353067</xdr:colOff>
      <xdr:row>58</xdr:row>
      <xdr:rowOff>960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C8C8580-4275-5386-46F2-B21493E4D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0075" y="7162800"/>
          <a:ext cx="4601217" cy="68780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CC7933-30AC-43B2-9BF4-2644469BD427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c8fed8bd-1321-4707-9ba8-551e94e6749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2"/>
  <sheetViews>
    <sheetView topLeftCell="A5" zoomScaleNormal="100" workbookViewId="0">
      <selection activeCell="E9" sqref="E9:G9"/>
    </sheetView>
  </sheetViews>
  <sheetFormatPr defaultColWidth="8.7109375" defaultRowHeight="15" x14ac:dyDescent="0.25"/>
  <cols>
    <col min="1" max="1" width="3" style="54" customWidth="1"/>
    <col min="2" max="2" width="26" style="54" customWidth="1"/>
    <col min="3" max="8" width="16" style="54" customWidth="1"/>
    <col min="9" max="16384" width="8.7109375" style="54"/>
  </cols>
  <sheetData>
    <row r="2" spans="2:10" ht="38.25" customHeight="1" x14ac:dyDescent="0.25">
      <c r="B2" s="70" t="s">
        <v>0</v>
      </c>
      <c r="C2" s="70"/>
      <c r="D2" s="70"/>
      <c r="E2" s="70"/>
      <c r="F2" s="70"/>
      <c r="G2" s="70"/>
      <c r="H2" s="70"/>
    </row>
    <row r="3" spans="2:10" ht="15" customHeight="1" x14ac:dyDescent="0.25">
      <c r="B3" s="71" t="s">
        <v>1</v>
      </c>
      <c r="C3" s="71"/>
      <c r="D3" s="71"/>
      <c r="E3" s="71"/>
      <c r="F3" s="71"/>
      <c r="G3" s="71"/>
      <c r="H3" s="71"/>
    </row>
    <row r="4" spans="2:10" ht="15" customHeight="1" x14ac:dyDescent="0.25">
      <c r="B4" s="72" t="s">
        <v>187</v>
      </c>
      <c r="C4" s="73"/>
      <c r="D4" s="73"/>
      <c r="E4" s="73"/>
      <c r="F4" s="73"/>
      <c r="G4" s="73"/>
      <c r="H4" s="73"/>
    </row>
    <row r="6" spans="2:10" ht="17.25" customHeight="1" x14ac:dyDescent="0.25">
      <c r="B6" s="74" t="s">
        <v>2</v>
      </c>
      <c r="C6" s="74"/>
      <c r="D6" s="74"/>
      <c r="E6" s="74"/>
      <c r="F6" s="74"/>
      <c r="G6" s="74"/>
      <c r="H6" s="74"/>
    </row>
    <row r="7" spans="2:10" ht="15" customHeight="1" x14ac:dyDescent="0.25">
      <c r="B7" s="1" t="s">
        <v>3</v>
      </c>
      <c r="C7" s="75" t="s">
        <v>4</v>
      </c>
      <c r="D7" s="76"/>
      <c r="E7" s="75" t="s">
        <v>5</v>
      </c>
      <c r="F7" s="76"/>
      <c r="G7" s="76"/>
      <c r="H7" s="1" t="s">
        <v>6</v>
      </c>
    </row>
    <row r="8" spans="2:10" ht="49.5" customHeight="1" x14ac:dyDescent="0.25">
      <c r="B8" s="2" t="s">
        <v>7</v>
      </c>
      <c r="C8" s="77" t="s">
        <v>188</v>
      </c>
      <c r="D8" s="78"/>
      <c r="E8" s="77" t="s">
        <v>189</v>
      </c>
      <c r="F8" s="77"/>
      <c r="G8" s="77"/>
      <c r="H8" s="3" t="s">
        <v>8</v>
      </c>
    </row>
    <row r="9" spans="2:10" ht="49.5" customHeight="1" x14ac:dyDescent="0.25">
      <c r="B9" s="2" t="s">
        <v>9</v>
      </c>
      <c r="C9" s="77" t="s">
        <v>190</v>
      </c>
      <c r="D9" s="78"/>
      <c r="E9" s="77" t="s">
        <v>421</v>
      </c>
      <c r="F9" s="77"/>
      <c r="G9" s="77"/>
      <c r="H9" s="4" t="s">
        <v>10</v>
      </c>
    </row>
    <row r="10" spans="2:10" ht="49.5" customHeight="1" x14ac:dyDescent="0.25">
      <c r="B10" s="2" t="s">
        <v>11</v>
      </c>
      <c r="C10" s="77" t="s">
        <v>191</v>
      </c>
      <c r="D10" s="78"/>
      <c r="E10" s="77" t="s">
        <v>192</v>
      </c>
      <c r="F10" s="77"/>
      <c r="G10" s="77"/>
      <c r="H10" s="4" t="s">
        <v>10</v>
      </c>
    </row>
    <row r="11" spans="2:10" ht="49.5" customHeight="1" x14ac:dyDescent="0.25">
      <c r="B11" s="2" t="s">
        <v>12</v>
      </c>
      <c r="C11" s="77" t="s">
        <v>193</v>
      </c>
      <c r="D11" s="78"/>
      <c r="E11" s="77" t="s">
        <v>194</v>
      </c>
      <c r="F11" s="78"/>
      <c r="G11" s="78"/>
      <c r="H11" s="4" t="s">
        <v>10</v>
      </c>
    </row>
    <row r="12" spans="2:10" ht="49.5" customHeight="1" x14ac:dyDescent="0.25">
      <c r="B12" s="2" t="s">
        <v>13</v>
      </c>
      <c r="C12" s="77" t="s">
        <v>195</v>
      </c>
      <c r="D12" s="78"/>
      <c r="E12" s="77" t="s">
        <v>196</v>
      </c>
      <c r="F12" s="78"/>
      <c r="G12" s="78"/>
      <c r="H12" s="5" t="s">
        <v>14</v>
      </c>
      <c r="J12" s="56" t="s">
        <v>416</v>
      </c>
    </row>
    <row r="13" spans="2:10" ht="49.5" customHeight="1" x14ac:dyDescent="0.25">
      <c r="B13" s="2" t="s">
        <v>15</v>
      </c>
      <c r="C13" s="77" t="s">
        <v>16</v>
      </c>
      <c r="D13" s="78"/>
      <c r="E13" s="77" t="s">
        <v>197</v>
      </c>
      <c r="F13" s="77"/>
      <c r="G13" s="77"/>
      <c r="H13" s="5" t="s">
        <v>14</v>
      </c>
    </row>
    <row r="14" spans="2:10" ht="49.5" customHeight="1" x14ac:dyDescent="0.25">
      <c r="B14" s="2" t="s">
        <v>17</v>
      </c>
      <c r="C14" s="77" t="s">
        <v>198</v>
      </c>
      <c r="D14" s="78"/>
      <c r="E14" s="77" t="s">
        <v>199</v>
      </c>
      <c r="F14" s="77"/>
      <c r="G14" s="77"/>
      <c r="H14" s="5" t="s">
        <v>14</v>
      </c>
    </row>
    <row r="15" spans="2:10" ht="15" customHeight="1" x14ac:dyDescent="0.25">
      <c r="B15" s="55"/>
      <c r="C15" s="55"/>
      <c r="D15" s="55"/>
      <c r="E15" s="55"/>
      <c r="F15" s="55"/>
      <c r="G15" s="55"/>
      <c r="H15" s="55"/>
    </row>
    <row r="16" spans="2:10" ht="17.25" customHeight="1" x14ac:dyDescent="0.25">
      <c r="B16" s="79" t="s">
        <v>18</v>
      </c>
      <c r="C16" s="79"/>
      <c r="D16" s="79"/>
      <c r="E16" s="79"/>
      <c r="F16" s="79"/>
      <c r="G16" s="79"/>
      <c r="H16" s="79"/>
    </row>
    <row r="17" spans="2:8" ht="15" customHeight="1" x14ac:dyDescent="0.25">
      <c r="B17" s="24" t="s">
        <v>4</v>
      </c>
      <c r="C17" s="24" t="s">
        <v>200</v>
      </c>
      <c r="D17" s="24" t="s">
        <v>201</v>
      </c>
      <c r="E17" s="24" t="s">
        <v>202</v>
      </c>
      <c r="F17" s="24" t="s">
        <v>203</v>
      </c>
      <c r="G17" s="24" t="s">
        <v>204</v>
      </c>
      <c r="H17" s="24" t="s">
        <v>205</v>
      </c>
    </row>
    <row r="18" spans="2:8" ht="15" customHeight="1" x14ac:dyDescent="0.25">
      <c r="B18" s="25" t="s">
        <v>19</v>
      </c>
      <c r="C18" s="26">
        <v>3646181</v>
      </c>
      <c r="D18" s="26">
        <v>3143831</v>
      </c>
      <c r="E18" s="26">
        <v>4096510</v>
      </c>
      <c r="F18" s="26">
        <v>3294606</v>
      </c>
      <c r="G18" s="26">
        <f t="shared" ref="G18:G30" si="0">AVERAGE(C18:E18)</f>
        <v>3628840.6666666665</v>
      </c>
      <c r="H18" s="27">
        <f t="shared" ref="H18:H26" si="1">IFERROR((F18-G18)/G18,0)</f>
        <v>-9.210508186177363E-2</v>
      </c>
    </row>
    <row r="19" spans="2:8" ht="15" customHeight="1" x14ac:dyDescent="0.25">
      <c r="B19" s="25" t="s">
        <v>20</v>
      </c>
      <c r="C19" s="26">
        <v>1168999</v>
      </c>
      <c r="D19" s="26">
        <v>703067</v>
      </c>
      <c r="E19" s="26">
        <v>1269498</v>
      </c>
      <c r="F19" s="26">
        <v>891773</v>
      </c>
      <c r="G19" s="26">
        <f t="shared" si="0"/>
        <v>1047188</v>
      </c>
      <c r="H19" s="27">
        <f t="shared" si="1"/>
        <v>-0.14841174650588052</v>
      </c>
    </row>
    <row r="20" spans="2:8" ht="15" customHeight="1" x14ac:dyDescent="0.25">
      <c r="B20" s="25" t="s">
        <v>21</v>
      </c>
      <c r="C20" s="26">
        <v>433923</v>
      </c>
      <c r="D20" s="26">
        <v>488222</v>
      </c>
      <c r="E20" s="26">
        <v>547646</v>
      </c>
      <c r="F20" s="26">
        <v>598756</v>
      </c>
      <c r="G20" s="26">
        <f t="shared" si="0"/>
        <v>489930.33333333331</v>
      </c>
      <c r="H20" s="27">
        <f t="shared" si="1"/>
        <v>0.22212477828480381</v>
      </c>
    </row>
    <row r="21" spans="2:8" ht="15" customHeight="1" x14ac:dyDescent="0.25">
      <c r="B21" s="25" t="s">
        <v>22</v>
      </c>
      <c r="C21" s="26">
        <v>1073406</v>
      </c>
      <c r="D21" s="26">
        <v>1041811</v>
      </c>
      <c r="E21" s="26">
        <v>1116033</v>
      </c>
      <c r="F21" s="26">
        <v>1180722</v>
      </c>
      <c r="G21" s="26">
        <f t="shared" si="0"/>
        <v>1077083.3333333333</v>
      </c>
      <c r="H21" s="27">
        <f t="shared" si="1"/>
        <v>9.622158607350105E-2</v>
      </c>
    </row>
    <row r="22" spans="2:8" ht="15" customHeight="1" x14ac:dyDescent="0.25">
      <c r="B22" s="25" t="s">
        <v>23</v>
      </c>
      <c r="C22" s="26">
        <v>2676328</v>
      </c>
      <c r="D22" s="26">
        <v>2233100</v>
      </c>
      <c r="E22" s="26">
        <v>2933176</v>
      </c>
      <c r="F22" s="26">
        <v>2671251</v>
      </c>
      <c r="G22" s="26">
        <f t="shared" si="0"/>
        <v>2614201.3333333335</v>
      </c>
      <c r="H22" s="27">
        <f t="shared" si="1"/>
        <v>2.1822981244494753E-2</v>
      </c>
    </row>
    <row r="23" spans="2:8" ht="15" customHeight="1" x14ac:dyDescent="0.25">
      <c r="B23" s="25" t="s">
        <v>24</v>
      </c>
      <c r="C23" s="26">
        <v>2812409</v>
      </c>
      <c r="D23" s="26">
        <v>2210774</v>
      </c>
      <c r="E23" s="26">
        <v>2856536</v>
      </c>
      <c r="F23" s="26">
        <v>2717169</v>
      </c>
      <c r="G23" s="26">
        <f t="shared" si="0"/>
        <v>2626573</v>
      </c>
      <c r="H23" s="27">
        <f t="shared" si="1"/>
        <v>3.449209292869454E-2</v>
      </c>
    </row>
    <row r="24" spans="2:8" ht="15" customHeight="1" x14ac:dyDescent="0.25">
      <c r="B24" s="25" t="s">
        <v>25</v>
      </c>
      <c r="C24" s="26">
        <v>807881</v>
      </c>
      <c r="D24" s="26">
        <v>466933</v>
      </c>
      <c r="E24" s="26">
        <v>853244</v>
      </c>
      <c r="F24" s="26">
        <v>469563</v>
      </c>
      <c r="G24" s="26">
        <f t="shared" si="0"/>
        <v>709352.66666666663</v>
      </c>
      <c r="H24" s="27">
        <f t="shared" si="1"/>
        <v>-0.3380401286055173</v>
      </c>
    </row>
    <row r="25" spans="2:8" ht="15" customHeight="1" x14ac:dyDescent="0.25">
      <c r="B25" s="25" t="s">
        <v>26</v>
      </c>
      <c r="C25" s="26">
        <v>389053</v>
      </c>
      <c r="D25" s="26">
        <v>73552</v>
      </c>
      <c r="E25" s="26">
        <v>436593</v>
      </c>
      <c r="F25" s="26">
        <v>39020</v>
      </c>
      <c r="G25" s="26">
        <f t="shared" si="0"/>
        <v>299732.66666666669</v>
      </c>
      <c r="H25" s="27">
        <f t="shared" si="1"/>
        <v>-0.86981732610615237</v>
      </c>
    </row>
    <row r="26" spans="2:8" ht="15" customHeight="1" x14ac:dyDescent="0.25">
      <c r="B26" s="25" t="s">
        <v>27</v>
      </c>
      <c r="C26" s="26">
        <v>703641</v>
      </c>
      <c r="D26" s="26">
        <v>400745</v>
      </c>
      <c r="E26" s="26">
        <v>432934</v>
      </c>
      <c r="F26" s="26">
        <v>407234</v>
      </c>
      <c r="G26" s="26">
        <f t="shared" si="0"/>
        <v>512440</v>
      </c>
      <c r="H26" s="27">
        <f t="shared" si="1"/>
        <v>-0.20530403559441104</v>
      </c>
    </row>
    <row r="27" spans="2:8" ht="15" customHeight="1" x14ac:dyDescent="0.25">
      <c r="B27" s="25" t="s">
        <v>28</v>
      </c>
      <c r="C27" s="27">
        <f>C19/C18</f>
        <v>0.32060915242551041</v>
      </c>
      <c r="D27" s="27">
        <f>D19/D18</f>
        <v>0.22363384036864578</v>
      </c>
      <c r="E27" s="27">
        <f>E19/E18</f>
        <v>0.30989744929220236</v>
      </c>
      <c r="F27" s="27">
        <f>F19/F18</f>
        <v>0.27067667575424803</v>
      </c>
      <c r="G27" s="27">
        <f t="shared" si="0"/>
        <v>0.28471348069545283</v>
      </c>
      <c r="H27" s="28">
        <f>F27-G27</f>
        <v>-1.4036804941204795E-2</v>
      </c>
    </row>
    <row r="28" spans="2:8" ht="15" customHeight="1" x14ac:dyDescent="0.25">
      <c r="B28" s="25" t="s">
        <v>29</v>
      </c>
      <c r="C28" s="27">
        <f>C20/C18</f>
        <v>0.11900753144180171</v>
      </c>
      <c r="D28" s="27">
        <f>D20/D18</f>
        <v>0.15529524328756858</v>
      </c>
      <c r="E28" s="27">
        <f>E20/E18</f>
        <v>0.13368599124620714</v>
      </c>
      <c r="F28" s="27">
        <f>F20/F18</f>
        <v>0.18173827158695152</v>
      </c>
      <c r="G28" s="27">
        <f t="shared" si="0"/>
        <v>0.13599625532519247</v>
      </c>
      <c r="H28" s="28">
        <f>F28-G28</f>
        <v>4.5742016261759055E-2</v>
      </c>
    </row>
    <row r="29" spans="2:8" ht="15" customHeight="1" x14ac:dyDescent="0.25">
      <c r="B29" s="25" t="s">
        <v>30</v>
      </c>
      <c r="C29" s="27">
        <f>C21/C18</f>
        <v>0.29439185822097147</v>
      </c>
      <c r="D29" s="27">
        <f>D21/D18</f>
        <v>0.33138263475358565</v>
      </c>
      <c r="E29" s="27">
        <f>E21/E18</f>
        <v>0.27243507278146517</v>
      </c>
      <c r="F29" s="27">
        <f>F21/F18</f>
        <v>0.35838033440113931</v>
      </c>
      <c r="G29" s="27">
        <f t="shared" si="0"/>
        <v>0.29940318858534076</v>
      </c>
      <c r="H29" s="28">
        <f>F29-G29</f>
        <v>5.8977145815798548E-2</v>
      </c>
    </row>
    <row r="30" spans="2:8" ht="15" customHeight="1" x14ac:dyDescent="0.25">
      <c r="B30" s="25" t="s">
        <v>31</v>
      </c>
      <c r="C30" s="27">
        <f>C24/C18</f>
        <v>0.22156908831459546</v>
      </c>
      <c r="D30" s="27">
        <f>D24/D18</f>
        <v>0.14852356885595949</v>
      </c>
      <c r="E30" s="27">
        <f>E24/E18</f>
        <v>0.20828558944076786</v>
      </c>
      <c r="F30" s="27">
        <f>F24/F18</f>
        <v>0.14252478141544087</v>
      </c>
      <c r="G30" s="27">
        <f t="shared" si="0"/>
        <v>0.19279274887044093</v>
      </c>
      <c r="H30" s="28">
        <f>F30-G30</f>
        <v>-5.0267967455000062E-2</v>
      </c>
    </row>
    <row r="32" spans="2:8" ht="15" customHeight="1" x14ac:dyDescent="0.25">
      <c r="B32" s="71" t="s">
        <v>206</v>
      </c>
      <c r="C32" s="80"/>
      <c r="D32" s="80"/>
      <c r="E32" s="80"/>
      <c r="F32" s="80"/>
      <c r="G32" s="80"/>
      <c r="H32" s="80"/>
    </row>
  </sheetData>
  <mergeCells count="22">
    <mergeCell ref="C14:D14"/>
    <mergeCell ref="E14:G14"/>
    <mergeCell ref="B16:H16"/>
    <mergeCell ref="B32:H32"/>
    <mergeCell ref="C11:D11"/>
    <mergeCell ref="E11:G11"/>
    <mergeCell ref="C12:D12"/>
    <mergeCell ref="E12:G12"/>
    <mergeCell ref="C13:D13"/>
    <mergeCell ref="E13:G13"/>
    <mergeCell ref="C8:D8"/>
    <mergeCell ref="E8:G8"/>
    <mergeCell ref="C9:D9"/>
    <mergeCell ref="E9:G9"/>
    <mergeCell ref="C10:D10"/>
    <mergeCell ref="E10:G10"/>
    <mergeCell ref="B2:H2"/>
    <mergeCell ref="B3:H3"/>
    <mergeCell ref="B4:H4"/>
    <mergeCell ref="B6:H6"/>
    <mergeCell ref="C7:D7"/>
    <mergeCell ref="E7:G7"/>
  </mergeCells>
  <phoneticPr fontId="21" type="noConversion"/>
  <pageMargins left="0.75" right="0.75" top="1" bottom="1" header="0.511811023622047" footer="0.511811023622047"/>
  <pageSetup paperSize="9" orientation="portrait" horizontalDpi="300" verticalDpi="300"/>
  <ignoredErrors>
    <ignoredError sqref="B8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34"/>
  <sheetViews>
    <sheetView topLeftCell="A19" zoomScaleNormal="100" workbookViewId="0">
      <selection activeCell="K34" sqref="K34"/>
    </sheetView>
  </sheetViews>
  <sheetFormatPr defaultColWidth="8.7109375" defaultRowHeight="15" x14ac:dyDescent="0.25"/>
  <cols>
    <col min="1" max="1" width="3" customWidth="1"/>
    <col min="2" max="2" width="24" customWidth="1"/>
    <col min="3" max="8" width="14" customWidth="1"/>
    <col min="9" max="9" width="33.42578125" customWidth="1"/>
    <col min="10" max="10" width="8.7109375" style="54"/>
    <col min="11" max="11" width="8.7109375" style="58"/>
    <col min="12" max="23" width="8.7109375" style="54"/>
  </cols>
  <sheetData>
    <row r="2" spans="2:9" ht="17.25" customHeight="1" x14ac:dyDescent="0.25">
      <c r="B2" s="60" t="s">
        <v>32</v>
      </c>
      <c r="C2" s="60"/>
      <c r="D2" s="60"/>
      <c r="E2" s="60"/>
      <c r="F2" s="60"/>
      <c r="G2" s="60"/>
      <c r="H2" s="60"/>
      <c r="I2" s="60"/>
    </row>
    <row r="4" spans="2:9" ht="33" customHeight="1" x14ac:dyDescent="0.35">
      <c r="B4" s="59" t="s">
        <v>33</v>
      </c>
      <c r="C4" s="59"/>
      <c r="D4" s="59"/>
      <c r="E4" s="59"/>
      <c r="F4" s="59"/>
      <c r="G4" s="59"/>
      <c r="H4" s="59"/>
      <c r="I4" s="59"/>
    </row>
    <row r="5" spans="2:9" ht="15" customHeight="1" x14ac:dyDescent="0.25">
      <c r="B5" s="24" t="s">
        <v>34</v>
      </c>
      <c r="C5" s="24" t="s">
        <v>35</v>
      </c>
      <c r="D5" s="24" t="s">
        <v>36</v>
      </c>
      <c r="E5" s="24" t="s">
        <v>37</v>
      </c>
      <c r="F5" s="24" t="s">
        <v>38</v>
      </c>
      <c r="G5" s="24" t="s">
        <v>39</v>
      </c>
      <c r="H5" s="24" t="s">
        <v>204</v>
      </c>
      <c r="I5" s="24" t="s">
        <v>40</v>
      </c>
    </row>
    <row r="6" spans="2:9" ht="15" customHeight="1" x14ac:dyDescent="0.25">
      <c r="B6" s="25" t="s">
        <v>207</v>
      </c>
      <c r="C6" s="26">
        <v>1030861</v>
      </c>
      <c r="D6" s="26">
        <v>856755</v>
      </c>
      <c r="E6" s="26">
        <v>772366</v>
      </c>
      <c r="F6" s="26">
        <v>638942</v>
      </c>
      <c r="G6" s="26">
        <v>602966</v>
      </c>
      <c r="H6" s="26">
        <f t="shared" ref="H6:H12" si="0">AVERAGE(D6:F6)</f>
        <v>756021</v>
      </c>
      <c r="I6" s="27">
        <f t="shared" ref="I6:I11" si="1">IFERROR((G6-H6)/H6,0)</f>
        <v>-0.20244808014592186</v>
      </c>
    </row>
    <row r="7" spans="2:9" ht="15" customHeight="1" x14ac:dyDescent="0.25">
      <c r="B7" s="25" t="s">
        <v>208</v>
      </c>
      <c r="C7" s="26">
        <v>1085840</v>
      </c>
      <c r="D7" s="26">
        <v>1247024</v>
      </c>
      <c r="E7" s="26">
        <v>672652</v>
      </c>
      <c r="F7" s="26">
        <v>1375707</v>
      </c>
      <c r="G7" s="26">
        <v>1112835</v>
      </c>
      <c r="H7" s="26">
        <f t="shared" si="0"/>
        <v>1098461</v>
      </c>
      <c r="I7" s="27">
        <f t="shared" si="1"/>
        <v>1.3085580644192192E-2</v>
      </c>
    </row>
    <row r="8" spans="2:9" ht="15" customHeight="1" x14ac:dyDescent="0.25">
      <c r="B8" s="25" t="s">
        <v>209</v>
      </c>
      <c r="C8" s="26">
        <v>12122</v>
      </c>
      <c r="D8" s="26">
        <v>162414</v>
      </c>
      <c r="E8" s="26">
        <v>103008</v>
      </c>
      <c r="F8" s="26">
        <v>142185</v>
      </c>
      <c r="G8" s="26">
        <v>13496</v>
      </c>
      <c r="H8" s="26">
        <f t="shared" si="0"/>
        <v>135869</v>
      </c>
      <c r="I8" s="27">
        <f t="shared" si="1"/>
        <v>-0.90066902678315142</v>
      </c>
    </row>
    <row r="9" spans="2:9" ht="15" customHeight="1" x14ac:dyDescent="0.25">
      <c r="B9" s="25" t="s">
        <v>210</v>
      </c>
      <c r="C9" s="26">
        <v>856755</v>
      </c>
      <c r="D9" s="26">
        <v>772366</v>
      </c>
      <c r="E9" s="26">
        <v>638942</v>
      </c>
      <c r="F9" s="26">
        <v>602966</v>
      </c>
      <c r="G9" s="26">
        <v>810532</v>
      </c>
      <c r="H9" s="26">
        <f t="shared" si="0"/>
        <v>671424.66666666663</v>
      </c>
      <c r="I9" s="27">
        <f t="shared" si="1"/>
        <v>0.2071823396419753</v>
      </c>
    </row>
    <row r="10" spans="2:9" ht="15" customHeight="1" x14ac:dyDescent="0.25">
      <c r="B10" s="29" t="s">
        <v>211</v>
      </c>
      <c r="C10" s="9">
        <f>C6+C7+C8-C9</f>
        <v>1272068</v>
      </c>
      <c r="D10" s="9">
        <f>D6+D7+D8-D9</f>
        <v>1493827</v>
      </c>
      <c r="E10" s="9">
        <f>E6+E7+E8-E9</f>
        <v>909084</v>
      </c>
      <c r="F10" s="9">
        <f>F6+F7+F8-F9</f>
        <v>1553868</v>
      </c>
      <c r="G10" s="9">
        <f>G6+G7+G8-G9</f>
        <v>918765</v>
      </c>
      <c r="H10" s="9">
        <f t="shared" si="0"/>
        <v>1318926.3333333333</v>
      </c>
      <c r="I10" s="10">
        <f t="shared" si="1"/>
        <v>-0.30339930534406895</v>
      </c>
    </row>
    <row r="11" spans="2:9" ht="15" customHeight="1" x14ac:dyDescent="0.25">
      <c r="B11" s="25" t="s">
        <v>212</v>
      </c>
      <c r="C11" s="26">
        <v>1149307</v>
      </c>
      <c r="D11" s="26">
        <v>1168999</v>
      </c>
      <c r="E11" s="26">
        <v>703067</v>
      </c>
      <c r="F11" s="26">
        <v>1269498</v>
      </c>
      <c r="G11" s="26">
        <v>891773</v>
      </c>
      <c r="H11" s="26">
        <f t="shared" si="0"/>
        <v>1047188</v>
      </c>
      <c r="I11" s="27">
        <f t="shared" si="1"/>
        <v>-0.14841174650588052</v>
      </c>
    </row>
    <row r="12" spans="2:9" ht="26.25" customHeight="1" x14ac:dyDescent="0.25">
      <c r="B12" s="30" t="s">
        <v>213</v>
      </c>
      <c r="C12" s="11">
        <f>C10-C11</f>
        <v>122761</v>
      </c>
      <c r="D12" s="11">
        <f>D10-D11</f>
        <v>324828</v>
      </c>
      <c r="E12" s="11">
        <f>E10-E11</f>
        <v>206017</v>
      </c>
      <c r="F12" s="11">
        <f>F10-F11</f>
        <v>284370</v>
      </c>
      <c r="G12" s="11">
        <f>G10-G11</f>
        <v>26992</v>
      </c>
      <c r="H12" s="11">
        <f t="shared" si="0"/>
        <v>271738.33333333331</v>
      </c>
      <c r="I12" s="12"/>
    </row>
    <row r="14" spans="2:9" ht="15" customHeight="1" x14ac:dyDescent="0.25">
      <c r="B14" s="81" t="s">
        <v>214</v>
      </c>
      <c r="C14" s="82"/>
      <c r="D14" s="82"/>
      <c r="E14" s="82"/>
      <c r="F14" s="82"/>
      <c r="G14" s="82"/>
      <c r="H14" s="82"/>
      <c r="I14" s="82"/>
    </row>
    <row r="15" spans="2:9" ht="15" customHeight="1" x14ac:dyDescent="0.25">
      <c r="B15" s="83" t="s">
        <v>215</v>
      </c>
      <c r="C15" s="83"/>
      <c r="D15" s="83"/>
      <c r="E15" s="83"/>
      <c r="F15" s="83"/>
      <c r="G15" s="83"/>
      <c r="H15" s="83"/>
      <c r="I15" s="83"/>
    </row>
    <row r="17" spans="2:11" ht="28.5" customHeight="1" x14ac:dyDescent="0.35">
      <c r="B17" s="59" t="s">
        <v>41</v>
      </c>
      <c r="C17" s="59"/>
      <c r="D17" s="59"/>
      <c r="E17" s="59"/>
      <c r="F17" s="59"/>
      <c r="G17" s="59"/>
      <c r="H17" s="59"/>
      <c r="I17" s="59"/>
    </row>
    <row r="18" spans="2:11" ht="27.75" customHeight="1" x14ac:dyDescent="0.25">
      <c r="B18" s="24" t="s">
        <v>34</v>
      </c>
      <c r="C18" s="24" t="s">
        <v>42</v>
      </c>
      <c r="D18" s="24" t="s">
        <v>43</v>
      </c>
      <c r="E18" s="24" t="s">
        <v>216</v>
      </c>
      <c r="F18" s="24" t="s">
        <v>217</v>
      </c>
      <c r="G18" s="24" t="s">
        <v>218</v>
      </c>
      <c r="H18" s="24" t="s">
        <v>219</v>
      </c>
      <c r="I18" s="24" t="s">
        <v>44</v>
      </c>
    </row>
    <row r="19" spans="2:11" ht="41.25" customHeight="1" x14ac:dyDescent="0.25">
      <c r="B19" s="25" t="s">
        <v>220</v>
      </c>
      <c r="C19" s="26">
        <v>2385710</v>
      </c>
      <c r="D19" s="31">
        <f>C19/C$23</f>
        <v>0.87801310849637992</v>
      </c>
      <c r="E19" s="26">
        <v>891773</v>
      </c>
      <c r="F19" s="31">
        <f>E19/E$23</f>
        <v>0.32819931332942487</v>
      </c>
      <c r="G19" s="32">
        <f>C19-E19</f>
        <v>1493937</v>
      </c>
      <c r="H19" s="27">
        <f>IFERROR((C19-E19)/E19,0)</f>
        <v>1.6752435877740188</v>
      </c>
      <c r="I19" s="25" t="s">
        <v>221</v>
      </c>
    </row>
    <row r="20" spans="2:11" ht="27" x14ac:dyDescent="0.25">
      <c r="B20" s="25" t="s">
        <v>222</v>
      </c>
      <c r="C20" s="26">
        <v>101196</v>
      </c>
      <c r="D20" s="31">
        <f>C20/C$23</f>
        <v>3.7243174789643188E-2</v>
      </c>
      <c r="E20" s="26">
        <v>598756</v>
      </c>
      <c r="F20" s="31">
        <f>E20/E$23</f>
        <v>0.22036023523012371</v>
      </c>
      <c r="G20" s="32">
        <f>C20-E20</f>
        <v>-497560</v>
      </c>
      <c r="H20" s="27">
        <f>IFERROR((C20-E20)/E20,0)</f>
        <v>-0.83098958507305143</v>
      </c>
      <c r="I20" s="25" t="s">
        <v>223</v>
      </c>
    </row>
    <row r="21" spans="2:11" ht="27.75" customHeight="1" x14ac:dyDescent="0.25">
      <c r="B21" s="25" t="s">
        <v>224</v>
      </c>
      <c r="C21" s="26">
        <v>194869</v>
      </c>
      <c r="D21" s="31">
        <f>C21/C$23</f>
        <v>7.1717659078253879E-2</v>
      </c>
      <c r="E21" s="26">
        <v>1180722</v>
      </c>
      <c r="F21" s="31">
        <f>E21/E$23</f>
        <v>0.43454124495016688</v>
      </c>
      <c r="G21" s="32">
        <f>C21-E21</f>
        <v>-985853</v>
      </c>
      <c r="H21" s="27">
        <f>IFERROR((C21-E21)/E21,0)</f>
        <v>-0.83495776313137215</v>
      </c>
      <c r="I21" s="25" t="s">
        <v>225</v>
      </c>
    </row>
    <row r="22" spans="2:11" ht="27" x14ac:dyDescent="0.25">
      <c r="B22" s="25" t="s">
        <v>226</v>
      </c>
      <c r="C22" s="26">
        <v>35394</v>
      </c>
      <c r="D22" s="31">
        <f>C22/C$23</f>
        <v>1.3026057635723063E-2</v>
      </c>
      <c r="E22" s="26">
        <v>0</v>
      </c>
      <c r="F22" s="31">
        <f>E22/E$23</f>
        <v>0</v>
      </c>
      <c r="G22" s="32">
        <f>C22-E22</f>
        <v>35394</v>
      </c>
      <c r="H22" s="27">
        <f>IFERROR((C22-E22)/E22,0)</f>
        <v>0</v>
      </c>
      <c r="I22" s="25" t="s">
        <v>227</v>
      </c>
    </row>
    <row r="23" spans="2:11" ht="15" customHeight="1" x14ac:dyDescent="0.25">
      <c r="B23" s="30" t="s">
        <v>228</v>
      </c>
      <c r="C23" s="13">
        <v>2717169</v>
      </c>
      <c r="D23" s="14">
        <f>C23/C$23</f>
        <v>1</v>
      </c>
      <c r="E23" s="13">
        <v>2717169</v>
      </c>
      <c r="F23" s="14">
        <f>E23/E$23</f>
        <v>1</v>
      </c>
      <c r="G23" s="11">
        <f>C23-E23</f>
        <v>0</v>
      </c>
      <c r="H23" s="15">
        <f>IFERROR((C23-E23)/E23,0)</f>
        <v>0</v>
      </c>
      <c r="I23" s="30" t="s">
        <v>45</v>
      </c>
    </row>
    <row r="25" spans="2:11" ht="15" customHeight="1" x14ac:dyDescent="0.25">
      <c r="B25" s="81" t="s">
        <v>229</v>
      </c>
      <c r="C25" s="81"/>
      <c r="D25" s="81"/>
      <c r="E25" s="81"/>
      <c r="F25" s="81"/>
      <c r="G25" s="81"/>
      <c r="H25" s="81"/>
      <c r="I25" s="81"/>
    </row>
    <row r="26" spans="2:11" ht="15" customHeight="1" x14ac:dyDescent="0.25">
      <c r="B26" s="85" t="s">
        <v>230</v>
      </c>
      <c r="C26" s="86"/>
      <c r="D26" s="86"/>
      <c r="E26" s="86"/>
      <c r="F26" s="86"/>
      <c r="G26" s="86"/>
      <c r="H26" s="86"/>
      <c r="I26" s="86"/>
    </row>
    <row r="28" spans="2:11" ht="17.25" customHeight="1" x14ac:dyDescent="0.25">
      <c r="B28" s="60" t="s">
        <v>46</v>
      </c>
      <c r="C28" s="60"/>
      <c r="D28" s="60"/>
      <c r="E28" s="60"/>
      <c r="F28" s="60"/>
      <c r="G28" s="60"/>
      <c r="H28" s="60"/>
      <c r="I28" s="60"/>
    </row>
    <row r="29" spans="2:11" ht="15" customHeight="1" x14ac:dyDescent="0.25">
      <c r="B29" s="24" t="s">
        <v>4</v>
      </c>
      <c r="C29" s="24" t="s">
        <v>6</v>
      </c>
      <c r="D29" s="61" t="s">
        <v>231</v>
      </c>
      <c r="E29" s="62"/>
      <c r="F29" s="62"/>
      <c r="G29" s="62"/>
      <c r="H29" s="62"/>
      <c r="I29" s="62"/>
    </row>
    <row r="30" spans="2:11" ht="37.5" customHeight="1" x14ac:dyDescent="0.25">
      <c r="B30" s="25" t="s">
        <v>232</v>
      </c>
      <c r="C30" s="3" t="s">
        <v>47</v>
      </c>
      <c r="D30" s="63" t="s">
        <v>233</v>
      </c>
      <c r="E30" s="64"/>
      <c r="F30" s="64"/>
      <c r="G30" s="64"/>
      <c r="H30" s="64"/>
      <c r="I30" s="64"/>
    </row>
    <row r="31" spans="2:11" ht="37.5" customHeight="1" x14ac:dyDescent="0.25">
      <c r="B31" s="25" t="s">
        <v>234</v>
      </c>
      <c r="C31" s="5" t="s">
        <v>48</v>
      </c>
      <c r="D31" s="63" t="s">
        <v>235</v>
      </c>
      <c r="E31" s="84"/>
      <c r="F31" s="84"/>
      <c r="G31" s="84"/>
      <c r="H31" s="84"/>
      <c r="I31" s="84"/>
      <c r="K31" s="57" t="s">
        <v>417</v>
      </c>
    </row>
    <row r="32" spans="2:11" ht="37.5" customHeight="1" x14ac:dyDescent="0.25">
      <c r="B32" s="25" t="s">
        <v>236</v>
      </c>
      <c r="C32" s="4" t="s">
        <v>49</v>
      </c>
      <c r="D32" s="63" t="s">
        <v>237</v>
      </c>
      <c r="E32" s="84"/>
      <c r="F32" s="84"/>
      <c r="G32" s="84"/>
      <c r="H32" s="84"/>
      <c r="I32" s="84"/>
      <c r="K32" s="57" t="s">
        <v>419</v>
      </c>
    </row>
    <row r="33" spans="2:11" ht="37.5" customHeight="1" x14ac:dyDescent="0.25">
      <c r="B33" s="25" t="s">
        <v>238</v>
      </c>
      <c r="C33" s="4" t="s">
        <v>49</v>
      </c>
      <c r="D33" s="63" t="s">
        <v>239</v>
      </c>
      <c r="E33" s="84"/>
      <c r="F33" s="84"/>
      <c r="G33" s="84"/>
      <c r="H33" s="84"/>
      <c r="I33" s="84"/>
      <c r="K33" s="57" t="s">
        <v>418</v>
      </c>
    </row>
    <row r="34" spans="2:11" ht="37.5" customHeight="1" x14ac:dyDescent="0.25">
      <c r="B34" s="25" t="s">
        <v>240</v>
      </c>
      <c r="C34" s="5" t="s">
        <v>48</v>
      </c>
      <c r="D34" s="63" t="s">
        <v>241</v>
      </c>
      <c r="E34" s="84"/>
      <c r="F34" s="84"/>
      <c r="G34" s="84"/>
      <c r="H34" s="84"/>
      <c r="I34" s="84"/>
      <c r="K34" s="57" t="s">
        <v>420</v>
      </c>
    </row>
  </sheetData>
  <mergeCells count="14">
    <mergeCell ref="D31:I31"/>
    <mergeCell ref="D32:I32"/>
    <mergeCell ref="D33:I33"/>
    <mergeCell ref="D34:I34"/>
    <mergeCell ref="B25:I25"/>
    <mergeCell ref="B26:I26"/>
    <mergeCell ref="B28:I28"/>
    <mergeCell ref="D29:I29"/>
    <mergeCell ref="D30:I30"/>
    <mergeCell ref="B2:I2"/>
    <mergeCell ref="B4:I4"/>
    <mergeCell ref="B14:I14"/>
    <mergeCell ref="B15:I15"/>
    <mergeCell ref="B17:I17"/>
  </mergeCells>
  <phoneticPr fontId="21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9"/>
  <sheetViews>
    <sheetView tabSelected="1" zoomScaleNormal="100" workbookViewId="0">
      <selection activeCell="G10" sqref="G10"/>
    </sheetView>
  </sheetViews>
  <sheetFormatPr defaultColWidth="8.7109375" defaultRowHeight="15" x14ac:dyDescent="0.25"/>
  <cols>
    <col min="1" max="1" width="3" customWidth="1"/>
    <col min="2" max="2" width="33.28515625" customWidth="1"/>
    <col min="3" max="3" width="16.7109375" customWidth="1"/>
    <col min="4" max="9" width="14" customWidth="1"/>
  </cols>
  <sheetData>
    <row r="2" spans="2:9" ht="17.25" customHeight="1" x14ac:dyDescent="0.25">
      <c r="B2" s="60" t="s">
        <v>50</v>
      </c>
      <c r="C2" s="60"/>
      <c r="D2" s="60"/>
      <c r="E2" s="60"/>
      <c r="F2" s="60"/>
      <c r="G2" s="60"/>
      <c r="H2" s="60"/>
      <c r="I2" s="60"/>
    </row>
    <row r="4" spans="2:9" ht="17.25" customHeight="1" x14ac:dyDescent="0.25">
      <c r="B4" s="60" t="s">
        <v>51</v>
      </c>
      <c r="C4" s="60"/>
      <c r="D4" s="60"/>
      <c r="E4" s="60"/>
      <c r="F4" s="60"/>
      <c r="G4" s="60"/>
      <c r="H4" s="60"/>
      <c r="I4" s="60"/>
    </row>
    <row r="5" spans="2:9" ht="15" customHeight="1" x14ac:dyDescent="0.25">
      <c r="B5" s="24" t="s">
        <v>4</v>
      </c>
      <c r="C5" s="24" t="s">
        <v>52</v>
      </c>
      <c r="D5" s="24" t="s">
        <v>36</v>
      </c>
      <c r="E5" s="24" t="s">
        <v>37</v>
      </c>
      <c r="F5" s="24" t="s">
        <v>38</v>
      </c>
      <c r="G5" s="24" t="s">
        <v>39</v>
      </c>
      <c r="H5" s="24" t="s">
        <v>204</v>
      </c>
      <c r="I5" s="24" t="s">
        <v>40</v>
      </c>
    </row>
    <row r="6" spans="2:9" ht="15" customHeight="1" x14ac:dyDescent="0.25">
      <c r="B6" s="25" t="s">
        <v>242</v>
      </c>
      <c r="C6" s="33" t="s">
        <v>53</v>
      </c>
      <c r="D6" s="26">
        <v>433923</v>
      </c>
      <c r="E6" s="26">
        <v>488222</v>
      </c>
      <c r="F6" s="26">
        <v>547646</v>
      </c>
      <c r="G6" s="26">
        <v>598756</v>
      </c>
      <c r="H6" s="34">
        <f>AVERAGE(D6:F6)</f>
        <v>489930.33333333331</v>
      </c>
      <c r="I6" s="27">
        <f>IFERROR((G6-H6)/H6,0)</f>
        <v>0.22212477828480381</v>
      </c>
    </row>
    <row r="7" spans="2:9" ht="15" customHeight="1" x14ac:dyDescent="0.25">
      <c r="B7" s="25" t="s">
        <v>243</v>
      </c>
      <c r="C7" s="33" t="s">
        <v>53</v>
      </c>
      <c r="D7" s="6"/>
      <c r="E7" s="6"/>
      <c r="F7" s="6"/>
      <c r="G7" s="26">
        <v>492324</v>
      </c>
      <c r="H7" s="23"/>
      <c r="I7" s="35" t="s">
        <v>244</v>
      </c>
    </row>
    <row r="8" spans="2:9" ht="15" customHeight="1" x14ac:dyDescent="0.25">
      <c r="B8" s="25" t="s">
        <v>245</v>
      </c>
      <c r="C8" s="33" t="s">
        <v>54</v>
      </c>
      <c r="D8" s="26">
        <v>84286</v>
      </c>
      <c r="E8" s="26">
        <v>59208</v>
      </c>
      <c r="F8" s="26">
        <v>62988</v>
      </c>
      <c r="G8" s="26">
        <v>81166</v>
      </c>
      <c r="H8" s="34">
        <f>AVERAGE(D8:F8)</f>
        <v>68827.333333333328</v>
      </c>
      <c r="I8" s="27">
        <f>IFERROR((G8-H8)/H8,0)</f>
        <v>0.17926986371693424</v>
      </c>
    </row>
    <row r="9" spans="2:9" ht="15" customHeight="1" x14ac:dyDescent="0.25">
      <c r="B9" s="25" t="s">
        <v>55</v>
      </c>
      <c r="C9" s="33" t="s">
        <v>56</v>
      </c>
      <c r="D9" s="26">
        <v>867</v>
      </c>
      <c r="E9" s="26">
        <v>858</v>
      </c>
      <c r="F9" s="26">
        <v>827</v>
      </c>
      <c r="G9" s="26">
        <v>801</v>
      </c>
      <c r="H9" s="34">
        <f>AVERAGE(D9:F9)</f>
        <v>850.66666666666663</v>
      </c>
      <c r="I9" s="27">
        <f>IFERROR((G9-H9)/H9,0)</f>
        <v>-5.8385579937304033E-2</v>
      </c>
    </row>
    <row r="10" spans="2:9" ht="15" customHeight="1" x14ac:dyDescent="0.25">
      <c r="B10" s="25" t="s">
        <v>246</v>
      </c>
      <c r="C10" s="33" t="s">
        <v>247</v>
      </c>
      <c r="D10" s="36">
        <f>D8/D9</f>
        <v>97.215686274509807</v>
      </c>
      <c r="E10" s="36">
        <f>E8/E9</f>
        <v>69.006993006993014</v>
      </c>
      <c r="F10" s="36">
        <f>F8/F9</f>
        <v>76.16444981862152</v>
      </c>
      <c r="G10" s="36">
        <f>G8/G9</f>
        <v>101.33083645443196</v>
      </c>
      <c r="H10" s="34">
        <f>AVERAGE(D10:F10)</f>
        <v>80.795709700041456</v>
      </c>
      <c r="I10" s="27">
        <f>IFERROR((G10-H10)/H10,0)</f>
        <v>0.25416110373469458</v>
      </c>
    </row>
    <row r="12" spans="2:9" ht="15" customHeight="1" x14ac:dyDescent="0.25">
      <c r="B12" s="87" t="s">
        <v>248</v>
      </c>
      <c r="C12" s="88"/>
      <c r="D12" s="88"/>
      <c r="E12" s="88"/>
      <c r="F12" s="88"/>
      <c r="G12" s="88"/>
      <c r="H12" s="88"/>
      <c r="I12" s="88"/>
    </row>
    <row r="14" spans="2:9" ht="31.5" customHeight="1" x14ac:dyDescent="0.35">
      <c r="B14" s="59" t="s">
        <v>57</v>
      </c>
      <c r="C14" s="59"/>
      <c r="D14" s="59"/>
      <c r="E14" s="59"/>
      <c r="F14" s="59"/>
      <c r="G14" s="59"/>
      <c r="H14" s="59"/>
      <c r="I14" s="59"/>
    </row>
    <row r="15" spans="2:9" ht="15" customHeight="1" x14ac:dyDescent="0.25">
      <c r="B15" s="24" t="s">
        <v>34</v>
      </c>
      <c r="C15" s="24" t="s">
        <v>58</v>
      </c>
      <c r="D15" s="24" t="s">
        <v>53</v>
      </c>
      <c r="E15" s="24" t="s">
        <v>59</v>
      </c>
      <c r="F15" s="61" t="s">
        <v>44</v>
      </c>
      <c r="G15" s="62"/>
      <c r="H15" s="62"/>
      <c r="I15" s="62"/>
    </row>
    <row r="16" spans="2:9" ht="15" customHeight="1" x14ac:dyDescent="0.25">
      <c r="B16" s="25" t="s">
        <v>249</v>
      </c>
      <c r="C16" s="32">
        <v>5508320048</v>
      </c>
      <c r="D16" s="32">
        <f t="shared" ref="D16:D22" si="0">C16/26000</f>
        <v>211858.46338461537</v>
      </c>
      <c r="E16" s="27">
        <f t="shared" ref="E16:E21" si="1">C16/C$22</f>
        <v>0.43032303154940216</v>
      </c>
      <c r="F16" s="63" t="s">
        <v>60</v>
      </c>
      <c r="G16" s="64"/>
      <c r="H16" s="64"/>
      <c r="I16" s="64"/>
    </row>
    <row r="17" spans="2:9" ht="15" customHeight="1" x14ac:dyDescent="0.25">
      <c r="B17" s="25" t="s">
        <v>250</v>
      </c>
      <c r="C17" s="32">
        <v>1610966543</v>
      </c>
      <c r="D17" s="32">
        <f t="shared" si="0"/>
        <v>61960.251653846157</v>
      </c>
      <c r="E17" s="27">
        <f t="shared" si="1"/>
        <v>0.12585252862351842</v>
      </c>
      <c r="F17" s="63" t="s">
        <v>60</v>
      </c>
      <c r="G17" s="64"/>
      <c r="H17" s="64"/>
      <c r="I17" s="64"/>
    </row>
    <row r="18" spans="2:9" ht="15" customHeight="1" x14ac:dyDescent="0.25">
      <c r="B18" s="37" t="s">
        <v>251</v>
      </c>
      <c r="C18" s="38">
        <v>5574640087</v>
      </c>
      <c r="D18" s="38">
        <f t="shared" si="0"/>
        <v>214409.23411538461</v>
      </c>
      <c r="E18" s="39">
        <f t="shared" si="1"/>
        <v>0.43550411035133502</v>
      </c>
      <c r="F18" s="65" t="s">
        <v>252</v>
      </c>
      <c r="G18" s="67"/>
      <c r="H18" s="67"/>
      <c r="I18" s="67"/>
    </row>
    <row r="19" spans="2:9" ht="15" customHeight="1" x14ac:dyDescent="0.25">
      <c r="B19" s="25" t="s">
        <v>253</v>
      </c>
      <c r="C19" s="32">
        <v>0</v>
      </c>
      <c r="D19" s="32">
        <f t="shared" si="0"/>
        <v>0</v>
      </c>
      <c r="E19" s="27">
        <f t="shared" si="1"/>
        <v>0</v>
      </c>
      <c r="F19" s="63" t="s">
        <v>254</v>
      </c>
      <c r="G19" s="84"/>
      <c r="H19" s="84"/>
      <c r="I19" s="84"/>
    </row>
    <row r="20" spans="2:9" ht="15" customHeight="1" x14ac:dyDescent="0.25">
      <c r="B20" s="25" t="s">
        <v>255</v>
      </c>
      <c r="C20" s="32">
        <v>123161764</v>
      </c>
      <c r="D20" s="32">
        <f t="shared" si="0"/>
        <v>4736.9909230769226</v>
      </c>
      <c r="E20" s="27">
        <f t="shared" si="1"/>
        <v>9.6216892253193249E-3</v>
      </c>
      <c r="F20" s="63" t="s">
        <v>61</v>
      </c>
      <c r="G20" s="64"/>
      <c r="H20" s="64"/>
      <c r="I20" s="64"/>
    </row>
    <row r="21" spans="2:9" ht="15" customHeight="1" x14ac:dyDescent="0.25">
      <c r="B21" s="25" t="s">
        <v>256</v>
      </c>
      <c r="C21" s="32">
        <v>-16657965</v>
      </c>
      <c r="D21" s="32">
        <f t="shared" si="0"/>
        <v>-640.69096153846158</v>
      </c>
      <c r="E21" s="27">
        <f t="shared" si="1"/>
        <v>-1.3013597495749284E-3</v>
      </c>
      <c r="F21" s="63" t="s">
        <v>257</v>
      </c>
      <c r="G21" s="64"/>
      <c r="H21" s="64"/>
      <c r="I21" s="64"/>
    </row>
    <row r="22" spans="2:9" ht="15" customHeight="1" x14ac:dyDescent="0.25">
      <c r="B22" s="40" t="s">
        <v>62</v>
      </c>
      <c r="C22" s="9">
        <f>SUM(C16:C21)</f>
        <v>12800430477</v>
      </c>
      <c r="D22" s="9">
        <f t="shared" si="0"/>
        <v>492324.24911538459</v>
      </c>
      <c r="E22" s="16">
        <v>1</v>
      </c>
      <c r="F22" s="89" t="s">
        <v>258</v>
      </c>
      <c r="G22" s="90"/>
      <c r="H22" s="90"/>
      <c r="I22" s="90"/>
    </row>
    <row r="24" spans="2:9" ht="17.25" customHeight="1" x14ac:dyDescent="0.35">
      <c r="B24" s="59" t="s">
        <v>63</v>
      </c>
      <c r="C24" s="59"/>
      <c r="D24" s="59"/>
      <c r="E24" s="59"/>
      <c r="F24" s="59"/>
      <c r="G24" s="59"/>
      <c r="H24" s="59"/>
      <c r="I24" s="59"/>
    </row>
    <row r="25" spans="2:9" ht="15" customHeight="1" x14ac:dyDescent="0.25">
      <c r="B25" s="24" t="s">
        <v>34</v>
      </c>
      <c r="C25" s="24" t="s">
        <v>53</v>
      </c>
      <c r="D25" s="61" t="s">
        <v>44</v>
      </c>
      <c r="E25" s="62"/>
      <c r="F25" s="62"/>
      <c r="G25" s="62"/>
      <c r="H25" s="62"/>
      <c r="I25" s="62"/>
    </row>
    <row r="26" spans="2:9" x14ac:dyDescent="0.25">
      <c r="B26" s="25" t="s">
        <v>259</v>
      </c>
      <c r="C26" s="32">
        <v>492324</v>
      </c>
      <c r="D26" s="63" t="s">
        <v>260</v>
      </c>
      <c r="E26" s="84"/>
      <c r="F26" s="84"/>
      <c r="G26" s="84"/>
      <c r="H26" s="84"/>
      <c r="I26" s="84"/>
    </row>
    <row r="27" spans="2:9" x14ac:dyDescent="0.25">
      <c r="B27" s="25" t="s">
        <v>261</v>
      </c>
      <c r="C27" s="32">
        <v>41000</v>
      </c>
      <c r="D27" s="63" t="s">
        <v>64</v>
      </c>
      <c r="E27" s="84"/>
      <c r="F27" s="84"/>
      <c r="G27" s="84"/>
      <c r="H27" s="84"/>
      <c r="I27" s="84"/>
    </row>
    <row r="28" spans="2:9" x14ac:dyDescent="0.25">
      <c r="B28" s="25" t="s">
        <v>262</v>
      </c>
      <c r="C28" s="32">
        <v>48495</v>
      </c>
      <c r="D28" s="63" t="s">
        <v>65</v>
      </c>
      <c r="E28" s="84"/>
      <c r="F28" s="84"/>
      <c r="G28" s="84"/>
      <c r="H28" s="84"/>
      <c r="I28" s="84"/>
    </row>
    <row r="29" spans="2:9" x14ac:dyDescent="0.25">
      <c r="B29" s="25" t="s">
        <v>263</v>
      </c>
      <c r="C29" s="32">
        <v>9913</v>
      </c>
      <c r="D29" s="63" t="s">
        <v>66</v>
      </c>
      <c r="E29" s="84"/>
      <c r="F29" s="84"/>
      <c r="G29" s="84"/>
      <c r="H29" s="84"/>
      <c r="I29" s="84"/>
    </row>
    <row r="30" spans="2:9" x14ac:dyDescent="0.25">
      <c r="B30" s="25" t="s">
        <v>264</v>
      </c>
      <c r="C30" s="32">
        <v>37879</v>
      </c>
      <c r="D30" s="63" t="s">
        <v>265</v>
      </c>
      <c r="E30" s="84"/>
      <c r="F30" s="84"/>
      <c r="G30" s="84"/>
      <c r="H30" s="84"/>
      <c r="I30" s="84"/>
    </row>
    <row r="31" spans="2:9" x14ac:dyDescent="0.25">
      <c r="B31" s="25" t="s">
        <v>266</v>
      </c>
      <c r="C31" s="32">
        <v>5954</v>
      </c>
      <c r="D31" s="63" t="s">
        <v>67</v>
      </c>
      <c r="E31" s="84"/>
      <c r="F31" s="84"/>
      <c r="G31" s="84"/>
      <c r="H31" s="84"/>
      <c r="I31" s="84"/>
    </row>
    <row r="32" spans="2:9" x14ac:dyDescent="0.25">
      <c r="B32" s="25" t="s">
        <v>267</v>
      </c>
      <c r="C32" s="32">
        <v>7000</v>
      </c>
      <c r="D32" s="63" t="s">
        <v>68</v>
      </c>
      <c r="E32" s="64"/>
      <c r="F32" s="64"/>
      <c r="G32" s="64"/>
      <c r="H32" s="64"/>
      <c r="I32" s="64"/>
    </row>
    <row r="33" spans="2:9" x14ac:dyDescent="0.25">
      <c r="B33" s="25" t="s">
        <v>268</v>
      </c>
      <c r="C33" s="9">
        <f>SUM(C26:C32)</f>
        <v>642565</v>
      </c>
      <c r="D33" s="63" t="s">
        <v>69</v>
      </c>
      <c r="E33" s="64"/>
      <c r="F33" s="64"/>
      <c r="G33" s="64"/>
      <c r="H33" s="64"/>
      <c r="I33" s="64"/>
    </row>
    <row r="34" spans="2:9" x14ac:dyDescent="0.25">
      <c r="B34" s="25" t="s">
        <v>269</v>
      </c>
      <c r="C34" s="32">
        <v>598756</v>
      </c>
      <c r="D34" s="84"/>
      <c r="E34" s="84"/>
      <c r="F34" s="84"/>
      <c r="G34" s="84"/>
      <c r="H34" s="84"/>
      <c r="I34" s="84"/>
    </row>
    <row r="35" spans="2:9" x14ac:dyDescent="0.25">
      <c r="B35" s="25" t="s">
        <v>270</v>
      </c>
      <c r="C35" s="9">
        <f>SUM(C26:C34)</f>
        <v>1883886</v>
      </c>
      <c r="D35" s="63" t="s">
        <v>271</v>
      </c>
      <c r="E35" s="84"/>
      <c r="F35" s="84"/>
      <c r="G35" s="84"/>
      <c r="H35" s="84"/>
      <c r="I35" s="84"/>
    </row>
    <row r="37" spans="2:9" ht="15" customHeight="1" x14ac:dyDescent="0.25">
      <c r="B37" s="91" t="s">
        <v>272</v>
      </c>
      <c r="C37" s="92"/>
      <c r="D37" s="92"/>
      <c r="E37" s="92"/>
      <c r="F37" s="92"/>
      <c r="G37" s="92"/>
      <c r="H37" s="92"/>
      <c r="I37" s="92"/>
    </row>
    <row r="39" spans="2:9" ht="17.25" customHeight="1" x14ac:dyDescent="0.25">
      <c r="B39" s="60" t="s">
        <v>70</v>
      </c>
      <c r="C39" s="60"/>
      <c r="D39" s="60"/>
      <c r="E39" s="60"/>
      <c r="F39" s="60"/>
      <c r="G39" s="60"/>
      <c r="H39" s="60"/>
      <c r="I39" s="60"/>
    </row>
    <row r="40" spans="2:9" ht="15" customHeight="1" x14ac:dyDescent="0.25">
      <c r="B40" s="24" t="s">
        <v>71</v>
      </c>
      <c r="C40" s="24" t="s">
        <v>72</v>
      </c>
      <c r="D40" s="24" t="s">
        <v>73</v>
      </c>
      <c r="E40" s="24" t="s">
        <v>74</v>
      </c>
      <c r="F40" s="24" t="s">
        <v>75</v>
      </c>
      <c r="G40" s="24" t="s">
        <v>204</v>
      </c>
      <c r="H40" s="24" t="s">
        <v>40</v>
      </c>
      <c r="I40" s="24" t="s">
        <v>44</v>
      </c>
    </row>
    <row r="41" spans="2:9" ht="15" customHeight="1" x14ac:dyDescent="0.25">
      <c r="B41" s="25" t="s">
        <v>76</v>
      </c>
      <c r="C41" s="26">
        <v>26668</v>
      </c>
      <c r="D41" s="26">
        <v>17486</v>
      </c>
      <c r="E41" s="26">
        <v>19572</v>
      </c>
      <c r="F41" s="26">
        <v>24214</v>
      </c>
      <c r="G41" s="26">
        <f t="shared" ref="G41:G50" si="2">AVERAGE(C41:E41)</f>
        <v>21242</v>
      </c>
      <c r="H41" s="27">
        <f t="shared" ref="H41:H50" si="3">IFERROR((F41-G41)/G41,0)</f>
        <v>0.13991149609264664</v>
      </c>
      <c r="I41" s="33" t="s">
        <v>77</v>
      </c>
    </row>
    <row r="42" spans="2:9" ht="15" customHeight="1" x14ac:dyDescent="0.25">
      <c r="B42" s="25" t="s">
        <v>78</v>
      </c>
      <c r="C42" s="26">
        <v>12632</v>
      </c>
      <c r="D42" s="26">
        <v>9326</v>
      </c>
      <c r="E42" s="26">
        <v>8868</v>
      </c>
      <c r="F42" s="26">
        <v>12242</v>
      </c>
      <c r="G42" s="26">
        <f t="shared" si="2"/>
        <v>10275.333333333334</v>
      </c>
      <c r="H42" s="27">
        <f t="shared" si="3"/>
        <v>0.19139687276973977</v>
      </c>
      <c r="I42" s="33" t="s">
        <v>77</v>
      </c>
    </row>
    <row r="43" spans="2:9" ht="15" customHeight="1" x14ac:dyDescent="0.25">
      <c r="B43" s="25" t="s">
        <v>79</v>
      </c>
      <c r="C43" s="26">
        <v>8963</v>
      </c>
      <c r="D43" s="26">
        <v>6286</v>
      </c>
      <c r="E43" s="26">
        <v>6590</v>
      </c>
      <c r="F43" s="26">
        <v>9489</v>
      </c>
      <c r="G43" s="26">
        <f t="shared" si="2"/>
        <v>7279.666666666667</v>
      </c>
      <c r="H43" s="27">
        <f t="shared" si="3"/>
        <v>0.30349374971381465</v>
      </c>
      <c r="I43" s="4" t="s">
        <v>80</v>
      </c>
    </row>
    <row r="44" spans="2:9" ht="15" customHeight="1" x14ac:dyDescent="0.25">
      <c r="B44" s="25" t="s">
        <v>81</v>
      </c>
      <c r="C44" s="26">
        <v>7168</v>
      </c>
      <c r="D44" s="26">
        <v>5080</v>
      </c>
      <c r="E44" s="26">
        <v>5152</v>
      </c>
      <c r="F44" s="26">
        <v>6445</v>
      </c>
      <c r="G44" s="26">
        <f t="shared" si="2"/>
        <v>5800</v>
      </c>
      <c r="H44" s="27">
        <f t="shared" si="3"/>
        <v>0.11120689655172414</v>
      </c>
      <c r="I44" s="33" t="s">
        <v>77</v>
      </c>
    </row>
    <row r="45" spans="2:9" ht="15" customHeight="1" x14ac:dyDescent="0.25">
      <c r="B45" s="25" t="s">
        <v>82</v>
      </c>
      <c r="C45" s="26">
        <v>5488</v>
      </c>
      <c r="D45" s="26">
        <v>3802</v>
      </c>
      <c r="E45" s="26">
        <v>4167</v>
      </c>
      <c r="F45" s="26">
        <v>5324</v>
      </c>
      <c r="G45" s="26">
        <f t="shared" si="2"/>
        <v>4485.666666666667</v>
      </c>
      <c r="H45" s="27">
        <f t="shared" si="3"/>
        <v>0.18689158059002742</v>
      </c>
      <c r="I45" s="33" t="s">
        <v>77</v>
      </c>
    </row>
    <row r="46" spans="2:9" ht="15" customHeight="1" x14ac:dyDescent="0.25">
      <c r="B46" s="25" t="s">
        <v>83</v>
      </c>
      <c r="C46" s="26">
        <v>5127</v>
      </c>
      <c r="D46" s="26">
        <v>3654</v>
      </c>
      <c r="E46" s="26">
        <v>3940</v>
      </c>
      <c r="F46" s="26">
        <v>5569</v>
      </c>
      <c r="G46" s="26">
        <f t="shared" si="2"/>
        <v>4240.333333333333</v>
      </c>
      <c r="H46" s="27">
        <f t="shared" si="3"/>
        <v>0.31334014621492029</v>
      </c>
      <c r="I46" s="4" t="s">
        <v>80</v>
      </c>
    </row>
    <row r="47" spans="2:9" ht="15" customHeight="1" x14ac:dyDescent="0.25">
      <c r="B47" s="25" t="s">
        <v>84</v>
      </c>
      <c r="C47" s="26">
        <v>3241</v>
      </c>
      <c r="D47" s="26">
        <v>2234</v>
      </c>
      <c r="E47" s="26">
        <v>2737</v>
      </c>
      <c r="F47" s="26">
        <v>3487</v>
      </c>
      <c r="G47" s="26">
        <f t="shared" si="2"/>
        <v>2737.3333333333335</v>
      </c>
      <c r="H47" s="27">
        <f t="shared" si="3"/>
        <v>0.27386751095957129</v>
      </c>
      <c r="I47" s="4" t="s">
        <v>80</v>
      </c>
    </row>
    <row r="48" spans="2:9" ht="15" customHeight="1" x14ac:dyDescent="0.25">
      <c r="B48" s="25" t="s">
        <v>85</v>
      </c>
      <c r="C48" s="26">
        <v>3020</v>
      </c>
      <c r="D48" s="26">
        <v>2220</v>
      </c>
      <c r="E48" s="26">
        <v>2398</v>
      </c>
      <c r="F48" s="26">
        <v>3218</v>
      </c>
      <c r="G48" s="26">
        <f t="shared" si="2"/>
        <v>2546</v>
      </c>
      <c r="H48" s="27">
        <f t="shared" si="3"/>
        <v>0.26394344069128045</v>
      </c>
      <c r="I48" s="4" t="s">
        <v>80</v>
      </c>
    </row>
    <row r="49" spans="2:9" ht="15" customHeight="1" x14ac:dyDescent="0.25">
      <c r="B49" s="25" t="s">
        <v>86</v>
      </c>
      <c r="C49" s="26">
        <v>2312</v>
      </c>
      <c r="D49" s="26">
        <v>1564</v>
      </c>
      <c r="E49" s="26">
        <v>1650</v>
      </c>
      <c r="F49" s="26">
        <v>2134</v>
      </c>
      <c r="G49" s="26">
        <f t="shared" si="2"/>
        <v>1842</v>
      </c>
      <c r="H49" s="27">
        <f t="shared" si="3"/>
        <v>0.15852334419109662</v>
      </c>
      <c r="I49" s="33" t="s">
        <v>77</v>
      </c>
    </row>
    <row r="50" spans="2:9" ht="15" customHeight="1" x14ac:dyDescent="0.25">
      <c r="B50" s="25" t="s">
        <v>87</v>
      </c>
      <c r="C50" s="26">
        <v>1794</v>
      </c>
      <c r="D50" s="26">
        <v>1306</v>
      </c>
      <c r="E50" s="26">
        <v>1340</v>
      </c>
      <c r="F50" s="26">
        <v>1603</v>
      </c>
      <c r="G50" s="26">
        <f t="shared" si="2"/>
        <v>1480</v>
      </c>
      <c r="H50" s="27">
        <f t="shared" si="3"/>
        <v>8.3108108108108106E-2</v>
      </c>
      <c r="I50" s="33" t="s">
        <v>77</v>
      </c>
    </row>
    <row r="52" spans="2:9" ht="17.25" customHeight="1" x14ac:dyDescent="0.25">
      <c r="B52" s="60" t="s">
        <v>88</v>
      </c>
      <c r="C52" s="60"/>
      <c r="D52" s="60"/>
      <c r="E52" s="60"/>
      <c r="F52" s="60"/>
      <c r="G52" s="60"/>
      <c r="H52" s="60"/>
      <c r="I52" s="60"/>
    </row>
    <row r="53" spans="2:9" ht="15" customHeight="1" x14ac:dyDescent="0.25">
      <c r="B53" s="24" t="s">
        <v>4</v>
      </c>
      <c r="C53" s="24" t="s">
        <v>6</v>
      </c>
      <c r="D53" s="61" t="s">
        <v>231</v>
      </c>
      <c r="E53" s="62"/>
      <c r="F53" s="62"/>
      <c r="G53" s="62"/>
      <c r="H53" s="62"/>
      <c r="I53" s="62"/>
    </row>
    <row r="54" spans="2:9" ht="42" customHeight="1" x14ac:dyDescent="0.25">
      <c r="B54" s="25" t="s">
        <v>273</v>
      </c>
      <c r="C54" s="42" t="s">
        <v>89</v>
      </c>
      <c r="D54" s="63" t="s">
        <v>274</v>
      </c>
      <c r="E54" s="64"/>
      <c r="F54" s="64"/>
      <c r="G54" s="64"/>
      <c r="H54" s="64"/>
      <c r="I54" s="64"/>
    </row>
    <row r="55" spans="2:9" ht="42" customHeight="1" x14ac:dyDescent="0.25">
      <c r="B55" s="25" t="s">
        <v>275</v>
      </c>
      <c r="C55" s="5" t="s">
        <v>90</v>
      </c>
      <c r="D55" s="63" t="s">
        <v>276</v>
      </c>
      <c r="E55" s="84"/>
      <c r="F55" s="84"/>
      <c r="G55" s="84"/>
      <c r="H55" s="84"/>
      <c r="I55" s="84"/>
    </row>
    <row r="56" spans="2:9" ht="42" customHeight="1" x14ac:dyDescent="0.25">
      <c r="B56" s="25" t="s">
        <v>277</v>
      </c>
      <c r="C56" s="43" t="s">
        <v>49</v>
      </c>
      <c r="D56" s="63" t="s">
        <v>278</v>
      </c>
      <c r="E56" s="84"/>
      <c r="F56" s="84"/>
      <c r="G56" s="84"/>
      <c r="H56" s="84"/>
      <c r="I56" s="84"/>
    </row>
    <row r="57" spans="2:9" ht="42" customHeight="1" x14ac:dyDescent="0.25">
      <c r="B57" s="25" t="s">
        <v>279</v>
      </c>
      <c r="C57" s="33" t="s">
        <v>48</v>
      </c>
      <c r="D57" s="63" t="s">
        <v>280</v>
      </c>
      <c r="E57" s="84"/>
      <c r="F57" s="84"/>
      <c r="G57" s="84"/>
      <c r="H57" s="84"/>
      <c r="I57" s="84"/>
    </row>
    <row r="58" spans="2:9" ht="42" customHeight="1" x14ac:dyDescent="0.25">
      <c r="B58" s="25" t="s">
        <v>281</v>
      </c>
      <c r="C58" s="33" t="s">
        <v>91</v>
      </c>
      <c r="D58" s="63" t="s">
        <v>282</v>
      </c>
      <c r="E58" s="64"/>
      <c r="F58" s="64"/>
      <c r="G58" s="64"/>
      <c r="H58" s="64"/>
      <c r="I58" s="64"/>
    </row>
    <row r="59" spans="2:9" ht="42" customHeight="1" x14ac:dyDescent="0.25">
      <c r="B59" s="25" t="s">
        <v>283</v>
      </c>
      <c r="C59" s="33" t="s">
        <v>91</v>
      </c>
      <c r="D59" s="63" t="s">
        <v>284</v>
      </c>
      <c r="E59" s="84"/>
      <c r="F59" s="84"/>
      <c r="G59" s="84"/>
      <c r="H59" s="84"/>
      <c r="I59" s="84"/>
    </row>
  </sheetData>
  <mergeCells count="34">
    <mergeCell ref="D56:I56"/>
    <mergeCell ref="D57:I57"/>
    <mergeCell ref="D58:I58"/>
    <mergeCell ref="D59:I59"/>
    <mergeCell ref="B39:I39"/>
    <mergeCell ref="B52:I52"/>
    <mergeCell ref="D53:I53"/>
    <mergeCell ref="D54:I54"/>
    <mergeCell ref="D55:I55"/>
    <mergeCell ref="D32:I32"/>
    <mergeCell ref="D33:I33"/>
    <mergeCell ref="D34:I34"/>
    <mergeCell ref="D35:I35"/>
    <mergeCell ref="B37:I37"/>
    <mergeCell ref="D27:I27"/>
    <mergeCell ref="D28:I28"/>
    <mergeCell ref="D29:I29"/>
    <mergeCell ref="D30:I30"/>
    <mergeCell ref="D31:I31"/>
    <mergeCell ref="F21:I21"/>
    <mergeCell ref="F22:I22"/>
    <mergeCell ref="B24:I24"/>
    <mergeCell ref="D25:I25"/>
    <mergeCell ref="D26:I26"/>
    <mergeCell ref="F16:I16"/>
    <mergeCell ref="F17:I17"/>
    <mergeCell ref="F18:I18"/>
    <mergeCell ref="F19:I19"/>
    <mergeCell ref="F20:I20"/>
    <mergeCell ref="B2:I2"/>
    <mergeCell ref="B4:I4"/>
    <mergeCell ref="B12:I12"/>
    <mergeCell ref="B14:I14"/>
    <mergeCell ref="F15:I15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9"/>
  <sheetViews>
    <sheetView topLeftCell="A33" zoomScaleNormal="100" workbookViewId="0">
      <selection activeCell="B33" sqref="B33"/>
    </sheetView>
  </sheetViews>
  <sheetFormatPr defaultColWidth="8.7109375" defaultRowHeight="15" x14ac:dyDescent="0.25"/>
  <cols>
    <col min="1" max="1" width="3" customWidth="1"/>
    <col min="2" max="2" width="31.42578125" customWidth="1"/>
    <col min="3" max="9" width="18" customWidth="1"/>
    <col min="10" max="10" width="39.28515625" customWidth="1"/>
  </cols>
  <sheetData>
    <row r="2" spans="2:10" ht="17.25" customHeight="1" x14ac:dyDescent="0.25">
      <c r="B2" s="60" t="s">
        <v>92</v>
      </c>
      <c r="C2" s="60"/>
      <c r="D2" s="60"/>
      <c r="E2" s="60"/>
      <c r="F2" s="60"/>
      <c r="G2" s="60"/>
      <c r="H2" s="60"/>
      <c r="I2" s="60"/>
      <c r="J2" s="60"/>
    </row>
    <row r="4" spans="2:10" ht="17.25" customHeight="1" x14ac:dyDescent="0.25">
      <c r="B4" s="60" t="s">
        <v>93</v>
      </c>
      <c r="C4" s="60"/>
      <c r="D4" s="60"/>
      <c r="E4" s="60"/>
      <c r="F4" s="60"/>
      <c r="G4" s="60"/>
      <c r="H4" s="60"/>
      <c r="I4" s="60"/>
      <c r="J4" s="60"/>
    </row>
    <row r="5" spans="2:10" x14ac:dyDescent="0.25">
      <c r="B5" s="24" t="s">
        <v>4</v>
      </c>
      <c r="C5" s="24" t="s">
        <v>36</v>
      </c>
      <c r="D5" s="24" t="s">
        <v>37</v>
      </c>
      <c r="E5" s="24" t="s">
        <v>38</v>
      </c>
      <c r="F5" s="24" t="s">
        <v>39</v>
      </c>
      <c r="G5" s="24" t="s">
        <v>204</v>
      </c>
      <c r="H5" s="24" t="s">
        <v>285</v>
      </c>
      <c r="I5" s="24" t="s">
        <v>286</v>
      </c>
      <c r="J5" s="24" t="s">
        <v>44</v>
      </c>
    </row>
    <row r="6" spans="2:10" x14ac:dyDescent="0.25">
      <c r="B6" s="25" t="s">
        <v>287</v>
      </c>
      <c r="C6" s="32">
        <v>30876</v>
      </c>
      <c r="D6" s="32">
        <v>26019</v>
      </c>
      <c r="E6" s="32">
        <v>39132</v>
      </c>
      <c r="F6" s="32">
        <v>36422</v>
      </c>
      <c r="G6" s="32">
        <f t="shared" ref="G6:G26" si="0">AVERAGE(C6:E6)</f>
        <v>32009</v>
      </c>
      <c r="H6" s="32">
        <f t="shared" ref="H6:H26" si="1">F6-G6</f>
        <v>4413</v>
      </c>
      <c r="I6" s="27">
        <f t="shared" ref="I6:I27" si="2">IFERROR(H6/G6,0)</f>
        <v>0.13786747477272018</v>
      </c>
      <c r="J6" s="8"/>
    </row>
    <row r="7" spans="2:10" x14ac:dyDescent="0.25">
      <c r="B7" s="17" t="s">
        <v>288</v>
      </c>
      <c r="C7" s="18">
        <v>165249</v>
      </c>
      <c r="D7" s="18">
        <v>261566</v>
      </c>
      <c r="E7" s="18">
        <v>233883</v>
      </c>
      <c r="F7" s="18">
        <v>332468</v>
      </c>
      <c r="G7" s="18">
        <f t="shared" si="0"/>
        <v>220232.66666666666</v>
      </c>
      <c r="H7" s="18">
        <f t="shared" si="1"/>
        <v>112235.33333333334</v>
      </c>
      <c r="I7" s="19">
        <f t="shared" si="2"/>
        <v>0.50962164256589249</v>
      </c>
      <c r="J7" s="17" t="s">
        <v>289</v>
      </c>
    </row>
    <row r="8" spans="2:10" x14ac:dyDescent="0.25">
      <c r="B8" s="25" t="s">
        <v>290</v>
      </c>
      <c r="C8" s="32">
        <v>2014</v>
      </c>
      <c r="D8" s="32">
        <v>1722</v>
      </c>
      <c r="E8" s="32">
        <v>1221</v>
      </c>
      <c r="F8" s="32">
        <v>2421</v>
      </c>
      <c r="G8" s="32">
        <f t="shared" si="0"/>
        <v>1652.3333333333333</v>
      </c>
      <c r="H8" s="32">
        <f t="shared" si="1"/>
        <v>768.66666666666674</v>
      </c>
      <c r="I8" s="27">
        <f t="shared" si="2"/>
        <v>0.46520072624571318</v>
      </c>
      <c r="J8" s="8"/>
    </row>
    <row r="9" spans="2:10" x14ac:dyDescent="0.25">
      <c r="B9" s="25" t="s">
        <v>291</v>
      </c>
      <c r="C9" s="32">
        <v>1433</v>
      </c>
      <c r="D9" s="32">
        <v>1079</v>
      </c>
      <c r="E9" s="32">
        <v>1616</v>
      </c>
      <c r="F9" s="32">
        <v>1882</v>
      </c>
      <c r="G9" s="32">
        <f t="shared" si="0"/>
        <v>1376</v>
      </c>
      <c r="H9" s="32">
        <f t="shared" si="1"/>
        <v>506</v>
      </c>
      <c r="I9" s="27">
        <f t="shared" si="2"/>
        <v>0.36773255813953487</v>
      </c>
      <c r="J9" s="8"/>
    </row>
    <row r="10" spans="2:10" x14ac:dyDescent="0.25">
      <c r="B10" s="25" t="s">
        <v>292</v>
      </c>
      <c r="C10" s="32">
        <v>9777</v>
      </c>
      <c r="D10" s="32">
        <v>5937</v>
      </c>
      <c r="E10" s="32">
        <v>25175</v>
      </c>
      <c r="F10" s="32">
        <v>21626</v>
      </c>
      <c r="G10" s="32">
        <f t="shared" si="0"/>
        <v>13629.666666666666</v>
      </c>
      <c r="H10" s="32">
        <f t="shared" si="1"/>
        <v>7996.3333333333339</v>
      </c>
      <c r="I10" s="27">
        <f t="shared" si="2"/>
        <v>0.58668590574482138</v>
      </c>
      <c r="J10" s="25" t="s">
        <v>293</v>
      </c>
    </row>
    <row r="11" spans="2:10" x14ac:dyDescent="0.25">
      <c r="B11" s="25" t="s">
        <v>294</v>
      </c>
      <c r="C11" s="32">
        <v>9193</v>
      </c>
      <c r="D11" s="32">
        <v>4507</v>
      </c>
      <c r="E11" s="32">
        <v>6140</v>
      </c>
      <c r="F11" s="32">
        <v>7120</v>
      </c>
      <c r="G11" s="32">
        <f t="shared" si="0"/>
        <v>6613.333333333333</v>
      </c>
      <c r="H11" s="32">
        <f t="shared" si="1"/>
        <v>506.66666666666697</v>
      </c>
      <c r="I11" s="27">
        <f t="shared" si="2"/>
        <v>7.6612903225806495E-2</v>
      </c>
      <c r="J11" s="8"/>
    </row>
    <row r="12" spans="2:10" x14ac:dyDescent="0.25">
      <c r="B12" s="25" t="s">
        <v>295</v>
      </c>
      <c r="C12" s="32">
        <v>0</v>
      </c>
      <c r="D12" s="32">
        <v>3166</v>
      </c>
      <c r="E12" s="32">
        <v>0</v>
      </c>
      <c r="F12" s="32">
        <v>859</v>
      </c>
      <c r="G12" s="32">
        <f t="shared" si="0"/>
        <v>1055.3333333333333</v>
      </c>
      <c r="H12" s="32">
        <f t="shared" si="1"/>
        <v>-196.33333333333326</v>
      </c>
      <c r="I12" s="27">
        <f t="shared" si="2"/>
        <v>-0.18603916614023999</v>
      </c>
      <c r="J12" s="8"/>
    </row>
    <row r="13" spans="2:10" x14ac:dyDescent="0.25">
      <c r="B13" s="25" t="s">
        <v>296</v>
      </c>
      <c r="C13" s="32">
        <v>39465</v>
      </c>
      <c r="D13" s="32">
        <v>39304</v>
      </c>
      <c r="E13" s="32">
        <v>40245</v>
      </c>
      <c r="F13" s="32">
        <v>41605</v>
      </c>
      <c r="G13" s="32">
        <f t="shared" si="0"/>
        <v>39671.333333333336</v>
      </c>
      <c r="H13" s="32">
        <f t="shared" si="1"/>
        <v>1933.6666666666642</v>
      </c>
      <c r="I13" s="27">
        <f t="shared" si="2"/>
        <v>4.8742164787335882E-2</v>
      </c>
      <c r="J13" s="25" t="s">
        <v>94</v>
      </c>
    </row>
    <row r="14" spans="2:10" x14ac:dyDescent="0.25">
      <c r="B14" s="25" t="s">
        <v>95</v>
      </c>
      <c r="C14" s="32">
        <v>3674</v>
      </c>
      <c r="D14" s="32">
        <v>1430</v>
      </c>
      <c r="E14" s="32">
        <v>6763</v>
      </c>
      <c r="F14" s="32">
        <v>5938</v>
      </c>
      <c r="G14" s="32">
        <f t="shared" si="0"/>
        <v>3955.6666666666665</v>
      </c>
      <c r="H14" s="32">
        <f t="shared" si="1"/>
        <v>1982.3333333333335</v>
      </c>
      <c r="I14" s="27">
        <f t="shared" si="2"/>
        <v>0.50113760849414346</v>
      </c>
      <c r="J14" s="25" t="s">
        <v>96</v>
      </c>
    </row>
    <row r="15" spans="2:10" x14ac:dyDescent="0.25">
      <c r="B15" s="25" t="s">
        <v>297</v>
      </c>
      <c r="C15" s="32">
        <v>194564</v>
      </c>
      <c r="D15" s="32">
        <v>197097</v>
      </c>
      <c r="E15" s="32">
        <v>196702</v>
      </c>
      <c r="F15" s="32">
        <v>192632</v>
      </c>
      <c r="G15" s="32">
        <f t="shared" si="0"/>
        <v>196121</v>
      </c>
      <c r="H15" s="32">
        <f t="shared" si="1"/>
        <v>-3489</v>
      </c>
      <c r="I15" s="27">
        <f t="shared" si="2"/>
        <v>-1.7790037782797356E-2</v>
      </c>
      <c r="J15" s="25" t="s">
        <v>94</v>
      </c>
    </row>
    <row r="16" spans="2:10" x14ac:dyDescent="0.25">
      <c r="B16" s="25" t="s">
        <v>298</v>
      </c>
      <c r="C16" s="32">
        <v>120468</v>
      </c>
      <c r="D16" s="32">
        <v>124801</v>
      </c>
      <c r="E16" s="32">
        <v>127081</v>
      </c>
      <c r="F16" s="32">
        <v>130448</v>
      </c>
      <c r="G16" s="32">
        <f t="shared" si="0"/>
        <v>124116.66666666667</v>
      </c>
      <c r="H16" s="32">
        <f t="shared" si="1"/>
        <v>6331.3333333333285</v>
      </c>
      <c r="I16" s="27">
        <f t="shared" si="2"/>
        <v>5.1011145427688961E-2</v>
      </c>
      <c r="J16" s="25" t="s">
        <v>94</v>
      </c>
    </row>
    <row r="17" spans="2:10" x14ac:dyDescent="0.25">
      <c r="B17" s="25" t="s">
        <v>299</v>
      </c>
      <c r="C17" s="32">
        <v>66169</v>
      </c>
      <c r="D17" s="32">
        <v>67646</v>
      </c>
      <c r="E17" s="32">
        <v>68805</v>
      </c>
      <c r="F17" s="32">
        <v>69983</v>
      </c>
      <c r="G17" s="32">
        <f t="shared" si="0"/>
        <v>67540</v>
      </c>
      <c r="H17" s="32">
        <f t="shared" si="1"/>
        <v>2443</v>
      </c>
      <c r="I17" s="27">
        <f t="shared" si="2"/>
        <v>3.617115783239562E-2</v>
      </c>
      <c r="J17" s="25" t="s">
        <v>94</v>
      </c>
    </row>
    <row r="18" spans="2:10" x14ac:dyDescent="0.25">
      <c r="B18" s="25" t="s">
        <v>97</v>
      </c>
      <c r="C18" s="32">
        <v>98954</v>
      </c>
      <c r="D18" s="32">
        <v>72916</v>
      </c>
      <c r="E18" s="32">
        <v>68270</v>
      </c>
      <c r="F18" s="32">
        <v>51753</v>
      </c>
      <c r="G18" s="32">
        <f t="shared" si="0"/>
        <v>80046.666666666672</v>
      </c>
      <c r="H18" s="32">
        <f t="shared" si="1"/>
        <v>-28293.666666666672</v>
      </c>
      <c r="I18" s="27">
        <f t="shared" si="2"/>
        <v>-0.35346464562338642</v>
      </c>
      <c r="J18" s="44" t="s">
        <v>300</v>
      </c>
    </row>
    <row r="19" spans="2:10" x14ac:dyDescent="0.25">
      <c r="B19" s="25" t="s">
        <v>98</v>
      </c>
      <c r="C19" s="32">
        <v>0</v>
      </c>
      <c r="D19" s="32">
        <v>0</v>
      </c>
      <c r="E19" s="32">
        <v>0</v>
      </c>
      <c r="F19" s="32">
        <v>0</v>
      </c>
      <c r="G19" s="32">
        <f t="shared" si="0"/>
        <v>0</v>
      </c>
      <c r="H19" s="32">
        <f t="shared" si="1"/>
        <v>0</v>
      </c>
      <c r="I19" s="27">
        <f t="shared" si="2"/>
        <v>0</v>
      </c>
      <c r="J19" s="8"/>
    </row>
    <row r="20" spans="2:10" x14ac:dyDescent="0.25">
      <c r="B20" s="25" t="s">
        <v>301</v>
      </c>
      <c r="C20" s="32">
        <v>186565</v>
      </c>
      <c r="D20" s="32">
        <v>120013</v>
      </c>
      <c r="E20" s="32">
        <v>182136</v>
      </c>
      <c r="F20" s="32">
        <v>155166</v>
      </c>
      <c r="G20" s="32">
        <f t="shared" si="0"/>
        <v>162904.66666666666</v>
      </c>
      <c r="H20" s="32">
        <f t="shared" si="1"/>
        <v>-7738.666666666657</v>
      </c>
      <c r="I20" s="27">
        <f t="shared" si="2"/>
        <v>-4.7504266298898687E-2</v>
      </c>
      <c r="J20" s="8"/>
    </row>
    <row r="21" spans="2:10" x14ac:dyDescent="0.25">
      <c r="B21" s="25" t="s">
        <v>99</v>
      </c>
      <c r="C21" s="32">
        <v>77038</v>
      </c>
      <c r="D21" s="32">
        <v>58516</v>
      </c>
      <c r="E21" s="32">
        <v>54899</v>
      </c>
      <c r="F21" s="32">
        <v>57670</v>
      </c>
      <c r="G21" s="32">
        <f t="shared" si="0"/>
        <v>63484.333333333336</v>
      </c>
      <c r="H21" s="32">
        <f t="shared" si="1"/>
        <v>-5814.3333333333358</v>
      </c>
      <c r="I21" s="27">
        <f t="shared" si="2"/>
        <v>-9.1586900705160887E-2</v>
      </c>
      <c r="J21" s="8"/>
    </row>
    <row r="22" spans="2:10" x14ac:dyDescent="0.25">
      <c r="B22" s="25" t="s">
        <v>302</v>
      </c>
      <c r="C22" s="32">
        <v>3598</v>
      </c>
      <c r="D22" s="32">
        <v>4279</v>
      </c>
      <c r="E22" s="32">
        <v>4088</v>
      </c>
      <c r="F22" s="32">
        <v>4454</v>
      </c>
      <c r="G22" s="32">
        <f t="shared" si="0"/>
        <v>3988.3333333333335</v>
      </c>
      <c r="H22" s="32">
        <f t="shared" si="1"/>
        <v>465.66666666666652</v>
      </c>
      <c r="I22" s="27">
        <f t="shared" si="2"/>
        <v>0.11675720852486414</v>
      </c>
      <c r="J22" s="8"/>
    </row>
    <row r="23" spans="2:10" x14ac:dyDescent="0.25">
      <c r="B23" s="25" t="s">
        <v>303</v>
      </c>
      <c r="C23" s="32">
        <v>3100</v>
      </c>
      <c r="D23" s="32">
        <v>2900</v>
      </c>
      <c r="E23" s="32">
        <v>2683</v>
      </c>
      <c r="F23" s="32">
        <v>2992</v>
      </c>
      <c r="G23" s="32">
        <f t="shared" si="0"/>
        <v>2894.3333333333335</v>
      </c>
      <c r="H23" s="32">
        <f t="shared" si="1"/>
        <v>97.666666666666515</v>
      </c>
      <c r="I23" s="27">
        <f t="shared" si="2"/>
        <v>3.37440976620983E-2</v>
      </c>
      <c r="J23" s="25" t="s">
        <v>94</v>
      </c>
    </row>
    <row r="24" spans="2:10" x14ac:dyDescent="0.25">
      <c r="B24" s="25" t="s">
        <v>304</v>
      </c>
      <c r="C24" s="32">
        <v>37507</v>
      </c>
      <c r="D24" s="32">
        <v>26003</v>
      </c>
      <c r="E24" s="32">
        <v>35618</v>
      </c>
      <c r="F24" s="32">
        <v>38360</v>
      </c>
      <c r="G24" s="32">
        <f t="shared" si="0"/>
        <v>33042.666666666664</v>
      </c>
      <c r="H24" s="32">
        <f t="shared" si="1"/>
        <v>5317.3333333333358</v>
      </c>
      <c r="I24" s="27">
        <f t="shared" si="2"/>
        <v>0.16092325074650965</v>
      </c>
      <c r="J24" s="8"/>
    </row>
    <row r="25" spans="2:10" x14ac:dyDescent="0.25">
      <c r="B25" s="25" t="s">
        <v>305</v>
      </c>
      <c r="C25" s="32">
        <v>1811</v>
      </c>
      <c r="D25" s="32">
        <v>2176</v>
      </c>
      <c r="E25" s="32">
        <v>2013</v>
      </c>
      <c r="F25" s="32">
        <v>2208</v>
      </c>
      <c r="G25" s="32">
        <f t="shared" si="0"/>
        <v>2000</v>
      </c>
      <c r="H25" s="32">
        <f t="shared" si="1"/>
        <v>208</v>
      </c>
      <c r="I25" s="27">
        <f t="shared" si="2"/>
        <v>0.104</v>
      </c>
      <c r="J25" s="8"/>
    </row>
    <row r="26" spans="2:10" x14ac:dyDescent="0.25">
      <c r="B26" s="25" t="s">
        <v>100</v>
      </c>
      <c r="C26" s="32">
        <v>21950</v>
      </c>
      <c r="D26" s="32">
        <v>20734</v>
      </c>
      <c r="E26" s="32">
        <v>19562</v>
      </c>
      <c r="F26" s="32">
        <v>24715</v>
      </c>
      <c r="G26" s="32">
        <f t="shared" si="0"/>
        <v>20748.666666666668</v>
      </c>
      <c r="H26" s="32">
        <f t="shared" si="1"/>
        <v>3966.3333333333321</v>
      </c>
      <c r="I26" s="27">
        <f t="shared" si="2"/>
        <v>0.19116087780740923</v>
      </c>
      <c r="J26" s="8"/>
    </row>
    <row r="27" spans="2:10" x14ac:dyDescent="0.25">
      <c r="B27" s="40" t="s">
        <v>306</v>
      </c>
      <c r="C27" s="20">
        <f t="shared" ref="C27:H27" si="3">SUM(C6:C26)</f>
        <v>1073405</v>
      </c>
      <c r="D27" s="20">
        <f t="shared" si="3"/>
        <v>1041811</v>
      </c>
      <c r="E27" s="20">
        <f t="shared" si="3"/>
        <v>1116032</v>
      </c>
      <c r="F27" s="20">
        <f t="shared" si="3"/>
        <v>1180722</v>
      </c>
      <c r="G27" s="20">
        <f t="shared" si="3"/>
        <v>1077082.6666666667</v>
      </c>
      <c r="H27" s="20">
        <f t="shared" si="3"/>
        <v>103639.33333333336</v>
      </c>
      <c r="I27" s="10">
        <f t="shared" si="2"/>
        <v>9.6222264586314651E-2</v>
      </c>
      <c r="J27" s="41" t="s">
        <v>307</v>
      </c>
    </row>
    <row r="29" spans="2:10" ht="17.25" customHeight="1" x14ac:dyDescent="0.35">
      <c r="B29" s="59" t="s">
        <v>101</v>
      </c>
      <c r="C29" s="59"/>
      <c r="D29" s="59"/>
      <c r="E29" s="59"/>
      <c r="F29" s="59"/>
      <c r="G29" s="59"/>
      <c r="H29" s="59"/>
      <c r="I29" s="59"/>
      <c r="J29" s="59"/>
    </row>
    <row r="30" spans="2:10" ht="15" customHeight="1" x14ac:dyDescent="0.25">
      <c r="B30" s="24" t="s">
        <v>102</v>
      </c>
      <c r="C30" s="24" t="s">
        <v>4</v>
      </c>
      <c r="D30" s="24" t="s">
        <v>285</v>
      </c>
      <c r="E30" s="61" t="s">
        <v>308</v>
      </c>
      <c r="F30" s="62"/>
      <c r="G30" s="62"/>
      <c r="H30" s="62"/>
      <c r="I30" s="62"/>
      <c r="J30" s="62"/>
    </row>
    <row r="31" spans="2:10" ht="30" customHeight="1" x14ac:dyDescent="0.25">
      <c r="B31" s="45">
        <v>1</v>
      </c>
      <c r="C31" s="37" t="s">
        <v>288</v>
      </c>
      <c r="D31" s="21" t="s">
        <v>103</v>
      </c>
      <c r="E31" s="65" t="s">
        <v>309</v>
      </c>
      <c r="F31" s="67"/>
      <c r="G31" s="67"/>
      <c r="H31" s="67"/>
      <c r="I31" s="67"/>
      <c r="J31" s="67"/>
    </row>
    <row r="32" spans="2:10" ht="30" customHeight="1" x14ac:dyDescent="0.25">
      <c r="B32" s="33">
        <v>2</v>
      </c>
      <c r="C32" s="25" t="s">
        <v>104</v>
      </c>
      <c r="D32" s="22" t="s">
        <v>105</v>
      </c>
      <c r="E32" s="68" t="s">
        <v>310</v>
      </c>
      <c r="F32" s="93"/>
      <c r="G32" s="93"/>
      <c r="H32" s="93"/>
      <c r="I32" s="93"/>
      <c r="J32" s="93"/>
    </row>
    <row r="33" spans="2:10" ht="30" customHeight="1" x14ac:dyDescent="0.25">
      <c r="B33" s="33">
        <v>3</v>
      </c>
      <c r="C33" s="25" t="s">
        <v>106</v>
      </c>
      <c r="D33" s="22" t="s">
        <v>107</v>
      </c>
      <c r="E33" s="68" t="s">
        <v>311</v>
      </c>
      <c r="F33" s="93"/>
      <c r="G33" s="93"/>
      <c r="H33" s="93"/>
      <c r="I33" s="93"/>
      <c r="J33" s="93"/>
    </row>
    <row r="34" spans="2:10" ht="30" customHeight="1" x14ac:dyDescent="0.25">
      <c r="B34" s="33">
        <v>4</v>
      </c>
      <c r="C34" s="25" t="s">
        <v>108</v>
      </c>
      <c r="D34" s="22" t="s">
        <v>109</v>
      </c>
      <c r="E34" s="63" t="s">
        <v>312</v>
      </c>
      <c r="F34" s="84"/>
      <c r="G34" s="84"/>
      <c r="H34" s="84"/>
      <c r="I34" s="84"/>
      <c r="J34" s="84"/>
    </row>
    <row r="35" spans="2:10" ht="30" customHeight="1" x14ac:dyDescent="0.25">
      <c r="B35" s="33">
        <v>5</v>
      </c>
      <c r="C35" s="25" t="s">
        <v>110</v>
      </c>
      <c r="D35" s="22" t="s">
        <v>111</v>
      </c>
      <c r="E35" s="63" t="s">
        <v>313</v>
      </c>
      <c r="F35" s="84"/>
      <c r="G35" s="84"/>
      <c r="H35" s="84"/>
      <c r="I35" s="84"/>
      <c r="J35" s="84"/>
    </row>
    <row r="36" spans="2:10" ht="30" customHeight="1" x14ac:dyDescent="0.25">
      <c r="B36" s="33">
        <v>6</v>
      </c>
      <c r="C36" s="25" t="s">
        <v>99</v>
      </c>
      <c r="D36" s="22" t="s">
        <v>112</v>
      </c>
      <c r="E36" s="63" t="s">
        <v>314</v>
      </c>
      <c r="F36" s="84"/>
      <c r="G36" s="84"/>
      <c r="H36" s="84"/>
      <c r="I36" s="84"/>
      <c r="J36" s="84"/>
    </row>
    <row r="37" spans="2:10" ht="30" customHeight="1" x14ac:dyDescent="0.25">
      <c r="B37" s="33">
        <v>7</v>
      </c>
      <c r="C37" s="25" t="s">
        <v>113</v>
      </c>
      <c r="D37" s="22" t="s">
        <v>114</v>
      </c>
      <c r="E37" s="63" t="s">
        <v>315</v>
      </c>
      <c r="F37" s="84"/>
      <c r="G37" s="84"/>
      <c r="H37" s="84"/>
      <c r="I37" s="84"/>
      <c r="J37" s="84"/>
    </row>
    <row r="38" spans="2:10" ht="30" customHeight="1" x14ac:dyDescent="0.25">
      <c r="B38" s="33">
        <v>8</v>
      </c>
      <c r="C38" s="25" t="s">
        <v>115</v>
      </c>
      <c r="D38" s="22" t="s">
        <v>116</v>
      </c>
      <c r="E38" s="63" t="s">
        <v>316</v>
      </c>
      <c r="F38" s="84"/>
      <c r="G38" s="84"/>
      <c r="H38" s="84"/>
      <c r="I38" s="84"/>
      <c r="J38" s="84"/>
    </row>
    <row r="40" spans="2:10" ht="17.25" customHeight="1" x14ac:dyDescent="0.25">
      <c r="B40" s="60" t="s">
        <v>117</v>
      </c>
      <c r="C40" s="60"/>
      <c r="D40" s="60"/>
      <c r="E40" s="60"/>
      <c r="F40" s="60"/>
      <c r="G40" s="60"/>
      <c r="H40" s="60"/>
      <c r="I40" s="60"/>
      <c r="J40" s="60"/>
    </row>
    <row r="41" spans="2:10" ht="15" customHeight="1" x14ac:dyDescent="0.25">
      <c r="B41" s="24" t="s">
        <v>4</v>
      </c>
      <c r="C41" s="24" t="s">
        <v>6</v>
      </c>
      <c r="D41" s="61" t="s">
        <v>231</v>
      </c>
      <c r="E41" s="62"/>
      <c r="F41" s="62"/>
      <c r="G41" s="62"/>
      <c r="H41" s="62"/>
      <c r="I41" s="62"/>
      <c r="J41" s="62"/>
    </row>
    <row r="42" spans="2:10" ht="42" customHeight="1" x14ac:dyDescent="0.25">
      <c r="B42" s="25" t="s">
        <v>317</v>
      </c>
      <c r="C42" s="42" t="s">
        <v>118</v>
      </c>
      <c r="D42" s="63" t="s">
        <v>318</v>
      </c>
      <c r="E42" s="84"/>
      <c r="F42" s="84"/>
      <c r="G42" s="84"/>
      <c r="H42" s="84"/>
      <c r="I42" s="84"/>
      <c r="J42" s="84"/>
    </row>
    <row r="43" spans="2:10" ht="42" customHeight="1" x14ac:dyDescent="0.25">
      <c r="B43" s="25" t="s">
        <v>319</v>
      </c>
      <c r="C43" s="5" t="s">
        <v>119</v>
      </c>
      <c r="D43" s="63" t="s">
        <v>320</v>
      </c>
      <c r="E43" s="84"/>
      <c r="F43" s="84"/>
      <c r="G43" s="84"/>
      <c r="H43" s="84"/>
      <c r="I43" s="84"/>
      <c r="J43" s="84"/>
    </row>
    <row r="44" spans="2:10" ht="42" customHeight="1" x14ac:dyDescent="0.25">
      <c r="B44" s="25" t="s">
        <v>321</v>
      </c>
      <c r="C44" s="5" t="s">
        <v>49</v>
      </c>
      <c r="D44" s="63" t="s">
        <v>322</v>
      </c>
      <c r="E44" s="84"/>
      <c r="F44" s="84"/>
      <c r="G44" s="84"/>
      <c r="H44" s="84"/>
      <c r="I44" s="84"/>
      <c r="J44" s="84"/>
    </row>
    <row r="45" spans="2:10" ht="42" customHeight="1" x14ac:dyDescent="0.25">
      <c r="B45" s="25" t="s">
        <v>323</v>
      </c>
      <c r="C45" s="46" t="s">
        <v>120</v>
      </c>
      <c r="D45" s="63" t="s">
        <v>324</v>
      </c>
      <c r="E45" s="64"/>
      <c r="F45" s="64"/>
      <c r="G45" s="64"/>
      <c r="H45" s="64"/>
      <c r="I45" s="64"/>
      <c r="J45" s="64"/>
    </row>
    <row r="46" spans="2:10" ht="42" customHeight="1" x14ac:dyDescent="0.25">
      <c r="B46" s="25" t="s">
        <v>325</v>
      </c>
      <c r="C46" s="46" t="s">
        <v>120</v>
      </c>
      <c r="D46" s="63" t="s">
        <v>326</v>
      </c>
      <c r="E46" s="64"/>
      <c r="F46" s="64"/>
      <c r="G46" s="64"/>
      <c r="H46" s="64"/>
      <c r="I46" s="64"/>
      <c r="J46" s="64"/>
    </row>
    <row r="47" spans="2:10" ht="42" customHeight="1" x14ac:dyDescent="0.25">
      <c r="B47" s="25" t="s">
        <v>327</v>
      </c>
      <c r="C47" s="46" t="s">
        <v>120</v>
      </c>
      <c r="D47" s="63" t="s">
        <v>328</v>
      </c>
      <c r="E47" s="64"/>
      <c r="F47" s="64"/>
      <c r="G47" s="64"/>
      <c r="H47" s="64"/>
      <c r="I47" s="64"/>
      <c r="J47" s="64"/>
    </row>
    <row r="48" spans="2:10" ht="42" customHeight="1" x14ac:dyDescent="0.25">
      <c r="B48" s="25" t="s">
        <v>329</v>
      </c>
      <c r="C48" s="46" t="s">
        <v>120</v>
      </c>
      <c r="D48" s="63" t="s">
        <v>330</v>
      </c>
      <c r="E48" s="84"/>
      <c r="F48" s="84"/>
      <c r="G48" s="84"/>
      <c r="H48" s="84"/>
      <c r="I48" s="84"/>
      <c r="J48" s="84"/>
    </row>
    <row r="49" spans="2:10" ht="42" customHeight="1" x14ac:dyDescent="0.25">
      <c r="B49" s="25" t="s">
        <v>331</v>
      </c>
      <c r="C49" s="33" t="s">
        <v>48</v>
      </c>
      <c r="D49" s="63" t="s">
        <v>332</v>
      </c>
      <c r="E49" s="64"/>
      <c r="F49" s="64"/>
      <c r="G49" s="64"/>
      <c r="H49" s="64"/>
      <c r="I49" s="64"/>
      <c r="J49" s="64"/>
    </row>
  </sheetData>
  <mergeCells count="22">
    <mergeCell ref="D48:J48"/>
    <mergeCell ref="D49:J49"/>
    <mergeCell ref="D43:J43"/>
    <mergeCell ref="D44:J44"/>
    <mergeCell ref="D45:J45"/>
    <mergeCell ref="D46:J46"/>
    <mergeCell ref="D47:J47"/>
    <mergeCell ref="E37:J37"/>
    <mergeCell ref="E38:J38"/>
    <mergeCell ref="B40:J40"/>
    <mergeCell ref="D41:J41"/>
    <mergeCell ref="D42:J42"/>
    <mergeCell ref="E32:J32"/>
    <mergeCell ref="E33:J33"/>
    <mergeCell ref="E34:J34"/>
    <mergeCell ref="E35:J35"/>
    <mergeCell ref="E36:J36"/>
    <mergeCell ref="B2:J2"/>
    <mergeCell ref="B4:J4"/>
    <mergeCell ref="B29:J29"/>
    <mergeCell ref="E30:J30"/>
    <mergeCell ref="E31:J3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3"/>
  <sheetViews>
    <sheetView topLeftCell="A13" zoomScaleNormal="100" workbookViewId="0">
      <selection activeCell="D33" sqref="D33:G33"/>
    </sheetView>
  </sheetViews>
  <sheetFormatPr defaultColWidth="8.7109375" defaultRowHeight="15" x14ac:dyDescent="0.25"/>
  <cols>
    <col min="1" max="1" width="3" customWidth="1"/>
    <col min="2" max="2" width="26" customWidth="1"/>
    <col min="3" max="6" width="16" customWidth="1"/>
    <col min="7" max="7" width="20" customWidth="1"/>
  </cols>
  <sheetData>
    <row r="2" spans="2:7" ht="17.25" customHeight="1" x14ac:dyDescent="0.35">
      <c r="B2" s="59" t="s">
        <v>121</v>
      </c>
      <c r="C2" s="59"/>
      <c r="D2" s="59"/>
      <c r="E2" s="59"/>
      <c r="F2" s="59"/>
      <c r="G2" s="59"/>
    </row>
    <row r="4" spans="2:7" ht="17.25" customHeight="1" x14ac:dyDescent="0.25">
      <c r="B4" s="60" t="s">
        <v>122</v>
      </c>
      <c r="C4" s="60"/>
      <c r="D4" s="60"/>
      <c r="E4" s="60"/>
      <c r="F4" s="60"/>
      <c r="G4" s="60"/>
    </row>
    <row r="5" spans="2:7" ht="15" customHeight="1" x14ac:dyDescent="0.25">
      <c r="B5" s="24" t="s">
        <v>123</v>
      </c>
      <c r="C5" s="24" t="s">
        <v>124</v>
      </c>
      <c r="D5" s="24" t="s">
        <v>125</v>
      </c>
      <c r="E5" s="24" t="s">
        <v>333</v>
      </c>
      <c r="F5" s="24" t="s">
        <v>126</v>
      </c>
      <c r="G5" s="24" t="s">
        <v>127</v>
      </c>
    </row>
    <row r="6" spans="2:7" ht="27.75" customHeight="1" x14ac:dyDescent="0.25">
      <c r="B6" s="25" t="s">
        <v>128</v>
      </c>
      <c r="C6" s="47">
        <v>483</v>
      </c>
      <c r="D6" s="25" t="s">
        <v>334</v>
      </c>
      <c r="E6" s="6"/>
      <c r="F6" s="25" t="s">
        <v>335</v>
      </c>
      <c r="G6" s="46" t="s">
        <v>47</v>
      </c>
    </row>
    <row r="7" spans="2:7" ht="27.75" customHeight="1" x14ac:dyDescent="0.25">
      <c r="B7" s="25" t="s">
        <v>129</v>
      </c>
      <c r="C7" s="47">
        <v>551</v>
      </c>
      <c r="D7" s="25" t="s">
        <v>336</v>
      </c>
      <c r="E7" s="26">
        <v>2717169</v>
      </c>
      <c r="F7" s="25" t="s">
        <v>337</v>
      </c>
      <c r="G7" s="46" t="s">
        <v>130</v>
      </c>
    </row>
    <row r="8" spans="2:7" ht="15" customHeight="1" x14ac:dyDescent="0.25">
      <c r="B8" s="25" t="s">
        <v>131</v>
      </c>
      <c r="C8" s="47">
        <v>655</v>
      </c>
      <c r="D8" s="25" t="s">
        <v>338</v>
      </c>
      <c r="E8" s="6"/>
      <c r="F8" s="25" t="s">
        <v>339</v>
      </c>
      <c r="G8" s="33" t="s">
        <v>132</v>
      </c>
    </row>
    <row r="9" spans="2:7" ht="25.5" customHeight="1" x14ac:dyDescent="0.25">
      <c r="B9" s="25" t="s">
        <v>133</v>
      </c>
      <c r="C9" s="47">
        <v>293</v>
      </c>
      <c r="D9" s="25" t="s">
        <v>134</v>
      </c>
      <c r="E9" s="6"/>
      <c r="F9" s="25" t="s">
        <v>340</v>
      </c>
      <c r="G9" s="33" t="s">
        <v>132</v>
      </c>
    </row>
    <row r="10" spans="2:7" ht="27.75" customHeight="1" x14ac:dyDescent="0.25">
      <c r="B10" s="25" t="s">
        <v>135</v>
      </c>
      <c r="C10" s="47">
        <v>812</v>
      </c>
      <c r="D10" s="25" t="s">
        <v>341</v>
      </c>
      <c r="E10" s="26">
        <v>1631827</v>
      </c>
      <c r="F10" s="25" t="s">
        <v>342</v>
      </c>
      <c r="G10" s="46" t="s">
        <v>47</v>
      </c>
    </row>
    <row r="11" spans="2:7" ht="27.75" customHeight="1" x14ac:dyDescent="0.25">
      <c r="B11" s="25" t="s">
        <v>136</v>
      </c>
      <c r="C11" s="47">
        <v>89</v>
      </c>
      <c r="D11" s="25" t="s">
        <v>343</v>
      </c>
      <c r="E11" s="6"/>
      <c r="F11" s="25" t="s">
        <v>344</v>
      </c>
      <c r="G11" s="46" t="s">
        <v>47</v>
      </c>
    </row>
    <row r="12" spans="2:7" ht="27.75" customHeight="1" x14ac:dyDescent="0.25">
      <c r="B12" s="25" t="s">
        <v>137</v>
      </c>
      <c r="C12" s="47">
        <v>31</v>
      </c>
      <c r="D12" s="25" t="s">
        <v>345</v>
      </c>
      <c r="E12" s="6"/>
      <c r="F12" s="25" t="s">
        <v>346</v>
      </c>
      <c r="G12" s="43" t="s">
        <v>138</v>
      </c>
    </row>
    <row r="13" spans="2:7" ht="27.75" customHeight="1" x14ac:dyDescent="0.25">
      <c r="B13" s="25" t="s">
        <v>139</v>
      </c>
      <c r="C13" s="47">
        <v>391</v>
      </c>
      <c r="D13" s="25" t="s">
        <v>347</v>
      </c>
      <c r="E13" s="6"/>
      <c r="F13" s="25" t="s">
        <v>348</v>
      </c>
      <c r="G13" s="33" t="s">
        <v>132</v>
      </c>
    </row>
    <row r="14" spans="2:7" ht="15" customHeight="1" x14ac:dyDescent="0.25">
      <c r="B14" s="25" t="s">
        <v>140</v>
      </c>
      <c r="C14" s="47">
        <v>973</v>
      </c>
      <c r="D14" s="25" t="s">
        <v>141</v>
      </c>
      <c r="E14" s="6"/>
      <c r="F14" s="25" t="s">
        <v>349</v>
      </c>
      <c r="G14" s="46" t="s">
        <v>47</v>
      </c>
    </row>
    <row r="15" spans="2:7" ht="25.5" customHeight="1" x14ac:dyDescent="0.25">
      <c r="B15" s="25" t="s">
        <v>142</v>
      </c>
      <c r="C15" s="47">
        <v>47361</v>
      </c>
      <c r="D15" s="25" t="s">
        <v>350</v>
      </c>
      <c r="E15" s="6"/>
      <c r="F15" s="25" t="s">
        <v>351</v>
      </c>
      <c r="G15" s="33" t="s">
        <v>143</v>
      </c>
    </row>
    <row r="17" spans="2:7" ht="17.25" customHeight="1" x14ac:dyDescent="0.25">
      <c r="B17" s="60" t="s">
        <v>144</v>
      </c>
      <c r="C17" s="60"/>
      <c r="D17" s="60"/>
      <c r="E17" s="60"/>
      <c r="F17" s="60"/>
      <c r="G17" s="60"/>
    </row>
    <row r="18" spans="2:7" ht="27.75" customHeight="1" x14ac:dyDescent="0.25">
      <c r="B18" s="24" t="s">
        <v>145</v>
      </c>
      <c r="C18" s="24" t="s">
        <v>352</v>
      </c>
      <c r="D18" s="24" t="s">
        <v>353</v>
      </c>
      <c r="E18" s="24" t="s">
        <v>146</v>
      </c>
      <c r="F18" s="24" t="s">
        <v>147</v>
      </c>
      <c r="G18" s="24" t="s">
        <v>148</v>
      </c>
    </row>
    <row r="19" spans="2:7" ht="23.25" customHeight="1" x14ac:dyDescent="0.25">
      <c r="B19" s="48" t="s">
        <v>149</v>
      </c>
      <c r="C19" s="49">
        <v>2717169</v>
      </c>
      <c r="D19" s="49">
        <v>2717169</v>
      </c>
      <c r="E19" s="50">
        <f>C19-D19</f>
        <v>0</v>
      </c>
      <c r="F19" s="51">
        <f>IFERROR((C19-D19)/D19,0)</f>
        <v>0</v>
      </c>
      <c r="G19" s="48" t="s">
        <v>45</v>
      </c>
    </row>
    <row r="20" spans="2:7" ht="25.5" customHeight="1" x14ac:dyDescent="0.25">
      <c r="B20" s="25" t="s">
        <v>354</v>
      </c>
      <c r="C20" s="26">
        <v>2385710</v>
      </c>
      <c r="D20" s="26">
        <v>891773</v>
      </c>
      <c r="E20" s="32">
        <f>C20-D20</f>
        <v>1493937</v>
      </c>
      <c r="F20" s="27">
        <f>IFERROR((C20-D20)/D20,0)</f>
        <v>1.6752435877740188</v>
      </c>
      <c r="G20" s="25" t="s">
        <v>355</v>
      </c>
    </row>
    <row r="21" spans="2:7" ht="27.75" customHeight="1" x14ac:dyDescent="0.25">
      <c r="B21" s="25" t="s">
        <v>356</v>
      </c>
      <c r="C21" s="26">
        <v>101196</v>
      </c>
      <c r="D21" s="26">
        <v>598756</v>
      </c>
      <c r="E21" s="32">
        <f>C21-D21</f>
        <v>-497560</v>
      </c>
      <c r="F21" s="27">
        <f>IFERROR((C21-D21)/D21,0)</f>
        <v>-0.83098958507305143</v>
      </c>
      <c r="G21" s="25" t="s">
        <v>357</v>
      </c>
    </row>
    <row r="22" spans="2:7" ht="27.75" customHeight="1" x14ac:dyDescent="0.25">
      <c r="B22" s="25" t="s">
        <v>358</v>
      </c>
      <c r="C22" s="26">
        <v>194869</v>
      </c>
      <c r="D22" s="26">
        <v>1180722</v>
      </c>
      <c r="E22" s="32">
        <f>C22-D22</f>
        <v>-985853</v>
      </c>
      <c r="F22" s="27">
        <f>IFERROR((C22-D22)/D22,0)</f>
        <v>-0.83495776313137215</v>
      </c>
      <c r="G22" s="25" t="s">
        <v>359</v>
      </c>
    </row>
    <row r="23" spans="2:7" ht="27.75" customHeight="1" x14ac:dyDescent="0.25">
      <c r="B23" s="25" t="s">
        <v>360</v>
      </c>
      <c r="C23" s="26">
        <v>35394</v>
      </c>
      <c r="D23" s="6"/>
      <c r="E23" s="6"/>
      <c r="F23" s="6"/>
      <c r="G23" s="25" t="s">
        <v>361</v>
      </c>
    </row>
    <row r="25" spans="2:7" ht="17.25" customHeight="1" x14ac:dyDescent="0.25">
      <c r="B25" s="60" t="s">
        <v>150</v>
      </c>
      <c r="C25" s="60"/>
      <c r="D25" s="60"/>
      <c r="E25" s="60"/>
      <c r="F25" s="60"/>
      <c r="G25" s="60"/>
    </row>
    <row r="26" spans="2:7" ht="15" customHeight="1" x14ac:dyDescent="0.25">
      <c r="B26" s="24" t="s">
        <v>4</v>
      </c>
      <c r="C26" s="24" t="s">
        <v>6</v>
      </c>
      <c r="D26" s="61" t="s">
        <v>231</v>
      </c>
      <c r="E26" s="62"/>
      <c r="F26" s="62"/>
      <c r="G26" s="62"/>
    </row>
    <row r="27" spans="2:7" ht="48" customHeight="1" x14ac:dyDescent="0.25">
      <c r="B27" s="25" t="s">
        <v>362</v>
      </c>
      <c r="C27" s="46" t="s">
        <v>151</v>
      </c>
      <c r="D27" s="63" t="s">
        <v>363</v>
      </c>
      <c r="E27" s="84"/>
      <c r="F27" s="84"/>
      <c r="G27" s="84"/>
    </row>
    <row r="28" spans="2:7" ht="97.5" customHeight="1" x14ac:dyDescent="0.25">
      <c r="B28" s="25" t="s">
        <v>364</v>
      </c>
      <c r="C28" s="5" t="s">
        <v>152</v>
      </c>
      <c r="D28" s="63" t="s">
        <v>365</v>
      </c>
      <c r="E28" s="84"/>
      <c r="F28" s="84"/>
      <c r="G28" s="84"/>
    </row>
    <row r="29" spans="2:7" ht="48" customHeight="1" x14ac:dyDescent="0.25">
      <c r="B29" s="25" t="s">
        <v>366</v>
      </c>
      <c r="C29" s="46" t="s">
        <v>47</v>
      </c>
      <c r="D29" s="63" t="s">
        <v>367</v>
      </c>
      <c r="E29" s="84"/>
      <c r="F29" s="84"/>
      <c r="G29" s="84"/>
    </row>
    <row r="30" spans="2:7" ht="48" customHeight="1" x14ac:dyDescent="0.25">
      <c r="B30" s="25" t="s">
        <v>368</v>
      </c>
      <c r="C30" s="33" t="s">
        <v>153</v>
      </c>
      <c r="D30" s="63" t="s">
        <v>369</v>
      </c>
      <c r="E30" s="64"/>
      <c r="F30" s="64"/>
      <c r="G30" s="64"/>
    </row>
    <row r="31" spans="2:7" ht="48" customHeight="1" x14ac:dyDescent="0.25">
      <c r="B31" s="25" t="s">
        <v>370</v>
      </c>
      <c r="C31" s="33" t="s">
        <v>48</v>
      </c>
      <c r="D31" s="63" t="s">
        <v>371</v>
      </c>
      <c r="E31" s="64"/>
      <c r="F31" s="64"/>
      <c r="G31" s="64"/>
    </row>
    <row r="32" spans="2:7" ht="48" customHeight="1" x14ac:dyDescent="0.25">
      <c r="B32" s="25" t="s">
        <v>372</v>
      </c>
      <c r="C32" s="33" t="s">
        <v>132</v>
      </c>
      <c r="D32" s="63" t="s">
        <v>373</v>
      </c>
      <c r="E32" s="84"/>
      <c r="F32" s="84"/>
      <c r="G32" s="84"/>
    </row>
    <row r="33" spans="2:7" ht="48" customHeight="1" x14ac:dyDescent="0.25">
      <c r="B33" s="25" t="s">
        <v>374</v>
      </c>
      <c r="C33" s="33" t="s">
        <v>48</v>
      </c>
      <c r="D33" s="63" t="s">
        <v>375</v>
      </c>
      <c r="E33" s="84"/>
      <c r="F33" s="84"/>
      <c r="G33" s="84"/>
    </row>
  </sheetData>
  <mergeCells count="12">
    <mergeCell ref="D32:G32"/>
    <mergeCell ref="D33:G33"/>
    <mergeCell ref="D27:G27"/>
    <mergeCell ref="D28:G28"/>
    <mergeCell ref="D29:G29"/>
    <mergeCell ref="D30:G30"/>
    <mergeCell ref="D31:G31"/>
    <mergeCell ref="B2:G2"/>
    <mergeCell ref="B4:G4"/>
    <mergeCell ref="B17:G17"/>
    <mergeCell ref="B25:G25"/>
    <mergeCell ref="D26:G26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5"/>
  <sheetViews>
    <sheetView zoomScaleNormal="100" workbookViewId="0">
      <selection activeCell="C5" sqref="C5"/>
    </sheetView>
  </sheetViews>
  <sheetFormatPr defaultColWidth="8.7109375" defaultRowHeight="15" x14ac:dyDescent="0.25"/>
  <cols>
    <col min="1" max="1" width="3" customWidth="1"/>
    <col min="2" max="2" width="14.42578125" customWidth="1"/>
    <col min="3" max="3" width="32" customWidth="1"/>
    <col min="4" max="4" width="18" customWidth="1"/>
    <col min="5" max="5" width="16.7109375" customWidth="1"/>
    <col min="6" max="6" width="12" customWidth="1"/>
    <col min="7" max="7" width="30" customWidth="1"/>
  </cols>
  <sheetData>
    <row r="2" spans="2:7" ht="26.25" customHeight="1" x14ac:dyDescent="0.35">
      <c r="B2" s="59" t="s">
        <v>154</v>
      </c>
      <c r="C2" s="59"/>
      <c r="D2" s="59"/>
      <c r="E2" s="59"/>
      <c r="F2" s="59"/>
      <c r="G2" s="59"/>
    </row>
    <row r="4" spans="2:7" ht="15" customHeight="1" x14ac:dyDescent="0.25">
      <c r="B4" s="24" t="s">
        <v>3</v>
      </c>
      <c r="C4" s="24" t="s">
        <v>155</v>
      </c>
      <c r="D4" s="24" t="s">
        <v>156</v>
      </c>
      <c r="E4" s="24" t="s">
        <v>157</v>
      </c>
      <c r="F4" s="24" t="s">
        <v>158</v>
      </c>
      <c r="G4" s="24" t="s">
        <v>159</v>
      </c>
    </row>
    <row r="5" spans="2:7" ht="30" customHeight="1" x14ac:dyDescent="0.25">
      <c r="B5" s="33">
        <v>1</v>
      </c>
      <c r="C5" s="25" t="s">
        <v>376</v>
      </c>
      <c r="D5" s="25" t="s">
        <v>377</v>
      </c>
      <c r="E5" s="42" t="s">
        <v>118</v>
      </c>
      <c r="F5" s="33" t="s">
        <v>160</v>
      </c>
      <c r="G5" s="25" t="s">
        <v>378</v>
      </c>
    </row>
    <row r="6" spans="2:7" ht="42.75" customHeight="1" x14ac:dyDescent="0.25">
      <c r="B6" s="33">
        <v>2</v>
      </c>
      <c r="C6" s="25" t="s">
        <v>379</v>
      </c>
      <c r="D6" s="25" t="s">
        <v>380</v>
      </c>
      <c r="E6" s="42" t="s">
        <v>118</v>
      </c>
      <c r="F6" s="33" t="s">
        <v>161</v>
      </c>
      <c r="G6" s="25" t="s">
        <v>381</v>
      </c>
    </row>
    <row r="7" spans="2:7" ht="30" customHeight="1" x14ac:dyDescent="0.25">
      <c r="B7" s="33">
        <v>3</v>
      </c>
      <c r="C7" s="25" t="s">
        <v>382</v>
      </c>
      <c r="D7" s="25" t="s">
        <v>383</v>
      </c>
      <c r="E7" s="5" t="s">
        <v>162</v>
      </c>
      <c r="F7" s="33" t="s">
        <v>163</v>
      </c>
      <c r="G7" s="25" t="s">
        <v>384</v>
      </c>
    </row>
    <row r="8" spans="2:7" ht="30" customHeight="1" x14ac:dyDescent="0.25">
      <c r="B8" s="33">
        <v>4</v>
      </c>
      <c r="C8" s="25" t="s">
        <v>385</v>
      </c>
      <c r="D8" s="25" t="s">
        <v>377</v>
      </c>
      <c r="E8" s="5" t="s">
        <v>162</v>
      </c>
      <c r="F8" s="33" t="s">
        <v>164</v>
      </c>
      <c r="G8" s="25" t="s">
        <v>386</v>
      </c>
    </row>
    <row r="9" spans="2:7" ht="30" customHeight="1" x14ac:dyDescent="0.25">
      <c r="B9" s="33">
        <v>5</v>
      </c>
      <c r="C9" s="25" t="s">
        <v>387</v>
      </c>
      <c r="D9" s="25" t="s">
        <v>165</v>
      </c>
      <c r="E9" s="43" t="s">
        <v>119</v>
      </c>
      <c r="F9" s="33" t="s">
        <v>166</v>
      </c>
      <c r="G9" s="25" t="s">
        <v>388</v>
      </c>
    </row>
    <row r="10" spans="2:7" ht="30" customHeight="1" x14ac:dyDescent="0.25">
      <c r="B10" s="33">
        <v>6</v>
      </c>
      <c r="C10" s="25" t="s">
        <v>389</v>
      </c>
      <c r="D10" s="25" t="s">
        <v>390</v>
      </c>
      <c r="E10" s="43" t="s">
        <v>119</v>
      </c>
      <c r="F10" s="33" t="s">
        <v>164</v>
      </c>
      <c r="G10" s="25" t="s">
        <v>391</v>
      </c>
    </row>
    <row r="11" spans="2:7" ht="30" customHeight="1" x14ac:dyDescent="0.25">
      <c r="B11" s="33">
        <v>7</v>
      </c>
      <c r="C11" s="25" t="s">
        <v>392</v>
      </c>
      <c r="D11" s="25" t="s">
        <v>393</v>
      </c>
      <c r="E11" s="33" t="s">
        <v>48</v>
      </c>
      <c r="F11" s="33" t="s">
        <v>167</v>
      </c>
      <c r="G11" s="25" t="s">
        <v>394</v>
      </c>
    </row>
    <row r="12" spans="2:7" ht="30" customHeight="1" x14ac:dyDescent="0.25">
      <c r="B12" s="33">
        <v>8</v>
      </c>
      <c r="C12" s="25" t="s">
        <v>395</v>
      </c>
      <c r="D12" s="25" t="s">
        <v>396</v>
      </c>
      <c r="E12" s="43" t="s">
        <v>119</v>
      </c>
      <c r="F12" s="33" t="s">
        <v>167</v>
      </c>
      <c r="G12" s="25" t="s">
        <v>397</v>
      </c>
    </row>
    <row r="13" spans="2:7" ht="30" customHeight="1" x14ac:dyDescent="0.25">
      <c r="B13" s="33">
        <v>9</v>
      </c>
      <c r="C13" s="25" t="s">
        <v>398</v>
      </c>
      <c r="D13" s="25" t="s">
        <v>165</v>
      </c>
      <c r="E13" s="33" t="s">
        <v>48</v>
      </c>
      <c r="F13" s="33" t="s">
        <v>168</v>
      </c>
      <c r="G13" s="25" t="s">
        <v>399</v>
      </c>
    </row>
    <row r="14" spans="2:7" ht="30" customHeight="1" x14ac:dyDescent="0.25">
      <c r="B14" s="33">
        <v>10</v>
      </c>
      <c r="C14" s="25" t="s">
        <v>400</v>
      </c>
      <c r="D14" s="25" t="s">
        <v>165</v>
      </c>
      <c r="E14" s="33" t="s">
        <v>48</v>
      </c>
      <c r="F14" s="33" t="s">
        <v>401</v>
      </c>
      <c r="G14" s="25" t="s">
        <v>402</v>
      </c>
    </row>
    <row r="17" spans="2:7" ht="17.25" customHeight="1" x14ac:dyDescent="0.25">
      <c r="B17" s="60" t="s">
        <v>169</v>
      </c>
      <c r="C17" s="60"/>
      <c r="D17" s="60"/>
      <c r="E17" s="60"/>
      <c r="F17" s="60"/>
      <c r="G17" s="60"/>
    </row>
    <row r="18" spans="2:7" ht="15" customHeight="1" x14ac:dyDescent="0.25">
      <c r="B18" s="24" t="s">
        <v>4</v>
      </c>
      <c r="C18" s="24" t="s">
        <v>403</v>
      </c>
      <c r="D18" s="24" t="s">
        <v>170</v>
      </c>
      <c r="E18" s="61" t="s">
        <v>171</v>
      </c>
      <c r="F18" s="62"/>
      <c r="G18" s="7"/>
    </row>
    <row r="19" spans="2:7" ht="15" customHeight="1" x14ac:dyDescent="0.25">
      <c r="B19" s="25" t="s">
        <v>172</v>
      </c>
      <c r="C19" s="47" t="s">
        <v>173</v>
      </c>
      <c r="D19" s="47" t="s">
        <v>404</v>
      </c>
      <c r="E19" s="63" t="s">
        <v>174</v>
      </c>
      <c r="F19" s="64"/>
      <c r="G19" s="64"/>
    </row>
    <row r="20" spans="2:7" ht="15" customHeight="1" x14ac:dyDescent="0.25">
      <c r="B20" s="25" t="s">
        <v>175</v>
      </c>
      <c r="C20" s="47" t="s">
        <v>176</v>
      </c>
      <c r="D20" s="47" t="s">
        <v>405</v>
      </c>
      <c r="E20" s="63" t="s">
        <v>406</v>
      </c>
      <c r="F20" s="64"/>
      <c r="G20" s="64"/>
    </row>
    <row r="21" spans="2:7" ht="15" customHeight="1" x14ac:dyDescent="0.25">
      <c r="B21" s="37" t="s">
        <v>177</v>
      </c>
      <c r="C21" s="52" t="s">
        <v>178</v>
      </c>
      <c r="D21" s="52" t="s">
        <v>407</v>
      </c>
      <c r="E21" s="65" t="s">
        <v>408</v>
      </c>
      <c r="F21" s="66"/>
      <c r="G21" s="66"/>
    </row>
    <row r="22" spans="2:7" ht="15" customHeight="1" x14ac:dyDescent="0.25">
      <c r="B22" s="37" t="s">
        <v>179</v>
      </c>
      <c r="C22" s="52" t="s">
        <v>180</v>
      </c>
      <c r="D22" s="52" t="s">
        <v>409</v>
      </c>
      <c r="E22" s="65" t="s">
        <v>410</v>
      </c>
      <c r="F22" s="67"/>
      <c r="G22" s="67"/>
    </row>
    <row r="23" spans="2:7" ht="34.5" customHeight="1" x14ac:dyDescent="0.25">
      <c r="B23" s="25" t="s">
        <v>181</v>
      </c>
      <c r="C23" s="47" t="s">
        <v>182</v>
      </c>
      <c r="D23" s="47" t="s">
        <v>411</v>
      </c>
      <c r="E23" s="63" t="s">
        <v>412</v>
      </c>
      <c r="F23" s="64"/>
      <c r="G23" s="64"/>
    </row>
    <row r="24" spans="2:7" ht="34.5" customHeight="1" x14ac:dyDescent="0.25">
      <c r="B24" s="37" t="s">
        <v>183</v>
      </c>
      <c r="C24" s="52" t="s">
        <v>184</v>
      </c>
      <c r="D24" s="52" t="s">
        <v>413</v>
      </c>
      <c r="E24" s="65" t="s">
        <v>185</v>
      </c>
      <c r="F24" s="67"/>
      <c r="G24" s="67"/>
    </row>
    <row r="25" spans="2:7" ht="34.5" customHeight="1" x14ac:dyDescent="0.25">
      <c r="B25" s="44" t="s">
        <v>26</v>
      </c>
      <c r="C25" s="53" t="s">
        <v>186</v>
      </c>
      <c r="D25" s="53" t="s">
        <v>414</v>
      </c>
      <c r="E25" s="68" t="s">
        <v>415</v>
      </c>
      <c r="F25" s="69"/>
      <c r="G25" s="69"/>
    </row>
  </sheetData>
  <mergeCells count="10">
    <mergeCell ref="E21:G21"/>
    <mergeCell ref="E22:G22"/>
    <mergeCell ref="E23:G23"/>
    <mergeCell ref="E24:G24"/>
    <mergeCell ref="E25:G25"/>
    <mergeCell ref="B2:G2"/>
    <mergeCell ref="B17:G17"/>
    <mergeCell ref="E18:F18"/>
    <mergeCell ref="E19:G19"/>
    <mergeCell ref="E20:G20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1.Summary</vt:lpstr>
      <vt:lpstr>2.재료비분석</vt:lpstr>
      <vt:lpstr>3.인건비분석</vt:lpstr>
      <vt:lpstr>4.경비분석</vt:lpstr>
      <vt:lpstr>5.원가계산검증</vt:lpstr>
      <vt:lpstr>6.Action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2026-05-11T03:04:48Z</dcterms:created>
  <dcterms:modified xsi:type="dcterms:W3CDTF">2026-05-12T12:04:50Z</dcterms:modified>
  <dc:language>en-US</dc:language>
</cp:coreProperties>
</file>