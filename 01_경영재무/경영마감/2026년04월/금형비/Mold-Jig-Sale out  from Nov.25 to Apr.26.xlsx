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1_경영재무/경영마감/2026년04월/금형비/"/>
    </mc:Choice>
  </mc:AlternateContent>
  <xr:revisionPtr revIDLastSave="3" documentId="11_25FECC43E2E9435D0214BBD47488E7AAB70F2A31" xr6:coauthVersionLast="47" xr6:coauthVersionMax="47" xr10:uidLastSave="{13C400A3-2AC1-448A-895E-116E6D5CD6EB}"/>
  <bookViews>
    <workbookView xWindow="-120" yWindow="-120" windowWidth="29040" windowHeight="15720" activeTab="1" xr2:uid="{00000000-000D-0000-FFFF-FFFF00000000}"/>
  </bookViews>
  <sheets>
    <sheet name="Report" sheetId="2" r:id="rId1"/>
    <sheet name="Data sale - Mold&amp;Jig Nov-Apr" sheetId="1" r:id="rId2"/>
  </sheets>
  <definedNames>
    <definedName name="_xlnm._FilterDatabase" localSheetId="1" hidden="1">'Data sale - Mold&amp;Jig Nov-Apr'!$A$1:$U$58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L45" i="1"/>
  <c r="N45" i="1" s="1"/>
  <c r="L36" i="1"/>
  <c r="N36" i="1" s="1"/>
  <c r="O36" i="1"/>
</calcChain>
</file>

<file path=xl/sharedStrings.xml><?xml version="1.0" encoding="utf-8"?>
<sst xmlns="http://schemas.openxmlformats.org/spreadsheetml/2006/main" count="583" uniqueCount="172">
  <si>
    <t>Name</t>
  </si>
  <si>
    <t>Month</t>
  </si>
  <si>
    <t>Month 2</t>
  </si>
  <si>
    <t>Category</t>
  </si>
  <si>
    <t>Class</t>
  </si>
  <si>
    <t>ITEM</t>
  </si>
  <si>
    <t>Sales Q'ty</t>
  </si>
  <si>
    <t>Price</t>
  </si>
  <si>
    <t>Exchange Rate</t>
  </si>
  <si>
    <t>Amount
(VND)</t>
  </si>
  <si>
    <t>Price
USD</t>
  </si>
  <si>
    <t>Price
VND</t>
  </si>
  <si>
    <t>Gross Margin (USD)</t>
  </si>
  <si>
    <t>Gross Margin rate
%</t>
  </si>
  <si>
    <t>Note</t>
  </si>
  <si>
    <t>Mold</t>
  </si>
  <si>
    <t>LG INNOTEK CO.LTD(LGIT YT AT YANTAI)</t>
  </si>
  <si>
    <t>202511</t>
  </si>
  <si>
    <t>LGIT</t>
  </si>
  <si>
    <t>901360</t>
  </si>
  <si>
    <t>Mold Die casting MQ4a PE Housing #10, 1 CAV (Full set)/Khuôn đúc MQ4a PE housing #10</t>
  </si>
  <si>
    <t>Trading</t>
  </si>
  <si>
    <t>901359</t>
  </si>
  <si>
    <t>Mold Die casting MQ4a PE Housing #9, 1 CAV (Full set)/Khuôn đúc MQ4a PE Housing #9</t>
  </si>
  <si>
    <t>901218</t>
  </si>
  <si>
    <t>Mold die casting, khuôn đúc, CL4 COVER #3</t>
  </si>
  <si>
    <t>140310</t>
  </si>
  <si>
    <t>PK Mold LGIT- MPC5.5 Back up  #8 Die casting tool</t>
  </si>
  <si>
    <t>140323</t>
  </si>
  <si>
    <t>PK Mold LGIT- MPC5.5 Back up  #9 - Die casting</t>
  </si>
  <si>
    <t>LG INNOTEK MEXICO, S.A. DE C.V.</t>
  </si>
  <si>
    <t>901302</t>
  </si>
  <si>
    <t>Mold Die Casting_LQ2 EK COVER #1/Khuôn Sung Hwa LQ2 EK COVER #1</t>
  </si>
  <si>
    <t>ZF AUTOMOTIVE UK LIMITED</t>
  </si>
  <si>
    <t>ZF</t>
  </si>
  <si>
    <t>901378</t>
  </si>
  <si>
    <t>Mold Die casting ZF IPM 2.0 Housing Advance Lite 1CAV (Fullset)/ Khuôn đúc nhôm</t>
  </si>
  <si>
    <t>M&amp;C MFG.(SINGAPORE)PTE.LTD</t>
  </si>
  <si>
    <t>Qualcomm ( Mobile)</t>
  </si>
  <si>
    <t>901415</t>
  </si>
  <si>
    <t>Injection Mold 55-91279-1_Rear Camera 1CAV (Fullset)</t>
  </si>
  <si>
    <t>901414</t>
  </si>
  <si>
    <t>Jig insert NUT  55-92179-1 M1.4x0.3  Injection / Đồ gá dập ốc từ đúc nhựa</t>
  </si>
  <si>
    <t>CÔNG TY TNHH INTOPS VIỆT NAM</t>
  </si>
  <si>
    <t>202512</t>
  </si>
  <si>
    <t>Samsung Others</t>
  </si>
  <si>
    <t>714658</t>
  </si>
  <si>
    <t>Jig bàn xoay AL6061</t>
  </si>
  <si>
    <t>784897</t>
  </si>
  <si>
    <t>SM- A176B BRACKET Degating mold/ Khuôn cắt gate SM- A176B BRACKET</t>
  </si>
  <si>
    <t>784896</t>
  </si>
  <si>
    <t>SM- A176B BRACKET DIE CASTING MOLD 2CAV (FULL SET)/ Khuôn đúc nhôm SM- A176B BRACKET</t>
  </si>
  <si>
    <t>784898</t>
  </si>
  <si>
    <t>SM- A176B BRACKET Trimming mold/ Khuôn dập SM- A176B BRACKET</t>
  </si>
  <si>
    <t>CÔNG TY TNHH MOBASE VIỆT NAM</t>
  </si>
  <si>
    <t>784923</t>
  </si>
  <si>
    <t>SM- A176B BRACKET Trimming mold/ Khuôn dập SM- A176B BRACKET / Maker: SONGJIA</t>
  </si>
  <si>
    <t>HYOSEONG ELECTRIC CO., LTD</t>
  </si>
  <si>
    <t>HYOSEONG</t>
  </si>
  <si>
    <t>140389</t>
  </si>
  <si>
    <t>Mold MQ4 B/COVER</t>
  </si>
  <si>
    <t>MANDO BROSE CORPORATION</t>
  </si>
  <si>
    <t>Mando</t>
  </si>
  <si>
    <t>901368</t>
  </si>
  <si>
    <t>Mold Die casting JK1 Housing - LHD 1 CAV (Full set) #1, Material: DAC MAGIC</t>
  </si>
  <si>
    <t>901367</t>
  </si>
  <si>
    <t>Mold Die casting JK1 Housing - RHD 1 CAV (Full set) #1, Material: DAC MAGIC</t>
  </si>
  <si>
    <t>202601</t>
  </si>
  <si>
    <t>901370</t>
  </si>
  <si>
    <t>Mold Die casting CL4  Housing  1 CAV (Full set) #16</t>
  </si>
  <si>
    <t>Mold-Jig Trading</t>
  </si>
  <si>
    <t>202602</t>
  </si>
  <si>
    <t>901433</t>
  </si>
  <si>
    <t>132-8032-006 _VF Grip_Low Light_C6 INJECTION MOLD - Material : NAK80</t>
  </si>
  <si>
    <t>901435</t>
  </si>
  <si>
    <t>132-8032-006, VF Grip, Low Light, C6, RevA, 11-10-25 Silicone Mold</t>
  </si>
  <si>
    <t>901371</t>
  </si>
  <si>
    <t>Mold Die casting CL4  Housing  1 CAV (Full set) #17</t>
  </si>
  <si>
    <t>901421</t>
  </si>
  <si>
    <t>Mold Die Casting eK LQ2 Cover #2</t>
  </si>
  <si>
    <t>901431</t>
  </si>
  <si>
    <t>135-8837-003_ISW ANTENNA ENCLOSURE , FRONT SENSORS, C3  INJECTION MOLD (2nd INJECTION)</t>
  </si>
  <si>
    <t>901430</t>
  </si>
  <si>
    <t>135-8837-003_ISW ANTENNA ENCLOSURE, FRONT SENSORS, C3  INJECTION MOLD (1ST INJECTION)</t>
  </si>
  <si>
    <t>901436</t>
  </si>
  <si>
    <t>136-2429-002, Button Membrane, Front UI, C2, RevA Silicone Mold</t>
  </si>
  <si>
    <t>901434</t>
  </si>
  <si>
    <t>136-2429-002_ Button Membrane_ Front UI_ C2 INJECTION MOLD</t>
  </si>
  <si>
    <t>901432</t>
  </si>
  <si>
    <t>142-7607-002 LOW LIGHT SENSOR BAR INJECTION MOLD</t>
  </si>
  <si>
    <t>901437</t>
  </si>
  <si>
    <t>143-0466-001 _ BODY COMPUTE_ANTENNA_CAPS _ LEFT &amp; RIGHT_INJECTION MOLD 2525</t>
  </si>
  <si>
    <t>785015</t>
  </si>
  <si>
    <t>Oring Mold for P/N: 143-8808-001-A03 &amp; 143-6225-001-A04</t>
  </si>
  <si>
    <t>CÔNG TY TNHH ELENTEC VIỆT NAM</t>
  </si>
  <si>
    <t>202603</t>
  </si>
  <si>
    <t>785059</t>
  </si>
  <si>
    <t>Flatness Sensor Jig ( 25 point LVDT)/ Đồ gá kiểm tra độ phẳng sản phẩm A376B</t>
  </si>
  <si>
    <t>785058</t>
  </si>
  <si>
    <t>Jig Hotpress A37</t>
  </si>
  <si>
    <t>140408</t>
  </si>
  <si>
    <t>PK JIG - Flatness Go/No Jig after bending -평탄 검사 고노 지그 (LVDT 전) (dụng cụ kiểm tra mặt phẳng sản phẩm ) A376 (02)</t>
  </si>
  <si>
    <t>140404</t>
  </si>
  <si>
    <t>PK JIG - Flatness Go/No Jig after bending -평탄 검사 고노 지그 (LVDT 전) (dụng cụ kiểm tra mặt phẳng sản phẩm )A376</t>
  </si>
  <si>
    <t>140406</t>
  </si>
  <si>
    <t>PK JIG - LOCATION Jig Check usb, Simtray (đồ gá kiểm tra vị trí khe cắm sạc, và khe sim sản phẩm) A376</t>
  </si>
  <si>
    <t>140417</t>
  </si>
  <si>
    <t>PK JIG - Test Resistance Jig ( 22point Ω) Đồ gá bằng thép kiểm tra điện trở cho sản phẩm A376B</t>
  </si>
  <si>
    <t>140405</t>
  </si>
  <si>
    <t>PK JIG check width after trimming (dụng cụ kiểm tra độ rộng) A376</t>
  </si>
  <si>
    <t>140407</t>
  </si>
  <si>
    <t>PK JIG check width after trimming (dụng cụ kiểm tra độ rộng) A376 (02)</t>
  </si>
  <si>
    <t>140403</t>
  </si>
  <si>
    <t>PK LJIG check camera (đồ gá kiểm tra kích thước camera) A376</t>
  </si>
  <si>
    <t>140410</t>
  </si>
  <si>
    <t>PK LJIG check camera (đồ gá kiểm tra kích thước camera) A376 (02)</t>
  </si>
  <si>
    <t>784985</t>
  </si>
  <si>
    <t>SM- A376B SIMTRAY, USB CHECK JIG</t>
  </si>
  <si>
    <t>901406</t>
  </si>
  <si>
    <t>Mold Die Casting GEN3 AL5 HOUSING #12</t>
  </si>
  <si>
    <t>901372</t>
  </si>
  <si>
    <t>Mold Die casting MQ4aPE  Housing  1 CAV (Full set) #11</t>
  </si>
  <si>
    <t>140354</t>
  </si>
  <si>
    <t>PK Mold LGIT-  MQ4 COVER #4 Back up- Die casting tool</t>
  </si>
  <si>
    <t>202604</t>
  </si>
  <si>
    <t>901424</t>
  </si>
  <si>
    <t>ME1a HOUSING_MCT Jig</t>
  </si>
  <si>
    <t>901423</t>
  </si>
  <si>
    <t>ME1a, MV1a HSG - CMM Jig</t>
  </si>
  <si>
    <t>901438</t>
  </si>
  <si>
    <t>Mold Die Casting _ME1a-HOUSING #1</t>
  </si>
  <si>
    <t>901462</t>
  </si>
  <si>
    <t>147-9222-001_A-SIDE SHIELD LEFT &amp; RIGHT_ BUCK HMD INJECTION MOLD</t>
  </si>
  <si>
    <t>901464</t>
  </si>
  <si>
    <t>148-3197-002 _ Mission Shield Carrier INJECTION MOLD</t>
  </si>
  <si>
    <t>901465</t>
  </si>
  <si>
    <t>148-3197-002 _ Mission Shield Carrier TRIMMING MOLD</t>
  </si>
  <si>
    <t>785060</t>
  </si>
  <si>
    <t>150-3554-001_SILICONE NOSE PAD _ SILICONE MOLD</t>
  </si>
  <si>
    <t>901463</t>
  </si>
  <si>
    <t>150-6455-001 Temple Arm_ LEFT &amp; RIGHT  INJECTION MOLD</t>
  </si>
  <si>
    <t>785061</t>
  </si>
  <si>
    <t>151-9798-001_bungee (Left + Right) _ SILICONE MOLD</t>
  </si>
  <si>
    <t>901460</t>
  </si>
  <si>
    <t>LT2 Housing - CMM Jig</t>
  </si>
  <si>
    <t>Nov-2025</t>
  </si>
  <si>
    <t>Dec-2025</t>
  </si>
  <si>
    <t>Jan-2026</t>
  </si>
  <si>
    <t>Feb-2026</t>
  </si>
  <si>
    <t>Mar-2026</t>
  </si>
  <si>
    <t>Apr-2026</t>
  </si>
  <si>
    <t>Jig-Homemade</t>
  </si>
  <si>
    <t>Jig-Purchase</t>
  </si>
  <si>
    <t>Mold-purchase</t>
  </si>
  <si>
    <t>Mold-Homemade</t>
  </si>
  <si>
    <t>Grand Total</t>
  </si>
  <si>
    <t>Values</t>
  </si>
  <si>
    <t>CÔNG TY TNHH ELENTEC VIỆT NAM Total</t>
  </si>
  <si>
    <t>CÔNG TY TNHH INTOPS VIỆT NAM Total</t>
  </si>
  <si>
    <t>CÔNG TY TNHH MOBASE VIỆT NAM Total</t>
  </si>
  <si>
    <t>HYOSEONG ELECTRIC CO., LTD Total</t>
  </si>
  <si>
    <t>LG INNOTEK CO.LTD(LGIT YT AT YANTAI) Total</t>
  </si>
  <si>
    <t>LG INNOTEK MEXICO, S.A. DE C.V. Total</t>
  </si>
  <si>
    <t>M&amp;C MFG.(SINGAPORE)PTE.LTD Total</t>
  </si>
  <si>
    <t>MANDO BROSE CORPORATION Total</t>
  </si>
  <si>
    <t>ZF AUTOMOTIVE UK LIMITED Total</t>
  </si>
  <si>
    <t xml:space="preserve"> Sales Q'ty</t>
  </si>
  <si>
    <t>Sale amount</t>
  </si>
  <si>
    <t>COGS amount</t>
  </si>
  <si>
    <t xml:space="preserve"> Sale amount</t>
  </si>
  <si>
    <t>Total  Sales Q'ty</t>
  </si>
  <si>
    <t>Total  Sale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</si>
</sst>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 * #,##0.00_ ;_ * \-#,##0.00_ ;_ * &quot;-&quot;??_ ;_ @_ "/>
    <numFmt numFmtId="179" formatCode="_(* #,##0_);_(* \(#,##0\);_(* &quot;-&quot;??_);_(@_)"/>
  </numFmts>
  <fonts count="19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1"/>
      <color theme="1"/>
      <name val="맑은 고딕"/>
      <family val="2"/>
      <charset val="134"/>
      <scheme val="minor"/>
    </font>
    <font>
      <b/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color rgb="FF000000"/>
      <name val="Times New Roman"/>
      <family val="1"/>
    </font>
    <font>
      <sz val="11"/>
      <color theme="1"/>
      <name val="맑은 고딕"/>
      <family val="3"/>
      <charset val="134"/>
      <scheme val="minor"/>
    </font>
    <font>
      <sz val="11"/>
      <name val="맑은 고딕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1"/>
      <color rgb="FF0070C0"/>
      <name val="맑은 고딕"/>
      <family val="2"/>
      <scheme val="minor"/>
    </font>
    <font>
      <sz val="11"/>
      <color rgb="FFC0000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6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4" fillId="0" borderId="0">
      <alignment vertical="center"/>
    </xf>
    <xf numFmtId="178" fontId="4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05">
    <xf numFmtId="0" fontId="0" fillId="0" borderId="0" xfId="0"/>
    <xf numFmtId="3" fontId="5" fillId="2" borderId="1" xfId="5" applyNumberFormat="1" applyFont="1" applyFill="1" applyBorder="1" applyAlignment="1">
      <alignment horizontal="left" vertical="center"/>
    </xf>
    <xf numFmtId="3" fontId="5" fillId="2" borderId="1" xfId="5" applyNumberFormat="1" applyFont="1" applyFill="1" applyBorder="1">
      <alignment vertical="center"/>
    </xf>
    <xf numFmtId="3" fontId="7" fillId="2" borderId="1" xfId="4" applyNumberFormat="1" applyFont="1" applyFill="1" applyBorder="1" applyAlignment="1">
      <alignment horizontal="center" vertical="center"/>
    </xf>
    <xf numFmtId="179" fontId="7" fillId="2" borderId="1" xfId="1" applyNumberFormat="1" applyFont="1" applyFill="1" applyBorder="1" applyAlignment="1">
      <alignment horizontal="center" vertical="center"/>
    </xf>
    <xf numFmtId="179" fontId="7" fillId="2" borderId="1" xfId="1" applyNumberFormat="1" applyFont="1" applyFill="1" applyBorder="1" applyAlignment="1">
      <alignment vertical="center"/>
    </xf>
    <xf numFmtId="0" fontId="9" fillId="2" borderId="1" xfId="3" applyFont="1" applyFill="1" applyBorder="1">
      <alignment vertical="center"/>
    </xf>
    <xf numFmtId="0" fontId="11" fillId="0" borderId="3" xfId="5" applyFont="1" applyBorder="1" applyAlignment="1">
      <alignment horizontal="center" vertical="center"/>
    </xf>
    <xf numFmtId="9" fontId="6" fillId="4" borderId="2" xfId="5" applyNumberFormat="1" applyFill="1" applyBorder="1" applyAlignment="1">
      <alignment horizontal="center" vertical="center"/>
    </xf>
    <xf numFmtId="4" fontId="11" fillId="4" borderId="2" xfId="3" applyNumberFormat="1" applyFont="1" applyFill="1" applyBorder="1">
      <alignment vertical="center"/>
    </xf>
    <xf numFmtId="0" fontId="2" fillId="4" borderId="2" xfId="0" applyFont="1" applyFill="1" applyBorder="1" applyAlignment="1">
      <alignment horizontal="left" vertical="center"/>
    </xf>
    <xf numFmtId="178" fontId="11" fillId="4" borderId="2" xfId="4" quotePrefix="1" applyFont="1" applyFill="1" applyBorder="1" applyAlignment="1">
      <alignment horizontal="center" vertical="center"/>
    </xf>
    <xf numFmtId="179" fontId="6" fillId="4" borderId="3" xfId="1" applyNumberFormat="1" applyFont="1" applyFill="1" applyBorder="1" applyAlignment="1">
      <alignment horizontal="center" vertical="center"/>
    </xf>
    <xf numFmtId="179" fontId="12" fillId="4" borderId="2" xfId="1" applyNumberFormat="1" applyFont="1" applyFill="1" applyBorder="1" applyAlignment="1">
      <alignment horizontal="center"/>
    </xf>
    <xf numFmtId="4" fontId="3" fillId="4" borderId="2" xfId="3" applyNumberFormat="1" applyFont="1" applyFill="1" applyBorder="1">
      <alignment vertical="center"/>
    </xf>
    <xf numFmtId="179" fontId="6" fillId="0" borderId="3" xfId="1" applyNumberFormat="1" applyFont="1" applyFill="1" applyBorder="1" applyAlignment="1">
      <alignment vertical="center"/>
    </xf>
    <xf numFmtId="0" fontId="0" fillId="4" borderId="2" xfId="0" applyFill="1" applyBorder="1"/>
    <xf numFmtId="179" fontId="6" fillId="4" borderId="2" xfId="1" applyNumberFormat="1" applyFont="1" applyFill="1" applyBorder="1" applyAlignment="1"/>
    <xf numFmtId="0" fontId="11" fillId="4" borderId="2" xfId="5" applyFont="1" applyFill="1" applyBorder="1" applyAlignment="1">
      <alignment horizontal="center"/>
    </xf>
    <xf numFmtId="0" fontId="13" fillId="4" borderId="2" xfId="0" applyFont="1" applyFill="1" applyBorder="1"/>
    <xf numFmtId="179" fontId="13" fillId="4" borderId="2" xfId="1" applyNumberFormat="1" applyFont="1" applyFill="1" applyBorder="1" applyAlignment="1">
      <alignment vertical="center"/>
    </xf>
    <xf numFmtId="3" fontId="5" fillId="2" borderId="1" xfId="4" applyNumberFormat="1" applyFont="1" applyFill="1" applyBorder="1" applyAlignment="1">
      <alignment horizontal="center" vertical="center"/>
    </xf>
    <xf numFmtId="3" fontId="8" fillId="2" borderId="1" xfId="4" applyNumberFormat="1" applyFont="1" applyFill="1" applyBorder="1" applyAlignment="1">
      <alignment horizontal="center" vertical="center"/>
    </xf>
    <xf numFmtId="179" fontId="8" fillId="2" borderId="1" xfId="1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179" fontId="6" fillId="4" borderId="2" xfId="1" applyNumberFormat="1" applyFont="1" applyFill="1" applyBorder="1" applyAlignment="1">
      <alignment vertical="center"/>
    </xf>
    <xf numFmtId="179" fontId="6" fillId="4" borderId="2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 vertical="center"/>
    </xf>
    <xf numFmtId="179" fontId="6" fillId="0" borderId="2" xfId="1" applyNumberFormat="1" applyFont="1" applyFill="1" applyBorder="1" applyAlignment="1">
      <alignment vertical="center"/>
    </xf>
    <xf numFmtId="179" fontId="6" fillId="0" borderId="3" xfId="1" applyNumberFormat="1" applyFont="1" applyFill="1" applyBorder="1" applyAlignment="1">
      <alignment horizontal="center" vertical="center"/>
    </xf>
    <xf numFmtId="179" fontId="12" fillId="0" borderId="3" xfId="1" applyNumberFormat="1" applyFont="1" applyFill="1" applyBorder="1" applyAlignment="1">
      <alignment horizontal="center" vertical="center"/>
    </xf>
    <xf numFmtId="179" fontId="0" fillId="0" borderId="2" xfId="1" applyNumberFormat="1" applyFont="1" applyFill="1" applyBorder="1" applyAlignment="1">
      <alignment vertical="center"/>
    </xf>
    <xf numFmtId="179" fontId="0" fillId="0" borderId="3" xfId="1" applyNumberFormat="1" applyFont="1" applyFill="1" applyBorder="1" applyAlignment="1">
      <alignment horizontal="center" vertical="center"/>
    </xf>
    <xf numFmtId="9" fontId="6" fillId="0" borderId="2" xfId="5" applyNumberFormat="1" applyBorder="1" applyAlignment="1">
      <alignment horizontal="center" vertical="center"/>
    </xf>
    <xf numFmtId="179" fontId="6" fillId="4" borderId="3" xfId="1" applyNumberFormat="1" applyFont="1" applyFill="1" applyBorder="1" applyAlignment="1">
      <alignment vertical="center"/>
    </xf>
    <xf numFmtId="179" fontId="0" fillId="0" borderId="2" xfId="1" applyNumberFormat="1" applyFont="1" applyBorder="1" applyAlignment="1">
      <alignment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 wrapText="1"/>
    </xf>
    <xf numFmtId="4" fontId="11" fillId="4" borderId="2" xfId="3" applyNumberFormat="1" applyFont="1" applyFill="1" applyBorder="1" applyAlignment="1">
      <alignment horizontal="center" vertical="center"/>
    </xf>
    <xf numFmtId="0" fontId="11" fillId="4" borderId="2" xfId="5" applyFont="1" applyFill="1" applyBorder="1">
      <alignment vertical="center"/>
    </xf>
    <xf numFmtId="0" fontId="11" fillId="4" borderId="2" xfId="3" applyFont="1" applyFill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178" fontId="11" fillId="4" borderId="2" xfId="4" quotePrefix="1" applyFont="1" applyFill="1" applyBorder="1" applyAlignment="1">
      <alignment horizontal="center"/>
    </xf>
    <xf numFmtId="0" fontId="10" fillId="3" borderId="2" xfId="0" applyFont="1" applyFill="1" applyBorder="1" applyAlignment="1">
      <alignment horizontal="left" vertical="center"/>
    </xf>
    <xf numFmtId="0" fontId="11" fillId="0" borderId="2" xfId="5" applyFont="1" applyBorder="1" applyAlignment="1">
      <alignment horizontal="center" vertical="center"/>
    </xf>
    <xf numFmtId="0" fontId="10" fillId="3" borderId="2" xfId="0" applyFont="1" applyFill="1" applyBorder="1" applyAlignment="1">
      <alignment horizontal="left"/>
    </xf>
    <xf numFmtId="179" fontId="6" fillId="0" borderId="2" xfId="1" applyNumberFormat="1" applyFont="1" applyFill="1" applyBorder="1" applyAlignment="1">
      <alignment horizontal="center"/>
    </xf>
    <xf numFmtId="0" fontId="10" fillId="3" borderId="2" xfId="0" applyFont="1" applyFill="1" applyBorder="1" applyAlignment="1">
      <alignment horizontal="left" vertical="center" wrapText="1" readingOrder="1"/>
    </xf>
    <xf numFmtId="179" fontId="6" fillId="0" borderId="2" xfId="1" applyNumberFormat="1" applyFont="1" applyFill="1" applyBorder="1" applyAlignment="1">
      <alignment horizontal="center" vertical="center"/>
    </xf>
    <xf numFmtId="179" fontId="12" fillId="0" borderId="2" xfId="1" applyNumberFormat="1" applyFont="1" applyFill="1" applyBorder="1" applyAlignment="1">
      <alignment horizontal="center" vertical="center"/>
    </xf>
    <xf numFmtId="179" fontId="0" fillId="0" borderId="2" xfId="1" applyNumberFormat="1" applyFont="1" applyFill="1" applyBorder="1" applyAlignment="1">
      <alignment horizontal="center" vertical="center"/>
    </xf>
    <xf numFmtId="177" fontId="2" fillId="4" borderId="2" xfId="3" applyNumberFormat="1" applyFont="1" applyFill="1" applyBorder="1">
      <alignment vertical="center"/>
    </xf>
    <xf numFmtId="0" fontId="14" fillId="5" borderId="2" xfId="0" applyFont="1" applyFill="1" applyBorder="1" applyAlignment="1">
      <alignment horizontal="left" vertical="center" wrapText="1" readingOrder="1"/>
    </xf>
    <xf numFmtId="0" fontId="11" fillId="4" borderId="2" xfId="5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 wrapText="1" readingOrder="1"/>
    </xf>
    <xf numFmtId="0" fontId="10" fillId="3" borderId="2" xfId="0" applyFont="1" applyFill="1" applyBorder="1" applyAlignment="1">
      <alignment horizontal="center" vertical="center" wrapText="1" readingOrder="1"/>
    </xf>
    <xf numFmtId="179" fontId="15" fillId="3" borderId="2" xfId="1" applyNumberFormat="1" applyFont="1" applyFill="1" applyBorder="1" applyAlignment="1">
      <alignment horizontal="center" vertical="center" wrapText="1" readingOrder="1"/>
    </xf>
    <xf numFmtId="179" fontId="12" fillId="4" borderId="2" xfId="1" applyNumberFormat="1" applyFont="1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178" fontId="11" fillId="4" borderId="4" xfId="4" quotePrefix="1" applyFont="1" applyFill="1" applyBorder="1" applyAlignment="1">
      <alignment horizontal="center" vertical="center"/>
    </xf>
    <xf numFmtId="0" fontId="11" fillId="4" borderId="4" xfId="5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 readingOrder="1"/>
    </xf>
    <xf numFmtId="0" fontId="10" fillId="3" borderId="4" xfId="0" applyFont="1" applyFill="1" applyBorder="1" applyAlignment="1">
      <alignment horizontal="left" vertical="center" wrapText="1" readingOrder="1"/>
    </xf>
    <xf numFmtId="179" fontId="15" fillId="3" borderId="4" xfId="1" applyNumberFormat="1" applyFont="1" applyFill="1" applyBorder="1" applyAlignment="1">
      <alignment horizontal="center" vertical="center" wrapText="1" readingOrder="1"/>
    </xf>
    <xf numFmtId="179" fontId="6" fillId="0" borderId="4" xfId="1" applyNumberFormat="1" applyFont="1" applyFill="1" applyBorder="1" applyAlignment="1">
      <alignment horizontal="center" vertical="center"/>
    </xf>
    <xf numFmtId="179" fontId="0" fillId="0" borderId="4" xfId="1" applyNumberFormat="1" applyFont="1" applyBorder="1" applyAlignment="1">
      <alignment vertical="center"/>
    </xf>
    <xf numFmtId="179" fontId="12" fillId="4" borderId="4" xfId="1" applyNumberFormat="1" applyFont="1" applyFill="1" applyBorder="1" applyAlignment="1">
      <alignment horizontal="center" vertical="center"/>
    </xf>
    <xf numFmtId="179" fontId="0" fillId="0" borderId="4" xfId="1" applyNumberFormat="1" applyFont="1" applyFill="1" applyBorder="1" applyAlignment="1">
      <alignment horizontal="center" vertical="center"/>
    </xf>
    <xf numFmtId="9" fontId="6" fillId="0" borderId="4" xfId="5" applyNumberFormat="1" applyBorder="1" applyAlignment="1">
      <alignment horizontal="center" vertical="center"/>
    </xf>
    <xf numFmtId="4" fontId="11" fillId="4" borderId="4" xfId="3" applyNumberFormat="1" applyFont="1" applyFill="1" applyBorder="1" applyAlignment="1">
      <alignment horizontal="center" vertical="center"/>
    </xf>
    <xf numFmtId="177" fontId="0" fillId="0" borderId="0" xfId="1" applyFont="1"/>
    <xf numFmtId="179" fontId="2" fillId="0" borderId="2" xfId="1" applyNumberFormat="1" applyFont="1" applyFill="1" applyBorder="1" applyAlignment="1">
      <alignment horizontal="center" vertical="center"/>
    </xf>
    <xf numFmtId="179" fontId="0" fillId="4" borderId="2" xfId="1" applyNumberFormat="1" applyFont="1" applyFill="1" applyBorder="1" applyAlignment="1">
      <alignment horizontal="center" vertical="center"/>
    </xf>
    <xf numFmtId="179" fontId="2" fillId="0" borderId="4" xfId="1" applyNumberFormat="1" applyFont="1" applyFill="1" applyBorder="1" applyAlignment="1">
      <alignment horizontal="center" vertical="center"/>
    </xf>
    <xf numFmtId="179" fontId="12" fillId="0" borderId="4" xfId="1" applyNumberFormat="1" applyFont="1" applyFill="1" applyBorder="1" applyAlignment="1">
      <alignment horizontal="center" vertical="center"/>
    </xf>
    <xf numFmtId="179" fontId="6" fillId="0" borderId="4" xfId="1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left" vertical="center"/>
    </xf>
    <xf numFmtId="178" fontId="11" fillId="4" borderId="3" xfId="4" quotePrefix="1" applyFont="1" applyFill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9" fontId="6" fillId="4" borderId="3" xfId="5" applyNumberFormat="1" applyFill="1" applyBorder="1" applyAlignment="1">
      <alignment horizontal="center" vertical="center"/>
    </xf>
    <xf numFmtId="4" fontId="11" fillId="4" borderId="3" xfId="3" applyNumberFormat="1" applyFont="1" applyFill="1" applyBorder="1">
      <alignment vertical="center"/>
    </xf>
    <xf numFmtId="177" fontId="2" fillId="4" borderId="3" xfId="3" applyNumberFormat="1" applyFont="1" applyFill="1" applyBorder="1">
      <alignment vertical="center"/>
    </xf>
    <xf numFmtId="0" fontId="5" fillId="2" borderId="1" xfId="3" applyFont="1" applyFill="1" applyBorder="1">
      <alignment vertical="center"/>
    </xf>
    <xf numFmtId="177" fontId="7" fillId="2" borderId="1" xfId="1" applyFont="1" applyFill="1" applyBorder="1" applyAlignment="1">
      <alignment horizontal="center" vertical="center"/>
    </xf>
    <xf numFmtId="179" fontId="9" fillId="0" borderId="1" xfId="1" applyNumberFormat="1" applyFont="1" applyBorder="1" applyAlignment="1">
      <alignment vertical="center"/>
    </xf>
    <xf numFmtId="0" fontId="0" fillId="0" borderId="0" xfId="0" pivotButton="1"/>
    <xf numFmtId="179" fontId="0" fillId="0" borderId="0" xfId="1" applyNumberFormat="1" applyFont="1"/>
    <xf numFmtId="0" fontId="0" fillId="8" borderId="0" xfId="0" applyFill="1"/>
    <xf numFmtId="176" fontId="7" fillId="2" borderId="1" xfId="2" applyFont="1" applyFill="1" applyBorder="1" applyAlignment="1">
      <alignment horizontal="center" vertical="center"/>
    </xf>
    <xf numFmtId="176" fontId="0" fillId="0" borderId="3" xfId="2" applyFont="1" applyFill="1" applyBorder="1" applyAlignment="1">
      <alignment horizontal="center" vertical="center"/>
    </xf>
    <xf numFmtId="176" fontId="0" fillId="0" borderId="2" xfId="2" applyFont="1" applyFill="1" applyBorder="1" applyAlignment="1">
      <alignment horizontal="center" vertical="center"/>
    </xf>
    <xf numFmtId="176" fontId="0" fillId="0" borderId="2" xfId="2" applyFont="1" applyFill="1" applyBorder="1" applyAlignment="1">
      <alignment vertical="center"/>
    </xf>
    <xf numFmtId="176" fontId="0" fillId="0" borderId="2" xfId="2" applyFont="1" applyBorder="1" applyAlignment="1">
      <alignment vertical="center"/>
    </xf>
    <xf numFmtId="176" fontId="0" fillId="0" borderId="4" xfId="2" applyFont="1" applyBorder="1" applyAlignment="1">
      <alignment vertical="center"/>
    </xf>
    <xf numFmtId="176" fontId="0" fillId="0" borderId="0" xfId="2" applyFont="1"/>
    <xf numFmtId="176" fontId="6" fillId="0" borderId="3" xfId="2" applyFont="1" applyFill="1" applyBorder="1" applyAlignment="1">
      <alignment horizontal="center" vertical="center"/>
    </xf>
    <xf numFmtId="176" fontId="6" fillId="0" borderId="2" xfId="2" applyFont="1" applyFill="1" applyBorder="1" applyAlignment="1">
      <alignment horizontal="center" vertical="center"/>
    </xf>
    <xf numFmtId="176" fontId="6" fillId="0" borderId="2" xfId="2" applyFont="1" applyFill="1" applyBorder="1" applyAlignment="1">
      <alignment horizontal="center"/>
    </xf>
    <xf numFmtId="176" fontId="2" fillId="0" borderId="2" xfId="2" applyFont="1" applyFill="1" applyBorder="1" applyAlignment="1">
      <alignment horizontal="center" vertical="center"/>
    </xf>
    <xf numFmtId="176" fontId="0" fillId="4" borderId="2" xfId="2" applyFont="1" applyFill="1" applyBorder="1" applyAlignment="1">
      <alignment horizontal="center" vertical="center"/>
    </xf>
    <xf numFmtId="176" fontId="2" fillId="4" borderId="2" xfId="2" applyFont="1" applyFill="1" applyBorder="1" applyAlignment="1">
      <alignment horizontal="center" vertical="center"/>
    </xf>
    <xf numFmtId="176" fontId="2" fillId="4" borderId="4" xfId="2" applyFont="1" applyFill="1" applyBorder="1" applyAlignment="1">
      <alignment horizontal="center" vertical="center"/>
    </xf>
    <xf numFmtId="179" fontId="16" fillId="7" borderId="0" xfId="0" applyNumberFormat="1" applyFont="1" applyFill="1"/>
    <xf numFmtId="176" fontId="17" fillId="6" borderId="0" xfId="0" applyNumberFormat="1" applyFont="1" applyFill="1"/>
  </cellXfs>
  <cellStyles count="6">
    <cellStyle name="Comma 2" xfId="4" xr:uid="{00000000-0005-0000-0000-000001000000}"/>
    <cellStyle name="Normal 4 2 2" xfId="3" xr:uid="{00000000-0005-0000-0000-000004000000}"/>
    <cellStyle name="常规 2" xfId="5" xr:uid="{00000000-0005-0000-0000-000005000000}"/>
    <cellStyle name="쉼표" xfId="1" builtinId="3"/>
    <cellStyle name="통화" xfId="2" builtinId="4"/>
    <cellStyle name="표준" xfId="0" builtinId="0"/>
  </cellStyles>
  <dxfs count="12">
    <dxf>
      <fill>
        <patternFill>
          <bgColor theme="4" tint="0.79998168889431442"/>
        </patternFill>
      </fill>
    </dxf>
    <dxf>
      <numFmt numFmtId="176" formatCode="_(&quot;$&quot;* #,##0.00_);_(&quot;$&quot;* \(#,##0.00\);_(&quot;$&quot;* &quot;-&quot;??_);_(@_)"/>
    </dxf>
    <dxf>
      <font>
        <color rgb="FFC00000"/>
      </font>
    </dxf>
    <dxf>
      <fill>
        <patternFill>
          <bgColor theme="5" tint="0.79998168889431442"/>
        </patternFill>
      </fill>
    </dxf>
    <dxf>
      <font>
        <color rgb="FF0070C0"/>
      </font>
    </dxf>
    <dxf>
      <font>
        <color rgb="FF6666CA"/>
      </font>
    </dxf>
    <dxf>
      <font>
        <color theme="4"/>
      </font>
    </dxf>
    <dxf>
      <fill>
        <patternFill patternType="solid">
          <bgColor theme="6" tint="0.59999389629810485"/>
        </patternFill>
      </fill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80" formatCode="_(* #,##0.0_);_(* \(#,##0.0\);_(* &quot;-&quot;??_);_(@_)"/>
    </dxf>
    <dxf>
      <numFmt numFmtId="180" formatCode="_(* #,##0.0_);_(* \(#,##0.0\);_(* &quot;-&quot;??_);_(@_)"/>
    </dxf>
  </dxfs>
  <tableStyles count="0" defaultTableStyle="TableStyleMedium2" defaultPivotStyle="PivotStyleLight16"/>
  <colors>
    <mruColors>
      <color rgb="FF6666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C-PC01" refreshedDate="46154.482093402781" createdVersion="6" refreshedVersion="6" minRefreshableVersion="3" recordCount="59" xr:uid="{00000000-000A-0000-FFFF-FFFF3D000000}">
  <cacheSource type="worksheet">
    <worksheetSource ref="A1:S60" sheet="Data sale - Mold&amp;Jig Nov-Apr"/>
  </cacheSource>
  <cacheFields count="19">
    <cacheField name="Name" numFmtId="0">
      <sharedItems containsBlank="1" count="10">
        <s v="LG INNOTEK CO.LTD(LGIT YT AT YANTAI)"/>
        <s v="LG INNOTEK MEXICO, S.A. DE C.V."/>
        <s v="ZF AUTOMOTIVE UK LIMITED"/>
        <s v="M&amp;C MFG.(SINGAPORE)PTE.LTD"/>
        <s v="CÔNG TY TNHH INTOPS VIỆT NAM"/>
        <s v="CÔNG TY TNHH MOBASE VIỆT NAM"/>
        <s v="HYOSEONG ELECTRIC CO., LTD"/>
        <s v="MANDO BROSE CORPORATION"/>
        <s v="CÔNG TY TNHH ELENTEC VIỆT NAM"/>
        <m/>
      </sharedItems>
    </cacheField>
    <cacheField name="Month" numFmtId="0">
      <sharedItems containsBlank="1"/>
    </cacheField>
    <cacheField name="Month 2" numFmtId="0">
      <sharedItems containsBlank="1" count="7">
        <s v="202511"/>
        <s v="202512"/>
        <s v="202601"/>
        <s v="202602"/>
        <s v="202603"/>
        <s v="202604"/>
        <m/>
      </sharedItems>
    </cacheField>
    <cacheField name="Category" numFmtId="0">
      <sharedItems containsBlank="1"/>
    </cacheField>
    <cacheField name="Class" numFmtId="0">
      <sharedItems containsBlank="1"/>
    </cacheField>
    <cacheField name="ITEM" numFmtId="0">
      <sharedItems containsBlank="1" count="54">
        <s v="Mold Die casting MQ4a PE Housing #10, 1 CAV (Full set)/Khuôn đúc MQ4a PE housing #10"/>
        <s v="Mold Die casting MQ4a PE Housing #9, 1 CAV (Full set)/Khuôn đúc MQ4a PE Housing #9"/>
        <s v="Mold die casting, khuôn đúc, CL4 COVER #3"/>
        <s v="PK Mold LGIT- MPC5.5 Back up  #8 Die casting tool"/>
        <s v="PK Mold LGIT- MPC5.5 Back up  #9 - Die casting"/>
        <s v="Mold Die Casting_LQ2 EK COVER #1/Khuôn Sung Hwa LQ2 EK COVER #1"/>
        <s v="Mold Die casting ZF IPM 2.0 Housing Advance Lite 1CAV (Fullset)/ Khuôn đúc nhôm"/>
        <s v="Injection Mold 55-91279-1_Rear Camera 1CAV (Fullset)"/>
        <s v="Jig insert NUT  55-92179-1 M1.4x0.3  Injection / Đồ gá dập ốc từ đúc nhựa"/>
        <s v="Jig bàn xoay AL6061"/>
        <s v="SM- A176B BRACKET Degating mold/ Khuôn cắt gate SM- A176B BRACKET"/>
        <s v="SM- A176B BRACKET DIE CASTING MOLD 2CAV (FULL SET)/ Khuôn đúc nhôm SM- A176B BRACKET"/>
        <s v="SM- A176B BRACKET Trimming mold/ Khuôn dập SM- A176B BRACKET"/>
        <s v="SM- A176B BRACKET Trimming mold/ Khuôn dập SM- A176B BRACKET / Maker: SONGJIA"/>
        <s v="Mold MQ4 B/COVER"/>
        <s v="Mold Die casting JK1 Housing - LHD 1 CAV (Full set) #1, Material: DAC MAGIC"/>
        <s v="Mold Die casting JK1 Housing - RHD 1 CAV (Full set) #1, Material: DAC MAGIC"/>
        <s v="Mold Die casting CL4  Housing  1 CAV (Full set) #16"/>
        <s v="132-8032-006 _VF Grip_Low Light_C6 INJECTION MOLD - Material : NAK80"/>
        <s v="132-8032-006, VF Grip, Low Light, C6, RevA, 11-10-25 Silicone Mold"/>
        <s v="Mold Die casting CL4  Housing  1 CAV (Full set) #17"/>
        <s v="Mold Die Casting eK LQ2 Cover #2"/>
        <s v="135-8837-003_ISW ANTENNA ENCLOSURE , FRONT SENSORS, C3  INJECTION MOLD (2nd INJECTION)"/>
        <s v="135-8837-003_ISW ANTENNA ENCLOSURE, FRONT SENSORS, C3  INJECTION MOLD (1ST INJECTION)"/>
        <s v="136-2429-002, Button Membrane, Front UI, C2, RevA Silicone Mold"/>
        <s v="136-2429-002_ Button Membrane_ Front UI_ C2 INJECTION MOLD"/>
        <s v="142-7607-002 LOW LIGHT SENSOR BAR INJECTION MOLD"/>
        <s v="143-0466-001 _ BODY COMPUTE_ANTENNA_CAPS _ LEFT &amp; RIGHT_INJECTION MOLD 2525"/>
        <s v="Oring Mold for P/N: 143-8808-001-A03 &amp; 143-6225-001-A04"/>
        <s v="Flatness Sensor Jig ( 25 point LVDT)/ Đồ gá kiểm tra độ phẳng sản phẩm A376B"/>
        <s v="Jig Hotpress A37"/>
        <s v="PK JIG - Flatness Go/No Jig after bending -평탄 검사 고노 지그 (LVDT 전) (dụng cụ kiểm tra mặt phẳng sản phẩm ) A376 (02)"/>
        <s v="PK JIG - Flatness Go/No Jig after bending -평탄 검사 고노 지그 (LVDT 전) (dụng cụ kiểm tra mặt phẳng sản phẩm )A376"/>
        <s v="PK JIG - LOCATION Jig Check usb, Simtray (đồ gá kiểm tra vị trí khe cắm sạc, và khe sim sản phẩm) A376"/>
        <s v="PK JIG - Test Resistance Jig ( 22point Ω) Đồ gá bằng thép kiểm tra điện trở cho sản phẩm A376B"/>
        <s v="PK JIG check width after trimming (dụng cụ kiểm tra độ rộng) A376"/>
        <s v="PK JIG check width after trimming (dụng cụ kiểm tra độ rộng) A376 (02)"/>
        <s v="PK LJIG check camera (đồ gá kiểm tra kích thước camera) A376"/>
        <s v="PK LJIG check camera (đồ gá kiểm tra kích thước camera) A376 (02)"/>
        <s v="SM- A376B SIMTRAY, USB CHECK JIG"/>
        <s v="Mold Die Casting GEN3 AL5 HOUSING #12"/>
        <s v="Mold Die casting MQ4aPE  Housing  1 CAV (Full set) #11"/>
        <s v="PK Mold LGIT-  MQ4 COVER #4 Back up- Die casting tool"/>
        <s v="ME1a HOUSING_MCT Jig"/>
        <s v="ME1a, MV1a HSG - CMM Jig"/>
        <s v="Mold Die Casting _ME1a-HOUSING #1"/>
        <s v="147-9222-001_A-SIDE SHIELD LEFT &amp; RIGHT_ BUCK HMD INJECTION MOLD"/>
        <s v="148-3197-002 _ Mission Shield Carrier INJECTION MOLD"/>
        <s v="148-3197-002 _ Mission Shield Carrier TRIMMING MOLD"/>
        <s v="150-3554-001_SILICONE NOSE PAD _ SILICONE MOLD"/>
        <s v="150-6455-001 Temple Arm_ LEFT &amp; RIGHT  INJECTION MOLD"/>
        <s v="151-9798-001_bungee (Left + Right) _ SILICONE MOLD"/>
        <s v="LT2 Housing - CMM Jig"/>
        <m/>
      </sharedItems>
    </cacheField>
    <cacheField name="Sales Q'ty" numFmtId="0">
      <sharedItems containsString="0" containsBlank="1" containsNumber="1" containsInteger="1" minValue="1" maxValue="9"/>
    </cacheField>
    <cacheField name="Price" numFmtId="0">
      <sharedItems containsString="0" containsBlank="1" containsNumber="1" minValue="81.396000000000001" maxValue="40276.48144230769"/>
    </cacheField>
    <cacheField name="Sale amount" numFmtId="176">
      <sharedItems containsString="0" containsBlank="1" containsNumber="1" minValue="81.396000000000001" maxValue="51328.787192307689"/>
    </cacheField>
    <cacheField name="Exchange Rate" numFmtId="0">
      <sharedItems containsString="0" containsBlank="1" containsNumber="1" containsInteger="1" minValue="26000" maxValue="26000"/>
    </cacheField>
    <cacheField name="Amount_x000a_(VND)" numFmtId="0">
      <sharedItems containsString="0" containsBlank="1" containsNumber="1" minValue="2116296" maxValue="1334548467"/>
    </cacheField>
    <cacheField name="Price_x000a_USD" numFmtId="0">
      <sharedItems containsString="0" containsBlank="1" containsNumber="1" minValue="0" maxValue="22269.23076923077"/>
    </cacheField>
    <cacheField name="Price_x000a_VND" numFmtId="0">
      <sharedItems containsString="0" containsBlank="1" containsNumber="1" minValue="0" maxValue="579000000"/>
    </cacheField>
    <cacheField name="COGS amount" numFmtId="176">
      <sharedItems containsString="0" containsBlank="1" containsNumber="1" minValue="0" maxValue="57692.307692307695"/>
    </cacheField>
    <cacheField name="Amount_x000a_(VND)2" numFmtId="0">
      <sharedItems containsString="0" containsBlank="1" containsNumber="1" minValue="0" maxValue="1500000000"/>
    </cacheField>
    <cacheField name="Gross Margin (USD)" numFmtId="0">
      <sharedItems containsString="0" containsBlank="1" containsNumber="1" minValue="-6363.520500000006" maxValue="23239.069230769233"/>
    </cacheField>
    <cacheField name="Gross Margin rate_x000a_%" numFmtId="0">
      <sharedItems containsString="0" containsBlank="1" containsNumber="1" minValue="-0.16936576524307634" maxValue="1"/>
    </cacheField>
    <cacheField name="Note" numFmtId="0">
      <sharedItems containsBlank="1"/>
    </cacheField>
    <cacheField name="Mold" numFmtId="0">
      <sharedItems containsBlank="1" count="6">
        <s v="Mold-purchase"/>
        <s v="Mold-Homemade"/>
        <s v="Jig-Purchase"/>
        <s v="Mold-Jig Trading"/>
        <s v="Jig-Homemad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">
  <r>
    <x v="0"/>
    <s v="Nov-2025"/>
    <x v="0"/>
    <s v="LGIT"/>
    <s v="901360"/>
    <x v="0"/>
    <n v="1"/>
    <n v="23900.627546153846"/>
    <n v="23900.627546153846"/>
    <n v="26000"/>
    <n v="621416316.20000005"/>
    <n v="17307.692307692309"/>
    <n v="450000000"/>
    <n v="17307.692307692309"/>
    <n v="450000000"/>
    <n v="6592.9352384615377"/>
    <n v="0.27584778791812481"/>
    <s v="Trading"/>
    <x v="0"/>
  </r>
  <r>
    <x v="0"/>
    <s v="Nov-2025"/>
    <x v="0"/>
    <s v="LGIT"/>
    <s v="901359"/>
    <x v="1"/>
    <n v="1"/>
    <n v="19065.76923076923"/>
    <n v="19065.76923076923"/>
    <n v="26000"/>
    <n v="495710000"/>
    <n v="17307.692307692309"/>
    <n v="450000000"/>
    <n v="17307.692307692309"/>
    <n v="450000000"/>
    <n v="1758.076923076922"/>
    <n v="9.221117185451165E-2"/>
    <s v="Trading"/>
    <x v="0"/>
  </r>
  <r>
    <x v="0"/>
    <s v="Nov-2025"/>
    <x v="0"/>
    <s v="LGIT"/>
    <s v="901218"/>
    <x v="2"/>
    <n v="1"/>
    <n v="22805.941319230766"/>
    <n v="22805.941319230766"/>
    <n v="26000"/>
    <n v="592954474.29999995"/>
    <n v="16923.076923076922"/>
    <n v="440000000"/>
    <n v="16923.076923076922"/>
    <n v="440000000"/>
    <n v="5882.8643961538437"/>
    <n v="0.25795314974318589"/>
    <s v="Trading"/>
    <x v="0"/>
  </r>
  <r>
    <x v="0"/>
    <s v="Nov-2025"/>
    <x v="0"/>
    <s v="LGIT"/>
    <s v="140310"/>
    <x v="3"/>
    <n v="1"/>
    <n v="11503.321830769231"/>
    <n v="11503.321830769231"/>
    <n v="26000"/>
    <n v="299086367.60000002"/>
    <n v="3249.5175250470193"/>
    <n v="84487455.651222497"/>
    <n v="3249.5175250470193"/>
    <n v="84487455.651222497"/>
    <n v="8253.804305722213"/>
    <n v="0.71751485589534947"/>
    <m/>
    <x v="1"/>
  </r>
  <r>
    <x v="0"/>
    <s v="Nov-2025"/>
    <x v="0"/>
    <s v="LGIT"/>
    <s v="140323"/>
    <x v="4"/>
    <n v="1"/>
    <n v="11503.311796153848"/>
    <n v="11503.311796153848"/>
    <n v="26000"/>
    <n v="299086367.60000002"/>
    <n v="801.81736073062314"/>
    <n v="20847251.378996201"/>
    <n v="801.81736073062314"/>
    <n v="20847251.378996201"/>
    <n v="10701.494435423225"/>
    <n v="0.93029682451981244"/>
    <m/>
    <x v="1"/>
  </r>
  <r>
    <x v="1"/>
    <s v="Nov-2025"/>
    <x v="0"/>
    <s v="LGIT"/>
    <s v="901302"/>
    <x v="5"/>
    <n v="1"/>
    <n v="20069.23076923077"/>
    <n v="20069.23076923077"/>
    <n v="26000"/>
    <n v="521800000"/>
    <n v="21263.797184615381"/>
    <n v="552858726.79999995"/>
    <n v="21263.797184615381"/>
    <n v="552858726.79999995"/>
    <n v="-1194.5664153846119"/>
    <n v="-5.9522282100421445E-2"/>
    <s v="Trading"/>
    <x v="0"/>
  </r>
  <r>
    <x v="2"/>
    <s v="Nov-2025"/>
    <x v="0"/>
    <s v="ZF"/>
    <s v="901378"/>
    <x v="6"/>
    <n v="1"/>
    <n v="35931.376923076925"/>
    <n v="35931.376923076925"/>
    <n v="26000"/>
    <n v="934215800"/>
    <n v="12692.307692307691"/>
    <n v="330000000"/>
    <n v="12692.307692307691"/>
    <n v="330000000"/>
    <n v="23239.069230769233"/>
    <n v="0.64676255743052091"/>
    <s v="Trading"/>
    <x v="0"/>
  </r>
  <r>
    <x v="3"/>
    <s v="Nov-2025"/>
    <x v="0"/>
    <s v="Qualcomm ( Mobile)"/>
    <s v="901415"/>
    <x v="7"/>
    <n v="1"/>
    <n v="5115.0478846153846"/>
    <n v="5115.0478846153846"/>
    <n v="26000"/>
    <n v="132991245"/>
    <n v="3442.3076923076924"/>
    <n v="89500000"/>
    <n v="3442.3076923076924"/>
    <n v="89500000"/>
    <n v="1672.7401923076923"/>
    <n v="0.32702336909470997"/>
    <s v="Trading"/>
    <x v="0"/>
  </r>
  <r>
    <x v="3"/>
    <s v="Nov-2025"/>
    <x v="0"/>
    <s v="Qualcomm ( Mobile)"/>
    <s v="901414"/>
    <x v="8"/>
    <n v="1"/>
    <n v="485.50015384615386"/>
    <n v="485.50015384615386"/>
    <n v="26000"/>
    <n v="12623004"/>
    <n v="207.69230769230768"/>
    <n v="5400000"/>
    <n v="207.69230769230768"/>
    <n v="5400000"/>
    <n v="277.80784615384619"/>
    <n v="0.57220959448321496"/>
    <s v="Trading"/>
    <x v="2"/>
  </r>
  <r>
    <x v="4"/>
    <s v="Dec-2025"/>
    <x v="1"/>
    <s v="Samsung Others"/>
    <s v="714658"/>
    <x v="9"/>
    <n v="9"/>
    <n v="299.75642307692306"/>
    <n v="2697.8078076923075"/>
    <n v="26000"/>
    <n v="70143003"/>
    <n v="0"/>
    <n v="0"/>
    <n v="0"/>
    <n v="0"/>
    <n v="2697.8078076923075"/>
    <n v="1"/>
    <m/>
    <x v="2"/>
  </r>
  <r>
    <x v="4"/>
    <s v="Dec-2025"/>
    <x v="1"/>
    <s v="Samsung Others"/>
    <s v="784897"/>
    <x v="10"/>
    <n v="5"/>
    <n v="2739.0648461538462"/>
    <n v="13695.324230769231"/>
    <n v="26000"/>
    <n v="356078430"/>
    <n v="3011.5384615384614"/>
    <n v="78300000"/>
    <n v="15057.692307692307"/>
    <n v="391500000"/>
    <n v="-1362.3680769230759"/>
    <n v="-9.9476876484767621E-2"/>
    <m/>
    <x v="0"/>
  </r>
  <r>
    <x v="4"/>
    <s v="Dec-2025"/>
    <x v="1"/>
    <s v="Samsung Others"/>
    <s v="784896"/>
    <x v="11"/>
    <n v="5"/>
    <n v="10265.757438461538"/>
    <n v="51328.787192307689"/>
    <n v="26000"/>
    <n v="1334548467"/>
    <n v="11538.461538461539"/>
    <n v="300000000"/>
    <n v="57692.307692307695"/>
    <n v="1500000000"/>
    <n v="-6363.520500000006"/>
    <n v="-0.12397566449716671"/>
    <m/>
    <x v="0"/>
  </r>
  <r>
    <x v="4"/>
    <s v="Dec-2025"/>
    <x v="1"/>
    <s v="Samsung Others"/>
    <s v="784898"/>
    <x v="12"/>
    <n v="5"/>
    <n v="2067.2795076923076"/>
    <n v="10336.397538461539"/>
    <n v="26000"/>
    <n v="268746336"/>
    <n v="2353.8461538461538"/>
    <n v="61200000"/>
    <n v="11769.23076923077"/>
    <n v="306000000"/>
    <n v="-1432.8332307692308"/>
    <n v="-0.13862017452770034"/>
    <m/>
    <x v="0"/>
  </r>
  <r>
    <x v="5"/>
    <s v="Dec-2025"/>
    <x v="1"/>
    <s v="Samsung Others"/>
    <s v="714658"/>
    <x v="9"/>
    <n v="9"/>
    <n v="313.63604273504274"/>
    <n v="2822.7243846153847"/>
    <n v="26000"/>
    <n v="73390834"/>
    <n v="0"/>
    <n v="0"/>
    <n v="0"/>
    <n v="0"/>
    <n v="2822.7243846153847"/>
    <n v="1"/>
    <m/>
    <x v="2"/>
  </r>
  <r>
    <x v="5"/>
    <s v="Dec-2025"/>
    <x v="1"/>
    <s v="Samsung Others"/>
    <s v="784897"/>
    <x v="10"/>
    <n v="4"/>
    <n v="2882.6969423076921"/>
    <n v="11530.787769230768"/>
    <n v="26000"/>
    <n v="299800482"/>
    <n v="3011.5384615384614"/>
    <n v="78300000"/>
    <n v="12046.153846153846"/>
    <n v="313200000"/>
    <n v="-515.36607692307734"/>
    <n v="-4.4694784713521611E-2"/>
    <m/>
    <x v="0"/>
  </r>
  <r>
    <x v="5"/>
    <s v="Dec-2025"/>
    <x v="1"/>
    <s v="Samsung Others"/>
    <s v="784896"/>
    <x v="11"/>
    <n v="4"/>
    <n v="10807.545375"/>
    <n v="43230.181499999999"/>
    <n v="26000"/>
    <n v="1123984719"/>
    <n v="11538.461538461539"/>
    <n v="300000000"/>
    <n v="46153.846153846156"/>
    <n v="1200000000"/>
    <n v="-2923.6646538461573"/>
    <n v="-6.7630173004158162E-2"/>
    <m/>
    <x v="0"/>
  </r>
  <r>
    <x v="5"/>
    <s v="Dec-2025"/>
    <x v="1"/>
    <s v="Samsung Others"/>
    <s v="784898"/>
    <x v="12"/>
    <n v="1"/>
    <n v="2347.0524230769229"/>
    <n v="2347.0524230769229"/>
    <n v="26000"/>
    <n v="61023363"/>
    <n v="2353.8461538461538"/>
    <n v="61200000"/>
    <n v="2353.8461538461538"/>
    <n v="61200000"/>
    <n v="-6.7937307692309332"/>
    <n v="-2.8945799004883471E-3"/>
    <m/>
    <x v="0"/>
  </r>
  <r>
    <x v="5"/>
    <s v="Dec-2025"/>
    <x v="1"/>
    <s v="Samsung Others"/>
    <s v="784923"/>
    <x v="13"/>
    <n v="3"/>
    <n v="2118.2172435897437"/>
    <n v="6354.6517307692311"/>
    <n v="26000"/>
    <n v="165220945"/>
    <n v="1673.7980769230769"/>
    <n v="43518750"/>
    <n v="5021.3942307692305"/>
    <n v="130556250"/>
    <n v="1333.2575000000006"/>
    <n v="0.20980811482466713"/>
    <m/>
    <x v="0"/>
  </r>
  <r>
    <x v="6"/>
    <s v="Dec-2025"/>
    <x v="1"/>
    <s v="HYOSEONG"/>
    <s v="140389"/>
    <x v="14"/>
    <n v="1"/>
    <n v="10053.846153846154"/>
    <n v="10053.846153846154"/>
    <n v="26000"/>
    <n v="261400000"/>
    <n v="2562.1056923076922"/>
    <n v="66614748"/>
    <n v="2562.1056923076922"/>
    <n v="66614747.999999993"/>
    <n v="7491.7404615384621"/>
    <n v="0.74516163733741392"/>
    <m/>
    <x v="1"/>
  </r>
  <r>
    <x v="7"/>
    <s v="Dec-2025"/>
    <x v="1"/>
    <s v="Mando"/>
    <s v="901368"/>
    <x v="15"/>
    <n v="1"/>
    <n v="26454.898753846155"/>
    <n v="26454.898753846155"/>
    <n v="26000"/>
    <n v="687827367.60000002"/>
    <n v="18538.461538461539"/>
    <n v="482000000"/>
    <n v="18538.461538461539"/>
    <n v="482000000"/>
    <n v="7916.4372153846161"/>
    <n v="0.29924277121770054"/>
    <s v="Trading"/>
    <x v="0"/>
  </r>
  <r>
    <x v="7"/>
    <s v="Dec-2025"/>
    <x v="1"/>
    <s v="Mando"/>
    <s v="901367"/>
    <x v="16"/>
    <n v="1"/>
    <n v="26454.898753846155"/>
    <n v="26454.898753846155"/>
    <n v="26000"/>
    <n v="687827367.60000002"/>
    <n v="18538.461538461539"/>
    <n v="482000000"/>
    <n v="18538.461538461539"/>
    <n v="482000000"/>
    <n v="7916.4372153846161"/>
    <n v="0.29924277121770054"/>
    <s v="Trading"/>
    <x v="0"/>
  </r>
  <r>
    <x v="0"/>
    <s v="Jan-2026"/>
    <x v="2"/>
    <s v="LGIT"/>
    <s v="901370"/>
    <x v="17"/>
    <n v="1"/>
    <n v="23653.284907692308"/>
    <n v="23653.284907692308"/>
    <n v="26000"/>
    <n v="614985407.60000002"/>
    <n v="17307.692307692309"/>
    <n v="450000000"/>
    <n v="17307.692307692309"/>
    <n v="450000000"/>
    <n v="6345.5925999999999"/>
    <n v="0.26827532094437939"/>
    <s v="Trading"/>
    <x v="3"/>
  </r>
  <r>
    <x v="3"/>
    <s v="Feb-2026"/>
    <x v="3"/>
    <s v="Qualcomm ( Mobile)"/>
    <s v="901433"/>
    <x v="18"/>
    <n v="1"/>
    <n v="5182.8065019230771"/>
    <n v="5182.8065019230771"/>
    <n v="26000"/>
    <n v="134752969.05000001"/>
    <n v="5769.2307692307695"/>
    <n v="150000000"/>
    <n v="5769.2307692307695"/>
    <n v="150000000"/>
    <n v="-586.42426730769239"/>
    <n v="-0.11314801490082642"/>
    <s v="Trading"/>
    <x v="3"/>
  </r>
  <r>
    <x v="3"/>
    <s v="Feb-2026"/>
    <x v="3"/>
    <s v="Qualcomm ( Mobile)"/>
    <s v="901435"/>
    <x v="19"/>
    <n v="1"/>
    <n v="5182.8065019230771"/>
    <n v="5182.8065019230771"/>
    <n v="26000"/>
    <n v="134752969.05000001"/>
    <n v="2615.3846153846152"/>
    <n v="68000000"/>
    <n v="2615.3846153846152"/>
    <n v="68000000"/>
    <n v="2567.4218865384619"/>
    <n v="0.49537289991162542"/>
    <s v="Trading"/>
    <x v="3"/>
  </r>
  <r>
    <x v="0"/>
    <s v="Feb-2026"/>
    <x v="3"/>
    <s v="LGIT"/>
    <s v="901371"/>
    <x v="20"/>
    <n v="1"/>
    <n v="23744.893292307694"/>
    <n v="23744.893292307694"/>
    <n v="26000"/>
    <n v="617367225.60000002"/>
    <n v="17307.692307692309"/>
    <n v="450000000"/>
    <n v="17307.692307692309"/>
    <n v="450000000"/>
    <n v="6437.2009846153851"/>
    <n v="0.27109833282345203"/>
    <s v="Trading"/>
    <x v="3"/>
  </r>
  <r>
    <x v="1"/>
    <s v="Feb-2026"/>
    <x v="3"/>
    <s v="LGIT"/>
    <s v="901421"/>
    <x v="21"/>
    <n v="1"/>
    <n v="22657.339938461537"/>
    <n v="22657.339938461537"/>
    <n v="26000"/>
    <n v="589090838.39999998"/>
    <n v="17692.307692307691"/>
    <n v="460000000"/>
    <n v="17692.307692307691"/>
    <n v="460000000"/>
    <n v="4965.0322461538453"/>
    <n v="0.21913570876542082"/>
    <s v="Trading"/>
    <x v="3"/>
  </r>
  <r>
    <x v="3"/>
    <s v="Feb-2026"/>
    <x v="3"/>
    <s v="Qualcomm ( Mobile)"/>
    <s v="901431"/>
    <x v="22"/>
    <n v="1"/>
    <n v="7990.1762769230763"/>
    <n v="7990.1762769230763"/>
    <n v="26000"/>
    <n v="207744583.19999999"/>
    <n v="5769.2307692307695"/>
    <n v="150000000"/>
    <n v="5769.2307692307695"/>
    <n v="150000000"/>
    <n v="2220.9455076923068"/>
    <n v="0.2779595131219767"/>
    <s v="Trading"/>
    <x v="3"/>
  </r>
  <r>
    <x v="3"/>
    <s v="Feb-2026"/>
    <x v="3"/>
    <s v="Qualcomm ( Mobile)"/>
    <s v="901430"/>
    <x v="23"/>
    <n v="1"/>
    <n v="7990.1762769230763"/>
    <n v="7990.1762769230763"/>
    <n v="26000"/>
    <n v="207744583.19999999"/>
    <n v="6923.0769230769229"/>
    <n v="180000000"/>
    <n v="6923.0769230769229"/>
    <n v="180000000"/>
    <n v="1067.0993538461535"/>
    <n v="0.13355141574637211"/>
    <s v="Trading"/>
    <x v="3"/>
  </r>
  <r>
    <x v="3"/>
    <s v="Feb-2026"/>
    <x v="3"/>
    <s v="Qualcomm ( Mobile)"/>
    <s v="901436"/>
    <x v="24"/>
    <n v="1"/>
    <n v="4275.8221153846152"/>
    <n v="4275.8221153846152"/>
    <n v="26000"/>
    <n v="111171375"/>
    <n v="2153.8461538461538"/>
    <n v="56000000"/>
    <n v="2153.8461538461538"/>
    <n v="56000000"/>
    <n v="2121.9759615384614"/>
    <n v="0.49627320881836712"/>
    <s v="Trading"/>
    <x v="3"/>
  </r>
  <r>
    <x v="3"/>
    <s v="Feb-2026"/>
    <x v="3"/>
    <s v="Qualcomm ( Mobile)"/>
    <s v="901434"/>
    <x v="25"/>
    <n v="1"/>
    <n v="4275.8221153846152"/>
    <n v="4275.8221153846152"/>
    <n v="26000"/>
    <n v="111171375"/>
    <n v="5000"/>
    <n v="130000000"/>
    <n v="5000"/>
    <n v="130000000"/>
    <n v="-724.17788461538476"/>
    <n v="-0.16936576524307634"/>
    <s v="Trading"/>
    <x v="3"/>
  </r>
  <r>
    <x v="3"/>
    <s v="Feb-2026"/>
    <x v="3"/>
    <s v="Qualcomm ( Mobile)"/>
    <s v="901432"/>
    <x v="26"/>
    <n v="1"/>
    <n v="8206.1277980769228"/>
    <n v="8206.1277980769228"/>
    <n v="26000"/>
    <n v="213359322.75"/>
    <n v="6538.4615384615381"/>
    <n v="170000000"/>
    <n v="6538.4615384615381"/>
    <n v="170000000"/>
    <n v="1667.6662596153847"/>
    <n v="0.20322206778283375"/>
    <s v="Trading"/>
    <x v="3"/>
  </r>
  <r>
    <x v="3"/>
    <s v="Feb-2026"/>
    <x v="3"/>
    <s v="Qualcomm ( Mobile)"/>
    <s v="901437"/>
    <x v="27"/>
    <n v="1"/>
    <n v="8179.3052307692305"/>
    <n v="8179.3052307692305"/>
    <n v="26000"/>
    <n v="212661936"/>
    <n v="5769.2307692307695"/>
    <n v="150000000"/>
    <n v="5769.2307692307695"/>
    <n v="150000000"/>
    <n v="2410.074461538461"/>
    <n v="0.29465515634165951"/>
    <s v="Trading"/>
    <x v="3"/>
  </r>
  <r>
    <x v="3"/>
    <s v="Feb-2026"/>
    <x v="3"/>
    <s v="Qualcomm ( Mobile)"/>
    <s v="785015"/>
    <x v="28"/>
    <n v="1"/>
    <n v="3443.9206153846153"/>
    <n v="3443.9206153846153"/>
    <n v="26000"/>
    <n v="89541936"/>
    <n v="1716.3461538461538"/>
    <n v="44625000"/>
    <n v="1716.3461538461538"/>
    <n v="44625000"/>
    <n v="1727.5744615384615"/>
    <n v="0.50163016354705581"/>
    <s v="Mold"/>
    <x v="0"/>
  </r>
  <r>
    <x v="8"/>
    <s v="Mar-2026"/>
    <x v="4"/>
    <s v="Samsung Others"/>
    <s v="785059"/>
    <x v="29"/>
    <n v="1"/>
    <n v="2121"/>
    <n v="2121"/>
    <n v="26000"/>
    <n v="55146000"/>
    <n v="500"/>
    <n v="13000000"/>
    <n v="500"/>
    <n v="13000000"/>
    <n v="1621"/>
    <n v="0.76426214049976426"/>
    <s v="Trading"/>
    <x v="2"/>
  </r>
  <r>
    <x v="8"/>
    <s v="Mar-2026"/>
    <x v="4"/>
    <s v="Samsung Others"/>
    <s v="785058"/>
    <x v="30"/>
    <n v="2"/>
    <n v="474.81"/>
    <n v="949.62"/>
    <n v="26000"/>
    <n v="24690120"/>
    <n v="500"/>
    <n v="13000000"/>
    <n v="1000"/>
    <n v="26000000"/>
    <n v="949.62"/>
    <n v="1"/>
    <s v="Trading"/>
    <x v="2"/>
  </r>
  <r>
    <x v="8"/>
    <s v="Mar-2026"/>
    <x v="4"/>
    <s v="Samsung Others"/>
    <s v="140408"/>
    <x v="31"/>
    <n v="1"/>
    <n v="325.584"/>
    <n v="325.584"/>
    <n v="26000"/>
    <n v="8465184"/>
    <n v="3.1373644610941192"/>
    <n v="81571.475988447099"/>
    <n v="3.1373644610941192"/>
    <n v="81571.475988447099"/>
    <n v="322.44663553890587"/>
    <n v="0.99036388624412086"/>
    <s v="Mold"/>
    <x v="4"/>
  </r>
  <r>
    <x v="8"/>
    <s v="Mar-2026"/>
    <x v="4"/>
    <s v="Samsung Others"/>
    <s v="140404"/>
    <x v="32"/>
    <n v="1"/>
    <n v="325.584"/>
    <n v="325.584"/>
    <n v="26000"/>
    <n v="8465184"/>
    <n v="3.1373644610941192"/>
    <n v="81571.475988447099"/>
    <n v="3.1373644610941192"/>
    <n v="81571.475988447099"/>
    <n v="322.44663553890587"/>
    <n v="0.99036388624412086"/>
    <s v="Mold"/>
    <x v="4"/>
  </r>
  <r>
    <x v="8"/>
    <s v="Mar-2026"/>
    <x v="4"/>
    <s v="Samsung Others"/>
    <s v="140406"/>
    <x v="33"/>
    <n v="1"/>
    <n v="501.94200000000001"/>
    <n v="501.94200000000001"/>
    <n v="26000"/>
    <n v="13050492"/>
    <n v="158.25424907647886"/>
    <n v="4114610.47598845"/>
    <n v="158.25424907647886"/>
    <n v="4114610.4759884505"/>
    <n v="343.68775092352115"/>
    <n v="0.68471606465193413"/>
    <s v="Mold"/>
    <x v="4"/>
  </r>
  <r>
    <x v="8"/>
    <s v="Mar-2026"/>
    <x v="4"/>
    <s v="Samsung Others"/>
    <s v="140417"/>
    <x v="34"/>
    <n v="1"/>
    <n v="770"/>
    <n v="770"/>
    <n v="26000"/>
    <n v="20020000"/>
    <n v="712.64981591162643"/>
    <n v="18528895.213702288"/>
    <n v="712.64981591162643"/>
    <n v="18528895.213702288"/>
    <n v="57.350184088373567"/>
    <n v="7.448075855632931E-2"/>
    <s v="Mold"/>
    <x v="4"/>
  </r>
  <r>
    <x v="8"/>
    <s v="Mar-2026"/>
    <x v="4"/>
    <s v="Samsung Others"/>
    <s v="140405"/>
    <x v="35"/>
    <n v="1"/>
    <n v="81.396000000000001"/>
    <n v="81.396000000000001"/>
    <n v="26000"/>
    <n v="2116296"/>
    <n v="35.883518307247961"/>
    <n v="932971.47598844697"/>
    <n v="35.883518307247961"/>
    <n v="932971.47598844697"/>
    <n v="45.51248169275204"/>
    <n v="0.5591488733199671"/>
    <s v="Mold"/>
    <x v="4"/>
  </r>
  <r>
    <x v="8"/>
    <s v="Mar-2026"/>
    <x v="4"/>
    <s v="Samsung Others"/>
    <s v="140407"/>
    <x v="36"/>
    <n v="1"/>
    <n v="81.396000000000001"/>
    <n v="81.396000000000001"/>
    <n v="26000"/>
    <n v="2116296"/>
    <n v="36.687364461094113"/>
    <n v="953871.47598844697"/>
    <n v="36.687364461094113"/>
    <n v="953871.47598844697"/>
    <n v="44.708635538905888"/>
    <n v="0.54927312815010432"/>
    <s v="Mold"/>
    <x v="4"/>
  </r>
  <r>
    <x v="8"/>
    <s v="Mar-2026"/>
    <x v="4"/>
    <s v="Samsung Others"/>
    <s v="140403"/>
    <x v="37"/>
    <n v="1"/>
    <n v="81.396000000000001"/>
    <n v="81.396000000000001"/>
    <n v="26000"/>
    <n v="2116296"/>
    <n v="20.952749076478728"/>
    <n v="544771.47598844697"/>
    <n v="20.952749076478728"/>
    <n v="544771.47598844697"/>
    <n v="60.443250923521276"/>
    <n v="0.742582570685553"/>
    <s v="Mold"/>
    <x v="4"/>
  </r>
  <r>
    <x v="8"/>
    <s v="Mar-2026"/>
    <x v="4"/>
    <s v="Samsung Others"/>
    <s v="140410"/>
    <x v="38"/>
    <n v="1"/>
    <n v="81.396000000000001"/>
    <n v="81.396000000000001"/>
    <n v="26000"/>
    <n v="2116296"/>
    <n v="13.296018307247962"/>
    <n v="345696.47598844703"/>
    <n v="13.296018307247962"/>
    <n v="345696.47598844703"/>
    <n v="68.099981692752038"/>
    <n v="0.8366502247377271"/>
    <s v="Mold"/>
    <x v="4"/>
  </r>
  <r>
    <x v="8"/>
    <s v="Mar-2026"/>
    <x v="4"/>
    <s v="Samsung Others"/>
    <s v="784985"/>
    <x v="39"/>
    <n v="1"/>
    <n v="501.94200000000001"/>
    <n v="501.94200000000001"/>
    <n v="26000"/>
    <n v="13050492"/>
    <n v="207.69230769230768"/>
    <n v="5400000"/>
    <n v="207.69230769230768"/>
    <n v="5400000"/>
    <n v="501.94200000000001"/>
    <n v="1"/>
    <s v="Trading"/>
    <x v="2"/>
  </r>
  <r>
    <x v="0"/>
    <s v="Mar-2026"/>
    <x v="4"/>
    <s v="LGIT"/>
    <s v="901406"/>
    <x v="40"/>
    <n v="1"/>
    <n v="18980.695884615383"/>
    <n v="18980.695884615383"/>
    <n v="26000"/>
    <n v="493498093"/>
    <n v="20192.307692307691"/>
    <n v="525000000"/>
    <n v="20192.307692307691"/>
    <n v="525000000"/>
    <n v="-1211.6118076923085"/>
    <n v="-6.3833898138285258E-2"/>
    <s v="Trading"/>
    <x v="3"/>
  </r>
  <r>
    <x v="0"/>
    <s v="Mar-2026"/>
    <x v="4"/>
    <s v="LGIT"/>
    <s v="901372"/>
    <x v="41"/>
    <n v="1"/>
    <n v="19383.918826923076"/>
    <n v="19383.918826923076"/>
    <n v="26000"/>
    <n v="503981889.5"/>
    <n v="17307.692307692309"/>
    <n v="450000000"/>
    <n v="17307.692307692309"/>
    <n v="450000000"/>
    <n v="2076.2265192307677"/>
    <n v="0.10711077247945427"/>
    <s v="Trading"/>
    <x v="3"/>
  </r>
  <r>
    <x v="0"/>
    <s v="Mar-2026"/>
    <x v="4"/>
    <s v="LGIT"/>
    <s v="140354"/>
    <x v="42"/>
    <n v="1"/>
    <n v="18012.411673076924"/>
    <n v="18012.411673076924"/>
    <n v="26000"/>
    <n v="468322703.5"/>
    <n v="2503.396153846154"/>
    <n v="65088300"/>
    <n v="2503.396153846154"/>
    <n v="65088300.000000007"/>
    <n v="15509.01551923077"/>
    <n v="0.86101826899792833"/>
    <s v="Mold"/>
    <x v="1"/>
  </r>
  <r>
    <x v="1"/>
    <s v="Apr-2026"/>
    <x v="5"/>
    <s v="LGIT"/>
    <s v="901424"/>
    <x v="43"/>
    <n v="1"/>
    <n v="1371.5071538461539"/>
    <n v="1371.5071538461539"/>
    <n v="26000"/>
    <n v="35659186"/>
    <n v="978.84615384615381"/>
    <n v="25450000"/>
    <n v="978.84615384615381"/>
    <n v="25450000"/>
    <n v="392.66100000000006"/>
    <n v="0.28629890766435334"/>
    <s v="Trading"/>
    <x v="2"/>
  </r>
  <r>
    <x v="1"/>
    <s v="Apr-2026"/>
    <x v="5"/>
    <s v="LGIT"/>
    <s v="901423"/>
    <x v="44"/>
    <n v="1"/>
    <n v="548.59682692307695"/>
    <n v="548.59682692307695"/>
    <n v="26000"/>
    <n v="14263517.5"/>
    <n v="284.61538461538464"/>
    <n v="7400000"/>
    <n v="284.61538461538464"/>
    <n v="7400000.0000000009"/>
    <n v="263.9814423076923"/>
    <n v="0.48119389203960383"/>
    <s v="Trading"/>
    <x v="2"/>
  </r>
  <r>
    <x v="1"/>
    <s v="Apr-2026"/>
    <x v="5"/>
    <s v="LGIT"/>
    <s v="901438"/>
    <x v="45"/>
    <n v="1"/>
    <n v="40276.48144230769"/>
    <n v="40276.48144230769"/>
    <n v="26000"/>
    <n v="1047188517.5"/>
    <n v="22269.23076923077"/>
    <n v="579000000"/>
    <n v="22269.23076923077"/>
    <n v="579000000"/>
    <n v="18007.25067307692"/>
    <n v="0.44709095800413029"/>
    <s v="Trading"/>
    <x v="3"/>
  </r>
  <r>
    <x v="3"/>
    <s v="Apr-2026"/>
    <x v="5"/>
    <s v="Qualcomm ( Mobile)"/>
    <s v="901462"/>
    <x v="46"/>
    <n v="1"/>
    <n v="9981.4791000000005"/>
    <n v="9981.4791000000005"/>
    <n v="26000"/>
    <n v="259518456.59999999"/>
    <n v="6923.0769230769229"/>
    <n v="180000000"/>
    <n v="6923.0769230769229"/>
    <n v="180000000"/>
    <n v="3058.4021769230776"/>
    <n v="0.30640771235227826"/>
    <s v="Trading"/>
    <x v="3"/>
  </r>
  <r>
    <x v="3"/>
    <s v="Apr-2026"/>
    <x v="5"/>
    <s v="Qualcomm ( Mobile)"/>
    <s v="901464"/>
    <x v="47"/>
    <n v="1"/>
    <n v="7594.6040999999996"/>
    <n v="7594.6040999999996"/>
    <n v="26000"/>
    <n v="197459706.59999999"/>
    <n v="8846.1538461538457"/>
    <n v="230000000"/>
    <n v="8846.1538461538457"/>
    <n v="230000000"/>
    <n v="-1251.5497461538462"/>
    <n v="-0.16479460017591255"/>
    <s v="Trading"/>
    <x v="3"/>
  </r>
  <r>
    <x v="3"/>
    <s v="Apr-2026"/>
    <x v="5"/>
    <s v="Qualcomm ( Mobile)"/>
    <s v="901465"/>
    <x v="48"/>
    <n v="1"/>
    <n v="7594.6040999999996"/>
    <n v="7594.6040999999996"/>
    <n v="26000"/>
    <n v="197459706.59999999"/>
    <n v="2692.3076923076924"/>
    <n v="70000000"/>
    <n v="2692.3076923076924"/>
    <n v="70000000"/>
    <n v="4902.2964076923072"/>
    <n v="0.64549729559863533"/>
    <s v="Trading"/>
    <x v="3"/>
  </r>
  <r>
    <x v="3"/>
    <s v="Apr-2026"/>
    <x v="5"/>
    <s v="Qualcomm ( Mobile)"/>
    <s v="785060"/>
    <x v="49"/>
    <n v="1"/>
    <n v="9721.0936500000007"/>
    <n v="9721.0936500000007"/>
    <n v="26000"/>
    <n v="252748434.90000001"/>
    <n v="7500"/>
    <n v="195000000"/>
    <n v="7500"/>
    <n v="195000000"/>
    <n v="2221.0936500000007"/>
    <n v="0.22848186942422888"/>
    <s v="Trading"/>
    <x v="0"/>
  </r>
  <r>
    <x v="3"/>
    <s v="Apr-2026"/>
    <x v="5"/>
    <s v="Qualcomm ( Mobile)"/>
    <s v="901463"/>
    <x v="50"/>
    <n v="1"/>
    <n v="13453.291800000001"/>
    <n v="13453.291800000001"/>
    <n v="26000"/>
    <n v="349785586.80000001"/>
    <n v="10000"/>
    <n v="260000000"/>
    <n v="10000"/>
    <n v="260000000"/>
    <n v="3453.2918000000009"/>
    <n v="0.25668749710758526"/>
    <s v="Trading"/>
    <x v="3"/>
  </r>
  <r>
    <x v="3"/>
    <s v="Apr-2026"/>
    <x v="5"/>
    <s v="Qualcomm ( Mobile)"/>
    <s v="785061"/>
    <x v="51"/>
    <n v="1"/>
    <n v="8592.75"/>
    <n v="8592.75"/>
    <n v="26000"/>
    <n v="223411500"/>
    <n v="6730.7692307692305"/>
    <n v="175000000"/>
    <n v="6730.7692307692305"/>
    <n v="175000000"/>
    <n v="1861.9807692307695"/>
    <n v="0.21669206822388287"/>
    <s v="Trading"/>
    <x v="0"/>
  </r>
  <r>
    <x v="7"/>
    <s v="Apr-2026"/>
    <x v="5"/>
    <s v="Mando"/>
    <s v="901460"/>
    <x v="52"/>
    <n v="1"/>
    <n v="502.88461538461536"/>
    <n v="502.88461538461536"/>
    <n v="26000"/>
    <n v="13075000"/>
    <n v="153.84615384615384"/>
    <n v="4000000"/>
    <n v="153.84615384615384"/>
    <n v="4000000"/>
    <n v="349.03846153846155"/>
    <n v="0.6940726577437859"/>
    <s v="Trading"/>
    <x v="2"/>
  </r>
  <r>
    <x v="9"/>
    <m/>
    <x v="6"/>
    <m/>
    <m/>
    <x v="53"/>
    <m/>
    <m/>
    <m/>
    <m/>
    <m/>
    <m/>
    <m/>
    <m/>
    <m/>
    <m/>
    <m/>
    <m/>
    <x v="5"/>
  </r>
  <r>
    <x v="9"/>
    <m/>
    <x v="6"/>
    <m/>
    <m/>
    <x v="53"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3:Q72" firstHeaderRow="1" firstDataRow="3" firstDataCol="3"/>
  <pivotFields count="19">
    <pivotField axis="axisRow" compact="0" outline="0" showAll="0">
      <items count="11">
        <item x="8"/>
        <item x="4"/>
        <item x="5"/>
        <item x="6"/>
        <item x="0"/>
        <item x="1"/>
        <item x="3"/>
        <item x="7"/>
        <item x="2"/>
        <item x="9"/>
        <item t="default"/>
      </items>
    </pivotField>
    <pivotField compact="0" outline="0" showAll="0"/>
    <pivotField axis="axisCol" compact="0" outline="0" showAll="0">
      <items count="8">
        <item x="0"/>
        <item x="1"/>
        <item x="2"/>
        <item x="3"/>
        <item x="4"/>
        <item x="5"/>
        <item h="1" x="6"/>
        <item t="default"/>
      </items>
    </pivotField>
    <pivotField compact="0" outline="0" showAll="0"/>
    <pivotField compact="0" outline="0" showAll="0"/>
    <pivotField axis="axisRow" compact="0" outline="0" showAll="0">
      <items count="55">
        <item x="18"/>
        <item x="19"/>
        <item x="22"/>
        <item x="23"/>
        <item x="24"/>
        <item x="25"/>
        <item x="26"/>
        <item x="27"/>
        <item x="46"/>
        <item x="47"/>
        <item x="48"/>
        <item x="49"/>
        <item x="50"/>
        <item x="51"/>
        <item x="29"/>
        <item x="7"/>
        <item x="9"/>
        <item x="30"/>
        <item x="8"/>
        <item x="52"/>
        <item x="43"/>
        <item x="44"/>
        <item x="45"/>
        <item x="17"/>
        <item x="20"/>
        <item x="21"/>
        <item x="40"/>
        <item x="15"/>
        <item x="16"/>
        <item x="0"/>
        <item x="1"/>
        <item x="41"/>
        <item x="6"/>
        <item x="2"/>
        <item x="5"/>
        <item x="14"/>
        <item x="28"/>
        <item x="31"/>
        <item x="32"/>
        <item x="33"/>
        <item x="34"/>
        <item x="35"/>
        <item x="36"/>
        <item x="37"/>
        <item x="38"/>
        <item x="42"/>
        <item x="3"/>
        <item x="4"/>
        <item x="10"/>
        <item x="11"/>
        <item x="12"/>
        <item x="13"/>
        <item x="39"/>
        <item x="53"/>
        <item t="default"/>
      </items>
    </pivotField>
    <pivotField dataField="1" compact="0" outline="0" showAll="0"/>
    <pivotField compact="0" outline="0" showAl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6">
        <item x="4"/>
        <item x="2"/>
        <item x="1"/>
        <item x="3"/>
        <item x="0"/>
        <item x="5"/>
      </items>
    </pivotField>
  </pivotFields>
  <rowFields count="3">
    <field x="0"/>
    <field x="18"/>
    <field x="5"/>
  </rowFields>
  <rowItems count="67">
    <i>
      <x/>
      <x/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1">
      <x v="1"/>
      <x v="14"/>
    </i>
    <i r="2">
      <x v="17"/>
    </i>
    <i r="2">
      <x v="52"/>
    </i>
    <i t="default">
      <x/>
    </i>
    <i>
      <x v="1"/>
      <x v="1"/>
      <x v="16"/>
    </i>
    <i r="1">
      <x v="4"/>
      <x v="48"/>
    </i>
    <i r="2">
      <x v="49"/>
    </i>
    <i r="2">
      <x v="50"/>
    </i>
    <i t="default">
      <x v="1"/>
    </i>
    <i>
      <x v="2"/>
      <x v="1"/>
      <x v="16"/>
    </i>
    <i r="1">
      <x v="4"/>
      <x v="48"/>
    </i>
    <i r="2">
      <x v="49"/>
    </i>
    <i r="2">
      <x v="50"/>
    </i>
    <i r="2">
      <x v="51"/>
    </i>
    <i t="default">
      <x v="2"/>
    </i>
    <i>
      <x v="3"/>
      <x v="2"/>
      <x v="35"/>
    </i>
    <i t="default">
      <x v="3"/>
    </i>
    <i>
      <x v="4"/>
      <x v="2"/>
      <x v="45"/>
    </i>
    <i r="2">
      <x v="46"/>
    </i>
    <i r="2">
      <x v="47"/>
    </i>
    <i r="1">
      <x v="3"/>
      <x v="23"/>
    </i>
    <i r="2">
      <x v="24"/>
    </i>
    <i r="2">
      <x v="26"/>
    </i>
    <i r="2">
      <x v="31"/>
    </i>
    <i r="1">
      <x v="4"/>
      <x v="29"/>
    </i>
    <i r="2">
      <x v="30"/>
    </i>
    <i r="2">
      <x v="33"/>
    </i>
    <i t="default">
      <x v="4"/>
    </i>
    <i>
      <x v="5"/>
      <x v="1"/>
      <x v="20"/>
    </i>
    <i r="2">
      <x v="21"/>
    </i>
    <i r="1">
      <x v="3"/>
      <x v="22"/>
    </i>
    <i r="2">
      <x v="25"/>
    </i>
    <i r="1">
      <x v="4"/>
      <x v="34"/>
    </i>
    <i t="default">
      <x v="5"/>
    </i>
    <i>
      <x v="6"/>
      <x v="1"/>
      <x v="18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1">
      <x v="4"/>
      <x v="11"/>
    </i>
    <i r="2">
      <x v="13"/>
    </i>
    <i r="2">
      <x v="15"/>
    </i>
    <i r="2">
      <x v="36"/>
    </i>
    <i t="default">
      <x v="6"/>
    </i>
    <i>
      <x v="7"/>
      <x v="1"/>
      <x v="19"/>
    </i>
    <i r="1">
      <x v="4"/>
      <x v="27"/>
    </i>
    <i r="2">
      <x v="28"/>
    </i>
    <i t="default">
      <x v="7"/>
    </i>
    <i>
      <x v="8"/>
      <x v="4"/>
      <x v="32"/>
    </i>
    <i t="default">
      <x v="8"/>
    </i>
    <i t="grand">
      <x/>
    </i>
  </rowItems>
  <colFields count="2">
    <field x="2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 Sales Q'ty" fld="6" baseField="18" baseItem="0"/>
    <dataField name=" Sale amount" fld="8" baseField="0" baseItem="1"/>
  </dataFields>
  <formats count="12">
    <format dxfId="11">
      <pivotArea outline="0" collapsedLevelsAreSubtotals="1" fieldPosition="0"/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">
      <pivotArea dataOnly="0" outline="0" fieldPosition="0">
        <references count="1">
          <reference field="0" count="0" defaultSubtotal="1"/>
        </references>
      </pivotArea>
    </format>
    <format dxfId="6">
      <pivotArea dataOnly="0" outline="0" fieldPosition="0">
        <references count="1">
          <reference field="4294967294" count="1">
            <x v="0"/>
          </reference>
        </references>
      </pivotArea>
    </format>
    <format dxfId="5">
      <pivotArea dataOnly="0" outline="0" fieldPosition="0">
        <references count="1">
          <reference field="4294967294" count="1">
            <x v="0"/>
          </reference>
        </references>
      </pivotArea>
    </format>
    <format dxfId="4">
      <pivotArea dataOnly="0" outline="0" fieldPosition="0">
        <references count="1">
          <reference field="4294967294" count="1">
            <x v="0"/>
          </reference>
        </references>
      </pivotArea>
    </format>
    <format dxfId="3">
      <pivotArea dataOnly="0" outline="0" fieldPosition="0">
        <references count="1">
          <reference field="4294967294" count="1">
            <x v="0"/>
          </reference>
        </references>
      </pivotArea>
    </format>
    <format dxfId="2">
      <pivotArea dataOnly="0"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4294967294" count="1">
            <x v="1"/>
          </reference>
        </references>
      </pivotArea>
    </format>
    <format dxfId="0">
      <pivotArea dataOnly="0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93"/>
  <sheetViews>
    <sheetView workbookViewId="0">
      <pane xSplit="3" ySplit="5" topLeftCell="D45" activePane="bottomRight" state="frozen"/>
      <selection pane="topRight" activeCell="D1" sqref="D1"/>
      <selection pane="bottomLeft" activeCell="A6" sqref="A6"/>
      <selection pane="bottomRight" activeCell="C13" sqref="C13"/>
    </sheetView>
  </sheetViews>
  <sheetFormatPr defaultRowHeight="16.5" x14ac:dyDescent="0.3"/>
  <cols>
    <col min="1" max="1" width="42.875" customWidth="1"/>
    <col min="2" max="2" width="18.375" style="87" customWidth="1"/>
    <col min="3" max="3" width="103.375" style="87" customWidth="1"/>
    <col min="4" max="15" width="12.375" customWidth="1"/>
    <col min="16" max="16" width="15.125" customWidth="1"/>
    <col min="17" max="17" width="17.625" customWidth="1"/>
    <col min="18" max="18" width="15.125" bestFit="1" customWidth="1"/>
    <col min="19" max="19" width="17.625" bestFit="1" customWidth="1"/>
    <col min="20" max="24" width="13.875" bestFit="1" customWidth="1"/>
    <col min="25" max="25" width="15.125" bestFit="1" customWidth="1"/>
    <col min="26" max="26" width="17.625" bestFit="1" customWidth="1"/>
    <col min="27" max="27" width="18.875" bestFit="1" customWidth="1"/>
  </cols>
  <sheetData>
    <row r="3" spans="1:17" x14ac:dyDescent="0.3">
      <c r="B3"/>
      <c r="C3"/>
      <c r="D3" s="86" t="s">
        <v>2</v>
      </c>
      <c r="E3" s="86" t="s">
        <v>156</v>
      </c>
    </row>
    <row r="4" spans="1:17" x14ac:dyDescent="0.3">
      <c r="B4"/>
      <c r="C4"/>
      <c r="D4" t="s">
        <v>17</v>
      </c>
      <c r="F4" t="s">
        <v>44</v>
      </c>
      <c r="H4" t="s">
        <v>67</v>
      </c>
      <c r="J4" t="s">
        <v>71</v>
      </c>
      <c r="L4" t="s">
        <v>95</v>
      </c>
      <c r="N4" t="s">
        <v>124</v>
      </c>
      <c r="P4" t="s">
        <v>170</v>
      </c>
      <c r="Q4" t="s">
        <v>171</v>
      </c>
    </row>
    <row r="5" spans="1:17" x14ac:dyDescent="0.3">
      <c r="A5" s="86" t="s">
        <v>0</v>
      </c>
      <c r="B5" s="86" t="s">
        <v>15</v>
      </c>
      <c r="C5" s="86" t="s">
        <v>5</v>
      </c>
      <c r="D5" s="103" t="s">
        <v>166</v>
      </c>
      <c r="E5" s="104" t="s">
        <v>169</v>
      </c>
      <c r="F5" s="103" t="s">
        <v>166</v>
      </c>
      <c r="G5" s="104" t="s">
        <v>169</v>
      </c>
      <c r="H5" s="103" t="s">
        <v>166</v>
      </c>
      <c r="I5" s="104" t="s">
        <v>169</v>
      </c>
      <c r="J5" s="103" t="s">
        <v>166</v>
      </c>
      <c r="K5" s="104" t="s">
        <v>169</v>
      </c>
      <c r="L5" s="103" t="s">
        <v>166</v>
      </c>
      <c r="M5" s="104" t="s">
        <v>169</v>
      </c>
      <c r="N5" s="103" t="s">
        <v>166</v>
      </c>
      <c r="O5" s="104" t="s">
        <v>169</v>
      </c>
    </row>
    <row r="6" spans="1:17" x14ac:dyDescent="0.3">
      <c r="A6" t="s">
        <v>94</v>
      </c>
      <c r="B6" t="s">
        <v>151</v>
      </c>
      <c r="C6" t="s">
        <v>101</v>
      </c>
      <c r="D6" s="103"/>
      <c r="E6" s="104"/>
      <c r="F6" s="103"/>
      <c r="G6" s="104"/>
      <c r="H6" s="103"/>
      <c r="I6" s="104"/>
      <c r="J6" s="103"/>
      <c r="K6" s="104"/>
      <c r="L6" s="103">
        <v>1</v>
      </c>
      <c r="M6" s="104">
        <v>325.584</v>
      </c>
      <c r="N6" s="103"/>
      <c r="O6" s="104"/>
      <c r="P6" s="103">
        <v>1</v>
      </c>
      <c r="Q6" s="104">
        <v>325.584</v>
      </c>
    </row>
    <row r="7" spans="1:17" x14ac:dyDescent="0.3">
      <c r="B7"/>
      <c r="C7" t="s">
        <v>103</v>
      </c>
      <c r="D7" s="103"/>
      <c r="E7" s="104"/>
      <c r="F7" s="103"/>
      <c r="G7" s="104"/>
      <c r="H7" s="103"/>
      <c r="I7" s="104"/>
      <c r="J7" s="103"/>
      <c r="K7" s="104"/>
      <c r="L7" s="103">
        <v>1</v>
      </c>
      <c r="M7" s="104">
        <v>325.584</v>
      </c>
      <c r="N7" s="103"/>
      <c r="O7" s="104"/>
      <c r="P7" s="103">
        <v>1</v>
      </c>
      <c r="Q7" s="104">
        <v>325.584</v>
      </c>
    </row>
    <row r="8" spans="1:17" x14ac:dyDescent="0.3">
      <c r="B8"/>
      <c r="C8" t="s">
        <v>105</v>
      </c>
      <c r="D8" s="103"/>
      <c r="E8" s="104"/>
      <c r="F8" s="103"/>
      <c r="G8" s="104"/>
      <c r="H8" s="103"/>
      <c r="I8" s="104"/>
      <c r="J8" s="103"/>
      <c r="K8" s="104"/>
      <c r="L8" s="103">
        <v>1</v>
      </c>
      <c r="M8" s="104">
        <v>501.94200000000001</v>
      </c>
      <c r="N8" s="103"/>
      <c r="O8" s="104"/>
      <c r="P8" s="103">
        <v>1</v>
      </c>
      <c r="Q8" s="104">
        <v>501.94200000000001</v>
      </c>
    </row>
    <row r="9" spans="1:17" x14ac:dyDescent="0.3">
      <c r="B9"/>
      <c r="C9" t="s">
        <v>107</v>
      </c>
      <c r="D9" s="103"/>
      <c r="E9" s="104"/>
      <c r="F9" s="103"/>
      <c r="G9" s="104"/>
      <c r="H9" s="103"/>
      <c r="I9" s="104"/>
      <c r="J9" s="103"/>
      <c r="K9" s="104"/>
      <c r="L9" s="103">
        <v>1</v>
      </c>
      <c r="M9" s="104">
        <v>770</v>
      </c>
      <c r="N9" s="103"/>
      <c r="O9" s="104"/>
      <c r="P9" s="103">
        <v>1</v>
      </c>
      <c r="Q9" s="104">
        <v>770</v>
      </c>
    </row>
    <row r="10" spans="1:17" x14ac:dyDescent="0.3">
      <c r="B10"/>
      <c r="C10" t="s">
        <v>109</v>
      </c>
      <c r="D10" s="103"/>
      <c r="E10" s="104"/>
      <c r="F10" s="103"/>
      <c r="G10" s="104"/>
      <c r="H10" s="103"/>
      <c r="I10" s="104"/>
      <c r="J10" s="103"/>
      <c r="K10" s="104"/>
      <c r="L10" s="103">
        <v>1</v>
      </c>
      <c r="M10" s="104">
        <v>81.396000000000001</v>
      </c>
      <c r="N10" s="103"/>
      <c r="O10" s="104"/>
      <c r="P10" s="103">
        <v>1</v>
      </c>
      <c r="Q10" s="104">
        <v>81.396000000000001</v>
      </c>
    </row>
    <row r="11" spans="1:17" x14ac:dyDescent="0.3">
      <c r="B11"/>
      <c r="C11" t="s">
        <v>111</v>
      </c>
      <c r="D11" s="103"/>
      <c r="E11" s="104"/>
      <c r="F11" s="103"/>
      <c r="G11" s="104"/>
      <c r="H11" s="103"/>
      <c r="I11" s="104"/>
      <c r="J11" s="103"/>
      <c r="K11" s="104"/>
      <c r="L11" s="103">
        <v>1</v>
      </c>
      <c r="M11" s="104">
        <v>81.396000000000001</v>
      </c>
      <c r="N11" s="103"/>
      <c r="O11" s="104"/>
      <c r="P11" s="103">
        <v>1</v>
      </c>
      <c r="Q11" s="104">
        <v>81.396000000000001</v>
      </c>
    </row>
    <row r="12" spans="1:17" x14ac:dyDescent="0.3">
      <c r="B12"/>
      <c r="C12" t="s">
        <v>113</v>
      </c>
      <c r="D12" s="103"/>
      <c r="E12" s="104"/>
      <c r="F12" s="103"/>
      <c r="G12" s="104"/>
      <c r="H12" s="103"/>
      <c r="I12" s="104"/>
      <c r="J12" s="103"/>
      <c r="K12" s="104"/>
      <c r="L12" s="103">
        <v>1</v>
      </c>
      <c r="M12" s="104">
        <v>81.396000000000001</v>
      </c>
      <c r="N12" s="103"/>
      <c r="O12" s="104"/>
      <c r="P12" s="103">
        <v>1</v>
      </c>
      <c r="Q12" s="104">
        <v>81.396000000000001</v>
      </c>
    </row>
    <row r="13" spans="1:17" x14ac:dyDescent="0.3">
      <c r="B13"/>
      <c r="C13" t="s">
        <v>115</v>
      </c>
      <c r="D13" s="103"/>
      <c r="E13" s="104"/>
      <c r="F13" s="103"/>
      <c r="G13" s="104"/>
      <c r="H13" s="103"/>
      <c r="I13" s="104"/>
      <c r="J13" s="103"/>
      <c r="K13" s="104"/>
      <c r="L13" s="103">
        <v>1</v>
      </c>
      <c r="M13" s="104">
        <v>81.396000000000001</v>
      </c>
      <c r="N13" s="103"/>
      <c r="O13" s="104"/>
      <c r="P13" s="103">
        <v>1</v>
      </c>
      <c r="Q13" s="104">
        <v>81.396000000000001</v>
      </c>
    </row>
    <row r="14" spans="1:17" x14ac:dyDescent="0.3">
      <c r="B14" t="s">
        <v>152</v>
      </c>
      <c r="C14" t="s">
        <v>97</v>
      </c>
      <c r="D14" s="103"/>
      <c r="E14" s="104"/>
      <c r="F14" s="103"/>
      <c r="G14" s="104"/>
      <c r="H14" s="103"/>
      <c r="I14" s="104"/>
      <c r="J14" s="103"/>
      <c r="K14" s="104"/>
      <c r="L14" s="103">
        <v>1</v>
      </c>
      <c r="M14" s="104">
        <v>2121</v>
      </c>
      <c r="N14" s="103"/>
      <c r="O14" s="104"/>
      <c r="P14" s="103">
        <v>1</v>
      </c>
      <c r="Q14" s="104">
        <v>2121</v>
      </c>
    </row>
    <row r="15" spans="1:17" x14ac:dyDescent="0.3">
      <c r="B15"/>
      <c r="C15" t="s">
        <v>99</v>
      </c>
      <c r="D15" s="103"/>
      <c r="E15" s="104"/>
      <c r="F15" s="103"/>
      <c r="G15" s="104"/>
      <c r="H15" s="103"/>
      <c r="I15" s="104"/>
      <c r="J15" s="103"/>
      <c r="K15" s="104"/>
      <c r="L15" s="103">
        <v>2</v>
      </c>
      <c r="M15" s="104">
        <v>949.62</v>
      </c>
      <c r="N15" s="103"/>
      <c r="O15" s="104"/>
      <c r="P15" s="103">
        <v>2</v>
      </c>
      <c r="Q15" s="104">
        <v>949.62</v>
      </c>
    </row>
    <row r="16" spans="1:17" x14ac:dyDescent="0.3">
      <c r="B16"/>
      <c r="C16" t="s">
        <v>117</v>
      </c>
      <c r="D16" s="103"/>
      <c r="E16" s="104"/>
      <c r="F16" s="103"/>
      <c r="G16" s="104"/>
      <c r="H16" s="103"/>
      <c r="I16" s="104"/>
      <c r="J16" s="103"/>
      <c r="K16" s="104"/>
      <c r="L16" s="103">
        <v>1</v>
      </c>
      <c r="M16" s="104">
        <v>501.94200000000001</v>
      </c>
      <c r="N16" s="103"/>
      <c r="O16" s="104"/>
      <c r="P16" s="103">
        <v>1</v>
      </c>
      <c r="Q16" s="104">
        <v>501.94200000000001</v>
      </c>
    </row>
    <row r="17" spans="1:17" x14ac:dyDescent="0.3">
      <c r="A17" s="88" t="s">
        <v>157</v>
      </c>
      <c r="B17" s="88"/>
      <c r="C17" s="88"/>
      <c r="D17" s="103"/>
      <c r="E17" s="104"/>
      <c r="F17" s="103"/>
      <c r="G17" s="104"/>
      <c r="H17" s="103"/>
      <c r="I17" s="104"/>
      <c r="J17" s="103"/>
      <c r="K17" s="104"/>
      <c r="L17" s="103">
        <v>12</v>
      </c>
      <c r="M17" s="104">
        <v>5821.2560000000003</v>
      </c>
      <c r="N17" s="103"/>
      <c r="O17" s="104"/>
      <c r="P17" s="103">
        <v>12</v>
      </c>
      <c r="Q17" s="104">
        <v>5821.2560000000003</v>
      </c>
    </row>
    <row r="18" spans="1:17" x14ac:dyDescent="0.3">
      <c r="A18" t="s">
        <v>43</v>
      </c>
      <c r="B18" t="s">
        <v>152</v>
      </c>
      <c r="C18" t="s">
        <v>47</v>
      </c>
      <c r="D18" s="103"/>
      <c r="E18" s="104"/>
      <c r="F18" s="103">
        <v>9</v>
      </c>
      <c r="G18" s="104">
        <v>2697.8078076923075</v>
      </c>
      <c r="H18" s="103"/>
      <c r="I18" s="104"/>
      <c r="J18" s="103"/>
      <c r="K18" s="104"/>
      <c r="L18" s="103"/>
      <c r="M18" s="104"/>
      <c r="N18" s="103"/>
      <c r="O18" s="104"/>
      <c r="P18" s="103">
        <v>9</v>
      </c>
      <c r="Q18" s="104">
        <v>2697.8078076923075</v>
      </c>
    </row>
    <row r="19" spans="1:17" x14ac:dyDescent="0.3">
      <c r="B19" t="s">
        <v>153</v>
      </c>
      <c r="C19" t="s">
        <v>49</v>
      </c>
      <c r="D19" s="103"/>
      <c r="E19" s="104"/>
      <c r="F19" s="103">
        <v>5</v>
      </c>
      <c r="G19" s="104">
        <v>13695.324230769231</v>
      </c>
      <c r="H19" s="103"/>
      <c r="I19" s="104"/>
      <c r="J19" s="103"/>
      <c r="K19" s="104"/>
      <c r="L19" s="103"/>
      <c r="M19" s="104"/>
      <c r="N19" s="103"/>
      <c r="O19" s="104"/>
      <c r="P19" s="103">
        <v>5</v>
      </c>
      <c r="Q19" s="104">
        <v>13695.324230769231</v>
      </c>
    </row>
    <row r="20" spans="1:17" x14ac:dyDescent="0.3">
      <c r="B20"/>
      <c r="C20" t="s">
        <v>51</v>
      </c>
      <c r="D20" s="103"/>
      <c r="E20" s="104"/>
      <c r="F20" s="103">
        <v>5</v>
      </c>
      <c r="G20" s="104">
        <v>51328.787192307689</v>
      </c>
      <c r="H20" s="103"/>
      <c r="I20" s="104"/>
      <c r="J20" s="103"/>
      <c r="K20" s="104"/>
      <c r="L20" s="103"/>
      <c r="M20" s="104"/>
      <c r="N20" s="103"/>
      <c r="O20" s="104"/>
      <c r="P20" s="103">
        <v>5</v>
      </c>
      <c r="Q20" s="104">
        <v>51328.787192307689</v>
      </c>
    </row>
    <row r="21" spans="1:17" x14ac:dyDescent="0.3">
      <c r="B21"/>
      <c r="C21" t="s">
        <v>53</v>
      </c>
      <c r="D21" s="103"/>
      <c r="E21" s="104"/>
      <c r="F21" s="103">
        <v>5</v>
      </c>
      <c r="G21" s="104">
        <v>10336.397538461539</v>
      </c>
      <c r="H21" s="103"/>
      <c r="I21" s="104"/>
      <c r="J21" s="103"/>
      <c r="K21" s="104"/>
      <c r="L21" s="103"/>
      <c r="M21" s="104"/>
      <c r="N21" s="103"/>
      <c r="O21" s="104"/>
      <c r="P21" s="103">
        <v>5</v>
      </c>
      <c r="Q21" s="104">
        <v>10336.397538461539</v>
      </c>
    </row>
    <row r="22" spans="1:17" x14ac:dyDescent="0.3">
      <c r="A22" s="88" t="s">
        <v>158</v>
      </c>
      <c r="B22" s="88"/>
      <c r="C22" s="88"/>
      <c r="D22" s="103"/>
      <c r="E22" s="104"/>
      <c r="F22" s="103">
        <v>24</v>
      </c>
      <c r="G22" s="104">
        <v>78058.316769230762</v>
      </c>
      <c r="H22" s="103"/>
      <c r="I22" s="104"/>
      <c r="J22" s="103"/>
      <c r="K22" s="104"/>
      <c r="L22" s="103"/>
      <c r="M22" s="104"/>
      <c r="N22" s="103"/>
      <c r="O22" s="104"/>
      <c r="P22" s="103">
        <v>24</v>
      </c>
      <c r="Q22" s="104">
        <v>78058.316769230762</v>
      </c>
    </row>
    <row r="23" spans="1:17" x14ac:dyDescent="0.3">
      <c r="A23" t="s">
        <v>54</v>
      </c>
      <c r="B23" t="s">
        <v>152</v>
      </c>
      <c r="C23" t="s">
        <v>47</v>
      </c>
      <c r="D23" s="103"/>
      <c r="E23" s="104"/>
      <c r="F23" s="103">
        <v>9</v>
      </c>
      <c r="G23" s="104">
        <v>2822.7243846153847</v>
      </c>
      <c r="H23" s="103"/>
      <c r="I23" s="104"/>
      <c r="J23" s="103"/>
      <c r="K23" s="104"/>
      <c r="L23" s="103"/>
      <c r="M23" s="104"/>
      <c r="N23" s="103"/>
      <c r="O23" s="104"/>
      <c r="P23" s="103">
        <v>9</v>
      </c>
      <c r="Q23" s="104">
        <v>2822.7243846153847</v>
      </c>
    </row>
    <row r="24" spans="1:17" x14ac:dyDescent="0.3">
      <c r="B24" t="s">
        <v>153</v>
      </c>
      <c r="C24" t="s">
        <v>49</v>
      </c>
      <c r="D24" s="103"/>
      <c r="E24" s="104"/>
      <c r="F24" s="103">
        <v>4</v>
      </c>
      <c r="G24" s="104">
        <v>11530.787769230768</v>
      </c>
      <c r="H24" s="103"/>
      <c r="I24" s="104"/>
      <c r="J24" s="103"/>
      <c r="K24" s="104"/>
      <c r="L24" s="103"/>
      <c r="M24" s="104"/>
      <c r="N24" s="103"/>
      <c r="O24" s="104"/>
      <c r="P24" s="103">
        <v>4</v>
      </c>
      <c r="Q24" s="104">
        <v>11530.787769230768</v>
      </c>
    </row>
    <row r="25" spans="1:17" x14ac:dyDescent="0.3">
      <c r="B25"/>
      <c r="C25" t="s">
        <v>51</v>
      </c>
      <c r="D25" s="103"/>
      <c r="E25" s="104"/>
      <c r="F25" s="103">
        <v>4</v>
      </c>
      <c r="G25" s="104">
        <v>43230.181499999999</v>
      </c>
      <c r="H25" s="103"/>
      <c r="I25" s="104"/>
      <c r="J25" s="103"/>
      <c r="K25" s="104"/>
      <c r="L25" s="103"/>
      <c r="M25" s="104"/>
      <c r="N25" s="103"/>
      <c r="O25" s="104"/>
      <c r="P25" s="103">
        <v>4</v>
      </c>
      <c r="Q25" s="104">
        <v>43230.181499999999</v>
      </c>
    </row>
    <row r="26" spans="1:17" x14ac:dyDescent="0.3">
      <c r="B26"/>
      <c r="C26" t="s">
        <v>53</v>
      </c>
      <c r="D26" s="103"/>
      <c r="E26" s="104"/>
      <c r="F26" s="103">
        <v>1</v>
      </c>
      <c r="G26" s="104">
        <v>2347.0524230769229</v>
      </c>
      <c r="H26" s="103"/>
      <c r="I26" s="104"/>
      <c r="J26" s="103"/>
      <c r="K26" s="104"/>
      <c r="L26" s="103"/>
      <c r="M26" s="104"/>
      <c r="N26" s="103"/>
      <c r="O26" s="104"/>
      <c r="P26" s="103">
        <v>1</v>
      </c>
      <c r="Q26" s="104">
        <v>2347.0524230769229</v>
      </c>
    </row>
    <row r="27" spans="1:17" x14ac:dyDescent="0.3">
      <c r="B27"/>
      <c r="C27" t="s">
        <v>56</v>
      </c>
      <c r="D27" s="103"/>
      <c r="E27" s="104"/>
      <c r="F27" s="103">
        <v>3</v>
      </c>
      <c r="G27" s="104">
        <v>6354.6517307692311</v>
      </c>
      <c r="H27" s="103"/>
      <c r="I27" s="104"/>
      <c r="J27" s="103"/>
      <c r="K27" s="104"/>
      <c r="L27" s="103"/>
      <c r="M27" s="104"/>
      <c r="N27" s="103"/>
      <c r="O27" s="104"/>
      <c r="P27" s="103">
        <v>3</v>
      </c>
      <c r="Q27" s="104">
        <v>6354.6517307692311</v>
      </c>
    </row>
    <row r="28" spans="1:17" x14ac:dyDescent="0.3">
      <c r="A28" s="88" t="s">
        <v>159</v>
      </c>
      <c r="B28" s="88"/>
      <c r="C28" s="88"/>
      <c r="D28" s="103"/>
      <c r="E28" s="104"/>
      <c r="F28" s="103">
        <v>21</v>
      </c>
      <c r="G28" s="104">
        <v>66285.397807692309</v>
      </c>
      <c r="H28" s="103"/>
      <c r="I28" s="104"/>
      <c r="J28" s="103"/>
      <c r="K28" s="104"/>
      <c r="L28" s="103"/>
      <c r="M28" s="104"/>
      <c r="N28" s="103"/>
      <c r="O28" s="104"/>
      <c r="P28" s="103">
        <v>21</v>
      </c>
      <c r="Q28" s="104">
        <v>66285.397807692309</v>
      </c>
    </row>
    <row r="29" spans="1:17" x14ac:dyDescent="0.3">
      <c r="A29" t="s">
        <v>57</v>
      </c>
      <c r="B29" t="s">
        <v>154</v>
      </c>
      <c r="C29" t="s">
        <v>60</v>
      </c>
      <c r="D29" s="103"/>
      <c r="E29" s="104"/>
      <c r="F29" s="103">
        <v>1</v>
      </c>
      <c r="G29" s="104">
        <v>10053.846153846154</v>
      </c>
      <c r="H29" s="103"/>
      <c r="I29" s="104"/>
      <c r="J29" s="103"/>
      <c r="K29" s="104"/>
      <c r="L29" s="103"/>
      <c r="M29" s="104"/>
      <c r="N29" s="103"/>
      <c r="O29" s="104"/>
      <c r="P29" s="103">
        <v>1</v>
      </c>
      <c r="Q29" s="104">
        <v>10053.846153846154</v>
      </c>
    </row>
    <row r="30" spans="1:17" x14ac:dyDescent="0.3">
      <c r="A30" s="88" t="s">
        <v>160</v>
      </c>
      <c r="B30" s="88"/>
      <c r="C30" s="88"/>
      <c r="D30" s="103"/>
      <c r="E30" s="104"/>
      <c r="F30" s="103">
        <v>1</v>
      </c>
      <c r="G30" s="104">
        <v>10053.846153846154</v>
      </c>
      <c r="H30" s="103"/>
      <c r="I30" s="104"/>
      <c r="J30" s="103"/>
      <c r="K30" s="104"/>
      <c r="L30" s="103"/>
      <c r="M30" s="104"/>
      <c r="N30" s="103"/>
      <c r="O30" s="104"/>
      <c r="P30" s="103">
        <v>1</v>
      </c>
      <c r="Q30" s="104">
        <v>10053.846153846154</v>
      </c>
    </row>
    <row r="31" spans="1:17" x14ac:dyDescent="0.3">
      <c r="A31" t="s">
        <v>16</v>
      </c>
      <c r="B31" t="s">
        <v>154</v>
      </c>
      <c r="C31" t="s">
        <v>123</v>
      </c>
      <c r="D31" s="103"/>
      <c r="E31" s="104"/>
      <c r="F31" s="103"/>
      <c r="G31" s="104"/>
      <c r="H31" s="103"/>
      <c r="I31" s="104"/>
      <c r="J31" s="103"/>
      <c r="K31" s="104"/>
      <c r="L31" s="103">
        <v>1</v>
      </c>
      <c r="M31" s="104">
        <v>18012.411673076924</v>
      </c>
      <c r="N31" s="103"/>
      <c r="O31" s="104"/>
      <c r="P31" s="103">
        <v>1</v>
      </c>
      <c r="Q31" s="104">
        <v>18012.411673076924</v>
      </c>
    </row>
    <row r="32" spans="1:17" x14ac:dyDescent="0.3">
      <c r="B32"/>
      <c r="C32" t="s">
        <v>27</v>
      </c>
      <c r="D32" s="103">
        <v>1</v>
      </c>
      <c r="E32" s="104">
        <v>11503.321830769231</v>
      </c>
      <c r="F32" s="103"/>
      <c r="G32" s="104"/>
      <c r="H32" s="103"/>
      <c r="I32" s="104"/>
      <c r="J32" s="103"/>
      <c r="K32" s="104"/>
      <c r="L32" s="103"/>
      <c r="M32" s="104"/>
      <c r="N32" s="103"/>
      <c r="O32" s="104"/>
      <c r="P32" s="103">
        <v>1</v>
      </c>
      <c r="Q32" s="104">
        <v>11503.321830769231</v>
      </c>
    </row>
    <row r="33" spans="1:17" x14ac:dyDescent="0.3">
      <c r="B33"/>
      <c r="C33" t="s">
        <v>29</v>
      </c>
      <c r="D33" s="103">
        <v>1</v>
      </c>
      <c r="E33" s="104">
        <v>11503.311796153848</v>
      </c>
      <c r="F33" s="103"/>
      <c r="G33" s="104"/>
      <c r="H33" s="103"/>
      <c r="I33" s="104"/>
      <c r="J33" s="103"/>
      <c r="K33" s="104"/>
      <c r="L33" s="103"/>
      <c r="M33" s="104"/>
      <c r="N33" s="103"/>
      <c r="O33" s="104"/>
      <c r="P33" s="103">
        <v>1</v>
      </c>
      <c r="Q33" s="104">
        <v>11503.311796153848</v>
      </c>
    </row>
    <row r="34" spans="1:17" x14ac:dyDescent="0.3">
      <c r="B34" t="s">
        <v>70</v>
      </c>
      <c r="C34" t="s">
        <v>69</v>
      </c>
      <c r="D34" s="103"/>
      <c r="E34" s="104"/>
      <c r="F34" s="103"/>
      <c r="G34" s="104"/>
      <c r="H34" s="103">
        <v>1</v>
      </c>
      <c r="I34" s="104">
        <v>23653.284907692308</v>
      </c>
      <c r="J34" s="103"/>
      <c r="K34" s="104"/>
      <c r="L34" s="103"/>
      <c r="M34" s="104"/>
      <c r="N34" s="103"/>
      <c r="O34" s="104"/>
      <c r="P34" s="103">
        <v>1</v>
      </c>
      <c r="Q34" s="104">
        <v>23653.284907692308</v>
      </c>
    </row>
    <row r="35" spans="1:17" x14ac:dyDescent="0.3">
      <c r="B35"/>
      <c r="C35" t="s">
        <v>77</v>
      </c>
      <c r="D35" s="103"/>
      <c r="E35" s="104"/>
      <c r="F35" s="103"/>
      <c r="G35" s="104"/>
      <c r="H35" s="103"/>
      <c r="I35" s="104"/>
      <c r="J35" s="103">
        <v>1</v>
      </c>
      <c r="K35" s="104">
        <v>23744.893292307694</v>
      </c>
      <c r="L35" s="103"/>
      <c r="M35" s="104"/>
      <c r="N35" s="103"/>
      <c r="O35" s="104"/>
      <c r="P35" s="103">
        <v>1</v>
      </c>
      <c r="Q35" s="104">
        <v>23744.893292307694</v>
      </c>
    </row>
    <row r="36" spans="1:17" x14ac:dyDescent="0.3">
      <c r="B36"/>
      <c r="C36" t="s">
        <v>119</v>
      </c>
      <c r="D36" s="103"/>
      <c r="E36" s="104"/>
      <c r="F36" s="103"/>
      <c r="G36" s="104"/>
      <c r="H36" s="103"/>
      <c r="I36" s="104"/>
      <c r="J36" s="103"/>
      <c r="K36" s="104"/>
      <c r="L36" s="103">
        <v>1</v>
      </c>
      <c r="M36" s="104">
        <v>18980.695884615383</v>
      </c>
      <c r="N36" s="103"/>
      <c r="O36" s="104"/>
      <c r="P36" s="103">
        <v>1</v>
      </c>
      <c r="Q36" s="104">
        <v>18980.695884615383</v>
      </c>
    </row>
    <row r="37" spans="1:17" x14ac:dyDescent="0.3">
      <c r="B37"/>
      <c r="C37" t="s">
        <v>121</v>
      </c>
      <c r="D37" s="103"/>
      <c r="E37" s="104"/>
      <c r="F37" s="103"/>
      <c r="G37" s="104"/>
      <c r="H37" s="103"/>
      <c r="I37" s="104"/>
      <c r="J37" s="103"/>
      <c r="K37" s="104"/>
      <c r="L37" s="103">
        <v>1</v>
      </c>
      <c r="M37" s="104">
        <v>19383.918826923076</v>
      </c>
      <c r="N37" s="103"/>
      <c r="O37" s="104"/>
      <c r="P37" s="103">
        <v>1</v>
      </c>
      <c r="Q37" s="104">
        <v>19383.918826923076</v>
      </c>
    </row>
    <row r="38" spans="1:17" x14ac:dyDescent="0.3">
      <c r="B38" t="s">
        <v>153</v>
      </c>
      <c r="C38" t="s">
        <v>20</v>
      </c>
      <c r="D38" s="103">
        <v>1</v>
      </c>
      <c r="E38" s="104">
        <v>23900.627546153846</v>
      </c>
      <c r="F38" s="103"/>
      <c r="G38" s="104"/>
      <c r="H38" s="103"/>
      <c r="I38" s="104"/>
      <c r="J38" s="103"/>
      <c r="K38" s="104"/>
      <c r="L38" s="103"/>
      <c r="M38" s="104"/>
      <c r="N38" s="103"/>
      <c r="O38" s="104"/>
      <c r="P38" s="103">
        <v>1</v>
      </c>
      <c r="Q38" s="104">
        <v>23900.627546153846</v>
      </c>
    </row>
    <row r="39" spans="1:17" x14ac:dyDescent="0.3">
      <c r="B39"/>
      <c r="C39" t="s">
        <v>23</v>
      </c>
      <c r="D39" s="103">
        <v>1</v>
      </c>
      <c r="E39" s="104">
        <v>19065.76923076923</v>
      </c>
      <c r="F39" s="103"/>
      <c r="G39" s="104"/>
      <c r="H39" s="103"/>
      <c r="I39" s="104"/>
      <c r="J39" s="103"/>
      <c r="K39" s="104"/>
      <c r="L39" s="103"/>
      <c r="M39" s="104"/>
      <c r="N39" s="103"/>
      <c r="O39" s="104"/>
      <c r="P39" s="103">
        <v>1</v>
      </c>
      <c r="Q39" s="104">
        <v>19065.76923076923</v>
      </c>
    </row>
    <row r="40" spans="1:17" x14ac:dyDescent="0.3">
      <c r="B40"/>
      <c r="C40" t="s">
        <v>25</v>
      </c>
      <c r="D40" s="103">
        <v>1</v>
      </c>
      <c r="E40" s="104">
        <v>22805.941319230766</v>
      </c>
      <c r="F40" s="103"/>
      <c r="G40" s="104"/>
      <c r="H40" s="103"/>
      <c r="I40" s="104"/>
      <c r="J40" s="103"/>
      <c r="K40" s="104"/>
      <c r="L40" s="103"/>
      <c r="M40" s="104"/>
      <c r="N40" s="103"/>
      <c r="O40" s="104"/>
      <c r="P40" s="103">
        <v>1</v>
      </c>
      <c r="Q40" s="104">
        <v>22805.941319230766</v>
      </c>
    </row>
    <row r="41" spans="1:17" x14ac:dyDescent="0.3">
      <c r="A41" s="88" t="s">
        <v>161</v>
      </c>
      <c r="B41" s="88"/>
      <c r="C41" s="88"/>
      <c r="D41" s="103">
        <v>5</v>
      </c>
      <c r="E41" s="104">
        <v>88778.971723076931</v>
      </c>
      <c r="F41" s="103"/>
      <c r="G41" s="104"/>
      <c r="H41" s="103">
        <v>1</v>
      </c>
      <c r="I41" s="104">
        <v>23653.284907692308</v>
      </c>
      <c r="J41" s="103">
        <v>1</v>
      </c>
      <c r="K41" s="104">
        <v>23744.893292307694</v>
      </c>
      <c r="L41" s="103">
        <v>3</v>
      </c>
      <c r="M41" s="104">
        <v>56377.026384615383</v>
      </c>
      <c r="N41" s="103"/>
      <c r="O41" s="104"/>
      <c r="P41" s="103">
        <v>10</v>
      </c>
      <c r="Q41" s="104">
        <v>192554.17630769228</v>
      </c>
    </row>
    <row r="42" spans="1:17" x14ac:dyDescent="0.3">
      <c r="A42" t="s">
        <v>30</v>
      </c>
      <c r="B42" t="s">
        <v>152</v>
      </c>
      <c r="C42" t="s">
        <v>126</v>
      </c>
      <c r="D42" s="103"/>
      <c r="E42" s="104"/>
      <c r="F42" s="103"/>
      <c r="G42" s="104"/>
      <c r="H42" s="103"/>
      <c r="I42" s="104"/>
      <c r="J42" s="103"/>
      <c r="K42" s="104"/>
      <c r="L42" s="103"/>
      <c r="M42" s="104"/>
      <c r="N42" s="103">
        <v>1</v>
      </c>
      <c r="O42" s="104">
        <v>1371.5071538461539</v>
      </c>
      <c r="P42" s="103">
        <v>1</v>
      </c>
      <c r="Q42" s="104">
        <v>1371.5071538461539</v>
      </c>
    </row>
    <row r="43" spans="1:17" x14ac:dyDescent="0.3">
      <c r="B43"/>
      <c r="C43" t="s">
        <v>128</v>
      </c>
      <c r="D43" s="103"/>
      <c r="E43" s="104"/>
      <c r="F43" s="103"/>
      <c r="G43" s="104"/>
      <c r="H43" s="103"/>
      <c r="I43" s="104"/>
      <c r="J43" s="103"/>
      <c r="K43" s="104"/>
      <c r="L43" s="103"/>
      <c r="M43" s="104"/>
      <c r="N43" s="103">
        <v>1</v>
      </c>
      <c r="O43" s="104">
        <v>548.59682692307695</v>
      </c>
      <c r="P43" s="103">
        <v>1</v>
      </c>
      <c r="Q43" s="104">
        <v>548.59682692307695</v>
      </c>
    </row>
    <row r="44" spans="1:17" x14ac:dyDescent="0.3">
      <c r="B44" t="s">
        <v>70</v>
      </c>
      <c r="C44" t="s">
        <v>130</v>
      </c>
      <c r="D44" s="103"/>
      <c r="E44" s="104"/>
      <c r="F44" s="103"/>
      <c r="G44" s="104"/>
      <c r="H44" s="103"/>
      <c r="I44" s="104"/>
      <c r="J44" s="103"/>
      <c r="K44" s="104"/>
      <c r="L44" s="103"/>
      <c r="M44" s="104"/>
      <c r="N44" s="103">
        <v>1</v>
      </c>
      <c r="O44" s="104">
        <v>40276.48144230769</v>
      </c>
      <c r="P44" s="103">
        <v>1</v>
      </c>
      <c r="Q44" s="104">
        <v>40276.48144230769</v>
      </c>
    </row>
    <row r="45" spans="1:17" x14ac:dyDescent="0.3">
      <c r="B45"/>
      <c r="C45" t="s">
        <v>79</v>
      </c>
      <c r="D45" s="103"/>
      <c r="E45" s="104"/>
      <c r="F45" s="103"/>
      <c r="G45" s="104"/>
      <c r="H45" s="103"/>
      <c r="I45" s="104"/>
      <c r="J45" s="103">
        <v>1</v>
      </c>
      <c r="K45" s="104">
        <v>22657.339938461537</v>
      </c>
      <c r="L45" s="103"/>
      <c r="M45" s="104"/>
      <c r="N45" s="103"/>
      <c r="O45" s="104"/>
      <c r="P45" s="103">
        <v>1</v>
      </c>
      <c r="Q45" s="104">
        <v>22657.339938461537</v>
      </c>
    </row>
    <row r="46" spans="1:17" x14ac:dyDescent="0.3">
      <c r="B46" t="s">
        <v>153</v>
      </c>
      <c r="C46" t="s">
        <v>32</v>
      </c>
      <c r="D46" s="103">
        <v>1</v>
      </c>
      <c r="E46" s="104">
        <v>20069.23076923077</v>
      </c>
      <c r="F46" s="103"/>
      <c r="G46" s="104"/>
      <c r="H46" s="103"/>
      <c r="I46" s="104"/>
      <c r="J46" s="103"/>
      <c r="K46" s="104"/>
      <c r="L46" s="103"/>
      <c r="M46" s="104"/>
      <c r="N46" s="103"/>
      <c r="O46" s="104"/>
      <c r="P46" s="103">
        <v>1</v>
      </c>
      <c r="Q46" s="104">
        <v>20069.23076923077</v>
      </c>
    </row>
    <row r="47" spans="1:17" x14ac:dyDescent="0.3">
      <c r="A47" s="88" t="s">
        <v>162</v>
      </c>
      <c r="B47" s="88"/>
      <c r="C47" s="88"/>
      <c r="D47" s="103">
        <v>1</v>
      </c>
      <c r="E47" s="104">
        <v>20069.23076923077</v>
      </c>
      <c r="F47" s="103"/>
      <c r="G47" s="104"/>
      <c r="H47" s="103"/>
      <c r="I47" s="104"/>
      <c r="J47" s="103">
        <v>1</v>
      </c>
      <c r="K47" s="104">
        <v>22657.339938461537</v>
      </c>
      <c r="L47" s="103"/>
      <c r="M47" s="104"/>
      <c r="N47" s="103">
        <v>3</v>
      </c>
      <c r="O47" s="104">
        <v>42196.585423076918</v>
      </c>
      <c r="P47" s="103">
        <v>5</v>
      </c>
      <c r="Q47" s="104">
        <v>84923.156130769217</v>
      </c>
    </row>
    <row r="48" spans="1:17" x14ac:dyDescent="0.3">
      <c r="A48" t="s">
        <v>37</v>
      </c>
      <c r="B48" t="s">
        <v>152</v>
      </c>
      <c r="C48" t="s">
        <v>42</v>
      </c>
      <c r="D48" s="103">
        <v>1</v>
      </c>
      <c r="E48" s="104">
        <v>485.50015384615386</v>
      </c>
      <c r="F48" s="103"/>
      <c r="G48" s="104"/>
      <c r="H48" s="103"/>
      <c r="I48" s="104"/>
      <c r="J48" s="103"/>
      <c r="K48" s="104"/>
      <c r="L48" s="103"/>
      <c r="M48" s="104"/>
      <c r="N48" s="103"/>
      <c r="O48" s="104"/>
      <c r="P48" s="103">
        <v>1</v>
      </c>
      <c r="Q48" s="104">
        <v>485.50015384615386</v>
      </c>
    </row>
    <row r="49" spans="2:17" x14ac:dyDescent="0.3">
      <c r="B49" t="s">
        <v>70</v>
      </c>
      <c r="C49" t="s">
        <v>73</v>
      </c>
      <c r="D49" s="103"/>
      <c r="E49" s="104"/>
      <c r="F49" s="103"/>
      <c r="G49" s="104"/>
      <c r="H49" s="103"/>
      <c r="I49" s="104"/>
      <c r="J49" s="103">
        <v>1</v>
      </c>
      <c r="K49" s="104">
        <v>5182.8065019230771</v>
      </c>
      <c r="L49" s="103"/>
      <c r="M49" s="104"/>
      <c r="N49" s="103"/>
      <c r="O49" s="104"/>
      <c r="P49" s="103">
        <v>1</v>
      </c>
      <c r="Q49" s="104">
        <v>5182.8065019230771</v>
      </c>
    </row>
    <row r="50" spans="2:17" x14ac:dyDescent="0.3">
      <c r="B50"/>
      <c r="C50" t="s">
        <v>75</v>
      </c>
      <c r="D50" s="103"/>
      <c r="E50" s="104"/>
      <c r="F50" s="103"/>
      <c r="G50" s="104"/>
      <c r="H50" s="103"/>
      <c r="I50" s="104"/>
      <c r="J50" s="103">
        <v>1</v>
      </c>
      <c r="K50" s="104">
        <v>5182.8065019230771</v>
      </c>
      <c r="L50" s="103"/>
      <c r="M50" s="104"/>
      <c r="N50" s="103"/>
      <c r="O50" s="104"/>
      <c r="P50" s="103">
        <v>1</v>
      </c>
      <c r="Q50" s="104">
        <v>5182.8065019230771</v>
      </c>
    </row>
    <row r="51" spans="2:17" x14ac:dyDescent="0.3">
      <c r="B51"/>
      <c r="C51" t="s">
        <v>81</v>
      </c>
      <c r="D51" s="103"/>
      <c r="E51" s="104"/>
      <c r="F51" s="103"/>
      <c r="G51" s="104"/>
      <c r="H51" s="103"/>
      <c r="I51" s="104"/>
      <c r="J51" s="103">
        <v>1</v>
      </c>
      <c r="K51" s="104">
        <v>7990.1762769230763</v>
      </c>
      <c r="L51" s="103"/>
      <c r="M51" s="104"/>
      <c r="N51" s="103"/>
      <c r="O51" s="104"/>
      <c r="P51" s="103">
        <v>1</v>
      </c>
      <c r="Q51" s="104">
        <v>7990.1762769230763</v>
      </c>
    </row>
    <row r="52" spans="2:17" x14ac:dyDescent="0.3">
      <c r="B52"/>
      <c r="C52" t="s">
        <v>83</v>
      </c>
      <c r="D52" s="103"/>
      <c r="E52" s="104"/>
      <c r="F52" s="103"/>
      <c r="G52" s="104"/>
      <c r="H52" s="103"/>
      <c r="I52" s="104"/>
      <c r="J52" s="103">
        <v>1</v>
      </c>
      <c r="K52" s="104">
        <v>7990.1762769230763</v>
      </c>
      <c r="L52" s="103"/>
      <c r="M52" s="104"/>
      <c r="N52" s="103"/>
      <c r="O52" s="104"/>
      <c r="P52" s="103">
        <v>1</v>
      </c>
      <c r="Q52" s="104">
        <v>7990.1762769230763</v>
      </c>
    </row>
    <row r="53" spans="2:17" x14ac:dyDescent="0.3">
      <c r="B53"/>
      <c r="C53" t="s">
        <v>85</v>
      </c>
      <c r="D53" s="103"/>
      <c r="E53" s="104"/>
      <c r="F53" s="103"/>
      <c r="G53" s="104"/>
      <c r="H53" s="103"/>
      <c r="I53" s="104"/>
      <c r="J53" s="103">
        <v>1</v>
      </c>
      <c r="K53" s="104">
        <v>4275.8221153846152</v>
      </c>
      <c r="L53" s="103"/>
      <c r="M53" s="104"/>
      <c r="N53" s="103"/>
      <c r="O53" s="104"/>
      <c r="P53" s="103">
        <v>1</v>
      </c>
      <c r="Q53" s="104">
        <v>4275.8221153846152</v>
      </c>
    </row>
    <row r="54" spans="2:17" x14ac:dyDescent="0.3">
      <c r="B54"/>
      <c r="C54" t="s">
        <v>87</v>
      </c>
      <c r="D54" s="103"/>
      <c r="E54" s="104"/>
      <c r="F54" s="103"/>
      <c r="G54" s="104"/>
      <c r="H54" s="103"/>
      <c r="I54" s="104"/>
      <c r="J54" s="103">
        <v>1</v>
      </c>
      <c r="K54" s="104">
        <v>4275.8221153846152</v>
      </c>
      <c r="L54" s="103"/>
      <c r="M54" s="104"/>
      <c r="N54" s="103"/>
      <c r="O54" s="104"/>
      <c r="P54" s="103">
        <v>1</v>
      </c>
      <c r="Q54" s="104">
        <v>4275.8221153846152</v>
      </c>
    </row>
    <row r="55" spans="2:17" x14ac:dyDescent="0.3">
      <c r="B55"/>
      <c r="C55" t="s">
        <v>89</v>
      </c>
      <c r="D55" s="103"/>
      <c r="E55" s="104"/>
      <c r="F55" s="103"/>
      <c r="G55" s="104"/>
      <c r="H55" s="103"/>
      <c r="I55" s="104"/>
      <c r="J55" s="103">
        <v>1</v>
      </c>
      <c r="K55" s="104">
        <v>8206.1277980769228</v>
      </c>
      <c r="L55" s="103"/>
      <c r="M55" s="104"/>
      <c r="N55" s="103"/>
      <c r="O55" s="104"/>
      <c r="P55" s="103">
        <v>1</v>
      </c>
      <c r="Q55" s="104">
        <v>8206.1277980769228</v>
      </c>
    </row>
    <row r="56" spans="2:17" x14ac:dyDescent="0.3">
      <c r="B56"/>
      <c r="C56" t="s">
        <v>91</v>
      </c>
      <c r="D56" s="103"/>
      <c r="E56" s="104"/>
      <c r="F56" s="103"/>
      <c r="G56" s="104"/>
      <c r="H56" s="103"/>
      <c r="I56" s="104"/>
      <c r="J56" s="103">
        <v>1</v>
      </c>
      <c r="K56" s="104">
        <v>8179.3052307692305</v>
      </c>
      <c r="L56" s="103"/>
      <c r="M56" s="104"/>
      <c r="N56" s="103"/>
      <c r="O56" s="104"/>
      <c r="P56" s="103">
        <v>1</v>
      </c>
      <c r="Q56" s="104">
        <v>8179.3052307692305</v>
      </c>
    </row>
    <row r="57" spans="2:17" x14ac:dyDescent="0.3">
      <c r="B57"/>
      <c r="C57" t="s">
        <v>132</v>
      </c>
      <c r="D57" s="103"/>
      <c r="E57" s="104"/>
      <c r="F57" s="103"/>
      <c r="G57" s="104"/>
      <c r="H57" s="103"/>
      <c r="I57" s="104"/>
      <c r="J57" s="103"/>
      <c r="K57" s="104"/>
      <c r="L57" s="103"/>
      <c r="M57" s="104"/>
      <c r="N57" s="103">
        <v>1</v>
      </c>
      <c r="O57" s="104">
        <v>9981.4791000000005</v>
      </c>
      <c r="P57" s="103">
        <v>1</v>
      </c>
      <c r="Q57" s="104">
        <v>9981.4791000000005</v>
      </c>
    </row>
    <row r="58" spans="2:17" x14ac:dyDescent="0.3">
      <c r="B58"/>
      <c r="C58" t="s">
        <v>134</v>
      </c>
      <c r="D58" s="103"/>
      <c r="E58" s="104"/>
      <c r="F58" s="103"/>
      <c r="G58" s="104"/>
      <c r="H58" s="103"/>
      <c r="I58" s="104"/>
      <c r="J58" s="103"/>
      <c r="K58" s="104"/>
      <c r="L58" s="103"/>
      <c r="M58" s="104"/>
      <c r="N58" s="103">
        <v>1</v>
      </c>
      <c r="O58" s="104">
        <v>7594.6040999999996</v>
      </c>
      <c r="P58" s="103">
        <v>1</v>
      </c>
      <c r="Q58" s="104">
        <v>7594.6040999999996</v>
      </c>
    </row>
    <row r="59" spans="2:17" x14ac:dyDescent="0.3">
      <c r="B59"/>
      <c r="C59" t="s">
        <v>136</v>
      </c>
      <c r="D59" s="103"/>
      <c r="E59" s="104"/>
      <c r="F59" s="103"/>
      <c r="G59" s="104"/>
      <c r="H59" s="103"/>
      <c r="I59" s="104"/>
      <c r="J59" s="103"/>
      <c r="K59" s="104"/>
      <c r="L59" s="103"/>
      <c r="M59" s="104"/>
      <c r="N59" s="103">
        <v>1</v>
      </c>
      <c r="O59" s="104">
        <v>7594.6040999999996</v>
      </c>
      <c r="P59" s="103">
        <v>1</v>
      </c>
      <c r="Q59" s="104">
        <v>7594.6040999999996</v>
      </c>
    </row>
    <row r="60" spans="2:17" x14ac:dyDescent="0.3">
      <c r="B60"/>
      <c r="C60" t="s">
        <v>140</v>
      </c>
      <c r="D60" s="103"/>
      <c r="E60" s="104"/>
      <c r="F60" s="103"/>
      <c r="G60" s="104"/>
      <c r="H60" s="103"/>
      <c r="I60" s="104"/>
      <c r="J60" s="103"/>
      <c r="K60" s="104"/>
      <c r="L60" s="103"/>
      <c r="M60" s="104"/>
      <c r="N60" s="103">
        <v>1</v>
      </c>
      <c r="O60" s="104">
        <v>13453.291800000001</v>
      </c>
      <c r="P60" s="103">
        <v>1</v>
      </c>
      <c r="Q60" s="104">
        <v>13453.291800000001</v>
      </c>
    </row>
    <row r="61" spans="2:17" x14ac:dyDescent="0.3">
      <c r="B61" t="s">
        <v>153</v>
      </c>
      <c r="C61" t="s">
        <v>138</v>
      </c>
      <c r="D61" s="103"/>
      <c r="E61" s="104"/>
      <c r="F61" s="103"/>
      <c r="G61" s="104"/>
      <c r="H61" s="103"/>
      <c r="I61" s="104"/>
      <c r="J61" s="103"/>
      <c r="K61" s="104"/>
      <c r="L61" s="103"/>
      <c r="M61" s="104"/>
      <c r="N61" s="103">
        <v>1</v>
      </c>
      <c r="O61" s="104">
        <v>9721.0936500000007</v>
      </c>
      <c r="P61" s="103">
        <v>1</v>
      </c>
      <c r="Q61" s="104">
        <v>9721.0936500000007</v>
      </c>
    </row>
    <row r="62" spans="2:17" x14ac:dyDescent="0.3">
      <c r="B62"/>
      <c r="C62" t="s">
        <v>142</v>
      </c>
      <c r="D62" s="103"/>
      <c r="E62" s="104"/>
      <c r="F62" s="103"/>
      <c r="G62" s="104"/>
      <c r="H62" s="103"/>
      <c r="I62" s="104"/>
      <c r="J62" s="103"/>
      <c r="K62" s="104"/>
      <c r="L62" s="103"/>
      <c r="M62" s="104"/>
      <c r="N62" s="103">
        <v>1</v>
      </c>
      <c r="O62" s="104">
        <v>8592.75</v>
      </c>
      <c r="P62" s="103">
        <v>1</v>
      </c>
      <c r="Q62" s="104">
        <v>8592.75</v>
      </c>
    </row>
    <row r="63" spans="2:17" x14ac:dyDescent="0.3">
      <c r="B63"/>
      <c r="C63" t="s">
        <v>40</v>
      </c>
      <c r="D63" s="103">
        <v>1</v>
      </c>
      <c r="E63" s="104">
        <v>5115.0478846153846</v>
      </c>
      <c r="F63" s="103"/>
      <c r="G63" s="104"/>
      <c r="H63" s="103"/>
      <c r="I63" s="104"/>
      <c r="J63" s="103"/>
      <c r="K63" s="104"/>
      <c r="L63" s="103"/>
      <c r="M63" s="104"/>
      <c r="N63" s="103"/>
      <c r="O63" s="104"/>
      <c r="P63" s="103">
        <v>1</v>
      </c>
      <c r="Q63" s="104">
        <v>5115.0478846153846</v>
      </c>
    </row>
    <row r="64" spans="2:17" x14ac:dyDescent="0.3">
      <c r="B64"/>
      <c r="C64" t="s">
        <v>93</v>
      </c>
      <c r="D64" s="103"/>
      <c r="E64" s="104"/>
      <c r="F64" s="103"/>
      <c r="G64" s="104"/>
      <c r="H64" s="103"/>
      <c r="I64" s="104"/>
      <c r="J64" s="103">
        <v>1</v>
      </c>
      <c r="K64" s="104">
        <v>3443.9206153846153</v>
      </c>
      <c r="L64" s="103"/>
      <c r="M64" s="104"/>
      <c r="N64" s="103"/>
      <c r="O64" s="104"/>
      <c r="P64" s="103">
        <v>1</v>
      </c>
      <c r="Q64" s="104">
        <v>3443.9206153846153</v>
      </c>
    </row>
    <row r="65" spans="1:17" x14ac:dyDescent="0.3">
      <c r="A65" s="88" t="s">
        <v>163</v>
      </c>
      <c r="B65" s="88"/>
      <c r="C65" s="88"/>
      <c r="D65" s="103">
        <v>2</v>
      </c>
      <c r="E65" s="104">
        <v>5600.5480384615385</v>
      </c>
      <c r="F65" s="103"/>
      <c r="G65" s="104"/>
      <c r="H65" s="103"/>
      <c r="I65" s="104"/>
      <c r="J65" s="103">
        <v>9</v>
      </c>
      <c r="K65" s="104">
        <v>54726.963432692311</v>
      </c>
      <c r="L65" s="103"/>
      <c r="M65" s="104"/>
      <c r="N65" s="103">
        <v>6</v>
      </c>
      <c r="O65" s="104">
        <v>56937.822750000007</v>
      </c>
      <c r="P65" s="103">
        <v>17</v>
      </c>
      <c r="Q65" s="104">
        <v>117265.33422115384</v>
      </c>
    </row>
    <row r="66" spans="1:17" x14ac:dyDescent="0.3">
      <c r="A66" t="s">
        <v>61</v>
      </c>
      <c r="B66" t="s">
        <v>152</v>
      </c>
      <c r="C66" t="s">
        <v>144</v>
      </c>
      <c r="D66" s="103"/>
      <c r="E66" s="104"/>
      <c r="F66" s="103"/>
      <c r="G66" s="104"/>
      <c r="H66" s="103"/>
      <c r="I66" s="104"/>
      <c r="J66" s="103"/>
      <c r="K66" s="104"/>
      <c r="L66" s="103"/>
      <c r="M66" s="104"/>
      <c r="N66" s="103">
        <v>1</v>
      </c>
      <c r="O66" s="104">
        <v>502.88461538461536</v>
      </c>
      <c r="P66" s="103">
        <v>1</v>
      </c>
      <c r="Q66" s="104">
        <v>502.88461538461536</v>
      </c>
    </row>
    <row r="67" spans="1:17" x14ac:dyDescent="0.3">
      <c r="B67" t="s">
        <v>153</v>
      </c>
      <c r="C67" t="s">
        <v>64</v>
      </c>
      <c r="D67" s="103"/>
      <c r="E67" s="104"/>
      <c r="F67" s="103">
        <v>1</v>
      </c>
      <c r="G67" s="104">
        <v>26454.898753846155</v>
      </c>
      <c r="H67" s="103"/>
      <c r="I67" s="104"/>
      <c r="J67" s="103"/>
      <c r="K67" s="104"/>
      <c r="L67" s="103"/>
      <c r="M67" s="104"/>
      <c r="N67" s="103"/>
      <c r="O67" s="104"/>
      <c r="P67" s="103">
        <v>1</v>
      </c>
      <c r="Q67" s="104">
        <v>26454.898753846155</v>
      </c>
    </row>
    <row r="68" spans="1:17" x14ac:dyDescent="0.3">
      <c r="B68"/>
      <c r="C68" t="s">
        <v>66</v>
      </c>
      <c r="D68" s="103"/>
      <c r="E68" s="104"/>
      <c r="F68" s="103">
        <v>1</v>
      </c>
      <c r="G68" s="104">
        <v>26454.898753846155</v>
      </c>
      <c r="H68" s="103"/>
      <c r="I68" s="104"/>
      <c r="J68" s="103"/>
      <c r="K68" s="104"/>
      <c r="L68" s="103"/>
      <c r="M68" s="104"/>
      <c r="N68" s="103"/>
      <c r="O68" s="104"/>
      <c r="P68" s="103">
        <v>1</v>
      </c>
      <c r="Q68" s="104">
        <v>26454.898753846155</v>
      </c>
    </row>
    <row r="69" spans="1:17" x14ac:dyDescent="0.3">
      <c r="A69" s="88" t="s">
        <v>164</v>
      </c>
      <c r="B69" s="88"/>
      <c r="C69" s="88"/>
      <c r="D69" s="103"/>
      <c r="E69" s="104"/>
      <c r="F69" s="103">
        <v>2</v>
      </c>
      <c r="G69" s="104">
        <v>52909.79750769231</v>
      </c>
      <c r="H69" s="103"/>
      <c r="I69" s="104"/>
      <c r="J69" s="103"/>
      <c r="K69" s="104"/>
      <c r="L69" s="103"/>
      <c r="M69" s="104"/>
      <c r="N69" s="103">
        <v>1</v>
      </c>
      <c r="O69" s="104">
        <v>502.88461538461536</v>
      </c>
      <c r="P69" s="103">
        <v>3</v>
      </c>
      <c r="Q69" s="104">
        <v>53412.682123076927</v>
      </c>
    </row>
    <row r="70" spans="1:17" x14ac:dyDescent="0.3">
      <c r="A70" t="s">
        <v>33</v>
      </c>
      <c r="B70" t="s">
        <v>153</v>
      </c>
      <c r="C70" t="s">
        <v>36</v>
      </c>
      <c r="D70" s="103">
        <v>1</v>
      </c>
      <c r="E70" s="104">
        <v>35931.376923076925</v>
      </c>
      <c r="F70" s="103"/>
      <c r="G70" s="104"/>
      <c r="H70" s="103"/>
      <c r="I70" s="104"/>
      <c r="J70" s="103"/>
      <c r="K70" s="104"/>
      <c r="L70" s="103"/>
      <c r="M70" s="104"/>
      <c r="N70" s="103"/>
      <c r="O70" s="104"/>
      <c r="P70" s="103">
        <v>1</v>
      </c>
      <c r="Q70" s="104">
        <v>35931.376923076925</v>
      </c>
    </row>
    <row r="71" spans="1:17" x14ac:dyDescent="0.3">
      <c r="A71" s="88" t="s">
        <v>165</v>
      </c>
      <c r="B71" s="88"/>
      <c r="C71" s="88"/>
      <c r="D71" s="103">
        <v>1</v>
      </c>
      <c r="E71" s="104">
        <v>35931.376923076925</v>
      </c>
      <c r="F71" s="103"/>
      <c r="G71" s="104"/>
      <c r="H71" s="103"/>
      <c r="I71" s="104"/>
      <c r="J71" s="103"/>
      <c r="K71" s="104"/>
      <c r="L71" s="103"/>
      <c r="M71" s="104"/>
      <c r="N71" s="103"/>
      <c r="O71" s="104"/>
      <c r="P71" s="103">
        <v>1</v>
      </c>
      <c r="Q71" s="104">
        <v>35931.376923076925</v>
      </c>
    </row>
    <row r="72" spans="1:17" x14ac:dyDescent="0.3">
      <c r="A72" t="s">
        <v>155</v>
      </c>
      <c r="B72"/>
      <c r="C72"/>
      <c r="D72" s="103">
        <v>9</v>
      </c>
      <c r="E72" s="104">
        <v>150380.12745384616</v>
      </c>
      <c r="F72" s="103">
        <v>48</v>
      </c>
      <c r="G72" s="104">
        <v>207307.35823846154</v>
      </c>
      <c r="H72" s="103">
        <v>1</v>
      </c>
      <c r="I72" s="104">
        <v>23653.284907692308</v>
      </c>
      <c r="J72" s="103">
        <v>11</v>
      </c>
      <c r="K72" s="104">
        <v>101129.19666346152</v>
      </c>
      <c r="L72" s="103">
        <v>15</v>
      </c>
      <c r="M72" s="104">
        <v>62198.282384615391</v>
      </c>
      <c r="N72" s="103">
        <v>10</v>
      </c>
      <c r="O72" s="104">
        <v>99637.29278846152</v>
      </c>
      <c r="P72" s="103">
        <v>94</v>
      </c>
      <c r="Q72" s="104">
        <v>644305.54243653861</v>
      </c>
    </row>
    <row r="73" spans="1:17" x14ac:dyDescent="0.3">
      <c r="B73"/>
      <c r="C73"/>
    </row>
    <row r="74" spans="1:17" x14ac:dyDescent="0.3">
      <c r="B74"/>
      <c r="C74"/>
    </row>
    <row r="75" spans="1:17" x14ac:dyDescent="0.3">
      <c r="B75"/>
      <c r="C75"/>
    </row>
    <row r="76" spans="1:17" x14ac:dyDescent="0.3">
      <c r="B76"/>
      <c r="C76"/>
    </row>
    <row r="77" spans="1:17" x14ac:dyDescent="0.3">
      <c r="B77"/>
      <c r="C77"/>
    </row>
    <row r="78" spans="1:17" x14ac:dyDescent="0.3">
      <c r="B78"/>
      <c r="C78"/>
    </row>
    <row r="79" spans="1:17" x14ac:dyDescent="0.3">
      <c r="B79"/>
      <c r="C79"/>
    </row>
    <row r="80" spans="1:17" x14ac:dyDescent="0.3">
      <c r="B80"/>
      <c r="C80"/>
    </row>
    <row r="81" spans="2:3" x14ac:dyDescent="0.3">
      <c r="B81"/>
      <c r="C81"/>
    </row>
    <row r="82" spans="2:3" x14ac:dyDescent="0.3">
      <c r="B82"/>
      <c r="C82"/>
    </row>
    <row r="83" spans="2:3" x14ac:dyDescent="0.3">
      <c r="B83"/>
      <c r="C83"/>
    </row>
    <row r="84" spans="2:3" x14ac:dyDescent="0.3">
      <c r="B84"/>
      <c r="C84"/>
    </row>
    <row r="85" spans="2:3" x14ac:dyDescent="0.3">
      <c r="B85"/>
      <c r="C85"/>
    </row>
    <row r="86" spans="2:3" x14ac:dyDescent="0.3">
      <c r="B86"/>
      <c r="C86"/>
    </row>
    <row r="87" spans="2:3" x14ac:dyDescent="0.3">
      <c r="B87"/>
      <c r="C87"/>
    </row>
    <row r="88" spans="2:3" x14ac:dyDescent="0.3">
      <c r="B88"/>
      <c r="C88"/>
    </row>
    <row r="89" spans="2:3" x14ac:dyDescent="0.3">
      <c r="B89"/>
      <c r="C89"/>
    </row>
    <row r="90" spans="2:3" x14ac:dyDescent="0.3">
      <c r="B90"/>
      <c r="C90"/>
    </row>
    <row r="91" spans="2:3" x14ac:dyDescent="0.3">
      <c r="B91"/>
      <c r="C91"/>
    </row>
    <row r="92" spans="2:3" x14ac:dyDescent="0.3">
      <c r="B92"/>
      <c r="C92"/>
    </row>
    <row r="93" spans="2:3" x14ac:dyDescent="0.3">
      <c r="B93"/>
      <c r="C93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58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F25" sqref="F25"/>
    </sheetView>
  </sheetViews>
  <sheetFormatPr defaultRowHeight="16.5" x14ac:dyDescent="0.3"/>
  <cols>
    <col min="1" max="3" width="13.875" customWidth="1"/>
    <col min="4" max="4" width="23.375" customWidth="1"/>
    <col min="5" max="5" width="13.875" customWidth="1"/>
    <col min="6" max="6" width="62.625" customWidth="1"/>
    <col min="7" max="8" width="13.875" customWidth="1"/>
    <col min="9" max="9" width="13.875" style="95" customWidth="1"/>
    <col min="10" max="10" width="13.875" style="71" customWidth="1"/>
    <col min="11" max="13" width="13.875" customWidth="1"/>
    <col min="14" max="14" width="13.875" style="95" customWidth="1"/>
    <col min="15" max="19" width="13.875" customWidth="1"/>
  </cols>
  <sheetData>
    <row r="1" spans="1:19" x14ac:dyDescent="0.3">
      <c r="A1" s="83" t="s">
        <v>0</v>
      </c>
      <c r="B1" s="21" t="s">
        <v>1</v>
      </c>
      <c r="C1" s="2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89" t="s">
        <v>167</v>
      </c>
      <c r="J1" s="84" t="s">
        <v>8</v>
      </c>
      <c r="K1" s="4" t="s">
        <v>9</v>
      </c>
      <c r="L1" s="22" t="s">
        <v>10</v>
      </c>
      <c r="M1" s="23" t="s">
        <v>11</v>
      </c>
      <c r="N1" s="89" t="s">
        <v>168</v>
      </c>
      <c r="O1" s="4" t="s">
        <v>9</v>
      </c>
      <c r="P1" s="5" t="s">
        <v>12</v>
      </c>
      <c r="Q1" s="3" t="s">
        <v>13</v>
      </c>
      <c r="R1" s="6" t="s">
        <v>14</v>
      </c>
      <c r="S1" s="85" t="s">
        <v>15</v>
      </c>
    </row>
    <row r="2" spans="1:19" x14ac:dyDescent="0.3">
      <c r="A2" s="77" t="s">
        <v>16</v>
      </c>
      <c r="B2" s="78" t="s">
        <v>145</v>
      </c>
      <c r="C2" s="78" t="s">
        <v>17</v>
      </c>
      <c r="D2" s="7" t="s">
        <v>18</v>
      </c>
      <c r="E2" s="77" t="s">
        <v>19</v>
      </c>
      <c r="F2" s="79" t="s">
        <v>20</v>
      </c>
      <c r="G2" s="35">
        <v>1</v>
      </c>
      <c r="H2" s="30">
        <v>23900.627546153846</v>
      </c>
      <c r="I2" s="96">
        <v>23900.627546153846</v>
      </c>
      <c r="J2" s="12">
        <v>26000</v>
      </c>
      <c r="K2" s="12">
        <v>621416316.20000005</v>
      </c>
      <c r="L2" s="31">
        <v>17307.692307692309</v>
      </c>
      <c r="M2" s="31">
        <v>450000000</v>
      </c>
      <c r="N2" s="90">
        <v>17307.692307692309</v>
      </c>
      <c r="O2" s="33">
        <v>450000000</v>
      </c>
      <c r="P2" s="15">
        <v>6592.9352384615377</v>
      </c>
      <c r="Q2" s="80">
        <v>0.27584778791812481</v>
      </c>
      <c r="R2" s="81" t="s">
        <v>21</v>
      </c>
      <c r="S2" s="82" t="s">
        <v>153</v>
      </c>
    </row>
    <row r="3" spans="1:19" x14ac:dyDescent="0.3">
      <c r="A3" s="44" t="s">
        <v>16</v>
      </c>
      <c r="B3" s="11" t="s">
        <v>145</v>
      </c>
      <c r="C3" s="11" t="s">
        <v>17</v>
      </c>
      <c r="D3" s="45" t="s">
        <v>18</v>
      </c>
      <c r="E3" s="44" t="s">
        <v>22</v>
      </c>
      <c r="F3" s="24" t="s">
        <v>23</v>
      </c>
      <c r="G3" s="25">
        <v>1</v>
      </c>
      <c r="H3" s="49">
        <v>19065.76923076923</v>
      </c>
      <c r="I3" s="97">
        <v>19065.76923076923</v>
      </c>
      <c r="J3" s="26">
        <v>26000</v>
      </c>
      <c r="K3" s="26">
        <v>495710000</v>
      </c>
      <c r="L3" s="50">
        <v>17307.692307692309</v>
      </c>
      <c r="M3" s="50">
        <v>450000000</v>
      </c>
      <c r="N3" s="91">
        <v>17307.692307692309</v>
      </c>
      <c r="O3" s="51">
        <v>450000000</v>
      </c>
      <c r="P3" s="29">
        <v>1758.076923076922</v>
      </c>
      <c r="Q3" s="8">
        <v>9.221117185451165E-2</v>
      </c>
      <c r="R3" s="9" t="s">
        <v>21</v>
      </c>
      <c r="S3" s="82" t="s">
        <v>153</v>
      </c>
    </row>
    <row r="4" spans="1:19" x14ac:dyDescent="0.3">
      <c r="A4" s="44" t="s">
        <v>16</v>
      </c>
      <c r="B4" s="11" t="s">
        <v>145</v>
      </c>
      <c r="C4" s="11" t="s">
        <v>17</v>
      </c>
      <c r="D4" s="45" t="s">
        <v>18</v>
      </c>
      <c r="E4" s="44" t="s">
        <v>24</v>
      </c>
      <c r="F4" s="24" t="s">
        <v>25</v>
      </c>
      <c r="G4" s="25">
        <v>1</v>
      </c>
      <c r="H4" s="49">
        <v>22805.941319230766</v>
      </c>
      <c r="I4" s="97">
        <v>22805.941319230766</v>
      </c>
      <c r="J4" s="26">
        <v>26000</v>
      </c>
      <c r="K4" s="26">
        <v>592954474.29999995</v>
      </c>
      <c r="L4" s="50">
        <v>16923.076923076922</v>
      </c>
      <c r="M4" s="50">
        <v>440000000</v>
      </c>
      <c r="N4" s="91">
        <v>16923.076923076922</v>
      </c>
      <c r="O4" s="51">
        <v>440000000</v>
      </c>
      <c r="P4" s="29">
        <v>5882.8643961538437</v>
      </c>
      <c r="Q4" s="8">
        <v>0.25795314974318589</v>
      </c>
      <c r="R4" s="9" t="s">
        <v>21</v>
      </c>
      <c r="S4" s="82" t="s">
        <v>153</v>
      </c>
    </row>
    <row r="5" spans="1:19" x14ac:dyDescent="0.3">
      <c r="A5" s="44" t="s">
        <v>16</v>
      </c>
      <c r="B5" s="11" t="s">
        <v>145</v>
      </c>
      <c r="C5" s="11" t="s">
        <v>17</v>
      </c>
      <c r="D5" s="45" t="s">
        <v>18</v>
      </c>
      <c r="E5" s="44" t="s">
        <v>26</v>
      </c>
      <c r="F5" s="24" t="s">
        <v>27</v>
      </c>
      <c r="G5" s="25">
        <v>1</v>
      </c>
      <c r="H5" s="49">
        <v>11503.321830769231</v>
      </c>
      <c r="I5" s="97">
        <v>11503.321830769231</v>
      </c>
      <c r="J5" s="26">
        <v>26000</v>
      </c>
      <c r="K5" s="26">
        <v>299086367.60000002</v>
      </c>
      <c r="L5" s="50">
        <v>3249.5175250470193</v>
      </c>
      <c r="M5" s="50">
        <v>84487455.651222497</v>
      </c>
      <c r="N5" s="91">
        <v>3249.5175250470193</v>
      </c>
      <c r="O5" s="51">
        <v>84487455.651222497</v>
      </c>
      <c r="P5" s="29">
        <v>8253.804305722213</v>
      </c>
      <c r="Q5" s="8">
        <v>0.71751485589534947</v>
      </c>
      <c r="R5" s="10"/>
      <c r="S5" s="10" t="s">
        <v>154</v>
      </c>
    </row>
    <row r="6" spans="1:19" x14ac:dyDescent="0.3">
      <c r="A6" s="44" t="s">
        <v>16</v>
      </c>
      <c r="B6" s="11" t="s">
        <v>145</v>
      </c>
      <c r="C6" s="11" t="s">
        <v>17</v>
      </c>
      <c r="D6" s="45" t="s">
        <v>18</v>
      </c>
      <c r="E6" s="44" t="s">
        <v>28</v>
      </c>
      <c r="F6" s="42" t="s">
        <v>29</v>
      </c>
      <c r="G6" s="20">
        <v>1</v>
      </c>
      <c r="H6" s="49">
        <v>11503.311796153848</v>
      </c>
      <c r="I6" s="97">
        <v>11503.311796153848</v>
      </c>
      <c r="J6" s="26">
        <v>26000</v>
      </c>
      <c r="K6" s="26">
        <v>299086367.60000002</v>
      </c>
      <c r="L6" s="50">
        <v>801.81736073062314</v>
      </c>
      <c r="M6" s="50">
        <v>20847251.378996201</v>
      </c>
      <c r="N6" s="91">
        <v>801.81736073062314</v>
      </c>
      <c r="O6" s="51">
        <v>20847251.378996201</v>
      </c>
      <c r="P6" s="29">
        <v>10701.494435423225</v>
      </c>
      <c r="Q6" s="8">
        <v>0.93029682451981244</v>
      </c>
      <c r="R6" s="10"/>
      <c r="S6" s="10" t="s">
        <v>154</v>
      </c>
    </row>
    <row r="7" spans="1:19" x14ac:dyDescent="0.3">
      <c r="A7" s="44" t="s">
        <v>30</v>
      </c>
      <c r="B7" s="11" t="s">
        <v>145</v>
      </c>
      <c r="C7" s="11" t="s">
        <v>17</v>
      </c>
      <c r="D7" s="45" t="s">
        <v>18</v>
      </c>
      <c r="E7" s="44" t="s">
        <v>31</v>
      </c>
      <c r="F7" s="24" t="s">
        <v>32</v>
      </c>
      <c r="G7" s="25">
        <v>1</v>
      </c>
      <c r="H7" s="49">
        <v>20069.23076923077</v>
      </c>
      <c r="I7" s="97">
        <v>20069.23076923077</v>
      </c>
      <c r="J7" s="26">
        <v>26000</v>
      </c>
      <c r="K7" s="26">
        <v>521800000</v>
      </c>
      <c r="L7" s="50">
        <v>21263.797184615381</v>
      </c>
      <c r="M7" s="50">
        <v>552858726.79999995</v>
      </c>
      <c r="N7" s="91">
        <v>21263.797184615381</v>
      </c>
      <c r="O7" s="51">
        <v>552858726.79999995</v>
      </c>
      <c r="P7" s="29">
        <v>-1194.5664153846119</v>
      </c>
      <c r="Q7" s="8">
        <v>-5.9522282100421445E-2</v>
      </c>
      <c r="R7" s="9" t="s">
        <v>21</v>
      </c>
      <c r="S7" s="82" t="s">
        <v>153</v>
      </c>
    </row>
    <row r="8" spans="1:19" x14ac:dyDescent="0.3">
      <c r="A8" s="44" t="s">
        <v>33</v>
      </c>
      <c r="B8" s="11" t="s">
        <v>145</v>
      </c>
      <c r="C8" s="11" t="s">
        <v>17</v>
      </c>
      <c r="D8" s="45" t="s">
        <v>34</v>
      </c>
      <c r="E8" s="44" t="s">
        <v>35</v>
      </c>
      <c r="F8" s="42" t="s">
        <v>36</v>
      </c>
      <c r="G8" s="20">
        <v>1</v>
      </c>
      <c r="H8" s="49">
        <v>35931.376923076925</v>
      </c>
      <c r="I8" s="97">
        <v>35931.376923076925</v>
      </c>
      <c r="J8" s="26">
        <v>26000</v>
      </c>
      <c r="K8" s="26">
        <v>934215800</v>
      </c>
      <c r="L8" s="50">
        <v>12692.307692307691</v>
      </c>
      <c r="M8" s="50">
        <v>330000000</v>
      </c>
      <c r="N8" s="91">
        <v>12692.307692307691</v>
      </c>
      <c r="O8" s="51">
        <v>330000000</v>
      </c>
      <c r="P8" s="29">
        <v>23239.069230769233</v>
      </c>
      <c r="Q8" s="8">
        <v>0.64676255743052091</v>
      </c>
      <c r="R8" s="9" t="s">
        <v>21</v>
      </c>
      <c r="S8" s="82" t="s">
        <v>153</v>
      </c>
    </row>
    <row r="9" spans="1:19" x14ac:dyDescent="0.3">
      <c r="A9" s="44" t="s">
        <v>37</v>
      </c>
      <c r="B9" s="11" t="s">
        <v>145</v>
      </c>
      <c r="C9" s="11" t="s">
        <v>17</v>
      </c>
      <c r="D9" s="45" t="s">
        <v>38</v>
      </c>
      <c r="E9" s="44" t="s">
        <v>39</v>
      </c>
      <c r="F9" s="42" t="s">
        <v>40</v>
      </c>
      <c r="G9" s="20">
        <v>1</v>
      </c>
      <c r="H9" s="49">
        <v>5115.0478846153846</v>
      </c>
      <c r="I9" s="97">
        <v>5115.0478846153846</v>
      </c>
      <c r="J9" s="26">
        <v>26000</v>
      </c>
      <c r="K9" s="26">
        <v>132991245</v>
      </c>
      <c r="L9" s="50">
        <v>3442.3076923076924</v>
      </c>
      <c r="M9" s="50">
        <v>89500000</v>
      </c>
      <c r="N9" s="91">
        <v>3442.3076923076924</v>
      </c>
      <c r="O9" s="51">
        <v>89500000</v>
      </c>
      <c r="P9" s="29">
        <v>1672.7401923076923</v>
      </c>
      <c r="Q9" s="8">
        <v>0.32702336909470997</v>
      </c>
      <c r="R9" s="9" t="s">
        <v>21</v>
      </c>
      <c r="S9" s="82" t="s">
        <v>153</v>
      </c>
    </row>
    <row r="10" spans="1:19" hidden="1" x14ac:dyDescent="0.3">
      <c r="A10" s="44" t="s">
        <v>37</v>
      </c>
      <c r="B10" s="11" t="s">
        <v>145</v>
      </c>
      <c r="C10" s="11" t="s">
        <v>17</v>
      </c>
      <c r="D10" s="45" t="s">
        <v>38</v>
      </c>
      <c r="E10" s="44" t="s">
        <v>41</v>
      </c>
      <c r="F10" s="42" t="s">
        <v>42</v>
      </c>
      <c r="G10" s="20">
        <v>1</v>
      </c>
      <c r="H10" s="49">
        <v>485.50015384615386</v>
      </c>
      <c r="I10" s="97">
        <v>485.50015384615386</v>
      </c>
      <c r="J10" s="26">
        <v>26000</v>
      </c>
      <c r="K10" s="26">
        <v>12623004</v>
      </c>
      <c r="L10" s="50">
        <v>207.69230769230768</v>
      </c>
      <c r="M10" s="50">
        <v>5400000</v>
      </c>
      <c r="N10" s="91">
        <v>207.69230769230768</v>
      </c>
      <c r="O10" s="51">
        <v>5400000</v>
      </c>
      <c r="P10" s="29">
        <v>277.80784615384619</v>
      </c>
      <c r="Q10" s="8">
        <v>0.57220959448321496</v>
      </c>
      <c r="R10" s="9" t="s">
        <v>21</v>
      </c>
      <c r="S10" s="52" t="s">
        <v>152</v>
      </c>
    </row>
    <row r="11" spans="1:19" hidden="1" x14ac:dyDescent="0.3">
      <c r="A11" s="46" t="s">
        <v>43</v>
      </c>
      <c r="B11" s="43" t="s">
        <v>146</v>
      </c>
      <c r="C11" s="11" t="s">
        <v>44</v>
      </c>
      <c r="D11" s="18" t="s">
        <v>45</v>
      </c>
      <c r="E11" s="44" t="s">
        <v>46</v>
      </c>
      <c r="F11" s="19" t="s">
        <v>47</v>
      </c>
      <c r="G11" s="20">
        <v>9</v>
      </c>
      <c r="H11" s="26">
        <v>299.75642307692306</v>
      </c>
      <c r="I11" s="98">
        <v>2697.8078076923075</v>
      </c>
      <c r="J11" s="26">
        <v>26000</v>
      </c>
      <c r="K11" s="47">
        <v>70143003</v>
      </c>
      <c r="L11" s="13">
        <v>0</v>
      </c>
      <c r="M11" s="13">
        <v>0</v>
      </c>
      <c r="N11" s="91">
        <v>0</v>
      </c>
      <c r="O11" s="32">
        <v>0</v>
      </c>
      <c r="P11" s="29">
        <v>2697.8078076923075</v>
      </c>
      <c r="Q11" s="8">
        <v>1</v>
      </c>
      <c r="R11" s="14"/>
      <c r="S11" s="52" t="s">
        <v>152</v>
      </c>
    </row>
    <row r="12" spans="1:19" x14ac:dyDescent="0.3">
      <c r="A12" s="46" t="s">
        <v>43</v>
      </c>
      <c r="B12" s="43" t="s">
        <v>146</v>
      </c>
      <c r="C12" s="11" t="s">
        <v>44</v>
      </c>
      <c r="D12" s="18" t="s">
        <v>45</v>
      </c>
      <c r="E12" s="44" t="s">
        <v>48</v>
      </c>
      <c r="F12" s="16" t="s">
        <v>49</v>
      </c>
      <c r="G12" s="17">
        <v>5</v>
      </c>
      <c r="H12" s="26">
        <v>2739.0648461538462</v>
      </c>
      <c r="I12" s="98">
        <v>13695.324230769231</v>
      </c>
      <c r="J12" s="26">
        <v>26000</v>
      </c>
      <c r="K12" s="47">
        <v>356078430</v>
      </c>
      <c r="L12" s="13">
        <v>3011.5384615384614</v>
      </c>
      <c r="M12" s="13">
        <v>78300000</v>
      </c>
      <c r="N12" s="91">
        <v>15057.692307692307</v>
      </c>
      <c r="O12" s="32">
        <v>391500000</v>
      </c>
      <c r="P12" s="29">
        <v>-1362.3680769230759</v>
      </c>
      <c r="Q12" s="8">
        <v>-9.9476876484767621E-2</v>
      </c>
      <c r="R12" s="14"/>
      <c r="S12" s="82" t="s">
        <v>153</v>
      </c>
    </row>
    <row r="13" spans="1:19" x14ac:dyDescent="0.3">
      <c r="A13" s="46" t="s">
        <v>43</v>
      </c>
      <c r="B13" s="43" t="s">
        <v>146</v>
      </c>
      <c r="C13" s="11" t="s">
        <v>44</v>
      </c>
      <c r="D13" s="18" t="s">
        <v>45</v>
      </c>
      <c r="E13" s="44" t="s">
        <v>50</v>
      </c>
      <c r="F13" s="16" t="s">
        <v>51</v>
      </c>
      <c r="G13" s="17">
        <v>5</v>
      </c>
      <c r="H13" s="26">
        <v>10265.757438461538</v>
      </c>
      <c r="I13" s="98">
        <v>51328.787192307689</v>
      </c>
      <c r="J13" s="26">
        <v>26000</v>
      </c>
      <c r="K13" s="47">
        <v>1334548467</v>
      </c>
      <c r="L13" s="13">
        <v>11538.461538461539</v>
      </c>
      <c r="M13" s="13">
        <v>300000000</v>
      </c>
      <c r="N13" s="91">
        <v>57692.307692307695</v>
      </c>
      <c r="O13" s="32">
        <v>1500000000</v>
      </c>
      <c r="P13" s="29">
        <v>-6363.520500000006</v>
      </c>
      <c r="Q13" s="8">
        <v>-0.12397566449716671</v>
      </c>
      <c r="R13" s="14"/>
      <c r="S13" s="82" t="s">
        <v>153</v>
      </c>
    </row>
    <row r="14" spans="1:19" x14ac:dyDescent="0.3">
      <c r="A14" s="46" t="s">
        <v>43</v>
      </c>
      <c r="B14" s="43" t="s">
        <v>146</v>
      </c>
      <c r="C14" s="11" t="s">
        <v>44</v>
      </c>
      <c r="D14" s="18" t="s">
        <v>45</v>
      </c>
      <c r="E14" s="44" t="s">
        <v>52</v>
      </c>
      <c r="F14" s="16" t="s">
        <v>53</v>
      </c>
      <c r="G14" s="17">
        <v>5</v>
      </c>
      <c r="H14" s="26">
        <v>2067.2795076923076</v>
      </c>
      <c r="I14" s="98">
        <v>10336.397538461539</v>
      </c>
      <c r="J14" s="26">
        <v>26000</v>
      </c>
      <c r="K14" s="47">
        <v>268746336</v>
      </c>
      <c r="L14" s="13">
        <v>2353.8461538461538</v>
      </c>
      <c r="M14" s="13">
        <v>61200000</v>
      </c>
      <c r="N14" s="91">
        <v>11769.23076923077</v>
      </c>
      <c r="O14" s="32">
        <v>306000000</v>
      </c>
      <c r="P14" s="29">
        <v>-1432.8332307692308</v>
      </c>
      <c r="Q14" s="8">
        <v>-0.13862017452770034</v>
      </c>
      <c r="R14" s="14"/>
      <c r="S14" s="82" t="s">
        <v>153</v>
      </c>
    </row>
    <row r="15" spans="1:19" hidden="1" x14ac:dyDescent="0.3">
      <c r="A15" s="46" t="s">
        <v>54</v>
      </c>
      <c r="B15" s="43" t="s">
        <v>146</v>
      </c>
      <c r="C15" s="11" t="s">
        <v>44</v>
      </c>
      <c r="D15" s="18" t="s">
        <v>45</v>
      </c>
      <c r="E15" s="44" t="s">
        <v>46</v>
      </c>
      <c r="F15" s="16" t="s">
        <v>47</v>
      </c>
      <c r="G15" s="17">
        <v>9</v>
      </c>
      <c r="H15" s="26">
        <v>313.63604273504274</v>
      </c>
      <c r="I15" s="98">
        <v>2822.7243846153847</v>
      </c>
      <c r="J15" s="26">
        <v>26000</v>
      </c>
      <c r="K15" s="47">
        <v>73390834</v>
      </c>
      <c r="L15" s="13">
        <v>0</v>
      </c>
      <c r="M15" s="13">
        <v>0</v>
      </c>
      <c r="N15" s="91">
        <v>0</v>
      </c>
      <c r="O15" s="32">
        <v>0</v>
      </c>
      <c r="P15" s="29">
        <v>2822.7243846153847</v>
      </c>
      <c r="Q15" s="8">
        <v>1</v>
      </c>
      <c r="R15" s="14"/>
      <c r="S15" s="52" t="s">
        <v>152</v>
      </c>
    </row>
    <row r="16" spans="1:19" x14ac:dyDescent="0.3">
      <c r="A16" s="46" t="s">
        <v>54</v>
      </c>
      <c r="B16" s="43" t="s">
        <v>146</v>
      </c>
      <c r="C16" s="11" t="s">
        <v>44</v>
      </c>
      <c r="D16" s="18" t="s">
        <v>45</v>
      </c>
      <c r="E16" s="44" t="s">
        <v>48</v>
      </c>
      <c r="F16" s="19" t="s">
        <v>49</v>
      </c>
      <c r="G16" s="20">
        <v>4</v>
      </c>
      <c r="H16" s="26">
        <v>2882.6969423076921</v>
      </c>
      <c r="I16" s="98">
        <v>11530.787769230768</v>
      </c>
      <c r="J16" s="26">
        <v>26000</v>
      </c>
      <c r="K16" s="47">
        <v>299800482</v>
      </c>
      <c r="L16" s="13">
        <v>3011.5384615384614</v>
      </c>
      <c r="M16" s="13">
        <v>78300000</v>
      </c>
      <c r="N16" s="91">
        <v>12046.153846153846</v>
      </c>
      <c r="O16" s="32">
        <v>313200000</v>
      </c>
      <c r="P16" s="29">
        <v>-515.36607692307734</v>
      </c>
      <c r="Q16" s="8">
        <v>-4.4694784713521611E-2</v>
      </c>
      <c r="R16" s="14"/>
      <c r="S16" s="82" t="s">
        <v>153</v>
      </c>
    </row>
    <row r="17" spans="1:19" x14ac:dyDescent="0.3">
      <c r="A17" s="46" t="s">
        <v>54</v>
      </c>
      <c r="B17" s="43" t="s">
        <v>146</v>
      </c>
      <c r="C17" s="11" t="s">
        <v>44</v>
      </c>
      <c r="D17" s="18" t="s">
        <v>45</v>
      </c>
      <c r="E17" s="44" t="s">
        <v>50</v>
      </c>
      <c r="F17" s="19" t="s">
        <v>51</v>
      </c>
      <c r="G17" s="20">
        <v>4</v>
      </c>
      <c r="H17" s="26">
        <v>10807.545375</v>
      </c>
      <c r="I17" s="98">
        <v>43230.181499999999</v>
      </c>
      <c r="J17" s="26">
        <v>26000</v>
      </c>
      <c r="K17" s="47">
        <v>1123984719</v>
      </c>
      <c r="L17" s="13">
        <v>11538.461538461539</v>
      </c>
      <c r="M17" s="13">
        <v>300000000</v>
      </c>
      <c r="N17" s="91">
        <v>46153.846153846156</v>
      </c>
      <c r="O17" s="32">
        <v>1200000000</v>
      </c>
      <c r="P17" s="29">
        <v>-2923.6646538461573</v>
      </c>
      <c r="Q17" s="8">
        <v>-6.7630173004158162E-2</v>
      </c>
      <c r="R17" s="14"/>
      <c r="S17" s="82" t="s">
        <v>153</v>
      </c>
    </row>
    <row r="18" spans="1:19" x14ac:dyDescent="0.3">
      <c r="A18" s="46" t="s">
        <v>54</v>
      </c>
      <c r="B18" s="43" t="s">
        <v>146</v>
      </c>
      <c r="C18" s="11" t="s">
        <v>44</v>
      </c>
      <c r="D18" s="18" t="s">
        <v>45</v>
      </c>
      <c r="E18" s="44" t="s">
        <v>52</v>
      </c>
      <c r="F18" s="19" t="s">
        <v>53</v>
      </c>
      <c r="G18" s="20">
        <v>1</v>
      </c>
      <c r="H18" s="26">
        <v>2347.0524230769229</v>
      </c>
      <c r="I18" s="98">
        <v>2347.0524230769229</v>
      </c>
      <c r="J18" s="26">
        <v>26000</v>
      </c>
      <c r="K18" s="47">
        <v>61023363</v>
      </c>
      <c r="L18" s="13">
        <v>2353.8461538461538</v>
      </c>
      <c r="M18" s="13">
        <v>61200000</v>
      </c>
      <c r="N18" s="91">
        <v>2353.8461538461538</v>
      </c>
      <c r="O18" s="32">
        <v>61200000</v>
      </c>
      <c r="P18" s="29">
        <v>-6.7937307692309332</v>
      </c>
      <c r="Q18" s="8">
        <v>-2.8945799004883471E-3</v>
      </c>
      <c r="R18" s="14"/>
      <c r="S18" s="82" t="s">
        <v>153</v>
      </c>
    </row>
    <row r="19" spans="1:19" x14ac:dyDescent="0.3">
      <c r="A19" s="46" t="s">
        <v>54</v>
      </c>
      <c r="B19" s="43" t="s">
        <v>146</v>
      </c>
      <c r="C19" s="11" t="s">
        <v>44</v>
      </c>
      <c r="D19" s="18" t="s">
        <v>45</v>
      </c>
      <c r="E19" s="44" t="s">
        <v>55</v>
      </c>
      <c r="F19" s="19" t="s">
        <v>56</v>
      </c>
      <c r="G19" s="20">
        <v>3</v>
      </c>
      <c r="H19" s="26">
        <v>2118.2172435897437</v>
      </c>
      <c r="I19" s="98">
        <v>6354.6517307692311</v>
      </c>
      <c r="J19" s="26">
        <v>26000</v>
      </c>
      <c r="K19" s="47">
        <v>165220945</v>
      </c>
      <c r="L19" s="13">
        <v>1673.7980769230769</v>
      </c>
      <c r="M19" s="13">
        <v>43518750</v>
      </c>
      <c r="N19" s="91">
        <v>5021.3942307692305</v>
      </c>
      <c r="O19" s="32">
        <v>130556250</v>
      </c>
      <c r="P19" s="29">
        <v>1333.2575000000006</v>
      </c>
      <c r="Q19" s="8">
        <v>0.20980811482466713</v>
      </c>
      <c r="R19" s="14"/>
      <c r="S19" s="82" t="s">
        <v>153</v>
      </c>
    </row>
    <row r="20" spans="1:19" x14ac:dyDescent="0.3">
      <c r="A20" s="46" t="s">
        <v>57</v>
      </c>
      <c r="B20" s="43" t="s">
        <v>146</v>
      </c>
      <c r="C20" s="11" t="s">
        <v>44</v>
      </c>
      <c r="D20" s="18" t="s">
        <v>58</v>
      </c>
      <c r="E20" s="44" t="s">
        <v>59</v>
      </c>
      <c r="F20" s="19" t="s">
        <v>60</v>
      </c>
      <c r="G20" s="20">
        <v>1</v>
      </c>
      <c r="H20" s="26">
        <v>10053.846153846154</v>
      </c>
      <c r="I20" s="98">
        <v>10053.846153846154</v>
      </c>
      <c r="J20" s="26">
        <v>26000</v>
      </c>
      <c r="K20" s="47">
        <v>261400000</v>
      </c>
      <c r="L20" s="13">
        <v>2562.1056923076922</v>
      </c>
      <c r="M20" s="13">
        <v>66614748</v>
      </c>
      <c r="N20" s="91">
        <v>2562.1056923076922</v>
      </c>
      <c r="O20" s="32">
        <v>66614747.999999993</v>
      </c>
      <c r="P20" s="29">
        <v>7491.7404615384621</v>
      </c>
      <c r="Q20" s="8">
        <v>0.74516163733741392</v>
      </c>
      <c r="R20" s="10"/>
      <c r="S20" s="10" t="s">
        <v>154</v>
      </c>
    </row>
    <row r="21" spans="1:19" x14ac:dyDescent="0.3">
      <c r="A21" s="46" t="s">
        <v>61</v>
      </c>
      <c r="B21" s="43" t="s">
        <v>146</v>
      </c>
      <c r="C21" s="11" t="s">
        <v>44</v>
      </c>
      <c r="D21" s="18" t="s">
        <v>62</v>
      </c>
      <c r="E21" s="44" t="s">
        <v>63</v>
      </c>
      <c r="F21" s="19" t="s">
        <v>64</v>
      </c>
      <c r="G21" s="20">
        <v>1</v>
      </c>
      <c r="H21" s="26">
        <v>26454.898753846155</v>
      </c>
      <c r="I21" s="98">
        <v>26454.898753846155</v>
      </c>
      <c r="J21" s="26">
        <v>26000</v>
      </c>
      <c r="K21" s="47">
        <v>687827367.60000002</v>
      </c>
      <c r="L21" s="13">
        <v>18538.461538461539</v>
      </c>
      <c r="M21" s="13">
        <v>482000000</v>
      </c>
      <c r="N21" s="91">
        <v>18538.461538461539</v>
      </c>
      <c r="O21" s="32">
        <v>482000000</v>
      </c>
      <c r="P21" s="29">
        <v>7916.4372153846161</v>
      </c>
      <c r="Q21" s="8">
        <v>0.29924277121770054</v>
      </c>
      <c r="R21" s="9" t="s">
        <v>21</v>
      </c>
      <c r="S21" s="82" t="s">
        <v>153</v>
      </c>
    </row>
    <row r="22" spans="1:19" x14ac:dyDescent="0.3">
      <c r="A22" s="46" t="s">
        <v>61</v>
      </c>
      <c r="B22" s="43" t="s">
        <v>146</v>
      </c>
      <c r="C22" s="11" t="s">
        <v>44</v>
      </c>
      <c r="D22" s="18" t="s">
        <v>62</v>
      </c>
      <c r="E22" s="44" t="s">
        <v>65</v>
      </c>
      <c r="F22" s="16" t="s">
        <v>66</v>
      </c>
      <c r="G22" s="17">
        <v>1</v>
      </c>
      <c r="H22" s="26">
        <v>26454.898753846155</v>
      </c>
      <c r="I22" s="98">
        <v>26454.898753846155</v>
      </c>
      <c r="J22" s="26">
        <v>26000</v>
      </c>
      <c r="K22" s="47">
        <v>687827367.60000002</v>
      </c>
      <c r="L22" s="13">
        <v>18538.461538461539</v>
      </c>
      <c r="M22" s="13">
        <v>482000000</v>
      </c>
      <c r="N22" s="91">
        <v>18538.461538461539</v>
      </c>
      <c r="O22" s="32">
        <v>482000000</v>
      </c>
      <c r="P22" s="29">
        <v>7916.4372153846161</v>
      </c>
      <c r="Q22" s="8">
        <v>0.29924277121770054</v>
      </c>
      <c r="R22" s="9" t="s">
        <v>21</v>
      </c>
      <c r="S22" s="82" t="s">
        <v>153</v>
      </c>
    </row>
    <row r="23" spans="1:19" ht="38.25" x14ac:dyDescent="0.3">
      <c r="A23" s="48" t="s">
        <v>16</v>
      </c>
      <c r="B23" s="11" t="s">
        <v>147</v>
      </c>
      <c r="C23" s="11" t="s">
        <v>67</v>
      </c>
      <c r="D23" s="45" t="s">
        <v>18</v>
      </c>
      <c r="E23" s="27" t="s">
        <v>68</v>
      </c>
      <c r="F23" s="28" t="s">
        <v>69</v>
      </c>
      <c r="G23" s="29">
        <v>1</v>
      </c>
      <c r="H23" s="72">
        <v>23653.284907692308</v>
      </c>
      <c r="I23" s="99">
        <v>23653.284907692308</v>
      </c>
      <c r="J23" s="49">
        <v>26000</v>
      </c>
      <c r="K23" s="49">
        <v>614985407.60000002</v>
      </c>
      <c r="L23" s="50">
        <v>17307.692307692309</v>
      </c>
      <c r="M23" s="50">
        <v>450000000</v>
      </c>
      <c r="N23" s="92">
        <v>17307.692307692309</v>
      </c>
      <c r="O23" s="51">
        <v>450000000</v>
      </c>
      <c r="P23" s="29">
        <v>6345.5925999999999</v>
      </c>
      <c r="Q23" s="34">
        <v>0.26827532094437939</v>
      </c>
      <c r="R23" s="9" t="s">
        <v>21</v>
      </c>
      <c r="S23" s="52" t="s">
        <v>70</v>
      </c>
    </row>
    <row r="24" spans="1:19" ht="38.25" x14ac:dyDescent="0.3">
      <c r="A24" s="53" t="s">
        <v>37</v>
      </c>
      <c r="B24" s="11" t="s">
        <v>148</v>
      </c>
      <c r="C24" s="11" t="s">
        <v>71</v>
      </c>
      <c r="D24" s="54" t="s">
        <v>38</v>
      </c>
      <c r="E24" s="42" t="s">
        <v>72</v>
      </c>
      <c r="F24" s="37" t="s">
        <v>73</v>
      </c>
      <c r="G24" s="25">
        <v>1</v>
      </c>
      <c r="H24" s="73">
        <v>5182.8065019230771</v>
      </c>
      <c r="I24" s="100">
        <v>5182.8065019230771</v>
      </c>
      <c r="J24" s="26">
        <v>26000</v>
      </c>
      <c r="K24" s="26">
        <v>134752969.05000001</v>
      </c>
      <c r="L24" s="50">
        <v>5769.2307692307695</v>
      </c>
      <c r="M24" s="58">
        <v>150000000</v>
      </c>
      <c r="N24" s="93">
        <v>5769.2307692307695</v>
      </c>
      <c r="O24" s="51">
        <v>150000000</v>
      </c>
      <c r="P24" s="29">
        <v>-586.42426730769239</v>
      </c>
      <c r="Q24" s="8">
        <v>-0.11314801490082642</v>
      </c>
      <c r="R24" s="9" t="s">
        <v>21</v>
      </c>
      <c r="S24" s="52" t="s">
        <v>70</v>
      </c>
    </row>
    <row r="25" spans="1:19" ht="38.25" x14ac:dyDescent="0.3">
      <c r="A25" s="53" t="s">
        <v>37</v>
      </c>
      <c r="B25" s="11" t="s">
        <v>148</v>
      </c>
      <c r="C25" s="11" t="s">
        <v>71</v>
      </c>
      <c r="D25" s="54" t="s">
        <v>38</v>
      </c>
      <c r="E25" s="24" t="s">
        <v>74</v>
      </c>
      <c r="F25" s="37" t="s">
        <v>75</v>
      </c>
      <c r="G25" s="25">
        <v>1</v>
      </c>
      <c r="H25" s="73">
        <v>5182.8065019230771</v>
      </c>
      <c r="I25" s="100">
        <v>5182.8065019230771</v>
      </c>
      <c r="J25" s="26">
        <v>26000</v>
      </c>
      <c r="K25" s="26">
        <v>134752969.05000001</v>
      </c>
      <c r="L25" s="50">
        <v>2615.3846153846152</v>
      </c>
      <c r="M25" s="58">
        <v>68000000</v>
      </c>
      <c r="N25" s="93">
        <v>2615.3846153846152</v>
      </c>
      <c r="O25" s="51">
        <v>68000000</v>
      </c>
      <c r="P25" s="29">
        <v>2567.4218865384619</v>
      </c>
      <c r="Q25" s="8">
        <v>0.49537289991162542</v>
      </c>
      <c r="R25" s="9" t="s">
        <v>21</v>
      </c>
      <c r="S25" s="52" t="s">
        <v>70</v>
      </c>
    </row>
    <row r="26" spans="1:19" ht="38.25" x14ac:dyDescent="0.3">
      <c r="A26" s="55" t="s">
        <v>16</v>
      </c>
      <c r="B26" s="11" t="s">
        <v>148</v>
      </c>
      <c r="C26" s="11" t="s">
        <v>71</v>
      </c>
      <c r="D26" s="54" t="s">
        <v>18</v>
      </c>
      <c r="E26" s="24" t="s">
        <v>76</v>
      </c>
      <c r="F26" s="37" t="s">
        <v>77</v>
      </c>
      <c r="G26" s="25">
        <v>1</v>
      </c>
      <c r="H26" s="72">
        <v>23744.893292307694</v>
      </c>
      <c r="I26" s="101">
        <v>23744.893292307694</v>
      </c>
      <c r="J26" s="49">
        <v>26000</v>
      </c>
      <c r="K26" s="26">
        <v>617367225.60000002</v>
      </c>
      <c r="L26" s="50">
        <v>17307.692307692309</v>
      </c>
      <c r="M26" s="58">
        <v>450000000</v>
      </c>
      <c r="N26" s="93">
        <v>17307.692307692309</v>
      </c>
      <c r="O26" s="51">
        <v>450000000</v>
      </c>
      <c r="P26" s="29">
        <v>6437.2009846153851</v>
      </c>
      <c r="Q26" s="34">
        <v>0.27109833282345203</v>
      </c>
      <c r="R26" s="9" t="s">
        <v>21</v>
      </c>
      <c r="S26" s="52" t="s">
        <v>70</v>
      </c>
    </row>
    <row r="27" spans="1:19" ht="38.25" x14ac:dyDescent="0.3">
      <c r="A27" s="55" t="s">
        <v>30</v>
      </c>
      <c r="B27" s="11" t="s">
        <v>148</v>
      </c>
      <c r="C27" s="11" t="s">
        <v>71</v>
      </c>
      <c r="D27" s="54" t="s">
        <v>18</v>
      </c>
      <c r="E27" s="24" t="s">
        <v>78</v>
      </c>
      <c r="F27" s="37" t="s">
        <v>79</v>
      </c>
      <c r="G27" s="25">
        <v>1</v>
      </c>
      <c r="H27" s="72">
        <v>22657.339938461537</v>
      </c>
      <c r="I27" s="101">
        <v>22657.339938461537</v>
      </c>
      <c r="J27" s="49">
        <v>26000</v>
      </c>
      <c r="K27" s="26">
        <v>589090838.39999998</v>
      </c>
      <c r="L27" s="50">
        <v>17692.307692307691</v>
      </c>
      <c r="M27" s="58">
        <v>460000000</v>
      </c>
      <c r="N27" s="93">
        <v>17692.307692307691</v>
      </c>
      <c r="O27" s="51">
        <v>460000000</v>
      </c>
      <c r="P27" s="29">
        <v>4965.0322461538453</v>
      </c>
      <c r="Q27" s="34">
        <v>0.21913570876542082</v>
      </c>
      <c r="R27" s="9" t="s">
        <v>21</v>
      </c>
      <c r="S27" s="52" t="s">
        <v>70</v>
      </c>
    </row>
    <row r="28" spans="1:19" ht="38.25" x14ac:dyDescent="0.3">
      <c r="A28" s="55" t="s">
        <v>37</v>
      </c>
      <c r="B28" s="11" t="s">
        <v>148</v>
      </c>
      <c r="C28" s="11" t="s">
        <v>71</v>
      </c>
      <c r="D28" s="54" t="s">
        <v>38</v>
      </c>
      <c r="E28" s="24" t="s">
        <v>80</v>
      </c>
      <c r="F28" s="37" t="s">
        <v>81</v>
      </c>
      <c r="G28" s="25">
        <v>1</v>
      </c>
      <c r="H28" s="72">
        <v>7990.1762769230763</v>
      </c>
      <c r="I28" s="101">
        <v>7990.1762769230763</v>
      </c>
      <c r="J28" s="49">
        <v>26000</v>
      </c>
      <c r="K28" s="26">
        <v>207744583.19999999</v>
      </c>
      <c r="L28" s="50">
        <v>5769.2307692307695</v>
      </c>
      <c r="M28" s="58">
        <v>150000000</v>
      </c>
      <c r="N28" s="93">
        <v>5769.2307692307695</v>
      </c>
      <c r="O28" s="51">
        <v>150000000</v>
      </c>
      <c r="P28" s="29">
        <v>2220.9455076923068</v>
      </c>
      <c r="Q28" s="34">
        <v>0.2779595131219767</v>
      </c>
      <c r="R28" s="9" t="s">
        <v>21</v>
      </c>
      <c r="S28" s="52" t="s">
        <v>70</v>
      </c>
    </row>
    <row r="29" spans="1:19" ht="38.25" x14ac:dyDescent="0.3">
      <c r="A29" s="55" t="s">
        <v>37</v>
      </c>
      <c r="B29" s="11" t="s">
        <v>148</v>
      </c>
      <c r="C29" s="11" t="s">
        <v>71</v>
      </c>
      <c r="D29" s="54" t="s">
        <v>38</v>
      </c>
      <c r="E29" s="24" t="s">
        <v>82</v>
      </c>
      <c r="F29" s="37" t="s">
        <v>83</v>
      </c>
      <c r="G29" s="25">
        <v>1</v>
      </c>
      <c r="H29" s="72">
        <v>7990.1762769230763</v>
      </c>
      <c r="I29" s="101">
        <v>7990.1762769230763</v>
      </c>
      <c r="J29" s="49">
        <v>26000</v>
      </c>
      <c r="K29" s="26">
        <v>207744583.19999999</v>
      </c>
      <c r="L29" s="50">
        <v>6923.0769230769229</v>
      </c>
      <c r="M29" s="58">
        <v>180000000</v>
      </c>
      <c r="N29" s="93">
        <v>6923.0769230769229</v>
      </c>
      <c r="O29" s="51">
        <v>180000000</v>
      </c>
      <c r="P29" s="29">
        <v>1067.0993538461535</v>
      </c>
      <c r="Q29" s="34">
        <v>0.13355141574637211</v>
      </c>
      <c r="R29" s="9" t="s">
        <v>21</v>
      </c>
      <c r="S29" s="52" t="s">
        <v>70</v>
      </c>
    </row>
    <row r="30" spans="1:19" ht="38.25" x14ac:dyDescent="0.3">
      <c r="A30" s="55" t="s">
        <v>37</v>
      </c>
      <c r="B30" s="11" t="s">
        <v>148</v>
      </c>
      <c r="C30" s="11" t="s">
        <v>71</v>
      </c>
      <c r="D30" s="54" t="s">
        <v>38</v>
      </c>
      <c r="E30" s="24" t="s">
        <v>84</v>
      </c>
      <c r="F30" s="37" t="s">
        <v>85</v>
      </c>
      <c r="G30" s="25">
        <v>1</v>
      </c>
      <c r="H30" s="72">
        <v>4275.8221153846152</v>
      </c>
      <c r="I30" s="101">
        <v>4275.8221153846152</v>
      </c>
      <c r="J30" s="49">
        <v>26000</v>
      </c>
      <c r="K30" s="26">
        <v>111171375</v>
      </c>
      <c r="L30" s="50">
        <v>2153.8461538461538</v>
      </c>
      <c r="M30" s="58">
        <v>56000000</v>
      </c>
      <c r="N30" s="93">
        <v>2153.8461538461538</v>
      </c>
      <c r="O30" s="51">
        <v>56000000</v>
      </c>
      <c r="P30" s="29">
        <v>2121.9759615384614</v>
      </c>
      <c r="Q30" s="34">
        <v>0.49627320881836712</v>
      </c>
      <c r="R30" s="9" t="s">
        <v>21</v>
      </c>
      <c r="S30" s="52" t="s">
        <v>70</v>
      </c>
    </row>
    <row r="31" spans="1:19" ht="38.25" x14ac:dyDescent="0.3">
      <c r="A31" s="55" t="s">
        <v>37</v>
      </c>
      <c r="B31" s="11" t="s">
        <v>148</v>
      </c>
      <c r="C31" s="11" t="s">
        <v>71</v>
      </c>
      <c r="D31" s="54" t="s">
        <v>38</v>
      </c>
      <c r="E31" s="24" t="s">
        <v>86</v>
      </c>
      <c r="F31" s="37" t="s">
        <v>87</v>
      </c>
      <c r="G31" s="25">
        <v>1</v>
      </c>
      <c r="H31" s="72">
        <v>4275.8221153846152</v>
      </c>
      <c r="I31" s="101">
        <v>4275.8221153846152</v>
      </c>
      <c r="J31" s="49">
        <v>26000</v>
      </c>
      <c r="K31" s="26">
        <v>111171375</v>
      </c>
      <c r="L31" s="50">
        <v>5000</v>
      </c>
      <c r="M31" s="58">
        <v>130000000</v>
      </c>
      <c r="N31" s="93">
        <v>5000</v>
      </c>
      <c r="O31" s="51">
        <v>130000000</v>
      </c>
      <c r="P31" s="29">
        <v>-724.17788461538476</v>
      </c>
      <c r="Q31" s="34">
        <v>-0.16936576524307634</v>
      </c>
      <c r="R31" s="9" t="s">
        <v>21</v>
      </c>
      <c r="S31" s="52" t="s">
        <v>70</v>
      </c>
    </row>
    <row r="32" spans="1:19" ht="38.25" x14ac:dyDescent="0.3">
      <c r="A32" s="55" t="s">
        <v>37</v>
      </c>
      <c r="B32" s="11" t="s">
        <v>148</v>
      </c>
      <c r="C32" s="11" t="s">
        <v>71</v>
      </c>
      <c r="D32" s="54" t="s">
        <v>38</v>
      </c>
      <c r="E32" s="24" t="s">
        <v>88</v>
      </c>
      <c r="F32" s="37" t="s">
        <v>89</v>
      </c>
      <c r="G32" s="25">
        <v>1</v>
      </c>
      <c r="H32" s="72">
        <v>8206.1277980769228</v>
      </c>
      <c r="I32" s="101">
        <v>8206.1277980769228</v>
      </c>
      <c r="J32" s="49">
        <v>26000</v>
      </c>
      <c r="K32" s="26">
        <v>213359322.75</v>
      </c>
      <c r="L32" s="50">
        <v>6538.4615384615381</v>
      </c>
      <c r="M32" s="58">
        <v>170000000</v>
      </c>
      <c r="N32" s="93">
        <v>6538.4615384615381</v>
      </c>
      <c r="O32" s="51">
        <v>170000000</v>
      </c>
      <c r="P32" s="29">
        <v>1667.6662596153847</v>
      </c>
      <c r="Q32" s="34">
        <v>0.20322206778283375</v>
      </c>
      <c r="R32" s="9" t="s">
        <v>21</v>
      </c>
      <c r="S32" s="52" t="s">
        <v>70</v>
      </c>
    </row>
    <row r="33" spans="1:19" ht="38.25" x14ac:dyDescent="0.3">
      <c r="A33" s="55" t="s">
        <v>37</v>
      </c>
      <c r="B33" s="11" t="s">
        <v>148</v>
      </c>
      <c r="C33" s="11" t="s">
        <v>71</v>
      </c>
      <c r="D33" s="54" t="s">
        <v>38</v>
      </c>
      <c r="E33" s="24" t="s">
        <v>90</v>
      </c>
      <c r="F33" s="37" t="s">
        <v>91</v>
      </c>
      <c r="G33" s="25">
        <v>1</v>
      </c>
      <c r="H33" s="72">
        <v>8179.3052307692305</v>
      </c>
      <c r="I33" s="101">
        <v>8179.3052307692305</v>
      </c>
      <c r="J33" s="49">
        <v>26000</v>
      </c>
      <c r="K33" s="26">
        <v>212661936</v>
      </c>
      <c r="L33" s="50">
        <v>5769.2307692307695</v>
      </c>
      <c r="M33" s="58">
        <v>150000000</v>
      </c>
      <c r="N33" s="93">
        <v>5769.2307692307695</v>
      </c>
      <c r="O33" s="51">
        <v>150000000</v>
      </c>
      <c r="P33" s="29">
        <v>2410.074461538461</v>
      </c>
      <c r="Q33" s="34">
        <v>0.29465515634165951</v>
      </c>
      <c r="R33" s="9" t="s">
        <v>21</v>
      </c>
      <c r="S33" s="52" t="s">
        <v>70</v>
      </c>
    </row>
    <row r="34" spans="1:19" ht="38.25" x14ac:dyDescent="0.3">
      <c r="A34" s="55" t="s">
        <v>37</v>
      </c>
      <c r="B34" s="11" t="s">
        <v>148</v>
      </c>
      <c r="C34" s="11" t="s">
        <v>71</v>
      </c>
      <c r="D34" s="54" t="s">
        <v>38</v>
      </c>
      <c r="E34" s="24" t="s">
        <v>92</v>
      </c>
      <c r="F34" s="38" t="s">
        <v>93</v>
      </c>
      <c r="G34" s="25">
        <v>1</v>
      </c>
      <c r="H34" s="72">
        <v>3443.9206153846153</v>
      </c>
      <c r="I34" s="101">
        <v>3443.9206153846153</v>
      </c>
      <c r="J34" s="49">
        <v>26000</v>
      </c>
      <c r="K34" s="26">
        <v>89541936</v>
      </c>
      <c r="L34" s="50">
        <v>1716.3461538461538</v>
      </c>
      <c r="M34" s="58">
        <v>44625000</v>
      </c>
      <c r="N34" s="93">
        <v>1716.3461538461538</v>
      </c>
      <c r="O34" s="51">
        <v>44625000</v>
      </c>
      <c r="P34" s="29">
        <v>1727.5744615384615</v>
      </c>
      <c r="Q34" s="34">
        <v>0.50163016354705581</v>
      </c>
      <c r="R34" s="9" t="s">
        <v>15</v>
      </c>
      <c r="S34" s="52" t="s">
        <v>153</v>
      </c>
    </row>
    <row r="35" spans="1:19" ht="38.25" hidden="1" x14ac:dyDescent="0.3">
      <c r="A35" s="55" t="s">
        <v>94</v>
      </c>
      <c r="B35" s="11" t="s">
        <v>149</v>
      </c>
      <c r="C35" s="11" t="s">
        <v>95</v>
      </c>
      <c r="D35" s="54" t="s">
        <v>45</v>
      </c>
      <c r="E35" s="24" t="s">
        <v>96</v>
      </c>
      <c r="F35" s="38" t="s">
        <v>97</v>
      </c>
      <c r="G35" s="25">
        <v>1</v>
      </c>
      <c r="H35" s="72">
        <v>2121</v>
      </c>
      <c r="I35" s="101">
        <v>2121</v>
      </c>
      <c r="J35" s="49">
        <v>26000</v>
      </c>
      <c r="K35" s="26">
        <v>55146000</v>
      </c>
      <c r="L35" s="50">
        <v>500</v>
      </c>
      <c r="M35" s="58">
        <v>13000000</v>
      </c>
      <c r="N35" s="93">
        <v>500</v>
      </c>
      <c r="O35" s="51">
        <v>13000000</v>
      </c>
      <c r="P35" s="29">
        <v>1621</v>
      </c>
      <c r="Q35" s="34">
        <v>0.76426214049976426</v>
      </c>
      <c r="R35" s="39" t="s">
        <v>21</v>
      </c>
      <c r="S35" s="52" t="s">
        <v>152</v>
      </c>
    </row>
    <row r="36" spans="1:19" ht="38.25" hidden="1" x14ac:dyDescent="0.3">
      <c r="A36" s="55" t="s">
        <v>94</v>
      </c>
      <c r="B36" s="11" t="s">
        <v>149</v>
      </c>
      <c r="C36" s="11" t="s">
        <v>95</v>
      </c>
      <c r="D36" s="54" t="s">
        <v>45</v>
      </c>
      <c r="E36" s="24" t="s">
        <v>98</v>
      </c>
      <c r="F36" s="38" t="s">
        <v>99</v>
      </c>
      <c r="G36" s="25">
        <v>2</v>
      </c>
      <c r="H36" s="72">
        <v>474.81</v>
      </c>
      <c r="I36" s="101">
        <v>949.62</v>
      </c>
      <c r="J36" s="49">
        <v>26000</v>
      </c>
      <c r="K36" s="26">
        <v>24690120</v>
      </c>
      <c r="L36" s="50">
        <f>+M36/26000</f>
        <v>500</v>
      </c>
      <c r="M36" s="58">
        <v>13000000</v>
      </c>
      <c r="N36" s="93">
        <f>+L36*G36</f>
        <v>1000</v>
      </c>
      <c r="O36" s="51">
        <f>+M36*G36</f>
        <v>26000000</v>
      </c>
      <c r="P36" s="29">
        <v>949.62</v>
      </c>
      <c r="Q36" s="34">
        <v>1</v>
      </c>
      <c r="R36" s="39" t="s">
        <v>21</v>
      </c>
      <c r="S36" s="52" t="s">
        <v>152</v>
      </c>
    </row>
    <row r="37" spans="1:19" ht="38.25" hidden="1" x14ac:dyDescent="0.3">
      <c r="A37" s="55" t="s">
        <v>94</v>
      </c>
      <c r="B37" s="11" t="s">
        <v>149</v>
      </c>
      <c r="C37" s="11" t="s">
        <v>95</v>
      </c>
      <c r="D37" s="54" t="s">
        <v>45</v>
      </c>
      <c r="E37" s="24" t="s">
        <v>100</v>
      </c>
      <c r="F37" s="37" t="s">
        <v>101</v>
      </c>
      <c r="G37" s="25">
        <v>1</v>
      </c>
      <c r="H37" s="72">
        <v>325.584</v>
      </c>
      <c r="I37" s="101">
        <v>325.584</v>
      </c>
      <c r="J37" s="49">
        <v>26000</v>
      </c>
      <c r="K37" s="26">
        <v>8465184</v>
      </c>
      <c r="L37" s="50">
        <v>3.1373644610941192</v>
      </c>
      <c r="M37" s="58">
        <v>81571.475988447099</v>
      </c>
      <c r="N37" s="93">
        <v>3.1373644610941192</v>
      </c>
      <c r="O37" s="51">
        <v>81571.475988447099</v>
      </c>
      <c r="P37" s="29">
        <v>322.44663553890587</v>
      </c>
      <c r="Q37" s="34">
        <v>0.99036388624412086</v>
      </c>
      <c r="R37" s="39" t="s">
        <v>15</v>
      </c>
      <c r="S37" s="39" t="s">
        <v>151</v>
      </c>
    </row>
    <row r="38" spans="1:19" ht="38.25" hidden="1" x14ac:dyDescent="0.3">
      <c r="A38" s="55" t="s">
        <v>94</v>
      </c>
      <c r="B38" s="11" t="s">
        <v>149</v>
      </c>
      <c r="C38" s="11" t="s">
        <v>95</v>
      </c>
      <c r="D38" s="54" t="s">
        <v>45</v>
      </c>
      <c r="E38" s="40" t="s">
        <v>102</v>
      </c>
      <c r="F38" s="41" t="s">
        <v>103</v>
      </c>
      <c r="G38" s="25">
        <v>1</v>
      </c>
      <c r="H38" s="72">
        <v>325.584</v>
      </c>
      <c r="I38" s="101">
        <v>325.584</v>
      </c>
      <c r="J38" s="49">
        <v>26000</v>
      </c>
      <c r="K38" s="26">
        <v>8465184</v>
      </c>
      <c r="L38" s="50">
        <v>3.1373644610941192</v>
      </c>
      <c r="M38" s="58">
        <v>81571.475988447099</v>
      </c>
      <c r="N38" s="93">
        <v>3.1373644610941192</v>
      </c>
      <c r="O38" s="51">
        <v>81571.475988447099</v>
      </c>
      <c r="P38" s="29">
        <v>322.44663553890587</v>
      </c>
      <c r="Q38" s="34">
        <v>0.99036388624412086</v>
      </c>
      <c r="R38" s="39" t="s">
        <v>15</v>
      </c>
      <c r="S38" s="39" t="s">
        <v>151</v>
      </c>
    </row>
    <row r="39" spans="1:19" ht="38.25" hidden="1" x14ac:dyDescent="0.3">
      <c r="A39" s="55" t="s">
        <v>94</v>
      </c>
      <c r="B39" s="11" t="s">
        <v>149</v>
      </c>
      <c r="C39" s="11" t="s">
        <v>95</v>
      </c>
      <c r="D39" s="54" t="s">
        <v>45</v>
      </c>
      <c r="E39" s="24" t="s">
        <v>104</v>
      </c>
      <c r="F39" s="37" t="s">
        <v>105</v>
      </c>
      <c r="G39" s="25">
        <v>1</v>
      </c>
      <c r="H39" s="72">
        <v>501.94200000000001</v>
      </c>
      <c r="I39" s="101">
        <v>501.94200000000001</v>
      </c>
      <c r="J39" s="49">
        <v>26000</v>
      </c>
      <c r="K39" s="26">
        <v>13050492</v>
      </c>
      <c r="L39" s="50">
        <v>158.25424907647886</v>
      </c>
      <c r="M39" s="58">
        <v>4114610.47598845</v>
      </c>
      <c r="N39" s="93">
        <v>158.25424907647886</v>
      </c>
      <c r="O39" s="51">
        <v>4114610.4759884505</v>
      </c>
      <c r="P39" s="29">
        <v>343.68775092352115</v>
      </c>
      <c r="Q39" s="34">
        <v>0.68471606465193413</v>
      </c>
      <c r="R39" s="39" t="s">
        <v>15</v>
      </c>
      <c r="S39" s="39" t="s">
        <v>151</v>
      </c>
    </row>
    <row r="40" spans="1:19" ht="38.25" hidden="1" x14ac:dyDescent="0.3">
      <c r="A40" s="55" t="s">
        <v>94</v>
      </c>
      <c r="B40" s="11" t="s">
        <v>149</v>
      </c>
      <c r="C40" s="11" t="s">
        <v>95</v>
      </c>
      <c r="D40" s="54" t="s">
        <v>45</v>
      </c>
      <c r="E40" s="24" t="s">
        <v>106</v>
      </c>
      <c r="F40" s="37" t="s">
        <v>107</v>
      </c>
      <c r="G40" s="25">
        <v>1</v>
      </c>
      <c r="H40" s="72">
        <v>770</v>
      </c>
      <c r="I40" s="101">
        <v>770</v>
      </c>
      <c r="J40" s="49">
        <v>26000</v>
      </c>
      <c r="K40" s="26">
        <v>20020000</v>
      </c>
      <c r="L40" s="50">
        <v>712.64981591162643</v>
      </c>
      <c r="M40" s="58">
        <v>18528895.213702288</v>
      </c>
      <c r="N40" s="93">
        <v>712.64981591162643</v>
      </c>
      <c r="O40" s="51">
        <v>18528895.213702288</v>
      </c>
      <c r="P40" s="29">
        <v>57.350184088373567</v>
      </c>
      <c r="Q40" s="34">
        <v>7.448075855632931E-2</v>
      </c>
      <c r="R40" s="39" t="s">
        <v>15</v>
      </c>
      <c r="S40" s="39" t="s">
        <v>151</v>
      </c>
    </row>
    <row r="41" spans="1:19" ht="38.25" hidden="1" x14ac:dyDescent="0.3">
      <c r="A41" s="55" t="s">
        <v>94</v>
      </c>
      <c r="B41" s="11" t="s">
        <v>149</v>
      </c>
      <c r="C41" s="11" t="s">
        <v>95</v>
      </c>
      <c r="D41" s="54" t="s">
        <v>45</v>
      </c>
      <c r="E41" s="24" t="s">
        <v>108</v>
      </c>
      <c r="F41" s="37" t="s">
        <v>109</v>
      </c>
      <c r="G41" s="25">
        <v>1</v>
      </c>
      <c r="H41" s="72">
        <v>81.396000000000001</v>
      </c>
      <c r="I41" s="101">
        <v>81.396000000000001</v>
      </c>
      <c r="J41" s="49">
        <v>26000</v>
      </c>
      <c r="K41" s="26">
        <v>2116296</v>
      </c>
      <c r="L41" s="50">
        <v>35.883518307247961</v>
      </c>
      <c r="M41" s="58">
        <v>932971.47598844697</v>
      </c>
      <c r="N41" s="93">
        <v>35.883518307247961</v>
      </c>
      <c r="O41" s="51">
        <v>932971.47598844697</v>
      </c>
      <c r="P41" s="29">
        <v>45.51248169275204</v>
      </c>
      <c r="Q41" s="34">
        <v>0.5591488733199671</v>
      </c>
      <c r="R41" s="39" t="s">
        <v>15</v>
      </c>
      <c r="S41" s="39" t="s">
        <v>151</v>
      </c>
    </row>
    <row r="42" spans="1:19" ht="38.25" hidden="1" x14ac:dyDescent="0.3">
      <c r="A42" s="55" t="s">
        <v>94</v>
      </c>
      <c r="B42" s="11" t="s">
        <v>149</v>
      </c>
      <c r="C42" s="11" t="s">
        <v>95</v>
      </c>
      <c r="D42" s="54" t="s">
        <v>45</v>
      </c>
      <c r="E42" s="24" t="s">
        <v>110</v>
      </c>
      <c r="F42" s="37" t="s">
        <v>111</v>
      </c>
      <c r="G42" s="25">
        <v>1</v>
      </c>
      <c r="H42" s="72">
        <v>81.396000000000001</v>
      </c>
      <c r="I42" s="101">
        <v>81.396000000000001</v>
      </c>
      <c r="J42" s="49">
        <v>26000</v>
      </c>
      <c r="K42" s="26">
        <v>2116296</v>
      </c>
      <c r="L42" s="50">
        <v>36.687364461094113</v>
      </c>
      <c r="M42" s="58">
        <v>953871.47598844697</v>
      </c>
      <c r="N42" s="93">
        <v>36.687364461094113</v>
      </c>
      <c r="O42" s="51">
        <v>953871.47598844697</v>
      </c>
      <c r="P42" s="29">
        <v>44.708635538905888</v>
      </c>
      <c r="Q42" s="34">
        <v>0.54927312815010432</v>
      </c>
      <c r="R42" s="39" t="s">
        <v>15</v>
      </c>
      <c r="S42" s="39" t="s">
        <v>151</v>
      </c>
    </row>
    <row r="43" spans="1:19" ht="38.25" hidden="1" x14ac:dyDescent="0.3">
      <c r="A43" s="55" t="s">
        <v>94</v>
      </c>
      <c r="B43" s="11" t="s">
        <v>149</v>
      </c>
      <c r="C43" s="11" t="s">
        <v>95</v>
      </c>
      <c r="D43" s="54" t="s">
        <v>45</v>
      </c>
      <c r="E43" s="24" t="s">
        <v>112</v>
      </c>
      <c r="F43" s="37" t="s">
        <v>113</v>
      </c>
      <c r="G43" s="25">
        <v>1</v>
      </c>
      <c r="H43" s="72">
        <v>81.396000000000001</v>
      </c>
      <c r="I43" s="101">
        <v>81.396000000000001</v>
      </c>
      <c r="J43" s="49">
        <v>26000</v>
      </c>
      <c r="K43" s="26">
        <v>2116296</v>
      </c>
      <c r="L43" s="50">
        <v>20.952749076478728</v>
      </c>
      <c r="M43" s="58">
        <v>544771.47598844697</v>
      </c>
      <c r="N43" s="93">
        <v>20.952749076478728</v>
      </c>
      <c r="O43" s="51">
        <v>544771.47598844697</v>
      </c>
      <c r="P43" s="29">
        <v>60.443250923521276</v>
      </c>
      <c r="Q43" s="34">
        <v>0.742582570685553</v>
      </c>
      <c r="R43" s="39" t="s">
        <v>15</v>
      </c>
      <c r="S43" s="39" t="s">
        <v>151</v>
      </c>
    </row>
    <row r="44" spans="1:19" ht="38.25" hidden="1" x14ac:dyDescent="0.3">
      <c r="A44" s="55" t="s">
        <v>94</v>
      </c>
      <c r="B44" s="11" t="s">
        <v>149</v>
      </c>
      <c r="C44" s="11" t="s">
        <v>95</v>
      </c>
      <c r="D44" s="54" t="s">
        <v>45</v>
      </c>
      <c r="E44" s="24" t="s">
        <v>114</v>
      </c>
      <c r="F44" s="37" t="s">
        <v>115</v>
      </c>
      <c r="G44" s="25">
        <v>1</v>
      </c>
      <c r="H44" s="72">
        <v>81.396000000000001</v>
      </c>
      <c r="I44" s="101">
        <v>81.396000000000001</v>
      </c>
      <c r="J44" s="49">
        <v>26000</v>
      </c>
      <c r="K44" s="26">
        <v>2116296</v>
      </c>
      <c r="L44" s="50">
        <v>13.296018307247962</v>
      </c>
      <c r="M44" s="58">
        <v>345696.47598844703</v>
      </c>
      <c r="N44" s="93">
        <v>13.296018307247962</v>
      </c>
      <c r="O44" s="51">
        <v>345696.47598844703</v>
      </c>
      <c r="P44" s="29">
        <v>68.099981692752038</v>
      </c>
      <c r="Q44" s="34">
        <v>0.8366502247377271</v>
      </c>
      <c r="R44" s="39" t="s">
        <v>15</v>
      </c>
      <c r="S44" s="39" t="s">
        <v>151</v>
      </c>
    </row>
    <row r="45" spans="1:19" ht="38.25" hidden="1" x14ac:dyDescent="0.3">
      <c r="A45" s="55" t="s">
        <v>94</v>
      </c>
      <c r="B45" s="11" t="s">
        <v>149</v>
      </c>
      <c r="C45" s="11" t="s">
        <v>95</v>
      </c>
      <c r="D45" s="54" t="s">
        <v>45</v>
      </c>
      <c r="E45" s="24" t="s">
        <v>116</v>
      </c>
      <c r="F45" s="38" t="s">
        <v>117</v>
      </c>
      <c r="G45" s="25">
        <v>1</v>
      </c>
      <c r="H45" s="72">
        <v>501.94200000000001</v>
      </c>
      <c r="I45" s="101">
        <v>501.94200000000001</v>
      </c>
      <c r="J45" s="49">
        <v>26000</v>
      </c>
      <c r="K45" s="26">
        <v>13050492</v>
      </c>
      <c r="L45" s="50">
        <f>+M45/26000</f>
        <v>207.69230769230768</v>
      </c>
      <c r="M45" s="58">
        <v>5400000</v>
      </c>
      <c r="N45" s="93">
        <f>+L45*G45</f>
        <v>207.69230769230768</v>
      </c>
      <c r="O45" s="51">
        <f>+M45*G45</f>
        <v>5400000</v>
      </c>
      <c r="P45" s="29">
        <v>501.94200000000001</v>
      </c>
      <c r="Q45" s="34">
        <v>1</v>
      </c>
      <c r="R45" s="39" t="s">
        <v>21</v>
      </c>
      <c r="S45" s="52" t="s">
        <v>152</v>
      </c>
    </row>
    <row r="46" spans="1:19" ht="38.25" x14ac:dyDescent="0.3">
      <c r="A46" s="55" t="s">
        <v>16</v>
      </c>
      <c r="B46" s="11" t="s">
        <v>149</v>
      </c>
      <c r="C46" s="11" t="s">
        <v>95</v>
      </c>
      <c r="D46" s="54" t="s">
        <v>18</v>
      </c>
      <c r="E46" s="24" t="s">
        <v>118</v>
      </c>
      <c r="F46" s="37" t="s">
        <v>119</v>
      </c>
      <c r="G46" s="25">
        <v>1</v>
      </c>
      <c r="H46" s="72">
        <v>18980.695884615383</v>
      </c>
      <c r="I46" s="101">
        <v>18980.695884615383</v>
      </c>
      <c r="J46" s="49">
        <v>26000</v>
      </c>
      <c r="K46" s="26">
        <v>493498093</v>
      </c>
      <c r="L46" s="50">
        <v>20192.307692307691</v>
      </c>
      <c r="M46" s="58">
        <v>525000000</v>
      </c>
      <c r="N46" s="93">
        <v>20192.307692307691</v>
      </c>
      <c r="O46" s="51">
        <v>525000000</v>
      </c>
      <c r="P46" s="29">
        <v>-1211.6118076923085</v>
      </c>
      <c r="Q46" s="34">
        <v>-6.3833898138285258E-2</v>
      </c>
      <c r="R46" s="39" t="s">
        <v>21</v>
      </c>
      <c r="S46" s="52" t="s">
        <v>70</v>
      </c>
    </row>
    <row r="47" spans="1:19" ht="38.25" x14ac:dyDescent="0.3">
      <c r="A47" s="55" t="s">
        <v>16</v>
      </c>
      <c r="B47" s="11" t="s">
        <v>149</v>
      </c>
      <c r="C47" s="11" t="s">
        <v>95</v>
      </c>
      <c r="D47" s="54" t="s">
        <v>18</v>
      </c>
      <c r="E47" s="24" t="s">
        <v>120</v>
      </c>
      <c r="F47" s="37" t="s">
        <v>121</v>
      </c>
      <c r="G47" s="25">
        <v>1</v>
      </c>
      <c r="H47" s="72">
        <v>19383.918826923076</v>
      </c>
      <c r="I47" s="101">
        <v>19383.918826923076</v>
      </c>
      <c r="J47" s="49">
        <v>26000</v>
      </c>
      <c r="K47" s="26">
        <v>503981889.5</v>
      </c>
      <c r="L47" s="50">
        <v>17307.692307692309</v>
      </c>
      <c r="M47" s="58">
        <v>450000000</v>
      </c>
      <c r="N47" s="93">
        <v>17307.692307692309</v>
      </c>
      <c r="O47" s="51">
        <v>450000000</v>
      </c>
      <c r="P47" s="29">
        <v>2076.2265192307677</v>
      </c>
      <c r="Q47" s="34">
        <v>0.10711077247945427</v>
      </c>
      <c r="R47" s="39" t="s">
        <v>21</v>
      </c>
      <c r="S47" s="52" t="s">
        <v>70</v>
      </c>
    </row>
    <row r="48" spans="1:19" ht="38.25" x14ac:dyDescent="0.3">
      <c r="A48" s="55" t="s">
        <v>16</v>
      </c>
      <c r="B48" s="11" t="s">
        <v>149</v>
      </c>
      <c r="C48" s="11" t="s">
        <v>95</v>
      </c>
      <c r="D48" s="54" t="s">
        <v>18</v>
      </c>
      <c r="E48" s="42" t="s">
        <v>122</v>
      </c>
      <c r="F48" s="37" t="s">
        <v>123</v>
      </c>
      <c r="G48" s="25">
        <v>1</v>
      </c>
      <c r="H48" s="72">
        <v>18012.411673076924</v>
      </c>
      <c r="I48" s="101">
        <v>18012.411673076924</v>
      </c>
      <c r="J48" s="49">
        <v>26000</v>
      </c>
      <c r="K48" s="26">
        <v>468322703.5</v>
      </c>
      <c r="L48" s="50">
        <v>2503.396153846154</v>
      </c>
      <c r="M48" s="58">
        <v>65088300</v>
      </c>
      <c r="N48" s="93">
        <v>2503.396153846154</v>
      </c>
      <c r="O48" s="51">
        <v>65088300.000000007</v>
      </c>
      <c r="P48" s="29">
        <v>15509.01551923077</v>
      </c>
      <c r="Q48" s="34">
        <v>0.86101826899792833</v>
      </c>
      <c r="R48" s="39" t="s">
        <v>15</v>
      </c>
      <c r="S48" s="10" t="s">
        <v>154</v>
      </c>
    </row>
    <row r="49" spans="1:19" ht="38.25" hidden="1" x14ac:dyDescent="0.3">
      <c r="A49" s="55" t="s">
        <v>30</v>
      </c>
      <c r="B49" s="11" t="s">
        <v>150</v>
      </c>
      <c r="C49" s="11" t="s">
        <v>124</v>
      </c>
      <c r="D49" s="54" t="s">
        <v>18</v>
      </c>
      <c r="E49" s="56" t="s">
        <v>125</v>
      </c>
      <c r="F49" s="37" t="s">
        <v>126</v>
      </c>
      <c r="G49" s="57">
        <v>1</v>
      </c>
      <c r="H49" s="72">
        <v>1371.5071538461539</v>
      </c>
      <c r="I49" s="101">
        <v>1371.5071538461539</v>
      </c>
      <c r="J49" s="49">
        <v>26000</v>
      </c>
      <c r="K49" s="36">
        <v>35659186</v>
      </c>
      <c r="L49" s="50">
        <v>978.84615384615381</v>
      </c>
      <c r="M49" s="58">
        <v>25450000</v>
      </c>
      <c r="N49" s="93">
        <v>978.84615384615381</v>
      </c>
      <c r="O49" s="51">
        <v>25450000</v>
      </c>
      <c r="P49" s="29">
        <v>392.66100000000006</v>
      </c>
      <c r="Q49" s="34">
        <v>0.28629890766435334</v>
      </c>
      <c r="R49" s="39" t="s">
        <v>21</v>
      </c>
      <c r="S49" s="52" t="s">
        <v>152</v>
      </c>
    </row>
    <row r="50" spans="1:19" ht="38.25" hidden="1" x14ac:dyDescent="0.3">
      <c r="A50" s="55" t="s">
        <v>30</v>
      </c>
      <c r="B50" s="11" t="s">
        <v>150</v>
      </c>
      <c r="C50" s="11" t="s">
        <v>124</v>
      </c>
      <c r="D50" s="54" t="s">
        <v>18</v>
      </c>
      <c r="E50" s="56" t="s">
        <v>127</v>
      </c>
      <c r="F50" s="37" t="s">
        <v>128</v>
      </c>
      <c r="G50" s="57">
        <v>1</v>
      </c>
      <c r="H50" s="72">
        <v>548.59682692307695</v>
      </c>
      <c r="I50" s="101">
        <v>548.59682692307695</v>
      </c>
      <c r="J50" s="49">
        <v>26000</v>
      </c>
      <c r="K50" s="36">
        <v>14263517.5</v>
      </c>
      <c r="L50" s="50">
        <v>284.61538461538464</v>
      </c>
      <c r="M50" s="58">
        <v>7400000</v>
      </c>
      <c r="N50" s="93">
        <v>284.61538461538464</v>
      </c>
      <c r="O50" s="51">
        <v>7400000.0000000009</v>
      </c>
      <c r="P50" s="29">
        <v>263.9814423076923</v>
      </c>
      <c r="Q50" s="34">
        <v>0.48119389203960383</v>
      </c>
      <c r="R50" s="39" t="s">
        <v>21</v>
      </c>
      <c r="S50" s="52" t="s">
        <v>152</v>
      </c>
    </row>
    <row r="51" spans="1:19" ht="38.25" x14ac:dyDescent="0.3">
      <c r="A51" s="55" t="s">
        <v>30</v>
      </c>
      <c r="B51" s="11" t="s">
        <v>150</v>
      </c>
      <c r="C51" s="11" t="s">
        <v>124</v>
      </c>
      <c r="D51" s="54" t="s">
        <v>18</v>
      </c>
      <c r="E51" s="56" t="s">
        <v>129</v>
      </c>
      <c r="F51" s="37" t="s">
        <v>130</v>
      </c>
      <c r="G51" s="57">
        <v>1</v>
      </c>
      <c r="H51" s="72">
        <v>40276.48144230769</v>
      </c>
      <c r="I51" s="101">
        <v>40276.48144230769</v>
      </c>
      <c r="J51" s="49">
        <v>26000</v>
      </c>
      <c r="K51" s="36">
        <v>1047188517.5</v>
      </c>
      <c r="L51" s="50">
        <v>22269.23076923077</v>
      </c>
      <c r="M51" s="58">
        <v>579000000</v>
      </c>
      <c r="N51" s="93">
        <v>22269.23076923077</v>
      </c>
      <c r="O51" s="51">
        <v>579000000</v>
      </c>
      <c r="P51" s="29">
        <v>18007.25067307692</v>
      </c>
      <c r="Q51" s="34">
        <v>0.44709095800413029</v>
      </c>
      <c r="R51" s="39" t="s">
        <v>21</v>
      </c>
      <c r="S51" s="52" t="s">
        <v>70</v>
      </c>
    </row>
    <row r="52" spans="1:19" ht="38.25" x14ac:dyDescent="0.3">
      <c r="A52" s="55" t="s">
        <v>37</v>
      </c>
      <c r="B52" s="11" t="s">
        <v>150</v>
      </c>
      <c r="C52" s="11" t="s">
        <v>124</v>
      </c>
      <c r="D52" s="54" t="s">
        <v>38</v>
      </c>
      <c r="E52" s="56" t="s">
        <v>131</v>
      </c>
      <c r="F52" s="48" t="s">
        <v>132</v>
      </c>
      <c r="G52" s="57">
        <v>1</v>
      </c>
      <c r="H52" s="72">
        <v>9981.4791000000005</v>
      </c>
      <c r="I52" s="101">
        <v>9981.4791000000005</v>
      </c>
      <c r="J52" s="49">
        <v>26000</v>
      </c>
      <c r="K52" s="36">
        <v>259518456.59999999</v>
      </c>
      <c r="L52" s="50">
        <v>6923.0769230769229</v>
      </c>
      <c r="M52" s="58">
        <v>180000000</v>
      </c>
      <c r="N52" s="93">
        <v>6923.0769230769229</v>
      </c>
      <c r="O52" s="51">
        <v>180000000</v>
      </c>
      <c r="P52" s="29">
        <v>3058.4021769230776</v>
      </c>
      <c r="Q52" s="34">
        <v>0.30640771235227826</v>
      </c>
      <c r="R52" s="39" t="s">
        <v>21</v>
      </c>
      <c r="S52" s="52" t="s">
        <v>70</v>
      </c>
    </row>
    <row r="53" spans="1:19" ht="38.25" x14ac:dyDescent="0.3">
      <c r="A53" s="55" t="s">
        <v>37</v>
      </c>
      <c r="B53" s="11" t="s">
        <v>150</v>
      </c>
      <c r="C53" s="11" t="s">
        <v>124</v>
      </c>
      <c r="D53" s="54" t="s">
        <v>38</v>
      </c>
      <c r="E53" s="56" t="s">
        <v>133</v>
      </c>
      <c r="F53" s="48" t="s">
        <v>134</v>
      </c>
      <c r="G53" s="57">
        <v>1</v>
      </c>
      <c r="H53" s="72">
        <v>7594.6040999999996</v>
      </c>
      <c r="I53" s="101">
        <v>7594.6040999999996</v>
      </c>
      <c r="J53" s="49">
        <v>26000</v>
      </c>
      <c r="K53" s="36">
        <v>197459706.59999999</v>
      </c>
      <c r="L53" s="50">
        <v>8846.1538461538457</v>
      </c>
      <c r="M53" s="58">
        <v>230000000</v>
      </c>
      <c r="N53" s="93">
        <v>8846.1538461538457</v>
      </c>
      <c r="O53" s="51">
        <v>230000000</v>
      </c>
      <c r="P53" s="29">
        <v>-1251.5497461538462</v>
      </c>
      <c r="Q53" s="34">
        <v>-0.16479460017591255</v>
      </c>
      <c r="R53" s="39" t="s">
        <v>21</v>
      </c>
      <c r="S53" s="52" t="s">
        <v>70</v>
      </c>
    </row>
    <row r="54" spans="1:19" ht="38.25" x14ac:dyDescent="0.3">
      <c r="A54" s="55" t="s">
        <v>37</v>
      </c>
      <c r="B54" s="11" t="s">
        <v>150</v>
      </c>
      <c r="C54" s="11" t="s">
        <v>124</v>
      </c>
      <c r="D54" s="54" t="s">
        <v>38</v>
      </c>
      <c r="E54" s="56" t="s">
        <v>135</v>
      </c>
      <c r="F54" s="48" t="s">
        <v>136</v>
      </c>
      <c r="G54" s="57">
        <v>1</v>
      </c>
      <c r="H54" s="72">
        <v>7594.6040999999996</v>
      </c>
      <c r="I54" s="101">
        <v>7594.6040999999996</v>
      </c>
      <c r="J54" s="49">
        <v>26000</v>
      </c>
      <c r="K54" s="36">
        <v>197459706.59999999</v>
      </c>
      <c r="L54" s="50">
        <v>2692.3076923076924</v>
      </c>
      <c r="M54" s="58">
        <v>70000000</v>
      </c>
      <c r="N54" s="93">
        <v>2692.3076923076924</v>
      </c>
      <c r="O54" s="51">
        <v>70000000</v>
      </c>
      <c r="P54" s="29">
        <v>4902.2964076923072</v>
      </c>
      <c r="Q54" s="34">
        <v>0.64549729559863533</v>
      </c>
      <c r="R54" s="39" t="s">
        <v>21</v>
      </c>
      <c r="S54" s="52" t="s">
        <v>70</v>
      </c>
    </row>
    <row r="55" spans="1:19" ht="38.25" x14ac:dyDescent="0.3">
      <c r="A55" s="55" t="s">
        <v>37</v>
      </c>
      <c r="B55" s="11" t="s">
        <v>150</v>
      </c>
      <c r="C55" s="11" t="s">
        <v>124</v>
      </c>
      <c r="D55" s="54" t="s">
        <v>38</v>
      </c>
      <c r="E55" s="56" t="s">
        <v>137</v>
      </c>
      <c r="F55" s="48" t="s">
        <v>138</v>
      </c>
      <c r="G55" s="57">
        <v>1</v>
      </c>
      <c r="H55" s="72">
        <v>9721.0936500000007</v>
      </c>
      <c r="I55" s="101">
        <v>9721.0936500000007</v>
      </c>
      <c r="J55" s="49">
        <v>26000</v>
      </c>
      <c r="K55" s="36">
        <v>252748434.90000001</v>
      </c>
      <c r="L55" s="50">
        <v>7500</v>
      </c>
      <c r="M55" s="58">
        <v>195000000</v>
      </c>
      <c r="N55" s="93">
        <v>7500</v>
      </c>
      <c r="O55" s="51">
        <v>195000000</v>
      </c>
      <c r="P55" s="29">
        <v>2221.0936500000007</v>
      </c>
      <c r="Q55" s="34">
        <v>0.22848186942422888</v>
      </c>
      <c r="R55" s="39" t="s">
        <v>21</v>
      </c>
      <c r="S55" s="52" t="s">
        <v>153</v>
      </c>
    </row>
    <row r="56" spans="1:19" ht="38.25" x14ac:dyDescent="0.3">
      <c r="A56" s="55" t="s">
        <v>37</v>
      </c>
      <c r="B56" s="11" t="s">
        <v>150</v>
      </c>
      <c r="C56" s="11" t="s">
        <v>124</v>
      </c>
      <c r="D56" s="54" t="s">
        <v>38</v>
      </c>
      <c r="E56" s="56" t="s">
        <v>139</v>
      </c>
      <c r="F56" s="48" t="s">
        <v>140</v>
      </c>
      <c r="G56" s="57">
        <v>1</v>
      </c>
      <c r="H56" s="72">
        <v>13453.291800000001</v>
      </c>
      <c r="I56" s="101">
        <v>13453.291800000001</v>
      </c>
      <c r="J56" s="49">
        <v>26000</v>
      </c>
      <c r="K56" s="36">
        <v>349785586.80000001</v>
      </c>
      <c r="L56" s="50">
        <v>10000</v>
      </c>
      <c r="M56" s="58">
        <v>260000000</v>
      </c>
      <c r="N56" s="93">
        <v>10000</v>
      </c>
      <c r="O56" s="51">
        <v>260000000</v>
      </c>
      <c r="P56" s="29">
        <v>3453.2918000000009</v>
      </c>
      <c r="Q56" s="34">
        <v>0.25668749710758526</v>
      </c>
      <c r="R56" s="39" t="s">
        <v>21</v>
      </c>
      <c r="S56" s="52" t="s">
        <v>70</v>
      </c>
    </row>
    <row r="57" spans="1:19" ht="38.25" x14ac:dyDescent="0.3">
      <c r="A57" s="55" t="s">
        <v>37</v>
      </c>
      <c r="B57" s="11" t="s">
        <v>150</v>
      </c>
      <c r="C57" s="11" t="s">
        <v>124</v>
      </c>
      <c r="D57" s="54" t="s">
        <v>38</v>
      </c>
      <c r="E57" s="56" t="s">
        <v>141</v>
      </c>
      <c r="F57" s="48" t="s">
        <v>142</v>
      </c>
      <c r="G57" s="57">
        <v>1</v>
      </c>
      <c r="H57" s="72">
        <v>8592.75</v>
      </c>
      <c r="I57" s="101">
        <v>8592.75</v>
      </c>
      <c r="J57" s="49">
        <v>26000</v>
      </c>
      <c r="K57" s="36">
        <v>223411500</v>
      </c>
      <c r="L57" s="50">
        <v>6730.7692307692305</v>
      </c>
      <c r="M57" s="58">
        <v>175000000</v>
      </c>
      <c r="N57" s="93">
        <v>6730.7692307692305</v>
      </c>
      <c r="O57" s="51">
        <v>175000000</v>
      </c>
      <c r="P57" s="29">
        <v>1861.9807692307695</v>
      </c>
      <c r="Q57" s="34">
        <v>0.21669206822388287</v>
      </c>
      <c r="R57" s="39" t="s">
        <v>21</v>
      </c>
      <c r="S57" s="52" t="s">
        <v>153</v>
      </c>
    </row>
    <row r="58" spans="1:19" hidden="1" x14ac:dyDescent="0.3">
      <c r="A58" s="59" t="s">
        <v>61</v>
      </c>
      <c r="B58" s="60" t="s">
        <v>150</v>
      </c>
      <c r="C58" s="60" t="s">
        <v>124</v>
      </c>
      <c r="D58" s="61" t="s">
        <v>62</v>
      </c>
      <c r="E58" s="62" t="s">
        <v>143</v>
      </c>
      <c r="F58" s="63" t="s">
        <v>144</v>
      </c>
      <c r="G58" s="64">
        <v>1</v>
      </c>
      <c r="H58" s="74">
        <v>502.88461538461536</v>
      </c>
      <c r="I58" s="102">
        <v>502.88461538461536</v>
      </c>
      <c r="J58" s="65">
        <v>26000</v>
      </c>
      <c r="K58" s="66">
        <v>13075000</v>
      </c>
      <c r="L58" s="75">
        <v>153.84615384615384</v>
      </c>
      <c r="M58" s="67">
        <v>4000000</v>
      </c>
      <c r="N58" s="94">
        <v>153.84615384615384</v>
      </c>
      <c r="O58" s="68">
        <v>4000000</v>
      </c>
      <c r="P58" s="76">
        <v>349.03846153846155</v>
      </c>
      <c r="Q58" s="69">
        <v>0.6940726577437859</v>
      </c>
      <c r="R58" s="70" t="s">
        <v>21</v>
      </c>
      <c r="S58" s="52" t="s">
        <v>152</v>
      </c>
    </row>
  </sheetData>
  <autoFilter ref="A1:U58" xr:uid="{00000000-0009-0000-0000-000001000000}">
    <filterColumn colId="5">
      <filters>
        <filter val="132-8032-006 _VF Grip_Low Light_C6 INJECTION MOLD - Material : NAK80"/>
        <filter val="132-8032-006, VF Grip, Low Light, C6, RevA, 11-10-25 Silicone Mold"/>
        <filter val="135-8837-003_ISW ANTENNA ENCLOSURE , FRONT SENSORS, C3  INJECTION MOLD (2nd INJECTION)"/>
        <filter val="135-8837-003_ISW ANTENNA ENCLOSURE, FRONT SENSORS, C3  INJECTION MOLD (1ST INJECTION)"/>
        <filter val="136-2429-002, Button Membrane, Front UI, C2, RevA Silicone Mold"/>
        <filter val="136-2429-002_ Button Membrane_ Front UI_ C2 INJECTION MOLD"/>
        <filter val="142-7607-002 LOW LIGHT SENSOR BAR INJECTION MOLD"/>
        <filter val="143-0466-001 _ BODY COMPUTE_ANTENNA_CAPS _ LEFT &amp; RIGHT_INJECTION MOLD 2525"/>
        <filter val="147-9222-001_A-SIDE SHIELD LEFT &amp; RIGHT_ BUCK HMD INJECTION MOLD"/>
        <filter val="148-3197-002 _ Mission Shield Carrier INJECTION MOLD"/>
        <filter val="148-3197-002 _ Mission Shield Carrier TRIMMING MOLD"/>
        <filter val="150-3554-001_SILICONE NOSE PAD _ SILICONE MOLD"/>
        <filter val="150-6455-001 Temple Arm_ LEFT &amp; RIGHT  INJECTION MOLD"/>
        <filter val="151-9798-001_bungee (Left + Right) _ SILICONE MOLD"/>
        <filter val="Injection Mold 55-91279-1_Rear Camera 1CAV (Fullset)"/>
        <filter val="Mold Die Casting _ME1a-HOUSING #1"/>
        <filter val="Mold Die casting CL4  Housing  1 CAV (Full set) #16"/>
        <filter val="Mold Die casting CL4  Housing  1 CAV (Full set) #17"/>
        <filter val="Mold Die Casting eK LQ2 Cover #2"/>
        <filter val="Mold Die Casting GEN3 AL5 HOUSING #12"/>
        <filter val="Mold Die casting JK1 Housing - LHD 1 CAV (Full set) #1, Material: DAC MAGIC"/>
        <filter val="Mold Die casting JK1 Housing - RHD 1 CAV (Full set) #1, Material: DAC MAGIC"/>
        <filter val="Mold Die casting MQ4a PE Housing #10, 1 CAV (Full set)/Khuôn đúc MQ4a PE housing #10"/>
        <filter val="Mold Die casting MQ4a PE Housing #9, 1 CAV (Full set)/Khuôn đúc MQ4a PE Housing #9"/>
        <filter val="Mold Die casting MQ4aPE  Housing  1 CAV (Full set) #11"/>
        <filter val="Mold Die casting ZF IPM 2.0 Housing Advance Lite 1CAV (Fullset)/ Khuôn đúc nhôm"/>
        <filter val="Mold die casting, khuôn đúc, CL4 COVER #3"/>
        <filter val="Mold Die Casting_LQ2 EK COVER #1/Khuôn Sung Hwa LQ2 EK COVER #1"/>
        <filter val="Mold MQ4 B/COVER"/>
        <filter val="Oring Mold for P/N: 143-8808-001-A03 &amp; 143-6225-001-A04"/>
        <filter val="PK Mold LGIT-  MQ4 COVER #4 Back up- Die casting tool"/>
        <filter val="PK Mold LGIT- MPC5.5 Back up  #8 Die casting tool"/>
        <filter val="PK Mold LGIT- MPC5.5 Back up  #9 - Die casting"/>
        <filter val="SM- A176B BRACKET Degating mold/ Khuôn cắt gate SM- A176B BRACKET"/>
        <filter val="SM- A176B BRACKET DIE CASTING MOLD 2CAV (FULL SET)/ Khuôn đúc nhôm SM- A176B BRACKET"/>
        <filter val="SM- A176B BRACKET Trimming mold/ Khuôn dập SM- A176B BRACKET"/>
        <filter val="SM- A176B BRACKET Trimming mold/ Khuôn dập SM- A176B BRACKET / Maker: SONGJIA"/>
      </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Report</vt:lpstr>
      <vt:lpstr>Data sale - Mold&amp;Jig Nov-Apr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ACC-PC01</dc:creator>
  <cp:lastModifiedBy>임재홍</cp:lastModifiedBy>
  <dcterms:created xsi:type="dcterms:W3CDTF">2026-05-12T03:45:48Z</dcterms:created>
  <dcterms:modified xsi:type="dcterms:W3CDTF">2026-05-12T05:07:08Z</dcterms:modified>
</cp:coreProperties>
</file>