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Cowork/01_경영재무/경영마감/2026년04월/금형비/"/>
    </mc:Choice>
  </mc:AlternateContent>
  <xr:revisionPtr revIDLastSave="1" documentId="11_F33D79467F2F8B342B9B1B5EB70283F093619573" xr6:coauthVersionLast="47" xr6:coauthVersionMax="47" xr10:uidLastSave="{7CEBD00B-9518-4103-AC87-06508006AFB6}"/>
  <bookViews>
    <workbookView xWindow="-120" yWindow="-120" windowWidth="29040" windowHeight="15720" activeTab="1" xr2:uid="{00000000-000D-0000-FFFF-FFFF00000000}"/>
  </bookViews>
  <sheets>
    <sheet name="Balance at 30.Apr.2026" sheetId="3" r:id="rId1"/>
    <sheet name="Trading-Buying 2026" sheetId="8" r:id="rId2"/>
  </sheets>
  <definedNames>
    <definedName name="_xlnm._FilterDatabase" localSheetId="0" hidden="1">'Balance at 30.Apr.2026'!$B$6:$M$57</definedName>
    <definedName name="_xlnm._FilterDatabase" localSheetId="1" hidden="1">'Trading-Buying 2026'!$A$4:$Q$56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9" i="3" l="1"/>
  <c r="H79" i="3"/>
  <c r="J35" i="3"/>
  <c r="J36" i="3"/>
  <c r="J15" i="3"/>
  <c r="J92" i="3" l="1"/>
  <c r="J93" i="3"/>
  <c r="J80" i="3"/>
  <c r="J79" i="3" s="1"/>
  <c r="J81" i="3"/>
  <c r="J82" i="3"/>
  <c r="J88" i="3"/>
  <c r="J89" i="3"/>
  <c r="J90" i="3"/>
  <c r="J91" i="3"/>
  <c r="J85" i="3"/>
  <c r="J84" i="3"/>
  <c r="J86" i="3"/>
  <c r="J87" i="3"/>
  <c r="J83" i="3"/>
  <c r="J67" i="3"/>
  <c r="J68" i="3"/>
  <c r="J69" i="3"/>
  <c r="J70" i="3"/>
  <c r="J71" i="3"/>
  <c r="J66" i="3"/>
  <c r="H5" i="3"/>
  <c r="H65" i="3"/>
  <c r="I65" i="3"/>
  <c r="J65" i="3" l="1"/>
  <c r="I5" i="3"/>
  <c r="I59" i="3"/>
  <c r="H59" i="3"/>
  <c r="J56" i="8"/>
  <c r="I56" i="8"/>
  <c r="G56" i="8"/>
  <c r="F56" i="8"/>
  <c r="J57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K56" i="8" l="1"/>
  <c r="L56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5" i="8"/>
  <c r="J29" i="3" l="1"/>
  <c r="J30" i="3"/>
  <c r="J31" i="3"/>
  <c r="J32" i="3"/>
  <c r="J33" i="3"/>
  <c r="J34" i="3"/>
  <c r="J25" i="3" l="1"/>
  <c r="J26" i="3"/>
  <c r="J27" i="3"/>
  <c r="J28" i="3"/>
  <c r="J19" i="3"/>
  <c r="J20" i="3"/>
  <c r="J21" i="3"/>
  <c r="J22" i="3"/>
  <c r="J23" i="3"/>
  <c r="J24" i="3"/>
  <c r="J17" i="3"/>
  <c r="J18" i="3"/>
  <c r="J16" i="3"/>
  <c r="J14" i="3"/>
  <c r="J10" i="3"/>
  <c r="J11" i="3"/>
  <c r="J12" i="3"/>
  <c r="J13" i="3"/>
  <c r="J7" i="3"/>
  <c r="J8" i="3"/>
  <c r="J9" i="3"/>
  <c r="J5" i="3" l="1"/>
  <c r="J59" i="3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5" i="8"/>
  <c r="P56" i="8" l="1"/>
  <c r="Q56" i="8" s="1"/>
</calcChain>
</file>

<file path=xl/sharedStrings.xml><?xml version="1.0" encoding="utf-8"?>
<sst xmlns="http://schemas.openxmlformats.org/spreadsheetml/2006/main" count="570" uniqueCount="222">
  <si>
    <t>Qty</t>
  </si>
  <si>
    <t>Code</t>
  </si>
  <si>
    <t>Description</t>
  </si>
  <si>
    <t>No</t>
  </si>
  <si>
    <t>Amount VND</t>
  </si>
  <si>
    <t>Amount USD</t>
  </si>
  <si>
    <t>Reason</t>
  </si>
  <si>
    <t>900196</t>
  </si>
  <si>
    <t>Battery door #1 (50-PE623-1)</t>
  </si>
  <si>
    <t>900205</t>
  </si>
  <si>
    <t>Rear - Housing</t>
  </si>
  <si>
    <t>900198</t>
  </si>
  <si>
    <t>DOOR #1 (50-PE401-1)</t>
  </si>
  <si>
    <t>Selling Plan</t>
  </si>
  <si>
    <t>don't have PO, check is it possible to change name and us for current PO that we don’t make JIG actual</t>
  </si>
  <si>
    <t>Acounting confirm
for Clearing</t>
  </si>
  <si>
    <t>Month of Buying</t>
  </si>
  <si>
    <t>Can not check out the reason why can not clear stock</t>
  </si>
  <si>
    <t>Customer</t>
  </si>
  <si>
    <t>Qualcomm</t>
  </si>
  <si>
    <t>Mando</t>
  </si>
  <si>
    <t>900531</t>
  </si>
  <si>
    <t>50-PP795-1 PAD, CAMERA DIVIDER, BĂNG DÍNH 50-PP795-1</t>
  </si>
  <si>
    <t>901362</t>
  </si>
  <si>
    <t>LOWER CORE OF JG REPS HOUSING MOLD -  ECN CHANGE(LC - NEW MAKE) / Nhân bên dưới của khuôn JG Reps Housing</t>
  </si>
  <si>
    <t>03/2025</t>
  </si>
  <si>
    <t>item code</t>
  </si>
  <si>
    <t>Name</t>
  </si>
  <si>
    <t>Input in 2025</t>
  </si>
  <si>
    <t>Note plan of Selling</t>
  </si>
  <si>
    <t>PIC ( sale team)</t>
  </si>
  <si>
    <t>Amount</t>
  </si>
  <si>
    <t>month</t>
  </si>
  <si>
    <t>202503</t>
  </si>
  <si>
    <t>202507</t>
  </si>
  <si>
    <t>202505</t>
  </si>
  <si>
    <t>901364</t>
  </si>
  <si>
    <t>Mold Die casting LT2 Housing, 1 CAV (Full set)/Khuôn đúc LT2 Housing #1</t>
  </si>
  <si>
    <t>901365</t>
  </si>
  <si>
    <t>Mold Die casting US cover 2 CAV (Full set)/Khuôn đúc US Cover #1</t>
  </si>
  <si>
    <t>901369</t>
  </si>
  <si>
    <t>RWS COVER -  ECN CHANGE (LC - NEW MAKE)</t>
  </si>
  <si>
    <t>Openning 1. Jan.2025</t>
  </si>
  <si>
    <t>List of Goods Trading  not yet selling</t>
  </si>
  <si>
    <t>05/2025</t>
  </si>
  <si>
    <t>07/2025</t>
  </si>
  <si>
    <t>901030</t>
  </si>
  <si>
    <t>50-40356-2_DISPLAY COVER, PLASTIC, MTP KUNO, Linh kiện qualcomm 50-40356-2</t>
  </si>
  <si>
    <t>901405</t>
  </si>
  <si>
    <t>LT2 HSG - MCT Jig (new vesion)</t>
  </si>
  <si>
    <t>08/2025</t>
  </si>
  <si>
    <t>Mando Korea</t>
  </si>
  <si>
    <t>901408</t>
  </si>
  <si>
    <t>NX4 HSG - AIR GAGE HEAD/MASTER</t>
  </si>
  <si>
    <t>901409</t>
  </si>
  <si>
    <t>JK1-LHD HSG_New Bore core</t>
  </si>
  <si>
    <t>09/2025</t>
  </si>
  <si>
    <t>Mr Noh xđ sẽ bán</t>
  </si>
  <si>
    <t>05/2018</t>
  </si>
  <si>
    <t>07/2018</t>
  </si>
  <si>
    <t>900668</t>
  </si>
  <si>
    <t>Left bracket 50-36919-1/Khung đỡ màn hình bên trái dùng cho oto bằng nhôm 50-36919-1</t>
  </si>
  <si>
    <t>901373</t>
  </si>
  <si>
    <t>Mold Die casting MQ4aPE  Housing  1 CAV (Full set) #12</t>
  </si>
  <si>
    <t>901422</t>
  </si>
  <si>
    <t>US4 RHD Cover - MCT Jig - Ver 02</t>
  </si>
  <si>
    <t>901425</t>
  </si>
  <si>
    <t>JG REPS LHD Cover - MCT Jig - Ver 02</t>
  </si>
  <si>
    <t>901426</t>
  </si>
  <si>
    <t>JG RWS Cover - MCT Jig -Ver 02</t>
  </si>
  <si>
    <t>901427</t>
  </si>
  <si>
    <t>JG REPS LHD_MARKING JIG</t>
  </si>
  <si>
    <t>12/2025</t>
  </si>
  <si>
    <t>11/2025</t>
  </si>
  <si>
    <t>202512</t>
  </si>
  <si>
    <t>LG Yantai</t>
  </si>
  <si>
    <t>Waiting for upcoming PO (ko có forecast cho mã này)</t>
  </si>
  <si>
    <t>901015</t>
  </si>
  <si>
    <t>901049</t>
  </si>
  <si>
    <t>901439</t>
  </si>
  <si>
    <t>901440</t>
  </si>
  <si>
    <t>Battery door #1 (50-PE623-1), Linh kiện Qualcom      50-PE623-1</t>
  </si>
  <si>
    <t>DOOR #1 (50-PE401-1), Linh kiện Qualcom 50-PE401-1</t>
  </si>
  <si>
    <t>Rear - Housing, Linh kiện Qualcom Rear Housing</t>
  </si>
  <si>
    <t>50-43615-1_BackPlane Stiffener_ADP Arnage (4.0)</t>
  </si>
  <si>
    <t>QRANIUM CARRIER, ADP RIDE ARNAGE (4.0)</t>
  </si>
  <si>
    <t>US4 RHD_MARKING JIG</t>
  </si>
  <si>
    <t>JG RWS_MARKING JIG</t>
  </si>
  <si>
    <t>202601</t>
  </si>
  <si>
    <t>Input in 2026</t>
  </si>
  <si>
    <t>List of Goods Trading 2026 not yet selling</t>
  </si>
  <si>
    <t>Developed model, haven't got plan</t>
  </si>
  <si>
    <t>901410</t>
  </si>
  <si>
    <t>Mold Die Casting CL4 HOUSING #18</t>
  </si>
  <si>
    <t>901445</t>
  </si>
  <si>
    <t>T1XX_HOUSING_MCT_JIG_OP10</t>
  </si>
  <si>
    <t>901448</t>
  </si>
  <si>
    <t>T1XX-2 Housing - CMM Jig</t>
  </si>
  <si>
    <t>901449</t>
  </si>
  <si>
    <t>T1XX-2 Bearing Plate - CMM Jig</t>
  </si>
  <si>
    <t>901451</t>
  </si>
  <si>
    <t>T1XX-2 Bearing Plate - MCT Jig</t>
  </si>
  <si>
    <t>901452</t>
  </si>
  <si>
    <t>T1XX Housing - Cutting Jig</t>
  </si>
  <si>
    <t>901458</t>
  </si>
  <si>
    <t>O-ring for Battery Pack Rear-to-Front Cable (P/N: 143-8808-001-A03)</t>
  </si>
  <si>
    <t>901459</t>
  </si>
  <si>
    <t>Oring for BATTERY PACK, TOP LID (P/N: 143-6225-001-A04)</t>
  </si>
  <si>
    <t>Tooling sold, wait for receiving payment</t>
  </si>
  <si>
    <t>4-Mar, shipped</t>
  </si>
  <si>
    <t>Haven't got plan</t>
  </si>
  <si>
    <t>May.26</t>
  </si>
  <si>
    <t>Jun.26</t>
  </si>
  <si>
    <t>900669</t>
  </si>
  <si>
    <t>Right bracket 50-36920-1, Khung đỡ màn hình bên phải dùng cho oto bằng nhôm 50-36920-1</t>
  </si>
  <si>
    <t>901411</t>
  </si>
  <si>
    <t>Mold Die Casting CL4 HOUSING #19</t>
  </si>
  <si>
    <t>901443</t>
  </si>
  <si>
    <t>T1XX-2 BEARING PLATE - Trimming Mold</t>
  </si>
  <si>
    <t>901444</t>
  </si>
  <si>
    <t>T1XX Housing - VERTICAL RUBBER INNER SUPPORT/FIXTURE JPT230-OP20</t>
  </si>
  <si>
    <t>901450</t>
  </si>
  <si>
    <t>T1XX-2 Bearing Plate - Turning Jig</t>
  </si>
  <si>
    <t>901453</t>
  </si>
  <si>
    <t>LT2 HOUSING - Upper core</t>
  </si>
  <si>
    <t>901454</t>
  </si>
  <si>
    <t>LT2 HOUSING - Bore core</t>
  </si>
  <si>
    <t>901455</t>
  </si>
  <si>
    <t>US4 COVER - Lower core</t>
  </si>
  <si>
    <t>901456</t>
  </si>
  <si>
    <t>US4 COVER - New Lower core pin</t>
  </si>
  <si>
    <t>901457</t>
  </si>
  <si>
    <t>T1XX Housing - Lazer Jig</t>
  </si>
  <si>
    <t>901460</t>
  </si>
  <si>
    <t>LT2 Housing - CMM Jig</t>
  </si>
  <si>
    <t>901461</t>
  </si>
  <si>
    <t>T1XX - MCT - Jig OP10+OP20</t>
  </si>
  <si>
    <t>901412</t>
  </si>
  <si>
    <t>Mold Die Casting MQ4a PE  Housing #13</t>
  </si>
  <si>
    <t>901413</t>
  </si>
  <si>
    <t>Mold Die Casting MQ4a PE  Housing #14</t>
  </si>
  <si>
    <t>901441</t>
  </si>
  <si>
    <t>JK1-LHD- Profile checking JIG 0.6ABF &amp; 0.9 ABK</t>
  </si>
  <si>
    <t>901442</t>
  </si>
  <si>
    <t>JK1- RHD - Profile checking JIG 0.6ABF &amp; 0.9 ABK</t>
  </si>
  <si>
    <t>901446</t>
  </si>
  <si>
    <t>Mold Die Casting T1XX-2 Bearing Plate (Fullset)</t>
  </si>
  <si>
    <t>901466</t>
  </si>
  <si>
    <t>SM- A276B BRACKET DIE CASTING MOLD 2CAV (FULL SET)/ Khuôn đúc nhôm SM- A276B BRACKET</t>
  </si>
  <si>
    <t>901467</t>
  </si>
  <si>
    <t>SM- A276B BRACKET Trimming mold/ Khuôn dập SM- A276B BRACKET</t>
  </si>
  <si>
    <t>901468</t>
  </si>
  <si>
    <t>SM- A276B BRACKET Degating mold/ Khuôn cắt gate SM- A276B BRACKET</t>
  </si>
  <si>
    <t>901470</t>
  </si>
  <si>
    <t>135-7343-001/A Screw PEM M2 3.0 lng Torx</t>
  </si>
  <si>
    <t>202604</t>
  </si>
  <si>
    <t>Balance at 30.Apr.2026</t>
  </si>
  <si>
    <t>Balance 30.Apr.2026</t>
  </si>
  <si>
    <t>780992</t>
  </si>
  <si>
    <t>Mold Die casting ME210JGRS0_COVER_A1 (JG RWS) #1</t>
  </si>
  <si>
    <t>780991</t>
  </si>
  <si>
    <t>Mold Die casting ME210JG000_COVER_A1 (JG REPS) #1</t>
  </si>
  <si>
    <t>784932</t>
  </si>
  <si>
    <t>SM-A176B BRACKET DIE CASTING MOLD 2CAV  (CORE SET)/Chi tiết khuôn bằng thép (lõi khuôn trên và lõi khuôn dưới)</t>
  </si>
  <si>
    <t>202502</t>
  </si>
  <si>
    <t>202508-202512</t>
  </si>
  <si>
    <t>Supplies</t>
  </si>
  <si>
    <t>Trading</t>
  </si>
  <si>
    <t>784982</t>
  </si>
  <si>
    <t>Mold Die Casting IMEB2 Housing #8</t>
  </si>
  <si>
    <t>785008</t>
  </si>
  <si>
    <t>Mold Die Casting IMEB2 Housing #9</t>
  </si>
  <si>
    <t>785009</t>
  </si>
  <si>
    <t>Mold Die Casting IMEB2 Housing #10</t>
  </si>
  <si>
    <t>140331</t>
  </si>
  <si>
    <t>PK Mold LGIT- GEN5 Back up #13 - Die casting tool</t>
  </si>
  <si>
    <t>140414</t>
  </si>
  <si>
    <t>PK Mold LGIT- MPC5.5 Back up #13 - Die casting tool</t>
  </si>
  <si>
    <t>140390</t>
  </si>
  <si>
    <t>PK Mold LGIT- MPC5.5 Back up  #12 - Die casting tool</t>
  </si>
  <si>
    <t>140363</t>
  </si>
  <si>
    <t>PK Mold LGIT-  MPC5.5 #10 Back up - Die casting tool</t>
  </si>
  <si>
    <t>140366</t>
  </si>
  <si>
    <t>PK Mold LGIT- MPC5.5 #11 Back up - Die casting tool</t>
  </si>
  <si>
    <t>140289</t>
  </si>
  <si>
    <t>PK Mold Hyoseong - GEN5 Back up #7- Die casting tool</t>
  </si>
  <si>
    <t>140303</t>
  </si>
  <si>
    <t>PK Mold  HYOSUNG- GEN5 Back up #9 - Die casting tool</t>
  </si>
  <si>
    <t>140317</t>
  </si>
  <si>
    <t>PK Mold LGIT GEN5 Back up #11- Die casting tool</t>
  </si>
  <si>
    <t>140418</t>
  </si>
  <si>
    <t>PK Mold ZF- NISSAN4.8 LENS MOUNT #18 - Die casting tool</t>
  </si>
  <si>
    <t>140419</t>
  </si>
  <si>
    <t>PK Mold ZF- NISSAN4.8 LENS MOUNT #17 - Die casting tool</t>
  </si>
  <si>
    <t>140420</t>
  </si>
  <si>
    <t>PK Mold ZF- ACP COVER 4 CAVITY #15 Back up - Die casting tool</t>
  </si>
  <si>
    <t>140421</t>
  </si>
  <si>
    <t>PK Mold ZF- ACP Housing 4 CAVITY #15 - Die casting tool</t>
  </si>
  <si>
    <t>FG</t>
  </si>
  <si>
    <t>202603</t>
  </si>
  <si>
    <t>202509</t>
  </si>
  <si>
    <t>202501</t>
  </si>
  <si>
    <t>202408</t>
  </si>
  <si>
    <t>202411</t>
  </si>
  <si>
    <t>101326</t>
  </si>
  <si>
    <t>JIG BYD HX HOUSING OP10</t>
  </si>
  <si>
    <t>101327</t>
  </si>
  <si>
    <t>JIG BYD HX HOUSING OP20</t>
  </si>
  <si>
    <t>R&amp;D inform to sell</t>
  </si>
  <si>
    <t>Isue to intenal using -May</t>
  </si>
  <si>
    <t>Drop But not yet clear mold</t>
  </si>
  <si>
    <t>List of Mold -Homemade (FG)  not yet output</t>
  </si>
  <si>
    <t>List of Mold -Purchase  not yet output</t>
  </si>
  <si>
    <t>02/2026</t>
  </si>
  <si>
    <t>04/2026</t>
  </si>
  <si>
    <t>MOLD -JIG BALANCE AT APR.2026</t>
  </si>
  <si>
    <t>1-</t>
  </si>
  <si>
    <t>2-</t>
  </si>
  <si>
    <t>3-</t>
  </si>
  <si>
    <t>Product</t>
  </si>
  <si>
    <t>01/2026</t>
  </si>
  <si>
    <t>Mold-Jig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</si>
</sst>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(* #,##0_);_(* \(#,##0\);_(* &quot;-&quot;??_);_(@_)"/>
    <numFmt numFmtId="179" formatCode="_(&quot;$&quot;* #,##0_);_(&quot;$&quot;* \(#,##0\);_(&quot;$&quot;* &quot;-&quot;??_);_(@_)"/>
  </numFmts>
  <fonts count="1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u val="singleAccounting"/>
      <sz val="11"/>
      <color theme="1"/>
      <name val="맑은 고딕"/>
      <family val="2"/>
      <scheme val="minor"/>
    </font>
    <font>
      <b/>
      <u/>
      <sz val="16"/>
      <color rgb="FFC00000"/>
      <name val="맑은 고딕"/>
      <family val="2"/>
      <scheme val="minor"/>
    </font>
    <font>
      <b/>
      <sz val="11"/>
      <color rgb="FF0000FF"/>
      <name val="맑은 고딕"/>
      <family val="2"/>
      <scheme val="minor"/>
    </font>
    <font>
      <sz val="11"/>
      <color rgb="FF0000FF"/>
      <name val="맑은 고딕"/>
      <family val="2"/>
      <scheme val="minor"/>
    </font>
    <font>
      <sz val="11"/>
      <name val="맑은 고딕"/>
      <family val="2"/>
      <scheme val="minor"/>
    </font>
    <font>
      <b/>
      <u/>
      <sz val="16"/>
      <color rgb="FFFF0000"/>
      <name val="맑은 고딕"/>
      <family val="2"/>
      <scheme val="minor"/>
    </font>
    <font>
      <b/>
      <sz val="25"/>
      <color theme="1"/>
      <name val="맑은 고딕"/>
      <family val="2"/>
      <scheme val="minor"/>
    </font>
    <font>
      <sz val="11"/>
      <color rgb="FF7030A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1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b/>
      <u val="singleAccounting"/>
      <sz val="11"/>
      <color rgb="FF0000FF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indexed="64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/>
      <bottom style="thin">
        <color indexed="64"/>
      </bottom>
      <diagonal/>
    </border>
  </borders>
  <cellStyleXfs count="3">
    <xf numFmtId="0" fontId="0" fillId="0" borderId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</cellStyleXfs>
  <cellXfs count="182">
    <xf numFmtId="0" fontId="0" fillId="0" borderId="0" xfId="0"/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" xfId="0" applyBorder="1"/>
    <xf numFmtId="0" fontId="8" fillId="0" borderId="0" xfId="0" applyFont="1"/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0" borderId="27" xfId="0" applyBorder="1"/>
    <xf numFmtId="0" fontId="0" fillId="0" borderId="28" xfId="0" applyBorder="1"/>
    <xf numFmtId="178" fontId="0" fillId="4" borderId="9" xfId="2" applyNumberFormat="1" applyFont="1" applyFill="1" applyBorder="1"/>
    <xf numFmtId="178" fontId="0" fillId="4" borderId="6" xfId="2" applyNumberFormat="1" applyFont="1" applyFill="1" applyBorder="1"/>
    <xf numFmtId="0" fontId="0" fillId="0" borderId="30" xfId="0" applyBorder="1"/>
    <xf numFmtId="0" fontId="10" fillId="0" borderId="0" xfId="0" applyFont="1"/>
    <xf numFmtId="178" fontId="0" fillId="0" borderId="0" xfId="2" applyNumberFormat="1" applyFont="1"/>
    <xf numFmtId="0" fontId="0" fillId="0" borderId="10" xfId="0" applyBorder="1" applyAlignment="1">
      <alignment horizontal="center"/>
    </xf>
    <xf numFmtId="0" fontId="1" fillId="0" borderId="4" xfId="0" applyFont="1" applyBorder="1"/>
    <xf numFmtId="0" fontId="0" fillId="0" borderId="4" xfId="0" applyBorder="1" applyAlignment="1">
      <alignment horizontal="center"/>
    </xf>
    <xf numFmtId="178" fontId="0" fillId="0" borderId="4" xfId="2" applyNumberFormat="1" applyFont="1" applyFill="1" applyBorder="1"/>
    <xf numFmtId="0" fontId="7" fillId="0" borderId="5" xfId="0" applyFont="1" applyBorder="1"/>
    <xf numFmtId="178" fontId="1" fillId="2" borderId="3" xfId="2" applyNumberFormat="1" applyFont="1" applyFill="1" applyBorder="1" applyAlignment="1">
      <alignment horizontal="center"/>
    </xf>
    <xf numFmtId="0" fontId="0" fillId="6" borderId="1" xfId="0" applyFill="1" applyBorder="1"/>
    <xf numFmtId="0" fontId="1" fillId="6" borderId="1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178" fontId="3" fillId="6" borderId="3" xfId="2" applyNumberFormat="1" applyFont="1" applyFill="1" applyBorder="1" applyAlignment="1">
      <alignment horizontal="center"/>
    </xf>
    <xf numFmtId="179" fontId="5" fillId="2" borderId="3" xfId="1" applyNumberFormat="1" applyFont="1" applyFill="1" applyBorder="1" applyAlignment="1">
      <alignment horizontal="center"/>
    </xf>
    <xf numFmtId="179" fontId="6" fillId="0" borderId="4" xfId="1" applyNumberFormat="1" applyFont="1" applyFill="1" applyBorder="1"/>
    <xf numFmtId="179" fontId="6" fillId="0" borderId="0" xfId="1" applyNumberFormat="1" applyFont="1"/>
    <xf numFmtId="3" fontId="0" fillId="0" borderId="4" xfId="0" applyNumberFormat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4" fillId="6" borderId="0" xfId="0" applyFont="1" applyFill="1"/>
    <xf numFmtId="178" fontId="0" fillId="6" borderId="0" xfId="2" applyNumberFormat="1" applyFont="1" applyFill="1" applyBorder="1"/>
    <xf numFmtId="179" fontId="6" fillId="6" borderId="0" xfId="1" applyNumberFormat="1" applyFont="1" applyFill="1" applyBorder="1"/>
    <xf numFmtId="0" fontId="7" fillId="6" borderId="0" xfId="0" applyFont="1" applyFill="1"/>
    <xf numFmtId="0" fontId="0" fillId="6" borderId="28" xfId="0" applyFill="1" applyBorder="1"/>
    <xf numFmtId="0" fontId="0" fillId="6" borderId="30" xfId="0" applyFill="1" applyBorder="1"/>
    <xf numFmtId="178" fontId="7" fillId="5" borderId="1" xfId="2" applyNumberFormat="1" applyFont="1" applyFill="1" applyBorder="1" applyAlignment="1">
      <alignment horizontal="right"/>
    </xf>
    <xf numFmtId="49" fontId="7" fillId="5" borderId="29" xfId="2" applyNumberFormat="1" applyFont="1" applyFill="1" applyBorder="1" applyAlignment="1">
      <alignment horizontal="right"/>
    </xf>
    <xf numFmtId="0" fontId="7" fillId="0" borderId="0" xfId="0" applyFont="1"/>
    <xf numFmtId="0" fontId="0" fillId="6" borderId="4" xfId="0" applyFill="1" applyBorder="1"/>
    <xf numFmtId="0" fontId="7" fillId="6" borderId="1" xfId="0" applyFont="1" applyFill="1" applyBorder="1"/>
    <xf numFmtId="0" fontId="7" fillId="6" borderId="28" xfId="0" applyFont="1" applyFill="1" applyBorder="1"/>
    <xf numFmtId="0" fontId="7" fillId="6" borderId="30" xfId="0" applyFont="1" applyFill="1" applyBorder="1"/>
    <xf numFmtId="178" fontId="7" fillId="0" borderId="0" xfId="2" applyNumberFormat="1" applyFont="1"/>
    <xf numFmtId="0" fontId="7" fillId="0" borderId="1" xfId="0" applyFont="1" applyBorder="1"/>
    <xf numFmtId="0" fontId="7" fillId="0" borderId="28" xfId="0" applyFont="1" applyBorder="1"/>
    <xf numFmtId="0" fontId="7" fillId="0" borderId="30" xfId="0" applyFont="1" applyBorder="1"/>
    <xf numFmtId="0" fontId="0" fillId="0" borderId="33" xfId="0" applyBorder="1"/>
    <xf numFmtId="178" fontId="0" fillId="6" borderId="4" xfId="2" applyNumberFormat="1" applyFont="1" applyFill="1" applyBorder="1"/>
    <xf numFmtId="179" fontId="6" fillId="6" borderId="4" xfId="1" applyNumberFormat="1" applyFont="1" applyFill="1" applyBorder="1"/>
    <xf numFmtId="16" fontId="11" fillId="6" borderId="4" xfId="0" applyNumberFormat="1" applyFont="1" applyFill="1" applyBorder="1" applyAlignment="1">
      <alignment horizontal="center"/>
    </xf>
    <xf numFmtId="0" fontId="0" fillId="0" borderId="1" xfId="0" quotePrefix="1" applyBorder="1"/>
    <xf numFmtId="0" fontId="0" fillId="6" borderId="27" xfId="0" applyFill="1" applyBorder="1"/>
    <xf numFmtId="178" fontId="7" fillId="6" borderId="0" xfId="2" applyNumberFormat="1" applyFont="1" applyFill="1"/>
    <xf numFmtId="0" fontId="1" fillId="6" borderId="0" xfId="0" applyFont="1" applyFill="1"/>
    <xf numFmtId="178" fontId="1" fillId="6" borderId="0" xfId="0" applyNumberFormat="1" applyFont="1" applyFill="1"/>
    <xf numFmtId="0" fontId="11" fillId="6" borderId="1" xfId="0" applyFont="1" applyFill="1" applyBorder="1"/>
    <xf numFmtId="178" fontId="7" fillId="5" borderId="29" xfId="2" applyNumberFormat="1" applyFont="1" applyFill="1" applyBorder="1" applyAlignment="1">
      <alignment horizontal="right"/>
    </xf>
    <xf numFmtId="178" fontId="0" fillId="4" borderId="34" xfId="2" applyNumberFormat="1" applyFont="1" applyFill="1" applyBorder="1"/>
    <xf numFmtId="0" fontId="10" fillId="3" borderId="23" xfId="0" applyFont="1" applyFill="1" applyBorder="1"/>
    <xf numFmtId="49" fontId="10" fillId="5" borderId="9" xfId="2" applyNumberFormat="1" applyFont="1" applyFill="1" applyBorder="1"/>
    <xf numFmtId="178" fontId="0" fillId="5" borderId="6" xfId="2" applyNumberFormat="1" applyFont="1" applyFill="1" applyBorder="1"/>
    <xf numFmtId="49" fontId="7" fillId="5" borderId="9" xfId="2" applyNumberFormat="1" applyFont="1" applyFill="1" applyBorder="1"/>
    <xf numFmtId="178" fontId="7" fillId="5" borderId="6" xfId="2" applyNumberFormat="1" applyFont="1" applyFill="1" applyBorder="1"/>
    <xf numFmtId="178" fontId="7" fillId="5" borderId="38" xfId="2" applyNumberFormat="1" applyFont="1" applyFill="1" applyBorder="1"/>
    <xf numFmtId="49" fontId="12" fillId="5" borderId="39" xfId="2" applyNumberFormat="1" applyFont="1" applyFill="1" applyBorder="1"/>
    <xf numFmtId="49" fontId="12" fillId="5" borderId="41" xfId="2" applyNumberFormat="1" applyFont="1" applyFill="1" applyBorder="1" applyAlignment="1">
      <alignment horizontal="right"/>
    </xf>
    <xf numFmtId="178" fontId="12" fillId="5" borderId="42" xfId="2" applyNumberFormat="1" applyFont="1" applyFill="1" applyBorder="1"/>
    <xf numFmtId="49" fontId="7" fillId="5" borderId="39" xfId="2" applyNumberFormat="1" applyFont="1" applyFill="1" applyBorder="1"/>
    <xf numFmtId="178" fontId="12" fillId="5" borderId="43" xfId="2" applyNumberFormat="1" applyFont="1" applyFill="1" applyBorder="1" applyAlignment="1">
      <alignment horizontal="right"/>
    </xf>
    <xf numFmtId="178" fontId="1" fillId="4" borderId="39" xfId="2" applyNumberFormat="1" applyFont="1" applyFill="1" applyBorder="1"/>
    <xf numFmtId="178" fontId="1" fillId="4" borderId="44" xfId="2" applyNumberFormat="1" applyFont="1" applyFill="1" applyBorder="1"/>
    <xf numFmtId="0" fontId="7" fillId="0" borderId="40" xfId="0" applyFont="1" applyBorder="1"/>
    <xf numFmtId="0" fontId="1" fillId="6" borderId="45" xfId="0" applyFont="1" applyFill="1" applyBorder="1"/>
    <xf numFmtId="0" fontId="12" fillId="0" borderId="43" xfId="0" applyFont="1" applyBorder="1"/>
    <xf numFmtId="0" fontId="12" fillId="0" borderId="42" xfId="0" applyFont="1" applyBorder="1"/>
    <xf numFmtId="49" fontId="0" fillId="5" borderId="9" xfId="2" applyNumberFormat="1" applyFont="1" applyFill="1" applyBorder="1"/>
    <xf numFmtId="178" fontId="0" fillId="5" borderId="1" xfId="2" applyNumberFormat="1" applyFont="1" applyFill="1" applyBorder="1" applyAlignment="1">
      <alignment horizontal="right"/>
    </xf>
    <xf numFmtId="0" fontId="0" fillId="6" borderId="4" xfId="0" applyFill="1" applyBorder="1" applyAlignment="1">
      <alignment horizontal="center"/>
    </xf>
    <xf numFmtId="0" fontId="11" fillId="6" borderId="4" xfId="0" applyFont="1" applyFill="1" applyBorder="1"/>
    <xf numFmtId="0" fontId="11" fillId="6" borderId="4" xfId="0" applyFont="1" applyFill="1" applyBorder="1" applyAlignment="1">
      <alignment horizontal="center"/>
    </xf>
    <xf numFmtId="0" fontId="0" fillId="6" borderId="1" xfId="0" applyFill="1" applyBorder="1" applyAlignment="1">
      <alignment wrapText="1"/>
    </xf>
    <xf numFmtId="0" fontId="0" fillId="0" borderId="4" xfId="0" applyBorder="1"/>
    <xf numFmtId="17" fontId="0" fillId="0" borderId="4" xfId="0" quotePrefix="1" applyNumberFormat="1" applyBorder="1" applyAlignment="1">
      <alignment horizontal="center"/>
    </xf>
    <xf numFmtId="0" fontId="0" fillId="0" borderId="5" xfId="0" applyBorder="1"/>
    <xf numFmtId="0" fontId="0" fillId="6" borderId="10" xfId="0" applyFill="1" applyBorder="1" applyAlignment="1">
      <alignment horizontal="center"/>
    </xf>
    <xf numFmtId="17" fontId="0" fillId="6" borderId="4" xfId="0" quotePrefix="1" applyNumberFormat="1" applyFill="1" applyBorder="1" applyAlignment="1">
      <alignment horizontal="center"/>
    </xf>
    <xf numFmtId="3" fontId="0" fillId="6" borderId="4" xfId="0" applyNumberFormat="1" applyFill="1" applyBorder="1" applyAlignment="1">
      <alignment horizontal="center"/>
    </xf>
    <xf numFmtId="0" fontId="0" fillId="6" borderId="5" xfId="0" applyFill="1" applyBorder="1"/>
    <xf numFmtId="17" fontId="0" fillId="6" borderId="1" xfId="0" quotePrefix="1" applyNumberFormat="1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49" fontId="0" fillId="6" borderId="29" xfId="2" applyNumberFormat="1" applyFont="1" applyFill="1" applyBorder="1" applyAlignment="1">
      <alignment horizontal="center" vertical="center"/>
    </xf>
    <xf numFmtId="3" fontId="0" fillId="6" borderId="28" xfId="0" applyNumberFormat="1" applyFill="1" applyBorder="1"/>
    <xf numFmtId="49" fontId="0" fillId="6" borderId="1" xfId="2" applyNumberFormat="1" applyFont="1" applyFill="1" applyBorder="1" applyAlignment="1">
      <alignment horizontal="center" vertical="center"/>
    </xf>
    <xf numFmtId="3" fontId="0" fillId="6" borderId="29" xfId="0" applyNumberFormat="1" applyFill="1" applyBorder="1" applyAlignment="1">
      <alignment horizontal="center"/>
    </xf>
    <xf numFmtId="0" fontId="11" fillId="6" borderId="1" xfId="0" applyFont="1" applyFill="1" applyBorder="1" applyAlignment="1">
      <alignment wrapText="1"/>
    </xf>
    <xf numFmtId="178" fontId="14" fillId="6" borderId="3" xfId="2" applyNumberFormat="1" applyFont="1" applyFill="1" applyBorder="1" applyAlignment="1">
      <alignment horizontal="center"/>
    </xf>
    <xf numFmtId="0" fontId="0" fillId="6" borderId="0" xfId="0" applyFill="1" applyAlignment="1">
      <alignment vertical="center"/>
    </xf>
    <xf numFmtId="0" fontId="0" fillId="6" borderId="10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17" fontId="0" fillId="6" borderId="1" xfId="0" quotePrefix="1" applyNumberFormat="1" applyFill="1" applyBorder="1" applyAlignment="1">
      <alignment horizontal="center" vertical="center"/>
    </xf>
    <xf numFmtId="3" fontId="0" fillId="6" borderId="4" xfId="0" applyNumberFormat="1" applyFill="1" applyBorder="1" applyAlignment="1">
      <alignment horizontal="center" vertical="center"/>
    </xf>
    <xf numFmtId="178" fontId="0" fillId="6" borderId="4" xfId="2" applyNumberFormat="1" applyFont="1" applyFill="1" applyBorder="1" applyAlignment="1">
      <alignment vertical="center"/>
    </xf>
    <xf numFmtId="179" fontId="6" fillId="6" borderId="4" xfId="1" applyNumberFormat="1" applyFont="1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0" fillId="6" borderId="5" xfId="0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/>
    </xf>
    <xf numFmtId="0" fontId="7" fillId="0" borderId="4" xfId="0" applyFont="1" applyBorder="1"/>
    <xf numFmtId="3" fontId="7" fillId="6" borderId="28" xfId="0" applyNumberFormat="1" applyFont="1" applyFill="1" applyBorder="1"/>
    <xf numFmtId="49" fontId="7" fillId="6" borderId="1" xfId="2" applyNumberFormat="1" applyFont="1" applyFill="1" applyBorder="1" applyAlignment="1">
      <alignment horizontal="center" vertical="center"/>
    </xf>
    <xf numFmtId="3" fontId="7" fillId="6" borderId="29" xfId="0" applyNumberFormat="1" applyFont="1" applyFill="1" applyBorder="1" applyAlignment="1">
      <alignment horizontal="center"/>
    </xf>
    <xf numFmtId="0" fontId="7" fillId="6" borderId="4" xfId="0" applyFont="1" applyFill="1" applyBorder="1"/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/>
    <xf numFmtId="0" fontId="7" fillId="6" borderId="1" xfId="0" quotePrefix="1" applyFont="1" applyFill="1" applyBorder="1"/>
    <xf numFmtId="49" fontId="7" fillId="6" borderId="1" xfId="2" quotePrefix="1" applyNumberFormat="1" applyFont="1" applyFill="1" applyBorder="1" applyAlignment="1">
      <alignment horizontal="center" vertical="center"/>
    </xf>
    <xf numFmtId="178" fontId="0" fillId="6" borderId="0" xfId="2" applyNumberFormat="1" applyFont="1" applyFill="1"/>
    <xf numFmtId="179" fontId="0" fillId="6" borderId="0" xfId="1" applyNumberFormat="1" applyFont="1" applyFill="1"/>
    <xf numFmtId="178" fontId="3" fillId="6" borderId="0" xfId="2" applyNumberFormat="1" applyFont="1" applyFill="1"/>
    <xf numFmtId="0" fontId="0" fillId="6" borderId="9" xfId="0" applyFill="1" applyBorder="1" applyAlignment="1">
      <alignment horizontal="center"/>
    </xf>
    <xf numFmtId="179" fontId="6" fillId="6" borderId="1" xfId="1" applyNumberFormat="1" applyFont="1" applyFill="1" applyBorder="1"/>
    <xf numFmtId="0" fontId="0" fillId="6" borderId="1" xfId="0" applyFill="1" applyBorder="1" applyAlignment="1">
      <alignment horizontal="center"/>
    </xf>
    <xf numFmtId="0" fontId="0" fillId="6" borderId="6" xfId="0" applyFill="1" applyBorder="1"/>
    <xf numFmtId="0" fontId="0" fillId="6" borderId="12" xfId="0" applyFill="1" applyBorder="1" applyAlignment="1">
      <alignment horizontal="center"/>
    </xf>
    <xf numFmtId="0" fontId="0" fillId="0" borderId="3" xfId="0" applyBorder="1"/>
    <xf numFmtId="0" fontId="0" fillId="6" borderId="2" xfId="0" applyFill="1" applyBorder="1"/>
    <xf numFmtId="3" fontId="0" fillId="6" borderId="46" xfId="0" applyNumberFormat="1" applyFill="1" applyBorder="1"/>
    <xf numFmtId="49" fontId="0" fillId="6" borderId="2" xfId="2" applyNumberFormat="1" applyFont="1" applyFill="1" applyBorder="1" applyAlignment="1">
      <alignment horizontal="center" vertical="center"/>
    </xf>
    <xf numFmtId="3" fontId="0" fillId="6" borderId="47" xfId="0" applyNumberFormat="1" applyFill="1" applyBorder="1" applyAlignment="1">
      <alignment horizontal="center"/>
    </xf>
    <xf numFmtId="179" fontId="6" fillId="6" borderId="3" xfId="1" applyNumberFormat="1" applyFont="1" applyFill="1" applyBorder="1"/>
    <xf numFmtId="0" fontId="0" fillId="6" borderId="3" xfId="0" applyFill="1" applyBorder="1" applyAlignment="1">
      <alignment horizontal="center"/>
    </xf>
    <xf numFmtId="0" fontId="0" fillId="6" borderId="48" xfId="0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4" fillId="7" borderId="0" xfId="0" applyFont="1" applyFill="1"/>
    <xf numFmtId="0" fontId="11" fillId="6" borderId="3" xfId="0" applyFont="1" applyFill="1" applyBorder="1"/>
    <xf numFmtId="0" fontId="7" fillId="6" borderId="9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0" borderId="3" xfId="0" applyFont="1" applyBorder="1"/>
    <xf numFmtId="0" fontId="7" fillId="6" borderId="2" xfId="0" applyFont="1" applyFill="1" applyBorder="1"/>
    <xf numFmtId="0" fontId="7" fillId="6" borderId="1" xfId="0" applyFont="1" applyFill="1" applyBorder="1" applyAlignment="1">
      <alignment horizontal="center"/>
    </xf>
    <xf numFmtId="0" fontId="7" fillId="6" borderId="6" xfId="0" applyFont="1" applyFill="1" applyBorder="1"/>
    <xf numFmtId="3" fontId="7" fillId="6" borderId="46" xfId="0" applyNumberFormat="1" applyFont="1" applyFill="1" applyBorder="1"/>
    <xf numFmtId="49" fontId="7" fillId="6" borderId="2" xfId="2" applyNumberFormat="1" applyFont="1" applyFill="1" applyBorder="1" applyAlignment="1">
      <alignment horizontal="center" vertical="center"/>
    </xf>
    <xf numFmtId="3" fontId="7" fillId="6" borderId="47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48" xfId="0" applyFont="1" applyFill="1" applyBorder="1"/>
    <xf numFmtId="179" fontId="6" fillId="6" borderId="0" xfId="1" applyNumberFormat="1" applyFont="1" applyFill="1"/>
    <xf numFmtId="0" fontId="1" fillId="2" borderId="1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left"/>
    </xf>
    <xf numFmtId="0" fontId="0" fillId="3" borderId="2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6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37" xfId="0" applyFill="1" applyBorder="1" applyAlignment="1">
      <alignment horizontal="center"/>
    </xf>
  </cellXfs>
  <cellStyles count="3">
    <cellStyle name="쉼표" xfId="2" builtinId="3"/>
    <cellStyle name="통화" xfId="1" builtinId="4"/>
    <cellStyle name="표준" xfId="0" builtinId="0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93"/>
  <sheetViews>
    <sheetView zoomScale="85" zoomScaleNormal="85" workbookViewId="0">
      <pane xSplit="3" ySplit="5" topLeftCell="D49" activePane="bottomRight" state="frozen"/>
      <selection pane="topRight" activeCell="C1" sqref="C1"/>
      <selection pane="bottomLeft" activeCell="A6" sqref="A6"/>
      <selection pane="bottomRight" activeCell="D53" sqref="D53"/>
    </sheetView>
  </sheetViews>
  <sheetFormatPr defaultRowHeight="16.5" x14ac:dyDescent="0.3"/>
  <cols>
    <col min="1" max="1" width="11.125" style="31" customWidth="1"/>
    <col min="2" max="2" width="5.75" style="1" customWidth="1"/>
    <col min="3" max="3" width="16.875" customWidth="1"/>
    <col min="4" max="4" width="75.75" customWidth="1"/>
    <col min="5" max="5" width="10.75" customWidth="1"/>
    <col min="6" max="6" width="10.25" customWidth="1"/>
    <col min="7" max="7" width="17" style="1" customWidth="1"/>
    <col min="8" max="8" width="17.625" style="1" customWidth="1"/>
    <col min="9" max="9" width="20.75" style="15" customWidth="1"/>
    <col min="10" max="10" width="14.875" style="29" customWidth="1"/>
    <col min="11" max="11" width="36.125" customWidth="1"/>
    <col min="12" max="12" width="36.25" style="1" customWidth="1"/>
    <col min="13" max="13" width="19.625" customWidth="1"/>
  </cols>
  <sheetData>
    <row r="1" spans="1:13" s="31" customFormat="1" ht="37.5" x14ac:dyDescent="0.65">
      <c r="B1" s="32"/>
      <c r="D1" s="169" t="s">
        <v>215</v>
      </c>
      <c r="E1" s="169"/>
      <c r="F1" s="169"/>
      <c r="G1" s="169"/>
      <c r="H1" s="169"/>
      <c r="I1" s="34"/>
      <c r="J1" s="35"/>
      <c r="L1" s="32"/>
    </row>
    <row r="2" spans="1:13" s="31" customFormat="1" ht="27" thickBot="1" x14ac:dyDescent="0.55000000000000004">
      <c r="A2" s="138" t="s">
        <v>216</v>
      </c>
      <c r="B2" s="139"/>
      <c r="C2" s="138"/>
      <c r="D2" s="140" t="s">
        <v>43</v>
      </c>
      <c r="E2" s="33"/>
      <c r="F2" s="138"/>
      <c r="G2" s="32"/>
      <c r="H2" s="32"/>
      <c r="I2" s="34"/>
      <c r="J2" s="35"/>
      <c r="L2" s="32"/>
    </row>
    <row r="3" spans="1:13" ht="23.25" customHeight="1" thickTop="1" x14ac:dyDescent="0.3">
      <c r="B3" s="163" t="s">
        <v>3</v>
      </c>
      <c r="C3" s="165" t="s">
        <v>1</v>
      </c>
      <c r="D3" s="165" t="s">
        <v>2</v>
      </c>
      <c r="E3" s="110"/>
      <c r="F3" s="167" t="s">
        <v>18</v>
      </c>
      <c r="G3" s="160" t="s">
        <v>16</v>
      </c>
      <c r="H3" s="162" t="s">
        <v>156</v>
      </c>
      <c r="I3" s="162"/>
      <c r="J3" s="162"/>
      <c r="K3" s="157" t="s">
        <v>6</v>
      </c>
      <c r="L3" s="157" t="s">
        <v>13</v>
      </c>
      <c r="M3" s="154" t="s">
        <v>15</v>
      </c>
    </row>
    <row r="4" spans="1:13" x14ac:dyDescent="0.3">
      <c r="B4" s="164"/>
      <c r="C4" s="166"/>
      <c r="D4" s="166"/>
      <c r="E4" s="111"/>
      <c r="F4" s="168"/>
      <c r="G4" s="161"/>
      <c r="H4" s="2" t="s">
        <v>0</v>
      </c>
      <c r="I4" s="21" t="s">
        <v>4</v>
      </c>
      <c r="J4" s="27" t="s">
        <v>5</v>
      </c>
      <c r="K4" s="158"/>
      <c r="L4" s="158"/>
      <c r="M4" s="155"/>
    </row>
    <row r="5" spans="1:13" ht="18.75" x14ac:dyDescent="0.45">
      <c r="B5" s="23"/>
      <c r="C5" s="24"/>
      <c r="D5" s="24"/>
      <c r="E5" s="24"/>
      <c r="F5" s="24"/>
      <c r="G5" s="25"/>
      <c r="H5" s="26">
        <f>SUBTOTAL(9,H10:H57)</f>
        <v>1705</v>
      </c>
      <c r="I5" s="26">
        <f>SUBTOTAL(9,I10:I57)</f>
        <v>5197250780.120739</v>
      </c>
      <c r="J5" s="99">
        <f>SUBTOTAL(9,J10:J57)</f>
        <v>199894.26077387462</v>
      </c>
      <c r="K5" s="159"/>
      <c r="L5" s="159"/>
      <c r="M5" s="156"/>
    </row>
    <row r="6" spans="1:13" x14ac:dyDescent="0.3">
      <c r="B6" s="16"/>
      <c r="C6" s="17"/>
      <c r="D6" s="17"/>
      <c r="E6" s="17"/>
      <c r="F6" s="17"/>
      <c r="G6" s="18"/>
      <c r="H6" s="30"/>
      <c r="I6" s="19"/>
      <c r="J6" s="28"/>
      <c r="K6" s="42"/>
      <c r="L6" s="81"/>
      <c r="M6" s="20"/>
    </row>
    <row r="7" spans="1:13" s="100" customFormat="1" ht="27" customHeight="1" x14ac:dyDescent="0.3">
      <c r="A7" s="100" t="s">
        <v>167</v>
      </c>
      <c r="B7" s="101">
        <v>1</v>
      </c>
      <c r="C7" s="102" t="s">
        <v>7</v>
      </c>
      <c r="D7" s="102" t="s">
        <v>8</v>
      </c>
      <c r="E7" s="102" t="s">
        <v>221</v>
      </c>
      <c r="F7" s="102" t="s">
        <v>19</v>
      </c>
      <c r="G7" s="103" t="s">
        <v>58</v>
      </c>
      <c r="H7" s="104">
        <v>1</v>
      </c>
      <c r="I7" s="105">
        <v>340274996.36000001</v>
      </c>
      <c r="J7" s="106">
        <f>+I7/26000</f>
        <v>13087.49986</v>
      </c>
      <c r="K7" s="107"/>
      <c r="L7" s="108" t="s">
        <v>14</v>
      </c>
      <c r="M7" s="109"/>
    </row>
    <row r="8" spans="1:13" s="31" customFormat="1" ht="33" x14ac:dyDescent="0.3">
      <c r="A8" s="31" t="s">
        <v>167</v>
      </c>
      <c r="B8" s="88">
        <v>2</v>
      </c>
      <c r="C8" s="22" t="s">
        <v>9</v>
      </c>
      <c r="D8" s="22" t="s">
        <v>10</v>
      </c>
      <c r="E8" s="102" t="s">
        <v>221</v>
      </c>
      <c r="F8" s="22" t="s">
        <v>19</v>
      </c>
      <c r="G8" s="93" t="s">
        <v>59</v>
      </c>
      <c r="H8" s="90">
        <v>1</v>
      </c>
      <c r="I8" s="51">
        <v>399000000</v>
      </c>
      <c r="J8" s="52">
        <f>+I8/26000</f>
        <v>15346.153846153846</v>
      </c>
      <c r="K8" s="84"/>
      <c r="L8" s="98" t="s">
        <v>17</v>
      </c>
      <c r="M8" s="91"/>
    </row>
    <row r="9" spans="1:13" s="31" customFormat="1" x14ac:dyDescent="0.3">
      <c r="A9" s="31" t="s">
        <v>167</v>
      </c>
      <c r="B9" s="88">
        <v>3</v>
      </c>
      <c r="C9" s="22" t="s">
        <v>11</v>
      </c>
      <c r="D9" s="22" t="s">
        <v>12</v>
      </c>
      <c r="E9" s="102" t="s">
        <v>221</v>
      </c>
      <c r="F9" s="42" t="s">
        <v>19</v>
      </c>
      <c r="G9" s="93" t="s">
        <v>58</v>
      </c>
      <c r="H9" s="90">
        <v>1</v>
      </c>
      <c r="I9" s="51">
        <v>340274996.36000001</v>
      </c>
      <c r="J9" s="52">
        <f>+I9/26000</f>
        <v>13087.49986</v>
      </c>
      <c r="K9" s="22"/>
      <c r="L9" s="59" t="s">
        <v>14</v>
      </c>
      <c r="M9" s="91"/>
    </row>
    <row r="10" spans="1:13" s="31" customFormat="1" x14ac:dyDescent="0.3">
      <c r="A10" s="31" t="s">
        <v>167</v>
      </c>
      <c r="B10" s="101">
        <v>4</v>
      </c>
      <c r="C10" s="22" t="s">
        <v>23</v>
      </c>
      <c r="D10" s="22" t="s">
        <v>24</v>
      </c>
      <c r="E10" s="102" t="s">
        <v>221</v>
      </c>
      <c r="F10" s="22"/>
      <c r="G10" s="93" t="s">
        <v>25</v>
      </c>
      <c r="H10" s="90">
        <v>1</v>
      </c>
      <c r="I10" s="51">
        <v>135000000</v>
      </c>
      <c r="J10" s="52">
        <f t="shared" ref="J10:J57" si="0">+I10/26000</f>
        <v>5192.3076923076924</v>
      </c>
      <c r="K10" s="22"/>
      <c r="L10" s="83" t="s">
        <v>111</v>
      </c>
      <c r="M10" s="91"/>
    </row>
    <row r="11" spans="1:13" s="31" customFormat="1" x14ac:dyDescent="0.3">
      <c r="A11" s="31" t="s">
        <v>167</v>
      </c>
      <c r="B11" s="88">
        <v>5</v>
      </c>
      <c r="C11" s="22" t="s">
        <v>36</v>
      </c>
      <c r="D11" s="22" t="s">
        <v>37</v>
      </c>
      <c r="E11" s="102" t="s">
        <v>221</v>
      </c>
      <c r="F11" s="42" t="s">
        <v>51</v>
      </c>
      <c r="G11" s="93" t="s">
        <v>44</v>
      </c>
      <c r="H11" s="90">
        <v>1</v>
      </c>
      <c r="I11" s="51">
        <v>452000000</v>
      </c>
      <c r="J11" s="52">
        <f t="shared" si="0"/>
        <v>17384.615384615383</v>
      </c>
      <c r="K11" s="22"/>
      <c r="L11" s="83" t="s">
        <v>111</v>
      </c>
      <c r="M11" s="91"/>
    </row>
    <row r="12" spans="1:13" s="31" customFormat="1" x14ac:dyDescent="0.3">
      <c r="A12" s="31" t="s">
        <v>167</v>
      </c>
      <c r="B12" s="88">
        <v>6</v>
      </c>
      <c r="C12" s="22" t="s">
        <v>38</v>
      </c>
      <c r="D12" s="22" t="s">
        <v>39</v>
      </c>
      <c r="E12" s="102" t="s">
        <v>221</v>
      </c>
      <c r="F12" s="42" t="s">
        <v>51</v>
      </c>
      <c r="G12" s="93" t="s">
        <v>44</v>
      </c>
      <c r="H12" s="90">
        <v>1</v>
      </c>
      <c r="I12" s="51">
        <v>480000000</v>
      </c>
      <c r="J12" s="52">
        <f t="shared" si="0"/>
        <v>18461.538461538461</v>
      </c>
      <c r="K12" s="22"/>
      <c r="L12" s="83" t="s">
        <v>111</v>
      </c>
      <c r="M12" s="91"/>
    </row>
    <row r="13" spans="1:13" s="31" customFormat="1" x14ac:dyDescent="0.3">
      <c r="A13" s="31" t="s">
        <v>167</v>
      </c>
      <c r="B13" s="101">
        <v>7</v>
      </c>
      <c r="C13" s="22" t="s">
        <v>40</v>
      </c>
      <c r="D13" s="22" t="s">
        <v>41</v>
      </c>
      <c r="E13" s="102" t="s">
        <v>221</v>
      </c>
      <c r="F13" s="42" t="s">
        <v>51</v>
      </c>
      <c r="G13" s="93" t="s">
        <v>44</v>
      </c>
      <c r="H13" s="90">
        <v>1</v>
      </c>
      <c r="I13" s="51">
        <v>74000000</v>
      </c>
      <c r="J13" s="52">
        <f t="shared" si="0"/>
        <v>2846.1538461538462</v>
      </c>
      <c r="K13" s="22"/>
      <c r="L13" s="83" t="s">
        <v>111</v>
      </c>
      <c r="M13" s="91"/>
    </row>
    <row r="14" spans="1:13" s="31" customFormat="1" x14ac:dyDescent="0.3">
      <c r="A14" s="31" t="s">
        <v>167</v>
      </c>
      <c r="B14" s="88">
        <v>8</v>
      </c>
      <c r="C14" s="22" t="s">
        <v>21</v>
      </c>
      <c r="D14" s="22" t="s">
        <v>22</v>
      </c>
      <c r="E14" s="85" t="s">
        <v>219</v>
      </c>
      <c r="F14" s="22" t="s">
        <v>19</v>
      </c>
      <c r="G14" s="92" t="s">
        <v>45</v>
      </c>
      <c r="H14" s="90">
        <v>850</v>
      </c>
      <c r="I14" s="51">
        <v>762450</v>
      </c>
      <c r="J14" s="52">
        <f t="shared" ref="J14:J28" si="1">+I14/26000</f>
        <v>29.324999999999999</v>
      </c>
      <c r="K14" s="22"/>
      <c r="L14" s="83" t="s">
        <v>76</v>
      </c>
      <c r="M14" s="91"/>
    </row>
    <row r="15" spans="1:13" x14ac:dyDescent="0.3">
      <c r="A15" s="31" t="s">
        <v>167</v>
      </c>
      <c r="B15" s="88">
        <v>9</v>
      </c>
      <c r="C15" s="85" t="s">
        <v>46</v>
      </c>
      <c r="D15" s="85" t="s">
        <v>47</v>
      </c>
      <c r="E15" s="85" t="s">
        <v>219</v>
      </c>
      <c r="F15" s="85" t="s">
        <v>19</v>
      </c>
      <c r="G15" s="86" t="s">
        <v>50</v>
      </c>
      <c r="H15" s="30">
        <v>200</v>
      </c>
      <c r="I15" s="19">
        <v>7904000</v>
      </c>
      <c r="J15" s="28">
        <f t="shared" si="1"/>
        <v>304</v>
      </c>
      <c r="K15" s="42"/>
      <c r="L15" s="83" t="s">
        <v>76</v>
      </c>
      <c r="M15" s="87"/>
    </row>
    <row r="16" spans="1:13" x14ac:dyDescent="0.3">
      <c r="A16" s="31" t="s">
        <v>167</v>
      </c>
      <c r="B16" s="101">
        <v>10</v>
      </c>
      <c r="C16" s="85" t="s">
        <v>48</v>
      </c>
      <c r="D16" s="85" t="s">
        <v>49</v>
      </c>
      <c r="E16" s="102" t="s">
        <v>221</v>
      </c>
      <c r="F16" s="85" t="s">
        <v>51</v>
      </c>
      <c r="G16" s="86" t="s">
        <v>50</v>
      </c>
      <c r="H16" s="30">
        <v>1</v>
      </c>
      <c r="I16" s="19">
        <v>28000000</v>
      </c>
      <c r="J16" s="28">
        <f t="shared" si="1"/>
        <v>1076.9230769230769</v>
      </c>
      <c r="K16" s="42"/>
      <c r="L16" s="83" t="s">
        <v>91</v>
      </c>
      <c r="M16" s="87"/>
    </row>
    <row r="17" spans="1:13" x14ac:dyDescent="0.3">
      <c r="A17" s="31" t="s">
        <v>167</v>
      </c>
      <c r="B17" s="88">
        <v>11</v>
      </c>
      <c r="C17" s="85" t="s">
        <v>52</v>
      </c>
      <c r="D17" s="85" t="s">
        <v>53</v>
      </c>
      <c r="E17" s="102" t="s">
        <v>221</v>
      </c>
      <c r="F17" s="85" t="s">
        <v>20</v>
      </c>
      <c r="G17" s="86" t="s">
        <v>56</v>
      </c>
      <c r="H17" s="30">
        <v>1</v>
      </c>
      <c r="I17" s="19">
        <v>65721741.659999996</v>
      </c>
      <c r="J17" s="28">
        <f t="shared" si="1"/>
        <v>2527.7592946153845</v>
      </c>
      <c r="K17" s="42"/>
      <c r="L17" s="83" t="s">
        <v>57</v>
      </c>
      <c r="M17" s="87"/>
    </row>
    <row r="18" spans="1:13" x14ac:dyDescent="0.3">
      <c r="A18" s="31" t="s">
        <v>167</v>
      </c>
      <c r="B18" s="88">
        <v>12</v>
      </c>
      <c r="C18" s="85" t="s">
        <v>54</v>
      </c>
      <c r="D18" s="85" t="s">
        <v>55</v>
      </c>
      <c r="E18" s="102" t="s">
        <v>221</v>
      </c>
      <c r="F18" s="85" t="s">
        <v>20</v>
      </c>
      <c r="G18" s="86" t="s">
        <v>56</v>
      </c>
      <c r="H18" s="30">
        <v>1</v>
      </c>
      <c r="I18" s="19">
        <v>27000000</v>
      </c>
      <c r="J18" s="28">
        <f t="shared" si="1"/>
        <v>1038.4615384615386</v>
      </c>
      <c r="K18" s="42"/>
      <c r="L18" s="83" t="s">
        <v>57</v>
      </c>
      <c r="M18" s="87"/>
    </row>
    <row r="19" spans="1:13" s="31" customFormat="1" x14ac:dyDescent="0.3">
      <c r="A19" s="31" t="s">
        <v>167</v>
      </c>
      <c r="B19" s="101">
        <v>13</v>
      </c>
      <c r="C19" s="42" t="s">
        <v>60</v>
      </c>
      <c r="D19" s="42" t="s">
        <v>61</v>
      </c>
      <c r="E19" s="85" t="s">
        <v>219</v>
      </c>
      <c r="F19" s="42" t="s">
        <v>19</v>
      </c>
      <c r="G19" s="89" t="s">
        <v>73</v>
      </c>
      <c r="H19" s="90">
        <v>7</v>
      </c>
      <c r="I19" s="51">
        <v>4232949.810739547</v>
      </c>
      <c r="J19" s="52">
        <f t="shared" si="1"/>
        <v>162.80576195152105</v>
      </c>
      <c r="K19" s="42"/>
      <c r="L19" s="53" t="s">
        <v>109</v>
      </c>
      <c r="M19" s="91"/>
    </row>
    <row r="20" spans="1:13" x14ac:dyDescent="0.3">
      <c r="A20" s="31" t="s">
        <v>167</v>
      </c>
      <c r="B20" s="88">
        <v>14</v>
      </c>
      <c r="C20" s="85" t="s">
        <v>62</v>
      </c>
      <c r="D20" s="85" t="s">
        <v>63</v>
      </c>
      <c r="E20" s="102" t="s">
        <v>221</v>
      </c>
      <c r="F20" s="42" t="s">
        <v>75</v>
      </c>
      <c r="G20" s="86" t="s">
        <v>73</v>
      </c>
      <c r="H20" s="30">
        <v>1</v>
      </c>
      <c r="I20" s="19">
        <v>450000000</v>
      </c>
      <c r="J20" s="28">
        <f t="shared" si="1"/>
        <v>17307.692307692309</v>
      </c>
      <c r="K20" s="42"/>
      <c r="L20" s="83" t="s">
        <v>112</v>
      </c>
      <c r="M20" s="87"/>
    </row>
    <row r="21" spans="1:13" x14ac:dyDescent="0.3">
      <c r="A21" s="31" t="s">
        <v>167</v>
      </c>
      <c r="B21" s="88">
        <v>15</v>
      </c>
      <c r="C21" s="85" t="s">
        <v>64</v>
      </c>
      <c r="D21" s="85" t="s">
        <v>65</v>
      </c>
      <c r="E21" s="102" t="s">
        <v>221</v>
      </c>
      <c r="F21" s="42" t="s">
        <v>51</v>
      </c>
      <c r="G21" s="86" t="s">
        <v>72</v>
      </c>
      <c r="H21" s="30">
        <v>1</v>
      </c>
      <c r="I21" s="19">
        <v>24000000</v>
      </c>
      <c r="J21" s="28">
        <f t="shared" si="1"/>
        <v>923.07692307692309</v>
      </c>
      <c r="K21" s="42"/>
      <c r="L21" s="83" t="s">
        <v>91</v>
      </c>
      <c r="M21" s="87"/>
    </row>
    <row r="22" spans="1:13" x14ac:dyDescent="0.3">
      <c r="A22" s="31" t="s">
        <v>167</v>
      </c>
      <c r="B22" s="101">
        <v>16</v>
      </c>
      <c r="C22" s="85" t="s">
        <v>66</v>
      </c>
      <c r="D22" s="85" t="s">
        <v>67</v>
      </c>
      <c r="E22" s="102" t="s">
        <v>221</v>
      </c>
      <c r="F22" s="42" t="s">
        <v>51</v>
      </c>
      <c r="G22" s="86" t="s">
        <v>72</v>
      </c>
      <c r="H22" s="30">
        <v>1</v>
      </c>
      <c r="I22" s="19">
        <v>22800000</v>
      </c>
      <c r="J22" s="28">
        <f t="shared" si="1"/>
        <v>876.92307692307691</v>
      </c>
      <c r="K22" s="42"/>
      <c r="L22" s="83" t="s">
        <v>91</v>
      </c>
      <c r="M22" s="87"/>
    </row>
    <row r="23" spans="1:13" x14ac:dyDescent="0.3">
      <c r="A23" s="31" t="s">
        <v>167</v>
      </c>
      <c r="B23" s="88">
        <v>17</v>
      </c>
      <c r="C23" s="85" t="s">
        <v>68</v>
      </c>
      <c r="D23" s="85" t="s">
        <v>69</v>
      </c>
      <c r="E23" s="102" t="s">
        <v>221</v>
      </c>
      <c r="F23" s="42" t="s">
        <v>51</v>
      </c>
      <c r="G23" s="86" t="s">
        <v>72</v>
      </c>
      <c r="H23" s="30">
        <v>1</v>
      </c>
      <c r="I23" s="19">
        <v>22800000</v>
      </c>
      <c r="J23" s="28">
        <f t="shared" si="1"/>
        <v>876.92307692307691</v>
      </c>
      <c r="K23" s="42"/>
      <c r="L23" s="83" t="s">
        <v>91</v>
      </c>
      <c r="M23" s="87"/>
    </row>
    <row r="24" spans="1:13" x14ac:dyDescent="0.3">
      <c r="A24" s="31" t="s">
        <v>167</v>
      </c>
      <c r="B24" s="88">
        <v>18</v>
      </c>
      <c r="C24" s="85" t="s">
        <v>70</v>
      </c>
      <c r="D24" s="85" t="s">
        <v>71</v>
      </c>
      <c r="E24" s="102" t="s">
        <v>221</v>
      </c>
      <c r="F24" s="42" t="s">
        <v>51</v>
      </c>
      <c r="G24" s="86" t="s">
        <v>72</v>
      </c>
      <c r="H24" s="30">
        <v>2</v>
      </c>
      <c r="I24" s="19">
        <v>1140000</v>
      </c>
      <c r="J24" s="28">
        <f t="shared" si="1"/>
        <v>43.846153846153847</v>
      </c>
      <c r="K24" s="42"/>
      <c r="L24" s="83" t="s">
        <v>91</v>
      </c>
      <c r="M24" s="87"/>
    </row>
    <row r="25" spans="1:13" x14ac:dyDescent="0.3">
      <c r="A25" s="31" t="s">
        <v>167</v>
      </c>
      <c r="B25" s="101">
        <v>19</v>
      </c>
      <c r="C25" s="85" t="s">
        <v>77</v>
      </c>
      <c r="D25" s="85" t="s">
        <v>84</v>
      </c>
      <c r="E25" s="85" t="s">
        <v>219</v>
      </c>
      <c r="F25" s="42"/>
      <c r="G25" s="86" t="s">
        <v>220</v>
      </c>
      <c r="H25" s="30">
        <v>74</v>
      </c>
      <c r="I25" s="19">
        <v>50493305.040000007</v>
      </c>
      <c r="J25" s="28">
        <f t="shared" si="1"/>
        <v>1942.0501938461541</v>
      </c>
      <c r="K25" s="42"/>
      <c r="L25" s="83" t="s">
        <v>76</v>
      </c>
      <c r="M25" s="87"/>
    </row>
    <row r="26" spans="1:13" x14ac:dyDescent="0.3">
      <c r="A26" s="31" t="s">
        <v>167</v>
      </c>
      <c r="B26" s="88">
        <v>20</v>
      </c>
      <c r="C26" s="85" t="s">
        <v>78</v>
      </c>
      <c r="D26" s="85" t="s">
        <v>85</v>
      </c>
      <c r="E26" s="85" t="s">
        <v>219</v>
      </c>
      <c r="F26" s="42"/>
      <c r="G26" s="86" t="s">
        <v>220</v>
      </c>
      <c r="H26" s="30">
        <v>73</v>
      </c>
      <c r="I26" s="19">
        <v>55782114.879999995</v>
      </c>
      <c r="J26" s="28">
        <f t="shared" si="1"/>
        <v>2145.4659569230766</v>
      </c>
      <c r="K26" s="42"/>
      <c r="L26" s="83" t="s">
        <v>76</v>
      </c>
      <c r="M26" s="87"/>
    </row>
    <row r="27" spans="1:13" x14ac:dyDescent="0.3">
      <c r="A27" s="31" t="s">
        <v>167</v>
      </c>
      <c r="B27" s="88">
        <v>21</v>
      </c>
      <c r="C27" s="85" t="s">
        <v>79</v>
      </c>
      <c r="D27" s="85" t="s">
        <v>86</v>
      </c>
      <c r="E27" s="102" t="s">
        <v>221</v>
      </c>
      <c r="F27" s="42"/>
      <c r="G27" s="86" t="s">
        <v>220</v>
      </c>
      <c r="H27" s="30">
        <v>2</v>
      </c>
      <c r="I27" s="19">
        <v>1140000</v>
      </c>
      <c r="J27" s="28">
        <f t="shared" si="1"/>
        <v>43.846153846153847</v>
      </c>
      <c r="K27" s="42"/>
      <c r="L27" s="83" t="s">
        <v>91</v>
      </c>
      <c r="M27" s="87"/>
    </row>
    <row r="28" spans="1:13" x14ac:dyDescent="0.3">
      <c r="A28" s="31" t="s">
        <v>167</v>
      </c>
      <c r="B28" s="101">
        <v>22</v>
      </c>
      <c r="C28" s="85" t="s">
        <v>80</v>
      </c>
      <c r="D28" s="85" t="s">
        <v>87</v>
      </c>
      <c r="E28" s="102" t="s">
        <v>221</v>
      </c>
      <c r="F28" s="42"/>
      <c r="G28" s="86" t="s">
        <v>220</v>
      </c>
      <c r="H28" s="30">
        <v>2</v>
      </c>
      <c r="I28" s="19">
        <v>1260000</v>
      </c>
      <c r="J28" s="28">
        <f t="shared" si="1"/>
        <v>48.46153846153846</v>
      </c>
      <c r="K28" s="42"/>
      <c r="L28" s="83" t="s">
        <v>91</v>
      </c>
      <c r="M28" s="87"/>
    </row>
    <row r="29" spans="1:13" x14ac:dyDescent="0.3">
      <c r="A29" s="31" t="s">
        <v>167</v>
      </c>
      <c r="B29" s="88">
        <v>23</v>
      </c>
      <c r="C29" s="85" t="s">
        <v>92</v>
      </c>
      <c r="D29" s="85" t="s">
        <v>93</v>
      </c>
      <c r="E29" s="102" t="s">
        <v>221</v>
      </c>
      <c r="F29" s="85" t="s">
        <v>75</v>
      </c>
      <c r="G29" s="94" t="s">
        <v>213</v>
      </c>
      <c r="H29" s="30">
        <v>1</v>
      </c>
      <c r="I29" s="19">
        <v>450000000</v>
      </c>
      <c r="J29" s="28">
        <f t="shared" si="0"/>
        <v>17307.692307692309</v>
      </c>
      <c r="K29" s="42"/>
      <c r="L29" s="83" t="s">
        <v>110</v>
      </c>
      <c r="M29" s="87"/>
    </row>
    <row r="30" spans="1:13" x14ac:dyDescent="0.3">
      <c r="A30" s="31" t="s">
        <v>167</v>
      </c>
      <c r="B30" s="88">
        <v>24</v>
      </c>
      <c r="C30" s="3" t="s">
        <v>94</v>
      </c>
      <c r="D30" s="3" t="s">
        <v>95</v>
      </c>
      <c r="E30" s="102" t="s">
        <v>221</v>
      </c>
      <c r="F30" s="3"/>
      <c r="G30" s="94" t="s">
        <v>213</v>
      </c>
      <c r="H30" s="30">
        <v>1</v>
      </c>
      <c r="I30" s="19">
        <v>17900000</v>
      </c>
      <c r="J30" s="28">
        <f t="shared" si="0"/>
        <v>688.46153846153845</v>
      </c>
      <c r="K30" s="22"/>
      <c r="L30" s="83" t="s">
        <v>91</v>
      </c>
      <c r="M30" s="87"/>
    </row>
    <row r="31" spans="1:13" x14ac:dyDescent="0.3">
      <c r="A31" s="31" t="s">
        <v>167</v>
      </c>
      <c r="B31" s="101">
        <v>25</v>
      </c>
      <c r="C31" s="3" t="s">
        <v>96</v>
      </c>
      <c r="D31" s="3" t="s">
        <v>97</v>
      </c>
      <c r="E31" s="102" t="s">
        <v>221</v>
      </c>
      <c r="F31" s="3"/>
      <c r="G31" s="94" t="s">
        <v>213</v>
      </c>
      <c r="H31" s="30">
        <v>2</v>
      </c>
      <c r="I31" s="19">
        <v>11800000</v>
      </c>
      <c r="J31" s="28">
        <f t="shared" si="0"/>
        <v>453.84615384615387</v>
      </c>
      <c r="K31" s="22"/>
      <c r="L31" s="83" t="s">
        <v>91</v>
      </c>
      <c r="M31" s="87"/>
    </row>
    <row r="32" spans="1:13" x14ac:dyDescent="0.3">
      <c r="A32" s="31" t="s">
        <v>167</v>
      </c>
      <c r="B32" s="101">
        <v>26</v>
      </c>
      <c r="C32" s="3" t="s">
        <v>98</v>
      </c>
      <c r="D32" s="3" t="s">
        <v>99</v>
      </c>
      <c r="E32" s="102" t="s">
        <v>221</v>
      </c>
      <c r="F32" s="85"/>
      <c r="G32" s="94" t="s">
        <v>213</v>
      </c>
      <c r="H32" s="30">
        <v>2</v>
      </c>
      <c r="I32" s="19">
        <v>12800000</v>
      </c>
      <c r="J32" s="28">
        <f t="shared" si="0"/>
        <v>492.30769230769232</v>
      </c>
      <c r="K32" s="22"/>
      <c r="L32" s="83" t="s">
        <v>91</v>
      </c>
      <c r="M32" s="87"/>
    </row>
    <row r="33" spans="1:13" x14ac:dyDescent="0.3">
      <c r="A33" s="31" t="s">
        <v>167</v>
      </c>
      <c r="B33" s="88">
        <v>27</v>
      </c>
      <c r="C33" s="3" t="s">
        <v>100</v>
      </c>
      <c r="D33" s="3" t="s">
        <v>101</v>
      </c>
      <c r="E33" s="102" t="s">
        <v>221</v>
      </c>
      <c r="F33" s="85"/>
      <c r="G33" s="94" t="s">
        <v>213</v>
      </c>
      <c r="H33" s="30">
        <v>1</v>
      </c>
      <c r="I33" s="19">
        <v>36000000</v>
      </c>
      <c r="J33" s="28">
        <f t="shared" si="0"/>
        <v>1384.6153846153845</v>
      </c>
      <c r="K33" s="22"/>
      <c r="L33" s="83" t="s">
        <v>91</v>
      </c>
      <c r="M33" s="87"/>
    </row>
    <row r="34" spans="1:13" x14ac:dyDescent="0.3">
      <c r="A34" s="31" t="s">
        <v>167</v>
      </c>
      <c r="B34" s="88">
        <v>28</v>
      </c>
      <c r="C34" s="3" t="s">
        <v>102</v>
      </c>
      <c r="D34" s="3" t="s">
        <v>103</v>
      </c>
      <c r="E34" s="102" t="s">
        <v>221</v>
      </c>
      <c r="F34" s="85"/>
      <c r="G34" s="94" t="s">
        <v>213</v>
      </c>
      <c r="H34" s="30">
        <v>1</v>
      </c>
      <c r="I34" s="19">
        <v>1420000</v>
      </c>
      <c r="J34" s="28">
        <f t="shared" si="0"/>
        <v>54.615384615384613</v>
      </c>
      <c r="K34" s="22"/>
      <c r="L34" s="83" t="s">
        <v>91</v>
      </c>
      <c r="M34" s="87"/>
    </row>
    <row r="35" spans="1:13" x14ac:dyDescent="0.3">
      <c r="A35" s="31" t="s">
        <v>167</v>
      </c>
      <c r="B35" s="101">
        <v>29</v>
      </c>
      <c r="C35" s="85" t="s">
        <v>104</v>
      </c>
      <c r="D35" s="85" t="s">
        <v>105</v>
      </c>
      <c r="E35" s="85" t="s">
        <v>219</v>
      </c>
      <c r="F35" s="85"/>
      <c r="G35" s="94" t="s">
        <v>213</v>
      </c>
      <c r="H35" s="30">
        <v>175</v>
      </c>
      <c r="I35" s="19">
        <v>2186625</v>
      </c>
      <c r="J35" s="28">
        <f t="shared" si="0"/>
        <v>84.100961538461533</v>
      </c>
      <c r="K35" s="42"/>
      <c r="L35" s="83" t="s">
        <v>108</v>
      </c>
      <c r="M35" s="87"/>
    </row>
    <row r="36" spans="1:13" x14ac:dyDescent="0.3">
      <c r="A36" s="31" t="s">
        <v>167</v>
      </c>
      <c r="B36" s="88">
        <v>30</v>
      </c>
      <c r="C36" s="3" t="s">
        <v>106</v>
      </c>
      <c r="D36" s="3" t="s">
        <v>107</v>
      </c>
      <c r="E36" s="85" t="s">
        <v>219</v>
      </c>
      <c r="F36" s="3"/>
      <c r="G36" s="94" t="s">
        <v>213</v>
      </c>
      <c r="H36" s="30">
        <v>175</v>
      </c>
      <c r="I36" s="19">
        <v>2186625</v>
      </c>
      <c r="J36" s="28">
        <f t="shared" si="0"/>
        <v>84.100961538461533</v>
      </c>
      <c r="K36" s="22"/>
      <c r="L36" s="83" t="s">
        <v>108</v>
      </c>
      <c r="M36" s="87"/>
    </row>
    <row r="37" spans="1:13" s="31" customFormat="1" x14ac:dyDescent="0.3">
      <c r="A37" s="31" t="s">
        <v>167</v>
      </c>
      <c r="B37" s="88">
        <v>31</v>
      </c>
      <c r="C37" s="85" t="s">
        <v>115</v>
      </c>
      <c r="D37" s="22" t="s">
        <v>116</v>
      </c>
      <c r="E37" s="102" t="s">
        <v>221</v>
      </c>
      <c r="F37" s="95"/>
      <c r="G37" s="96" t="s">
        <v>214</v>
      </c>
      <c r="H37" s="97">
        <v>1</v>
      </c>
      <c r="I37" s="95">
        <v>450000000</v>
      </c>
      <c r="J37" s="52">
        <f t="shared" si="0"/>
        <v>17307.692307692309</v>
      </c>
      <c r="K37" s="42"/>
      <c r="L37" s="83"/>
      <c r="M37" s="91"/>
    </row>
    <row r="38" spans="1:13" s="31" customFormat="1" x14ac:dyDescent="0.3">
      <c r="A38" s="31" t="s">
        <v>167</v>
      </c>
      <c r="B38" s="101">
        <v>32</v>
      </c>
      <c r="C38" s="42" t="s">
        <v>117</v>
      </c>
      <c r="D38" s="22" t="s">
        <v>118</v>
      </c>
      <c r="E38" s="102" t="s">
        <v>221</v>
      </c>
      <c r="F38" s="95"/>
      <c r="G38" s="96" t="s">
        <v>214</v>
      </c>
      <c r="H38" s="97">
        <v>1</v>
      </c>
      <c r="I38" s="95">
        <v>60000000</v>
      </c>
      <c r="J38" s="52">
        <f t="shared" si="0"/>
        <v>2307.6923076923076</v>
      </c>
      <c r="K38" s="42"/>
      <c r="L38" s="83"/>
      <c r="M38" s="91"/>
    </row>
    <row r="39" spans="1:13" s="31" customFormat="1" x14ac:dyDescent="0.3">
      <c r="A39" s="31" t="s">
        <v>167</v>
      </c>
      <c r="B39" s="88">
        <v>33</v>
      </c>
      <c r="C39" s="85" t="s">
        <v>119</v>
      </c>
      <c r="D39" s="22" t="s">
        <v>120</v>
      </c>
      <c r="E39" s="102" t="s">
        <v>221</v>
      </c>
      <c r="F39" s="95"/>
      <c r="G39" s="96" t="s">
        <v>214</v>
      </c>
      <c r="H39" s="97">
        <v>1</v>
      </c>
      <c r="I39" s="95">
        <v>151612000</v>
      </c>
      <c r="J39" s="52">
        <f t="shared" si="0"/>
        <v>5831.2307692307695</v>
      </c>
      <c r="K39" s="22"/>
      <c r="L39" s="83"/>
      <c r="M39" s="91"/>
    </row>
    <row r="40" spans="1:13" s="31" customFormat="1" x14ac:dyDescent="0.3">
      <c r="A40" s="31" t="s">
        <v>167</v>
      </c>
      <c r="B40" s="88">
        <v>34</v>
      </c>
      <c r="C40" s="85" t="s">
        <v>121</v>
      </c>
      <c r="D40" s="22" t="s">
        <v>122</v>
      </c>
      <c r="E40" s="102" t="s">
        <v>221</v>
      </c>
      <c r="F40" s="95"/>
      <c r="G40" s="96" t="s">
        <v>214</v>
      </c>
      <c r="H40" s="97">
        <v>1</v>
      </c>
      <c r="I40" s="95">
        <v>9700000</v>
      </c>
      <c r="J40" s="52">
        <f t="shared" si="0"/>
        <v>373.07692307692309</v>
      </c>
      <c r="K40" s="22"/>
      <c r="L40" s="81"/>
      <c r="M40" s="91"/>
    </row>
    <row r="41" spans="1:13" s="31" customFormat="1" x14ac:dyDescent="0.3">
      <c r="A41" s="31" t="s">
        <v>167</v>
      </c>
      <c r="B41" s="101">
        <v>35</v>
      </c>
      <c r="C41" s="85" t="s">
        <v>123</v>
      </c>
      <c r="D41" s="22" t="s">
        <v>124</v>
      </c>
      <c r="E41" s="102" t="s">
        <v>221</v>
      </c>
      <c r="F41" s="95"/>
      <c r="G41" s="96" t="s">
        <v>214</v>
      </c>
      <c r="H41" s="97">
        <v>1</v>
      </c>
      <c r="I41" s="95">
        <v>99000000</v>
      </c>
      <c r="J41" s="52">
        <f t="shared" si="0"/>
        <v>3807.6923076923076</v>
      </c>
      <c r="K41" s="22"/>
      <c r="L41" s="81"/>
      <c r="M41" s="91"/>
    </row>
    <row r="42" spans="1:13" s="31" customFormat="1" x14ac:dyDescent="0.3">
      <c r="A42" s="31" t="s">
        <v>167</v>
      </c>
      <c r="B42" s="88">
        <v>36</v>
      </c>
      <c r="C42" s="85" t="s">
        <v>125</v>
      </c>
      <c r="D42" s="22" t="s">
        <v>126</v>
      </c>
      <c r="E42" s="102" t="s">
        <v>221</v>
      </c>
      <c r="F42" s="95"/>
      <c r="G42" s="96" t="s">
        <v>214</v>
      </c>
      <c r="H42" s="97">
        <v>1</v>
      </c>
      <c r="I42" s="95">
        <v>37000000</v>
      </c>
      <c r="J42" s="52">
        <f t="shared" si="0"/>
        <v>1423.0769230769231</v>
      </c>
      <c r="K42" s="22"/>
      <c r="L42" s="81"/>
      <c r="M42" s="91"/>
    </row>
    <row r="43" spans="1:13" s="31" customFormat="1" x14ac:dyDescent="0.3">
      <c r="A43" s="31" t="s">
        <v>167</v>
      </c>
      <c r="B43" s="88">
        <v>37</v>
      </c>
      <c r="C43" s="85" t="s">
        <v>127</v>
      </c>
      <c r="D43" s="22" t="s">
        <v>128</v>
      </c>
      <c r="E43" s="102" t="s">
        <v>221</v>
      </c>
      <c r="F43" s="95"/>
      <c r="G43" s="96" t="s">
        <v>214</v>
      </c>
      <c r="H43" s="97">
        <v>1</v>
      </c>
      <c r="I43" s="95">
        <v>94000000</v>
      </c>
      <c r="J43" s="52">
        <f t="shared" si="0"/>
        <v>3615.3846153846152</v>
      </c>
      <c r="K43" s="22"/>
      <c r="L43" s="81"/>
      <c r="M43" s="91"/>
    </row>
    <row r="44" spans="1:13" s="31" customFormat="1" x14ac:dyDescent="0.3">
      <c r="A44" s="31" t="s">
        <v>167</v>
      </c>
      <c r="B44" s="101">
        <v>38</v>
      </c>
      <c r="C44" s="85" t="s">
        <v>129</v>
      </c>
      <c r="D44" s="22" t="s">
        <v>130</v>
      </c>
      <c r="E44" s="102" t="s">
        <v>221</v>
      </c>
      <c r="F44" s="95"/>
      <c r="G44" s="96" t="s">
        <v>214</v>
      </c>
      <c r="H44" s="97">
        <v>1</v>
      </c>
      <c r="I44" s="95">
        <v>5000000</v>
      </c>
      <c r="J44" s="52">
        <f t="shared" si="0"/>
        <v>192.30769230769232</v>
      </c>
      <c r="K44" s="42"/>
      <c r="L44" s="81"/>
      <c r="M44" s="91"/>
    </row>
    <row r="45" spans="1:13" s="31" customFormat="1" x14ac:dyDescent="0.3">
      <c r="A45" s="31" t="s">
        <v>167</v>
      </c>
      <c r="B45" s="88">
        <v>39</v>
      </c>
      <c r="C45" s="85" t="s">
        <v>131</v>
      </c>
      <c r="D45" s="22" t="s">
        <v>132</v>
      </c>
      <c r="E45" s="102" t="s">
        <v>221</v>
      </c>
      <c r="F45" s="95"/>
      <c r="G45" s="96" t="s">
        <v>214</v>
      </c>
      <c r="H45" s="97">
        <v>1</v>
      </c>
      <c r="I45" s="95">
        <v>2200000</v>
      </c>
      <c r="J45" s="52">
        <f t="shared" si="0"/>
        <v>84.615384615384613</v>
      </c>
      <c r="K45" s="42"/>
      <c r="L45" s="81"/>
      <c r="M45" s="91"/>
    </row>
    <row r="46" spans="1:13" s="31" customFormat="1" x14ac:dyDescent="0.3">
      <c r="A46" s="31" t="s">
        <v>167</v>
      </c>
      <c r="B46" s="88">
        <v>40</v>
      </c>
      <c r="C46" s="85" t="s">
        <v>133</v>
      </c>
      <c r="D46" s="22" t="s">
        <v>134</v>
      </c>
      <c r="E46" s="102" t="s">
        <v>221</v>
      </c>
      <c r="F46" s="95"/>
      <c r="G46" s="96" t="s">
        <v>214</v>
      </c>
      <c r="H46" s="97">
        <v>1</v>
      </c>
      <c r="I46" s="95">
        <v>4000000</v>
      </c>
      <c r="J46" s="52">
        <f t="shared" si="0"/>
        <v>153.84615384615384</v>
      </c>
      <c r="K46" s="22"/>
      <c r="L46" s="81"/>
      <c r="M46" s="91"/>
    </row>
    <row r="47" spans="1:13" s="31" customFormat="1" x14ac:dyDescent="0.3">
      <c r="A47" s="31" t="s">
        <v>167</v>
      </c>
      <c r="B47" s="101">
        <v>41</v>
      </c>
      <c r="C47" s="85" t="s">
        <v>135</v>
      </c>
      <c r="D47" s="22" t="s">
        <v>136</v>
      </c>
      <c r="E47" s="102" t="s">
        <v>221</v>
      </c>
      <c r="F47" s="95"/>
      <c r="G47" s="96" t="s">
        <v>214</v>
      </c>
      <c r="H47" s="97">
        <v>1</v>
      </c>
      <c r="I47" s="95">
        <v>6650000</v>
      </c>
      <c r="J47" s="52">
        <f t="shared" si="0"/>
        <v>255.76923076923077</v>
      </c>
      <c r="K47" s="22"/>
      <c r="L47" s="81"/>
      <c r="M47" s="91"/>
    </row>
    <row r="48" spans="1:13" s="31" customFormat="1" x14ac:dyDescent="0.3">
      <c r="A48" s="31" t="s">
        <v>167</v>
      </c>
      <c r="B48" s="88">
        <v>42</v>
      </c>
      <c r="C48" s="22" t="s">
        <v>137</v>
      </c>
      <c r="D48" s="22" t="s">
        <v>138</v>
      </c>
      <c r="E48" s="102" t="s">
        <v>221</v>
      </c>
      <c r="F48" s="95"/>
      <c r="G48" s="96" t="s">
        <v>214</v>
      </c>
      <c r="H48" s="97">
        <v>1</v>
      </c>
      <c r="I48" s="95">
        <v>480000000</v>
      </c>
      <c r="J48" s="52">
        <f t="shared" si="0"/>
        <v>18461.538461538461</v>
      </c>
      <c r="K48" s="22"/>
      <c r="L48" s="81"/>
      <c r="M48" s="91"/>
    </row>
    <row r="49" spans="1:13" s="31" customFormat="1" x14ac:dyDescent="0.3">
      <c r="A49" s="31" t="s">
        <v>167</v>
      </c>
      <c r="B49" s="88">
        <v>43</v>
      </c>
      <c r="C49" s="22" t="s">
        <v>139</v>
      </c>
      <c r="D49" s="22" t="s">
        <v>140</v>
      </c>
      <c r="E49" s="102" t="s">
        <v>221</v>
      </c>
      <c r="F49" s="95"/>
      <c r="G49" s="96" t="s">
        <v>214</v>
      </c>
      <c r="H49" s="97">
        <v>1</v>
      </c>
      <c r="I49" s="95">
        <v>480000000</v>
      </c>
      <c r="J49" s="52">
        <f t="shared" si="0"/>
        <v>18461.538461538461</v>
      </c>
      <c r="K49" s="22"/>
      <c r="L49" s="81"/>
      <c r="M49" s="91"/>
    </row>
    <row r="50" spans="1:13" s="31" customFormat="1" x14ac:dyDescent="0.3">
      <c r="A50" s="31" t="s">
        <v>167</v>
      </c>
      <c r="B50" s="101">
        <v>44</v>
      </c>
      <c r="C50" s="22" t="s">
        <v>141</v>
      </c>
      <c r="D50" s="22" t="s">
        <v>142</v>
      </c>
      <c r="E50" s="102" t="s">
        <v>221</v>
      </c>
      <c r="F50" s="95"/>
      <c r="G50" s="96" t="s">
        <v>214</v>
      </c>
      <c r="H50" s="97">
        <v>2</v>
      </c>
      <c r="I50" s="95">
        <v>21600000</v>
      </c>
      <c r="J50" s="52">
        <f t="shared" si="0"/>
        <v>830.76923076923072</v>
      </c>
      <c r="K50" s="22"/>
      <c r="L50" s="81"/>
      <c r="M50" s="91"/>
    </row>
    <row r="51" spans="1:13" s="31" customFormat="1" x14ac:dyDescent="0.3">
      <c r="A51" s="31" t="s">
        <v>167</v>
      </c>
      <c r="B51" s="88">
        <v>45</v>
      </c>
      <c r="C51" s="22" t="s">
        <v>143</v>
      </c>
      <c r="D51" s="22" t="s">
        <v>144</v>
      </c>
      <c r="E51" s="102" t="s">
        <v>221</v>
      </c>
      <c r="F51" s="95"/>
      <c r="G51" s="96" t="s">
        <v>214</v>
      </c>
      <c r="H51" s="97">
        <v>2</v>
      </c>
      <c r="I51" s="95">
        <v>21600000</v>
      </c>
      <c r="J51" s="52">
        <f t="shared" si="0"/>
        <v>830.76923076923072</v>
      </c>
      <c r="K51" s="84"/>
      <c r="L51" s="81"/>
      <c r="M51" s="91"/>
    </row>
    <row r="52" spans="1:13" s="31" customFormat="1" x14ac:dyDescent="0.3">
      <c r="A52" s="31" t="s">
        <v>167</v>
      </c>
      <c r="B52" s="88">
        <v>46</v>
      </c>
      <c r="C52" s="22" t="s">
        <v>145</v>
      </c>
      <c r="D52" s="22" t="s">
        <v>146</v>
      </c>
      <c r="E52" s="102" t="s">
        <v>221</v>
      </c>
      <c r="F52" s="95"/>
      <c r="G52" s="96" t="s">
        <v>214</v>
      </c>
      <c r="H52" s="97">
        <v>1</v>
      </c>
      <c r="I52" s="95">
        <v>362000000</v>
      </c>
      <c r="J52" s="52">
        <f t="shared" si="0"/>
        <v>13923.076923076924</v>
      </c>
      <c r="K52" s="84"/>
      <c r="L52" s="81"/>
      <c r="M52" s="91"/>
    </row>
    <row r="53" spans="1:13" s="31" customFormat="1" x14ac:dyDescent="0.3">
      <c r="A53" s="31" t="s">
        <v>167</v>
      </c>
      <c r="B53" s="101">
        <v>47</v>
      </c>
      <c r="C53" s="22" t="s">
        <v>147</v>
      </c>
      <c r="D53" s="22" t="s">
        <v>148</v>
      </c>
      <c r="E53" s="102" t="s">
        <v>221</v>
      </c>
      <c r="F53" s="95"/>
      <c r="G53" s="96" t="s">
        <v>214</v>
      </c>
      <c r="H53" s="97">
        <v>1</v>
      </c>
      <c r="I53" s="95">
        <v>300000000</v>
      </c>
      <c r="J53" s="52">
        <f t="shared" si="0"/>
        <v>11538.461538461539</v>
      </c>
      <c r="K53" s="22"/>
      <c r="L53" s="81"/>
      <c r="M53" s="91"/>
    </row>
    <row r="54" spans="1:13" s="31" customFormat="1" x14ac:dyDescent="0.3">
      <c r="A54" s="31" t="s">
        <v>167</v>
      </c>
      <c r="B54" s="88">
        <v>48</v>
      </c>
      <c r="C54" s="85" t="s">
        <v>149</v>
      </c>
      <c r="D54" s="22" t="s">
        <v>150</v>
      </c>
      <c r="E54" s="102" t="s">
        <v>221</v>
      </c>
      <c r="F54" s="95"/>
      <c r="G54" s="96" t="s">
        <v>214</v>
      </c>
      <c r="H54" s="97">
        <v>1</v>
      </c>
      <c r="I54" s="95">
        <v>78960000</v>
      </c>
      <c r="J54" s="52">
        <f t="shared" si="0"/>
        <v>3036.9230769230771</v>
      </c>
      <c r="K54" s="42"/>
      <c r="L54" s="81"/>
      <c r="M54" s="91"/>
    </row>
    <row r="55" spans="1:13" s="31" customFormat="1" x14ac:dyDescent="0.3">
      <c r="A55" s="31" t="s">
        <v>167</v>
      </c>
      <c r="B55" s="88">
        <v>49</v>
      </c>
      <c r="C55" s="42" t="s">
        <v>151</v>
      </c>
      <c r="D55" s="22" t="s">
        <v>152</v>
      </c>
      <c r="E55" s="102" t="s">
        <v>221</v>
      </c>
      <c r="F55" s="95"/>
      <c r="G55" s="96" t="s">
        <v>214</v>
      </c>
      <c r="H55" s="97">
        <v>1</v>
      </c>
      <c r="I55" s="95">
        <v>92120000</v>
      </c>
      <c r="J55" s="52">
        <f t="shared" si="0"/>
        <v>3543.0769230769229</v>
      </c>
      <c r="K55" s="22"/>
      <c r="L55" s="81"/>
      <c r="M55" s="91"/>
    </row>
    <row r="56" spans="1:13" s="31" customFormat="1" x14ac:dyDescent="0.3">
      <c r="A56" s="31" t="s">
        <v>167</v>
      </c>
      <c r="B56" s="101">
        <v>50</v>
      </c>
      <c r="C56" s="3" t="s">
        <v>153</v>
      </c>
      <c r="D56" s="22" t="s">
        <v>154</v>
      </c>
      <c r="E56" s="85" t="s">
        <v>219</v>
      </c>
      <c r="F56" s="95"/>
      <c r="G56" s="96" t="s">
        <v>214</v>
      </c>
      <c r="H56" s="97">
        <v>100</v>
      </c>
      <c r="I56" s="95">
        <v>60357.530000001192</v>
      </c>
      <c r="J56" s="126">
        <f t="shared" si="0"/>
        <v>2.3214434615385073</v>
      </c>
      <c r="K56" s="22"/>
      <c r="L56" s="127"/>
      <c r="M56" s="128"/>
    </row>
    <row r="57" spans="1:13" s="31" customFormat="1" x14ac:dyDescent="0.3">
      <c r="A57" s="31" t="s">
        <v>167</v>
      </c>
      <c r="B57" s="101">
        <v>51</v>
      </c>
      <c r="C57" s="130" t="s">
        <v>113</v>
      </c>
      <c r="D57" s="131" t="s">
        <v>114</v>
      </c>
      <c r="E57" s="102" t="s">
        <v>221</v>
      </c>
      <c r="F57" s="132"/>
      <c r="G57" s="96" t="s">
        <v>214</v>
      </c>
      <c r="H57" s="134">
        <v>5</v>
      </c>
      <c r="I57" s="132">
        <v>3418611.1999999881</v>
      </c>
      <c r="J57" s="135">
        <f t="shared" si="0"/>
        <v>131.4850461538457</v>
      </c>
      <c r="K57" s="131"/>
      <c r="L57" s="136"/>
      <c r="M57" s="137"/>
    </row>
    <row r="58" spans="1:13" s="31" customFormat="1" x14ac:dyDescent="0.3">
      <c r="B58" s="32"/>
      <c r="G58" s="32"/>
      <c r="H58" s="32"/>
      <c r="I58" s="122"/>
      <c r="J58" s="123"/>
      <c r="L58" s="32"/>
    </row>
    <row r="59" spans="1:13" s="31" customFormat="1" ht="18.75" x14ac:dyDescent="0.45">
      <c r="B59" s="32"/>
      <c r="G59" s="32"/>
      <c r="H59" s="124">
        <f>SUM(H6:H57)</f>
        <v>1708</v>
      </c>
      <c r="I59" s="124">
        <f>SUM(I6:I57)</f>
        <v>6276800772.8407393</v>
      </c>
      <c r="J59" s="124">
        <f>SUM(J6:J57)</f>
        <v>241415.41434002848</v>
      </c>
      <c r="L59" s="32"/>
    </row>
    <row r="60" spans="1:13" s="31" customFormat="1" ht="20.25" customHeight="1" x14ac:dyDescent="0.45">
      <c r="B60" s="32"/>
      <c r="G60" s="32"/>
      <c r="H60" s="124"/>
      <c r="I60" s="124"/>
      <c r="J60" s="124"/>
      <c r="L60" s="32"/>
    </row>
    <row r="61" spans="1:13" s="31" customFormat="1" ht="20.25" customHeight="1" x14ac:dyDescent="0.5">
      <c r="A61" s="138" t="s">
        <v>217</v>
      </c>
      <c r="B61" s="139"/>
      <c r="C61" s="138"/>
      <c r="D61" s="140" t="s">
        <v>212</v>
      </c>
      <c r="E61" s="140"/>
      <c r="F61" s="138"/>
      <c r="G61" s="139"/>
      <c r="H61" s="124"/>
      <c r="I61" s="124"/>
      <c r="J61" s="124"/>
      <c r="L61" s="32"/>
    </row>
    <row r="62" spans="1:13" s="31" customFormat="1" ht="20.25" customHeight="1" thickBot="1" x14ac:dyDescent="0.5">
      <c r="B62" s="32"/>
      <c r="G62" s="32"/>
      <c r="H62" s="124"/>
      <c r="I62" s="124"/>
      <c r="J62" s="124"/>
      <c r="L62" s="32"/>
    </row>
    <row r="63" spans="1:13" ht="15.75" customHeight="1" thickTop="1" x14ac:dyDescent="0.3">
      <c r="B63" s="163" t="s">
        <v>3</v>
      </c>
      <c r="C63" s="165" t="s">
        <v>1</v>
      </c>
      <c r="D63" s="165" t="s">
        <v>2</v>
      </c>
      <c r="E63" s="110"/>
      <c r="F63" s="167" t="s">
        <v>18</v>
      </c>
      <c r="G63" s="160" t="s">
        <v>16</v>
      </c>
      <c r="H63" s="162" t="s">
        <v>156</v>
      </c>
      <c r="I63" s="162"/>
      <c r="J63" s="162"/>
      <c r="K63" s="157" t="s">
        <v>6</v>
      </c>
      <c r="L63" s="157" t="s">
        <v>13</v>
      </c>
      <c r="M63" s="154" t="s">
        <v>15</v>
      </c>
    </row>
    <row r="64" spans="1:13" x14ac:dyDescent="0.3">
      <c r="B64" s="164"/>
      <c r="C64" s="166"/>
      <c r="D64" s="166"/>
      <c r="E64" s="111"/>
      <c r="F64" s="168"/>
      <c r="G64" s="161"/>
      <c r="H64" s="2" t="s">
        <v>0</v>
      </c>
      <c r="I64" s="21" t="s">
        <v>4</v>
      </c>
      <c r="J64" s="27" t="s">
        <v>5</v>
      </c>
      <c r="K64" s="158"/>
      <c r="L64" s="158"/>
      <c r="M64" s="155"/>
    </row>
    <row r="65" spans="1:13" ht="18.75" x14ac:dyDescent="0.45">
      <c r="B65" s="23"/>
      <c r="C65" s="24"/>
      <c r="D65" s="24"/>
      <c r="E65" s="24"/>
      <c r="F65" s="24"/>
      <c r="G65" s="25"/>
      <c r="H65" s="26">
        <f>SUBTOTAL(9,H66:H71)</f>
        <v>13</v>
      </c>
      <c r="I65" s="26">
        <f>SUBTOTAL(9,I66:I71)</f>
        <v>3825214171.4285736</v>
      </c>
      <c r="J65" s="99">
        <f>SUBTOTAL(9,J66:J109)</f>
        <v>180407.33235735251</v>
      </c>
      <c r="K65" s="159"/>
      <c r="L65" s="159"/>
      <c r="M65" s="156"/>
    </row>
    <row r="66" spans="1:13" s="31" customFormat="1" x14ac:dyDescent="0.3">
      <c r="A66" s="31" t="s">
        <v>166</v>
      </c>
      <c r="B66" s="88">
        <v>1</v>
      </c>
      <c r="C66" s="22" t="s">
        <v>158</v>
      </c>
      <c r="D66" s="22" t="s">
        <v>159</v>
      </c>
      <c r="E66" s="37"/>
      <c r="F66" s="95"/>
      <c r="G66" s="96" t="s">
        <v>164</v>
      </c>
      <c r="H66" s="97">
        <v>1</v>
      </c>
      <c r="I66" s="95">
        <v>500000000</v>
      </c>
      <c r="J66" s="52">
        <f>I66/26000</f>
        <v>19230.76923076923</v>
      </c>
      <c r="K66" s="82" t="s">
        <v>208</v>
      </c>
      <c r="L66" s="81"/>
      <c r="M66" s="91"/>
    </row>
    <row r="67" spans="1:13" s="31" customFormat="1" x14ac:dyDescent="0.3">
      <c r="A67" s="31" t="s">
        <v>166</v>
      </c>
      <c r="B67" s="88">
        <v>2</v>
      </c>
      <c r="C67" s="22" t="s">
        <v>160</v>
      </c>
      <c r="D67" s="22" t="s">
        <v>161</v>
      </c>
      <c r="E67" s="37"/>
      <c r="F67" s="95"/>
      <c r="G67" s="96" t="s">
        <v>164</v>
      </c>
      <c r="H67" s="97">
        <v>1</v>
      </c>
      <c r="I67" s="95">
        <v>500000000</v>
      </c>
      <c r="J67" s="52">
        <f t="shared" ref="J67:J71" si="2">I67/26000</f>
        <v>19230.76923076923</v>
      </c>
      <c r="K67" s="82" t="s">
        <v>208</v>
      </c>
      <c r="L67" s="81"/>
      <c r="M67" s="91"/>
    </row>
    <row r="68" spans="1:13" s="31" customFormat="1" x14ac:dyDescent="0.3">
      <c r="A68" s="31" t="s">
        <v>166</v>
      </c>
      <c r="B68" s="88">
        <v>3</v>
      </c>
      <c r="C68" s="22" t="s">
        <v>162</v>
      </c>
      <c r="D68" s="22" t="s">
        <v>163</v>
      </c>
      <c r="E68" s="37"/>
      <c r="F68" s="95"/>
      <c r="G68" s="96" t="s">
        <v>165</v>
      </c>
      <c r="H68" s="97">
        <v>8</v>
      </c>
      <c r="I68" s="95">
        <v>1489214171.4285734</v>
      </c>
      <c r="J68" s="52">
        <f t="shared" si="2"/>
        <v>57277.468131868205</v>
      </c>
      <c r="K68" s="82" t="s">
        <v>208</v>
      </c>
      <c r="L68" s="81"/>
      <c r="M68" s="91"/>
    </row>
    <row r="69" spans="1:13" s="31" customFormat="1" x14ac:dyDescent="0.3">
      <c r="A69" s="31" t="s">
        <v>166</v>
      </c>
      <c r="B69" s="88">
        <v>4</v>
      </c>
      <c r="C69" s="22" t="s">
        <v>168</v>
      </c>
      <c r="D69" s="22" t="s">
        <v>169</v>
      </c>
      <c r="E69" s="37"/>
      <c r="F69" s="95"/>
      <c r="G69" s="96" t="s">
        <v>155</v>
      </c>
      <c r="H69" s="97">
        <v>1</v>
      </c>
      <c r="I69" s="95">
        <v>460000000</v>
      </c>
      <c r="J69" s="52">
        <f t="shared" si="2"/>
        <v>17692.307692307691</v>
      </c>
      <c r="K69" s="82" t="s">
        <v>209</v>
      </c>
      <c r="L69" s="81"/>
      <c r="M69" s="91"/>
    </row>
    <row r="70" spans="1:13" s="31" customFormat="1" x14ac:dyDescent="0.3">
      <c r="A70" s="31" t="s">
        <v>166</v>
      </c>
      <c r="B70" s="125">
        <v>5</v>
      </c>
      <c r="C70" s="22" t="s">
        <v>170</v>
      </c>
      <c r="D70" s="22" t="s">
        <v>171</v>
      </c>
      <c r="E70" s="37"/>
      <c r="F70" s="95"/>
      <c r="G70" s="96" t="s">
        <v>155</v>
      </c>
      <c r="H70" s="97">
        <v>1</v>
      </c>
      <c r="I70" s="95">
        <v>438000000</v>
      </c>
      <c r="J70" s="126">
        <f t="shared" si="2"/>
        <v>16846.153846153848</v>
      </c>
      <c r="K70" s="59" t="s">
        <v>209</v>
      </c>
      <c r="L70" s="127"/>
      <c r="M70" s="128"/>
    </row>
    <row r="71" spans="1:13" s="31" customFormat="1" x14ac:dyDescent="0.3">
      <c r="A71" s="31" t="s">
        <v>166</v>
      </c>
      <c r="B71" s="129">
        <v>6</v>
      </c>
      <c r="C71" s="130" t="s">
        <v>172</v>
      </c>
      <c r="D71" s="131" t="s">
        <v>173</v>
      </c>
      <c r="E71" s="37"/>
      <c r="F71" s="132"/>
      <c r="G71" s="133" t="s">
        <v>155</v>
      </c>
      <c r="H71" s="134">
        <v>1</v>
      </c>
      <c r="I71" s="132">
        <v>438000000</v>
      </c>
      <c r="J71" s="135">
        <f t="shared" si="2"/>
        <v>16846.153846153848</v>
      </c>
      <c r="K71" s="141" t="s">
        <v>209</v>
      </c>
      <c r="L71" s="136"/>
      <c r="M71" s="137"/>
    </row>
    <row r="72" spans="1:13" s="31" customFormat="1" x14ac:dyDescent="0.3">
      <c r="B72" s="32"/>
      <c r="E72"/>
      <c r="G72" s="32"/>
      <c r="H72" s="32"/>
      <c r="I72" s="32"/>
      <c r="J72" s="32"/>
      <c r="L72" s="32"/>
    </row>
    <row r="73" spans="1:13" s="31" customFormat="1" x14ac:dyDescent="0.3">
      <c r="B73" s="32"/>
      <c r="E73"/>
      <c r="G73" s="32"/>
      <c r="H73" s="32"/>
      <c r="I73" s="122"/>
      <c r="J73" s="153"/>
      <c r="L73" s="32"/>
    </row>
    <row r="74" spans="1:13" s="31" customFormat="1" x14ac:dyDescent="0.3">
      <c r="B74" s="32"/>
      <c r="E74"/>
      <c r="G74" s="32"/>
      <c r="H74" s="32"/>
      <c r="I74" s="122"/>
      <c r="J74" s="153"/>
      <c r="L74" s="32"/>
    </row>
    <row r="75" spans="1:13" s="31" customFormat="1" ht="20.25" customHeight="1" x14ac:dyDescent="0.5">
      <c r="A75" s="138" t="s">
        <v>218</v>
      </c>
      <c r="B75" s="139"/>
      <c r="C75" s="138"/>
      <c r="D75" s="140" t="s">
        <v>211</v>
      </c>
      <c r="E75" s="138"/>
      <c r="F75" s="139"/>
      <c r="G75" s="124"/>
      <c r="H75" s="124"/>
      <c r="I75" s="124"/>
      <c r="K75" s="32"/>
    </row>
    <row r="76" spans="1:13" s="31" customFormat="1" ht="20.25" customHeight="1" thickBot="1" x14ac:dyDescent="0.5">
      <c r="B76" s="32"/>
      <c r="E76"/>
      <c r="G76" s="32"/>
      <c r="H76" s="124"/>
      <c r="I76" s="124"/>
      <c r="J76" s="124"/>
      <c r="L76" s="32"/>
    </row>
    <row r="77" spans="1:13" ht="15.75" customHeight="1" thickTop="1" x14ac:dyDescent="0.3">
      <c r="B77" s="163" t="s">
        <v>3</v>
      </c>
      <c r="C77" s="165" t="s">
        <v>1</v>
      </c>
      <c r="D77" s="165" t="s">
        <v>2</v>
      </c>
      <c r="E77" s="110"/>
      <c r="F77" s="167" t="s">
        <v>18</v>
      </c>
      <c r="G77" s="160" t="s">
        <v>16</v>
      </c>
      <c r="H77" s="162" t="s">
        <v>156</v>
      </c>
      <c r="I77" s="162"/>
      <c r="J77" s="162"/>
      <c r="K77" s="157" t="s">
        <v>6</v>
      </c>
      <c r="L77" s="157" t="s">
        <v>13</v>
      </c>
      <c r="M77" s="154" t="s">
        <v>15</v>
      </c>
    </row>
    <row r="78" spans="1:13" x14ac:dyDescent="0.3">
      <c r="B78" s="164"/>
      <c r="C78" s="166"/>
      <c r="D78" s="166"/>
      <c r="E78" s="111"/>
      <c r="F78" s="168"/>
      <c r="G78" s="161"/>
      <c r="H78" s="2" t="s">
        <v>0</v>
      </c>
      <c r="I78" s="21" t="s">
        <v>4</v>
      </c>
      <c r="J78" s="27" t="s">
        <v>5</v>
      </c>
      <c r="K78" s="158"/>
      <c r="L78" s="158"/>
      <c r="M78" s="155"/>
    </row>
    <row r="79" spans="1:13" ht="18.75" x14ac:dyDescent="0.45">
      <c r="B79" s="23"/>
      <c r="C79" s="24"/>
      <c r="D79" s="24"/>
      <c r="E79" s="24"/>
      <c r="F79" s="24"/>
      <c r="G79" s="25"/>
      <c r="H79" s="26">
        <f>SUBTOTAL(9,H80:H93)</f>
        <v>14</v>
      </c>
      <c r="I79" s="26">
        <f>SUBTOTAL(9,I80:I93)</f>
        <v>865376469.86259174</v>
      </c>
      <c r="J79" s="26">
        <f>SUBTOTAL(9,J80:J93)</f>
        <v>33283.710379330456</v>
      </c>
      <c r="K79" s="159"/>
      <c r="L79" s="159"/>
      <c r="M79" s="156"/>
    </row>
    <row r="80" spans="1:13" s="36" customFormat="1" x14ac:dyDescent="0.3">
      <c r="A80" s="36" t="s">
        <v>198</v>
      </c>
      <c r="B80" s="112">
        <v>1</v>
      </c>
      <c r="C80" s="113" t="s">
        <v>184</v>
      </c>
      <c r="D80" s="43" t="s">
        <v>185</v>
      </c>
      <c r="E80" s="44"/>
      <c r="F80" s="114"/>
      <c r="G80" s="115" t="s">
        <v>202</v>
      </c>
      <c r="H80" s="116">
        <v>1</v>
      </c>
      <c r="I80" s="114">
        <v>152315347.937406</v>
      </c>
      <c r="J80" s="52">
        <f t="shared" ref="J80:J85" si="3">I80/26000</f>
        <v>5858.2826129771538</v>
      </c>
      <c r="K80" s="82" t="s">
        <v>210</v>
      </c>
      <c r="L80" s="118"/>
      <c r="M80" s="119"/>
    </row>
    <row r="81" spans="1:13" s="36" customFormat="1" x14ac:dyDescent="0.3">
      <c r="A81" s="36" t="s">
        <v>198</v>
      </c>
      <c r="B81" s="112">
        <v>2</v>
      </c>
      <c r="C81" s="43" t="s">
        <v>186</v>
      </c>
      <c r="D81" s="43" t="s">
        <v>187</v>
      </c>
      <c r="E81" s="44"/>
      <c r="F81" s="114"/>
      <c r="G81" s="115" t="s">
        <v>203</v>
      </c>
      <c r="H81" s="116">
        <v>1</v>
      </c>
      <c r="I81" s="114">
        <v>171091680.317889</v>
      </c>
      <c r="J81" s="52">
        <f t="shared" si="3"/>
        <v>6580.4492429957309</v>
      </c>
      <c r="K81" s="82" t="s">
        <v>210</v>
      </c>
      <c r="L81" s="118"/>
      <c r="M81" s="119"/>
    </row>
    <row r="82" spans="1:13" s="36" customFormat="1" x14ac:dyDescent="0.3">
      <c r="A82" s="36" t="s">
        <v>198</v>
      </c>
      <c r="B82" s="112">
        <v>3</v>
      </c>
      <c r="C82" s="43" t="s">
        <v>188</v>
      </c>
      <c r="D82" s="43" t="s">
        <v>189</v>
      </c>
      <c r="E82" s="44"/>
      <c r="F82" s="114"/>
      <c r="G82" s="115" t="s">
        <v>201</v>
      </c>
      <c r="H82" s="116">
        <v>1</v>
      </c>
      <c r="I82" s="114">
        <v>134606852.27357399</v>
      </c>
      <c r="J82" s="52">
        <f t="shared" si="3"/>
        <v>5177.1866259066919</v>
      </c>
      <c r="K82" s="117"/>
      <c r="L82" s="118"/>
      <c r="M82" s="119"/>
    </row>
    <row r="83" spans="1:13" s="36" customFormat="1" x14ac:dyDescent="0.3">
      <c r="A83" s="36" t="s">
        <v>198</v>
      </c>
      <c r="B83" s="112">
        <v>4</v>
      </c>
      <c r="C83" s="43" t="s">
        <v>174</v>
      </c>
      <c r="D83" s="43" t="s">
        <v>175</v>
      </c>
      <c r="E83" s="44"/>
      <c r="F83" s="114"/>
      <c r="G83" s="115" t="s">
        <v>33</v>
      </c>
      <c r="H83" s="116">
        <v>1</v>
      </c>
      <c r="I83" s="114">
        <v>64994952</v>
      </c>
      <c r="J83" s="52">
        <f t="shared" si="3"/>
        <v>2499.8058461538462</v>
      </c>
      <c r="K83" s="117"/>
      <c r="L83" s="118"/>
      <c r="M83" s="119"/>
    </row>
    <row r="84" spans="1:13" s="36" customFormat="1" x14ac:dyDescent="0.3">
      <c r="A84" s="36" t="s">
        <v>198</v>
      </c>
      <c r="B84" s="112">
        <v>5</v>
      </c>
      <c r="C84" s="43" t="s">
        <v>180</v>
      </c>
      <c r="D84" s="43" t="s">
        <v>181</v>
      </c>
      <c r="E84" s="44"/>
      <c r="F84" s="114"/>
      <c r="G84" s="115" t="s">
        <v>200</v>
      </c>
      <c r="H84" s="116">
        <v>1</v>
      </c>
      <c r="I84" s="114">
        <v>34949793.8467547</v>
      </c>
      <c r="J84" s="52">
        <f t="shared" si="3"/>
        <v>1344.2228402597962</v>
      </c>
      <c r="K84" s="117"/>
      <c r="L84" s="118"/>
      <c r="M84" s="119"/>
    </row>
    <row r="85" spans="1:13" s="36" customFormat="1" x14ac:dyDescent="0.3">
      <c r="A85" s="36" t="s">
        <v>198</v>
      </c>
      <c r="B85" s="112">
        <v>6</v>
      </c>
      <c r="C85" s="43" t="s">
        <v>182</v>
      </c>
      <c r="D85" s="43" t="s">
        <v>183</v>
      </c>
      <c r="E85" s="44"/>
      <c r="F85" s="114"/>
      <c r="G85" s="115" t="s">
        <v>200</v>
      </c>
      <c r="H85" s="116">
        <v>1</v>
      </c>
      <c r="I85" s="114">
        <v>34949793.8467547</v>
      </c>
      <c r="J85" s="52">
        <f t="shared" si="3"/>
        <v>1344.2228402597962</v>
      </c>
      <c r="K85" s="117"/>
      <c r="L85" s="118"/>
      <c r="M85" s="119"/>
    </row>
    <row r="86" spans="1:13" s="36" customFormat="1" x14ac:dyDescent="0.3">
      <c r="A86" s="36" t="s">
        <v>198</v>
      </c>
      <c r="B86" s="112">
        <v>7</v>
      </c>
      <c r="C86" s="120" t="s">
        <v>178</v>
      </c>
      <c r="D86" s="43" t="s">
        <v>179</v>
      </c>
      <c r="E86" s="44"/>
      <c r="F86" s="114"/>
      <c r="G86" s="115" t="s">
        <v>74</v>
      </c>
      <c r="H86" s="116">
        <v>1</v>
      </c>
      <c r="I86" s="114">
        <v>34950213.895178698</v>
      </c>
      <c r="J86" s="52">
        <f t="shared" ref="J86:J93" si="4">I86/26000</f>
        <v>1344.2389959684115</v>
      </c>
      <c r="K86" s="117"/>
      <c r="L86" s="118"/>
      <c r="M86" s="119"/>
    </row>
    <row r="87" spans="1:13" s="36" customFormat="1" x14ac:dyDescent="0.3">
      <c r="A87" s="36" t="s">
        <v>198</v>
      </c>
      <c r="B87" s="112">
        <v>8</v>
      </c>
      <c r="C87" s="120" t="s">
        <v>176</v>
      </c>
      <c r="D87" s="43" t="s">
        <v>177</v>
      </c>
      <c r="E87" s="44"/>
      <c r="F87" s="114"/>
      <c r="G87" s="121" t="s">
        <v>199</v>
      </c>
      <c r="H87" s="116">
        <v>1</v>
      </c>
      <c r="I87" s="114">
        <v>35098088.880368903</v>
      </c>
      <c r="J87" s="52">
        <f>I87/26000</f>
        <v>1349.926495398804</v>
      </c>
      <c r="K87" s="117"/>
      <c r="L87" s="118"/>
      <c r="M87" s="119"/>
    </row>
    <row r="88" spans="1:13" s="36" customFormat="1" x14ac:dyDescent="0.3">
      <c r="A88" s="36" t="s">
        <v>198</v>
      </c>
      <c r="B88" s="112">
        <v>9</v>
      </c>
      <c r="C88" s="120" t="s">
        <v>190</v>
      </c>
      <c r="D88" s="43" t="s">
        <v>191</v>
      </c>
      <c r="E88" s="44"/>
      <c r="F88" s="114"/>
      <c r="G88" s="115" t="s">
        <v>155</v>
      </c>
      <c r="H88" s="116">
        <v>1</v>
      </c>
      <c r="I88" s="114">
        <v>12691118.626453171</v>
      </c>
      <c r="J88" s="52">
        <f t="shared" si="4"/>
        <v>488.11994717127578</v>
      </c>
      <c r="K88" s="117"/>
      <c r="L88" s="118"/>
      <c r="M88" s="119"/>
    </row>
    <row r="89" spans="1:13" s="36" customFormat="1" x14ac:dyDescent="0.3">
      <c r="A89" s="36" t="s">
        <v>198</v>
      </c>
      <c r="B89" s="112">
        <v>10</v>
      </c>
      <c r="C89" s="43" t="s">
        <v>192</v>
      </c>
      <c r="D89" s="43" t="s">
        <v>193</v>
      </c>
      <c r="E89" s="44"/>
      <c r="F89" s="114"/>
      <c r="G89" s="115" t="s">
        <v>155</v>
      </c>
      <c r="H89" s="116">
        <v>1</v>
      </c>
      <c r="I89" s="114">
        <v>7522368.6264531696</v>
      </c>
      <c r="J89" s="52">
        <f t="shared" si="4"/>
        <v>289.32187024819882</v>
      </c>
      <c r="K89" s="117"/>
      <c r="L89" s="118"/>
      <c r="M89" s="119"/>
    </row>
    <row r="90" spans="1:13" s="36" customFormat="1" x14ac:dyDescent="0.3">
      <c r="A90" s="36" t="s">
        <v>198</v>
      </c>
      <c r="B90" s="112">
        <v>11</v>
      </c>
      <c r="C90" s="43" t="s">
        <v>194</v>
      </c>
      <c r="D90" s="43" t="s">
        <v>195</v>
      </c>
      <c r="E90" s="44"/>
      <c r="F90" s="114"/>
      <c r="G90" s="115" t="s">
        <v>155</v>
      </c>
      <c r="H90" s="116">
        <v>1</v>
      </c>
      <c r="I90" s="114">
        <v>73708868.626453176</v>
      </c>
      <c r="J90" s="52">
        <f t="shared" si="4"/>
        <v>2834.9564856328143</v>
      </c>
      <c r="K90" s="117"/>
      <c r="L90" s="118"/>
      <c r="M90" s="119"/>
    </row>
    <row r="91" spans="1:13" s="36" customFormat="1" x14ac:dyDescent="0.3">
      <c r="A91" s="36" t="s">
        <v>198</v>
      </c>
      <c r="B91" s="142">
        <v>12</v>
      </c>
      <c r="C91" s="47" t="s">
        <v>196</v>
      </c>
      <c r="D91" s="43" t="s">
        <v>197</v>
      </c>
      <c r="E91" s="44"/>
      <c r="F91" s="114"/>
      <c r="G91" s="115" t="s">
        <v>155</v>
      </c>
      <c r="H91" s="116">
        <v>1</v>
      </c>
      <c r="I91" s="114">
        <v>76025631.126453176</v>
      </c>
      <c r="J91" s="126">
        <f t="shared" si="4"/>
        <v>2924.0627356328146</v>
      </c>
      <c r="K91" s="43"/>
      <c r="L91" s="146"/>
      <c r="M91" s="147"/>
    </row>
    <row r="92" spans="1:13" s="36" customFormat="1" x14ac:dyDescent="0.3">
      <c r="A92" s="36" t="s">
        <v>198</v>
      </c>
      <c r="B92" s="112">
        <v>13</v>
      </c>
      <c r="C92" s="43" t="s">
        <v>204</v>
      </c>
      <c r="D92" s="43" t="s">
        <v>205</v>
      </c>
      <c r="E92" s="44"/>
      <c r="F92" s="114"/>
      <c r="G92" s="115" t="s">
        <v>74</v>
      </c>
      <c r="H92" s="116">
        <v>1</v>
      </c>
      <c r="I92" s="114">
        <v>14471114.929426599</v>
      </c>
      <c r="J92" s="52">
        <f t="shared" si="4"/>
        <v>556.58134343948461</v>
      </c>
      <c r="K92" s="82"/>
      <c r="L92" s="118"/>
      <c r="M92" s="119"/>
    </row>
    <row r="93" spans="1:13" s="36" customFormat="1" x14ac:dyDescent="0.3">
      <c r="A93" s="36" t="s">
        <v>198</v>
      </c>
      <c r="B93" s="143">
        <v>14</v>
      </c>
      <c r="C93" s="144" t="s">
        <v>206</v>
      </c>
      <c r="D93" s="145" t="s">
        <v>207</v>
      </c>
      <c r="E93" s="44"/>
      <c r="F93" s="148"/>
      <c r="G93" s="149" t="s">
        <v>74</v>
      </c>
      <c r="H93" s="150">
        <v>1</v>
      </c>
      <c r="I93" s="148">
        <v>18000644.929426599</v>
      </c>
      <c r="J93" s="135">
        <f t="shared" si="4"/>
        <v>692.3324972856384</v>
      </c>
      <c r="K93" s="141"/>
      <c r="L93" s="151"/>
      <c r="M93" s="152"/>
    </row>
  </sheetData>
  <autoFilter ref="B6:M57" xr:uid="{00000000-0009-0000-0000-000000000000}"/>
  <mergeCells count="28">
    <mergeCell ref="K77:K79"/>
    <mergeCell ref="L77:L79"/>
    <mergeCell ref="M77:M79"/>
    <mergeCell ref="B77:B78"/>
    <mergeCell ref="C77:C78"/>
    <mergeCell ref="D77:D78"/>
    <mergeCell ref="F77:F78"/>
    <mergeCell ref="G77:G78"/>
    <mergeCell ref="H77:J77"/>
    <mergeCell ref="K3:K5"/>
    <mergeCell ref="L3:L5"/>
    <mergeCell ref="M3:M5"/>
    <mergeCell ref="B3:B4"/>
    <mergeCell ref="C3:C4"/>
    <mergeCell ref="D3:D4"/>
    <mergeCell ref="F3:F4"/>
    <mergeCell ref="G3:G4"/>
    <mergeCell ref="B63:B64"/>
    <mergeCell ref="C63:C64"/>
    <mergeCell ref="D63:D64"/>
    <mergeCell ref="F63:F64"/>
    <mergeCell ref="D1:H1"/>
    <mergeCell ref="H3:J3"/>
    <mergeCell ref="M63:M65"/>
    <mergeCell ref="K63:K65"/>
    <mergeCell ref="L63:L65"/>
    <mergeCell ref="G63:G64"/>
    <mergeCell ref="H63:J63"/>
  </mergeCells>
  <phoneticPr fontId="15" type="noConversion"/>
  <conditionalFormatting sqref="C3:C5">
    <cfRule type="duplicateValues" dxfId="92" priority="188"/>
  </conditionalFormatting>
  <conditionalFormatting sqref="C9">
    <cfRule type="duplicateValues" dxfId="91" priority="42"/>
    <cfRule type="duplicateValues" dxfId="90" priority="41"/>
  </conditionalFormatting>
  <conditionalFormatting sqref="C10:C28 C6">
    <cfRule type="duplicateValues" dxfId="89" priority="227"/>
  </conditionalFormatting>
  <conditionalFormatting sqref="C29:C34">
    <cfRule type="duplicateValues" dxfId="88" priority="46"/>
    <cfRule type="duplicateValues" dxfId="87" priority="45"/>
  </conditionalFormatting>
  <conditionalFormatting sqref="C35:C36">
    <cfRule type="duplicateValues" dxfId="86" priority="172"/>
  </conditionalFormatting>
  <conditionalFormatting sqref="C37:C52">
    <cfRule type="duplicateValues" dxfId="85" priority="39"/>
  </conditionalFormatting>
  <conditionalFormatting sqref="C37:C74 C76:C1048576 C10:C28 C1:C8">
    <cfRule type="duplicateValues" dxfId="84" priority="280"/>
  </conditionalFormatting>
  <conditionalFormatting sqref="C54:C57">
    <cfRule type="duplicateValues" dxfId="83" priority="38"/>
  </conditionalFormatting>
  <conditionalFormatting sqref="C63:C65">
    <cfRule type="duplicateValues" dxfId="82" priority="28"/>
  </conditionalFormatting>
  <conditionalFormatting sqref="C66">
    <cfRule type="duplicateValues" dxfId="81" priority="34"/>
    <cfRule type="duplicateValues" dxfId="80" priority="33"/>
    <cfRule type="duplicateValues" dxfId="79" priority="32"/>
    <cfRule type="duplicateValues" dxfId="78" priority="31"/>
  </conditionalFormatting>
  <conditionalFormatting sqref="C66:C71">
    <cfRule type="duplicateValues" dxfId="77" priority="291"/>
  </conditionalFormatting>
  <conditionalFormatting sqref="C67">
    <cfRule type="duplicateValues" dxfId="76" priority="30"/>
  </conditionalFormatting>
  <conditionalFormatting sqref="C67:C68">
    <cfRule type="duplicateValues" dxfId="75" priority="37"/>
    <cfRule type="duplicateValues" dxfId="74" priority="36"/>
    <cfRule type="duplicateValues" dxfId="73" priority="35"/>
  </conditionalFormatting>
  <conditionalFormatting sqref="C68">
    <cfRule type="duplicateValues" dxfId="72" priority="29"/>
  </conditionalFormatting>
  <conditionalFormatting sqref="C71">
    <cfRule type="duplicateValues" dxfId="71" priority="292"/>
  </conditionalFormatting>
  <conditionalFormatting sqref="C75">
    <cfRule type="duplicateValues" dxfId="70" priority="1"/>
    <cfRule type="duplicateValues" dxfId="69" priority="2"/>
  </conditionalFormatting>
  <conditionalFormatting sqref="C76:C1048576 C1:C74">
    <cfRule type="duplicateValues" dxfId="68" priority="283"/>
  </conditionalFormatting>
  <conditionalFormatting sqref="C77:C79">
    <cfRule type="duplicateValues" dxfId="67" priority="14"/>
  </conditionalFormatting>
  <conditionalFormatting sqref="C80">
    <cfRule type="duplicateValues" dxfId="66" priority="25"/>
  </conditionalFormatting>
  <conditionalFormatting sqref="C80:C93">
    <cfRule type="duplicateValues" dxfId="65" priority="24"/>
  </conditionalFormatting>
  <conditionalFormatting sqref="C81">
    <cfRule type="duplicateValues" dxfId="64" priority="9"/>
    <cfRule type="duplicateValues" dxfId="63" priority="8"/>
    <cfRule type="duplicateValues" dxfId="62" priority="7"/>
    <cfRule type="duplicateValues" dxfId="61" priority="6"/>
  </conditionalFormatting>
  <conditionalFormatting sqref="C82">
    <cfRule type="duplicateValues" dxfId="60" priority="5"/>
  </conditionalFormatting>
  <conditionalFormatting sqref="C83">
    <cfRule type="duplicateValues" dxfId="59" priority="20"/>
    <cfRule type="duplicateValues" dxfId="58" priority="19"/>
    <cfRule type="duplicateValues" dxfId="57" priority="18"/>
    <cfRule type="duplicateValues" dxfId="56" priority="17"/>
  </conditionalFormatting>
  <conditionalFormatting sqref="C86">
    <cfRule type="duplicateValues" dxfId="55" priority="15"/>
  </conditionalFormatting>
  <conditionalFormatting sqref="C86:C87">
    <cfRule type="duplicateValues" dxfId="54" priority="22"/>
    <cfRule type="duplicateValues" dxfId="53" priority="21"/>
    <cfRule type="duplicateValues" dxfId="52" priority="23"/>
  </conditionalFormatting>
  <conditionalFormatting sqref="C87">
    <cfRule type="duplicateValues" dxfId="51" priority="16"/>
  </conditionalFormatting>
  <conditionalFormatting sqref="C88 C82">
    <cfRule type="duplicateValues" dxfId="50" priority="12"/>
    <cfRule type="duplicateValues" dxfId="49" priority="11"/>
    <cfRule type="duplicateValues" dxfId="48" priority="10"/>
  </conditionalFormatting>
  <conditionalFormatting sqref="C88">
    <cfRule type="duplicateValues" dxfId="47" priority="4"/>
  </conditionalFormatting>
  <conditionalFormatting sqref="C91">
    <cfRule type="duplicateValues" dxfId="46" priority="13"/>
  </conditionalFormatting>
  <conditionalFormatting sqref="C93">
    <cfRule type="duplicateValues" dxfId="45" priority="3"/>
  </conditionalFormatting>
  <pageMargins left="0.7" right="0.7" top="0.75" bottom="0.75" header="0.3" footer="0.3"/>
  <pageSetup paperSize="9" orientation="portrait" r:id="rId1"/>
  <customProperties>
    <customPr name="BudgetSheetCodeName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Q56"/>
  <sheetViews>
    <sheetView tabSelected="1" zoomScale="85" zoomScaleNormal="85" workbookViewId="0">
      <selection activeCell="B51" sqref="B51:B53"/>
    </sheetView>
  </sheetViews>
  <sheetFormatPr defaultColWidth="9.125" defaultRowHeight="16.5" x14ac:dyDescent="0.3"/>
  <cols>
    <col min="1" max="1" width="10.625" customWidth="1"/>
    <col min="2" max="2" width="68.375" customWidth="1"/>
    <col min="3" max="3" width="11.375" customWidth="1"/>
    <col min="4" max="5" width="17.125" customWidth="1"/>
    <col min="6" max="6" width="15.875" customWidth="1"/>
    <col min="7" max="7" width="14.25" customWidth="1"/>
    <col min="8" max="8" width="10.75" style="14" customWidth="1"/>
    <col min="9" max="9" width="10.625" bestFit="1" customWidth="1"/>
    <col min="10" max="10" width="15.25" bestFit="1" customWidth="1"/>
    <col min="11" max="11" width="19.125" bestFit="1" customWidth="1"/>
    <col min="12" max="12" width="15.25" bestFit="1" customWidth="1"/>
    <col min="13" max="13" width="101.875" style="31" customWidth="1"/>
    <col min="14" max="14" width="19.875" style="31" customWidth="1"/>
    <col min="15" max="15" width="0" style="31" hidden="1" customWidth="1"/>
    <col min="16" max="16" width="15.25" style="31" hidden="1" customWidth="1"/>
    <col min="17" max="17" width="0" style="31" hidden="1" customWidth="1"/>
    <col min="18" max="16384" width="9.125" style="31"/>
  </cols>
  <sheetData>
    <row r="1" spans="1:16" customFormat="1" x14ac:dyDescent="0.3">
      <c r="H1" s="14"/>
    </row>
    <row r="2" spans="1:16" customFormat="1" ht="27" thickBot="1" x14ac:dyDescent="0.55000000000000004">
      <c r="B2" s="4" t="s">
        <v>90</v>
      </c>
      <c r="C2" s="4"/>
      <c r="D2" s="4"/>
      <c r="E2" s="4"/>
      <c r="H2" s="14"/>
    </row>
    <row r="3" spans="1:16" customFormat="1" ht="17.25" thickTop="1" x14ac:dyDescent="0.3">
      <c r="A3" s="174" t="s">
        <v>26</v>
      </c>
      <c r="B3" s="176" t="s">
        <v>27</v>
      </c>
      <c r="C3" s="179" t="s">
        <v>28</v>
      </c>
      <c r="D3" s="180"/>
      <c r="E3" s="181"/>
      <c r="F3" s="172" t="s">
        <v>42</v>
      </c>
      <c r="G3" s="178"/>
      <c r="H3" s="179" t="s">
        <v>89</v>
      </c>
      <c r="I3" s="180"/>
      <c r="J3" s="181"/>
      <c r="K3" s="172" t="s">
        <v>157</v>
      </c>
      <c r="L3" s="173"/>
      <c r="M3" s="170" t="s">
        <v>29</v>
      </c>
      <c r="N3" s="170" t="s">
        <v>30</v>
      </c>
    </row>
    <row r="4" spans="1:16" customFormat="1" x14ac:dyDescent="0.3">
      <c r="A4" s="175"/>
      <c r="B4" s="177"/>
      <c r="C4" s="62" t="s">
        <v>32</v>
      </c>
      <c r="D4" s="7" t="s">
        <v>0</v>
      </c>
      <c r="E4" s="6" t="s">
        <v>31</v>
      </c>
      <c r="F4" s="5" t="s">
        <v>0</v>
      </c>
      <c r="G4" s="8" t="s">
        <v>31</v>
      </c>
      <c r="H4" s="62" t="s">
        <v>32</v>
      </c>
      <c r="I4" s="7" t="s">
        <v>0</v>
      </c>
      <c r="J4" s="6" t="s">
        <v>31</v>
      </c>
      <c r="K4" s="5" t="s">
        <v>0</v>
      </c>
      <c r="L4" s="6" t="s">
        <v>31</v>
      </c>
      <c r="M4" s="171"/>
      <c r="N4" s="171"/>
    </row>
    <row r="5" spans="1:16" customFormat="1" hidden="1" x14ac:dyDescent="0.3">
      <c r="A5" s="54" t="s">
        <v>21</v>
      </c>
      <c r="B5" s="10" t="s">
        <v>22</v>
      </c>
      <c r="C5" s="63" t="s">
        <v>34</v>
      </c>
      <c r="D5" s="39">
        <v>1000</v>
      </c>
      <c r="E5" s="64">
        <v>897000</v>
      </c>
      <c r="F5" s="11">
        <v>850</v>
      </c>
      <c r="G5" s="12">
        <v>762450</v>
      </c>
      <c r="H5" s="63"/>
      <c r="I5" s="39"/>
      <c r="J5" s="64"/>
      <c r="K5" s="11">
        <v>850</v>
      </c>
      <c r="L5" s="12">
        <v>762450</v>
      </c>
      <c r="M5" s="9">
        <f>VLOOKUP(A5,'Balance at 30.Apr.2026'!$C$10:$L$54,9,0)</f>
        <v>0</v>
      </c>
      <c r="N5" s="13"/>
      <c r="O5" t="e">
        <f>VLOOKUP(A5,'Balance at 30.Apr.2026'!$C$10:$C$13,1,0)</f>
        <v>#N/A</v>
      </c>
      <c r="P5" s="15" t="e">
        <f>VLOOKUP(A5,'Balance at 30.Apr.2026'!$C$10:$I$13,6,0)</f>
        <v>#N/A</v>
      </c>
    </row>
    <row r="6" spans="1:16" customFormat="1" hidden="1" x14ac:dyDescent="0.3">
      <c r="A6" s="3" t="s">
        <v>23</v>
      </c>
      <c r="B6" s="10" t="s">
        <v>24</v>
      </c>
      <c r="C6" s="63" t="s">
        <v>33</v>
      </c>
      <c r="D6" s="39">
        <v>1</v>
      </c>
      <c r="E6" s="64">
        <v>135000000</v>
      </c>
      <c r="F6" s="11">
        <v>1</v>
      </c>
      <c r="G6" s="12">
        <v>135000000</v>
      </c>
      <c r="H6" s="63"/>
      <c r="I6" s="39"/>
      <c r="J6" s="64"/>
      <c r="K6" s="11">
        <v>1</v>
      </c>
      <c r="L6" s="12">
        <v>135000000</v>
      </c>
      <c r="M6" s="9">
        <f>VLOOKUP(A6,'Balance at 30.Apr.2026'!$C$10:$L$54,9,0)</f>
        <v>0</v>
      </c>
      <c r="N6" s="13"/>
      <c r="O6" t="str">
        <f>VLOOKUP(A6,'Balance at 30.Apr.2026'!$C$10:$C$13,1,0)</f>
        <v>901362</v>
      </c>
      <c r="P6" s="15">
        <f>VLOOKUP(A6,'Balance at 30.Apr.2026'!$C$10:$I$13,6,0)</f>
        <v>1</v>
      </c>
    </row>
    <row r="7" spans="1:16" customFormat="1" hidden="1" x14ac:dyDescent="0.3">
      <c r="A7" s="3" t="s">
        <v>36</v>
      </c>
      <c r="B7" s="10" t="s">
        <v>37</v>
      </c>
      <c r="C7" s="63" t="s">
        <v>35</v>
      </c>
      <c r="D7" s="39">
        <v>1</v>
      </c>
      <c r="E7" s="64">
        <v>452000000</v>
      </c>
      <c r="F7" s="11">
        <v>1</v>
      </c>
      <c r="G7" s="12">
        <v>452000000</v>
      </c>
      <c r="H7" s="63"/>
      <c r="I7" s="39"/>
      <c r="J7" s="64"/>
      <c r="K7" s="11">
        <v>1</v>
      </c>
      <c r="L7" s="12">
        <v>452000000</v>
      </c>
      <c r="M7" s="9">
        <f>VLOOKUP(A7,'Balance at 30.Apr.2026'!$C$10:$L$54,9,0)</f>
        <v>0</v>
      </c>
      <c r="N7" s="13"/>
      <c r="O7" t="str">
        <f>VLOOKUP(A7,'Balance at 30.Apr.2026'!$C$10:$C$13,1,0)</f>
        <v>901364</v>
      </c>
      <c r="P7" s="15">
        <f>VLOOKUP(A7,'Balance at 30.Apr.2026'!$C$10:$I$13,6,0)</f>
        <v>1</v>
      </c>
    </row>
    <row r="8" spans="1:16" customFormat="1" ht="15.75" hidden="1" customHeight="1" x14ac:dyDescent="0.3">
      <c r="A8" s="3" t="s">
        <v>38</v>
      </c>
      <c r="B8" s="10" t="s">
        <v>39</v>
      </c>
      <c r="C8" s="63" t="s">
        <v>35</v>
      </c>
      <c r="D8" s="39">
        <v>1</v>
      </c>
      <c r="E8" s="64">
        <v>480000000</v>
      </c>
      <c r="F8" s="11">
        <v>1</v>
      </c>
      <c r="G8" s="12">
        <v>480000000</v>
      </c>
      <c r="H8" s="63"/>
      <c r="I8" s="39"/>
      <c r="J8" s="64"/>
      <c r="K8" s="11">
        <v>1</v>
      </c>
      <c r="L8" s="12">
        <v>480000000</v>
      </c>
      <c r="M8" s="9">
        <f>VLOOKUP(A8,'Balance at 30.Apr.2026'!$C$10:$L$54,9,0)</f>
        <v>0</v>
      </c>
      <c r="N8" s="13"/>
      <c r="O8" t="str">
        <f>VLOOKUP(A8,'Balance at 30.Apr.2026'!$C$10:$C$13,1,0)</f>
        <v>901365</v>
      </c>
      <c r="P8" s="15">
        <f>VLOOKUP(A8,'Balance at 30.Apr.2026'!$C$10:$I$13,6,0)</f>
        <v>1</v>
      </c>
    </row>
    <row r="9" spans="1:16" customFormat="1" hidden="1" x14ac:dyDescent="0.3">
      <c r="A9" s="3" t="s">
        <v>40</v>
      </c>
      <c r="B9" s="10" t="s">
        <v>41</v>
      </c>
      <c r="C9" s="63" t="s">
        <v>35</v>
      </c>
      <c r="D9" s="39">
        <v>1</v>
      </c>
      <c r="E9" s="64">
        <v>74000000</v>
      </c>
      <c r="F9" s="11">
        <v>1</v>
      </c>
      <c r="G9" s="12">
        <v>74000000</v>
      </c>
      <c r="H9" s="63"/>
      <c r="I9" s="39"/>
      <c r="J9" s="64"/>
      <c r="K9" s="11">
        <v>1</v>
      </c>
      <c r="L9" s="12">
        <v>74000000</v>
      </c>
      <c r="M9" s="9">
        <f>VLOOKUP(A9,'Balance at 30.Apr.2026'!$C$10:$L$54,9,0)</f>
        <v>0</v>
      </c>
      <c r="N9" s="13"/>
      <c r="O9" t="str">
        <f>VLOOKUP(A9,'Balance at 30.Apr.2026'!$C$10:$C$13,1,0)</f>
        <v>901369</v>
      </c>
      <c r="P9" s="15">
        <f>VLOOKUP(A9,'Balance at 30.Apr.2026'!$C$10:$I$13,6,0)</f>
        <v>1</v>
      </c>
    </row>
    <row r="10" spans="1:16" customFormat="1" hidden="1" x14ac:dyDescent="0.3">
      <c r="A10" s="3" t="s">
        <v>62</v>
      </c>
      <c r="B10" s="10" t="s">
        <v>63</v>
      </c>
      <c r="C10" s="63">
        <v>202511</v>
      </c>
      <c r="D10" s="40">
        <v>1</v>
      </c>
      <c r="E10" s="64">
        <v>450000000</v>
      </c>
      <c r="F10" s="11">
        <v>1</v>
      </c>
      <c r="G10" s="12">
        <v>450000000</v>
      </c>
      <c r="H10" s="63"/>
      <c r="I10" s="40"/>
      <c r="J10" s="64"/>
      <c r="K10" s="11">
        <v>1</v>
      </c>
      <c r="L10" s="12">
        <v>450000000</v>
      </c>
      <c r="M10" s="9">
        <f>VLOOKUP(A10,'Balance at 30.Apr.2026'!$C$10:$L$54,9,0)</f>
        <v>0</v>
      </c>
      <c r="N10" s="13"/>
      <c r="O10" t="e">
        <f>VLOOKUP(A10,'Balance at 30.Apr.2026'!$C$10:$C$13,1,0)</f>
        <v>#N/A</v>
      </c>
      <c r="P10" s="15" t="e">
        <f>VLOOKUP(A10,'Balance at 30.Apr.2026'!$C$10:$I$13,6,0)</f>
        <v>#N/A</v>
      </c>
    </row>
    <row r="11" spans="1:16" hidden="1" x14ac:dyDescent="0.3">
      <c r="A11" s="22" t="s">
        <v>64</v>
      </c>
      <c r="B11" s="37" t="s">
        <v>65</v>
      </c>
      <c r="C11" s="63" t="s">
        <v>74</v>
      </c>
      <c r="D11" s="39">
        <v>1</v>
      </c>
      <c r="E11" s="64">
        <v>24000000</v>
      </c>
      <c r="F11" s="11">
        <v>1</v>
      </c>
      <c r="G11" s="12">
        <v>24000000</v>
      </c>
      <c r="H11" s="63"/>
      <c r="I11" s="39"/>
      <c r="J11" s="64"/>
      <c r="K11" s="11">
        <v>1</v>
      </c>
      <c r="L11" s="12">
        <v>24000000</v>
      </c>
      <c r="M11" s="9">
        <f>VLOOKUP(A11,'Balance at 30.Apr.2026'!$C$10:$L$54,9,0)</f>
        <v>0</v>
      </c>
      <c r="N11" s="38"/>
      <c r="O11" t="e">
        <f>VLOOKUP(A11,'Balance at 30.Apr.2026'!$C$10:$C$13,1,0)</f>
        <v>#N/A</v>
      </c>
      <c r="P11" s="15" t="e">
        <f>VLOOKUP(A11,'Balance at 30.Apr.2026'!$C$10:$I$13,6,0)</f>
        <v>#N/A</v>
      </c>
    </row>
    <row r="12" spans="1:16" hidden="1" x14ac:dyDescent="0.3">
      <c r="A12" s="22" t="s">
        <v>66</v>
      </c>
      <c r="B12" s="37" t="s">
        <v>67</v>
      </c>
      <c r="C12" s="63" t="s">
        <v>74</v>
      </c>
      <c r="D12" s="39">
        <v>1</v>
      </c>
      <c r="E12" s="64">
        <v>22800000</v>
      </c>
      <c r="F12" s="11">
        <v>1</v>
      </c>
      <c r="G12" s="12">
        <v>22800000</v>
      </c>
      <c r="H12" s="63"/>
      <c r="I12" s="39"/>
      <c r="J12" s="64"/>
      <c r="K12" s="11">
        <v>1</v>
      </c>
      <c r="L12" s="12">
        <v>22800000</v>
      </c>
      <c r="M12" s="9">
        <f>VLOOKUP(A12,'Balance at 30.Apr.2026'!$C$10:$L$54,9,0)</f>
        <v>0</v>
      </c>
      <c r="N12" s="38"/>
      <c r="O12" t="e">
        <f>VLOOKUP(A12,'Balance at 30.Apr.2026'!$C$10:$C$13,1,0)</f>
        <v>#N/A</v>
      </c>
      <c r="P12" s="15" t="e">
        <f>VLOOKUP(A12,'Balance at 30.Apr.2026'!$C$10:$I$13,6,0)</f>
        <v>#N/A</v>
      </c>
    </row>
    <row r="13" spans="1:16" hidden="1" x14ac:dyDescent="0.3">
      <c r="A13" s="22" t="s">
        <v>68</v>
      </c>
      <c r="B13" s="37" t="s">
        <v>69</v>
      </c>
      <c r="C13" s="63" t="s">
        <v>74</v>
      </c>
      <c r="D13" s="39">
        <v>1</v>
      </c>
      <c r="E13" s="64">
        <v>22800000</v>
      </c>
      <c r="F13" s="11">
        <v>1</v>
      </c>
      <c r="G13" s="12">
        <v>22800000</v>
      </c>
      <c r="H13" s="63"/>
      <c r="I13" s="39"/>
      <c r="J13" s="64"/>
      <c r="K13" s="11">
        <v>1</v>
      </c>
      <c r="L13" s="12">
        <v>22800000</v>
      </c>
      <c r="M13" s="9">
        <f>VLOOKUP(A13,'Balance at 30.Apr.2026'!$C$10:$L$54,9,0)</f>
        <v>0</v>
      </c>
      <c r="N13" s="38"/>
      <c r="O13" t="e">
        <f>VLOOKUP(A13,'Balance at 30.Apr.2026'!$C$10:$C$13,1,0)</f>
        <v>#N/A</v>
      </c>
      <c r="P13" s="15" t="e">
        <f>VLOOKUP(A13,'Balance at 30.Apr.2026'!$C$10:$I$13,6,0)</f>
        <v>#N/A</v>
      </c>
    </row>
    <row r="14" spans="1:16" s="36" customFormat="1" hidden="1" x14ac:dyDescent="0.3">
      <c r="A14" s="43" t="s">
        <v>70</v>
      </c>
      <c r="B14" s="44" t="s">
        <v>71</v>
      </c>
      <c r="C14" s="65" t="s">
        <v>88</v>
      </c>
      <c r="D14" s="39">
        <v>1</v>
      </c>
      <c r="E14" s="66">
        <v>570000</v>
      </c>
      <c r="F14" s="11">
        <v>1</v>
      </c>
      <c r="G14" s="12">
        <v>570000</v>
      </c>
      <c r="H14" s="65" t="s">
        <v>88</v>
      </c>
      <c r="I14" s="39">
        <v>1</v>
      </c>
      <c r="J14" s="66">
        <v>570000</v>
      </c>
      <c r="K14" s="11">
        <v>2</v>
      </c>
      <c r="L14" s="12">
        <v>1140000</v>
      </c>
      <c r="M14" s="9">
        <f>VLOOKUP(A14,'Balance at 30.Apr.2026'!$C$10:$L$54,9,0)</f>
        <v>0</v>
      </c>
      <c r="N14" s="45"/>
      <c r="O14" s="41" t="e">
        <f>VLOOKUP(A14,'Balance at 30.Apr.2026'!$C$10:$C$13,1,0)</f>
        <v>#N/A</v>
      </c>
      <c r="P14" s="46" t="e">
        <f>VLOOKUP(A14,'Balance at 30.Apr.2026'!$C$10:$I$13,6,0)</f>
        <v>#N/A</v>
      </c>
    </row>
    <row r="15" spans="1:16" customFormat="1" hidden="1" x14ac:dyDescent="0.3">
      <c r="A15" s="3" t="s">
        <v>52</v>
      </c>
      <c r="B15" s="10" t="s">
        <v>53</v>
      </c>
      <c r="C15" s="63">
        <v>202509</v>
      </c>
      <c r="D15" s="40">
        <v>1</v>
      </c>
      <c r="E15" s="64">
        <v>65721741.659999996</v>
      </c>
      <c r="F15" s="11">
        <v>1</v>
      </c>
      <c r="G15" s="12">
        <v>65721741.659999996</v>
      </c>
      <c r="H15" s="63"/>
      <c r="I15" s="40"/>
      <c r="J15" s="64"/>
      <c r="K15" s="11">
        <v>1</v>
      </c>
      <c r="L15" s="12">
        <v>65721741.659999996</v>
      </c>
      <c r="M15" s="9">
        <f>VLOOKUP(A15,'Balance at 30.Apr.2026'!$C$10:$L$54,9,0)</f>
        <v>0</v>
      </c>
      <c r="N15" s="13"/>
      <c r="O15" t="e">
        <f>VLOOKUP(A15,'Balance at 30.Apr.2026'!$C$10:$C$13,1,0)</f>
        <v>#N/A</v>
      </c>
      <c r="P15" s="15" t="e">
        <f>VLOOKUP(A15,'Balance at 30.Apr.2026'!$C$10:$I$13,6,0)</f>
        <v>#N/A</v>
      </c>
    </row>
    <row r="16" spans="1:16" customFormat="1" hidden="1" x14ac:dyDescent="0.3">
      <c r="A16" s="3" t="s">
        <v>54</v>
      </c>
      <c r="B16" s="10" t="s">
        <v>55</v>
      </c>
      <c r="C16" s="63">
        <v>202509</v>
      </c>
      <c r="D16" s="40">
        <v>1</v>
      </c>
      <c r="E16" s="64">
        <v>27000000</v>
      </c>
      <c r="F16" s="11">
        <v>1</v>
      </c>
      <c r="G16" s="12">
        <v>27000000</v>
      </c>
      <c r="H16" s="63"/>
      <c r="I16" s="40"/>
      <c r="J16" s="64"/>
      <c r="K16" s="11">
        <v>1</v>
      </c>
      <c r="L16" s="12">
        <v>27000000</v>
      </c>
      <c r="M16" s="9">
        <f>VLOOKUP(A16,'Balance at 30.Apr.2026'!$C$10:$L$54,9,0)</f>
        <v>0</v>
      </c>
      <c r="N16" s="13"/>
      <c r="O16" t="e">
        <f>VLOOKUP(A16,'Balance at 30.Apr.2026'!$C$10:$C$13,1,0)</f>
        <v>#N/A</v>
      </c>
      <c r="P16" s="15" t="e">
        <f>VLOOKUP(A16,'Balance at 30.Apr.2026'!$C$10:$I$13,6,0)</f>
        <v>#N/A</v>
      </c>
    </row>
    <row r="17" spans="1:16" customFormat="1" hidden="1" x14ac:dyDescent="0.3">
      <c r="A17" s="3" t="s">
        <v>46</v>
      </c>
      <c r="B17" s="10" t="s">
        <v>47</v>
      </c>
      <c r="C17" s="63">
        <v>202508</v>
      </c>
      <c r="D17" s="40">
        <v>300</v>
      </c>
      <c r="E17" s="64">
        <v>11856000</v>
      </c>
      <c r="F17" s="11">
        <v>200</v>
      </c>
      <c r="G17" s="12">
        <v>7904000</v>
      </c>
      <c r="H17" s="63"/>
      <c r="I17" s="40"/>
      <c r="J17" s="64"/>
      <c r="K17" s="11">
        <v>200</v>
      </c>
      <c r="L17" s="12">
        <v>7904000</v>
      </c>
      <c r="M17" s="9">
        <f>VLOOKUP(A17,'Balance at 30.Apr.2026'!$C$10:$L$54,9,0)</f>
        <v>0</v>
      </c>
      <c r="N17" s="13"/>
      <c r="O17" t="e">
        <f>VLOOKUP(A17,'Balance at 30.Apr.2026'!$C$10:$C$13,1,0)</f>
        <v>#N/A</v>
      </c>
      <c r="P17" s="15" t="e">
        <f>VLOOKUP(A17,'Balance at 30.Apr.2026'!$C$10:$I$13,6,0)</f>
        <v>#N/A</v>
      </c>
    </row>
    <row r="18" spans="1:16" customFormat="1" hidden="1" x14ac:dyDescent="0.3">
      <c r="A18" s="22" t="s">
        <v>48</v>
      </c>
      <c r="B18" s="37" t="s">
        <v>49</v>
      </c>
      <c r="C18" s="63">
        <v>202508</v>
      </c>
      <c r="D18" s="39">
        <v>1</v>
      </c>
      <c r="E18" s="64">
        <v>28000000</v>
      </c>
      <c r="F18" s="11">
        <v>1</v>
      </c>
      <c r="G18" s="12">
        <v>28000000</v>
      </c>
      <c r="H18" s="63"/>
      <c r="I18" s="39"/>
      <c r="J18" s="64"/>
      <c r="K18" s="11">
        <v>1</v>
      </c>
      <c r="L18" s="12">
        <v>28000000</v>
      </c>
      <c r="M18" s="9">
        <f>VLOOKUP(A18,'Balance at 30.Apr.2026'!$C$10:$L$54,9,0)</f>
        <v>0</v>
      </c>
      <c r="N18" s="38"/>
      <c r="O18" t="e">
        <f>VLOOKUP(A18,'Balance at 30.Apr.2026'!$C$10:$C$13,1,0)</f>
        <v>#N/A</v>
      </c>
      <c r="P18" s="15" t="e">
        <f>VLOOKUP(A18,'Balance at 30.Apr.2026'!$C$10:$I$13,6,0)</f>
        <v>#N/A</v>
      </c>
    </row>
    <row r="19" spans="1:16" customFormat="1" hidden="1" x14ac:dyDescent="0.3">
      <c r="A19" s="3" t="s">
        <v>7</v>
      </c>
      <c r="B19" s="10" t="s">
        <v>81</v>
      </c>
      <c r="C19" s="63"/>
      <c r="D19" s="40"/>
      <c r="E19" s="64"/>
      <c r="F19" s="11">
        <v>1</v>
      </c>
      <c r="G19" s="12">
        <v>340274996.36000001</v>
      </c>
      <c r="H19" s="63"/>
      <c r="I19" s="40"/>
      <c r="J19" s="64"/>
      <c r="K19" s="11">
        <v>1</v>
      </c>
      <c r="L19" s="12">
        <v>340274996.36000001</v>
      </c>
      <c r="M19" s="9" t="e">
        <f>VLOOKUP(A19,'Balance at 30.Apr.2026'!$C$10:$L$54,9,0)</f>
        <v>#N/A</v>
      </c>
      <c r="N19" s="13"/>
      <c r="P19" s="15"/>
    </row>
    <row r="20" spans="1:16" s="41" customFormat="1" hidden="1" x14ac:dyDescent="0.3">
      <c r="A20" s="47" t="s">
        <v>11</v>
      </c>
      <c r="B20" s="48" t="s">
        <v>82</v>
      </c>
      <c r="C20" s="65"/>
      <c r="D20" s="40"/>
      <c r="E20" s="66"/>
      <c r="F20" s="11">
        <v>1</v>
      </c>
      <c r="G20" s="12">
        <v>340274996.36000001</v>
      </c>
      <c r="H20" s="65"/>
      <c r="I20" s="40"/>
      <c r="J20" s="66"/>
      <c r="K20" s="11">
        <v>1</v>
      </c>
      <c r="L20" s="12">
        <v>340274996.36000001</v>
      </c>
      <c r="M20" s="9" t="e">
        <f>VLOOKUP(A20,'Balance at 30.Apr.2026'!$C$10:$L$54,9,0)</f>
        <v>#N/A</v>
      </c>
      <c r="N20" s="49"/>
      <c r="P20" s="46"/>
    </row>
    <row r="21" spans="1:16" s="41" customFormat="1" hidden="1" x14ac:dyDescent="0.3">
      <c r="A21" s="43" t="s">
        <v>9</v>
      </c>
      <c r="B21" s="44" t="s">
        <v>83</v>
      </c>
      <c r="C21" s="65"/>
      <c r="D21" s="39"/>
      <c r="E21" s="66"/>
      <c r="F21" s="11">
        <v>1</v>
      </c>
      <c r="G21" s="12">
        <v>399000000</v>
      </c>
      <c r="H21" s="65"/>
      <c r="I21" s="39"/>
      <c r="J21" s="66"/>
      <c r="K21" s="11">
        <v>1</v>
      </c>
      <c r="L21" s="12">
        <v>399000000</v>
      </c>
      <c r="M21" s="9" t="e">
        <f>VLOOKUP(A21,'Balance at 30.Apr.2026'!$C$10:$L$54,9,0)</f>
        <v>#N/A</v>
      </c>
      <c r="N21" s="45"/>
      <c r="P21" s="46"/>
    </row>
    <row r="22" spans="1:16" s="41" customFormat="1" hidden="1" x14ac:dyDescent="0.3">
      <c r="A22" s="47" t="s">
        <v>77</v>
      </c>
      <c r="B22" s="48" t="s">
        <v>84</v>
      </c>
      <c r="C22" s="65"/>
      <c r="D22" s="40"/>
      <c r="E22" s="66"/>
      <c r="F22" s="11"/>
      <c r="G22" s="12"/>
      <c r="H22" s="65" t="s">
        <v>88</v>
      </c>
      <c r="I22" s="40">
        <v>200</v>
      </c>
      <c r="J22" s="66">
        <v>136468392</v>
      </c>
      <c r="K22" s="11">
        <v>74</v>
      </c>
      <c r="L22" s="12">
        <v>50493305.039999999</v>
      </c>
      <c r="M22" s="9">
        <f>VLOOKUP(A22,'Balance at 30.Apr.2026'!$C$10:$L$54,9,0)</f>
        <v>0</v>
      </c>
      <c r="N22" s="49"/>
      <c r="P22" s="46"/>
    </row>
    <row r="23" spans="1:16" s="41" customFormat="1" hidden="1" x14ac:dyDescent="0.3">
      <c r="A23" s="47" t="s">
        <v>78</v>
      </c>
      <c r="B23" s="48" t="s">
        <v>85</v>
      </c>
      <c r="C23" s="65"/>
      <c r="D23" s="40"/>
      <c r="E23" s="66"/>
      <c r="F23" s="11"/>
      <c r="G23" s="12"/>
      <c r="H23" s="65" t="s">
        <v>88</v>
      </c>
      <c r="I23" s="40">
        <v>200</v>
      </c>
      <c r="J23" s="66">
        <v>152827712</v>
      </c>
      <c r="K23" s="11">
        <v>73</v>
      </c>
      <c r="L23" s="12">
        <v>55782114.880000003</v>
      </c>
      <c r="M23" s="9">
        <f>VLOOKUP(A23,'Balance at 30.Apr.2026'!$C$10:$L$54,9,0)</f>
        <v>0</v>
      </c>
      <c r="N23" s="49"/>
      <c r="P23" s="46"/>
    </row>
    <row r="24" spans="1:16" s="41" customFormat="1" hidden="1" x14ac:dyDescent="0.3">
      <c r="A24" s="43" t="s">
        <v>79</v>
      </c>
      <c r="B24" s="44" t="s">
        <v>86</v>
      </c>
      <c r="C24" s="65"/>
      <c r="D24" s="39"/>
      <c r="E24" s="66"/>
      <c r="F24" s="11"/>
      <c r="G24" s="12"/>
      <c r="H24" s="65" t="s">
        <v>88</v>
      </c>
      <c r="I24" s="39">
        <v>2</v>
      </c>
      <c r="J24" s="66">
        <v>1140000</v>
      </c>
      <c r="K24" s="11">
        <v>2</v>
      </c>
      <c r="L24" s="12">
        <v>1140000</v>
      </c>
      <c r="M24" s="9">
        <f>VLOOKUP(A24,'Balance at 30.Apr.2026'!$C$10:$L$54,9,0)</f>
        <v>0</v>
      </c>
      <c r="N24" s="45"/>
      <c r="P24" s="46"/>
    </row>
    <row r="25" spans="1:16" s="41" customFormat="1" hidden="1" x14ac:dyDescent="0.3">
      <c r="A25" s="43" t="s">
        <v>80</v>
      </c>
      <c r="B25" s="44" t="s">
        <v>87</v>
      </c>
      <c r="C25" s="65"/>
      <c r="D25" s="39"/>
      <c r="E25" s="66"/>
      <c r="F25" s="11"/>
      <c r="G25" s="12"/>
      <c r="H25" s="65" t="s">
        <v>88</v>
      </c>
      <c r="I25" s="39">
        <v>2</v>
      </c>
      <c r="J25" s="66">
        <v>1260000</v>
      </c>
      <c r="K25" s="11">
        <v>2</v>
      </c>
      <c r="L25" s="12">
        <v>1260000</v>
      </c>
      <c r="M25" s="9">
        <f>VLOOKUP(A25,'Balance at 30.Apr.2026'!$C$10:$L$54,9,0)</f>
        <v>0</v>
      </c>
      <c r="N25" s="45"/>
      <c r="P25" s="46"/>
    </row>
    <row r="26" spans="1:16" s="41" customFormat="1" hidden="1" x14ac:dyDescent="0.3">
      <c r="A26" s="47" t="s">
        <v>92</v>
      </c>
      <c r="B26" s="48" t="s">
        <v>93</v>
      </c>
      <c r="C26" s="65"/>
      <c r="D26" s="39"/>
      <c r="E26" s="66"/>
      <c r="F26" s="11"/>
      <c r="G26" s="12"/>
      <c r="H26" s="65">
        <v>202602</v>
      </c>
      <c r="I26" s="39">
        <v>1</v>
      </c>
      <c r="J26" s="66">
        <v>450000000</v>
      </c>
      <c r="K26" s="11">
        <v>1</v>
      </c>
      <c r="L26" s="12">
        <v>450000000</v>
      </c>
      <c r="M26" s="9">
        <f>VLOOKUP(A26,'Balance at 30.Apr.2026'!$C$10:$L$54,9,0)</f>
        <v>0</v>
      </c>
      <c r="N26" s="49"/>
      <c r="P26" s="46"/>
    </row>
    <row r="27" spans="1:16" s="41" customFormat="1" ht="15.75" hidden="1" customHeight="1" x14ac:dyDescent="0.3">
      <c r="A27" s="47" t="s">
        <v>94</v>
      </c>
      <c r="B27" s="48" t="s">
        <v>95</v>
      </c>
      <c r="C27" s="65"/>
      <c r="D27" s="39"/>
      <c r="E27" s="66"/>
      <c r="F27" s="11"/>
      <c r="G27" s="12"/>
      <c r="H27" s="65">
        <v>202602</v>
      </c>
      <c r="I27" s="39">
        <v>1</v>
      </c>
      <c r="J27" s="66">
        <v>17900000</v>
      </c>
      <c r="K27" s="11">
        <v>1</v>
      </c>
      <c r="L27" s="12">
        <v>17900000</v>
      </c>
      <c r="M27" s="9">
        <f>VLOOKUP(A27,'Balance at 30.Apr.2026'!$C$10:$L$54,9,0)</f>
        <v>0</v>
      </c>
      <c r="N27" s="49"/>
      <c r="P27" s="46"/>
    </row>
    <row r="28" spans="1:16" s="41" customFormat="1" hidden="1" x14ac:dyDescent="0.3">
      <c r="A28" s="47" t="s">
        <v>96</v>
      </c>
      <c r="B28" s="48" t="s">
        <v>97</v>
      </c>
      <c r="C28" s="65"/>
      <c r="D28" s="39"/>
      <c r="E28" s="66"/>
      <c r="F28" s="11"/>
      <c r="G28" s="12"/>
      <c r="H28" s="65">
        <v>202602</v>
      </c>
      <c r="I28" s="39">
        <v>2</v>
      </c>
      <c r="J28" s="66">
        <v>11800000</v>
      </c>
      <c r="K28" s="11">
        <v>2</v>
      </c>
      <c r="L28" s="12">
        <v>11800000</v>
      </c>
      <c r="M28" s="9">
        <f>VLOOKUP(A28,'Balance at 30.Apr.2026'!$C$10:$L$54,9,0)</f>
        <v>0</v>
      </c>
      <c r="N28" s="49"/>
      <c r="P28" s="46"/>
    </row>
    <row r="29" spans="1:16" s="41" customFormat="1" hidden="1" x14ac:dyDescent="0.3">
      <c r="A29" s="47" t="s">
        <v>98</v>
      </c>
      <c r="B29" s="48" t="s">
        <v>99</v>
      </c>
      <c r="C29" s="65"/>
      <c r="D29" s="40"/>
      <c r="E29" s="66"/>
      <c r="F29" s="11"/>
      <c r="G29" s="12"/>
      <c r="H29" s="65">
        <v>202602</v>
      </c>
      <c r="I29" s="40">
        <v>2</v>
      </c>
      <c r="J29" s="66">
        <v>12800000</v>
      </c>
      <c r="K29" s="11">
        <v>2</v>
      </c>
      <c r="L29" s="12">
        <v>12800000</v>
      </c>
      <c r="M29" s="9">
        <f>VLOOKUP(A29,'Balance at 30.Apr.2026'!$C$10:$L$54,9,0)</f>
        <v>0</v>
      </c>
      <c r="N29" s="49"/>
      <c r="P29" s="46"/>
    </row>
    <row r="30" spans="1:16" s="41" customFormat="1" hidden="1" x14ac:dyDescent="0.3">
      <c r="A30" s="47" t="s">
        <v>100</v>
      </c>
      <c r="B30" s="48" t="s">
        <v>101</v>
      </c>
      <c r="C30" s="65"/>
      <c r="D30" s="40"/>
      <c r="E30" s="66"/>
      <c r="F30" s="11"/>
      <c r="G30" s="12"/>
      <c r="H30" s="65">
        <v>202602</v>
      </c>
      <c r="I30" s="40">
        <v>1</v>
      </c>
      <c r="J30" s="66">
        <v>36000000</v>
      </c>
      <c r="K30" s="11">
        <v>1</v>
      </c>
      <c r="L30" s="12">
        <v>36000000</v>
      </c>
      <c r="M30" s="9">
        <f>VLOOKUP(A30,'Balance at 30.Apr.2026'!$C$10:$L$54,9,0)</f>
        <v>0</v>
      </c>
      <c r="N30" s="49"/>
      <c r="P30" s="46"/>
    </row>
    <row r="31" spans="1:16" s="41" customFormat="1" hidden="1" x14ac:dyDescent="0.3">
      <c r="A31" s="47" t="s">
        <v>102</v>
      </c>
      <c r="B31" s="48" t="s">
        <v>103</v>
      </c>
      <c r="C31" s="65"/>
      <c r="D31" s="40"/>
      <c r="E31" s="66"/>
      <c r="F31" s="11"/>
      <c r="G31" s="12"/>
      <c r="H31" s="65">
        <v>202602</v>
      </c>
      <c r="I31" s="40">
        <v>1</v>
      </c>
      <c r="J31" s="66">
        <v>1420000</v>
      </c>
      <c r="K31" s="11">
        <v>1</v>
      </c>
      <c r="L31" s="12">
        <v>1420000</v>
      </c>
      <c r="M31" s="9">
        <f>VLOOKUP(A31,'Balance at 30.Apr.2026'!$C$10:$L$54,9,0)</f>
        <v>0</v>
      </c>
      <c r="N31" s="49"/>
      <c r="P31" s="46"/>
    </row>
    <row r="32" spans="1:16" s="36" customFormat="1" hidden="1" x14ac:dyDescent="0.3">
      <c r="A32" s="43" t="s">
        <v>104</v>
      </c>
      <c r="B32" s="44" t="s">
        <v>105</v>
      </c>
      <c r="C32" s="65"/>
      <c r="D32" s="39"/>
      <c r="E32" s="66"/>
      <c r="F32" s="11"/>
      <c r="G32" s="12"/>
      <c r="H32" s="65">
        <v>202602</v>
      </c>
      <c r="I32" s="39">
        <v>400</v>
      </c>
      <c r="J32" s="66">
        <v>4998000</v>
      </c>
      <c r="K32" s="11">
        <v>175</v>
      </c>
      <c r="L32" s="12">
        <v>2186625</v>
      </c>
      <c r="M32" s="9">
        <f>VLOOKUP(A32,'Balance at 30.Apr.2026'!$C$10:$L$54,9,0)</f>
        <v>0</v>
      </c>
      <c r="N32" s="45"/>
      <c r="O32" s="41"/>
      <c r="P32" s="46"/>
    </row>
    <row r="33" spans="1:16" s="36" customFormat="1" hidden="1" x14ac:dyDescent="0.3">
      <c r="A33" s="43" t="s">
        <v>106</v>
      </c>
      <c r="B33" s="44" t="s">
        <v>107</v>
      </c>
      <c r="C33" s="65"/>
      <c r="D33" s="39"/>
      <c r="E33" s="66"/>
      <c r="F33" s="11"/>
      <c r="G33" s="12"/>
      <c r="H33" s="65">
        <v>202602</v>
      </c>
      <c r="I33" s="39">
        <v>400</v>
      </c>
      <c r="J33" s="66">
        <v>4998000</v>
      </c>
      <c r="K33" s="11">
        <v>175</v>
      </c>
      <c r="L33" s="12">
        <v>2186625</v>
      </c>
      <c r="M33" s="9">
        <f>VLOOKUP(A33,'Balance at 30.Apr.2026'!$C$10:$L$54,9,0)</f>
        <v>0</v>
      </c>
      <c r="N33" s="13"/>
      <c r="O33" s="41"/>
      <c r="P33" s="46"/>
    </row>
    <row r="34" spans="1:16" s="36" customFormat="1" hidden="1" x14ac:dyDescent="0.3">
      <c r="A34" s="43" t="s">
        <v>115</v>
      </c>
      <c r="B34" s="44" t="s">
        <v>116</v>
      </c>
      <c r="C34" s="65"/>
      <c r="D34" s="39"/>
      <c r="E34" s="66"/>
      <c r="F34" s="11"/>
      <c r="G34" s="12"/>
      <c r="H34" s="65">
        <v>202603</v>
      </c>
      <c r="I34" s="39">
        <v>1</v>
      </c>
      <c r="J34" s="66">
        <v>450000000</v>
      </c>
      <c r="K34" s="11">
        <v>1</v>
      </c>
      <c r="L34" s="12">
        <v>450000000</v>
      </c>
      <c r="M34" s="55"/>
      <c r="N34" s="13"/>
      <c r="P34" s="56"/>
    </row>
    <row r="35" spans="1:16" hidden="1" x14ac:dyDescent="0.3">
      <c r="A35" s="47" t="s">
        <v>117</v>
      </c>
      <c r="B35" s="48" t="s">
        <v>118</v>
      </c>
      <c r="C35" s="65"/>
      <c r="D35" s="40"/>
      <c r="E35" s="66"/>
      <c r="F35" s="11"/>
      <c r="G35" s="12"/>
      <c r="H35" s="65">
        <v>202603</v>
      </c>
      <c r="I35" s="40">
        <v>1</v>
      </c>
      <c r="J35" s="66">
        <v>60000000</v>
      </c>
      <c r="K35" s="11">
        <v>1</v>
      </c>
      <c r="L35" s="12">
        <v>60000000</v>
      </c>
      <c r="M35" s="55"/>
      <c r="N35" s="38"/>
    </row>
    <row r="36" spans="1:16" hidden="1" x14ac:dyDescent="0.3">
      <c r="A36" s="47" t="s">
        <v>119</v>
      </c>
      <c r="B36" s="48" t="s">
        <v>120</v>
      </c>
      <c r="C36" s="65"/>
      <c r="D36" s="40"/>
      <c r="E36" s="66"/>
      <c r="F36" s="11"/>
      <c r="G36" s="12"/>
      <c r="H36" s="65">
        <v>202603</v>
      </c>
      <c r="I36" s="40">
        <v>1</v>
      </c>
      <c r="J36" s="66">
        <v>151612000</v>
      </c>
      <c r="K36" s="11">
        <v>1</v>
      </c>
      <c r="L36" s="12">
        <v>151612000</v>
      </c>
      <c r="M36" s="55"/>
      <c r="N36" s="13"/>
    </row>
    <row r="37" spans="1:16" hidden="1" x14ac:dyDescent="0.3">
      <c r="A37" s="43" t="s">
        <v>121</v>
      </c>
      <c r="B37" s="44" t="s">
        <v>122</v>
      </c>
      <c r="C37" s="65"/>
      <c r="D37" s="39"/>
      <c r="E37" s="66"/>
      <c r="F37" s="11"/>
      <c r="G37" s="12"/>
      <c r="H37" s="65">
        <v>202603</v>
      </c>
      <c r="I37" s="39">
        <v>1</v>
      </c>
      <c r="J37" s="66">
        <v>9700000</v>
      </c>
      <c r="K37" s="11">
        <v>1</v>
      </c>
      <c r="L37" s="12">
        <v>9700000</v>
      </c>
      <c r="M37" s="55"/>
      <c r="N37" s="49"/>
    </row>
    <row r="38" spans="1:16" hidden="1" x14ac:dyDescent="0.3">
      <c r="A38" s="43" t="s">
        <v>123</v>
      </c>
      <c r="B38" s="44" t="s">
        <v>124</v>
      </c>
      <c r="C38" s="65"/>
      <c r="D38" s="39"/>
      <c r="E38" s="66"/>
      <c r="F38" s="11"/>
      <c r="G38" s="12"/>
      <c r="H38" s="65">
        <v>202603</v>
      </c>
      <c r="I38" s="39">
        <v>1</v>
      </c>
      <c r="J38" s="66">
        <v>99000000</v>
      </c>
      <c r="K38" s="11">
        <v>1</v>
      </c>
      <c r="L38" s="12">
        <v>99000000</v>
      </c>
      <c r="M38" s="55"/>
      <c r="N38" s="45"/>
    </row>
    <row r="39" spans="1:16" hidden="1" x14ac:dyDescent="0.3">
      <c r="A39" s="43" t="s">
        <v>125</v>
      </c>
      <c r="B39" s="44" t="s">
        <v>126</v>
      </c>
      <c r="C39" s="65"/>
      <c r="D39" s="39"/>
      <c r="E39" s="66"/>
      <c r="F39" s="11"/>
      <c r="G39" s="12"/>
      <c r="H39" s="65">
        <v>202603</v>
      </c>
      <c r="I39" s="39">
        <v>1</v>
      </c>
      <c r="J39" s="66">
        <v>37000000</v>
      </c>
      <c r="K39" s="11">
        <v>1</v>
      </c>
      <c r="L39" s="12">
        <v>37000000</v>
      </c>
      <c r="M39" s="55"/>
      <c r="N39" s="45"/>
    </row>
    <row r="40" spans="1:16" hidden="1" x14ac:dyDescent="0.3">
      <c r="A40" s="47" t="s">
        <v>127</v>
      </c>
      <c r="B40" s="48" t="s">
        <v>128</v>
      </c>
      <c r="C40" s="65"/>
      <c r="D40" s="39"/>
      <c r="E40" s="66"/>
      <c r="F40" s="11"/>
      <c r="G40" s="12"/>
      <c r="H40" s="65">
        <v>202603</v>
      </c>
      <c r="I40" s="39">
        <v>1</v>
      </c>
      <c r="J40" s="66">
        <v>94000000</v>
      </c>
      <c r="K40" s="11">
        <v>1</v>
      </c>
      <c r="L40" s="12">
        <v>94000000</v>
      </c>
      <c r="M40" s="55"/>
      <c r="N40" s="49"/>
    </row>
    <row r="41" spans="1:16" hidden="1" x14ac:dyDescent="0.3">
      <c r="A41" s="47" t="s">
        <v>129</v>
      </c>
      <c r="B41" s="48" t="s">
        <v>130</v>
      </c>
      <c r="C41" s="65"/>
      <c r="D41" s="39"/>
      <c r="E41" s="66"/>
      <c r="F41" s="11"/>
      <c r="G41" s="12"/>
      <c r="H41" s="65">
        <v>202603</v>
      </c>
      <c r="I41" s="39">
        <v>1</v>
      </c>
      <c r="J41" s="66">
        <v>5000000</v>
      </c>
      <c r="K41" s="11">
        <v>1</v>
      </c>
      <c r="L41" s="12">
        <v>5000000</v>
      </c>
      <c r="M41" s="55"/>
      <c r="N41" s="49"/>
    </row>
    <row r="42" spans="1:16" hidden="1" x14ac:dyDescent="0.3">
      <c r="A42" s="47" t="s">
        <v>131</v>
      </c>
      <c r="B42" s="48" t="s">
        <v>132</v>
      </c>
      <c r="C42" s="65"/>
      <c r="D42" s="39"/>
      <c r="E42" s="66"/>
      <c r="F42" s="11"/>
      <c r="G42" s="12"/>
      <c r="H42" s="65">
        <v>202603</v>
      </c>
      <c r="I42" s="39">
        <v>1</v>
      </c>
      <c r="J42" s="66">
        <v>2200000</v>
      </c>
      <c r="K42" s="11">
        <v>1</v>
      </c>
      <c r="L42" s="12">
        <v>2200000</v>
      </c>
      <c r="M42" s="55"/>
      <c r="N42" s="45"/>
    </row>
    <row r="43" spans="1:16" hidden="1" x14ac:dyDescent="0.3">
      <c r="A43" s="47" t="s">
        <v>133</v>
      </c>
      <c r="B43" s="48" t="s">
        <v>134</v>
      </c>
      <c r="C43" s="65"/>
      <c r="D43" s="39"/>
      <c r="E43" s="66"/>
      <c r="F43" s="11"/>
      <c r="G43" s="12"/>
      <c r="H43" s="65">
        <v>202603</v>
      </c>
      <c r="I43" s="39">
        <v>1</v>
      </c>
      <c r="J43" s="66">
        <v>4000000</v>
      </c>
      <c r="K43" s="11">
        <v>1</v>
      </c>
      <c r="L43" s="12">
        <v>4000000</v>
      </c>
      <c r="M43" s="55"/>
      <c r="N43" s="49"/>
    </row>
    <row r="44" spans="1:16" hidden="1" x14ac:dyDescent="0.3">
      <c r="A44" s="47" t="s">
        <v>135</v>
      </c>
      <c r="B44" s="48" t="s">
        <v>136</v>
      </c>
      <c r="C44" s="65"/>
      <c r="D44" s="40"/>
      <c r="E44" s="66"/>
      <c r="F44" s="11"/>
      <c r="G44" s="12"/>
      <c r="H44" s="65">
        <v>202603</v>
      </c>
      <c r="I44" s="40">
        <v>1</v>
      </c>
      <c r="J44" s="66">
        <v>6650000</v>
      </c>
      <c r="K44" s="11">
        <v>1</v>
      </c>
      <c r="L44" s="12">
        <v>6650000</v>
      </c>
      <c r="M44" s="55"/>
      <c r="N44" s="45"/>
    </row>
    <row r="45" spans="1:16" customFormat="1" ht="14.25" hidden="1" customHeight="1" x14ac:dyDescent="0.3">
      <c r="A45" s="22" t="s">
        <v>60</v>
      </c>
      <c r="B45" s="37" t="s">
        <v>61</v>
      </c>
      <c r="C45" s="79"/>
      <c r="D45" s="80"/>
      <c r="E45" s="64"/>
      <c r="F45" s="11">
        <v>5</v>
      </c>
      <c r="G45" s="12">
        <v>3023606.6999999899</v>
      </c>
      <c r="H45" s="79" t="s">
        <v>155</v>
      </c>
      <c r="I45" s="80">
        <v>304</v>
      </c>
      <c r="J45" s="64">
        <v>183830963.20926046</v>
      </c>
      <c r="K45" s="11">
        <v>7</v>
      </c>
      <c r="L45" s="12">
        <v>4232949.810739547</v>
      </c>
      <c r="M45" s="9"/>
      <c r="N45" s="38"/>
      <c r="P45" s="15"/>
    </row>
    <row r="46" spans="1:16" hidden="1" x14ac:dyDescent="0.3">
      <c r="A46" s="43" t="s">
        <v>137</v>
      </c>
      <c r="B46" s="44" t="s">
        <v>138</v>
      </c>
      <c r="C46" s="65"/>
      <c r="D46" s="39"/>
      <c r="E46" s="66"/>
      <c r="F46" s="11"/>
      <c r="G46" s="12"/>
      <c r="H46" s="65">
        <v>202604</v>
      </c>
      <c r="I46" s="39">
        <v>1</v>
      </c>
      <c r="J46" s="66">
        <v>480000000</v>
      </c>
      <c r="K46" s="11">
        <v>1</v>
      </c>
      <c r="L46" s="12">
        <v>480000000</v>
      </c>
      <c r="M46" s="55"/>
      <c r="N46" s="45"/>
    </row>
    <row r="47" spans="1:16" hidden="1" x14ac:dyDescent="0.3">
      <c r="A47" s="43" t="s">
        <v>139</v>
      </c>
      <c r="B47" s="44" t="s">
        <v>140</v>
      </c>
      <c r="C47" s="65"/>
      <c r="D47" s="39"/>
      <c r="E47" s="66"/>
      <c r="F47" s="11"/>
      <c r="G47" s="12"/>
      <c r="H47" s="65">
        <v>202604</v>
      </c>
      <c r="I47" s="39">
        <v>1</v>
      </c>
      <c r="J47" s="66">
        <v>480000000</v>
      </c>
      <c r="K47" s="11">
        <v>1</v>
      </c>
      <c r="L47" s="12">
        <v>480000000</v>
      </c>
      <c r="M47" s="55"/>
      <c r="N47" s="45"/>
    </row>
    <row r="48" spans="1:16" hidden="1" x14ac:dyDescent="0.3">
      <c r="A48" s="47" t="s">
        <v>141</v>
      </c>
      <c r="B48" s="48" t="s">
        <v>142</v>
      </c>
      <c r="C48" s="65"/>
      <c r="D48" s="39"/>
      <c r="E48" s="66"/>
      <c r="F48" s="11"/>
      <c r="G48" s="12"/>
      <c r="H48" s="65">
        <v>202604</v>
      </c>
      <c r="I48" s="39">
        <v>2</v>
      </c>
      <c r="J48" s="66">
        <v>21600000</v>
      </c>
      <c r="K48" s="11">
        <v>2</v>
      </c>
      <c r="L48" s="12">
        <v>21600000</v>
      </c>
      <c r="M48" s="55"/>
      <c r="N48" s="49"/>
    </row>
    <row r="49" spans="1:17" hidden="1" x14ac:dyDescent="0.3">
      <c r="A49" s="47" t="s">
        <v>143</v>
      </c>
      <c r="B49" s="48" t="s">
        <v>144</v>
      </c>
      <c r="C49" s="65"/>
      <c r="D49" s="39"/>
      <c r="E49" s="66"/>
      <c r="F49" s="11"/>
      <c r="G49" s="12"/>
      <c r="H49" s="65">
        <v>202604</v>
      </c>
      <c r="I49" s="39">
        <v>2</v>
      </c>
      <c r="J49" s="66">
        <v>21600000</v>
      </c>
      <c r="K49" s="11">
        <v>2</v>
      </c>
      <c r="L49" s="12">
        <v>21600000</v>
      </c>
      <c r="M49" s="55"/>
      <c r="N49" s="49"/>
    </row>
    <row r="50" spans="1:17" hidden="1" x14ac:dyDescent="0.3">
      <c r="A50" s="47" t="s">
        <v>145</v>
      </c>
      <c r="B50" s="48" t="s">
        <v>146</v>
      </c>
      <c r="C50" s="65"/>
      <c r="D50" s="39"/>
      <c r="E50" s="66"/>
      <c r="F50" s="11"/>
      <c r="G50" s="12"/>
      <c r="H50" s="65">
        <v>202604</v>
      </c>
      <c r="I50" s="39">
        <v>1</v>
      </c>
      <c r="J50" s="66">
        <v>362000000</v>
      </c>
      <c r="K50" s="11">
        <v>1</v>
      </c>
      <c r="L50" s="12">
        <v>362000000</v>
      </c>
      <c r="M50" s="55"/>
      <c r="N50" s="45"/>
    </row>
    <row r="51" spans="1:17" x14ac:dyDescent="0.3">
      <c r="A51" s="47" t="s">
        <v>147</v>
      </c>
      <c r="B51" s="48" t="s">
        <v>148</v>
      </c>
      <c r="C51" s="65"/>
      <c r="D51" s="40"/>
      <c r="E51" s="66"/>
      <c r="F51" s="11"/>
      <c r="G51" s="12"/>
      <c r="H51" s="65">
        <v>202604</v>
      </c>
      <c r="I51" s="40">
        <v>1</v>
      </c>
      <c r="J51" s="66">
        <v>300000000</v>
      </c>
      <c r="K51" s="11">
        <v>1</v>
      </c>
      <c r="L51" s="12">
        <v>300000000</v>
      </c>
      <c r="M51" s="55"/>
      <c r="N51" s="45"/>
    </row>
    <row r="52" spans="1:17" x14ac:dyDescent="0.3">
      <c r="A52" s="47" t="s">
        <v>149</v>
      </c>
      <c r="B52" s="48" t="s">
        <v>150</v>
      </c>
      <c r="C52" s="65"/>
      <c r="D52" s="40"/>
      <c r="E52" s="66"/>
      <c r="F52" s="11"/>
      <c r="G52" s="12"/>
      <c r="H52" s="65">
        <v>202604</v>
      </c>
      <c r="I52" s="40">
        <v>1</v>
      </c>
      <c r="J52" s="66">
        <v>78960000</v>
      </c>
      <c r="K52" s="11">
        <v>1</v>
      </c>
      <c r="L52" s="12">
        <v>78960000</v>
      </c>
      <c r="M52" s="55"/>
      <c r="N52" s="45"/>
    </row>
    <row r="53" spans="1:17" x14ac:dyDescent="0.3">
      <c r="A53" s="43" t="s">
        <v>151</v>
      </c>
      <c r="B53" s="44" t="s">
        <v>152</v>
      </c>
      <c r="C53" s="65"/>
      <c r="D53" s="39"/>
      <c r="E53" s="66"/>
      <c r="F53" s="11"/>
      <c r="G53" s="12"/>
      <c r="H53" s="65">
        <v>202604</v>
      </c>
      <c r="I53" s="39">
        <v>1</v>
      </c>
      <c r="J53" s="66">
        <v>92120000</v>
      </c>
      <c r="K53" s="11">
        <v>1</v>
      </c>
      <c r="L53" s="12">
        <v>92120000</v>
      </c>
      <c r="M53" s="55"/>
      <c r="N53" s="45"/>
    </row>
    <row r="54" spans="1:17" hidden="1" x14ac:dyDescent="0.3">
      <c r="A54" s="50" t="s">
        <v>153</v>
      </c>
      <c r="B54" s="10" t="s">
        <v>154</v>
      </c>
      <c r="C54" s="65"/>
      <c r="D54" s="39"/>
      <c r="E54" s="66"/>
      <c r="F54" s="11"/>
      <c r="G54" s="12"/>
      <c r="H54" s="65">
        <v>202604</v>
      </c>
      <c r="I54" s="39">
        <v>100</v>
      </c>
      <c r="J54" s="66">
        <v>60357.530000001192</v>
      </c>
      <c r="K54" s="11">
        <v>100</v>
      </c>
      <c r="L54" s="12">
        <v>60357.530000001192</v>
      </c>
      <c r="M54" s="55"/>
      <c r="N54" s="45"/>
    </row>
    <row r="55" spans="1:17" hidden="1" x14ac:dyDescent="0.3">
      <c r="A55" s="50" t="s">
        <v>113</v>
      </c>
      <c r="B55" s="10" t="s">
        <v>114</v>
      </c>
      <c r="C55" s="65"/>
      <c r="D55" s="60"/>
      <c r="E55" s="66"/>
      <c r="F55" s="11"/>
      <c r="G55" s="61"/>
      <c r="H55" s="65">
        <v>202604</v>
      </c>
      <c r="I55" s="60">
        <v>300</v>
      </c>
      <c r="J55" s="67">
        <v>205116672</v>
      </c>
      <c r="K55" s="11">
        <v>5</v>
      </c>
      <c r="L55" s="61">
        <v>3418611.1999999881</v>
      </c>
      <c r="M55" s="55"/>
      <c r="N55" s="45"/>
    </row>
    <row r="56" spans="1:17" s="57" customFormat="1" ht="16.5" hidden="1" customHeight="1" thickBot="1" x14ac:dyDescent="0.35">
      <c r="A56" s="77"/>
      <c r="B56" s="78"/>
      <c r="C56" s="68"/>
      <c r="D56" s="69"/>
      <c r="E56" s="70"/>
      <c r="F56" s="73">
        <f>SUM(F5:F55)</f>
        <v>1070</v>
      </c>
      <c r="G56" s="74">
        <f>SUM(G5:G55)</f>
        <v>2873131791.0799999</v>
      </c>
      <c r="H56" s="71"/>
      <c r="I56" s="72">
        <f>SUM(I5:I55)</f>
        <v>1938</v>
      </c>
      <c r="J56" s="70">
        <f>SUM(J5:J55)</f>
        <v>3976632096.7392607</v>
      </c>
      <c r="K56" s="73">
        <f>SUM(K5:K55)</f>
        <v>1708</v>
      </c>
      <c r="L56" s="74">
        <f>SUM(L5:L55)</f>
        <v>6276800772.8407393</v>
      </c>
      <c r="M56" s="76"/>
      <c r="N56" s="75"/>
      <c r="P56" s="58" t="e">
        <f>SUM(P5:P18)</f>
        <v>#N/A</v>
      </c>
      <c r="Q56" s="58" t="e">
        <f>L56-P56</f>
        <v>#N/A</v>
      </c>
    </row>
  </sheetData>
  <autoFilter ref="A4:Q56" xr:uid="{00000000-0009-0000-0000-000001000000}">
    <filterColumn colId="1">
      <filters>
        <filter val="SM- A276B BRACKET Degating mold/ Khuôn cắt gate SM- A276B BRACKET"/>
        <filter val="SM- A276B BRACKET DIE CASTING MOLD 2CAV (FULL SET)/ Khuôn đúc nhôm SM- A276B BRACKET"/>
        <filter val="SM- A276B BRACKET Trimming mold/ Khuôn dập SM- A276B BRACKET"/>
      </filters>
    </filterColumn>
  </autoFilter>
  <mergeCells count="8">
    <mergeCell ref="N3:N4"/>
    <mergeCell ref="K3:L3"/>
    <mergeCell ref="A3:A4"/>
    <mergeCell ref="B3:B4"/>
    <mergeCell ref="F3:G3"/>
    <mergeCell ref="H3:J3"/>
    <mergeCell ref="M3:M4"/>
    <mergeCell ref="C3:E3"/>
  </mergeCells>
  <phoneticPr fontId="15" type="noConversion"/>
  <conditionalFormatting sqref="A1:A9">
    <cfRule type="duplicateValues" dxfId="44" priority="149"/>
  </conditionalFormatting>
  <conditionalFormatting sqref="A14">
    <cfRule type="duplicateValues" dxfId="43" priority="42"/>
    <cfRule type="duplicateValues" dxfId="42" priority="41"/>
    <cfRule type="duplicateValues" dxfId="41" priority="40"/>
    <cfRule type="duplicateValues" dxfId="40" priority="39"/>
  </conditionalFormatting>
  <conditionalFormatting sqref="A15:A25 A45 A1:A13">
    <cfRule type="duplicateValues" dxfId="39" priority="250"/>
  </conditionalFormatting>
  <conditionalFormatting sqref="A18">
    <cfRule type="duplicateValues" dxfId="38" priority="49"/>
    <cfRule type="duplicateValues" dxfId="37" priority="48"/>
  </conditionalFormatting>
  <conditionalFormatting sqref="A22:A25">
    <cfRule type="duplicateValues" dxfId="36" priority="235"/>
  </conditionalFormatting>
  <conditionalFormatting sqref="A25 A1:A13 A15:A17">
    <cfRule type="duplicateValues" dxfId="35" priority="175"/>
  </conditionalFormatting>
  <conditionalFormatting sqref="A25 A10:A13 A15:A17">
    <cfRule type="duplicateValues" dxfId="34" priority="59"/>
  </conditionalFormatting>
  <conditionalFormatting sqref="A26:A28">
    <cfRule type="duplicateValues" dxfId="33" priority="35"/>
  </conditionalFormatting>
  <conditionalFormatting sqref="A26:A33">
    <cfRule type="duplicateValues" dxfId="32" priority="37"/>
    <cfRule type="duplicateValues" dxfId="31" priority="36"/>
    <cfRule type="duplicateValues" dxfId="30" priority="32"/>
    <cfRule type="duplicateValues" dxfId="29" priority="33"/>
  </conditionalFormatting>
  <conditionalFormatting sqref="A29:A33">
    <cfRule type="duplicateValues" dxfId="28" priority="34"/>
  </conditionalFormatting>
  <conditionalFormatting sqref="A34">
    <cfRule type="duplicateValues" dxfId="27" priority="30"/>
  </conditionalFormatting>
  <conditionalFormatting sqref="A34:A39">
    <cfRule type="duplicateValues" dxfId="26" priority="29"/>
  </conditionalFormatting>
  <conditionalFormatting sqref="A35:A39">
    <cfRule type="duplicateValues" dxfId="25" priority="31"/>
  </conditionalFormatting>
  <conditionalFormatting sqref="A39">
    <cfRule type="duplicateValues" dxfId="24" priority="27"/>
    <cfRule type="duplicateValues" dxfId="23" priority="28"/>
  </conditionalFormatting>
  <conditionalFormatting sqref="A40:A43">
    <cfRule type="duplicateValues" dxfId="22" priority="24"/>
  </conditionalFormatting>
  <conditionalFormatting sqref="A45 A19:A21">
    <cfRule type="duplicateValues" dxfId="21" priority="251"/>
  </conditionalFormatting>
  <conditionalFormatting sqref="A46:A47">
    <cfRule type="duplicateValues" dxfId="20" priority="15"/>
    <cfRule type="duplicateValues" dxfId="19" priority="14"/>
  </conditionalFormatting>
  <conditionalFormatting sqref="A47">
    <cfRule type="duplicateValues" dxfId="18" priority="13"/>
    <cfRule type="duplicateValues" dxfId="17" priority="12"/>
  </conditionalFormatting>
  <conditionalFormatting sqref="A48:A50">
    <cfRule type="duplicateValues" dxfId="16" priority="11"/>
  </conditionalFormatting>
  <conditionalFormatting sqref="A48:A52">
    <cfRule type="duplicateValues" dxfId="15" priority="19"/>
    <cfRule type="duplicateValues" dxfId="14" priority="18"/>
    <cfRule type="duplicateValues" dxfId="13" priority="16"/>
    <cfRule type="duplicateValues" dxfId="12" priority="17"/>
  </conditionalFormatting>
  <conditionalFormatting sqref="A51:A52">
    <cfRule type="duplicateValues" dxfId="11" priority="20"/>
  </conditionalFormatting>
  <conditionalFormatting sqref="A53:A55">
    <cfRule type="duplicateValues" dxfId="10" priority="5"/>
    <cfRule type="duplicateValues" dxfId="9" priority="4"/>
  </conditionalFormatting>
  <conditionalFormatting sqref="A54:A55">
    <cfRule type="duplicateValues" dxfId="8" priority="2"/>
    <cfRule type="duplicateValues" dxfId="7" priority="3"/>
  </conditionalFormatting>
  <conditionalFormatting sqref="A56 A40:A44">
    <cfRule type="duplicateValues" dxfId="6" priority="226"/>
    <cfRule type="duplicateValues" dxfId="5" priority="227"/>
    <cfRule type="duplicateValues" dxfId="4" priority="229"/>
    <cfRule type="duplicateValues" dxfId="3" priority="228"/>
  </conditionalFormatting>
  <conditionalFormatting sqref="A56 A44">
    <cfRule type="duplicateValues" dxfId="2" priority="234"/>
  </conditionalFormatting>
  <conditionalFormatting sqref="A57:A1048576 A1:A25 A34:A39 A45:A47 A53:A55">
    <cfRule type="duplicateValues" dxfId="1" priority="38"/>
  </conditionalFormatting>
  <conditionalFormatting sqref="A57:A1048576 A15:A25 A1:A13 A34:A39 A45:A47 A53:A55">
    <cfRule type="duplicateValues" dxfId="0" priority="43"/>
  </conditionalFormatting>
  <pageMargins left="0.7" right="0.7" top="0.75" bottom="0.75" header="0.3" footer="0.3"/>
  <pageSetup orientation="portrait" r:id="rId1"/>
  <customProperties>
    <customPr name="BudgetSheetCodeName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9B5469AD-2257-4AEE-9837-5182D969428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Balance at 30.Apr.2026</vt:lpstr>
      <vt:lpstr>Trading-Buying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ACC-PC01</dc:creator>
  <cp:lastModifiedBy>임재홍</cp:lastModifiedBy>
  <cp:lastPrinted>2024-04-23T07:34:17Z</cp:lastPrinted>
  <dcterms:created xsi:type="dcterms:W3CDTF">2022-10-25T04:11:10Z</dcterms:created>
  <dcterms:modified xsi:type="dcterms:W3CDTF">2026-05-12T07:13:58Z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{9B5469AD-2257-4AEE-9837-5182D969428D}</vt:lpwstr>
  </property>
</Properties>
</file>