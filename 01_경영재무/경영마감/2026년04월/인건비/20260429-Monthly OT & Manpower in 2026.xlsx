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K.KIM\Downloads\"/>
    </mc:Choice>
  </mc:AlternateContent>
  <xr:revisionPtr revIDLastSave="0" documentId="13_ncr:1_{248B7DC7-F4A0-4932-AEEE-0F953B25698C}" xr6:coauthVersionLast="47" xr6:coauthVersionMax="47" xr10:uidLastSave="{00000000-0000-0000-0000-000000000000}"/>
  <bookViews>
    <workbookView xWindow="38280" yWindow="5115" windowWidth="29040" windowHeight="15840" firstSheet="1" activeTab="1" xr2:uid="{00000000-000D-0000-FFFF-FFFF00000000}"/>
  </bookViews>
  <sheets>
    <sheet name="Summary OT" sheetId="1" state="hidden" r:id="rId1"/>
    <sheet name="Monthly OT &amp; MP in 2026" sheetId="2" r:id="rId2"/>
  </sheets>
  <definedNames>
    <definedName name="_xlnm._FilterDatabase" localSheetId="1" hidden="1">'Monthly OT &amp; MP in 2026'!$A$3:$AA$33</definedName>
    <definedName name="_xlnm._FilterDatabase" localSheetId="0" hidden="1">'Summary OT'!$A$3:$Z$37</definedName>
    <definedName name="ATTENDANCE" localSheetId="1">#REF!</definedName>
    <definedName name="ATTENDANCE">#REF!</definedName>
    <definedName name="bangcong11" localSheetId="1">#REF!</definedName>
    <definedName name="bangcong11">#REF!</definedName>
    <definedName name="ngayvao" localSheetId="1">#REF!</definedName>
    <definedName name="ngayvao">#REF!</definedName>
    <definedName name="_xlnm.Print_Area" localSheetId="1">'Monthly OT &amp; MP in 2026'!$A$1:$AA$33</definedName>
    <definedName name="_xlnm.Print_Area" localSheetId="0">'Summary OT'!$A:$AF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" i="2" l="1"/>
  <c r="AA32" i="2" l="1"/>
  <c r="AA29" i="2" l="1"/>
  <c r="M33" i="2" l="1"/>
  <c r="I33" i="2" l="1"/>
  <c r="AA19" i="2" l="1"/>
  <c r="AA7" i="2" l="1"/>
  <c r="AA9" i="2" l="1"/>
  <c r="AA13" i="2"/>
  <c r="AA20" i="2"/>
  <c r="AA12" i="2"/>
  <c r="AA16" i="2"/>
  <c r="AA11" i="2"/>
  <c r="AA5" i="2"/>
  <c r="AA8" i="2"/>
  <c r="AA6" i="2"/>
  <c r="AA15" i="2"/>
  <c r="AA10" i="2"/>
  <c r="AA24" i="2"/>
  <c r="AA21" i="2"/>
  <c r="AA22" i="2"/>
  <c r="AA14" i="2"/>
  <c r="AA25" i="2"/>
  <c r="AA18" i="2"/>
  <c r="AA17" i="2"/>
  <c r="AA23" i="2"/>
  <c r="AA30" i="2"/>
  <c r="AA26" i="2"/>
  <c r="AA31" i="2"/>
  <c r="AA27" i="2"/>
  <c r="AA28" i="2"/>
  <c r="AA33" i="2" l="1"/>
  <c r="N33" i="2"/>
  <c r="L33" i="2" l="1"/>
  <c r="K33" i="2"/>
  <c r="Y33" i="2" l="1"/>
  <c r="Z33" i="2"/>
  <c r="W33" i="2" l="1"/>
  <c r="X33" i="2"/>
  <c r="U33" i="2" l="1"/>
  <c r="V33" i="2"/>
  <c r="S33" i="2" l="1"/>
  <c r="T33" i="2"/>
  <c r="R33" i="2" l="1"/>
  <c r="Q33" i="2"/>
  <c r="P33" i="2" l="1"/>
  <c r="O33" i="2"/>
  <c r="J33" i="2"/>
  <c r="H33" i="2"/>
  <c r="G33" i="2"/>
  <c r="F33" i="2"/>
  <c r="E33" i="2"/>
  <c r="D33" i="2"/>
  <c r="C33" i="2"/>
  <c r="Z18" i="1" l="1"/>
  <c r="Z22" i="1"/>
  <c r="Z23" i="1"/>
  <c r="Z24" i="1"/>
  <c r="Z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Z19" i="1" s="1"/>
  <c r="Y20" i="1"/>
  <c r="Z20" i="1" s="1"/>
  <c r="Y21" i="1"/>
  <c r="Z21" i="1" s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4" i="1"/>
  <c r="X4" i="1"/>
  <c r="X5" i="1"/>
  <c r="Z5" i="1" s="1"/>
  <c r="X6" i="1"/>
  <c r="Z6" i="1" s="1"/>
  <c r="X7" i="1"/>
  <c r="Z7" i="1" s="1"/>
  <c r="X8" i="1"/>
  <c r="Z8" i="1" s="1"/>
  <c r="X9" i="1"/>
  <c r="Z9" i="1" s="1"/>
  <c r="X10" i="1"/>
  <c r="Z10" i="1" s="1"/>
  <c r="X11" i="1"/>
  <c r="Z11" i="1" s="1"/>
  <c r="X12" i="1"/>
  <c r="Z12" i="1" s="1"/>
  <c r="X13" i="1"/>
  <c r="Z13" i="1" s="1"/>
  <c r="X14" i="1"/>
  <c r="Z14" i="1" s="1"/>
  <c r="X15" i="1"/>
  <c r="Z15" i="1" s="1"/>
  <c r="X16" i="1"/>
  <c r="Z16" i="1" s="1"/>
  <c r="X17" i="1"/>
  <c r="Z17" i="1" s="1"/>
  <c r="X18" i="1"/>
  <c r="X19" i="1"/>
  <c r="X20" i="1"/>
  <c r="X21" i="1"/>
  <c r="X22" i="1"/>
  <c r="X23" i="1"/>
  <c r="X24" i="1"/>
  <c r="X25" i="1"/>
  <c r="Z25" i="1" s="1"/>
  <c r="X26" i="1"/>
  <c r="Z26" i="1" s="1"/>
  <c r="X27" i="1"/>
  <c r="Z27" i="1" s="1"/>
  <c r="X28" i="1"/>
  <c r="Z28" i="1" s="1"/>
  <c r="X29" i="1"/>
  <c r="Z29" i="1" s="1"/>
  <c r="X30" i="1"/>
  <c r="Z30" i="1" s="1"/>
  <c r="X31" i="1"/>
  <c r="Z31" i="1" s="1"/>
  <c r="X32" i="1"/>
  <c r="Z32" i="1" s="1"/>
  <c r="X33" i="1"/>
  <c r="Z33" i="1" s="1"/>
  <c r="X34" i="1"/>
  <c r="Z34" i="1" s="1"/>
  <c r="X35" i="1"/>
  <c r="Z35" i="1" s="1"/>
  <c r="X36" i="1"/>
  <c r="Z36" i="1" s="1"/>
  <c r="T5" i="1" l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4" i="1"/>
  <c r="S37" i="1"/>
  <c r="R37" i="1"/>
  <c r="Q5" i="1" l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4" i="1"/>
  <c r="O37" i="1" l="1"/>
  <c r="P37" i="1" l="1"/>
  <c r="K4" i="1"/>
  <c r="H4" i="1" l="1"/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4" i="1"/>
  <c r="C37" i="1" l="1"/>
  <c r="V37" i="1" l="1"/>
  <c r="U37" i="1"/>
  <c r="M37" i="1"/>
  <c r="L37" i="1"/>
  <c r="J37" i="1"/>
  <c r="I37" i="1"/>
  <c r="G37" i="1"/>
  <c r="F37" i="1"/>
  <c r="D37" i="1"/>
  <c r="W36" i="1"/>
  <c r="N36" i="1"/>
  <c r="K36" i="1"/>
  <c r="H36" i="1"/>
  <c r="W35" i="1"/>
  <c r="N35" i="1"/>
  <c r="K35" i="1"/>
  <c r="H35" i="1"/>
  <c r="W34" i="1"/>
  <c r="N34" i="1"/>
  <c r="K34" i="1"/>
  <c r="H34" i="1"/>
  <c r="W33" i="1"/>
  <c r="N33" i="1"/>
  <c r="K33" i="1"/>
  <c r="H33" i="1"/>
  <c r="W32" i="1"/>
  <c r="N32" i="1"/>
  <c r="K32" i="1"/>
  <c r="H32" i="1"/>
  <c r="W31" i="1"/>
  <c r="N31" i="1"/>
  <c r="K31" i="1"/>
  <c r="H31" i="1"/>
  <c r="W30" i="1"/>
  <c r="N30" i="1"/>
  <c r="K30" i="1"/>
  <c r="H30" i="1"/>
  <c r="W29" i="1"/>
  <c r="N29" i="1"/>
  <c r="K29" i="1"/>
  <c r="H29" i="1"/>
  <c r="W28" i="1"/>
  <c r="N28" i="1"/>
  <c r="K28" i="1"/>
  <c r="H28" i="1"/>
  <c r="W27" i="1"/>
  <c r="N27" i="1"/>
  <c r="K27" i="1"/>
  <c r="H27" i="1"/>
  <c r="W26" i="1"/>
  <c r="N26" i="1"/>
  <c r="K26" i="1"/>
  <c r="H26" i="1"/>
  <c r="W25" i="1"/>
  <c r="N25" i="1"/>
  <c r="K25" i="1"/>
  <c r="H25" i="1"/>
  <c r="W24" i="1"/>
  <c r="N24" i="1"/>
  <c r="K24" i="1"/>
  <c r="H24" i="1"/>
  <c r="W23" i="1"/>
  <c r="N23" i="1"/>
  <c r="K23" i="1"/>
  <c r="H23" i="1"/>
  <c r="W22" i="1"/>
  <c r="N22" i="1"/>
  <c r="K22" i="1"/>
  <c r="H22" i="1"/>
  <c r="W21" i="1"/>
  <c r="N21" i="1"/>
  <c r="K21" i="1"/>
  <c r="H21" i="1"/>
  <c r="W20" i="1"/>
  <c r="N20" i="1"/>
  <c r="K20" i="1"/>
  <c r="H20" i="1"/>
  <c r="W19" i="1"/>
  <c r="N19" i="1"/>
  <c r="K19" i="1"/>
  <c r="H19" i="1"/>
  <c r="W18" i="1"/>
  <c r="N18" i="1"/>
  <c r="K18" i="1"/>
  <c r="H18" i="1"/>
  <c r="W17" i="1"/>
  <c r="N17" i="1"/>
  <c r="K17" i="1"/>
  <c r="H17" i="1"/>
  <c r="W16" i="1"/>
  <c r="N16" i="1"/>
  <c r="K16" i="1"/>
  <c r="H16" i="1"/>
  <c r="W15" i="1"/>
  <c r="N15" i="1"/>
  <c r="K15" i="1"/>
  <c r="H15" i="1"/>
  <c r="W14" i="1"/>
  <c r="N14" i="1"/>
  <c r="K14" i="1"/>
  <c r="H14" i="1"/>
  <c r="W13" i="1"/>
  <c r="N13" i="1"/>
  <c r="K13" i="1"/>
  <c r="H13" i="1"/>
  <c r="W12" i="1"/>
  <c r="N12" i="1"/>
  <c r="K12" i="1"/>
  <c r="H12" i="1"/>
  <c r="W11" i="1"/>
  <c r="N11" i="1"/>
  <c r="K11" i="1"/>
  <c r="H11" i="1"/>
  <c r="W10" i="1"/>
  <c r="N10" i="1"/>
  <c r="K10" i="1"/>
  <c r="H10" i="1"/>
  <c r="W9" i="1"/>
  <c r="N9" i="1"/>
  <c r="K9" i="1"/>
  <c r="H9" i="1"/>
  <c r="W8" i="1"/>
  <c r="N8" i="1"/>
  <c r="K8" i="1"/>
  <c r="H8" i="1"/>
  <c r="W7" i="1"/>
  <c r="N7" i="1"/>
  <c r="K7" i="1"/>
  <c r="H7" i="1"/>
  <c r="W6" i="1"/>
  <c r="N6" i="1"/>
  <c r="K6" i="1"/>
  <c r="H6" i="1"/>
  <c r="W5" i="1"/>
  <c r="N5" i="1"/>
  <c r="K5" i="1"/>
  <c r="H5" i="1"/>
  <c r="W4" i="1"/>
  <c r="N4" i="1"/>
  <c r="Y37" i="1" l="1"/>
  <c r="X37" i="1"/>
</calcChain>
</file>

<file path=xl/sharedStrings.xml><?xml version="1.0" encoding="utf-8"?>
<sst xmlns="http://schemas.openxmlformats.org/spreadsheetml/2006/main" count="140" uniqueCount="74">
  <si>
    <t>No</t>
  </si>
  <si>
    <t>Dept</t>
  </si>
  <si>
    <t xml:space="preserve">OT total
</t>
  </si>
  <si>
    <t>Total employees</t>
  </si>
  <si>
    <t>LASER</t>
  </si>
  <si>
    <t>PRESS/TRIM</t>
  </si>
  <si>
    <t>ASSEMBLY</t>
  </si>
  <si>
    <t>NON CHROMATE</t>
  </si>
  <si>
    <t>NAIL</t>
  </si>
  <si>
    <t>INJECTION</t>
  </si>
  <si>
    <t>MOULDING</t>
  </si>
  <si>
    <t>HOT PRESS</t>
  </si>
  <si>
    <t>CNC</t>
  </si>
  <si>
    <t>BURRING</t>
  </si>
  <si>
    <t>PQC</t>
  </si>
  <si>
    <t>SPRAY</t>
  </si>
  <si>
    <t>POLISHING</t>
  </si>
  <si>
    <t>OQC</t>
  </si>
  <si>
    <t>DIE-CASTING</t>
  </si>
  <si>
    <t>EXTRUSION</t>
  </si>
  <si>
    <t>MME</t>
  </si>
  <si>
    <t>Utility</t>
  </si>
  <si>
    <t>R&amp;D</t>
  </si>
  <si>
    <t>EHS</t>
  </si>
  <si>
    <t>MATERIAL W.H</t>
  </si>
  <si>
    <t>RELIABILITY</t>
  </si>
  <si>
    <t>IQC</t>
  </si>
  <si>
    <t>GA</t>
  </si>
  <si>
    <t>PRODUCT W.H</t>
  </si>
  <si>
    <t>C/S</t>
  </si>
  <si>
    <t>PROD PLAN</t>
  </si>
  <si>
    <t>IT</t>
  </si>
  <si>
    <t>HR</t>
  </si>
  <si>
    <t>PUR/EXIM</t>
  </si>
  <si>
    <t>ACCOUNT</t>
  </si>
  <si>
    <t>TRANSLATOR</t>
  </si>
  <si>
    <t>SALES</t>
  </si>
  <si>
    <t>Total</t>
  </si>
  <si>
    <t xml:space="preserve">Average OT of 1 employees in Jan-2019
</t>
  </si>
  <si>
    <t xml:space="preserve">Average OT of 1 employees in Feb-2019
</t>
  </si>
  <si>
    <t xml:space="preserve">Average OT of 1 employees in Mar-2019
</t>
  </si>
  <si>
    <t>Apr
(from 21-Mar to 20-Apr, 2019)</t>
  </si>
  <si>
    <t xml:space="preserve">Average OT of 1 employees in Apr-2019
</t>
  </si>
  <si>
    <t>Average OT of 1 employees in May-2019</t>
  </si>
  <si>
    <t>Report OVERTIME TOTAL of employees in 2019</t>
  </si>
  <si>
    <t>May
(from 21-Apr to 20-May, 2019)</t>
  </si>
  <si>
    <t>Jun
(from 21-May to 20-Jun, 2019)</t>
  </si>
  <si>
    <t>Average OT of 1 employees in Jun-2019</t>
  </si>
  <si>
    <t>Jul
(from 21-Jun to 20-Jul)</t>
  </si>
  <si>
    <t>OT total in 2019</t>
  </si>
  <si>
    <t xml:space="preserve">Average employees in 2019
</t>
  </si>
  <si>
    <t>Average OT of 1 employees in 2019</t>
  </si>
  <si>
    <t>General OT, Manpower</t>
  </si>
  <si>
    <t>Average OT of 1 employees in Jul-2019</t>
  </si>
  <si>
    <t>Jan</t>
  </si>
  <si>
    <t>Feb</t>
  </si>
  <si>
    <t>Mar</t>
  </si>
  <si>
    <t>OT</t>
  </si>
  <si>
    <t>MP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</si>
  <si>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</si>
  <si>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</si>
  <si>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</si>
  <si>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</si>
  <si>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</si>
  <si>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</si>
  <si>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</si>
  <si>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</si>
  <si>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</si>
  <si>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OT &amp; MP</t>
  </si>
  <si>
    <t>Al Recycle</t>
  </si>
  <si>
    <t>PT</t>
  </si>
  <si>
    <t>PUR</t>
  </si>
  <si>
    <t>EXIM</t>
  </si>
  <si>
    <t>Monthly total Overtime (OT) &amp; Manpower(MP) in 2026. April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</si>
</sst>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43" formatCode="_-* #,##0.00_-;\-* #,##0.00_-;_-* &quot;-&quot;??_-;_-@_-"/>
    <numFmt numFmtId="176" formatCode="&quot;$&quot;#,##0_);\(&quot;$&quot;#,##0\)"/>
    <numFmt numFmtId="177" formatCode="_(* #,##0.00_);_(* \(#,##0.00\);_(* &quot;-&quot;??_);_(@_)"/>
    <numFmt numFmtId="178" formatCode="_(* #,##0.0_);_(* \(#,##0.0\);_(* &quot;-&quot;??_);_(@_)"/>
    <numFmt numFmtId="179" formatCode="#,##0.0"/>
    <numFmt numFmtId="180" formatCode="0.0%"/>
    <numFmt numFmtId="181" formatCode="_(* #,##0_);_(* \(#,##0\);_(* &quot;-&quot;??_);_(@_)"/>
    <numFmt numFmtId="182" formatCode="_-* #,##0.00\ _₫_-;\-* #,##0.00\ _₫_-;_-* &quot;-&quot;??\ _₫_-;_-@_-"/>
    <numFmt numFmtId="183" formatCode="#,##0\ &quot;DM&quot;;\-#,##0\ &quot;DM&quot;"/>
    <numFmt numFmtId="184" formatCode="0.000%"/>
    <numFmt numFmtId="185" formatCode="00.000"/>
    <numFmt numFmtId="186" formatCode="_-&quot;$&quot;* #,##0_-;\-&quot;$&quot;* #,##0_-;_-&quot;$&quot;* &quot;-&quot;_-;_-@_-"/>
    <numFmt numFmtId="187" formatCode="_-&quot;$&quot;* #,##0.00_-;\-&quot;$&quot;* #,##0.00_-;_-&quot;$&quot;* &quot;-&quot;??_-;_-@_-"/>
    <numFmt numFmtId="188" formatCode="_(* #,##0.0_);_(* \(#,##0.0\);_(* &quot;-&quot;?_);_(@_)"/>
  </numFmts>
  <fonts count="24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indexed="8"/>
      <name val="Calibri"/>
      <family val="2"/>
    </font>
    <font>
      <b/>
      <sz val="11"/>
      <color rgb="FFFF0000"/>
      <name val="Times New Roman"/>
      <family val="1"/>
    </font>
    <font>
      <sz val="14"/>
      <name val=".VnTime"/>
      <family val="2"/>
    </font>
    <font>
      <sz val="10"/>
      <name val="Arial"/>
      <family val="2"/>
    </font>
    <font>
      <sz val="11"/>
      <name val="VNI-Helve"/>
      <family val="2"/>
    </font>
    <font>
      <b/>
      <sz val="12"/>
      <name val="Arial"/>
      <family val="2"/>
    </font>
    <font>
      <sz val="10"/>
      <name val="VNI-Times"/>
      <family val="2"/>
    </font>
    <font>
      <sz val="11"/>
      <color theme="1"/>
      <name val="맑은 고딕"/>
      <family val="3"/>
      <charset val="129"/>
      <scheme val="minor"/>
    </font>
    <font>
      <sz val="12"/>
      <name val=".VnTime"/>
      <family val="2"/>
    </font>
    <font>
      <sz val="11"/>
      <color theme="1"/>
      <name val="Times New Roman"/>
      <family val="2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1"/>
      <name val="돋움"/>
      <family val="3"/>
    </font>
    <font>
      <sz val="10"/>
      <name val="굴림체"/>
      <family val="3"/>
    </font>
    <font>
      <sz val="12"/>
      <name val="新細明體"/>
      <charset val="136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2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5">
    <xf numFmtId="0" fontId="0" fillId="0" borderId="0"/>
    <xf numFmtId="177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9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8" fillId="0" borderId="0" applyFont="0" applyFill="0" applyBorder="0" applyAlignment="0" applyProtection="0"/>
    <xf numFmtId="0" fontId="10" fillId="0" borderId="14" applyNumberFormat="0" applyAlignment="0" applyProtection="0">
      <alignment horizontal="left" vertical="center"/>
    </xf>
    <xf numFmtId="0" fontId="10" fillId="0" borderId="10">
      <alignment horizontal="left" vertical="center"/>
    </xf>
    <xf numFmtId="0" fontId="8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" fillId="0" borderId="0"/>
    <xf numFmtId="0" fontId="7" fillId="0" borderId="0"/>
    <xf numFmtId="0" fontId="8" fillId="0" borderId="0"/>
    <xf numFmtId="0" fontId="11" fillId="0" borderId="0"/>
    <xf numFmtId="0" fontId="7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8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8" fillId="0" borderId="0"/>
    <xf numFmtId="0" fontId="13" fillId="0" borderId="0"/>
    <xf numFmtId="0" fontId="8" fillId="0" borderId="0"/>
    <xf numFmtId="0" fontId="11" fillId="0" borderId="0"/>
    <xf numFmtId="0" fontId="14" fillId="0" borderId="0"/>
    <xf numFmtId="0" fontId="11" fillId="0" borderId="0"/>
    <xf numFmtId="0" fontId="8" fillId="0" borderId="0"/>
    <xf numFmtId="0" fontId="8" fillId="0" borderId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7" fillId="0" borderId="0"/>
    <xf numFmtId="183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0" fontId="12" fillId="0" borderId="0">
      <alignment vertical="center"/>
    </xf>
    <xf numFmtId="0" fontId="20" fillId="0" borderId="0"/>
    <xf numFmtId="41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187" fontId="20" fillId="0" borderId="0" applyFont="0" applyFill="0" applyBorder="0" applyAlignment="0" applyProtection="0"/>
  </cellStyleXfs>
  <cellXfs count="9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78" fontId="3" fillId="0" borderId="0" xfId="0" applyNumberFormat="1" applyFont="1" applyAlignment="1">
      <alignment vertical="center" shrinkToFit="1"/>
    </xf>
    <xf numFmtId="0" fontId="2" fillId="0" borderId="0" xfId="0" applyFont="1"/>
    <xf numFmtId="179" fontId="2" fillId="0" borderId="0" xfId="0" applyNumberFormat="1" applyFont="1"/>
    <xf numFmtId="0" fontId="2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178" fontId="2" fillId="2" borderId="8" xfId="1" applyNumberFormat="1" applyFont="1" applyFill="1" applyBorder="1" applyAlignment="1">
      <alignment vertical="center"/>
    </xf>
    <xf numFmtId="178" fontId="2" fillId="3" borderId="8" xfId="1" applyNumberFormat="1" applyFont="1" applyFill="1" applyBorder="1" applyAlignment="1">
      <alignment vertical="center"/>
    </xf>
    <xf numFmtId="178" fontId="2" fillId="0" borderId="7" xfId="1" applyNumberFormat="1" applyFont="1" applyBorder="1" applyAlignment="1">
      <alignment vertical="center"/>
    </xf>
    <xf numFmtId="178" fontId="2" fillId="0" borderId="9" xfId="1" applyNumberFormat="1" applyFont="1" applyBorder="1" applyAlignment="1">
      <alignment vertical="center"/>
    </xf>
    <xf numFmtId="178" fontId="2" fillId="0" borderId="8" xfId="1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6" fillId="0" borderId="6" xfId="0" applyFont="1" applyBorder="1" applyAlignment="1">
      <alignment horizontal="left" vertical="center"/>
    </xf>
    <xf numFmtId="0" fontId="6" fillId="0" borderId="8" xfId="0" applyFont="1" applyBorder="1" applyAlignment="1">
      <alignment horizontal="right" vertical="center"/>
    </xf>
    <xf numFmtId="178" fontId="6" fillId="2" borderId="9" xfId="1" applyNumberFormat="1" applyFont="1" applyFill="1" applyBorder="1" applyAlignment="1">
      <alignment horizontal="right" vertical="center"/>
    </xf>
    <xf numFmtId="178" fontId="6" fillId="2" borderId="7" xfId="1" applyNumberFormat="1" applyFont="1" applyFill="1" applyBorder="1" applyAlignment="1">
      <alignment horizontal="right" vertical="center"/>
    </xf>
    <xf numFmtId="179" fontId="4" fillId="0" borderId="8" xfId="0" applyNumberFormat="1" applyFont="1" applyBorder="1" applyAlignment="1">
      <alignment horizontal="right" vertical="center"/>
    </xf>
    <xf numFmtId="179" fontId="4" fillId="0" borderId="0" xfId="0" applyNumberFormat="1" applyFont="1"/>
    <xf numFmtId="182" fontId="2" fillId="0" borderId="0" xfId="0" applyNumberFormat="1" applyFont="1"/>
    <xf numFmtId="181" fontId="2" fillId="0" borderId="0" xfId="0" applyNumberFormat="1" applyFont="1"/>
    <xf numFmtId="0" fontId="4" fillId="0" borderId="0" xfId="0" applyFont="1"/>
    <xf numFmtId="178" fontId="2" fillId="0" borderId="0" xfId="0" applyNumberFormat="1" applyFont="1"/>
    <xf numFmtId="3" fontId="2" fillId="0" borderId="0" xfId="0" applyNumberFormat="1" applyFont="1"/>
    <xf numFmtId="178" fontId="2" fillId="3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179" fontId="6" fillId="2" borderId="5" xfId="1" applyNumberFormat="1" applyFont="1" applyFill="1" applyBorder="1" applyAlignment="1">
      <alignment horizontal="center" vertical="center"/>
    </xf>
    <xf numFmtId="179" fontId="6" fillId="2" borderId="7" xfId="1" applyNumberFormat="1" applyFont="1" applyFill="1" applyBorder="1" applyAlignment="1">
      <alignment horizontal="center" vertical="center"/>
    </xf>
    <xf numFmtId="178" fontId="2" fillId="3" borderId="13" xfId="1" applyNumberFormat="1" applyFont="1" applyFill="1" applyBorder="1" applyAlignment="1">
      <alignment vertical="center"/>
    </xf>
    <xf numFmtId="0" fontId="6" fillId="0" borderId="15" xfId="0" applyFont="1" applyBorder="1" applyAlignment="1">
      <alignment horizontal="right" vertical="center"/>
    </xf>
    <xf numFmtId="178" fontId="2" fillId="3" borderId="7" xfId="1" applyNumberFormat="1" applyFont="1" applyFill="1" applyBorder="1" applyAlignment="1">
      <alignment vertical="center"/>
    </xf>
    <xf numFmtId="0" fontId="6" fillId="3" borderId="10" xfId="0" applyFont="1" applyFill="1" applyBorder="1" applyAlignment="1">
      <alignment horizontal="right" vertical="center"/>
    </xf>
    <xf numFmtId="178" fontId="6" fillId="2" borderId="10" xfId="0" applyNumberFormat="1" applyFont="1" applyFill="1" applyBorder="1" applyAlignment="1">
      <alignment horizontal="right" vertical="center"/>
    </xf>
    <xf numFmtId="178" fontId="6" fillId="2" borderId="7" xfId="0" applyNumberFormat="1" applyFont="1" applyFill="1" applyBorder="1" applyAlignment="1">
      <alignment horizontal="right" vertical="center"/>
    </xf>
    <xf numFmtId="178" fontId="6" fillId="2" borderId="13" xfId="0" applyNumberFormat="1" applyFont="1" applyFill="1" applyBorder="1" applyAlignment="1">
      <alignment horizontal="right" vertical="center"/>
    </xf>
    <xf numFmtId="178" fontId="6" fillId="2" borderId="8" xfId="1" applyNumberFormat="1" applyFont="1" applyFill="1" applyBorder="1" applyAlignment="1">
      <alignment horizontal="right" vertical="center"/>
    </xf>
    <xf numFmtId="0" fontId="4" fillId="3" borderId="5" xfId="0" applyFont="1" applyFill="1" applyBorder="1" applyAlignment="1">
      <alignment horizontal="center" vertical="center" wrapText="1"/>
    </xf>
    <xf numFmtId="180" fontId="4" fillId="3" borderId="6" xfId="2" applyNumberFormat="1" applyFont="1" applyFill="1" applyBorder="1" applyAlignment="1">
      <alignment horizontal="center" vertical="center" wrapText="1"/>
    </xf>
    <xf numFmtId="180" fontId="4" fillId="3" borderId="8" xfId="2" applyNumberFormat="1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180" fontId="4" fillId="3" borderId="10" xfId="2" applyNumberFormat="1" applyFont="1" applyFill="1" applyBorder="1" applyAlignment="1">
      <alignment horizontal="center" vertical="center" wrapText="1"/>
    </xf>
    <xf numFmtId="180" fontId="4" fillId="3" borderId="13" xfId="2" applyNumberFormat="1" applyFont="1" applyFill="1" applyBorder="1" applyAlignment="1">
      <alignment horizontal="center" vertical="center" wrapText="1"/>
    </xf>
    <xf numFmtId="180" fontId="4" fillId="3" borderId="5" xfId="2" applyNumberFormat="1" applyFont="1" applyFill="1" applyBorder="1" applyAlignment="1">
      <alignment horizontal="center" vertical="center" wrapText="1"/>
    </xf>
    <xf numFmtId="180" fontId="4" fillId="3" borderId="7" xfId="2" applyNumberFormat="1" applyFont="1" applyFill="1" applyBorder="1" applyAlignment="1">
      <alignment horizontal="center" vertical="center" wrapText="1"/>
    </xf>
    <xf numFmtId="180" fontId="4" fillId="3" borderId="11" xfId="2" applyNumberFormat="1" applyFont="1" applyFill="1" applyBorder="1" applyAlignment="1">
      <alignment horizontal="center" vertical="center" wrapText="1"/>
    </xf>
    <xf numFmtId="181" fontId="4" fillId="3" borderId="11" xfId="0" applyNumberFormat="1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81" fontId="2" fillId="3" borderId="8" xfId="1" applyNumberFormat="1" applyFont="1" applyFill="1" applyBorder="1" applyAlignment="1">
      <alignment vertical="center"/>
    </xf>
    <xf numFmtId="179" fontId="2" fillId="3" borderId="8" xfId="1" applyNumberFormat="1" applyFont="1" applyFill="1" applyBorder="1" applyAlignment="1">
      <alignment horizontal="center" vertical="center"/>
    </xf>
    <xf numFmtId="178" fontId="2" fillId="3" borderId="8" xfId="1" applyNumberFormat="1" applyFont="1" applyFill="1" applyBorder="1" applyAlignment="1">
      <alignment horizontal="center" vertical="center"/>
    </xf>
    <xf numFmtId="178" fontId="22" fillId="2" borderId="9" xfId="1" applyNumberFormat="1" applyFont="1" applyFill="1" applyBorder="1" applyAlignment="1">
      <alignment horizontal="right" vertical="center"/>
    </xf>
    <xf numFmtId="0" fontId="21" fillId="0" borderId="6" xfId="0" applyFont="1" applyBorder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179" fontId="22" fillId="2" borderId="5" xfId="1" applyNumberFormat="1" applyFont="1" applyFill="1" applyBorder="1" applyAlignment="1">
      <alignment horizontal="center" vertical="center"/>
    </xf>
    <xf numFmtId="178" fontId="22" fillId="2" borderId="5" xfId="1" applyNumberFormat="1" applyFont="1" applyFill="1" applyBorder="1" applyAlignment="1">
      <alignment horizontal="right" vertical="center"/>
    </xf>
    <xf numFmtId="178" fontId="22" fillId="2" borderId="5" xfId="0" applyNumberFormat="1" applyFont="1" applyFill="1" applyBorder="1" applyAlignment="1">
      <alignment horizontal="right" vertical="center"/>
    </xf>
    <xf numFmtId="178" fontId="2" fillId="0" borderId="5" xfId="1" applyNumberFormat="1" applyFont="1" applyBorder="1" applyAlignment="1">
      <alignment vertical="center"/>
    </xf>
    <xf numFmtId="179" fontId="22" fillId="2" borderId="8" xfId="1" applyNumberFormat="1" applyFont="1" applyFill="1" applyBorder="1" applyAlignment="1">
      <alignment horizontal="center" vertical="center"/>
    </xf>
    <xf numFmtId="178" fontId="22" fillId="2" borderId="6" xfId="1" applyNumberFormat="1" applyFont="1" applyFill="1" applyBorder="1" applyAlignment="1">
      <alignment horizontal="right" vertical="center"/>
    </xf>
    <xf numFmtId="178" fontId="22" fillId="2" borderId="8" xfId="1" applyNumberFormat="1" applyFont="1" applyFill="1" applyBorder="1" applyAlignment="1">
      <alignment horizontal="right" vertical="center"/>
    </xf>
    <xf numFmtId="178" fontId="22" fillId="2" borderId="8" xfId="0" applyNumberFormat="1" applyFont="1" applyFill="1" applyBorder="1" applyAlignment="1">
      <alignment horizontal="right" vertical="center"/>
    </xf>
    <xf numFmtId="0" fontId="4" fillId="4" borderId="9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180" fontId="4" fillId="4" borderId="8" xfId="2" applyNumberFormat="1" applyFont="1" applyFill="1" applyBorder="1" applyAlignment="1">
      <alignment horizontal="center" vertical="center" wrapText="1"/>
    </xf>
    <xf numFmtId="180" fontId="4" fillId="4" borderId="6" xfId="2" applyNumberFormat="1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178" fontId="4" fillId="0" borderId="5" xfId="1" applyNumberFormat="1" applyFont="1" applyBorder="1" applyAlignment="1">
      <alignment vertical="center"/>
    </xf>
    <xf numFmtId="178" fontId="2" fillId="3" borderId="5" xfId="1" applyNumberFormat="1" applyFont="1" applyFill="1" applyBorder="1" applyAlignment="1">
      <alignment vertical="center"/>
    </xf>
    <xf numFmtId="177" fontId="2" fillId="0" borderId="0" xfId="0" applyNumberFormat="1" applyFont="1"/>
    <xf numFmtId="41" fontId="2" fillId="0" borderId="13" xfId="0" applyNumberFormat="1" applyFont="1" applyBorder="1" applyAlignment="1">
      <alignment horizontal="center" vertical="center"/>
    </xf>
    <xf numFmtId="41" fontId="2" fillId="0" borderId="8" xfId="0" applyNumberFormat="1" applyFont="1" applyBorder="1" applyAlignment="1">
      <alignment horizontal="center" vertical="center"/>
    </xf>
    <xf numFmtId="178" fontId="2" fillId="3" borderId="9" xfId="1" applyNumberFormat="1" applyFont="1" applyFill="1" applyBorder="1" applyAlignment="1">
      <alignment vertical="center"/>
    </xf>
    <xf numFmtId="188" fontId="2" fillId="0" borderId="0" xfId="0" applyNumberFormat="1" applyFont="1"/>
    <xf numFmtId="3" fontId="2" fillId="0" borderId="9" xfId="0" applyNumberFormat="1" applyFont="1" applyBorder="1" applyAlignment="1">
      <alignment horizontal="center" vertical="center"/>
    </xf>
    <xf numFmtId="3" fontId="2" fillId="3" borderId="9" xfId="0" applyNumberFormat="1" applyFont="1" applyFill="1" applyBorder="1" applyAlignment="1">
      <alignment horizontal="center" vertical="center"/>
    </xf>
    <xf numFmtId="178" fontId="2" fillId="0" borderId="10" xfId="1" applyNumberFormat="1" applyFont="1" applyBorder="1" applyAlignment="1">
      <alignment vertical="center"/>
    </xf>
    <xf numFmtId="178" fontId="2" fillId="0" borderId="20" xfId="1" applyNumberFormat="1" applyFont="1" applyBorder="1" applyAlignment="1">
      <alignment vertical="center"/>
    </xf>
    <xf numFmtId="178" fontId="2" fillId="0" borderId="21" xfId="1" applyNumberFormat="1" applyFont="1" applyBorder="1" applyAlignment="1">
      <alignment vertical="center"/>
    </xf>
    <xf numFmtId="178" fontId="2" fillId="0" borderId="13" xfId="1" applyNumberFormat="1" applyFont="1" applyBorder="1" applyAlignment="1">
      <alignment vertical="center"/>
    </xf>
    <xf numFmtId="3" fontId="2" fillId="3" borderId="13" xfId="0" applyNumberFormat="1" applyFont="1" applyFill="1" applyBorder="1" applyAlignment="1">
      <alignment horizontal="center" vertical="center"/>
    </xf>
    <xf numFmtId="3" fontId="2" fillId="3" borderId="8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4" borderId="17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55">
    <cellStyle name="Comma 2" xfId="3" xr:uid="{00000000-0005-0000-0000-000001000000}"/>
    <cellStyle name="Comma 2 2" xfId="4" xr:uid="{00000000-0005-0000-0000-000002000000}"/>
    <cellStyle name="Comma 3" xfId="5" xr:uid="{00000000-0005-0000-0000-000003000000}"/>
    <cellStyle name="Comma 4" xfId="6" xr:uid="{00000000-0005-0000-0000-000004000000}"/>
    <cellStyle name="Comma 5" xfId="7" xr:uid="{00000000-0005-0000-0000-000005000000}"/>
    <cellStyle name="Comma 5 2" xfId="8" xr:uid="{00000000-0005-0000-0000-000006000000}"/>
    <cellStyle name="Header1" xfId="9" xr:uid="{00000000-0005-0000-0000-000007000000}"/>
    <cellStyle name="Header2" xfId="10" xr:uid="{00000000-0005-0000-0000-000008000000}"/>
    <cellStyle name="Normal 10" xfId="11" xr:uid="{00000000-0005-0000-0000-00000A000000}"/>
    <cellStyle name="Normal 11" xfId="12" xr:uid="{00000000-0005-0000-0000-00000B000000}"/>
    <cellStyle name="Normal 13 3 2" xfId="13" xr:uid="{00000000-0005-0000-0000-00000C000000}"/>
    <cellStyle name="Normal 15" xfId="14" xr:uid="{00000000-0005-0000-0000-00000D000000}"/>
    <cellStyle name="Normal 15 3" xfId="15" xr:uid="{00000000-0005-0000-0000-00000E000000}"/>
    <cellStyle name="Normal 16" xfId="16" xr:uid="{00000000-0005-0000-0000-00000F000000}"/>
    <cellStyle name="Normal 2" xfId="17" xr:uid="{00000000-0005-0000-0000-000010000000}"/>
    <cellStyle name="Normal 2 2" xfId="18" xr:uid="{00000000-0005-0000-0000-000011000000}"/>
    <cellStyle name="Normal 2 3 2" xfId="19" xr:uid="{00000000-0005-0000-0000-000012000000}"/>
    <cellStyle name="Normal 2 4" xfId="20" xr:uid="{00000000-0005-0000-0000-000013000000}"/>
    <cellStyle name="Normal 2 5" xfId="21" xr:uid="{00000000-0005-0000-0000-000014000000}"/>
    <cellStyle name="Normal 21" xfId="22" xr:uid="{00000000-0005-0000-0000-000015000000}"/>
    <cellStyle name="Normal 23" xfId="23" xr:uid="{00000000-0005-0000-0000-000016000000}"/>
    <cellStyle name="Normal 29" xfId="24" xr:uid="{00000000-0005-0000-0000-000017000000}"/>
    <cellStyle name="Normal 3" xfId="25" xr:uid="{00000000-0005-0000-0000-000018000000}"/>
    <cellStyle name="Normal 3 2" xfId="26" xr:uid="{00000000-0005-0000-0000-000019000000}"/>
    <cellStyle name="Normal 30" xfId="27" xr:uid="{00000000-0005-0000-0000-00001A000000}"/>
    <cellStyle name="Normal 4" xfId="28" xr:uid="{00000000-0005-0000-0000-00001B000000}"/>
    <cellStyle name="Normal 4 2" xfId="29" xr:uid="{00000000-0005-0000-0000-00001C000000}"/>
    <cellStyle name="Normal 4 2 2" xfId="30" xr:uid="{00000000-0005-0000-0000-00001D000000}"/>
    <cellStyle name="Normal 4 3" xfId="31" xr:uid="{00000000-0005-0000-0000-00001E000000}"/>
    <cellStyle name="Normal 4 4" xfId="32" xr:uid="{00000000-0005-0000-0000-00001F000000}"/>
    <cellStyle name="Normal 5" xfId="33" xr:uid="{00000000-0005-0000-0000-000020000000}"/>
    <cellStyle name="Normal 5 2 2" xfId="34" xr:uid="{00000000-0005-0000-0000-000021000000}"/>
    <cellStyle name="Normal 6" xfId="35" xr:uid="{00000000-0005-0000-0000-000022000000}"/>
    <cellStyle name="Normal 6 2 2" xfId="36" xr:uid="{00000000-0005-0000-0000-000023000000}"/>
    <cellStyle name="Normal 8" xfId="37" xr:uid="{00000000-0005-0000-0000-000024000000}"/>
    <cellStyle name="Normal 9" xfId="38" xr:uid="{00000000-0005-0000-0000-000025000000}"/>
    <cellStyle name="Percent 2" xfId="39" xr:uid="{00000000-0005-0000-0000-000027000000}"/>
    <cellStyle name="Percent 3" xfId="40" xr:uid="{00000000-0005-0000-0000-000028000000}"/>
    <cellStyle name="Percent 3 2" xfId="41" xr:uid="{00000000-0005-0000-0000-000029000000}"/>
    <cellStyle name="똿뗦먛귟 [0.00]_PRODUCT DETAIL Q1" xfId="42" xr:uid="{00000000-0005-0000-0000-00002A000000}"/>
    <cellStyle name="똿뗦먛귟_PRODUCT DETAIL Q1" xfId="43" xr:uid="{00000000-0005-0000-0000-00002B000000}"/>
    <cellStyle name="믅됞 [0.00]_PRODUCT DETAIL Q1" xfId="44" xr:uid="{00000000-0005-0000-0000-00002C000000}"/>
    <cellStyle name="믅됞_PRODUCT DETAIL Q1" xfId="45" xr:uid="{00000000-0005-0000-0000-00002D000000}"/>
    <cellStyle name="백분율" xfId="2" builtinId="5"/>
    <cellStyle name="뷭?_BOOKSHIP" xfId="46" xr:uid="{00000000-0005-0000-0000-00002F000000}"/>
    <cellStyle name="쉼표" xfId="1" builtinId="3"/>
    <cellStyle name="一般_Book1" xfId="50" xr:uid="{00000000-0005-0000-0000-000036000000}"/>
    <cellStyle name="千分位[0]_Book1" xfId="51" xr:uid="{00000000-0005-0000-0000-000037000000}"/>
    <cellStyle name="千分位_Book1" xfId="52" xr:uid="{00000000-0005-0000-0000-000038000000}"/>
    <cellStyle name="콤마 [0]_1202" xfId="47" xr:uid="{00000000-0005-0000-0000-000030000000}"/>
    <cellStyle name="콤마_1202" xfId="48" xr:uid="{00000000-0005-0000-0000-000031000000}"/>
    <cellStyle name="표준" xfId="0" builtinId="0"/>
    <cellStyle name="표준 2" xfId="49" xr:uid="{00000000-0005-0000-0000-000034000000}"/>
    <cellStyle name="貨幣 [0]_Book1" xfId="53" xr:uid="{00000000-0005-0000-0000-000039000000}"/>
    <cellStyle name="貨幣_Book1" xfId="54" xr:uid="{00000000-0005-0000-0000-00003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2"/>
  <sheetViews>
    <sheetView zoomScaleNormal="100" workbookViewId="0">
      <pane xSplit="2" ySplit="3" topLeftCell="C4" activePane="bottomRight" state="frozen"/>
      <selection activeCell="Y1272" sqref="Y1272"/>
      <selection pane="topRight" activeCell="Y1272" sqref="Y1272"/>
      <selection pane="bottomLeft" activeCell="Y1272" sqref="Y1272"/>
      <selection pane="bottomRight" activeCell="J3" sqref="J3"/>
    </sheetView>
  </sheetViews>
  <sheetFormatPr defaultColWidth="9.125" defaultRowHeight="15"/>
  <cols>
    <col min="1" max="1" width="3.875" style="1" customWidth="1"/>
    <col min="2" max="2" width="20.25" style="4" customWidth="1"/>
    <col min="3" max="3" width="7.125" style="4" customWidth="1"/>
    <col min="4" max="4" width="5.875" style="4" customWidth="1"/>
    <col min="5" max="5" width="9.625" style="4" hidden="1" customWidth="1"/>
    <col min="6" max="7" width="10.875" style="4" customWidth="1"/>
    <col min="8" max="8" width="10.875" style="22" hidden="1" customWidth="1"/>
    <col min="9" max="10" width="10.875" style="4" customWidth="1"/>
    <col min="11" max="11" width="10.875" style="4" hidden="1" customWidth="1"/>
    <col min="12" max="12" width="10.125" style="4" customWidth="1"/>
    <col min="13" max="13" width="10.875" style="4" customWidth="1"/>
    <col min="14" max="14" width="10.875" style="4" hidden="1" customWidth="1"/>
    <col min="15" max="16" width="10.875" style="4" customWidth="1"/>
    <col min="17" max="17" width="10.875" style="4" hidden="1" customWidth="1"/>
    <col min="18" max="19" width="10.875" style="4" customWidth="1"/>
    <col min="20" max="20" width="10.875" style="4" hidden="1" customWidth="1"/>
    <col min="21" max="21" width="10.125" style="4" customWidth="1"/>
    <col min="22" max="22" width="10.875" style="4" customWidth="1"/>
    <col min="23" max="23" width="10.875" style="4" hidden="1" customWidth="1"/>
    <col min="24" max="24" width="12" style="4" customWidth="1"/>
    <col min="25" max="25" width="10.875" style="21" customWidth="1"/>
    <col min="26" max="26" width="10.875" style="4" hidden="1" customWidth="1"/>
    <col min="27" max="29" width="9.125" style="4" customWidth="1"/>
    <col min="30" max="16384" width="9.125" style="4"/>
  </cols>
  <sheetData>
    <row r="1" spans="1:28" ht="41.25" customHeight="1" thickBot="1">
      <c r="B1" s="2" t="s">
        <v>44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  <c r="Y1" s="2"/>
      <c r="Z1" s="2"/>
      <c r="AB1" s="5"/>
    </row>
    <row r="2" spans="1:28" ht="43.5" customHeight="1" thickTop="1" thickBot="1">
      <c r="C2" s="94" t="s">
        <v>54</v>
      </c>
      <c r="D2" s="95"/>
      <c r="E2" s="96"/>
      <c r="F2" s="94" t="s">
        <v>55</v>
      </c>
      <c r="G2" s="95"/>
      <c r="H2" s="96"/>
      <c r="I2" s="94" t="s">
        <v>56</v>
      </c>
      <c r="J2" s="97"/>
      <c r="K2" s="98"/>
      <c r="L2" s="94" t="s">
        <v>41</v>
      </c>
      <c r="M2" s="97"/>
      <c r="N2" s="97"/>
      <c r="O2" s="94" t="s">
        <v>45</v>
      </c>
      <c r="P2" s="97"/>
      <c r="Q2" s="98"/>
      <c r="R2" s="94" t="s">
        <v>46</v>
      </c>
      <c r="S2" s="97"/>
      <c r="T2" s="98"/>
      <c r="U2" s="94" t="s">
        <v>48</v>
      </c>
      <c r="V2" s="97"/>
      <c r="W2" s="97"/>
      <c r="X2" s="93" t="s">
        <v>52</v>
      </c>
      <c r="Y2" s="93"/>
      <c r="Z2" s="93"/>
    </row>
    <row r="3" spans="1:28" ht="86.25" thickTop="1">
      <c r="A3" s="49" t="s">
        <v>0</v>
      </c>
      <c r="B3" s="48" t="s">
        <v>1</v>
      </c>
      <c r="C3" s="37" t="s">
        <v>2</v>
      </c>
      <c r="D3" s="38" t="s">
        <v>3</v>
      </c>
      <c r="E3" s="39" t="s">
        <v>38</v>
      </c>
      <c r="F3" s="40" t="s">
        <v>2</v>
      </c>
      <c r="G3" s="41" t="s">
        <v>3</v>
      </c>
      <c r="H3" s="39" t="s">
        <v>39</v>
      </c>
      <c r="I3" s="40" t="s">
        <v>2</v>
      </c>
      <c r="J3" s="41" t="s">
        <v>3</v>
      </c>
      <c r="K3" s="39" t="s">
        <v>40</v>
      </c>
      <c r="L3" s="40" t="s">
        <v>2</v>
      </c>
      <c r="M3" s="41" t="s">
        <v>3</v>
      </c>
      <c r="N3" s="38" t="s">
        <v>42</v>
      </c>
      <c r="O3" s="42" t="s">
        <v>2</v>
      </c>
      <c r="P3" s="38" t="s">
        <v>3</v>
      </c>
      <c r="Q3" s="38" t="s">
        <v>43</v>
      </c>
      <c r="R3" s="43" t="s">
        <v>2</v>
      </c>
      <c r="S3" s="44" t="s">
        <v>3</v>
      </c>
      <c r="T3" s="39" t="s">
        <v>47</v>
      </c>
      <c r="U3" s="40" t="s">
        <v>2</v>
      </c>
      <c r="V3" s="41" t="s">
        <v>3</v>
      </c>
      <c r="W3" s="39" t="s">
        <v>53</v>
      </c>
      <c r="X3" s="45" t="s">
        <v>49</v>
      </c>
      <c r="Y3" s="46" t="s">
        <v>50</v>
      </c>
      <c r="Z3" s="47" t="s">
        <v>51</v>
      </c>
    </row>
    <row r="4" spans="1:28" s="13" customFormat="1" ht="33" customHeight="1">
      <c r="A4" s="6">
        <v>1</v>
      </c>
      <c r="B4" s="7" t="s">
        <v>4</v>
      </c>
      <c r="C4" s="26">
        <v>103</v>
      </c>
      <c r="D4" s="6">
        <v>1</v>
      </c>
      <c r="E4" s="50">
        <f>C4/D4</f>
        <v>103</v>
      </c>
      <c r="F4" s="6">
        <v>44</v>
      </c>
      <c r="G4" s="6">
        <v>1</v>
      </c>
      <c r="H4" s="51">
        <f t="shared" ref="H4:H36" si="0">F4/G4</f>
        <v>44</v>
      </c>
      <c r="I4" s="6">
        <v>24</v>
      </c>
      <c r="J4" s="6">
        <v>1</v>
      </c>
      <c r="K4" s="52">
        <f t="shared" ref="K4:K36" si="1">I4/J4</f>
        <v>24</v>
      </c>
      <c r="L4" s="6">
        <v>105</v>
      </c>
      <c r="M4" s="6">
        <v>1</v>
      </c>
      <c r="N4" s="9">
        <f t="shared" ref="N4:N36" si="2">L4/M4</f>
        <v>105</v>
      </c>
      <c r="O4" s="25">
        <v>78</v>
      </c>
      <c r="P4" s="25">
        <v>1</v>
      </c>
      <c r="Q4" s="25">
        <f>O4/P4</f>
        <v>78</v>
      </c>
      <c r="R4" s="29">
        <v>33</v>
      </c>
      <c r="S4" s="25">
        <v>1</v>
      </c>
      <c r="T4" s="9">
        <f>R4/S4</f>
        <v>33</v>
      </c>
      <c r="U4" s="11">
        <v>71</v>
      </c>
      <c r="V4" s="10">
        <v>1</v>
      </c>
      <c r="W4" s="8">
        <f t="shared" ref="W4:W36" si="3">U4/V4</f>
        <v>71</v>
      </c>
      <c r="X4" s="11">
        <f>C4+F4+I4+L4+O4+R4+U4</f>
        <v>458</v>
      </c>
      <c r="Y4" s="10">
        <f>AVERAGEA(D4,G4,J4,M4,P4,S4,V4)</f>
        <v>1</v>
      </c>
      <c r="Z4" s="12">
        <f>X4/Y4</f>
        <v>458</v>
      </c>
      <c r="AB4" s="4"/>
    </row>
    <row r="5" spans="1:28" s="13" customFormat="1" ht="33" customHeight="1">
      <c r="A5" s="6">
        <v>2</v>
      </c>
      <c r="B5" s="7" t="s">
        <v>5</v>
      </c>
      <c r="C5" s="26">
        <v>8141</v>
      </c>
      <c r="D5" s="6">
        <v>81</v>
      </c>
      <c r="E5" s="50">
        <f t="shared" ref="E5:E36" si="4">C5/D5</f>
        <v>100.50617283950618</v>
      </c>
      <c r="F5" s="6">
        <v>2238</v>
      </c>
      <c r="G5" s="6">
        <v>64</v>
      </c>
      <c r="H5" s="51">
        <f t="shared" si="0"/>
        <v>34.96875</v>
      </c>
      <c r="I5" s="6">
        <v>1789.5</v>
      </c>
      <c r="J5" s="6">
        <v>52</v>
      </c>
      <c r="K5" s="52">
        <f t="shared" si="1"/>
        <v>34.41346153846154</v>
      </c>
      <c r="L5" s="6">
        <v>4536.5</v>
      </c>
      <c r="M5" s="6">
        <v>50</v>
      </c>
      <c r="N5" s="9">
        <f t="shared" si="2"/>
        <v>90.73</v>
      </c>
      <c r="O5" s="25">
        <v>3782</v>
      </c>
      <c r="P5" s="25">
        <v>50</v>
      </c>
      <c r="Q5" s="25">
        <f t="shared" ref="Q5:Q36" si="5">O5/P5</f>
        <v>75.64</v>
      </c>
      <c r="R5" s="29">
        <v>1937.5</v>
      </c>
      <c r="S5" s="25">
        <v>49</v>
      </c>
      <c r="T5" s="9">
        <f t="shared" ref="T5:T36" si="6">R5/S5</f>
        <v>39.54081632653061</v>
      </c>
      <c r="U5" s="11">
        <v>3717</v>
      </c>
      <c r="V5" s="10">
        <v>48</v>
      </c>
      <c r="W5" s="8">
        <f t="shared" si="3"/>
        <v>77.4375</v>
      </c>
      <c r="X5" s="11">
        <f t="shared" ref="X5:X36" si="7">C5+F5+I5+L5+O5+R5+U5</f>
        <v>26141.5</v>
      </c>
      <c r="Y5" s="10">
        <f t="shared" ref="Y5:Y36" si="8">AVERAGEA(D5,G5,J5,M5,P5,S5,V5)</f>
        <v>56.285714285714285</v>
      </c>
      <c r="Z5" s="12">
        <f t="shared" ref="Z5:Z36" si="9">X5/Y5</f>
        <v>464.44289340101523</v>
      </c>
      <c r="AB5" s="4"/>
    </row>
    <row r="6" spans="1:28" s="13" customFormat="1" ht="33" customHeight="1">
      <c r="A6" s="6">
        <v>3</v>
      </c>
      <c r="B6" s="7" t="s">
        <v>6</v>
      </c>
      <c r="C6" s="26">
        <v>5802.5</v>
      </c>
      <c r="D6" s="6">
        <v>66</v>
      </c>
      <c r="E6" s="50">
        <f t="shared" si="4"/>
        <v>87.916666666666671</v>
      </c>
      <c r="F6" s="6">
        <v>1471.5</v>
      </c>
      <c r="G6" s="6">
        <v>64</v>
      </c>
      <c r="H6" s="51">
        <f t="shared" si="0"/>
        <v>22.9921875</v>
      </c>
      <c r="I6" s="6">
        <v>1551</v>
      </c>
      <c r="J6" s="6">
        <v>46</v>
      </c>
      <c r="K6" s="52">
        <f t="shared" si="1"/>
        <v>33.717391304347828</v>
      </c>
      <c r="L6" s="6">
        <v>2565</v>
      </c>
      <c r="M6" s="6">
        <v>42</v>
      </c>
      <c r="N6" s="9">
        <f t="shared" si="2"/>
        <v>61.071428571428569</v>
      </c>
      <c r="O6" s="25">
        <v>1874</v>
      </c>
      <c r="P6" s="25">
        <v>42</v>
      </c>
      <c r="Q6" s="25">
        <f t="shared" si="5"/>
        <v>44.61904761904762</v>
      </c>
      <c r="R6" s="29">
        <v>1243.5</v>
      </c>
      <c r="S6" s="25">
        <v>40</v>
      </c>
      <c r="T6" s="9">
        <f t="shared" si="6"/>
        <v>31.087499999999999</v>
      </c>
      <c r="U6" s="11">
        <v>2688</v>
      </c>
      <c r="V6" s="10">
        <v>36</v>
      </c>
      <c r="W6" s="8">
        <f t="shared" si="3"/>
        <v>74.666666666666671</v>
      </c>
      <c r="X6" s="11">
        <f t="shared" si="7"/>
        <v>17195.5</v>
      </c>
      <c r="Y6" s="10">
        <f t="shared" si="8"/>
        <v>48</v>
      </c>
      <c r="Z6" s="12">
        <f t="shared" si="9"/>
        <v>358.23958333333331</v>
      </c>
      <c r="AB6" s="4"/>
    </row>
    <row r="7" spans="1:28" s="13" customFormat="1" ht="33" customHeight="1">
      <c r="A7" s="6">
        <v>4</v>
      </c>
      <c r="B7" s="7" t="s">
        <v>7</v>
      </c>
      <c r="C7" s="26">
        <v>2075</v>
      </c>
      <c r="D7" s="6">
        <v>23</v>
      </c>
      <c r="E7" s="50">
        <f t="shared" si="4"/>
        <v>90.217391304347828</v>
      </c>
      <c r="F7" s="6">
        <v>625.5</v>
      </c>
      <c r="G7" s="6">
        <v>22</v>
      </c>
      <c r="H7" s="51">
        <f t="shared" si="0"/>
        <v>28.431818181818183</v>
      </c>
      <c r="I7" s="6">
        <v>425</v>
      </c>
      <c r="J7" s="6">
        <v>20</v>
      </c>
      <c r="K7" s="52">
        <f t="shared" si="1"/>
        <v>21.25</v>
      </c>
      <c r="L7" s="6">
        <v>1849</v>
      </c>
      <c r="M7" s="6">
        <v>21</v>
      </c>
      <c r="N7" s="9">
        <f t="shared" si="2"/>
        <v>88.047619047619051</v>
      </c>
      <c r="O7" s="25">
        <v>1274.5</v>
      </c>
      <c r="P7" s="25">
        <v>20</v>
      </c>
      <c r="Q7" s="25">
        <f t="shared" si="5"/>
        <v>63.725000000000001</v>
      </c>
      <c r="R7" s="29">
        <v>586.5</v>
      </c>
      <c r="S7" s="25">
        <v>19</v>
      </c>
      <c r="T7" s="9">
        <f t="shared" si="6"/>
        <v>30.868421052631579</v>
      </c>
      <c r="U7" s="11">
        <v>1080</v>
      </c>
      <c r="V7" s="10">
        <v>18</v>
      </c>
      <c r="W7" s="8">
        <f t="shared" si="3"/>
        <v>60</v>
      </c>
      <c r="X7" s="11">
        <f t="shared" si="7"/>
        <v>7915.5</v>
      </c>
      <c r="Y7" s="10">
        <f t="shared" si="8"/>
        <v>20.428571428571427</v>
      </c>
      <c r="Z7" s="12">
        <f t="shared" si="9"/>
        <v>387.472027972028</v>
      </c>
      <c r="AB7" s="4"/>
    </row>
    <row r="8" spans="1:28" s="13" customFormat="1" ht="33" customHeight="1">
      <c r="A8" s="6">
        <v>5</v>
      </c>
      <c r="B8" s="7" t="s">
        <v>8</v>
      </c>
      <c r="C8" s="26">
        <v>1922.5</v>
      </c>
      <c r="D8" s="6">
        <v>21</v>
      </c>
      <c r="E8" s="50">
        <f t="shared" si="4"/>
        <v>91.547619047619051</v>
      </c>
      <c r="F8" s="6">
        <v>858.5</v>
      </c>
      <c r="G8" s="6">
        <v>22</v>
      </c>
      <c r="H8" s="51">
        <f t="shared" si="0"/>
        <v>39.022727272727273</v>
      </c>
      <c r="I8" s="6">
        <v>596.5</v>
      </c>
      <c r="J8" s="6">
        <v>22</v>
      </c>
      <c r="K8" s="52">
        <f t="shared" si="1"/>
        <v>27.113636363636363</v>
      </c>
      <c r="L8" s="6">
        <v>1905.5</v>
      </c>
      <c r="M8" s="6">
        <v>22</v>
      </c>
      <c r="N8" s="9">
        <f t="shared" si="2"/>
        <v>86.61363636363636</v>
      </c>
      <c r="O8" s="25">
        <v>1570</v>
      </c>
      <c r="P8" s="25">
        <v>22</v>
      </c>
      <c r="Q8" s="25">
        <f t="shared" si="5"/>
        <v>71.36363636363636</v>
      </c>
      <c r="R8" s="29">
        <v>1101.5</v>
      </c>
      <c r="S8" s="25">
        <v>20</v>
      </c>
      <c r="T8" s="9">
        <f t="shared" si="6"/>
        <v>55.075000000000003</v>
      </c>
      <c r="U8" s="11">
        <v>1367</v>
      </c>
      <c r="V8" s="10">
        <v>20</v>
      </c>
      <c r="W8" s="8">
        <f t="shared" si="3"/>
        <v>68.349999999999994</v>
      </c>
      <c r="X8" s="11">
        <f t="shared" si="7"/>
        <v>9321.5</v>
      </c>
      <c r="Y8" s="10">
        <f t="shared" si="8"/>
        <v>21.285714285714285</v>
      </c>
      <c r="Z8" s="12">
        <f t="shared" si="9"/>
        <v>437.92281879194633</v>
      </c>
      <c r="AB8" s="4"/>
    </row>
    <row r="9" spans="1:28" s="13" customFormat="1" ht="33" customHeight="1">
      <c r="A9" s="6">
        <v>6</v>
      </c>
      <c r="B9" s="7" t="s">
        <v>9</v>
      </c>
      <c r="C9" s="26">
        <v>1842.5</v>
      </c>
      <c r="D9" s="6">
        <v>20</v>
      </c>
      <c r="E9" s="50">
        <f t="shared" si="4"/>
        <v>92.125</v>
      </c>
      <c r="F9" s="6">
        <v>491</v>
      </c>
      <c r="G9" s="6">
        <v>19</v>
      </c>
      <c r="H9" s="51">
        <f t="shared" si="0"/>
        <v>25.842105263157894</v>
      </c>
      <c r="I9" s="6">
        <v>393.5</v>
      </c>
      <c r="J9" s="6">
        <v>18</v>
      </c>
      <c r="K9" s="52">
        <f t="shared" si="1"/>
        <v>21.861111111111111</v>
      </c>
      <c r="L9" s="6">
        <v>1028.5</v>
      </c>
      <c r="M9" s="6">
        <v>16</v>
      </c>
      <c r="N9" s="9">
        <f t="shared" si="2"/>
        <v>64.28125</v>
      </c>
      <c r="O9" s="25">
        <v>710</v>
      </c>
      <c r="P9" s="25">
        <v>16</v>
      </c>
      <c r="Q9" s="25">
        <f t="shared" si="5"/>
        <v>44.375</v>
      </c>
      <c r="R9" s="29">
        <v>213.5</v>
      </c>
      <c r="S9" s="25">
        <v>16</v>
      </c>
      <c r="T9" s="9">
        <f t="shared" si="6"/>
        <v>13.34375</v>
      </c>
      <c r="U9" s="11">
        <v>785</v>
      </c>
      <c r="V9" s="10">
        <v>15</v>
      </c>
      <c r="W9" s="8">
        <f t="shared" si="3"/>
        <v>52.333333333333336</v>
      </c>
      <c r="X9" s="11">
        <f t="shared" si="7"/>
        <v>5464</v>
      </c>
      <c r="Y9" s="10">
        <f t="shared" si="8"/>
        <v>17.142857142857142</v>
      </c>
      <c r="Z9" s="12">
        <f t="shared" si="9"/>
        <v>318.73333333333335</v>
      </c>
      <c r="AB9" s="4"/>
    </row>
    <row r="10" spans="1:28" s="13" customFormat="1" ht="33" customHeight="1">
      <c r="A10" s="6">
        <v>7</v>
      </c>
      <c r="B10" s="7" t="s">
        <v>10</v>
      </c>
      <c r="C10" s="26">
        <v>1371.5</v>
      </c>
      <c r="D10" s="6">
        <v>19</v>
      </c>
      <c r="E10" s="50">
        <f t="shared" si="4"/>
        <v>72.184210526315795</v>
      </c>
      <c r="F10" s="6">
        <v>662</v>
      </c>
      <c r="G10" s="6">
        <v>19</v>
      </c>
      <c r="H10" s="51">
        <f t="shared" si="0"/>
        <v>34.842105263157897</v>
      </c>
      <c r="I10" s="6">
        <v>390</v>
      </c>
      <c r="J10" s="6">
        <v>19</v>
      </c>
      <c r="K10" s="52">
        <f t="shared" si="1"/>
        <v>20.526315789473685</v>
      </c>
      <c r="L10" s="6">
        <v>1402</v>
      </c>
      <c r="M10" s="6">
        <v>18</v>
      </c>
      <c r="N10" s="9">
        <f t="shared" si="2"/>
        <v>77.888888888888886</v>
      </c>
      <c r="O10" s="25">
        <v>1256</v>
      </c>
      <c r="P10" s="25">
        <v>19</v>
      </c>
      <c r="Q10" s="25">
        <f t="shared" si="5"/>
        <v>66.10526315789474</v>
      </c>
      <c r="R10" s="29">
        <v>788.5</v>
      </c>
      <c r="S10" s="25">
        <v>19</v>
      </c>
      <c r="T10" s="9">
        <f t="shared" si="6"/>
        <v>41.5</v>
      </c>
      <c r="U10" s="11">
        <v>1108.5</v>
      </c>
      <c r="V10" s="10">
        <v>19</v>
      </c>
      <c r="W10" s="8">
        <f t="shared" si="3"/>
        <v>58.342105263157897</v>
      </c>
      <c r="X10" s="11">
        <f t="shared" si="7"/>
        <v>6978.5</v>
      </c>
      <c r="Y10" s="10">
        <f t="shared" si="8"/>
        <v>18.857142857142858</v>
      </c>
      <c r="Z10" s="12">
        <f t="shared" si="9"/>
        <v>370.07196969696969</v>
      </c>
      <c r="AB10" s="4"/>
    </row>
    <row r="11" spans="1:28" s="13" customFormat="1" ht="33" customHeight="1">
      <c r="A11" s="6">
        <v>8</v>
      </c>
      <c r="B11" s="7" t="s">
        <v>11</v>
      </c>
      <c r="C11" s="26">
        <v>2164.5</v>
      </c>
      <c r="D11" s="6">
        <v>22</v>
      </c>
      <c r="E11" s="50">
        <f t="shared" si="4"/>
        <v>98.38636363636364</v>
      </c>
      <c r="F11" s="6">
        <v>668</v>
      </c>
      <c r="G11" s="6">
        <v>22</v>
      </c>
      <c r="H11" s="51">
        <f t="shared" si="0"/>
        <v>30.363636363636363</v>
      </c>
      <c r="I11" s="6">
        <v>382.5</v>
      </c>
      <c r="J11" s="6">
        <v>20</v>
      </c>
      <c r="K11" s="52">
        <f t="shared" si="1"/>
        <v>19.125</v>
      </c>
      <c r="L11" s="6">
        <v>2012.5</v>
      </c>
      <c r="M11" s="6">
        <v>25</v>
      </c>
      <c r="N11" s="9">
        <f t="shared" si="2"/>
        <v>80.5</v>
      </c>
      <c r="O11" s="25">
        <v>1349.5</v>
      </c>
      <c r="P11" s="25">
        <v>24</v>
      </c>
      <c r="Q11" s="25">
        <f t="shared" si="5"/>
        <v>56.229166666666664</v>
      </c>
      <c r="R11" s="29">
        <v>900</v>
      </c>
      <c r="S11" s="25">
        <v>23</v>
      </c>
      <c r="T11" s="9">
        <f t="shared" si="6"/>
        <v>39.130434782608695</v>
      </c>
      <c r="U11" s="11">
        <v>1327</v>
      </c>
      <c r="V11" s="10">
        <v>23</v>
      </c>
      <c r="W11" s="8">
        <f t="shared" si="3"/>
        <v>57.695652173913047</v>
      </c>
      <c r="X11" s="11">
        <f t="shared" si="7"/>
        <v>8804</v>
      </c>
      <c r="Y11" s="10">
        <f t="shared" si="8"/>
        <v>22.714285714285715</v>
      </c>
      <c r="Z11" s="12">
        <f t="shared" si="9"/>
        <v>387.59748427672952</v>
      </c>
      <c r="AB11" s="4"/>
    </row>
    <row r="12" spans="1:28" s="13" customFormat="1" ht="33" customHeight="1">
      <c r="A12" s="6">
        <v>9</v>
      </c>
      <c r="B12" s="7" t="s">
        <v>12</v>
      </c>
      <c r="C12" s="26">
        <v>17630.5</v>
      </c>
      <c r="D12" s="6">
        <v>195</v>
      </c>
      <c r="E12" s="50">
        <f t="shared" si="4"/>
        <v>90.412820512820517</v>
      </c>
      <c r="F12" s="6">
        <v>11280</v>
      </c>
      <c r="G12" s="6">
        <v>203</v>
      </c>
      <c r="H12" s="51">
        <f t="shared" si="0"/>
        <v>55.566502463054185</v>
      </c>
      <c r="I12" s="6">
        <v>10590.5</v>
      </c>
      <c r="J12" s="6">
        <v>200</v>
      </c>
      <c r="K12" s="52">
        <f t="shared" si="1"/>
        <v>52.952500000000001</v>
      </c>
      <c r="L12" s="6">
        <v>17313</v>
      </c>
      <c r="M12" s="6">
        <v>258</v>
      </c>
      <c r="N12" s="9">
        <f t="shared" si="2"/>
        <v>67.104651162790702</v>
      </c>
      <c r="O12" s="25">
        <v>15812.5</v>
      </c>
      <c r="P12" s="25">
        <v>247</v>
      </c>
      <c r="Q12" s="25">
        <f t="shared" si="5"/>
        <v>64.018218623481786</v>
      </c>
      <c r="R12" s="29">
        <v>12966.5</v>
      </c>
      <c r="S12" s="25">
        <v>227</v>
      </c>
      <c r="T12" s="9">
        <f t="shared" si="6"/>
        <v>57.121145374449341</v>
      </c>
      <c r="U12" s="11">
        <v>14537.5</v>
      </c>
      <c r="V12" s="10">
        <v>244</v>
      </c>
      <c r="W12" s="8">
        <f t="shared" si="3"/>
        <v>59.579918032786885</v>
      </c>
      <c r="X12" s="11">
        <f t="shared" si="7"/>
        <v>100130.5</v>
      </c>
      <c r="Y12" s="10">
        <f t="shared" si="8"/>
        <v>224.85714285714286</v>
      </c>
      <c r="Z12" s="12">
        <f t="shared" si="9"/>
        <v>445.30717916137229</v>
      </c>
      <c r="AB12" s="4"/>
    </row>
    <row r="13" spans="1:28" s="13" customFormat="1" ht="33" customHeight="1">
      <c r="A13" s="6">
        <v>10</v>
      </c>
      <c r="B13" s="7" t="s">
        <v>13</v>
      </c>
      <c r="C13" s="26">
        <v>486</v>
      </c>
      <c r="D13" s="6">
        <v>5</v>
      </c>
      <c r="E13" s="50">
        <f t="shared" si="4"/>
        <v>97.2</v>
      </c>
      <c r="F13" s="6">
        <v>189</v>
      </c>
      <c r="G13" s="6">
        <v>5</v>
      </c>
      <c r="H13" s="51">
        <f t="shared" si="0"/>
        <v>37.799999999999997</v>
      </c>
      <c r="I13" s="6">
        <v>126</v>
      </c>
      <c r="J13" s="6">
        <v>5</v>
      </c>
      <c r="K13" s="52">
        <f t="shared" si="1"/>
        <v>25.2</v>
      </c>
      <c r="L13" s="6">
        <v>309</v>
      </c>
      <c r="M13" s="6">
        <v>5</v>
      </c>
      <c r="N13" s="9">
        <f t="shared" si="2"/>
        <v>61.8</v>
      </c>
      <c r="O13" s="25">
        <v>231</v>
      </c>
      <c r="P13" s="25">
        <v>6</v>
      </c>
      <c r="Q13" s="25">
        <f t="shared" si="5"/>
        <v>38.5</v>
      </c>
      <c r="R13" s="29">
        <v>65</v>
      </c>
      <c r="S13" s="25">
        <v>6</v>
      </c>
      <c r="T13" s="9">
        <f t="shared" si="6"/>
        <v>10.833333333333334</v>
      </c>
      <c r="U13" s="11">
        <v>262</v>
      </c>
      <c r="V13" s="10">
        <v>6</v>
      </c>
      <c r="W13" s="8">
        <f t="shared" si="3"/>
        <v>43.666666666666664</v>
      </c>
      <c r="X13" s="11">
        <f t="shared" si="7"/>
        <v>1668</v>
      </c>
      <c r="Y13" s="10">
        <f t="shared" si="8"/>
        <v>5.4285714285714288</v>
      </c>
      <c r="Z13" s="12">
        <f t="shared" si="9"/>
        <v>307.26315789473682</v>
      </c>
      <c r="AB13" s="4"/>
    </row>
    <row r="14" spans="1:28" s="13" customFormat="1" ht="33" customHeight="1">
      <c r="A14" s="6">
        <v>11</v>
      </c>
      <c r="B14" s="7" t="s">
        <v>14</v>
      </c>
      <c r="C14" s="26">
        <v>2500</v>
      </c>
      <c r="D14" s="6">
        <v>30</v>
      </c>
      <c r="E14" s="50">
        <f t="shared" si="4"/>
        <v>83.333333333333329</v>
      </c>
      <c r="F14" s="6">
        <v>1344.5</v>
      </c>
      <c r="G14" s="6">
        <v>28</v>
      </c>
      <c r="H14" s="51">
        <f t="shared" si="0"/>
        <v>48.017857142857146</v>
      </c>
      <c r="I14" s="6">
        <v>1223</v>
      </c>
      <c r="J14" s="6">
        <v>26</v>
      </c>
      <c r="K14" s="52">
        <f t="shared" si="1"/>
        <v>47.03846153846154</v>
      </c>
      <c r="L14" s="6">
        <v>2415</v>
      </c>
      <c r="M14" s="6">
        <v>29</v>
      </c>
      <c r="N14" s="9">
        <f t="shared" si="2"/>
        <v>83.275862068965523</v>
      </c>
      <c r="O14" s="25">
        <v>1986.5</v>
      </c>
      <c r="P14" s="25">
        <v>29</v>
      </c>
      <c r="Q14" s="25">
        <f t="shared" si="5"/>
        <v>68.5</v>
      </c>
      <c r="R14" s="29">
        <v>839</v>
      </c>
      <c r="S14" s="25">
        <v>28</v>
      </c>
      <c r="T14" s="9">
        <f t="shared" si="6"/>
        <v>29.964285714285715</v>
      </c>
      <c r="U14" s="11">
        <v>1550</v>
      </c>
      <c r="V14" s="10">
        <v>28</v>
      </c>
      <c r="W14" s="8">
        <f t="shared" si="3"/>
        <v>55.357142857142854</v>
      </c>
      <c r="X14" s="11">
        <f t="shared" si="7"/>
        <v>11858</v>
      </c>
      <c r="Y14" s="10">
        <f t="shared" si="8"/>
        <v>28.285714285714285</v>
      </c>
      <c r="Z14" s="12">
        <f t="shared" si="9"/>
        <v>419.22222222222223</v>
      </c>
      <c r="AB14" s="4"/>
    </row>
    <row r="15" spans="1:28" s="13" customFormat="1" ht="33" customHeight="1">
      <c r="A15" s="6">
        <v>12</v>
      </c>
      <c r="B15" s="7" t="s">
        <v>15</v>
      </c>
      <c r="C15" s="26">
        <v>9327.5</v>
      </c>
      <c r="D15" s="6">
        <v>91</v>
      </c>
      <c r="E15" s="50">
        <f t="shared" si="4"/>
        <v>102.5</v>
      </c>
      <c r="F15" s="6">
        <v>3437.5</v>
      </c>
      <c r="G15" s="6">
        <v>86</v>
      </c>
      <c r="H15" s="51">
        <f t="shared" si="0"/>
        <v>39.970930232558139</v>
      </c>
      <c r="I15" s="6">
        <v>1382</v>
      </c>
      <c r="J15" s="6">
        <v>66</v>
      </c>
      <c r="K15" s="52">
        <f t="shared" si="1"/>
        <v>20.939393939393938</v>
      </c>
      <c r="L15" s="6">
        <v>6938.5</v>
      </c>
      <c r="M15" s="6">
        <v>120</v>
      </c>
      <c r="N15" s="9">
        <f t="shared" si="2"/>
        <v>57.820833333333333</v>
      </c>
      <c r="O15" s="25">
        <v>8835.5</v>
      </c>
      <c r="P15" s="25">
        <v>113</v>
      </c>
      <c r="Q15" s="25">
        <f t="shared" si="5"/>
        <v>78.190265486725664</v>
      </c>
      <c r="R15" s="29">
        <v>3473.5</v>
      </c>
      <c r="S15" s="25">
        <v>89</v>
      </c>
      <c r="T15" s="9">
        <f t="shared" si="6"/>
        <v>39.028089887640448</v>
      </c>
      <c r="U15" s="11">
        <v>5951.5</v>
      </c>
      <c r="V15" s="10">
        <v>119</v>
      </c>
      <c r="W15" s="8">
        <f t="shared" si="3"/>
        <v>50.012605042016808</v>
      </c>
      <c r="X15" s="11">
        <f t="shared" si="7"/>
        <v>39346</v>
      </c>
      <c r="Y15" s="10">
        <f t="shared" si="8"/>
        <v>97.714285714285708</v>
      </c>
      <c r="Z15" s="12">
        <f t="shared" si="9"/>
        <v>402.66374269005848</v>
      </c>
      <c r="AB15" s="4"/>
    </row>
    <row r="16" spans="1:28" s="13" customFormat="1" ht="33" customHeight="1">
      <c r="A16" s="6">
        <v>13</v>
      </c>
      <c r="B16" s="7" t="s">
        <v>16</v>
      </c>
      <c r="C16" s="26">
        <v>9619</v>
      </c>
      <c r="D16" s="6">
        <v>97</v>
      </c>
      <c r="E16" s="50">
        <f t="shared" si="4"/>
        <v>99.164948453608247</v>
      </c>
      <c r="F16" s="6">
        <v>3482.5</v>
      </c>
      <c r="G16" s="6">
        <v>108</v>
      </c>
      <c r="H16" s="51">
        <f t="shared" si="0"/>
        <v>32.245370370370374</v>
      </c>
      <c r="I16" s="6">
        <v>2381</v>
      </c>
      <c r="J16" s="6">
        <v>94</v>
      </c>
      <c r="K16" s="52">
        <f t="shared" si="1"/>
        <v>25.329787234042552</v>
      </c>
      <c r="L16" s="6">
        <v>10872.5</v>
      </c>
      <c r="M16" s="6">
        <v>150</v>
      </c>
      <c r="N16" s="9">
        <f t="shared" si="2"/>
        <v>72.483333333333334</v>
      </c>
      <c r="O16" s="25">
        <v>8428</v>
      </c>
      <c r="P16" s="25">
        <v>151</v>
      </c>
      <c r="Q16" s="25">
        <f t="shared" si="5"/>
        <v>55.814569536423839</v>
      </c>
      <c r="R16" s="29">
        <v>3791</v>
      </c>
      <c r="S16" s="25">
        <v>123</v>
      </c>
      <c r="T16" s="9">
        <f t="shared" si="6"/>
        <v>30.821138211382113</v>
      </c>
      <c r="U16" s="11">
        <v>6764.5</v>
      </c>
      <c r="V16" s="10">
        <v>131</v>
      </c>
      <c r="W16" s="8">
        <f t="shared" si="3"/>
        <v>51.637404580152669</v>
      </c>
      <c r="X16" s="11">
        <f t="shared" si="7"/>
        <v>45338.5</v>
      </c>
      <c r="Y16" s="10">
        <f t="shared" si="8"/>
        <v>122</v>
      </c>
      <c r="Z16" s="12">
        <f t="shared" si="9"/>
        <v>371.62704918032784</v>
      </c>
      <c r="AB16" s="4"/>
    </row>
    <row r="17" spans="1:28" s="13" customFormat="1" ht="33" customHeight="1">
      <c r="A17" s="6">
        <v>14</v>
      </c>
      <c r="B17" s="7" t="s">
        <v>17</v>
      </c>
      <c r="C17" s="26">
        <v>3108</v>
      </c>
      <c r="D17" s="6">
        <v>37</v>
      </c>
      <c r="E17" s="50">
        <f t="shared" si="4"/>
        <v>84</v>
      </c>
      <c r="F17" s="6">
        <v>1339</v>
      </c>
      <c r="G17" s="6">
        <v>32</v>
      </c>
      <c r="H17" s="51">
        <f t="shared" si="0"/>
        <v>41.84375</v>
      </c>
      <c r="I17" s="6">
        <v>743</v>
      </c>
      <c r="J17" s="6">
        <v>32</v>
      </c>
      <c r="K17" s="52">
        <f t="shared" si="1"/>
        <v>23.21875</v>
      </c>
      <c r="L17" s="6">
        <v>2321</v>
      </c>
      <c r="M17" s="6">
        <v>31</v>
      </c>
      <c r="N17" s="9">
        <f t="shared" si="2"/>
        <v>74.870967741935488</v>
      </c>
      <c r="O17" s="25">
        <v>2096</v>
      </c>
      <c r="P17" s="25">
        <v>31</v>
      </c>
      <c r="Q17" s="25">
        <f t="shared" si="5"/>
        <v>67.612903225806448</v>
      </c>
      <c r="R17" s="29">
        <v>685</v>
      </c>
      <c r="S17" s="25">
        <v>29</v>
      </c>
      <c r="T17" s="9">
        <f t="shared" si="6"/>
        <v>23.620689655172413</v>
      </c>
      <c r="U17" s="11">
        <v>1560.5</v>
      </c>
      <c r="V17" s="10">
        <v>30</v>
      </c>
      <c r="W17" s="8">
        <f t="shared" si="3"/>
        <v>52.016666666666666</v>
      </c>
      <c r="X17" s="11">
        <f t="shared" si="7"/>
        <v>11852.5</v>
      </c>
      <c r="Y17" s="10">
        <f t="shared" si="8"/>
        <v>31.714285714285715</v>
      </c>
      <c r="Z17" s="12">
        <f t="shared" si="9"/>
        <v>373.72747747747746</v>
      </c>
      <c r="AB17" s="4"/>
    </row>
    <row r="18" spans="1:28" s="13" customFormat="1" ht="33" customHeight="1">
      <c r="A18" s="6">
        <v>15</v>
      </c>
      <c r="B18" s="7" t="s">
        <v>18</v>
      </c>
      <c r="C18" s="26">
        <v>5360</v>
      </c>
      <c r="D18" s="6">
        <v>52</v>
      </c>
      <c r="E18" s="50">
        <f t="shared" si="4"/>
        <v>103.07692307692308</v>
      </c>
      <c r="F18" s="6">
        <v>2334.5</v>
      </c>
      <c r="G18" s="6">
        <v>47</v>
      </c>
      <c r="H18" s="51">
        <f t="shared" si="0"/>
        <v>49.670212765957444</v>
      </c>
      <c r="I18" s="6">
        <v>1160</v>
      </c>
      <c r="J18" s="6">
        <v>31</v>
      </c>
      <c r="K18" s="52">
        <f t="shared" si="1"/>
        <v>37.41935483870968</v>
      </c>
      <c r="L18" s="6">
        <v>4286.5</v>
      </c>
      <c r="M18" s="6">
        <v>52</v>
      </c>
      <c r="N18" s="9">
        <f t="shared" si="2"/>
        <v>82.432692307692307</v>
      </c>
      <c r="O18" s="25">
        <v>3756</v>
      </c>
      <c r="P18" s="25">
        <v>49</v>
      </c>
      <c r="Q18" s="25">
        <f t="shared" si="5"/>
        <v>76.65306122448979</v>
      </c>
      <c r="R18" s="29">
        <v>2301.5</v>
      </c>
      <c r="S18" s="25">
        <v>42</v>
      </c>
      <c r="T18" s="9">
        <f t="shared" si="6"/>
        <v>54.797619047619051</v>
      </c>
      <c r="U18" s="11">
        <v>2887</v>
      </c>
      <c r="V18" s="10">
        <v>55</v>
      </c>
      <c r="W18" s="8">
        <f t="shared" si="3"/>
        <v>52.490909090909092</v>
      </c>
      <c r="X18" s="11">
        <f t="shared" si="7"/>
        <v>22085.5</v>
      </c>
      <c r="Y18" s="10">
        <f t="shared" si="8"/>
        <v>46.857142857142854</v>
      </c>
      <c r="Z18" s="12">
        <f t="shared" si="9"/>
        <v>471.33689024390247</v>
      </c>
      <c r="AB18" s="4"/>
    </row>
    <row r="19" spans="1:28" s="13" customFormat="1" ht="33" customHeight="1">
      <c r="A19" s="6">
        <v>16</v>
      </c>
      <c r="B19" s="7" t="s">
        <v>19</v>
      </c>
      <c r="C19" s="26">
        <v>931</v>
      </c>
      <c r="D19" s="6">
        <v>10</v>
      </c>
      <c r="E19" s="50">
        <f t="shared" si="4"/>
        <v>93.1</v>
      </c>
      <c r="F19" s="6">
        <v>351</v>
      </c>
      <c r="G19" s="6">
        <v>10</v>
      </c>
      <c r="H19" s="51">
        <f t="shared" si="0"/>
        <v>35.1</v>
      </c>
      <c r="I19" s="6">
        <v>154</v>
      </c>
      <c r="J19" s="6">
        <v>9</v>
      </c>
      <c r="K19" s="52">
        <f t="shared" si="1"/>
        <v>17.111111111111111</v>
      </c>
      <c r="L19" s="6">
        <v>915</v>
      </c>
      <c r="M19" s="6">
        <v>14</v>
      </c>
      <c r="N19" s="9">
        <f t="shared" si="2"/>
        <v>65.357142857142861</v>
      </c>
      <c r="O19" s="25">
        <v>505.5</v>
      </c>
      <c r="P19" s="25">
        <v>13</v>
      </c>
      <c r="Q19" s="25">
        <f t="shared" si="5"/>
        <v>38.884615384615387</v>
      </c>
      <c r="R19" s="29">
        <v>384.5</v>
      </c>
      <c r="S19" s="25">
        <v>12</v>
      </c>
      <c r="T19" s="9">
        <f t="shared" si="6"/>
        <v>32.041666666666664</v>
      </c>
      <c r="U19" s="11">
        <v>594</v>
      </c>
      <c r="V19" s="10">
        <v>10</v>
      </c>
      <c r="W19" s="8">
        <f t="shared" si="3"/>
        <v>59.4</v>
      </c>
      <c r="X19" s="11">
        <f t="shared" si="7"/>
        <v>3835</v>
      </c>
      <c r="Y19" s="10">
        <f t="shared" si="8"/>
        <v>11.142857142857142</v>
      </c>
      <c r="Z19" s="12">
        <f t="shared" si="9"/>
        <v>344.16666666666669</v>
      </c>
      <c r="AB19" s="4"/>
    </row>
    <row r="20" spans="1:28" s="13" customFormat="1" ht="33" customHeight="1">
      <c r="A20" s="6">
        <v>17</v>
      </c>
      <c r="B20" s="7" t="s">
        <v>20</v>
      </c>
      <c r="C20" s="26">
        <v>3922</v>
      </c>
      <c r="D20" s="6">
        <v>52</v>
      </c>
      <c r="E20" s="50">
        <f t="shared" si="4"/>
        <v>75.42307692307692</v>
      </c>
      <c r="F20" s="6">
        <v>1220</v>
      </c>
      <c r="G20" s="6">
        <v>51</v>
      </c>
      <c r="H20" s="51">
        <f t="shared" si="0"/>
        <v>23.921568627450981</v>
      </c>
      <c r="I20" s="6">
        <v>877</v>
      </c>
      <c r="J20" s="6">
        <v>41</v>
      </c>
      <c r="K20" s="52">
        <f t="shared" si="1"/>
        <v>21.390243902439025</v>
      </c>
      <c r="L20" s="6">
        <v>2347.5</v>
      </c>
      <c r="M20" s="6">
        <v>36</v>
      </c>
      <c r="N20" s="9">
        <f t="shared" si="2"/>
        <v>65.208333333333329</v>
      </c>
      <c r="O20" s="25">
        <v>2171</v>
      </c>
      <c r="P20" s="25">
        <v>37</v>
      </c>
      <c r="Q20" s="25">
        <f t="shared" si="5"/>
        <v>58.675675675675677</v>
      </c>
      <c r="R20" s="29">
        <v>907</v>
      </c>
      <c r="S20" s="25">
        <v>35</v>
      </c>
      <c r="T20" s="9">
        <f t="shared" si="6"/>
        <v>25.914285714285715</v>
      </c>
      <c r="U20" s="11">
        <v>2092</v>
      </c>
      <c r="V20" s="10">
        <v>35</v>
      </c>
      <c r="W20" s="8">
        <f t="shared" si="3"/>
        <v>59.771428571428572</v>
      </c>
      <c r="X20" s="11">
        <f t="shared" si="7"/>
        <v>13536.5</v>
      </c>
      <c r="Y20" s="10">
        <f t="shared" si="8"/>
        <v>41</v>
      </c>
      <c r="Z20" s="12">
        <f t="shared" si="9"/>
        <v>330.15853658536588</v>
      </c>
      <c r="AB20" s="4"/>
    </row>
    <row r="21" spans="1:28" s="13" customFormat="1" ht="33" customHeight="1">
      <c r="A21" s="6">
        <v>18</v>
      </c>
      <c r="B21" s="7" t="s">
        <v>21</v>
      </c>
      <c r="C21" s="26">
        <v>792.5</v>
      </c>
      <c r="D21" s="6">
        <v>10</v>
      </c>
      <c r="E21" s="50">
        <f t="shared" si="4"/>
        <v>79.25</v>
      </c>
      <c r="F21" s="6">
        <v>440</v>
      </c>
      <c r="G21" s="6">
        <v>9</v>
      </c>
      <c r="H21" s="51">
        <f t="shared" si="0"/>
        <v>48.888888888888886</v>
      </c>
      <c r="I21" s="6">
        <v>649.5</v>
      </c>
      <c r="J21" s="6">
        <v>10</v>
      </c>
      <c r="K21" s="52">
        <f t="shared" si="1"/>
        <v>64.95</v>
      </c>
      <c r="L21" s="6">
        <v>746</v>
      </c>
      <c r="M21" s="6">
        <v>10</v>
      </c>
      <c r="N21" s="9">
        <f t="shared" si="2"/>
        <v>74.599999999999994</v>
      </c>
      <c r="O21" s="25">
        <v>826</v>
      </c>
      <c r="P21" s="25">
        <v>10</v>
      </c>
      <c r="Q21" s="25">
        <f t="shared" si="5"/>
        <v>82.6</v>
      </c>
      <c r="R21" s="29">
        <v>701</v>
      </c>
      <c r="S21" s="25">
        <v>11</v>
      </c>
      <c r="T21" s="9">
        <f t="shared" si="6"/>
        <v>63.727272727272727</v>
      </c>
      <c r="U21" s="11">
        <v>683</v>
      </c>
      <c r="V21" s="10">
        <v>9</v>
      </c>
      <c r="W21" s="8">
        <f t="shared" si="3"/>
        <v>75.888888888888886</v>
      </c>
      <c r="X21" s="11">
        <f t="shared" si="7"/>
        <v>4838</v>
      </c>
      <c r="Y21" s="10">
        <f t="shared" si="8"/>
        <v>9.8571428571428577</v>
      </c>
      <c r="Z21" s="12">
        <f t="shared" si="9"/>
        <v>490.8115942028985</v>
      </c>
      <c r="AB21" s="4"/>
    </row>
    <row r="22" spans="1:28" s="13" customFormat="1" ht="33" customHeight="1">
      <c r="A22" s="6">
        <v>19</v>
      </c>
      <c r="B22" s="7" t="s">
        <v>22</v>
      </c>
      <c r="C22" s="26">
        <v>1013</v>
      </c>
      <c r="D22" s="6">
        <v>26</v>
      </c>
      <c r="E22" s="50">
        <f t="shared" si="4"/>
        <v>38.96153846153846</v>
      </c>
      <c r="F22" s="6">
        <v>282</v>
      </c>
      <c r="G22" s="6">
        <v>26</v>
      </c>
      <c r="H22" s="51">
        <f t="shared" si="0"/>
        <v>10.846153846153847</v>
      </c>
      <c r="I22" s="6">
        <v>288.5</v>
      </c>
      <c r="J22" s="6">
        <v>22</v>
      </c>
      <c r="K22" s="52">
        <f t="shared" si="1"/>
        <v>13.113636363636363</v>
      </c>
      <c r="L22" s="6">
        <v>316.5</v>
      </c>
      <c r="M22" s="6">
        <v>22</v>
      </c>
      <c r="N22" s="9">
        <f t="shared" si="2"/>
        <v>14.386363636363637</v>
      </c>
      <c r="O22" s="25">
        <v>452.5</v>
      </c>
      <c r="P22" s="25">
        <v>22</v>
      </c>
      <c r="Q22" s="25">
        <f t="shared" si="5"/>
        <v>20.568181818181817</v>
      </c>
      <c r="R22" s="29">
        <v>846</v>
      </c>
      <c r="S22" s="25">
        <v>22</v>
      </c>
      <c r="T22" s="9">
        <f t="shared" si="6"/>
        <v>38.454545454545453</v>
      </c>
      <c r="U22" s="11">
        <v>976.5</v>
      </c>
      <c r="V22" s="10">
        <v>22</v>
      </c>
      <c r="W22" s="8">
        <f t="shared" si="3"/>
        <v>44.386363636363633</v>
      </c>
      <c r="X22" s="11">
        <f t="shared" si="7"/>
        <v>4175</v>
      </c>
      <c r="Y22" s="10">
        <f t="shared" si="8"/>
        <v>23.142857142857142</v>
      </c>
      <c r="Z22" s="12">
        <f t="shared" si="9"/>
        <v>180.40123456790124</v>
      </c>
      <c r="AB22" s="4"/>
    </row>
    <row r="23" spans="1:28" s="13" customFormat="1" ht="33" customHeight="1">
      <c r="A23" s="6">
        <v>20</v>
      </c>
      <c r="B23" s="7" t="s">
        <v>23</v>
      </c>
      <c r="C23" s="26">
        <v>280</v>
      </c>
      <c r="D23" s="6">
        <v>5</v>
      </c>
      <c r="E23" s="50">
        <f t="shared" si="4"/>
        <v>56</v>
      </c>
      <c r="F23" s="6">
        <v>330.5</v>
      </c>
      <c r="G23" s="6">
        <v>5</v>
      </c>
      <c r="H23" s="51">
        <f t="shared" si="0"/>
        <v>66.099999999999994</v>
      </c>
      <c r="I23" s="6">
        <v>197.5</v>
      </c>
      <c r="J23" s="6">
        <v>4</v>
      </c>
      <c r="K23" s="52">
        <f t="shared" si="1"/>
        <v>49.375</v>
      </c>
      <c r="L23" s="6">
        <v>247.5</v>
      </c>
      <c r="M23" s="6">
        <v>5</v>
      </c>
      <c r="N23" s="9">
        <f t="shared" si="2"/>
        <v>49.5</v>
      </c>
      <c r="O23" s="25">
        <v>411</v>
      </c>
      <c r="P23" s="25">
        <v>5</v>
      </c>
      <c r="Q23" s="25">
        <f t="shared" si="5"/>
        <v>82.2</v>
      </c>
      <c r="R23" s="29">
        <v>260.5</v>
      </c>
      <c r="S23" s="25">
        <v>5</v>
      </c>
      <c r="T23" s="9">
        <f t="shared" si="6"/>
        <v>52.1</v>
      </c>
      <c r="U23" s="11">
        <v>272</v>
      </c>
      <c r="V23" s="10">
        <v>5</v>
      </c>
      <c r="W23" s="8">
        <f t="shared" si="3"/>
        <v>54.4</v>
      </c>
      <c r="X23" s="11">
        <f t="shared" si="7"/>
        <v>1999</v>
      </c>
      <c r="Y23" s="10">
        <f t="shared" si="8"/>
        <v>4.8571428571428568</v>
      </c>
      <c r="Z23" s="12">
        <f t="shared" si="9"/>
        <v>411.55882352941182</v>
      </c>
      <c r="AB23" s="4"/>
    </row>
    <row r="24" spans="1:28" s="13" customFormat="1" ht="33" customHeight="1">
      <c r="A24" s="6">
        <v>21</v>
      </c>
      <c r="B24" s="7" t="s">
        <v>24</v>
      </c>
      <c r="C24" s="26">
        <v>404</v>
      </c>
      <c r="D24" s="6">
        <v>6</v>
      </c>
      <c r="E24" s="50">
        <f t="shared" si="4"/>
        <v>67.333333333333329</v>
      </c>
      <c r="F24" s="6">
        <v>172.5</v>
      </c>
      <c r="G24" s="6">
        <v>6</v>
      </c>
      <c r="H24" s="51">
        <f t="shared" si="0"/>
        <v>28.75</v>
      </c>
      <c r="I24" s="6">
        <v>119.5</v>
      </c>
      <c r="J24" s="6">
        <v>6</v>
      </c>
      <c r="K24" s="52">
        <f t="shared" si="1"/>
        <v>19.916666666666668</v>
      </c>
      <c r="L24" s="6">
        <v>436.5</v>
      </c>
      <c r="M24" s="6">
        <v>7</v>
      </c>
      <c r="N24" s="9">
        <f t="shared" si="2"/>
        <v>62.357142857142854</v>
      </c>
      <c r="O24" s="25">
        <v>344.5</v>
      </c>
      <c r="P24" s="25">
        <v>6</v>
      </c>
      <c r="Q24" s="25">
        <f t="shared" si="5"/>
        <v>57.416666666666664</v>
      </c>
      <c r="R24" s="29">
        <v>205</v>
      </c>
      <c r="S24" s="25">
        <v>6</v>
      </c>
      <c r="T24" s="9">
        <f t="shared" si="6"/>
        <v>34.166666666666664</v>
      </c>
      <c r="U24" s="11">
        <v>272</v>
      </c>
      <c r="V24" s="10">
        <v>6</v>
      </c>
      <c r="W24" s="8">
        <f t="shared" si="3"/>
        <v>45.333333333333336</v>
      </c>
      <c r="X24" s="11">
        <f t="shared" si="7"/>
        <v>1954</v>
      </c>
      <c r="Y24" s="10">
        <f t="shared" si="8"/>
        <v>6.1428571428571432</v>
      </c>
      <c r="Z24" s="12">
        <f t="shared" si="9"/>
        <v>318.09302325581393</v>
      </c>
      <c r="AB24" s="4"/>
    </row>
    <row r="25" spans="1:28" s="13" customFormat="1" ht="33" customHeight="1">
      <c r="A25" s="6">
        <v>22</v>
      </c>
      <c r="B25" s="7" t="s">
        <v>25</v>
      </c>
      <c r="C25" s="26">
        <v>599</v>
      </c>
      <c r="D25" s="6">
        <v>9</v>
      </c>
      <c r="E25" s="50">
        <f t="shared" si="4"/>
        <v>66.555555555555557</v>
      </c>
      <c r="F25" s="6">
        <v>360.5</v>
      </c>
      <c r="G25" s="6">
        <v>9</v>
      </c>
      <c r="H25" s="51">
        <f t="shared" si="0"/>
        <v>40.055555555555557</v>
      </c>
      <c r="I25" s="6">
        <v>373</v>
      </c>
      <c r="J25" s="6">
        <v>8</v>
      </c>
      <c r="K25" s="52">
        <f t="shared" si="1"/>
        <v>46.625</v>
      </c>
      <c r="L25" s="6">
        <v>473</v>
      </c>
      <c r="M25" s="6">
        <v>9</v>
      </c>
      <c r="N25" s="9">
        <f t="shared" si="2"/>
        <v>52.555555555555557</v>
      </c>
      <c r="O25" s="25">
        <v>370.5</v>
      </c>
      <c r="P25" s="25">
        <v>11</v>
      </c>
      <c r="Q25" s="25">
        <f t="shared" si="5"/>
        <v>33.68181818181818</v>
      </c>
      <c r="R25" s="29">
        <v>234</v>
      </c>
      <c r="S25" s="25">
        <v>11</v>
      </c>
      <c r="T25" s="9">
        <f t="shared" si="6"/>
        <v>21.272727272727273</v>
      </c>
      <c r="U25" s="11">
        <v>314</v>
      </c>
      <c r="V25" s="10">
        <v>10</v>
      </c>
      <c r="W25" s="8">
        <f t="shared" si="3"/>
        <v>31.4</v>
      </c>
      <c r="X25" s="11">
        <f t="shared" si="7"/>
        <v>2724</v>
      </c>
      <c r="Y25" s="10">
        <f t="shared" si="8"/>
        <v>9.5714285714285712</v>
      </c>
      <c r="Z25" s="12">
        <f t="shared" si="9"/>
        <v>284.59701492537312</v>
      </c>
      <c r="AB25" s="4"/>
    </row>
    <row r="26" spans="1:28" s="13" customFormat="1" ht="33" customHeight="1">
      <c r="A26" s="6">
        <v>23</v>
      </c>
      <c r="B26" s="7" t="s">
        <v>26</v>
      </c>
      <c r="C26" s="26">
        <v>635.5</v>
      </c>
      <c r="D26" s="6">
        <v>12</v>
      </c>
      <c r="E26" s="50">
        <f t="shared" si="4"/>
        <v>52.958333333333336</v>
      </c>
      <c r="F26" s="6">
        <v>67</v>
      </c>
      <c r="G26" s="6">
        <v>5</v>
      </c>
      <c r="H26" s="51">
        <f t="shared" si="0"/>
        <v>13.4</v>
      </c>
      <c r="I26" s="6">
        <v>3</v>
      </c>
      <c r="J26" s="6">
        <v>3</v>
      </c>
      <c r="K26" s="52">
        <f t="shared" si="1"/>
        <v>1</v>
      </c>
      <c r="L26" s="6">
        <v>40</v>
      </c>
      <c r="M26" s="6">
        <v>2</v>
      </c>
      <c r="N26" s="9">
        <f t="shared" si="2"/>
        <v>20</v>
      </c>
      <c r="O26" s="25">
        <v>60</v>
      </c>
      <c r="P26" s="25">
        <v>2</v>
      </c>
      <c r="Q26" s="25">
        <f t="shared" si="5"/>
        <v>30</v>
      </c>
      <c r="R26" s="29">
        <v>66.5</v>
      </c>
      <c r="S26" s="25">
        <v>4</v>
      </c>
      <c r="T26" s="9">
        <f t="shared" si="6"/>
        <v>16.625</v>
      </c>
      <c r="U26" s="11">
        <v>144</v>
      </c>
      <c r="V26" s="10">
        <v>7</v>
      </c>
      <c r="W26" s="8">
        <f t="shared" si="3"/>
        <v>20.571428571428573</v>
      </c>
      <c r="X26" s="11">
        <f t="shared" si="7"/>
        <v>1016</v>
      </c>
      <c r="Y26" s="10">
        <f t="shared" si="8"/>
        <v>5</v>
      </c>
      <c r="Z26" s="12">
        <f t="shared" si="9"/>
        <v>203.2</v>
      </c>
      <c r="AB26" s="4"/>
    </row>
    <row r="27" spans="1:28" s="13" customFormat="1" ht="33" customHeight="1">
      <c r="A27" s="6">
        <v>24</v>
      </c>
      <c r="B27" s="7" t="s">
        <v>27</v>
      </c>
      <c r="C27" s="26">
        <v>154</v>
      </c>
      <c r="D27" s="6">
        <v>6</v>
      </c>
      <c r="E27" s="50">
        <f t="shared" si="4"/>
        <v>25.666666666666668</v>
      </c>
      <c r="F27" s="6">
        <v>150</v>
      </c>
      <c r="G27" s="6">
        <v>7</v>
      </c>
      <c r="H27" s="51">
        <f t="shared" si="0"/>
        <v>21.428571428571427</v>
      </c>
      <c r="I27" s="6">
        <v>103.5</v>
      </c>
      <c r="J27" s="6">
        <v>6</v>
      </c>
      <c r="K27" s="52">
        <f t="shared" si="1"/>
        <v>17.25</v>
      </c>
      <c r="L27" s="6">
        <v>139</v>
      </c>
      <c r="M27" s="6">
        <v>6</v>
      </c>
      <c r="N27" s="9">
        <f t="shared" si="2"/>
        <v>23.166666666666668</v>
      </c>
      <c r="O27" s="25">
        <v>157.5</v>
      </c>
      <c r="P27" s="25">
        <v>6</v>
      </c>
      <c r="Q27" s="25">
        <f t="shared" si="5"/>
        <v>26.25</v>
      </c>
      <c r="R27" s="29">
        <v>125.5</v>
      </c>
      <c r="S27" s="25">
        <v>6</v>
      </c>
      <c r="T27" s="9">
        <f t="shared" si="6"/>
        <v>20.916666666666668</v>
      </c>
      <c r="U27" s="11">
        <v>94.5</v>
      </c>
      <c r="V27" s="10">
        <v>6</v>
      </c>
      <c r="W27" s="8">
        <f t="shared" si="3"/>
        <v>15.75</v>
      </c>
      <c r="X27" s="11">
        <f t="shared" si="7"/>
        <v>924</v>
      </c>
      <c r="Y27" s="10">
        <f t="shared" si="8"/>
        <v>6.1428571428571432</v>
      </c>
      <c r="Z27" s="12">
        <f t="shared" si="9"/>
        <v>150.41860465116278</v>
      </c>
      <c r="AB27" s="4"/>
    </row>
    <row r="28" spans="1:28" s="13" customFormat="1" ht="33" customHeight="1">
      <c r="A28" s="6">
        <v>25</v>
      </c>
      <c r="B28" s="7" t="s">
        <v>28</v>
      </c>
      <c r="C28" s="26">
        <v>1048</v>
      </c>
      <c r="D28" s="6">
        <v>18</v>
      </c>
      <c r="E28" s="50">
        <f t="shared" si="4"/>
        <v>58.222222222222221</v>
      </c>
      <c r="F28" s="6">
        <v>665</v>
      </c>
      <c r="G28" s="6">
        <v>16</v>
      </c>
      <c r="H28" s="51">
        <f t="shared" si="0"/>
        <v>41.5625</v>
      </c>
      <c r="I28" s="6">
        <v>625</v>
      </c>
      <c r="J28" s="6">
        <v>17</v>
      </c>
      <c r="K28" s="52">
        <f t="shared" si="1"/>
        <v>36.764705882352942</v>
      </c>
      <c r="L28" s="6">
        <v>1150</v>
      </c>
      <c r="M28" s="6">
        <v>17</v>
      </c>
      <c r="N28" s="9">
        <f t="shared" si="2"/>
        <v>67.647058823529406</v>
      </c>
      <c r="O28" s="25">
        <v>996.5</v>
      </c>
      <c r="P28" s="25">
        <v>17</v>
      </c>
      <c r="Q28" s="25">
        <f t="shared" si="5"/>
        <v>58.617647058823529</v>
      </c>
      <c r="R28" s="29">
        <v>592</v>
      </c>
      <c r="S28" s="25">
        <v>17</v>
      </c>
      <c r="T28" s="9">
        <f t="shared" si="6"/>
        <v>34.823529411764703</v>
      </c>
      <c r="U28" s="11">
        <v>496.5</v>
      </c>
      <c r="V28" s="10">
        <v>18</v>
      </c>
      <c r="W28" s="8">
        <f t="shared" si="3"/>
        <v>27.583333333333332</v>
      </c>
      <c r="X28" s="11">
        <f t="shared" si="7"/>
        <v>5573</v>
      </c>
      <c r="Y28" s="10">
        <f t="shared" si="8"/>
        <v>17.142857142857142</v>
      </c>
      <c r="Z28" s="12">
        <f t="shared" si="9"/>
        <v>325.0916666666667</v>
      </c>
      <c r="AB28" s="4"/>
    </row>
    <row r="29" spans="1:28" s="13" customFormat="1" ht="33" customHeight="1">
      <c r="A29" s="6">
        <v>26</v>
      </c>
      <c r="B29" s="7" t="s">
        <v>29</v>
      </c>
      <c r="C29" s="26">
        <v>1025.5</v>
      </c>
      <c r="D29" s="6">
        <v>14</v>
      </c>
      <c r="E29" s="50">
        <f t="shared" si="4"/>
        <v>73.25</v>
      </c>
      <c r="F29" s="6">
        <v>538</v>
      </c>
      <c r="G29" s="6">
        <v>13</v>
      </c>
      <c r="H29" s="51">
        <f t="shared" si="0"/>
        <v>41.384615384615387</v>
      </c>
      <c r="I29" s="6">
        <v>183.5</v>
      </c>
      <c r="J29" s="6">
        <v>12</v>
      </c>
      <c r="K29" s="52">
        <f t="shared" si="1"/>
        <v>15.291666666666666</v>
      </c>
      <c r="L29" s="6">
        <v>442</v>
      </c>
      <c r="M29" s="6">
        <v>10</v>
      </c>
      <c r="N29" s="9">
        <f t="shared" si="2"/>
        <v>44.2</v>
      </c>
      <c r="O29" s="25">
        <v>496.5</v>
      </c>
      <c r="P29" s="25">
        <v>12</v>
      </c>
      <c r="Q29" s="25">
        <f t="shared" si="5"/>
        <v>41.375</v>
      </c>
      <c r="R29" s="29">
        <v>93</v>
      </c>
      <c r="S29" s="25">
        <v>11</v>
      </c>
      <c r="T29" s="9">
        <f t="shared" si="6"/>
        <v>8.454545454545455</v>
      </c>
      <c r="U29" s="11">
        <v>73</v>
      </c>
      <c r="V29" s="10">
        <v>8</v>
      </c>
      <c r="W29" s="8">
        <f t="shared" si="3"/>
        <v>9.125</v>
      </c>
      <c r="X29" s="11">
        <f t="shared" si="7"/>
        <v>2851.5</v>
      </c>
      <c r="Y29" s="10">
        <f t="shared" si="8"/>
        <v>11.428571428571429</v>
      </c>
      <c r="Z29" s="12">
        <f t="shared" si="9"/>
        <v>249.50624999999999</v>
      </c>
      <c r="AB29" s="4"/>
    </row>
    <row r="30" spans="1:28" s="13" customFormat="1" ht="33" customHeight="1">
      <c r="A30" s="6">
        <v>27</v>
      </c>
      <c r="B30" s="7" t="s">
        <v>30</v>
      </c>
      <c r="C30" s="26">
        <v>5</v>
      </c>
      <c r="D30" s="6">
        <v>5</v>
      </c>
      <c r="E30" s="50">
        <f t="shared" si="4"/>
        <v>1</v>
      </c>
      <c r="F30" s="6">
        <v>84</v>
      </c>
      <c r="G30" s="6">
        <v>8</v>
      </c>
      <c r="H30" s="51">
        <f t="shared" si="0"/>
        <v>10.5</v>
      </c>
      <c r="I30" s="6">
        <v>16.5</v>
      </c>
      <c r="J30" s="6">
        <v>7</v>
      </c>
      <c r="K30" s="52">
        <f t="shared" si="1"/>
        <v>2.3571428571428572</v>
      </c>
      <c r="L30" s="6">
        <v>45</v>
      </c>
      <c r="M30" s="6">
        <v>6</v>
      </c>
      <c r="N30" s="9">
        <f t="shared" si="2"/>
        <v>7.5</v>
      </c>
      <c r="O30" s="25">
        <v>7</v>
      </c>
      <c r="P30" s="25">
        <v>5</v>
      </c>
      <c r="Q30" s="25">
        <f t="shared" si="5"/>
        <v>1.4</v>
      </c>
      <c r="R30" s="29">
        <v>21.5</v>
      </c>
      <c r="S30" s="25">
        <v>5</v>
      </c>
      <c r="T30" s="9">
        <f t="shared" si="6"/>
        <v>4.3</v>
      </c>
      <c r="U30" s="11">
        <v>30</v>
      </c>
      <c r="V30" s="10">
        <v>5</v>
      </c>
      <c r="W30" s="8">
        <f t="shared" si="3"/>
        <v>6</v>
      </c>
      <c r="X30" s="11">
        <f t="shared" si="7"/>
        <v>209</v>
      </c>
      <c r="Y30" s="10">
        <f t="shared" si="8"/>
        <v>5.8571428571428568</v>
      </c>
      <c r="Z30" s="12">
        <f t="shared" si="9"/>
        <v>35.682926829268297</v>
      </c>
      <c r="AB30" s="4"/>
    </row>
    <row r="31" spans="1:28" s="13" customFormat="1" ht="33" customHeight="1">
      <c r="A31" s="6">
        <v>28</v>
      </c>
      <c r="B31" s="7" t="s">
        <v>31</v>
      </c>
      <c r="C31" s="26">
        <v>0</v>
      </c>
      <c r="D31" s="6">
        <v>1</v>
      </c>
      <c r="E31" s="50">
        <f t="shared" si="4"/>
        <v>0</v>
      </c>
      <c r="F31" s="6">
        <v>0</v>
      </c>
      <c r="G31" s="6">
        <v>2</v>
      </c>
      <c r="H31" s="51">
        <f t="shared" si="0"/>
        <v>0</v>
      </c>
      <c r="I31" s="6">
        <v>0</v>
      </c>
      <c r="J31" s="6">
        <v>1</v>
      </c>
      <c r="K31" s="52">
        <f t="shared" si="1"/>
        <v>0</v>
      </c>
      <c r="L31" s="6">
        <v>0</v>
      </c>
      <c r="M31" s="6">
        <v>1</v>
      </c>
      <c r="N31" s="9">
        <f t="shared" si="2"/>
        <v>0</v>
      </c>
      <c r="O31" s="25">
        <v>0</v>
      </c>
      <c r="P31" s="25">
        <v>1</v>
      </c>
      <c r="Q31" s="25">
        <f t="shared" si="5"/>
        <v>0</v>
      </c>
      <c r="R31" s="29">
        <v>2.5</v>
      </c>
      <c r="S31" s="25">
        <v>1</v>
      </c>
      <c r="T31" s="9">
        <f t="shared" si="6"/>
        <v>2.5</v>
      </c>
      <c r="U31" s="11">
        <v>15.5</v>
      </c>
      <c r="V31" s="10">
        <v>1</v>
      </c>
      <c r="W31" s="8">
        <f t="shared" si="3"/>
        <v>15.5</v>
      </c>
      <c r="X31" s="11">
        <f t="shared" si="7"/>
        <v>18</v>
      </c>
      <c r="Y31" s="10">
        <f t="shared" si="8"/>
        <v>1.1428571428571428</v>
      </c>
      <c r="Z31" s="12">
        <f t="shared" si="9"/>
        <v>15.75</v>
      </c>
      <c r="AB31" s="4"/>
    </row>
    <row r="32" spans="1:28" s="13" customFormat="1" ht="33" customHeight="1">
      <c r="A32" s="6">
        <v>29</v>
      </c>
      <c r="B32" s="7" t="s">
        <v>32</v>
      </c>
      <c r="C32" s="26">
        <v>12</v>
      </c>
      <c r="D32" s="6">
        <v>4</v>
      </c>
      <c r="E32" s="50">
        <f t="shared" si="4"/>
        <v>3</v>
      </c>
      <c r="F32" s="6">
        <v>8.5</v>
      </c>
      <c r="G32" s="6">
        <v>4</v>
      </c>
      <c r="H32" s="51">
        <f t="shared" si="0"/>
        <v>2.125</v>
      </c>
      <c r="I32" s="6">
        <v>6</v>
      </c>
      <c r="J32" s="6">
        <v>4</v>
      </c>
      <c r="K32" s="52">
        <f t="shared" si="1"/>
        <v>1.5</v>
      </c>
      <c r="L32" s="6">
        <v>5.5</v>
      </c>
      <c r="M32" s="6">
        <v>4</v>
      </c>
      <c r="N32" s="9">
        <f t="shared" si="2"/>
        <v>1.375</v>
      </c>
      <c r="O32" s="25">
        <v>14</v>
      </c>
      <c r="P32" s="25">
        <v>4</v>
      </c>
      <c r="Q32" s="25">
        <f t="shared" si="5"/>
        <v>3.5</v>
      </c>
      <c r="R32" s="29">
        <v>6.5</v>
      </c>
      <c r="S32" s="25">
        <v>4</v>
      </c>
      <c r="T32" s="9">
        <f t="shared" si="6"/>
        <v>1.625</v>
      </c>
      <c r="U32" s="11">
        <v>2.5</v>
      </c>
      <c r="V32" s="10">
        <v>5</v>
      </c>
      <c r="W32" s="8">
        <f t="shared" si="3"/>
        <v>0.5</v>
      </c>
      <c r="X32" s="11">
        <f t="shared" si="7"/>
        <v>55</v>
      </c>
      <c r="Y32" s="10">
        <f t="shared" si="8"/>
        <v>4.1428571428571432</v>
      </c>
      <c r="Z32" s="12">
        <f t="shared" si="9"/>
        <v>13.275862068965516</v>
      </c>
      <c r="AB32" s="4"/>
    </row>
    <row r="33" spans="1:28" s="13" customFormat="1" ht="33" customHeight="1">
      <c r="A33" s="6">
        <v>30</v>
      </c>
      <c r="B33" s="7" t="s">
        <v>33</v>
      </c>
      <c r="C33" s="26">
        <v>2</v>
      </c>
      <c r="D33" s="6">
        <v>6</v>
      </c>
      <c r="E33" s="50">
        <f t="shared" si="4"/>
        <v>0.33333333333333331</v>
      </c>
      <c r="F33" s="6">
        <v>4.5</v>
      </c>
      <c r="G33" s="6">
        <v>6</v>
      </c>
      <c r="H33" s="51">
        <f t="shared" si="0"/>
        <v>0.75</v>
      </c>
      <c r="I33" s="6">
        <v>5</v>
      </c>
      <c r="J33" s="6">
        <v>5</v>
      </c>
      <c r="K33" s="52">
        <f t="shared" si="1"/>
        <v>1</v>
      </c>
      <c r="L33" s="6">
        <v>36.5</v>
      </c>
      <c r="M33" s="6">
        <v>4</v>
      </c>
      <c r="N33" s="9">
        <f t="shared" si="2"/>
        <v>9.125</v>
      </c>
      <c r="O33" s="25">
        <v>1.5</v>
      </c>
      <c r="P33" s="25">
        <v>4</v>
      </c>
      <c r="Q33" s="25">
        <f t="shared" si="5"/>
        <v>0.375</v>
      </c>
      <c r="R33" s="29">
        <v>1.5</v>
      </c>
      <c r="S33" s="25">
        <v>4</v>
      </c>
      <c r="T33" s="9">
        <f t="shared" si="6"/>
        <v>0.375</v>
      </c>
      <c r="U33" s="11">
        <v>0</v>
      </c>
      <c r="V33" s="10">
        <v>5</v>
      </c>
      <c r="W33" s="8">
        <f t="shared" si="3"/>
        <v>0</v>
      </c>
      <c r="X33" s="11">
        <f t="shared" si="7"/>
        <v>51</v>
      </c>
      <c r="Y33" s="10">
        <f t="shared" si="8"/>
        <v>4.8571428571428568</v>
      </c>
      <c r="Z33" s="12">
        <f t="shared" si="9"/>
        <v>10.5</v>
      </c>
      <c r="AB33" s="4"/>
    </row>
    <row r="34" spans="1:28" s="13" customFormat="1" ht="33" customHeight="1">
      <c r="A34" s="6">
        <v>31</v>
      </c>
      <c r="B34" s="7" t="s">
        <v>34</v>
      </c>
      <c r="C34" s="26">
        <v>124</v>
      </c>
      <c r="D34" s="6">
        <v>5</v>
      </c>
      <c r="E34" s="50">
        <f t="shared" si="4"/>
        <v>24.8</v>
      </c>
      <c r="F34" s="6">
        <v>150</v>
      </c>
      <c r="G34" s="6">
        <v>5</v>
      </c>
      <c r="H34" s="51">
        <f t="shared" si="0"/>
        <v>30</v>
      </c>
      <c r="I34" s="6">
        <v>116.5</v>
      </c>
      <c r="J34" s="6">
        <v>5</v>
      </c>
      <c r="K34" s="52">
        <f t="shared" si="1"/>
        <v>23.3</v>
      </c>
      <c r="L34" s="6">
        <v>183</v>
      </c>
      <c r="M34" s="6">
        <v>6</v>
      </c>
      <c r="N34" s="9">
        <f t="shared" si="2"/>
        <v>30.5</v>
      </c>
      <c r="O34" s="25">
        <v>147.5</v>
      </c>
      <c r="P34" s="25">
        <v>6</v>
      </c>
      <c r="Q34" s="25">
        <f t="shared" si="5"/>
        <v>24.583333333333332</v>
      </c>
      <c r="R34" s="29">
        <v>129.5</v>
      </c>
      <c r="S34" s="25">
        <v>6</v>
      </c>
      <c r="T34" s="9">
        <f t="shared" si="6"/>
        <v>21.583333333333332</v>
      </c>
      <c r="U34" s="11">
        <v>112</v>
      </c>
      <c r="V34" s="10">
        <v>6</v>
      </c>
      <c r="W34" s="8">
        <f t="shared" si="3"/>
        <v>18.666666666666668</v>
      </c>
      <c r="X34" s="11">
        <f t="shared" si="7"/>
        <v>962.5</v>
      </c>
      <c r="Y34" s="10">
        <f t="shared" si="8"/>
        <v>5.5714285714285712</v>
      </c>
      <c r="Z34" s="12">
        <f t="shared" si="9"/>
        <v>172.75641025641028</v>
      </c>
      <c r="AB34" s="4"/>
    </row>
    <row r="35" spans="1:28" s="13" customFormat="1" ht="33" customHeight="1">
      <c r="A35" s="6">
        <v>32</v>
      </c>
      <c r="B35" s="7" t="s">
        <v>35</v>
      </c>
      <c r="C35" s="26">
        <v>79.5</v>
      </c>
      <c r="D35" s="6">
        <v>1</v>
      </c>
      <c r="E35" s="50">
        <f t="shared" si="4"/>
        <v>79.5</v>
      </c>
      <c r="F35" s="6">
        <v>55</v>
      </c>
      <c r="G35" s="6">
        <v>1</v>
      </c>
      <c r="H35" s="51">
        <f t="shared" si="0"/>
        <v>55</v>
      </c>
      <c r="I35" s="6">
        <v>49.5</v>
      </c>
      <c r="J35" s="6">
        <v>2</v>
      </c>
      <c r="K35" s="52">
        <f t="shared" si="1"/>
        <v>24.75</v>
      </c>
      <c r="L35" s="6">
        <v>51</v>
      </c>
      <c r="M35" s="6">
        <v>2</v>
      </c>
      <c r="N35" s="9">
        <f t="shared" si="2"/>
        <v>25.5</v>
      </c>
      <c r="O35" s="25">
        <v>69</v>
      </c>
      <c r="P35" s="25">
        <v>2</v>
      </c>
      <c r="Q35" s="25">
        <f t="shared" si="5"/>
        <v>34.5</v>
      </c>
      <c r="R35" s="29">
        <v>55</v>
      </c>
      <c r="S35" s="25">
        <v>2</v>
      </c>
      <c r="T35" s="9">
        <f t="shared" si="6"/>
        <v>27.5</v>
      </c>
      <c r="U35" s="11">
        <v>55</v>
      </c>
      <c r="V35" s="10">
        <v>2</v>
      </c>
      <c r="W35" s="8">
        <f t="shared" si="3"/>
        <v>27.5</v>
      </c>
      <c r="X35" s="11">
        <f t="shared" si="7"/>
        <v>414</v>
      </c>
      <c r="Y35" s="10">
        <f t="shared" si="8"/>
        <v>1.7142857142857142</v>
      </c>
      <c r="Z35" s="12">
        <f t="shared" si="9"/>
        <v>241.5</v>
      </c>
      <c r="AB35" s="4"/>
    </row>
    <row r="36" spans="1:28" s="13" customFormat="1" ht="33" customHeight="1">
      <c r="A36" s="6">
        <v>33</v>
      </c>
      <c r="B36" s="7" t="s">
        <v>36</v>
      </c>
      <c r="C36" s="26">
        <v>0</v>
      </c>
      <c r="D36" s="6">
        <v>4</v>
      </c>
      <c r="E36" s="50">
        <f t="shared" si="4"/>
        <v>0</v>
      </c>
      <c r="F36" s="6">
        <v>0</v>
      </c>
      <c r="G36" s="6">
        <v>4</v>
      </c>
      <c r="H36" s="51">
        <f t="shared" si="0"/>
        <v>0</v>
      </c>
      <c r="I36" s="6">
        <v>0</v>
      </c>
      <c r="J36" s="6">
        <v>4</v>
      </c>
      <c r="K36" s="52">
        <f t="shared" si="1"/>
        <v>0</v>
      </c>
      <c r="L36" s="6">
        <v>0</v>
      </c>
      <c r="M36" s="6">
        <v>3</v>
      </c>
      <c r="N36" s="9">
        <f t="shared" si="2"/>
        <v>0</v>
      </c>
      <c r="O36" s="25">
        <v>0</v>
      </c>
      <c r="P36" s="31">
        <v>4</v>
      </c>
      <c r="Q36" s="25">
        <f t="shared" si="5"/>
        <v>0</v>
      </c>
      <c r="R36" s="29">
        <v>0</v>
      </c>
      <c r="S36" s="25">
        <v>4</v>
      </c>
      <c r="T36" s="9">
        <f t="shared" si="6"/>
        <v>0</v>
      </c>
      <c r="U36" s="11">
        <v>0</v>
      </c>
      <c r="V36" s="10">
        <v>4</v>
      </c>
      <c r="W36" s="8">
        <f t="shared" si="3"/>
        <v>0</v>
      </c>
      <c r="X36" s="11">
        <f t="shared" si="7"/>
        <v>0</v>
      </c>
      <c r="Y36" s="10">
        <f t="shared" si="8"/>
        <v>3.8571428571428572</v>
      </c>
      <c r="Z36" s="12">
        <f t="shared" si="9"/>
        <v>0</v>
      </c>
      <c r="AB36" s="4"/>
    </row>
    <row r="37" spans="1:28" ht="34.5" customHeight="1">
      <c r="A37" s="6"/>
      <c r="B37" s="14" t="s">
        <v>37</v>
      </c>
      <c r="C37" s="27">
        <f>SUM(C4:C36)</f>
        <v>82480.5</v>
      </c>
      <c r="D37" s="28">
        <f t="shared" ref="D37" si="10">SUM(D4:D36)</f>
        <v>954</v>
      </c>
      <c r="E37" s="15"/>
      <c r="F37" s="16">
        <f>+SUM(F4:F36)</f>
        <v>35344</v>
      </c>
      <c r="G37" s="17">
        <f t="shared" ref="G37" si="11">+SUM(G4:G36)</f>
        <v>929</v>
      </c>
      <c r="H37" s="18"/>
      <c r="I37" s="16">
        <f>SUM(I4:I36)</f>
        <v>26925</v>
      </c>
      <c r="J37" s="16">
        <f t="shared" ref="J37" si="12">SUM(J4:J36)</f>
        <v>818</v>
      </c>
      <c r="K37" s="15"/>
      <c r="L37" s="16">
        <f>SUM(L4:L36)</f>
        <v>67433.5</v>
      </c>
      <c r="M37" s="17">
        <f>SUM(M4:M36)</f>
        <v>1004</v>
      </c>
      <c r="N37" s="15"/>
      <c r="O37" s="33">
        <f>SUM(O4:O36)</f>
        <v>60070</v>
      </c>
      <c r="P37" s="34">
        <f>SUM(P4:P36)</f>
        <v>987</v>
      </c>
      <c r="Q37" s="32"/>
      <c r="R37" s="35">
        <f>SUM(R4:R36)</f>
        <v>35557</v>
      </c>
      <c r="S37" s="34">
        <f>SUM(S4:S36)</f>
        <v>897</v>
      </c>
      <c r="T37" s="30"/>
      <c r="U37" s="16">
        <f>SUM(U4:U36)</f>
        <v>51883</v>
      </c>
      <c r="V37" s="17">
        <f>SUM(V4:V36)</f>
        <v>957</v>
      </c>
      <c r="W37" s="15"/>
      <c r="X37" s="16">
        <f>SUM(X4:X36)</f>
        <v>359693</v>
      </c>
      <c r="Y37" s="17">
        <f>+SUM(Y4:Y36)</f>
        <v>935.142857142857</v>
      </c>
      <c r="Z37" s="36"/>
    </row>
    <row r="38" spans="1:28">
      <c r="G38" s="5"/>
      <c r="H38" s="19"/>
      <c r="X38" s="20"/>
    </row>
    <row r="39" spans="1:28">
      <c r="E39" s="5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1"/>
    </row>
    <row r="40" spans="1:28">
      <c r="F40" s="24"/>
      <c r="U40" s="23"/>
    </row>
    <row r="41" spans="1:28">
      <c r="J41" s="5"/>
    </row>
    <row r="42" spans="1:28">
      <c r="F42" s="20"/>
    </row>
  </sheetData>
  <autoFilter ref="A3:Z37" xr:uid="{00000000-0009-0000-0000-000000000000}"/>
  <mergeCells count="8">
    <mergeCell ref="X2:Z2"/>
    <mergeCell ref="C2:E2"/>
    <mergeCell ref="F2:H2"/>
    <mergeCell ref="I2:K2"/>
    <mergeCell ref="L2:N2"/>
    <mergeCell ref="U2:W2"/>
    <mergeCell ref="O2:Q2"/>
    <mergeCell ref="R2:T2"/>
  </mergeCells>
  <phoneticPr fontId="2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8"/>
  <sheetViews>
    <sheetView tabSelected="1" zoomScaleNormal="100" workbookViewId="0">
      <pane xSplit="2" ySplit="3" topLeftCell="C4" activePane="bottomRight" state="frozen"/>
      <selection activeCell="Y1272" sqref="Y1272"/>
      <selection pane="topRight" activeCell="Y1272" sqref="Y1272"/>
      <selection pane="bottomLeft" activeCell="Y1272" sqref="Y1272"/>
      <selection pane="bottomRight" activeCell="AG13" sqref="AG13"/>
    </sheetView>
  </sheetViews>
  <sheetFormatPr defaultColWidth="9.125" defaultRowHeight="15"/>
  <cols>
    <col min="1" max="1" width="10.25" style="1" customWidth="1"/>
    <col min="2" max="2" width="14.25" style="4" customWidth="1"/>
    <col min="3" max="14" width="10" style="4" customWidth="1"/>
    <col min="15" max="26" width="10" style="4" hidden="1" customWidth="1"/>
    <col min="27" max="27" width="12" style="4" customWidth="1"/>
    <col min="28" max="30" width="9.125" style="4" customWidth="1"/>
    <col min="31" max="16384" width="9.125" style="4"/>
  </cols>
  <sheetData>
    <row r="1" spans="1:29" ht="21.75" customHeight="1">
      <c r="A1" s="85" t="s">
        <v>73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C1" s="5"/>
    </row>
    <row r="2" spans="1:29" ht="43.5" customHeight="1">
      <c r="C2" s="86" t="s">
        <v>54</v>
      </c>
      <c r="D2" s="90"/>
      <c r="E2" s="91" t="s">
        <v>55</v>
      </c>
      <c r="F2" s="92"/>
      <c r="G2" s="86" t="s">
        <v>56</v>
      </c>
      <c r="H2" s="87"/>
      <c r="I2" s="86" t="s">
        <v>59</v>
      </c>
      <c r="J2" s="87"/>
      <c r="K2" s="86" t="s">
        <v>60</v>
      </c>
      <c r="L2" s="87"/>
      <c r="M2" s="86" t="s">
        <v>61</v>
      </c>
      <c r="N2" s="87"/>
      <c r="O2" s="86" t="s">
        <v>62</v>
      </c>
      <c r="P2" s="87"/>
      <c r="Q2" s="88" t="s">
        <v>63</v>
      </c>
      <c r="R2" s="89"/>
      <c r="S2" s="88" t="s">
        <v>64</v>
      </c>
      <c r="T2" s="89"/>
      <c r="U2" s="88" t="s">
        <v>65</v>
      </c>
      <c r="V2" s="89"/>
      <c r="W2" s="88" t="s">
        <v>66</v>
      </c>
      <c r="X2" s="89"/>
      <c r="Y2" s="88" t="s">
        <v>67</v>
      </c>
      <c r="Z2" s="89"/>
      <c r="AA2" s="64" t="s">
        <v>52</v>
      </c>
    </row>
    <row r="3" spans="1:29" ht="23.25" customHeight="1">
      <c r="A3" s="68" t="s">
        <v>0</v>
      </c>
      <c r="B3" s="69" t="s">
        <v>1</v>
      </c>
      <c r="C3" s="65" t="s">
        <v>57</v>
      </c>
      <c r="D3" s="66" t="s">
        <v>58</v>
      </c>
      <c r="E3" s="64" t="s">
        <v>57</v>
      </c>
      <c r="F3" s="67" t="s">
        <v>58</v>
      </c>
      <c r="G3" s="65" t="s">
        <v>57</v>
      </c>
      <c r="H3" s="66" t="s">
        <v>58</v>
      </c>
      <c r="I3" s="65" t="s">
        <v>57</v>
      </c>
      <c r="J3" s="66" t="s">
        <v>58</v>
      </c>
      <c r="K3" s="65" t="s">
        <v>57</v>
      </c>
      <c r="L3" s="66" t="s">
        <v>58</v>
      </c>
      <c r="M3" s="65" t="s">
        <v>57</v>
      </c>
      <c r="N3" s="66" t="s">
        <v>58</v>
      </c>
      <c r="O3" s="65" t="s">
        <v>57</v>
      </c>
      <c r="P3" s="66" t="s">
        <v>58</v>
      </c>
      <c r="Q3" s="65" t="s">
        <v>57</v>
      </c>
      <c r="R3" s="66" t="s">
        <v>58</v>
      </c>
      <c r="S3" s="65" t="s">
        <v>57</v>
      </c>
      <c r="T3" s="66" t="s">
        <v>58</v>
      </c>
      <c r="U3" s="65" t="s">
        <v>57</v>
      </c>
      <c r="V3" s="66" t="s">
        <v>58</v>
      </c>
      <c r="W3" s="65" t="s">
        <v>57</v>
      </c>
      <c r="X3" s="66" t="s">
        <v>58</v>
      </c>
      <c r="Y3" s="65" t="s">
        <v>57</v>
      </c>
      <c r="Z3" s="66" t="s">
        <v>58</v>
      </c>
      <c r="AA3" s="64" t="s">
        <v>57</v>
      </c>
    </row>
    <row r="4" spans="1:29" s="13" customFormat="1" ht="22.5" customHeight="1">
      <c r="A4" s="6">
        <v>1</v>
      </c>
      <c r="B4" s="54" t="s">
        <v>12</v>
      </c>
      <c r="C4" s="73">
        <v>26668.5</v>
      </c>
      <c r="D4" s="74">
        <v>245</v>
      </c>
      <c r="E4" s="77">
        <v>17486</v>
      </c>
      <c r="F4" s="77">
        <v>243</v>
      </c>
      <c r="G4" s="83">
        <v>19571.5</v>
      </c>
      <c r="H4" s="84">
        <v>234</v>
      </c>
      <c r="I4" s="78">
        <v>24214.5</v>
      </c>
      <c r="J4" s="78">
        <v>218</v>
      </c>
      <c r="K4" s="71"/>
      <c r="L4" s="75"/>
      <c r="M4" s="71"/>
      <c r="N4" s="75"/>
      <c r="O4" s="59"/>
      <c r="P4" s="11"/>
      <c r="Q4" s="71"/>
      <c r="R4" s="75"/>
      <c r="S4" s="59"/>
      <c r="T4" s="11"/>
      <c r="U4" s="59"/>
      <c r="V4" s="11"/>
      <c r="W4" s="59"/>
      <c r="X4" s="11"/>
      <c r="Y4" s="82"/>
      <c r="Z4" s="12"/>
      <c r="AA4" s="70">
        <f t="shared" ref="AA4:AA32" si="0">C4+E4+G4+I4+K4+M4+O4+Q4+S4+U4+W4+Y4</f>
        <v>87940.5</v>
      </c>
      <c r="AC4" s="4"/>
    </row>
    <row r="5" spans="1:29" s="13" customFormat="1" ht="22.5" customHeight="1">
      <c r="A5" s="6">
        <v>2</v>
      </c>
      <c r="B5" s="54" t="s">
        <v>16</v>
      </c>
      <c r="C5" s="73">
        <v>12632</v>
      </c>
      <c r="D5" s="74">
        <v>120</v>
      </c>
      <c r="E5" s="77">
        <v>9325.5</v>
      </c>
      <c r="F5" s="77">
        <v>115</v>
      </c>
      <c r="G5" s="83">
        <v>8868.5</v>
      </c>
      <c r="H5" s="84">
        <v>105</v>
      </c>
      <c r="I5" s="78">
        <v>12242.5</v>
      </c>
      <c r="J5" s="78">
        <v>111</v>
      </c>
      <c r="K5" s="71"/>
      <c r="L5" s="75"/>
      <c r="M5" s="71"/>
      <c r="N5" s="75"/>
      <c r="O5" s="59"/>
      <c r="P5" s="11"/>
      <c r="Q5" s="71"/>
      <c r="R5" s="75"/>
      <c r="S5" s="59"/>
      <c r="T5" s="11"/>
      <c r="U5" s="59"/>
      <c r="V5" s="11"/>
      <c r="W5" s="59"/>
      <c r="X5" s="11"/>
      <c r="Y5" s="82"/>
      <c r="Z5" s="12"/>
      <c r="AA5" s="70">
        <f t="shared" si="0"/>
        <v>43068.5</v>
      </c>
      <c r="AC5" s="4"/>
    </row>
    <row r="6" spans="1:29" s="13" customFormat="1" ht="22.5" customHeight="1">
      <c r="A6" s="6">
        <v>3</v>
      </c>
      <c r="B6" s="54" t="s">
        <v>18</v>
      </c>
      <c r="C6" s="73">
        <v>8963</v>
      </c>
      <c r="D6" s="74">
        <v>88</v>
      </c>
      <c r="E6" s="77">
        <v>6286.5</v>
      </c>
      <c r="F6" s="77">
        <v>86</v>
      </c>
      <c r="G6" s="83">
        <v>6590.5</v>
      </c>
      <c r="H6" s="84">
        <v>82</v>
      </c>
      <c r="I6" s="78">
        <v>9489</v>
      </c>
      <c r="J6" s="78">
        <v>85</v>
      </c>
      <c r="K6" s="71"/>
      <c r="L6" s="75"/>
      <c r="M6" s="71"/>
      <c r="N6" s="75"/>
      <c r="O6" s="59"/>
      <c r="P6" s="11"/>
      <c r="Q6" s="71"/>
      <c r="R6" s="75"/>
      <c r="S6" s="59"/>
      <c r="T6" s="11"/>
      <c r="U6" s="59"/>
      <c r="V6" s="11"/>
      <c r="W6" s="59"/>
      <c r="X6" s="11"/>
      <c r="Y6" s="82"/>
      <c r="Z6" s="12"/>
      <c r="AA6" s="70">
        <f t="shared" si="0"/>
        <v>31329</v>
      </c>
      <c r="AC6" s="4"/>
    </row>
    <row r="7" spans="1:29" s="13" customFormat="1" ht="22.5" customHeight="1">
      <c r="A7" s="6">
        <v>4</v>
      </c>
      <c r="B7" s="54" t="s">
        <v>5</v>
      </c>
      <c r="C7" s="73">
        <v>7168.5</v>
      </c>
      <c r="D7" s="74">
        <v>70</v>
      </c>
      <c r="E7" s="77">
        <v>5080.5</v>
      </c>
      <c r="F7" s="77">
        <v>70</v>
      </c>
      <c r="G7" s="83">
        <v>5152.5</v>
      </c>
      <c r="H7" s="84">
        <v>64</v>
      </c>
      <c r="I7" s="78">
        <v>6445</v>
      </c>
      <c r="J7" s="78">
        <v>55</v>
      </c>
      <c r="K7" s="71"/>
      <c r="L7" s="75"/>
      <c r="M7" s="71"/>
      <c r="N7" s="75"/>
      <c r="O7" s="59"/>
      <c r="P7" s="11"/>
      <c r="Q7" s="71"/>
      <c r="R7" s="75"/>
      <c r="S7" s="59"/>
      <c r="T7" s="11"/>
      <c r="U7" s="59"/>
      <c r="V7" s="11"/>
      <c r="W7" s="59"/>
      <c r="X7" s="11"/>
      <c r="Y7" s="82"/>
      <c r="Z7" s="12"/>
      <c r="AA7" s="70">
        <f t="shared" si="0"/>
        <v>23846.5</v>
      </c>
      <c r="AC7" s="4"/>
    </row>
    <row r="8" spans="1:29" s="13" customFormat="1" ht="22.5" customHeight="1">
      <c r="A8" s="6">
        <v>5</v>
      </c>
      <c r="B8" s="54" t="s">
        <v>17</v>
      </c>
      <c r="C8" s="73">
        <v>5488</v>
      </c>
      <c r="D8" s="74">
        <v>52</v>
      </c>
      <c r="E8" s="77">
        <v>3801.5</v>
      </c>
      <c r="F8" s="77">
        <v>49</v>
      </c>
      <c r="G8" s="83">
        <v>4167</v>
      </c>
      <c r="H8" s="84">
        <v>52</v>
      </c>
      <c r="I8" s="78">
        <v>5324.5</v>
      </c>
      <c r="J8" s="78">
        <v>48</v>
      </c>
      <c r="K8" s="71"/>
      <c r="L8" s="75"/>
      <c r="M8" s="71"/>
      <c r="N8" s="75"/>
      <c r="O8" s="59"/>
      <c r="P8" s="11"/>
      <c r="Q8" s="71"/>
      <c r="R8" s="75"/>
      <c r="S8" s="59"/>
      <c r="T8" s="11"/>
      <c r="U8" s="59"/>
      <c r="V8" s="11"/>
      <c r="W8" s="59"/>
      <c r="X8" s="11"/>
      <c r="Y8" s="82"/>
      <c r="Z8" s="12"/>
      <c r="AA8" s="70">
        <f t="shared" si="0"/>
        <v>18781</v>
      </c>
      <c r="AC8" s="4"/>
    </row>
    <row r="9" spans="1:29" s="13" customFormat="1" ht="22.5" customHeight="1">
      <c r="A9" s="6">
        <v>6</v>
      </c>
      <c r="B9" s="54" t="s">
        <v>6</v>
      </c>
      <c r="C9" s="73">
        <v>5127</v>
      </c>
      <c r="D9" s="74">
        <v>49</v>
      </c>
      <c r="E9" s="77">
        <v>3653.5</v>
      </c>
      <c r="F9" s="77">
        <v>49</v>
      </c>
      <c r="G9" s="83">
        <v>3939.5</v>
      </c>
      <c r="H9" s="84">
        <v>51</v>
      </c>
      <c r="I9" s="78">
        <v>5569</v>
      </c>
      <c r="J9" s="78">
        <v>53</v>
      </c>
      <c r="K9" s="71"/>
      <c r="L9" s="75"/>
      <c r="M9" s="71"/>
      <c r="N9" s="75"/>
      <c r="O9" s="59"/>
      <c r="P9" s="11"/>
      <c r="Q9" s="71"/>
      <c r="R9" s="75"/>
      <c r="S9" s="59"/>
      <c r="T9" s="11"/>
      <c r="U9" s="59"/>
      <c r="V9" s="11"/>
      <c r="W9" s="59"/>
      <c r="X9" s="11"/>
      <c r="Y9" s="82"/>
      <c r="Z9" s="12"/>
      <c r="AA9" s="70">
        <f t="shared" si="0"/>
        <v>18289</v>
      </c>
      <c r="AC9" s="4"/>
    </row>
    <row r="10" spans="1:29" s="13" customFormat="1" ht="22.5" customHeight="1">
      <c r="A10" s="6">
        <v>7</v>
      </c>
      <c r="B10" s="54" t="s">
        <v>21</v>
      </c>
      <c r="C10" s="73">
        <v>3241</v>
      </c>
      <c r="D10" s="74">
        <v>37</v>
      </c>
      <c r="E10" s="77">
        <v>2234</v>
      </c>
      <c r="F10" s="77">
        <v>37</v>
      </c>
      <c r="G10" s="83">
        <v>2737</v>
      </c>
      <c r="H10" s="84">
        <v>36</v>
      </c>
      <c r="I10" s="78">
        <v>3487</v>
      </c>
      <c r="J10" s="78">
        <v>37</v>
      </c>
      <c r="K10" s="71"/>
      <c r="L10" s="75"/>
      <c r="M10" s="71"/>
      <c r="N10" s="75"/>
      <c r="O10" s="59"/>
      <c r="P10" s="11"/>
      <c r="Q10" s="71"/>
      <c r="R10" s="75"/>
      <c r="S10" s="59"/>
      <c r="T10" s="11"/>
      <c r="U10" s="59"/>
      <c r="V10" s="11"/>
      <c r="W10" s="59"/>
      <c r="X10" s="11"/>
      <c r="Y10" s="82"/>
      <c r="Z10" s="12"/>
      <c r="AA10" s="70">
        <f t="shared" si="0"/>
        <v>11699</v>
      </c>
      <c r="AC10" s="4"/>
    </row>
    <row r="11" spans="1:29" s="13" customFormat="1" ht="22.5" customHeight="1">
      <c r="A11" s="6">
        <v>8</v>
      </c>
      <c r="B11" s="54" t="s">
        <v>14</v>
      </c>
      <c r="C11" s="73">
        <v>3019.5</v>
      </c>
      <c r="D11" s="74">
        <v>31</v>
      </c>
      <c r="E11" s="77">
        <v>2220.5</v>
      </c>
      <c r="F11" s="77">
        <v>32</v>
      </c>
      <c r="G11" s="83">
        <v>2398.5</v>
      </c>
      <c r="H11" s="84">
        <v>30</v>
      </c>
      <c r="I11" s="78">
        <v>3218.5</v>
      </c>
      <c r="J11" s="78">
        <v>30</v>
      </c>
      <c r="K11" s="71"/>
      <c r="L11" s="75"/>
      <c r="M11" s="71"/>
      <c r="N11" s="75"/>
      <c r="O11" s="59"/>
      <c r="P11" s="11"/>
      <c r="Q11" s="71"/>
      <c r="R11" s="75"/>
      <c r="S11" s="59"/>
      <c r="T11" s="11"/>
      <c r="U11" s="59"/>
      <c r="V11" s="11"/>
      <c r="W11" s="59"/>
      <c r="X11" s="11"/>
      <c r="Y11" s="82"/>
      <c r="Z11" s="12"/>
      <c r="AA11" s="70">
        <f t="shared" si="0"/>
        <v>10857</v>
      </c>
      <c r="AC11" s="4"/>
    </row>
    <row r="12" spans="1:29" s="13" customFormat="1" ht="22.5" customHeight="1">
      <c r="A12" s="6">
        <v>9</v>
      </c>
      <c r="B12" s="54" t="s">
        <v>10</v>
      </c>
      <c r="C12" s="73">
        <v>2312</v>
      </c>
      <c r="D12" s="74">
        <v>27</v>
      </c>
      <c r="E12" s="77">
        <v>1564.5</v>
      </c>
      <c r="F12" s="77">
        <v>27</v>
      </c>
      <c r="G12" s="83">
        <v>1649.5</v>
      </c>
      <c r="H12" s="84">
        <v>25</v>
      </c>
      <c r="I12" s="78">
        <v>2134</v>
      </c>
      <c r="J12" s="78">
        <v>24</v>
      </c>
      <c r="K12" s="71"/>
      <c r="L12" s="75"/>
      <c r="M12" s="71"/>
      <c r="N12" s="75"/>
      <c r="O12" s="59"/>
      <c r="P12" s="11"/>
      <c r="Q12" s="71"/>
      <c r="R12" s="75"/>
      <c r="S12" s="59"/>
      <c r="T12" s="11"/>
      <c r="U12" s="59"/>
      <c r="V12" s="11"/>
      <c r="W12" s="59"/>
      <c r="X12" s="11"/>
      <c r="Y12" s="82"/>
      <c r="Z12" s="12"/>
      <c r="AA12" s="70">
        <f t="shared" si="0"/>
        <v>7660</v>
      </c>
      <c r="AC12" s="4"/>
    </row>
    <row r="13" spans="1:29" s="13" customFormat="1" ht="22.5" customHeight="1">
      <c r="A13" s="6">
        <v>10</v>
      </c>
      <c r="B13" s="54" t="s">
        <v>7</v>
      </c>
      <c r="C13" s="73">
        <v>1794</v>
      </c>
      <c r="D13" s="74">
        <v>17</v>
      </c>
      <c r="E13" s="77">
        <v>1306</v>
      </c>
      <c r="F13" s="77">
        <v>16</v>
      </c>
      <c r="G13" s="83">
        <v>1339.5</v>
      </c>
      <c r="H13" s="84">
        <v>16</v>
      </c>
      <c r="I13" s="78">
        <v>1603</v>
      </c>
      <c r="J13" s="78">
        <v>17</v>
      </c>
      <c r="K13" s="71"/>
      <c r="L13" s="75"/>
      <c r="M13" s="71"/>
      <c r="N13" s="75"/>
      <c r="O13" s="59"/>
      <c r="P13" s="11"/>
      <c r="Q13" s="71"/>
      <c r="R13" s="75"/>
      <c r="S13" s="59"/>
      <c r="T13" s="11"/>
      <c r="U13" s="59"/>
      <c r="V13" s="11"/>
      <c r="W13" s="59"/>
      <c r="X13" s="11"/>
      <c r="Y13" s="82"/>
      <c r="Z13" s="12"/>
      <c r="AA13" s="70">
        <f t="shared" si="0"/>
        <v>6042.5</v>
      </c>
      <c r="AC13" s="4"/>
    </row>
    <row r="14" spans="1:29" s="13" customFormat="1" ht="22.5" customHeight="1">
      <c r="A14" s="6">
        <v>11</v>
      </c>
      <c r="B14" s="54" t="s">
        <v>25</v>
      </c>
      <c r="C14" s="73">
        <v>1426.5</v>
      </c>
      <c r="D14" s="74">
        <v>16</v>
      </c>
      <c r="E14" s="77">
        <v>1112</v>
      </c>
      <c r="F14" s="77">
        <v>16</v>
      </c>
      <c r="G14" s="83">
        <v>1125</v>
      </c>
      <c r="H14" s="84">
        <v>18</v>
      </c>
      <c r="I14" s="78">
        <v>1430.5</v>
      </c>
      <c r="J14" s="78">
        <v>16</v>
      </c>
      <c r="K14" s="71"/>
      <c r="L14" s="75"/>
      <c r="M14" s="71"/>
      <c r="N14" s="75"/>
      <c r="O14" s="59"/>
      <c r="P14" s="11"/>
      <c r="Q14" s="71"/>
      <c r="R14" s="75"/>
      <c r="S14" s="59"/>
      <c r="T14" s="11"/>
      <c r="U14" s="59"/>
      <c r="V14" s="11"/>
      <c r="W14" s="59"/>
      <c r="X14" s="11"/>
      <c r="Y14" s="82"/>
      <c r="Z14" s="12"/>
      <c r="AA14" s="70">
        <f t="shared" si="0"/>
        <v>5094</v>
      </c>
      <c r="AC14" s="4"/>
    </row>
    <row r="15" spans="1:29" s="13" customFormat="1" ht="22.5" customHeight="1">
      <c r="A15" s="6">
        <v>12</v>
      </c>
      <c r="B15" s="54" t="s">
        <v>69</v>
      </c>
      <c r="C15" s="73">
        <v>1015.5</v>
      </c>
      <c r="D15" s="74">
        <v>10</v>
      </c>
      <c r="E15" s="77">
        <v>687</v>
      </c>
      <c r="F15" s="77">
        <v>10</v>
      </c>
      <c r="G15" s="83">
        <v>853</v>
      </c>
      <c r="H15" s="84">
        <v>10</v>
      </c>
      <c r="I15" s="78">
        <v>1075.5</v>
      </c>
      <c r="J15" s="78">
        <v>10</v>
      </c>
      <c r="K15" s="71"/>
      <c r="L15" s="75"/>
      <c r="M15" s="71"/>
      <c r="N15" s="75"/>
      <c r="O15" s="59"/>
      <c r="P15" s="11"/>
      <c r="Q15" s="71"/>
      <c r="R15" s="75"/>
      <c r="S15" s="59"/>
      <c r="T15" s="11"/>
      <c r="U15" s="59"/>
      <c r="V15" s="11"/>
      <c r="W15" s="59"/>
      <c r="X15" s="11"/>
      <c r="Y15" s="82"/>
      <c r="Z15" s="12"/>
      <c r="AA15" s="70">
        <f t="shared" si="0"/>
        <v>3631</v>
      </c>
      <c r="AC15" s="4"/>
    </row>
    <row r="16" spans="1:29" s="13" customFormat="1" ht="22.5" customHeight="1">
      <c r="A16" s="6">
        <v>13</v>
      </c>
      <c r="B16" s="54" t="s">
        <v>11</v>
      </c>
      <c r="C16" s="73">
        <v>1171</v>
      </c>
      <c r="D16" s="74">
        <v>11</v>
      </c>
      <c r="E16" s="77">
        <v>874.5</v>
      </c>
      <c r="F16" s="77">
        <v>11</v>
      </c>
      <c r="G16" s="83">
        <v>758</v>
      </c>
      <c r="H16" s="84">
        <v>9</v>
      </c>
      <c r="I16" s="78">
        <v>722.5</v>
      </c>
      <c r="J16" s="78">
        <v>8</v>
      </c>
      <c r="K16" s="71"/>
      <c r="L16" s="75"/>
      <c r="M16" s="71"/>
      <c r="N16" s="75"/>
      <c r="O16" s="59"/>
      <c r="P16" s="11"/>
      <c r="Q16" s="71"/>
      <c r="R16" s="75"/>
      <c r="S16" s="59"/>
      <c r="T16" s="11"/>
      <c r="U16" s="59"/>
      <c r="V16" s="11"/>
      <c r="W16" s="59"/>
      <c r="X16" s="11"/>
      <c r="Y16" s="82"/>
      <c r="Z16" s="12"/>
      <c r="AA16" s="70">
        <f t="shared" si="0"/>
        <v>3526</v>
      </c>
      <c r="AC16" s="4"/>
    </row>
    <row r="17" spans="1:29" s="13" customFormat="1" ht="22.5" customHeight="1">
      <c r="A17" s="6">
        <v>14</v>
      </c>
      <c r="B17" s="54" t="s">
        <v>28</v>
      </c>
      <c r="C17" s="73">
        <v>1003</v>
      </c>
      <c r="D17" s="74">
        <v>9</v>
      </c>
      <c r="E17" s="77">
        <v>705</v>
      </c>
      <c r="F17" s="77">
        <v>9</v>
      </c>
      <c r="G17" s="83">
        <v>696</v>
      </c>
      <c r="H17" s="84">
        <v>9</v>
      </c>
      <c r="I17" s="78">
        <v>852.5</v>
      </c>
      <c r="J17" s="78">
        <v>8</v>
      </c>
      <c r="K17" s="71"/>
      <c r="L17" s="75"/>
      <c r="M17" s="71"/>
      <c r="N17" s="75"/>
      <c r="O17" s="59"/>
      <c r="P17" s="11"/>
      <c r="Q17" s="71"/>
      <c r="R17" s="75"/>
      <c r="S17" s="59"/>
      <c r="T17" s="11"/>
      <c r="U17" s="59"/>
      <c r="V17" s="11"/>
      <c r="W17" s="59"/>
      <c r="X17" s="11"/>
      <c r="Y17" s="82"/>
      <c r="Z17" s="12"/>
      <c r="AA17" s="70">
        <f t="shared" si="0"/>
        <v>3256.5</v>
      </c>
      <c r="AC17" s="4"/>
    </row>
    <row r="18" spans="1:29" s="13" customFormat="1" ht="22.5" customHeight="1">
      <c r="A18" s="6">
        <v>15</v>
      </c>
      <c r="B18" s="54" t="s">
        <v>27</v>
      </c>
      <c r="C18" s="73">
        <v>481.5</v>
      </c>
      <c r="D18" s="74">
        <v>11</v>
      </c>
      <c r="E18" s="77">
        <v>320</v>
      </c>
      <c r="F18" s="77">
        <v>10</v>
      </c>
      <c r="G18" s="83">
        <v>456</v>
      </c>
      <c r="H18" s="84">
        <v>10</v>
      </c>
      <c r="I18" s="78">
        <v>632</v>
      </c>
      <c r="J18" s="78">
        <v>9</v>
      </c>
      <c r="K18" s="71"/>
      <c r="L18" s="75"/>
      <c r="M18" s="71"/>
      <c r="N18" s="75"/>
      <c r="O18" s="59"/>
      <c r="P18" s="11"/>
      <c r="Q18" s="71"/>
      <c r="R18" s="75"/>
      <c r="S18" s="59"/>
      <c r="T18" s="11"/>
      <c r="U18" s="59"/>
      <c r="V18" s="79"/>
      <c r="W18" s="80"/>
      <c r="X18" s="81"/>
      <c r="Y18" s="82"/>
      <c r="Z18" s="12"/>
      <c r="AA18" s="70">
        <f t="shared" si="0"/>
        <v>1889.5</v>
      </c>
      <c r="AC18" s="4"/>
    </row>
    <row r="19" spans="1:29" s="13" customFormat="1" ht="22.5" customHeight="1">
      <c r="A19" s="6">
        <v>16</v>
      </c>
      <c r="B19" s="54" t="s">
        <v>9</v>
      </c>
      <c r="C19" s="73">
        <v>489</v>
      </c>
      <c r="D19" s="74">
        <v>6</v>
      </c>
      <c r="E19" s="77">
        <v>395</v>
      </c>
      <c r="F19" s="77">
        <v>6</v>
      </c>
      <c r="G19" s="83">
        <v>463</v>
      </c>
      <c r="H19" s="84">
        <v>6</v>
      </c>
      <c r="I19" s="78">
        <v>416</v>
      </c>
      <c r="J19" s="78">
        <v>6</v>
      </c>
      <c r="K19" s="71"/>
      <c r="L19" s="75"/>
      <c r="M19" s="71"/>
      <c r="N19" s="75"/>
      <c r="O19" s="59"/>
      <c r="P19" s="11"/>
      <c r="Q19" s="71"/>
      <c r="R19" s="75"/>
      <c r="S19" s="59"/>
      <c r="T19" s="11"/>
      <c r="U19" s="59"/>
      <c r="V19" s="11"/>
      <c r="W19" s="59"/>
      <c r="X19" s="11"/>
      <c r="Y19" s="82"/>
      <c r="Z19" s="12"/>
      <c r="AA19" s="70">
        <f t="shared" si="0"/>
        <v>1763</v>
      </c>
      <c r="AC19" s="4"/>
    </row>
    <row r="20" spans="1:29" s="13" customFormat="1" ht="22.5" customHeight="1">
      <c r="A20" s="6">
        <v>17</v>
      </c>
      <c r="B20" s="54" t="s">
        <v>70</v>
      </c>
      <c r="C20" s="73">
        <v>407</v>
      </c>
      <c r="D20" s="74">
        <v>7</v>
      </c>
      <c r="E20" s="77">
        <v>496.5</v>
      </c>
      <c r="F20" s="77">
        <v>7</v>
      </c>
      <c r="G20" s="83">
        <v>427</v>
      </c>
      <c r="H20" s="84">
        <v>7</v>
      </c>
      <c r="I20" s="78">
        <v>416</v>
      </c>
      <c r="J20" s="78">
        <v>6</v>
      </c>
      <c r="K20" s="71"/>
      <c r="L20" s="75"/>
      <c r="M20" s="71"/>
      <c r="N20" s="75"/>
      <c r="O20" s="59"/>
      <c r="P20" s="11"/>
      <c r="Q20" s="71"/>
      <c r="R20" s="75"/>
      <c r="S20" s="59"/>
      <c r="T20" s="11"/>
      <c r="U20" s="59"/>
      <c r="V20" s="11"/>
      <c r="W20" s="59"/>
      <c r="X20" s="11"/>
      <c r="Y20" s="82"/>
      <c r="Z20" s="12"/>
      <c r="AA20" s="70">
        <f t="shared" si="0"/>
        <v>1746.5</v>
      </c>
      <c r="AC20" s="4"/>
    </row>
    <row r="21" spans="1:29" s="13" customFormat="1" ht="22.5" customHeight="1">
      <c r="A21" s="6">
        <v>18</v>
      </c>
      <c r="B21" s="54" t="s">
        <v>23</v>
      </c>
      <c r="C21" s="73">
        <v>344</v>
      </c>
      <c r="D21" s="74">
        <v>5</v>
      </c>
      <c r="E21" s="77">
        <v>398</v>
      </c>
      <c r="F21" s="77">
        <v>5</v>
      </c>
      <c r="G21" s="83">
        <v>263</v>
      </c>
      <c r="H21" s="84">
        <v>4</v>
      </c>
      <c r="I21" s="78">
        <v>374</v>
      </c>
      <c r="J21" s="78">
        <v>4</v>
      </c>
      <c r="K21" s="71"/>
      <c r="L21" s="75"/>
      <c r="M21" s="71"/>
      <c r="N21" s="75"/>
      <c r="O21" s="59"/>
      <c r="P21" s="11"/>
      <c r="Q21" s="71"/>
      <c r="R21" s="75"/>
      <c r="S21" s="59"/>
      <c r="T21" s="11"/>
      <c r="U21" s="59"/>
      <c r="V21" s="11"/>
      <c r="W21" s="59"/>
      <c r="X21" s="11"/>
      <c r="Y21" s="82"/>
      <c r="Z21" s="12"/>
      <c r="AA21" s="70">
        <f t="shared" si="0"/>
        <v>1379</v>
      </c>
      <c r="AC21" s="4"/>
    </row>
    <row r="22" spans="1:29" s="13" customFormat="1" ht="22.5" customHeight="1">
      <c r="A22" s="6">
        <v>19</v>
      </c>
      <c r="B22" s="54" t="s">
        <v>24</v>
      </c>
      <c r="C22" s="73">
        <v>391</v>
      </c>
      <c r="D22" s="74">
        <v>5</v>
      </c>
      <c r="E22" s="77">
        <v>243</v>
      </c>
      <c r="F22" s="77">
        <v>5</v>
      </c>
      <c r="G22" s="83">
        <v>306.5</v>
      </c>
      <c r="H22" s="84">
        <v>4</v>
      </c>
      <c r="I22" s="78">
        <v>334.5</v>
      </c>
      <c r="J22" s="78">
        <v>4</v>
      </c>
      <c r="K22" s="71"/>
      <c r="L22" s="75"/>
      <c r="M22" s="71"/>
      <c r="N22" s="75"/>
      <c r="O22" s="59"/>
      <c r="P22" s="11"/>
      <c r="Q22" s="71"/>
      <c r="R22" s="75"/>
      <c r="S22" s="59"/>
      <c r="T22" s="11"/>
      <c r="U22" s="59"/>
      <c r="V22" s="11"/>
      <c r="W22" s="59"/>
      <c r="X22" s="11"/>
      <c r="Y22" s="82"/>
      <c r="Z22" s="12"/>
      <c r="AA22" s="70">
        <f t="shared" si="0"/>
        <v>1275</v>
      </c>
      <c r="AC22" s="4"/>
    </row>
    <row r="23" spans="1:29" s="13" customFormat="1" ht="22.5" customHeight="1">
      <c r="A23" s="6">
        <v>20</v>
      </c>
      <c r="B23" s="54" t="s">
        <v>29</v>
      </c>
      <c r="C23" s="73">
        <v>288</v>
      </c>
      <c r="D23" s="74">
        <v>8</v>
      </c>
      <c r="E23" s="77">
        <v>282.5</v>
      </c>
      <c r="F23" s="77">
        <v>8</v>
      </c>
      <c r="G23" s="83">
        <v>372</v>
      </c>
      <c r="H23" s="84">
        <v>8</v>
      </c>
      <c r="I23" s="78">
        <v>269.5</v>
      </c>
      <c r="J23" s="78">
        <v>7</v>
      </c>
      <c r="K23" s="71"/>
      <c r="L23" s="75"/>
      <c r="M23" s="71"/>
      <c r="N23" s="75"/>
      <c r="O23" s="59"/>
      <c r="P23" s="11"/>
      <c r="Q23" s="71"/>
      <c r="R23" s="75"/>
      <c r="S23" s="59"/>
      <c r="T23" s="11"/>
      <c r="U23" s="59"/>
      <c r="V23" s="11"/>
      <c r="W23" s="59"/>
      <c r="X23" s="11"/>
      <c r="Y23" s="82"/>
      <c r="Z23" s="12"/>
      <c r="AA23" s="70">
        <f t="shared" si="0"/>
        <v>1212</v>
      </c>
      <c r="AC23" s="4"/>
    </row>
    <row r="24" spans="1:29" s="13" customFormat="1" ht="22.5" customHeight="1">
      <c r="A24" s="6">
        <v>21</v>
      </c>
      <c r="B24" s="54" t="s">
        <v>22</v>
      </c>
      <c r="C24" s="73">
        <v>377.5</v>
      </c>
      <c r="D24" s="74">
        <v>13</v>
      </c>
      <c r="E24" s="77">
        <v>250</v>
      </c>
      <c r="F24" s="77">
        <v>13</v>
      </c>
      <c r="G24" s="83">
        <v>273</v>
      </c>
      <c r="H24" s="84">
        <v>12</v>
      </c>
      <c r="I24" s="78">
        <v>307</v>
      </c>
      <c r="J24" s="78">
        <v>12</v>
      </c>
      <c r="K24" s="71"/>
      <c r="L24" s="75"/>
      <c r="M24" s="71"/>
      <c r="N24" s="75"/>
      <c r="O24" s="59"/>
      <c r="P24" s="11"/>
      <c r="Q24" s="71"/>
      <c r="R24" s="75"/>
      <c r="S24" s="59"/>
      <c r="T24" s="11"/>
      <c r="U24" s="59"/>
      <c r="V24" s="11"/>
      <c r="W24" s="59"/>
      <c r="X24" s="11"/>
      <c r="Y24" s="82"/>
      <c r="Z24" s="12"/>
      <c r="AA24" s="70">
        <f t="shared" si="0"/>
        <v>1207.5</v>
      </c>
      <c r="AC24" s="4"/>
    </row>
    <row r="25" spans="1:29" s="13" customFormat="1" ht="22.5" customHeight="1">
      <c r="A25" s="6">
        <v>22</v>
      </c>
      <c r="B25" s="54" t="s">
        <v>26</v>
      </c>
      <c r="C25" s="73">
        <v>197.5</v>
      </c>
      <c r="D25" s="74">
        <v>2</v>
      </c>
      <c r="E25" s="77">
        <v>153.5</v>
      </c>
      <c r="F25" s="77">
        <v>2</v>
      </c>
      <c r="G25" s="83">
        <v>192.5</v>
      </c>
      <c r="H25" s="84">
        <v>3</v>
      </c>
      <c r="I25" s="78">
        <v>157</v>
      </c>
      <c r="J25" s="78">
        <v>2</v>
      </c>
      <c r="K25" s="71"/>
      <c r="L25" s="75"/>
      <c r="M25" s="71"/>
      <c r="N25" s="75"/>
      <c r="O25" s="59"/>
      <c r="P25" s="11"/>
      <c r="Q25" s="71"/>
      <c r="R25" s="75"/>
      <c r="S25" s="59"/>
      <c r="T25" s="11"/>
      <c r="U25" s="59"/>
      <c r="V25" s="11"/>
      <c r="W25" s="59"/>
      <c r="X25" s="11"/>
      <c r="Y25" s="82"/>
      <c r="Z25" s="12"/>
      <c r="AA25" s="70">
        <f t="shared" si="0"/>
        <v>700.5</v>
      </c>
      <c r="AC25" s="4"/>
    </row>
    <row r="26" spans="1:29" s="13" customFormat="1" ht="22.5" customHeight="1">
      <c r="A26" s="6">
        <v>23</v>
      </c>
      <c r="B26" s="54" t="s">
        <v>31</v>
      </c>
      <c r="C26" s="73">
        <v>41</v>
      </c>
      <c r="D26" s="74">
        <v>2</v>
      </c>
      <c r="E26" s="77">
        <v>149</v>
      </c>
      <c r="F26" s="77">
        <v>6</v>
      </c>
      <c r="G26" s="83">
        <v>145.5</v>
      </c>
      <c r="H26" s="84">
        <v>6</v>
      </c>
      <c r="I26" s="78">
        <v>148</v>
      </c>
      <c r="J26" s="78">
        <v>6</v>
      </c>
      <c r="K26" s="71"/>
      <c r="L26" s="75"/>
      <c r="M26" s="71"/>
      <c r="N26" s="75"/>
      <c r="O26" s="59"/>
      <c r="P26" s="11"/>
      <c r="Q26" s="71"/>
      <c r="R26" s="75"/>
      <c r="S26" s="59"/>
      <c r="T26" s="11"/>
      <c r="U26" s="59"/>
      <c r="V26" s="11"/>
      <c r="W26" s="59"/>
      <c r="X26" s="11"/>
      <c r="Y26" s="82"/>
      <c r="Z26" s="12"/>
      <c r="AA26" s="70">
        <f t="shared" si="0"/>
        <v>483.5</v>
      </c>
      <c r="AC26" s="4"/>
    </row>
    <row r="27" spans="1:29" s="13" customFormat="1" ht="22.5" customHeight="1">
      <c r="A27" s="6">
        <v>24</v>
      </c>
      <c r="B27" s="54" t="s">
        <v>34</v>
      </c>
      <c r="C27" s="73">
        <v>94</v>
      </c>
      <c r="D27" s="74">
        <v>5</v>
      </c>
      <c r="E27" s="77">
        <v>107.5</v>
      </c>
      <c r="F27" s="77">
        <v>6</v>
      </c>
      <c r="G27" s="83">
        <v>105.5</v>
      </c>
      <c r="H27" s="84">
        <v>6</v>
      </c>
      <c r="I27" s="78">
        <v>122</v>
      </c>
      <c r="J27" s="78">
        <v>6</v>
      </c>
      <c r="K27" s="71"/>
      <c r="L27" s="75"/>
      <c r="M27" s="71"/>
      <c r="N27" s="75"/>
      <c r="O27" s="59"/>
      <c r="P27" s="11"/>
      <c r="Q27" s="71"/>
      <c r="R27" s="75"/>
      <c r="S27" s="59"/>
      <c r="T27" s="11"/>
      <c r="U27" s="59"/>
      <c r="V27" s="11"/>
      <c r="W27" s="59"/>
      <c r="X27" s="11"/>
      <c r="Y27" s="82"/>
      <c r="Z27" s="12"/>
      <c r="AA27" s="70">
        <f t="shared" si="0"/>
        <v>429</v>
      </c>
      <c r="AC27" s="4"/>
    </row>
    <row r="28" spans="1:29" s="13" customFormat="1" ht="22.5" customHeight="1">
      <c r="A28" s="6">
        <v>25</v>
      </c>
      <c r="B28" s="54" t="s">
        <v>36</v>
      </c>
      <c r="C28" s="73">
        <v>49.5</v>
      </c>
      <c r="D28" s="74">
        <v>5</v>
      </c>
      <c r="E28" s="77">
        <v>26</v>
      </c>
      <c r="F28" s="77">
        <v>5</v>
      </c>
      <c r="G28" s="83">
        <v>47.5</v>
      </c>
      <c r="H28" s="84">
        <v>5</v>
      </c>
      <c r="I28" s="78">
        <v>70.5</v>
      </c>
      <c r="J28" s="78">
        <v>5</v>
      </c>
      <c r="K28" s="71"/>
      <c r="L28" s="75"/>
      <c r="M28" s="71"/>
      <c r="N28" s="75"/>
      <c r="O28" s="59"/>
      <c r="P28" s="11"/>
      <c r="Q28" s="71"/>
      <c r="R28" s="75"/>
      <c r="S28" s="59"/>
      <c r="T28" s="11"/>
      <c r="U28" s="59"/>
      <c r="V28" s="11"/>
      <c r="W28" s="59"/>
      <c r="X28" s="11"/>
      <c r="Y28" s="82"/>
      <c r="Z28" s="12"/>
      <c r="AA28" s="70">
        <f t="shared" si="0"/>
        <v>193.5</v>
      </c>
      <c r="AC28" s="4"/>
    </row>
    <row r="29" spans="1:29" s="13" customFormat="1" ht="22.5" customHeight="1">
      <c r="A29" s="6">
        <v>26</v>
      </c>
      <c r="B29" s="54" t="s">
        <v>32</v>
      </c>
      <c r="C29" s="73">
        <v>37.5</v>
      </c>
      <c r="D29" s="74">
        <v>3</v>
      </c>
      <c r="E29" s="77">
        <v>18.5</v>
      </c>
      <c r="F29" s="77">
        <v>3</v>
      </c>
      <c r="G29" s="83">
        <v>34</v>
      </c>
      <c r="H29" s="84">
        <v>3</v>
      </c>
      <c r="I29" s="78">
        <v>46.5</v>
      </c>
      <c r="J29" s="78">
        <v>3</v>
      </c>
      <c r="K29" s="71"/>
      <c r="L29" s="75"/>
      <c r="M29" s="71"/>
      <c r="N29" s="75"/>
      <c r="O29" s="59"/>
      <c r="P29" s="11"/>
      <c r="Q29" s="71"/>
      <c r="R29" s="75"/>
      <c r="S29" s="59"/>
      <c r="T29" s="11"/>
      <c r="U29" s="59"/>
      <c r="V29" s="11"/>
      <c r="W29" s="59"/>
      <c r="X29" s="11"/>
      <c r="Y29" s="82"/>
      <c r="Z29" s="12"/>
      <c r="AA29" s="70">
        <f t="shared" si="0"/>
        <v>136.5</v>
      </c>
      <c r="AC29" s="4"/>
    </row>
    <row r="30" spans="1:29" s="13" customFormat="1" ht="22.5" customHeight="1">
      <c r="A30" s="6">
        <v>27</v>
      </c>
      <c r="B30" s="54" t="s">
        <v>30</v>
      </c>
      <c r="C30" s="73">
        <v>37.5</v>
      </c>
      <c r="D30" s="74">
        <v>6</v>
      </c>
      <c r="E30" s="77">
        <v>17</v>
      </c>
      <c r="F30" s="77">
        <v>5</v>
      </c>
      <c r="G30" s="83">
        <v>42</v>
      </c>
      <c r="H30" s="84">
        <v>5</v>
      </c>
      <c r="I30" s="78">
        <v>34.5</v>
      </c>
      <c r="J30" s="78">
        <v>4</v>
      </c>
      <c r="K30" s="71"/>
      <c r="L30" s="75"/>
      <c r="M30" s="71"/>
      <c r="N30" s="75"/>
      <c r="O30" s="59"/>
      <c r="P30" s="11"/>
      <c r="Q30" s="71"/>
      <c r="R30" s="75"/>
      <c r="S30" s="59"/>
      <c r="T30" s="11"/>
      <c r="U30" s="59"/>
      <c r="V30" s="11"/>
      <c r="W30" s="59"/>
      <c r="X30" s="11"/>
      <c r="Y30" s="82"/>
      <c r="Z30" s="12"/>
      <c r="AA30" s="70">
        <f t="shared" si="0"/>
        <v>131</v>
      </c>
      <c r="AC30" s="4"/>
    </row>
    <row r="31" spans="1:29" s="13" customFormat="1" ht="22.5" customHeight="1">
      <c r="A31" s="6">
        <v>28</v>
      </c>
      <c r="B31" s="54" t="s">
        <v>71</v>
      </c>
      <c r="C31" s="73">
        <v>21.5</v>
      </c>
      <c r="D31" s="74">
        <v>5</v>
      </c>
      <c r="E31" s="77">
        <v>14</v>
      </c>
      <c r="F31" s="77">
        <v>5</v>
      </c>
      <c r="G31" s="83">
        <v>12.5</v>
      </c>
      <c r="H31" s="84">
        <v>5</v>
      </c>
      <c r="I31" s="78">
        <v>27.5</v>
      </c>
      <c r="J31" s="78">
        <v>5</v>
      </c>
      <c r="K31" s="71"/>
      <c r="L31" s="75"/>
      <c r="M31" s="71"/>
      <c r="N31" s="75"/>
      <c r="O31" s="59"/>
      <c r="P31" s="11"/>
      <c r="Q31" s="71"/>
      <c r="R31" s="75"/>
      <c r="S31" s="59"/>
      <c r="T31" s="11"/>
      <c r="U31" s="59"/>
      <c r="V31" s="11"/>
      <c r="W31" s="59"/>
      <c r="X31" s="11"/>
      <c r="Y31" s="82"/>
      <c r="Z31" s="12"/>
      <c r="AA31" s="70">
        <f t="shared" si="0"/>
        <v>75.5</v>
      </c>
      <c r="AC31" s="4"/>
    </row>
    <row r="32" spans="1:29" s="13" customFormat="1" ht="22.5" customHeight="1">
      <c r="A32" s="6">
        <v>29</v>
      </c>
      <c r="B32" s="54" t="s">
        <v>72</v>
      </c>
      <c r="C32" s="73">
        <v>0</v>
      </c>
      <c r="D32" s="74">
        <v>2</v>
      </c>
      <c r="E32" s="77">
        <v>0</v>
      </c>
      <c r="F32" s="77">
        <v>2</v>
      </c>
      <c r="G32" s="83">
        <v>2.5</v>
      </c>
      <c r="H32" s="84">
        <v>2</v>
      </c>
      <c r="I32" s="78">
        <v>3</v>
      </c>
      <c r="J32" s="78">
        <v>2</v>
      </c>
      <c r="K32" s="71"/>
      <c r="L32" s="75"/>
      <c r="M32" s="71"/>
      <c r="N32" s="75"/>
      <c r="O32" s="59"/>
      <c r="P32" s="11"/>
      <c r="Q32" s="71"/>
      <c r="R32" s="75"/>
      <c r="S32" s="59"/>
      <c r="T32" s="11"/>
      <c r="U32" s="59"/>
      <c r="V32" s="11"/>
      <c r="W32" s="59"/>
      <c r="X32" s="11"/>
      <c r="Y32" s="82"/>
      <c r="Z32" s="12"/>
      <c r="AA32" s="70">
        <f t="shared" si="0"/>
        <v>5.5</v>
      </c>
      <c r="AC32" s="4"/>
    </row>
    <row r="33" spans="1:27" ht="34.5" customHeight="1">
      <c r="A33" s="6"/>
      <c r="B33" s="55" t="s">
        <v>68</v>
      </c>
      <c r="C33" s="56">
        <f>SUM(C4:C32)</f>
        <v>84286</v>
      </c>
      <c r="D33" s="60">
        <f>SUM(D4:D32)</f>
        <v>867</v>
      </c>
      <c r="E33" s="53">
        <f>+SUM(E4:E32)</f>
        <v>59207.5</v>
      </c>
      <c r="F33" s="61">
        <f>+SUM(F4:F32)</f>
        <v>858</v>
      </c>
      <c r="G33" s="57">
        <f t="shared" ref="G33:AA33" si="1">SUM(G4:G32)</f>
        <v>62988.5</v>
      </c>
      <c r="H33" s="62">
        <f t="shared" si="1"/>
        <v>827</v>
      </c>
      <c r="I33" s="57">
        <f t="shared" si="1"/>
        <v>81166</v>
      </c>
      <c r="J33" s="62">
        <f t="shared" si="1"/>
        <v>801</v>
      </c>
      <c r="K33" s="58">
        <f t="shared" si="1"/>
        <v>0</v>
      </c>
      <c r="L33" s="63">
        <f t="shared" si="1"/>
        <v>0</v>
      </c>
      <c r="M33" s="58">
        <f t="shared" si="1"/>
        <v>0</v>
      </c>
      <c r="N33" s="63">
        <f t="shared" si="1"/>
        <v>0</v>
      </c>
      <c r="O33" s="57">
        <f t="shared" si="1"/>
        <v>0</v>
      </c>
      <c r="P33" s="62">
        <f t="shared" si="1"/>
        <v>0</v>
      </c>
      <c r="Q33" s="57">
        <f t="shared" si="1"/>
        <v>0</v>
      </c>
      <c r="R33" s="62">
        <f t="shared" si="1"/>
        <v>0</v>
      </c>
      <c r="S33" s="57">
        <f t="shared" si="1"/>
        <v>0</v>
      </c>
      <c r="T33" s="62">
        <f t="shared" si="1"/>
        <v>0</v>
      </c>
      <c r="U33" s="57">
        <f t="shared" si="1"/>
        <v>0</v>
      </c>
      <c r="V33" s="62">
        <f t="shared" si="1"/>
        <v>0</v>
      </c>
      <c r="W33" s="57">
        <f t="shared" si="1"/>
        <v>0</v>
      </c>
      <c r="X33" s="62">
        <f t="shared" si="1"/>
        <v>0</v>
      </c>
      <c r="Y33" s="57">
        <f t="shared" si="1"/>
        <v>0</v>
      </c>
      <c r="Z33" s="62">
        <f t="shared" si="1"/>
        <v>0</v>
      </c>
      <c r="AA33" s="53">
        <f t="shared" si="1"/>
        <v>287648</v>
      </c>
    </row>
    <row r="34" spans="1:27">
      <c r="F34" s="5"/>
      <c r="AA34" s="20"/>
    </row>
    <row r="35" spans="1:27">
      <c r="AA35" s="21"/>
    </row>
    <row r="36" spans="1:27">
      <c r="E36" s="24"/>
      <c r="O36" s="23"/>
      <c r="AA36" s="72"/>
    </row>
    <row r="37" spans="1:27">
      <c r="H37" s="5"/>
      <c r="Q37" s="72"/>
    </row>
    <row r="38" spans="1:27">
      <c r="E38" s="20"/>
      <c r="M38" s="76"/>
    </row>
  </sheetData>
  <autoFilter ref="A3:AA33" xr:uid="{00000000-0009-0000-0000-000001000000}"/>
  <sortState xmlns:xlrd2="http://schemas.microsoft.com/office/spreadsheetml/2017/richdata2" ref="B4:AA32">
    <sortCondition descending="1" ref="AA4:AA32"/>
  </sortState>
  <mergeCells count="13">
    <mergeCell ref="A1:AA1"/>
    <mergeCell ref="O2:P2"/>
    <mergeCell ref="Q2:R2"/>
    <mergeCell ref="S2:T2"/>
    <mergeCell ref="U2:V2"/>
    <mergeCell ref="W2:X2"/>
    <mergeCell ref="Y2:Z2"/>
    <mergeCell ref="C2:D2"/>
    <mergeCell ref="E2:F2"/>
    <mergeCell ref="G2:H2"/>
    <mergeCell ref="I2:J2"/>
    <mergeCell ref="K2:L2"/>
    <mergeCell ref="M2:N2"/>
  </mergeCells>
  <phoneticPr fontId="23" type="noConversion"/>
  <pageMargins left="0.28000000000000003" right="0.17" top="0.27" bottom="0.28999999999999998" header="0.19" footer="0.17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Summary OT</vt:lpstr>
      <vt:lpstr>Monthly OT &amp; MP in 2026</vt:lpstr>
      <vt:lpstr>'Monthly OT &amp; MP in 2026'!Print_Area</vt:lpstr>
      <vt:lpstr>'Summary OT'!Print_Area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Dieu Tien</dc:creator>
  <cp:lastModifiedBy>김 석기</cp:lastModifiedBy>
  <cp:lastPrinted>2022-05-26T08:10:00Z</cp:lastPrinted>
  <dcterms:created xsi:type="dcterms:W3CDTF">2019-07-27T06:26:05Z</dcterms:created>
  <dcterms:modified xsi:type="dcterms:W3CDTF">2026-05-08T07:15:30Z</dcterms:modified>
</cp:coreProperties>
</file>