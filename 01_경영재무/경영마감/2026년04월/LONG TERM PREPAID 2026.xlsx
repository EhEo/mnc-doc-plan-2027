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https://sexycoke-my.sharepoint.com/personal/jhlim_lcinc_world/Documents/Cowork/01_경영재무/경영마감/2026년04월/"/>
    </mc:Choice>
  </mc:AlternateContent>
  <xr:revisionPtr revIDLastSave="7" documentId="13_ncr:1_{7F68BA68-1051-4911-B4E8-F9AAFA1BEFDD}" xr6:coauthVersionLast="47" xr6:coauthVersionMax="47" xr10:uidLastSave="{6E9C70AD-DB71-4917-B1EC-95A230210F73}"/>
  <bookViews>
    <workbookView xWindow="-120" yWindow="-120" windowWidth="29040" windowHeight="15720" xr2:uid="{53AE10A6-58D2-4472-B1E0-161671F51D83}"/>
  </bookViews>
  <sheets>
    <sheet name="2026 New-correct" sheetId="1" r:id="rId1"/>
  </sheets>
  <definedNames>
    <definedName name="_" hidden="1">{#N/A,#N/A,FALSE,"Aging Summary";#N/A,#N/A,FALSE,"Ratio Analysis";#N/A,#N/A,FALSE,"Test 120 Day Accts";#N/A,#N/A,FALSE,"Tickmarks"}</definedName>
    <definedName name="_?" hidden="1">{#N/A,#N/A,FALSE,"Aging Summary";#N/A,#N/A,FALSE,"Ratio Analysis";#N/A,#N/A,FALSE,"Test 120 Day Accts";#N/A,#N/A,FALSE,"Tickmarks"}</definedName>
    <definedName name="__?" hidden="1">{#N/A,#N/A,FALSE,"Aging Summary";#N/A,#N/A,FALSE,"Ratio Analysis";#N/A,#N/A,FALSE,"Test 120 Day Accts";#N/A,#N/A,FALSE,"Tickmarks"}</definedName>
    <definedName name="_________?" hidden="1">{#N/A,#N/A,FALSE,"Aging Summary";#N/A,#N/A,FALSE,"Ratio Analysis";#N/A,#N/A,FALSE,"Test 120 Day Accts";#N/A,#N/A,FALSE,"Tickmarks"}</definedName>
    <definedName name="__________?" hidden="1">{#N/A,#N/A,FALSE,"Aging Summary";#N/A,#N/A,FALSE,"Ratio Analysis";#N/A,#N/A,FALSE,"Test 120 Day Accts";#N/A,#N/A,FALSE,"Tickmarks"}</definedName>
    <definedName name="___________?" hidden="1">{#N/A,#N/A,FALSE,"Aging Summary";#N/A,#N/A,FALSE,"Ratio Analysis";#N/A,#N/A,FALSE,"Test 120 Day Accts";#N/A,#N/A,FALSE,"Tickmarks"}</definedName>
    <definedName name="_____________cc1" hidden="1">{#N/A,#N/A,FALSE,"Aging Summary";#N/A,#N/A,FALSE,"Ratio Analysis";#N/A,#N/A,FALSE,"Test 120 Day Accts";#N/A,#N/A,FALSE,"Tickmarks"}</definedName>
    <definedName name="_____________DAT10" localSheetId="0">#REF!</definedName>
    <definedName name="_____________DAT10">#REF!</definedName>
    <definedName name="_____________DAT11" localSheetId="0">#REF!</definedName>
    <definedName name="_____________DAT11">#REF!</definedName>
    <definedName name="_____________DAT13" localSheetId="0">#REF!</definedName>
    <definedName name="_____________DAT13">#REF!</definedName>
    <definedName name="_____________DAT14" localSheetId="0">#REF!</definedName>
    <definedName name="_____________DAT14">#REF!</definedName>
    <definedName name="_____________DAT4" localSheetId="0">#REF!</definedName>
    <definedName name="_____________DAT4">#REF!</definedName>
    <definedName name="_____________DAT6" localSheetId="0">#REF!</definedName>
    <definedName name="_____________DAT6">#REF!</definedName>
    <definedName name="_____________DAT7" localSheetId="0">#REF!</definedName>
    <definedName name="_____________DAT7">#REF!</definedName>
    <definedName name="_____________DAT8" localSheetId="0">#REF!</definedName>
    <definedName name="_____________DAT8">#REF!</definedName>
    <definedName name="_____________t1" hidden="1">{#N/A,#N/A,FALSE,"Aging Summary";#N/A,#N/A,FALSE,"Ratio Analysis";#N/A,#N/A,FALSE,"Test 120 Day Accts";#N/A,#N/A,FALSE,"Tickmarks"}</definedName>
    <definedName name="____________cc1" hidden="1">{#N/A,#N/A,FALSE,"Aging Summary";#N/A,#N/A,FALSE,"Ratio Analysis";#N/A,#N/A,FALSE,"Test 120 Day Accts";#N/A,#N/A,FALSE,"Tickmarks"}</definedName>
    <definedName name="____________CON1" localSheetId="0">#REF!</definedName>
    <definedName name="____________CON1">#REF!</definedName>
    <definedName name="____________CON2" localSheetId="0">#REF!</definedName>
    <definedName name="____________CON2">#REF!</definedName>
    <definedName name="____________DAT1" localSheetId="0">#REF!</definedName>
    <definedName name="____________DAT1">#REF!</definedName>
    <definedName name="____________DAT3" localSheetId="0">#REF!</definedName>
    <definedName name="____________DAT3">#REF!</definedName>
    <definedName name="____________Mc1" localSheetId="0">#REF!</definedName>
    <definedName name="____________Mc1">#REF!</definedName>
    <definedName name="____________Mc2" localSheetId="0">#REF!</definedName>
    <definedName name="____________Mc2">#REF!</definedName>
    <definedName name="____________Mc3" localSheetId="0">#REF!</definedName>
    <definedName name="____________Mc3">#REF!</definedName>
    <definedName name="____________Mc4" localSheetId="0">#REF!</definedName>
    <definedName name="____________Mc4">#REF!</definedName>
    <definedName name="____________Mc5" localSheetId="0">#REF!</definedName>
    <definedName name="____________Mc5">#REF!</definedName>
    <definedName name="____________NET2" localSheetId="0">#REF!</definedName>
    <definedName name="____________NET2">#REF!</definedName>
    <definedName name="____________t1" hidden="1">{#N/A,#N/A,FALSE,"Aging Summary";#N/A,#N/A,FALSE,"Ratio Analysis";#N/A,#N/A,FALSE,"Test 120 Day Accts";#N/A,#N/A,FALSE,"Tickmarks"}</definedName>
    <definedName name="____________Tax4" localSheetId="0">#REF!</definedName>
    <definedName name="____________Tax4">#REF!</definedName>
    <definedName name="____________Tax5" localSheetId="0">#REF!</definedName>
    <definedName name="____________Tax5">#REF!</definedName>
    <definedName name="___________cc1" hidden="1">{#N/A,#N/A,FALSE,"Aging Summary";#N/A,#N/A,FALSE,"Ratio Analysis";#N/A,#N/A,FALSE,"Test 120 Day Accts";#N/A,#N/A,FALSE,"Tickmarks"}</definedName>
    <definedName name="___________t1" hidden="1">{#N/A,#N/A,FALSE,"Aging Summary";#N/A,#N/A,FALSE,"Ratio Analysis";#N/A,#N/A,FALSE,"Test 120 Day Accts";#N/A,#N/A,FALSE,"Tickmarks"}</definedName>
    <definedName name="___cc1" hidden="1">{#N/A,#N/A,FALSE,"Aging Summary";#N/A,#N/A,FALSE,"Ratio Analysis";#N/A,#N/A,FALSE,"Test 120 Day Accts";#N/A,#N/A,FALSE,"Tickmarks"}</definedName>
    <definedName name="___DAT10" localSheetId="0">#REF!</definedName>
    <definedName name="___DAT10">#REF!</definedName>
    <definedName name="___DAT11" localSheetId="0">#REF!</definedName>
    <definedName name="___DAT11">#REF!</definedName>
    <definedName name="___DAT13" localSheetId="0">#REF!</definedName>
    <definedName name="___DAT13">#REF!</definedName>
    <definedName name="___DAT14" localSheetId="0">#REF!</definedName>
    <definedName name="___DAT14">#REF!</definedName>
    <definedName name="___DAT4" localSheetId="0">#REF!</definedName>
    <definedName name="___DAT4">#REF!</definedName>
    <definedName name="___DAT6" localSheetId="0">#REF!</definedName>
    <definedName name="___DAT6">#REF!</definedName>
    <definedName name="___DAT7" localSheetId="0">#REF!</definedName>
    <definedName name="___DAT7">#REF!</definedName>
    <definedName name="___DAT8" localSheetId="0">#REF!</definedName>
    <definedName name="___DAT8">#REF!</definedName>
    <definedName name="___t1" hidden="1">{#N/A,#N/A,FALSE,"Aging Summary";#N/A,#N/A,FALSE,"Ratio Analysis";#N/A,#N/A,FALSE,"Test 120 Day Accts";#N/A,#N/A,FALSE,"Tickmarks"}</definedName>
    <definedName name="__CON1" localSheetId="0">#REF!</definedName>
    <definedName name="__CON1">#REF!</definedName>
    <definedName name="__CON2" localSheetId="0">#REF!</definedName>
    <definedName name="__CON2">#REF!</definedName>
    <definedName name="__DAT1" localSheetId="0">#REF!</definedName>
    <definedName name="__DAT1">#REF!</definedName>
    <definedName name="__DAT12" localSheetId="0">#REF!</definedName>
    <definedName name="__DAT12">#REF!</definedName>
    <definedName name="__DAT2" localSheetId="0">#REF!</definedName>
    <definedName name="__DAT2">#REF!</definedName>
    <definedName name="__DAT3" localSheetId="0">#REF!</definedName>
    <definedName name="__DAT3">#REF!</definedName>
    <definedName name="__DAT5" localSheetId="0">#REF!</definedName>
    <definedName name="__DAT5">#REF!</definedName>
    <definedName name="__DAT9" localSheetId="0">#REF!</definedName>
    <definedName name="__DAT9">#REF!</definedName>
    <definedName name="__Mc1" localSheetId="0">#REF!</definedName>
    <definedName name="__Mc1">#REF!</definedName>
    <definedName name="__Mc2" localSheetId="0">#REF!</definedName>
    <definedName name="__Mc2">#REF!</definedName>
    <definedName name="__Mc3" localSheetId="0">#REF!</definedName>
    <definedName name="__Mc3">#REF!</definedName>
    <definedName name="__Mc4" localSheetId="0">#REF!</definedName>
    <definedName name="__Mc4">#REF!</definedName>
    <definedName name="__Mc5" localSheetId="0">#REF!</definedName>
    <definedName name="__Mc5">#REF!</definedName>
    <definedName name="__NET2" localSheetId="0">#REF!</definedName>
    <definedName name="__NET2">#REF!</definedName>
    <definedName name="__Tax4" localSheetId="0">#REF!</definedName>
    <definedName name="__Tax4">#REF!</definedName>
    <definedName name="__Tax5" localSheetId="0">#REF!</definedName>
    <definedName name="__Tax5">#REF!</definedName>
    <definedName name="_1">#N/A</definedName>
    <definedName name="_1000A01">#N/A</definedName>
    <definedName name="_2">#N/A</definedName>
    <definedName name="_2_?" hidden="1">{#N/A,#N/A,FALSE,"Aging Summary";#N/A,#N/A,FALSE,"Ratio Analysis";#N/A,#N/A,FALSE,"Test 120 Day Accts";#N/A,#N/A,FALSE,"Tickmarks"}</definedName>
    <definedName name="_ADV" localSheetId="0">#REF!</definedName>
    <definedName name="_ADV">#REF!</definedName>
    <definedName name="_bonus" localSheetId="0">#REF!</definedName>
    <definedName name="_bonus">#REF!</definedName>
    <definedName name="_care" localSheetId="0">#REF!</definedName>
    <definedName name="_care">#REF!</definedName>
    <definedName name="_cc1" hidden="1">{#N/A,#N/A,FALSE,"Aging Summary";#N/A,#N/A,FALSE,"Ratio Analysis";#N/A,#N/A,FALSE,"Test 120 Day Accts";#N/A,#N/A,FALSE,"Tickmarks"}</definedName>
    <definedName name="_CON1" localSheetId="0">#REF!</definedName>
    <definedName name="_CON1">#REF!</definedName>
    <definedName name="_CON2" localSheetId="0">#REF!</definedName>
    <definedName name="_CON2">#REF!</definedName>
    <definedName name="_DAT1" localSheetId="0">#REF!</definedName>
    <definedName name="_DAT1">#REF!</definedName>
    <definedName name="_DAT10" localSheetId="0">#REF!</definedName>
    <definedName name="_DAT10">#REF!</definedName>
    <definedName name="_DAT11" localSheetId="0">#REF!</definedName>
    <definedName name="_DAT11">#REF!</definedName>
    <definedName name="_DAT12" localSheetId="0">#REF!</definedName>
    <definedName name="_DAT12">#REF!</definedName>
    <definedName name="_DAT13" localSheetId="0">#REF!</definedName>
    <definedName name="_DAT13">#REF!</definedName>
    <definedName name="_DAT14" localSheetId="0">#REF!</definedName>
    <definedName name="_DAT14">#REF!</definedName>
    <definedName name="_DAT2" localSheetId="0">#REF!</definedName>
    <definedName name="_DAT2">#REF!</definedName>
    <definedName name="_DAT3" localSheetId="0">#REF!</definedName>
    <definedName name="_DAT3">#REF!</definedName>
    <definedName name="_DAT4" localSheetId="0">#REF!</definedName>
    <definedName name="_DAT4">#REF!</definedName>
    <definedName name="_DAT5" localSheetId="0">#REF!</definedName>
    <definedName name="_DAT5">#REF!</definedName>
    <definedName name="_DAT6" localSheetId="0">#REF!</definedName>
    <definedName name="_DAT6">#REF!</definedName>
    <definedName name="_DAT7" localSheetId="0">#REF!</definedName>
    <definedName name="_DAT7">#REF!</definedName>
    <definedName name="_DAT8" localSheetId="0">#REF!</definedName>
    <definedName name="_DAT8">#REF!</definedName>
    <definedName name="_DAT9" localSheetId="0">#REF!</definedName>
    <definedName name="_DAT9">#REF!</definedName>
    <definedName name="_ele1" localSheetId="0">#REF!</definedName>
    <definedName name="_ele1">#REF!</definedName>
    <definedName name="_Fill" localSheetId="0" hidden="1">#REF!</definedName>
    <definedName name="_Fill" hidden="1">#REF!</definedName>
    <definedName name="_xlnm._FilterDatabase" localSheetId="0" hidden="1">'2026 New-correct'!$A$5:$BA$458</definedName>
    <definedName name="_head" localSheetId="0">#REF!</definedName>
    <definedName name="_head">#REF!</definedName>
    <definedName name="_housing" localSheetId="0">#REF!</definedName>
    <definedName name="_housing">#REF!</definedName>
    <definedName name="_ist10" localSheetId="0">#REF!</definedName>
    <definedName name="_ist10">#REF!</definedName>
    <definedName name="_ist100" localSheetId="0">#REF!</definedName>
    <definedName name="_ist100">#REF!</definedName>
    <definedName name="_ist150" localSheetId="0">#REF!</definedName>
    <definedName name="_ist150">#REF!</definedName>
    <definedName name="_ist20" localSheetId="0">#REF!</definedName>
    <definedName name="_ist20">#REF!</definedName>
    <definedName name="_ist30" localSheetId="0">#REF!</definedName>
    <definedName name="_ist30">#REF!</definedName>
    <definedName name="_ist40" localSheetId="0">#REF!</definedName>
    <definedName name="_ist40">#REF!</definedName>
    <definedName name="_ist50" localSheetId="0">#REF!</definedName>
    <definedName name="_ist50">#REF!</definedName>
    <definedName name="_ist60" localSheetId="0">#REF!</definedName>
    <definedName name="_ist60">#REF!</definedName>
    <definedName name="_Key1" localSheetId="0" hidden="1">#REF!</definedName>
    <definedName name="_Key1" hidden="1">#REF!</definedName>
    <definedName name="_Key2" localSheetId="0" hidden="1">#REF!</definedName>
    <definedName name="_Key2" hidden="1">#REF!</definedName>
    <definedName name="_Mc1" localSheetId="0">#REF!</definedName>
    <definedName name="_Mc1">#REF!</definedName>
    <definedName name="_Mc2" localSheetId="0">#REF!</definedName>
    <definedName name="_Mc2">#REF!</definedName>
    <definedName name="_Mc3" localSheetId="0">#REF!</definedName>
    <definedName name="_Mc3">#REF!</definedName>
    <definedName name="_Mc4" localSheetId="0">#REF!</definedName>
    <definedName name="_Mc4">#REF!</definedName>
    <definedName name="_Mc5" localSheetId="0">#REF!</definedName>
    <definedName name="_Mc5">#REF!</definedName>
    <definedName name="_NET2" localSheetId="0">#REF!</definedName>
    <definedName name="_NET2">#REF!</definedName>
    <definedName name="_Order1" hidden="1">255</definedName>
    <definedName name="_Order2" hidden="1">255</definedName>
    <definedName name="_pension" localSheetId="0">#REF!</definedName>
    <definedName name="_pension">#REF!</definedName>
    <definedName name="_PROMO" localSheetId="0">#REF!</definedName>
    <definedName name="_PROMO">#REF!</definedName>
    <definedName name="_rebate" localSheetId="0">#REF!</definedName>
    <definedName name="_rebate">#REF!</definedName>
    <definedName name="_rebatew" localSheetId="0">#REF!</definedName>
    <definedName name="_rebatew">#REF!</definedName>
    <definedName name="_rebt2" localSheetId="0">#REF!</definedName>
    <definedName name="_rebt2">#REF!</definedName>
    <definedName name="_rebt3" localSheetId="0">#REF!</definedName>
    <definedName name="_rebt3">#REF!</definedName>
    <definedName name="_rebt4" localSheetId="0">#REF!</definedName>
    <definedName name="_rebt4">#REF!</definedName>
    <definedName name="_rebt5" localSheetId="0">#REF!</definedName>
    <definedName name="_rebt5">#REF!</definedName>
    <definedName name="_roy" localSheetId="0">#REF!</definedName>
    <definedName name="_roy">#REF!</definedName>
    <definedName name="_Sort" localSheetId="0" hidden="1">#REF!</definedName>
    <definedName name="_Sort" hidden="1">#REF!</definedName>
    <definedName name="_t1" hidden="1">{#N/A,#N/A,FALSE,"Aging Summary";#N/A,#N/A,FALSE,"Ratio Analysis";#N/A,#N/A,FALSE,"Test 120 Day Accts";#N/A,#N/A,FALSE,"Tickmarks"}</definedName>
    <definedName name="_Tax4" localSheetId="0">#REF!</definedName>
    <definedName name="_Tax4">#REF!</definedName>
    <definedName name="_Tax5" localSheetId="0">#REF!</definedName>
    <definedName name="_Tax5">#REF!</definedName>
    <definedName name="_unemp" localSheetId="0">#REF!</definedName>
    <definedName name="_unemp">#REF!</definedName>
    <definedName name="_union" localSheetId="0">#REF!</definedName>
    <definedName name="_union">#REF!</definedName>
    <definedName name="_Ver" localSheetId="0">#REF!</definedName>
    <definedName name="_Ver">#REF!</definedName>
    <definedName name="_welfare" localSheetId="0">#REF!</definedName>
    <definedName name="_welfare">#REF!</definedName>
    <definedName name="\a">#N/A</definedName>
    <definedName name="A" hidden="1">{#N/A,#N/A,TRUE,"Report_PF";#N/A,#N/A,TRUE,"Report_ORG";#N/A,#N/A,TRUE,"Report_DEP"}</definedName>
    <definedName name="â" hidden="1">{#N/A,#N/A,FALSE,"Aging Summary";#N/A,#N/A,FALSE,"Ratio Analysis";#N/A,#N/A,FALSE,"Test 120 Day Accts";#N/A,#N/A,FALSE,"Tickmarks"}</definedName>
    <definedName name="A01_">#N/A</definedName>
    <definedName name="A01AC">#N/A</definedName>
    <definedName name="A01CAT">#N/A</definedName>
    <definedName name="A01CODE">#N/A</definedName>
    <definedName name="A01DATA">#N/A</definedName>
    <definedName name="A01MI">#N/A</definedName>
    <definedName name="A01TO">#N/A</definedName>
    <definedName name="aa" localSheetId="0">#REF!</definedName>
    <definedName name="aa">#REF!</definedName>
    <definedName name="ale" hidden="1">{#N/A,#N/A,TRUE,"Report_PF";#N/A,#N/A,TRUE,"Report_ORG";#N/A,#N/A,TRUE,"Report_DEP"}</definedName>
    <definedName name="All_Item" localSheetId="0">#REF!</definedName>
    <definedName name="All_Item">#REF!</definedName>
    <definedName name="ALPIN">#N/A</definedName>
    <definedName name="ALPJYOU">#N/A</definedName>
    <definedName name="ALPTOI">#N/A</definedName>
    <definedName name="ARA_Threshold" localSheetId="0">#REF!</definedName>
    <definedName name="ARA_Threshold">#REF!</definedName>
    <definedName name="ARP_Threshold" localSheetId="0">#REF!</definedName>
    <definedName name="ARP_Threshold">#REF!</definedName>
    <definedName name="AS2DocOpenMode" hidden="1">"AS2DocumentEdit"</definedName>
    <definedName name="AS2HasNoAutoHeaderFooter" hidden="1">" "</definedName>
    <definedName name="AS2ReportLS" hidden="1">1</definedName>
    <definedName name="AS2SyncStepLS" hidden="1">0</definedName>
    <definedName name="AS2TickmarkLS" localSheetId="0" hidden="1">#REF!</definedName>
    <definedName name="AS2TickmarkLS" hidden="1">#REF!</definedName>
    <definedName name="AS2VersionLS" hidden="1">300</definedName>
    <definedName name="ATS_P" localSheetId="0">#REF!</definedName>
    <definedName name="ATS_P">#REF!</definedName>
    <definedName name="b" hidden="1">{"X_STAB_01",#N/A,TRUE,"X_STAB";"X_STAB_02",#N/A,TRUE,"X_STAB"}</definedName>
    <definedName name="bb" localSheetId="0">#REF!</definedName>
    <definedName name="bb">#REF!</definedName>
    <definedName name="bbb" hidden="1">{#N/A,#N/A,FALSE,"Aging Summary";#N/A,#N/A,FALSE,"Ratio Analysis";#N/A,#N/A,FALSE,"Test 120 Day Accts";#N/A,#N/A,FALSE,"Tickmarks"}</definedName>
    <definedName name="BEF_P" localSheetId="0">#REF!</definedName>
    <definedName name="BEF_P">#REF!</definedName>
    <definedName name="BG_Del" hidden="1">15</definedName>
    <definedName name="BG_Ins" hidden="1">4</definedName>
    <definedName name="BG_Mod" hidden="1">6</definedName>
    <definedName name="binh" hidden="1">{#N/A,#N/A,FALSE,"Aging Summary";#N/A,#N/A,FALSE,"Ratio Analysis";#N/A,#N/A,FALSE,"Test 120 Day Accts";#N/A,#N/A,FALSE,"Tickmarks"}</definedName>
    <definedName name="BOQ" localSheetId="0">#REF!</definedName>
    <definedName name="BOQ">#REF!</definedName>
    <definedName name="BQuan456" localSheetId="0">#REF!</definedName>
    <definedName name="BQuan456">#REF!</definedName>
    <definedName name="Brand" hidden="1">{#N/A,#N/A,TRUE,"Report_PF";#N/A,#N/A,TRUE,"Report_ORG";#N/A,#N/A,TRUE,"Report_DEP"}</definedName>
    <definedName name="bv">{#N/A,#N/A,FALSE,"Aging Summary";#N/A,#N/A,FALSE,"Ratio Analysis";#N/A,#N/A,FALSE,"Test 120 Day Accts";#N/A,#N/A,FALSE,"Tickmarks"}</definedName>
    <definedName name="BVCISUMMARY" localSheetId="0">#REF!</definedName>
    <definedName name="BVCISUMMARY">#REF!</definedName>
    <definedName name="casdsdsd" hidden="1">{#N/A,#N/A,TRUE,"Report_PF";#N/A,#N/A,TRUE,"Report_ORG";#N/A,#N/A,TRUE,"Report_DEP"}</definedName>
    <definedName name="Category_All" localSheetId="0">#REF!</definedName>
    <definedName name="Category_All">#REF!</definedName>
    <definedName name="CATIN">#N/A</definedName>
    <definedName name="CATJYOU">#N/A</definedName>
    <definedName name="CATREC">#N/A</definedName>
    <definedName name="CATSYU">#N/A</definedName>
    <definedName name="cc" localSheetId="0">#REF!</definedName>
    <definedName name="cc">#REF!</definedName>
    <definedName name="CCV_VN_830" localSheetId="0">#REF!</definedName>
    <definedName name="CCV_VN_830">#REF!</definedName>
    <definedName name="CF_AccruedExpenses" localSheetId="0">#REF!</definedName>
    <definedName name="CF_AccruedExpenses">#REF!</definedName>
    <definedName name="CF_Cash" localSheetId="0">#REF!</definedName>
    <definedName name="CF_Cash">#REF!</definedName>
    <definedName name="CF_CurrentLTDebit" localSheetId="0">#REF!</definedName>
    <definedName name="CF_CurrentLTDebit">#REF!</definedName>
    <definedName name="CF_DeferredTax" localSheetId="0">#REF!</definedName>
    <definedName name="CF_DeferredTax">#REF!</definedName>
    <definedName name="CF_Dividends" localSheetId="0">#REF!</definedName>
    <definedName name="CF_Dividends">#REF!</definedName>
    <definedName name="CF_Intangibles" localSheetId="0">#REF!</definedName>
    <definedName name="CF_Intangibles">#REF!</definedName>
    <definedName name="CF_Inventories" localSheetId="0">#REF!</definedName>
    <definedName name="CF_Inventories">#REF!</definedName>
    <definedName name="CF_Investments" localSheetId="0">#REF!</definedName>
    <definedName name="CF_Investments">#REF!</definedName>
    <definedName name="CF_LTDebt" localSheetId="0">#REF!</definedName>
    <definedName name="CF_LTDebt">#REF!</definedName>
    <definedName name="CF_NetIncome" localSheetId="0">#REF!</definedName>
    <definedName name="CF_NetIncome">#REF!</definedName>
    <definedName name="CF_Payables" localSheetId="0">#REF!</definedName>
    <definedName name="CF_Payables">#REF!</definedName>
    <definedName name="CF_PrepaidExpenses" localSheetId="0">#REF!</definedName>
    <definedName name="CF_PrepaidExpenses">#REF!</definedName>
    <definedName name="CF_Property" localSheetId="0">#REF!</definedName>
    <definedName name="CF_Property">#REF!</definedName>
    <definedName name="CF_Receivables" localSheetId="0">#REF!</definedName>
    <definedName name="CF_Receivables">#REF!</definedName>
    <definedName name="CF_Shares" localSheetId="0">#REF!</definedName>
    <definedName name="CF_Shares">#REF!</definedName>
    <definedName name="CF_Taxation" localSheetId="0">#REF!</definedName>
    <definedName name="CF_Taxation">#REF!</definedName>
    <definedName name="cha" hidden="1">{#N/A,#N/A,FALSE,"Aging Summary";#N/A,#N/A,FALSE,"Ratio Analysis";#N/A,#N/A,FALSE,"Test 120 Day Accts";#N/A,#N/A,FALSE,"Tickmarks"}</definedName>
    <definedName name="CHF_P" localSheetId="0">#REF!</definedName>
    <definedName name="CHF_P">#REF!</definedName>
    <definedName name="co" hidden="1">{"'Sheet1'!$L$16"}</definedName>
    <definedName name="COMMON" localSheetId="0">#REF!</definedName>
    <definedName name="COMMON">#REF!</definedName>
    <definedName name="CON_EQP_COS" localSheetId="0">#REF!</definedName>
    <definedName name="CON_EQP_COS">#REF!</definedName>
    <definedName name="CON_EQP_COST" localSheetId="0">#REF!</definedName>
    <definedName name="CON_EQP_COST">#REF!</definedName>
    <definedName name="CONST_EQ" localSheetId="0">#REF!</definedName>
    <definedName name="CONST_EQ">#REF!</definedName>
    <definedName name="cont" localSheetId="0">#REF!</definedName>
    <definedName name="cont">#REF!</definedName>
    <definedName name="COVER" localSheetId="0">#REF!</definedName>
    <definedName name="COVER">#REF!</definedName>
    <definedName name="CR" localSheetId="0">#REF!</definedName>
    <definedName name="CR">#REF!</definedName>
    <definedName name="Crea_Rapporti">#N/A</definedName>
    <definedName name="CRITINST" localSheetId="0">#REF!</definedName>
    <definedName name="CRITINST">#REF!</definedName>
    <definedName name="CRITPURC" localSheetId="0">#REF!</definedName>
    <definedName name="CRITPURC">#REF!</definedName>
    <definedName name="CS_10" localSheetId="0">#REF!</definedName>
    <definedName name="CS_10">#REF!</definedName>
    <definedName name="CS_100" localSheetId="0">#REF!</definedName>
    <definedName name="CS_100">#REF!</definedName>
    <definedName name="CS_10S" localSheetId="0">#REF!</definedName>
    <definedName name="CS_10S">#REF!</definedName>
    <definedName name="CS_120" localSheetId="0">#REF!</definedName>
    <definedName name="CS_120">#REF!</definedName>
    <definedName name="CS_140" localSheetId="0">#REF!</definedName>
    <definedName name="CS_140">#REF!</definedName>
    <definedName name="CS_160" localSheetId="0">#REF!</definedName>
    <definedName name="CS_160">#REF!</definedName>
    <definedName name="CS_20" localSheetId="0">#REF!</definedName>
    <definedName name="CS_20">#REF!</definedName>
    <definedName name="CS_30" localSheetId="0">#REF!</definedName>
    <definedName name="CS_30">#REF!</definedName>
    <definedName name="CS_40" localSheetId="0">#REF!</definedName>
    <definedName name="CS_40">#REF!</definedName>
    <definedName name="CS_40S" localSheetId="0">#REF!</definedName>
    <definedName name="CS_40S">#REF!</definedName>
    <definedName name="CS_5S" localSheetId="0">#REF!</definedName>
    <definedName name="CS_5S">#REF!</definedName>
    <definedName name="CS_60" localSheetId="0">#REF!</definedName>
    <definedName name="CS_60">#REF!</definedName>
    <definedName name="CS_80" localSheetId="0">#REF!</definedName>
    <definedName name="CS_80">#REF!</definedName>
    <definedName name="CS_80S" localSheetId="0">#REF!</definedName>
    <definedName name="CS_80S">#REF!</definedName>
    <definedName name="CS_STD" localSheetId="0">#REF!</definedName>
    <definedName name="CS_STD">#REF!</definedName>
    <definedName name="CS_XS" localSheetId="0">#REF!</definedName>
    <definedName name="CS_XS">#REF!</definedName>
    <definedName name="CS_XXS" localSheetId="0">#REF!</definedName>
    <definedName name="CS_XXS">#REF!</definedName>
    <definedName name="CURRENCY" localSheetId="0">#REF!</definedName>
    <definedName name="CURRENCY">#REF!</definedName>
    <definedName name="Customer" localSheetId="0">#REF!</definedName>
    <definedName name="Customer">#REF!</definedName>
    <definedName name="d" hidden="1">{#N/A,#N/A,FALSE,"Aging Summary";#N/A,#N/A,FALSE,"Ratio Analysis";#N/A,#N/A,FALSE,"Test 120 Day Accts";#N/A,#N/A,FALSE,"Tickmarks"}</definedName>
    <definedName name="đ" hidden="1">{#N/A,#N/A,FALSE,"Aging Summary";#N/A,#N/A,FALSE,"Ratio Analysis";#N/A,#N/A,FALSE,"Test 120 Day Accts";#N/A,#N/A,FALSE,"Tickmarks"}</definedName>
    <definedName name="D_7101A_B" localSheetId="0">#REF!</definedName>
    <definedName name="D_7101A_B">#REF!</definedName>
    <definedName name="_xlnm.Database" localSheetId="0">#REF!</definedName>
    <definedName name="_xlnm.Database">#REF!</definedName>
    <definedName name="dd" localSheetId="0">#REF!</definedName>
    <definedName name="dd">#REF!</definedName>
    <definedName name="DDF" hidden="1">{#N/A,#N/A,FALSE,"Aging Summary";#N/A,#N/A,FALSE,"Ratio Analysis";#N/A,#N/A,FALSE,"Test 120 Day Accts";#N/A,#N/A,FALSE,"Tickmarks"}</definedName>
    <definedName name="DEM_P" localSheetId="0">#REF!</definedName>
    <definedName name="DEM_P">#REF!</definedName>
    <definedName name="df" hidden="1">{#N/A,#N/A,FALSE,"Aging Summary";#N/A,#N/A,FALSE,"Ratio Analysis";#N/A,#N/A,FALSE,"Test 120 Day Accts";#N/A,#N/A,FALSE,"Tickmarks"}</definedName>
    <definedName name="dfdfdf" hidden="1">{"'Sheet1'!$L$16"}</definedName>
    <definedName name="dfhfhgf" hidden="1">{#N/A,#N/A,TRUE,"Report_PF";#N/A,#N/A,TRUE,"Report_ORG";#N/A,#N/A,TRUE,"Report_DEP"}</definedName>
    <definedName name="ds" localSheetId="0">#REF!</definedName>
    <definedName name="ds">#REF!</definedName>
    <definedName name="dsfs" hidden="1">{#N/A,#N/A,FALSE,"Aging Summary";#N/A,#N/A,FALSE,"Ratio Analysis";#N/A,#N/A,FALSE,"Test 120 Day Accts";#N/A,#N/A,FALSE,"Tickmarks"}</definedName>
    <definedName name="DSUMDATA" localSheetId="0">#REF!</definedName>
    <definedName name="DSUMDATA">#REF!</definedName>
    <definedName name="e" hidden="1">{#N/A,#N/A,FALSE,"Aging Summary";#N/A,#N/A,FALSE,"Ratio Analysis";#N/A,#N/A,FALSE,"Test 120 Day Accts";#N/A,#N/A,FALSE,"Tickmarks"}</definedName>
    <definedName name="ECU_P" localSheetId="0">#REF!</definedName>
    <definedName name="ECU_P">#REF!</definedName>
    <definedName name="edfewfef" hidden="1">{#N/A,#N/A,TRUE,"Report_PF";#N/A,#N/A,TRUE,"Report_ORG";#N/A,#N/A,TRUE,"Report_DEP"}</definedName>
    <definedName name="edfweg" hidden="1">{"X_STAB_01",#N/A,TRUE,"X_STAB";"X_STAB_02",#N/A,TRUE,"X_STAB"}</definedName>
    <definedName name="End_1" localSheetId="0">#REF!</definedName>
    <definedName name="End_1">#REF!</definedName>
    <definedName name="End_10" localSheetId="0">#REF!</definedName>
    <definedName name="End_10">#REF!</definedName>
    <definedName name="End_11" localSheetId="0">#REF!</definedName>
    <definedName name="End_11">#REF!</definedName>
    <definedName name="End_12" localSheetId="0">#REF!</definedName>
    <definedName name="End_12">#REF!</definedName>
    <definedName name="End_13" localSheetId="0">#REF!</definedName>
    <definedName name="End_13">#REF!</definedName>
    <definedName name="End_2" localSheetId="0">#REF!</definedName>
    <definedName name="End_2">#REF!</definedName>
    <definedName name="End_3" localSheetId="0">#REF!</definedName>
    <definedName name="End_3">#REF!</definedName>
    <definedName name="End_4" localSheetId="0">#REF!</definedName>
    <definedName name="End_4">#REF!</definedName>
    <definedName name="End_5" localSheetId="0">#REF!</definedName>
    <definedName name="End_5">#REF!</definedName>
    <definedName name="End_6" localSheetId="0">#REF!</definedName>
    <definedName name="End_6">#REF!</definedName>
    <definedName name="End_7" localSheetId="0">#REF!</definedName>
    <definedName name="End_7">#REF!</definedName>
    <definedName name="End_8" localSheetId="0">#REF!</definedName>
    <definedName name="End_8">#REF!</definedName>
    <definedName name="End_9" localSheetId="0">#REF!</definedName>
    <definedName name="End_9">#REF!</definedName>
    <definedName name="ESP_P" localSheetId="0">#REF!</definedName>
    <definedName name="ESP_P">#REF!</definedName>
    <definedName name="Excel_BuiltIn__FilterDatabase_26" localSheetId="0">#REF!</definedName>
    <definedName name="Excel_BuiltIn__FilterDatabase_26">#REF!</definedName>
    <definedName name="f" localSheetId="0">#REF!</definedName>
    <definedName name="f">#REF!</definedName>
    <definedName name="FACTOR" localSheetId="0">#REF!</definedName>
    <definedName name="FACTOR">#REF!</definedName>
    <definedName name="FattValuta" localSheetId="0">#REF!</definedName>
    <definedName name="FattValuta">#REF!</definedName>
    <definedName name="ff" hidden="1">{#N/A,#N/A,FALSE,"Aging Summary";#N/A,#N/A,FALSE,"Ratio Analysis";#N/A,#N/A,FALSE,"Test 120 Day Accts";#N/A,#N/A,FALSE,"Tickmarks"}</definedName>
    <definedName name="fffhfrfgfg" hidden="1">{#N/A,#N/A,TRUE,"Report_PF";#N/A,#N/A,TRUE,"Report_ORG";#N/A,#N/A,TRUE,"Report_DEP"}</definedName>
    <definedName name="FRF_P" localSheetId="0">#REF!</definedName>
    <definedName name="FRF_P">#REF!</definedName>
    <definedName name="g" hidden="1">{#N/A,#N/A,FALSE,"Aging Summary";#N/A,#N/A,FALSE,"Ratio Analysis";#N/A,#N/A,FALSE,"Test 120 Day Accts";#N/A,#N/A,FALSE,"Tickmarks"}</definedName>
    <definedName name="GBP_P" localSheetId="0">#REF!</definedName>
    <definedName name="GBP_P">#REF!</definedName>
    <definedName name="gdgggfegf" hidden="1">{#N/A,#N/A,TRUE,"Report_PF";#N/A,#N/A,TRUE,"Report_ORG";#N/A,#N/A,TRUE,"Report_DEP"}</definedName>
    <definedName name="ghf" hidden="1">{#N/A,#N/A,TRUE,"Report_PF";#N/A,#N/A,TRUE,"Report_ORG";#N/A,#N/A,TRUE,"Report_DEP"}</definedName>
    <definedName name="gi" hidden="1">{#N/A,#N/A,FALSE,"Aging Summary";#N/A,#N/A,FALSE,"Ratio Analysis";#N/A,#N/A,FALSE,"Test 120 Day Accts";#N/A,#N/A,FALSE,"Tickmarks"}</definedName>
    <definedName name="gia" hidden="1">{#N/A,#N/A,FALSE,"Aging Summary";#N/A,#N/A,FALSE,"Ratio Analysis";#N/A,#N/A,FALSE,"Test 120 Day Accts";#N/A,#N/A,FALSE,"Tickmarks"}</definedName>
    <definedName name="giam" hidden="1">{#N/A,#N/A,FALSE,"Aging Summary";#N/A,#N/A,FALSE,"Ratio Analysis";#N/A,#N/A,FALSE,"Test 120 Day Accts";#N/A,#N/A,FALSE,"Tickmarks"}</definedName>
    <definedName name="GRD_P" localSheetId="0">#REF!</definedName>
    <definedName name="GRD_P">#REF!</definedName>
    <definedName name="grfgfg" hidden="1">{#N/A,#N/A,TRUE,"Report_PF";#N/A,#N/A,TRUE,"Report_ORG";#N/A,#N/A,TRUE,"Report_DEP"}</definedName>
    <definedName name="gsfgfg" hidden="1">"465LO2IMC161YCHZR576G9JKX"</definedName>
    <definedName name="h" hidden="1">{"'Sheet1'!$L$16"}</definedName>
    <definedName name="HAGL" localSheetId="0">#REF!</definedName>
    <definedName name="HAGL">#REF!</definedName>
    <definedName name="HAGL1" localSheetId="0">#REF!</definedName>
    <definedName name="HAGL1">#REF!</definedName>
    <definedName name="HAGL2" localSheetId="0">#REF!</definedName>
    <definedName name="HAGL2">#REF!</definedName>
    <definedName name="hgfn" hidden="1">{#N/A,#N/A,FALSE,"Aging Summary";#N/A,#N/A,FALSE,"Ratio Analysis";#N/A,#N/A,FALSE,"Test 120 Day Accts";#N/A,#N/A,FALSE,"Tickmarks"}</definedName>
    <definedName name="hh" hidden="1">{#N/A,#N/A,FALSE,"Aging Summary";#N/A,#N/A,FALSE,"Ratio Analysis";#N/A,#N/A,FALSE,"Test 120 Day Accts";#N/A,#N/A,FALSE,"Tickmarks"}</definedName>
    <definedName name="Hien" hidden="1">{#N/A,#N/A,FALSE,"Aging Summary";#N/A,#N/A,FALSE,"Ratio Analysis";#N/A,#N/A,FALSE,"Test 120 Day Accts";#N/A,#N/A,FALSE,"Tickmarks"}</definedName>
    <definedName name="hnam" hidden="1">{#N/A,#N/A,FALSE,"Aging Summary";#N/A,#N/A,FALSE,"Ratio Analysis";#N/A,#N/A,FALSE,"Test 120 Day Accts";#N/A,#N/A,FALSE,"Tickmarks"}</definedName>
    <definedName name="HOME_MANP" localSheetId="0">#REF!</definedName>
    <definedName name="HOME_MANP">#REF!</definedName>
    <definedName name="HOMEOFFICE_COST" localSheetId="0">#REF!</definedName>
    <definedName name="HOMEOFFICE_COST">#REF!</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TML1_1" hidden="1">"[reppiano.xls]CE_Merc!$A$1:$O$58"</definedName>
    <definedName name="HTML1_10" hidden="1">"acensi@mbox.vol.it"</definedName>
    <definedName name="HTML1_11" hidden="1">1</definedName>
    <definedName name="HTML1_12" hidden="1">"C:\Documenti\MyHTML.htm"</definedName>
    <definedName name="HTML1_2" hidden="1">1</definedName>
    <definedName name="HTML1_3" hidden="1">"Demo Reporting in Internet World Wide Web"</definedName>
    <definedName name="HTML1_4" hidden="1">"Conto Economico per Mercato"</definedName>
    <definedName name="HTML1_5" hidden="1">""</definedName>
    <definedName name="HTML1_6" hidden="1">1</definedName>
    <definedName name="HTML1_7" hidden="1">1</definedName>
    <definedName name="HTML1_8" hidden="1">"30/04/96"</definedName>
    <definedName name="HTML1_9" hidden="1">"Andrea Censi"</definedName>
    <definedName name="HTMLCount" hidden="1">1</definedName>
    <definedName name="i" hidden="1">{#N/A,#N/A,FALSE,"Aging Summary";#N/A,#N/A,FALSE,"Ratio Analysis";#N/A,#N/A,FALSE,"Test 120 Day Accts";#N/A,#N/A,FALSE,"Tickmarks"}</definedName>
    <definedName name="IDLAB_COST" localSheetId="0">#REF!</definedName>
    <definedName name="IDLAB_COST">#REF!</definedName>
    <definedName name="iii" hidden="1">{#N/A,#N/A,FALSE,"Aging Summary";#N/A,#N/A,FALSE,"Ratio Analysis";#N/A,#N/A,FALSE,"Test 120 Day Accts";#N/A,#N/A,FALSE,"Tickmarks"}</definedName>
    <definedName name="IN" localSheetId="0">#REF!</definedName>
    <definedName name="IN">#REF!</definedName>
    <definedName name="IND_LAB" localSheetId="0">#REF!</definedName>
    <definedName name="IND_LAB">#REF!</definedName>
    <definedName name="INDMANP" localSheetId="0">#REF!</definedName>
    <definedName name="INDMANP">#REF!</definedName>
    <definedName name="inizioDB" localSheetId="0">#REF!</definedName>
    <definedName name="inizioDB">#REF!</definedName>
    <definedName name="Input" hidden="1">{#N/A,#N/A,FALSE,"Aging Summary";#N/A,#N/A,FALSE,"Ratio Analysis";#N/A,#N/A,FALSE,"Test 120 Day Accts";#N/A,#N/A,FALSE,"Tickmarks"}</definedName>
    <definedName name="inrmag" localSheetId="0">#REF!</definedName>
    <definedName name="inrmag">#REF!</definedName>
    <definedName name="ITL_P" localSheetId="0">#REF!</definedName>
    <definedName name="ITL_P">#REF!</definedName>
    <definedName name="j" hidden="1">{#N/A,#N/A,FALSE,"Aging Summary";#N/A,#N/A,FALSE,"Ratio Analysis";#N/A,#N/A,FALSE,"Test 120 Day Accts";#N/A,#N/A,FALSE,"Tickmarks"}</definedName>
    <definedName name="jálf?ê?r" hidden="1">{#N/A,#N/A,FALSE,"Aging Summary";#N/A,#N/A,FALSE,"Ratio Analysis";#N/A,#N/A,FALSE,"Test 120 Day Accts";#N/A,#N/A,FALSE,"Tickmarks"}</definedName>
    <definedName name="jálfửêưr" hidden="1">{#N/A,#N/A,FALSE,"Aging Summary";#N/A,#N/A,FALSE,"Ratio Analysis";#N/A,#N/A,FALSE,"Test 120 Day Accts";#N/A,#N/A,FALSE,"Tickmarks"}</definedName>
    <definedName name="jgfdj" hidden="1">{#N/A,#N/A,FALSE,"Aging Summary";#N/A,#N/A,FALSE,"Ratio Analysis";#N/A,#N/A,FALSE,"Test 120 Day Accts";#N/A,#N/A,FALSE,"Tickmarks"}</definedName>
    <definedName name="jj" hidden="1">{#N/A,#N/A,FALSE,"Aging Summary";#N/A,#N/A,FALSE,"Ratio Analysis";#N/A,#N/A,FALSE,"Test 120 Day Accts";#N/A,#N/A,FALSE,"Tickmarks"}</definedName>
    <definedName name="jjj" hidden="1">{#N/A,#N/A,FALSE,"Aging Summary";#N/A,#N/A,FALSE,"Ratio Analysis";#N/A,#N/A,FALSE,"Test 120 Day Accts";#N/A,#N/A,FALSE,"Tickmarks"}</definedName>
    <definedName name="JMGFMJ" hidden="1">{#N/A,#N/A,TRUE,"Report_PF";#N/A,#N/A,TRUE,"Report_ORG";#N/A,#N/A,TRUE,"Report_DEP"}</definedName>
    <definedName name="k" hidden="1">{#N/A,#N/A,FALSE,"Aging Summary";#N/A,#N/A,FALSE,"Ratio Analysis";#N/A,#N/A,FALSE,"Test 120 Day Accts";#N/A,#N/A,FALSE,"Tickmarks"}</definedName>
    <definedName name="KeyFOC" localSheetId="0">#REF!</definedName>
    <definedName name="KeyFOC">#REF!</definedName>
    <definedName name="L">{#N/A,#N/A,FALSE,"Aging Summary";#N/A,#N/A,FALSE,"Ratio Analysis";#N/A,#N/A,FALSE,"Test 120 Day Accts";#N/A,#N/A,FALSE,"Tickmarks"}</definedName>
    <definedName name="lista" localSheetId="0">#REF!</definedName>
    <definedName name="lista">#REF!</definedName>
    <definedName name="ll" hidden="1">{#N/A,#N/A,FALSE,"Aging Summary";#N/A,#N/A,FALSE,"Ratio Analysis";#N/A,#N/A,FALSE,"Test 120 Day Accts";#N/A,#N/A,FALSE,"Tickmarks"}</definedName>
    <definedName name="m" hidden="1">{"'Sheet1'!$L$16"}</definedName>
    <definedName name="Main">#N/A</definedName>
    <definedName name="MAJ_CON_EQP" localSheetId="0">#REF!</definedName>
    <definedName name="MAJ_CON_EQP">#REF!</definedName>
    <definedName name="Mamoi" localSheetId="0">#REF!</definedName>
    <definedName name="Mamoi">#REF!</definedName>
    <definedName name="MG_A" localSheetId="0">#REF!</definedName>
    <definedName name="MG_A">#REF!</definedName>
    <definedName name="MJ" localSheetId="0">#REF!</definedName>
    <definedName name="MJ">#REF!</definedName>
    <definedName name="mm" hidden="1">{"'Sheet1'!$L$16"}</definedName>
    <definedName name="mmm" hidden="1">{#N/A,#N/A,FALSE,"Aging Summary";#N/A,#N/A,FALSE,"Ratio Analysis";#N/A,#N/A,FALSE,"Test 120 Day Accts";#N/A,#N/A,FALSE,"Tickmarks"}</definedName>
    <definedName name="mmmmmmmmmmmmmmmmmmmm" hidden="1">{#N/A,#N/A,FALSE,"Aging Summary";#N/A,#N/A,FALSE,"Ratio Analysis";#N/A,#N/A,FALSE,"Test 120 Day Accts";#N/A,#N/A,FALSE,"Tickmarks"}</definedName>
    <definedName name="MOD_STAB" localSheetId="0">#REF!</definedName>
    <definedName name="MOD_STAB">#REF!</definedName>
    <definedName name="n" hidden="1">{#N/A,#N/A,FALSE,"Aging Summary";#N/A,#N/A,FALSE,"Ratio Analysis";#N/A,#N/A,FALSE,"Test 120 Day Accts";#N/A,#N/A,FALSE,"Tickmarks"}</definedName>
    <definedName name="NDungPG" localSheetId="0">#REF!</definedName>
    <definedName name="NDungPG">#REF!</definedName>
    <definedName name="NET" localSheetId="0">#REF!</definedName>
    <definedName name="NET">#REF!</definedName>
    <definedName name="NET_1" localSheetId="0">#REF!</definedName>
    <definedName name="NET_1">#REF!</definedName>
    <definedName name="NET_ANA" localSheetId="0">#REF!</definedName>
    <definedName name="NET_ANA">#REF!</definedName>
    <definedName name="NET_ANA_1" localSheetId="0">#REF!</definedName>
    <definedName name="NET_ANA_1">#REF!</definedName>
    <definedName name="NET_ANA_2" localSheetId="0">#REF!</definedName>
    <definedName name="NET_ANA_2">#REF!</definedName>
    <definedName name="new" hidden="1">{#N/A,#N/A,FALSE,"Aging Summary";#N/A,#N/A,FALSE,"Ratio Analysis";#N/A,#N/A,FALSE,"Test 120 Day Accts";#N/A,#N/A,FALSE,"Tickmarks"}</definedName>
    <definedName name="NgayPG" localSheetId="0">#REF!</definedName>
    <definedName name="NgayPG">#REF!</definedName>
    <definedName name="NLG_P" localSheetId="0">#REF!</definedName>
    <definedName name="NLG_P">#REF!</definedName>
    <definedName name="o" hidden="1">{#N/A,#N/A,FALSE,"Aging Summary";#N/A,#N/A,FALSE,"Ratio Analysis";#N/A,#N/A,FALSE,"Test 120 Day Accts";#N/A,#N/A,FALSE,"Tickmarks"}</definedName>
    <definedName name="pers" localSheetId="0">#REF!</definedName>
    <definedName name="pers">#REF!</definedName>
    <definedName name="pippo" hidden="1">{#N/A,#N/A,TRUE,"Report_PF";#N/A,#N/A,TRUE,"Report_ORG";#N/A,#N/A,TRUE,"Report_DEP"}</definedName>
    <definedName name="pp" hidden="1">{#N/A,#N/A,TRUE,"Report_PF";#N/A,#N/A,TRUE,"Report_ORG";#N/A,#N/A,TRUE,"Report_DEP"}</definedName>
    <definedName name="PRICE" localSheetId="0">#REF!</definedName>
    <definedName name="PRICE">#REF!</definedName>
    <definedName name="PRICE1" localSheetId="0">#REF!</definedName>
    <definedName name="PRICE1">#REF!</definedName>
    <definedName name="_xlnm.Print_Area" localSheetId="0">#REF!</definedName>
    <definedName name="_xlnm.Print_Area">#REF!</definedName>
    <definedName name="_xlnm.Print_Titles" localSheetId="0">#REF!</definedName>
    <definedName name="_xlnm.Print_Titles">#REF!</definedName>
    <definedName name="Print_Titles_MI" localSheetId="0">#REF!</definedName>
    <definedName name="Print_Titles_MI">#REF!</definedName>
    <definedName name="PRINTA" localSheetId="0">#REF!</definedName>
    <definedName name="PRINTA">#REF!</definedName>
    <definedName name="PRINTB" localSheetId="0">#REF!</definedName>
    <definedName name="PRINTB">#REF!</definedName>
    <definedName name="PRINTC" localSheetId="0">#REF!</definedName>
    <definedName name="PRINTC">#REF!</definedName>
    <definedName name="Product" localSheetId="0">#REF!</definedName>
    <definedName name="Product">#REF!</definedName>
    <definedName name="PROPOSAL" localSheetId="0">#REF!</definedName>
    <definedName name="PROPOSAL">#REF!</definedName>
    <definedName name="PTE_P" localSheetId="0">#REF!</definedName>
    <definedName name="PTE_P">#REF!</definedName>
    <definedName name="Rapporto1" localSheetId="0">#REF!</definedName>
    <definedName name="Rapporto1">#REF!</definedName>
    <definedName name="Rapporto2" localSheetId="0">#REF!</definedName>
    <definedName name="Rapporto2">#REF!</definedName>
    <definedName name="RECOUT">#N/A</definedName>
    <definedName name="Report3Globale">#N/A</definedName>
    <definedName name="Report3Singolo">#N/A</definedName>
    <definedName name="rfadfhfgj" hidden="1">{#N/A,#N/A,TRUE,"Report_PF";#N/A,#N/A,TRUE,"Report_ORG";#N/A,#N/A,TRUE,"Report_DEP"}</definedName>
    <definedName name="RFP003A" localSheetId="0">#REF!</definedName>
    <definedName name="RFP003A">#REF!</definedName>
    <definedName name="RFP003B" localSheetId="0">#REF!</definedName>
    <definedName name="RFP003B">#REF!</definedName>
    <definedName name="RFP003C" localSheetId="0">#REF!</definedName>
    <definedName name="RFP003C">#REF!</definedName>
    <definedName name="RFP003D" localSheetId="0">#REF!</definedName>
    <definedName name="RFP003D">#REF!</definedName>
    <definedName name="RFP003E" localSheetId="0">#REF!</definedName>
    <definedName name="RFP003E">#REF!</definedName>
    <definedName name="RFP003F" localSheetId="0">#REF!</definedName>
    <definedName name="RFP003F">#REF!</definedName>
    <definedName name="rqrer" hidden="1">{#N/A,#N/A,TRUE,"Report_PF";#N/A,#N/A,TRUE,"Report_ORG";#N/A,#N/A,TRUE,"Report_DEP"}</definedName>
    <definedName name="rtryry" hidden="1">{#N/A,#N/A,TRUE,"Report_PF";#N/A,#N/A,TRUE,"Report_ORG";#N/A,#N/A,TRUE,"Report_DEP"}</definedName>
    <definedName name="s" hidden="1">{#N/A,#N/A,TRUE,"Report_PF";#N/A,#N/A,TRUE,"Report_ORG";#N/A,#N/A,TRUE,"Report_DEP"}</definedName>
    <definedName name="SAPBEXdnldView" hidden="1">"9VVY9GX4OSU85KCHKRS6MH2AL"</definedName>
    <definedName name="SAPBEXrevision" hidden="1">7</definedName>
    <definedName name="SAPBEXsysID" hidden="1">"BMP"</definedName>
    <definedName name="SAPBEXwbID" hidden="1">"BDO4SU59YJGE86LIE3AAMVBPQ"</definedName>
    <definedName name="SCH" localSheetId="0">#REF!</definedName>
    <definedName name="SCH">#REF!</definedName>
    <definedName name="SCHEMA" localSheetId="0">#REF!</definedName>
    <definedName name="SCHEMA">#REF!</definedName>
    <definedName name="SGD_P" localSheetId="0">#REF!</definedName>
    <definedName name="SGD_P">#REF!</definedName>
    <definedName name="SIZE" localSheetId="0">#REF!</definedName>
    <definedName name="SIZE">#REF!</definedName>
    <definedName name="SoPG" localSheetId="0">#REF!</definedName>
    <definedName name="SoPG">#REF!</definedName>
    <definedName name="SORT" localSheetId="0">#REF!</definedName>
    <definedName name="SORT">#REF!</definedName>
    <definedName name="SPEC" localSheetId="0">#REF!</definedName>
    <definedName name="SPEC">#REF!</definedName>
    <definedName name="SPECSUMMARY" localSheetId="0">#REF!</definedName>
    <definedName name="SPECSUMMARY">#REF!</definedName>
    <definedName name="ss">#N/A</definedName>
    <definedName name="sss" hidden="1">{#N/A,#N/A,FALSE,"Aging Summary";#N/A,#N/A,FALSE,"Ratio Analysis";#N/A,#N/A,FALSE,"Test 120 Day Accts";#N/A,#N/A,FALSE,"Tickmarks"}</definedName>
    <definedName name="st" localSheetId="0">#REF!</definedName>
    <definedName name="st">#REF!</definedName>
    <definedName name="Start_1" localSheetId="0">#REF!</definedName>
    <definedName name="Start_1">#REF!</definedName>
    <definedName name="Start_10" localSheetId="0">#REF!</definedName>
    <definedName name="Start_10">#REF!</definedName>
    <definedName name="Start_11" localSheetId="0">#REF!</definedName>
    <definedName name="Start_11">#REF!</definedName>
    <definedName name="Start_12" localSheetId="0">#REF!</definedName>
    <definedName name="Start_12">#REF!</definedName>
    <definedName name="Start_13" localSheetId="0">#REF!</definedName>
    <definedName name="Start_13">#REF!</definedName>
    <definedName name="Start_2" localSheetId="0">#REF!</definedName>
    <definedName name="Start_2">#REF!</definedName>
    <definedName name="Start_3" localSheetId="0">#REF!</definedName>
    <definedName name="Start_3">#REF!</definedName>
    <definedName name="Start_4" localSheetId="0">#REF!</definedName>
    <definedName name="Start_4">#REF!</definedName>
    <definedName name="Start_5" localSheetId="0">#REF!</definedName>
    <definedName name="Start_5">#REF!</definedName>
    <definedName name="Start_6" localSheetId="0">#REF!</definedName>
    <definedName name="Start_6">#REF!</definedName>
    <definedName name="Start_7" localSheetId="0">#REF!</definedName>
    <definedName name="Start_7">#REF!</definedName>
    <definedName name="Start_8" localSheetId="0">#REF!</definedName>
    <definedName name="Start_8">#REF!</definedName>
    <definedName name="Start_9" localSheetId="0">#REF!</definedName>
    <definedName name="Start_9">#REF!</definedName>
    <definedName name="STD2k" localSheetId="0">#REF!</definedName>
    <definedName name="STD2k">#REF!</definedName>
    <definedName name="STienPG" localSheetId="0">#REF!</definedName>
    <definedName name="STienPG">#REF!</definedName>
    <definedName name="SUMMARY" localSheetId="0">#REF!</definedName>
    <definedName name="SUMMARY">#REF!</definedName>
    <definedName name="t" hidden="1">{#N/A,#N/A,FALSE,"Aging Summary";#N/A,#N/A,FALSE,"Ratio Analysis";#N/A,#N/A,FALSE,"Test 120 Day Accts";#N/A,#N/A,FALSE,"Tickmarks"}</definedName>
    <definedName name="T_Account" localSheetId="0">#REF!</definedName>
    <definedName name="T_Account">#REF!</definedName>
    <definedName name="T_acount" localSheetId="0">#REF!</definedName>
    <definedName name="T_acount">#REF!</definedName>
    <definedName name="T_acount1" localSheetId="0">#REF!</definedName>
    <definedName name="T_acount1">#REF!</definedName>
    <definedName name="T_Activity" localSheetId="0">#REF!</definedName>
    <definedName name="T_Activity">#REF!</definedName>
    <definedName name="T_com" localSheetId="0">#REF!</definedName>
    <definedName name="T_com">#REF!</definedName>
    <definedName name="T_Currency" localSheetId="0">#REF!</definedName>
    <definedName name="T_Currency">#REF!</definedName>
    <definedName name="T_Expenses" localSheetId="0">#REF!</definedName>
    <definedName name="T_Expenses">#REF!</definedName>
    <definedName name="T_Prj" localSheetId="0">#REF!</definedName>
    <definedName name="T_Prj">#REF!</definedName>
    <definedName name="T_year" localSheetId="0">#REF!</definedName>
    <definedName name="T_year">#REF!</definedName>
    <definedName name="Tab_CodMercati" localSheetId="0">#REF!</definedName>
    <definedName name="Tab_CodMercati">#REF!</definedName>
    <definedName name="Tab_CodProdotti" localSheetId="0">#REF!</definedName>
    <definedName name="Tab_CodProdotti">#REF!</definedName>
    <definedName name="Tab_CodStabilim" localSheetId="0">#REF!</definedName>
    <definedName name="Tab_CodStabilim">#REF!</definedName>
    <definedName name="Tab_Leva_Cambi_PRECON" localSheetId="0">#REF!</definedName>
    <definedName name="Tab_Leva_Cambi_PRECON">#REF!</definedName>
    <definedName name="Tab_Leva_Costo_BUDGET" localSheetId="0">#REF!</definedName>
    <definedName name="Tab_Leva_Costo_BUDGET">#REF!</definedName>
    <definedName name="Tab_Leva_Costo_PRECON" localSheetId="0">#REF!</definedName>
    <definedName name="Tab_Leva_Costo_PRECON">#REF!</definedName>
    <definedName name="Tab_Variaz_Cambi_PRECON" localSheetId="0">#REF!</definedName>
    <definedName name="Tab_Variaz_Cambi_PRECON">#REF!</definedName>
    <definedName name="tax" hidden="1">{#N/A,#N/A,FALSE,"Aging Summary";#N/A,#N/A,FALSE,"Ratio Analysis";#N/A,#N/A,FALSE,"Test 120 Day Accts";#N/A,#N/A,FALSE,"Tickmarks"}</definedName>
    <definedName name="TEST0" localSheetId="0">#REF!</definedName>
    <definedName name="TEST0">#REF!</definedName>
    <definedName name="TESTHKEY" localSheetId="0">#REF!</definedName>
    <definedName name="TESTHKEY">#REF!</definedName>
    <definedName name="TESTKEYS" localSheetId="0">#REF!</definedName>
    <definedName name="TESTKEYS">#REF!</definedName>
    <definedName name="TESTVKEY" localSheetId="0">#REF!</definedName>
    <definedName name="TESTVKEY">#REF!</definedName>
    <definedName name="tewterter" hidden="1">{#N/A,#N/A,TRUE,"Report_PF";#N/A,#N/A,TRUE,"Report_ORG";#N/A,#N/A,TRUE,"Report_DEP"}</definedName>
    <definedName name="TextRefCopy1" localSheetId="0">#REF!</definedName>
    <definedName name="TextRefCopy1">#REF!</definedName>
    <definedName name="TextRefCopy10" localSheetId="0">#REF!</definedName>
    <definedName name="TextRefCopy10">#REF!</definedName>
    <definedName name="TextRefCopy11" localSheetId="0">#REF!</definedName>
    <definedName name="TextRefCopy11">#REF!</definedName>
    <definedName name="TextRefCopy12" localSheetId="0">#REF!</definedName>
    <definedName name="TextRefCopy12">#REF!</definedName>
    <definedName name="TextRefCopy13" localSheetId="0">#REF!</definedName>
    <definedName name="TextRefCopy13">#REF!</definedName>
    <definedName name="TextRefCopy14" localSheetId="0">#REF!</definedName>
    <definedName name="TextRefCopy14">#REF!</definedName>
    <definedName name="TextRefCopy15" localSheetId="0">#REF!</definedName>
    <definedName name="TextRefCopy15">#REF!</definedName>
    <definedName name="TextRefCopy16" localSheetId="0">#REF!</definedName>
    <definedName name="TextRefCopy16">#REF!</definedName>
    <definedName name="TextRefCopy17" localSheetId="0">#REF!</definedName>
    <definedName name="TextRefCopy17">#REF!</definedName>
    <definedName name="TextRefCopy18" localSheetId="0">#REF!</definedName>
    <definedName name="TextRefCopy18">#REF!</definedName>
    <definedName name="TextRefCopy19" localSheetId="0">#REF!</definedName>
    <definedName name="TextRefCopy19">#REF!</definedName>
    <definedName name="TextRefCopy2" localSheetId="0">#REF!</definedName>
    <definedName name="TextRefCopy2">#REF!</definedName>
    <definedName name="TextRefCopy20" localSheetId="0">#REF!</definedName>
    <definedName name="TextRefCopy20">#REF!</definedName>
    <definedName name="TextRefCopy21" localSheetId="0">#REF!</definedName>
    <definedName name="TextRefCopy21">#REF!</definedName>
    <definedName name="TextRefCopy22" localSheetId="0">#REF!</definedName>
    <definedName name="TextRefCopy22">#REF!</definedName>
    <definedName name="TextRefCopy23" localSheetId="0">#REF!</definedName>
    <definedName name="TextRefCopy23">#REF!</definedName>
    <definedName name="TextRefCopy24" localSheetId="0">#REF!</definedName>
    <definedName name="TextRefCopy24">#REF!</definedName>
    <definedName name="TextRefCopy3" localSheetId="0">#REF!</definedName>
    <definedName name="TextRefCopy3">#REF!</definedName>
    <definedName name="TextRefCopy4" localSheetId="0">#REF!</definedName>
    <definedName name="TextRefCopy4">#REF!</definedName>
    <definedName name="TextRefCopy5" localSheetId="0">#REF!</definedName>
    <definedName name="TextRefCopy5">#REF!</definedName>
    <definedName name="TextRefCopy6" localSheetId="0">#REF!</definedName>
    <definedName name="TextRefCopy6">#REF!</definedName>
    <definedName name="TextRefCopy7" localSheetId="0">#REF!</definedName>
    <definedName name="TextRefCopy7">#REF!</definedName>
    <definedName name="TextRefCopy8" localSheetId="0">#REF!</definedName>
    <definedName name="TextRefCopy8">#REF!</definedName>
    <definedName name="TextRefCopy9" localSheetId="0">#REF!</definedName>
    <definedName name="TextRefCopy9">#REF!</definedName>
    <definedName name="TextRefCopyRangeCount" hidden="1">24</definedName>
    <definedName name="THI" localSheetId="0">#REF!</definedName>
    <definedName name="THI">#REF!</definedName>
    <definedName name="Thuy" hidden="1">{#N/A,#N/A,FALSE,"Aging Summary";#N/A,#N/A,FALSE,"Ratio Analysis";#N/A,#N/A,FALSE,"Test 120 Day Accts";#N/A,#N/A,FALSE,"Tickmarks"}</definedName>
    <definedName name="tit" localSheetId="0">#REF!</definedName>
    <definedName name="tit">#REF!</definedName>
    <definedName name="TITAN" localSheetId="0">#REF!</definedName>
    <definedName name="TITAN">#REF!</definedName>
    <definedName name="TPLRP" localSheetId="0">#REF!</definedName>
    <definedName name="TPLRP">#REF!</definedName>
    <definedName name="TRADE2" localSheetId="0">#REF!</definedName>
    <definedName name="TRADE2">#REF!</definedName>
    <definedName name="tt" hidden="1">{#N/A,#N/A,FALSE,"Aging Summary";#N/A,#N/A,FALSE,"Ratio Analysis";#N/A,#N/A,FALSE,"Test 120 Day Accts";#N/A,#N/A,FALSE,"Tickmarks"}</definedName>
    <definedName name="tthtyht" hidden="1">{#N/A,#N/A,TRUE,"Report_PF";#N/A,#N/A,TRUE,"Report_ORG";#N/A,#N/A,TRUE,"Report_DEP"}</definedName>
    <definedName name="USD_P" localSheetId="0">#REF!</definedName>
    <definedName name="USD_P">#REF!</definedName>
    <definedName name="VARIINST" localSheetId="0">#REF!</definedName>
    <definedName name="VARIINST">#REF!</definedName>
    <definedName name="VARIPURC" localSheetId="0">#REF!</definedName>
    <definedName name="VARIPURC">#REF!</definedName>
    <definedName name="vv" hidden="1">{#N/A,#N/A,FALSE,"Aging Summary";#N/A,#N/A,FALSE,"Ratio Analysis";#N/A,#N/A,FALSE,"Test 120 Day Accts";#N/A,#N/A,FALSE,"Tickmarks"}</definedName>
    <definedName name="W" localSheetId="0">#REF!</definedName>
    <definedName name="W">#REF!</definedName>
    <definedName name="wqdfwdf" hidden="1">{#N/A,#N/A,TRUE,"Report_PF";#N/A,#N/A,TRUE,"Report_ORG";#N/A,#N/A,TRUE,"Report_DEP"}</definedName>
    <definedName name="wrn.Aging._.and._.Trend._.Analysis." hidden="1">{#N/A,#N/A,FALSE,"Aging Summary";#N/A,#N/A,FALSE,"Ratio Analysis";#N/A,#N/A,FALSE,"Test 120 Day Accts";#N/A,#N/A,FALSE,"Tickmarks"}</definedName>
    <definedName name="wrn.Mts_reporting." hidden="1">{#N/A,#N/A,TRUE,"Report_PF";#N/A,#N/A,TRUE,"Report_ORG";#N/A,#N/A,TRUE,"Report_DEP"}</definedName>
    <definedName name="wrn.pippo." hidden="1">{"X_STAB_01",#N/A,TRUE,"X_STAB";"X_STAB_02",#N/A,TRUE,"X_STAB"}</definedName>
    <definedName name="X" localSheetId="0">#REF!</definedName>
    <definedName name="X">#REF!</definedName>
    <definedName name="xc" hidden="1">{#N/A,#N/A,FALSE,"Aging Summary";#N/A,#N/A,FALSE,"Ratio Analysis";#N/A,#N/A,FALSE,"Test 120 Day Accts";#N/A,#N/A,FALSE,"Tickmarks"}</definedName>
    <definedName name="xl" hidden="1">{"'Sheet1'!$L$16"}</definedName>
    <definedName name="xll" hidden="1">{"'Sheet1'!$L$16"}</definedName>
    <definedName name="xls" hidden="1">{"'Sheet1'!$L$16"}</definedName>
    <definedName name="XREF_COLUMN_1" localSheetId="0" hidden="1">#REF!</definedName>
    <definedName name="XREF_COLUMN_1" hidden="1">#REF!</definedName>
    <definedName name="XREF_COLUMN_10" localSheetId="0" hidden="1">#REF!</definedName>
    <definedName name="XREF_COLUMN_10" hidden="1">#REF!</definedName>
    <definedName name="XREF_COLUMN_2" localSheetId="0" hidden="1">#REF!</definedName>
    <definedName name="XREF_COLUMN_2" hidden="1">#REF!</definedName>
    <definedName name="XREF_COLUMN_4" localSheetId="0" hidden="1">#REF!</definedName>
    <definedName name="XREF_COLUMN_4" hidden="1">#REF!</definedName>
    <definedName name="XREF_COLUMN_5" localSheetId="0" hidden="1">#REF!</definedName>
    <definedName name="XREF_COLUMN_5" hidden="1">#REF!</definedName>
    <definedName name="XREF_COLUMN_6" localSheetId="0" hidden="1">#REF!</definedName>
    <definedName name="XREF_COLUMN_6" hidden="1">#REF!</definedName>
    <definedName name="XREF_COLUMN_7" localSheetId="0" hidden="1">#REF!</definedName>
    <definedName name="XREF_COLUMN_7" hidden="1">#REF!</definedName>
    <definedName name="XREF_COLUMN_8" localSheetId="0" hidden="1">#REF!</definedName>
    <definedName name="XREF_COLUMN_8" hidden="1">#REF!</definedName>
    <definedName name="XREF_COLUMN_9" localSheetId="0" hidden="1">#REF!</definedName>
    <definedName name="XREF_COLUMN_9" hidden="1">#REF!</definedName>
    <definedName name="XRefActiveRow" localSheetId="0" hidden="1">#REF!</definedName>
    <definedName name="XRefActiveRow" hidden="1">#REF!</definedName>
    <definedName name="XRefColumnsCount" hidden="1">10</definedName>
    <definedName name="XRefCopy1" localSheetId="0" hidden="1">#REF!</definedName>
    <definedName name="XRefCopy1" hidden="1">#REF!</definedName>
    <definedName name="XRefCopy10Row" localSheetId="0" hidden="1">#REF!</definedName>
    <definedName name="XRefCopy10Row" hidden="1">#REF!</definedName>
    <definedName name="XRefCopy11" localSheetId="0" hidden="1">#REF!</definedName>
    <definedName name="XRefCopy11" hidden="1">#REF!</definedName>
    <definedName name="XRefCopy11Row" localSheetId="0" hidden="1">#REF!</definedName>
    <definedName name="XRefCopy11Row" hidden="1">#REF!</definedName>
    <definedName name="XRefCopy12" localSheetId="0" hidden="1">#REF!</definedName>
    <definedName name="XRefCopy12" hidden="1">#REF!</definedName>
    <definedName name="XRefCopy12Row" localSheetId="0" hidden="1">#REF!</definedName>
    <definedName name="XRefCopy12Row" hidden="1">#REF!</definedName>
    <definedName name="XRefCopy13" localSheetId="0" hidden="1">#REF!</definedName>
    <definedName name="XRefCopy13" hidden="1">#REF!</definedName>
    <definedName name="XRefCopy13Row" localSheetId="0" hidden="1">#REF!</definedName>
    <definedName name="XRefCopy13Row" hidden="1">#REF!</definedName>
    <definedName name="XRefCopy14" localSheetId="0" hidden="1">#REF!</definedName>
    <definedName name="XRefCopy14" hidden="1">#REF!</definedName>
    <definedName name="XRefCopy14Row" localSheetId="0" hidden="1">#REF!</definedName>
    <definedName name="XRefCopy14Row" hidden="1">#REF!</definedName>
    <definedName name="XRefCopy15" localSheetId="0" hidden="1">#REF!</definedName>
    <definedName name="XRefCopy15" hidden="1">#REF!</definedName>
    <definedName name="XRefCopy15Row" localSheetId="0" hidden="1">#REF!</definedName>
    <definedName name="XRefCopy15Row" hidden="1">#REF!</definedName>
    <definedName name="XRefCopy16" localSheetId="0" hidden="1">#REF!</definedName>
    <definedName name="XRefCopy16" hidden="1">#REF!</definedName>
    <definedName name="XRefCopy16Row" localSheetId="0" hidden="1">#REF!</definedName>
    <definedName name="XRefCopy16Row" hidden="1">#REF!</definedName>
    <definedName name="XRefCopy1Row" localSheetId="0" hidden="1">#REF!</definedName>
    <definedName name="XRefCopy1Row" hidden="1">#REF!</definedName>
    <definedName name="XRefCopy2" localSheetId="0" hidden="1">#REF!</definedName>
    <definedName name="XRefCopy2" hidden="1">#REF!</definedName>
    <definedName name="XRefCopy2Row" localSheetId="0" hidden="1">#REF!</definedName>
    <definedName name="XRefCopy2Row" hidden="1">#REF!</definedName>
    <definedName name="XRefCopy4Row" localSheetId="0" hidden="1">#REF!</definedName>
    <definedName name="XRefCopy4Row" hidden="1">#REF!</definedName>
    <definedName name="XRefCopy5" localSheetId="0" hidden="1">#REF!</definedName>
    <definedName name="XRefCopy5" hidden="1">#REF!</definedName>
    <definedName name="XRefCopy5Row" localSheetId="0" hidden="1">#REF!</definedName>
    <definedName name="XRefCopy5Row" hidden="1">#REF!</definedName>
    <definedName name="XRefCopy7" localSheetId="0" hidden="1">#REF!</definedName>
    <definedName name="XRefCopy7" hidden="1">#REF!</definedName>
    <definedName name="XRefCopy7Row" localSheetId="0" hidden="1">#REF!</definedName>
    <definedName name="XRefCopy7Row" hidden="1">#REF!</definedName>
    <definedName name="XRefCopy8" localSheetId="0" hidden="1">#REF!</definedName>
    <definedName name="XRefCopy8" hidden="1">#REF!</definedName>
    <definedName name="XRefCopy8Row" localSheetId="0" hidden="1">#REF!</definedName>
    <definedName name="XRefCopy8Row" hidden="1">#REF!</definedName>
    <definedName name="XRefCopy9" localSheetId="0" hidden="1">#REF!</definedName>
    <definedName name="XRefCopy9" hidden="1">#REF!</definedName>
    <definedName name="XRefCopy9Row" localSheetId="0" hidden="1">#REF!</definedName>
    <definedName name="XRefCopy9Row" hidden="1">#REF!</definedName>
    <definedName name="XRefCopyRangeCount" hidden="1">16</definedName>
    <definedName name="XRefPaste1" localSheetId="0" hidden="1">#REF!</definedName>
    <definedName name="XRefPaste1" hidden="1">#REF!</definedName>
    <definedName name="XRefPaste1Row" localSheetId="0" hidden="1">#REF!</definedName>
    <definedName name="XRefPaste1Row" hidden="1">#REF!</definedName>
    <definedName name="XRefPaste3Row" localSheetId="0" hidden="1">#REF!</definedName>
    <definedName name="XRefPaste3Row" hidden="1">#REF!</definedName>
    <definedName name="XRefPasteRangeCount" hidden="1">3</definedName>
    <definedName name="xx" hidden="1">{#N/A,#N/A,FALSE,"Aging Summary";#N/A,#N/A,FALSE,"Ratio Analysis";#N/A,#N/A,FALSE,"Test 120 Day Accts";#N/A,#N/A,FALSE,"Tickmarks"}</definedName>
    <definedName name="ZYX" localSheetId="0">#REF!</definedName>
    <definedName name="ZYX">#REF!</definedName>
    <definedName name="ZZZ" localSheetId="0">#REF!</definedName>
    <definedName name="ZZZ">#REF!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V455" i="1" l="1"/>
  <c r="AT455" i="1"/>
  <c r="AR455" i="1"/>
  <c r="AP455" i="1"/>
  <c r="AN455" i="1"/>
  <c r="AL455" i="1"/>
  <c r="AJ455" i="1"/>
  <c r="AH455" i="1"/>
  <c r="Y455" i="1"/>
  <c r="Y457" i="1" s="1"/>
  <c r="X455" i="1"/>
  <c r="T455" i="1"/>
  <c r="AX453" i="1"/>
  <c r="AY453" i="1" s="1"/>
  <c r="AG453" i="1"/>
  <c r="W453" i="1"/>
  <c r="S453" i="1"/>
  <c r="Q453" i="1"/>
  <c r="AX452" i="1"/>
  <c r="AY452" i="1" s="1"/>
  <c r="AG452" i="1"/>
  <c r="W452" i="1"/>
  <c r="S452" i="1"/>
  <c r="Q452" i="1"/>
  <c r="AX451" i="1"/>
  <c r="AY451" i="1" s="1"/>
  <c r="AG451" i="1"/>
  <c r="W451" i="1"/>
  <c r="S451" i="1"/>
  <c r="Q451" i="1"/>
  <c r="AX450" i="1"/>
  <c r="AY450" i="1" s="1"/>
  <c r="AG450" i="1"/>
  <c r="W450" i="1"/>
  <c r="S450" i="1"/>
  <c r="Q450" i="1"/>
  <c r="AX449" i="1"/>
  <c r="AY449" i="1" s="1"/>
  <c r="AG449" i="1"/>
  <c r="W449" i="1"/>
  <c r="S449" i="1"/>
  <c r="Q449" i="1"/>
  <c r="AX448" i="1"/>
  <c r="AY448" i="1" s="1"/>
  <c r="AG448" i="1"/>
  <c r="W448" i="1"/>
  <c r="S448" i="1"/>
  <c r="Q448" i="1"/>
  <c r="AX447" i="1"/>
  <c r="AY447" i="1" s="1"/>
  <c r="AG447" i="1"/>
  <c r="W447" i="1"/>
  <c r="S447" i="1"/>
  <c r="Q447" i="1"/>
  <c r="AX446" i="1"/>
  <c r="AY446" i="1" s="1"/>
  <c r="AG446" i="1"/>
  <c r="W446" i="1"/>
  <c r="S446" i="1"/>
  <c r="Q446" i="1"/>
  <c r="AX445" i="1"/>
  <c r="AY445" i="1" s="1"/>
  <c r="AG445" i="1"/>
  <c r="W445" i="1"/>
  <c r="S445" i="1"/>
  <c r="Q445" i="1"/>
  <c r="AX444" i="1"/>
  <c r="AY444" i="1" s="1"/>
  <c r="AG444" i="1"/>
  <c r="W444" i="1"/>
  <c r="S444" i="1"/>
  <c r="Q444" i="1"/>
  <c r="AX443" i="1"/>
  <c r="AY443" i="1" s="1"/>
  <c r="AG443" i="1"/>
  <c r="W443" i="1"/>
  <c r="S443" i="1"/>
  <c r="Q443" i="1"/>
  <c r="AX442" i="1"/>
  <c r="AY442" i="1" s="1"/>
  <c r="AG442" i="1"/>
  <c r="W442" i="1"/>
  <c r="S442" i="1"/>
  <c r="Q442" i="1"/>
  <c r="AX441" i="1"/>
  <c r="AY441" i="1" s="1"/>
  <c r="AG441" i="1"/>
  <c r="W441" i="1"/>
  <c r="S441" i="1"/>
  <c r="Q441" i="1"/>
  <c r="AX440" i="1"/>
  <c r="AY440" i="1" s="1"/>
  <c r="AG440" i="1"/>
  <c r="W440" i="1"/>
  <c r="S440" i="1"/>
  <c r="Q440" i="1"/>
  <c r="AX439" i="1"/>
  <c r="AY439" i="1" s="1"/>
  <c r="AG439" i="1"/>
  <c r="W439" i="1"/>
  <c r="S439" i="1"/>
  <c r="Q439" i="1"/>
  <c r="AX438" i="1"/>
  <c r="AY438" i="1" s="1"/>
  <c r="AG438" i="1"/>
  <c r="W438" i="1"/>
  <c r="S438" i="1"/>
  <c r="Q438" i="1"/>
  <c r="AX437" i="1"/>
  <c r="AY437" i="1" s="1"/>
  <c r="AG437" i="1"/>
  <c r="W437" i="1"/>
  <c r="S437" i="1"/>
  <c r="Q437" i="1"/>
  <c r="AX436" i="1"/>
  <c r="AY436" i="1" s="1"/>
  <c r="AG436" i="1"/>
  <c r="W436" i="1"/>
  <c r="S436" i="1"/>
  <c r="Q436" i="1"/>
  <c r="AX435" i="1"/>
  <c r="AY435" i="1" s="1"/>
  <c r="AG435" i="1"/>
  <c r="W435" i="1"/>
  <c r="S435" i="1"/>
  <c r="Q435" i="1"/>
  <c r="AX434" i="1"/>
  <c r="AY434" i="1" s="1"/>
  <c r="AG434" i="1"/>
  <c r="W434" i="1"/>
  <c r="S434" i="1"/>
  <c r="Q434" i="1"/>
  <c r="AX433" i="1"/>
  <c r="AY433" i="1" s="1"/>
  <c r="AG433" i="1"/>
  <c r="W433" i="1"/>
  <c r="S433" i="1"/>
  <c r="Q433" i="1"/>
  <c r="AX432" i="1"/>
  <c r="AY432" i="1" s="1"/>
  <c r="AG432" i="1"/>
  <c r="W432" i="1"/>
  <c r="S432" i="1"/>
  <c r="Q432" i="1"/>
  <c r="AX431" i="1"/>
  <c r="AY431" i="1" s="1"/>
  <c r="AG431" i="1"/>
  <c r="W431" i="1"/>
  <c r="S431" i="1"/>
  <c r="Q431" i="1"/>
  <c r="AX430" i="1"/>
  <c r="AY430" i="1" s="1"/>
  <c r="AG430" i="1"/>
  <c r="W430" i="1"/>
  <c r="S430" i="1"/>
  <c r="Q430" i="1"/>
  <c r="AX429" i="1"/>
  <c r="AY429" i="1" s="1"/>
  <c r="AG429" i="1"/>
  <c r="W429" i="1"/>
  <c r="S429" i="1"/>
  <c r="Q429" i="1"/>
  <c r="AX428" i="1"/>
  <c r="AY428" i="1" s="1"/>
  <c r="AG428" i="1"/>
  <c r="W428" i="1"/>
  <c r="S428" i="1"/>
  <c r="Q428" i="1"/>
  <c r="AX427" i="1"/>
  <c r="AY427" i="1" s="1"/>
  <c r="AG427" i="1"/>
  <c r="W427" i="1"/>
  <c r="S427" i="1"/>
  <c r="Q427" i="1"/>
  <c r="AX426" i="1"/>
  <c r="AY426" i="1" s="1"/>
  <c r="AG426" i="1"/>
  <c r="W426" i="1"/>
  <c r="S426" i="1"/>
  <c r="Q426" i="1"/>
  <c r="AX425" i="1"/>
  <c r="AY425" i="1" s="1"/>
  <c r="AG425" i="1"/>
  <c r="W425" i="1"/>
  <c r="S425" i="1"/>
  <c r="Q425" i="1"/>
  <c r="AX424" i="1"/>
  <c r="AY424" i="1" s="1"/>
  <c r="AG424" i="1"/>
  <c r="W424" i="1"/>
  <c r="S424" i="1"/>
  <c r="Q424" i="1"/>
  <c r="AX423" i="1"/>
  <c r="AY423" i="1" s="1"/>
  <c r="AG423" i="1"/>
  <c r="W423" i="1"/>
  <c r="S423" i="1"/>
  <c r="Q423" i="1"/>
  <c r="AX422" i="1"/>
  <c r="AY422" i="1" s="1"/>
  <c r="AG422" i="1"/>
  <c r="W422" i="1"/>
  <c r="S422" i="1"/>
  <c r="Q422" i="1"/>
  <c r="AX421" i="1"/>
  <c r="AY421" i="1" s="1"/>
  <c r="AG421" i="1"/>
  <c r="R421" i="1"/>
  <c r="W421" i="1" s="1"/>
  <c r="AX420" i="1"/>
  <c r="AY420" i="1" s="1"/>
  <c r="AG420" i="1"/>
  <c r="R420" i="1"/>
  <c r="Q420" i="1" s="1"/>
  <c r="AX419" i="1"/>
  <c r="AY419" i="1" s="1"/>
  <c r="AG419" i="1"/>
  <c r="R419" i="1"/>
  <c r="W419" i="1" s="1"/>
  <c r="AX418" i="1"/>
  <c r="AY418" i="1" s="1"/>
  <c r="AG418" i="1"/>
  <c r="R418" i="1"/>
  <c r="W418" i="1" s="1"/>
  <c r="AX417" i="1"/>
  <c r="AY417" i="1" s="1"/>
  <c r="AG417" i="1"/>
  <c r="R417" i="1"/>
  <c r="Q417" i="1" s="1"/>
  <c r="AX416" i="1"/>
  <c r="AY416" i="1" s="1"/>
  <c r="AG416" i="1"/>
  <c r="R416" i="1"/>
  <c r="AX415" i="1"/>
  <c r="AY415" i="1" s="1"/>
  <c r="AG415" i="1"/>
  <c r="R415" i="1"/>
  <c r="W415" i="1" s="1"/>
  <c r="AX414" i="1"/>
  <c r="AY414" i="1" s="1"/>
  <c r="AG414" i="1"/>
  <c r="W414" i="1"/>
  <c r="Q414" i="1"/>
  <c r="AX413" i="1"/>
  <c r="AY413" i="1" s="1"/>
  <c r="AG413" i="1"/>
  <c r="W413" i="1"/>
  <c r="Q413" i="1"/>
  <c r="AX412" i="1"/>
  <c r="AY412" i="1" s="1"/>
  <c r="AG412" i="1"/>
  <c r="W412" i="1"/>
  <c r="S412" i="1"/>
  <c r="Q412" i="1"/>
  <c r="AX411" i="1"/>
  <c r="AY411" i="1" s="1"/>
  <c r="AG411" i="1"/>
  <c r="AI411" i="1" s="1"/>
  <c r="AK411" i="1" s="1"/>
  <c r="AM411" i="1" s="1"/>
  <c r="AO411" i="1" s="1"/>
  <c r="AQ411" i="1" s="1"/>
  <c r="AS411" i="1" s="1"/>
  <c r="AU411" i="1" s="1"/>
  <c r="AW411" i="1" s="1"/>
  <c r="W411" i="1"/>
  <c r="S411" i="1"/>
  <c r="Q411" i="1"/>
  <c r="AE410" i="1"/>
  <c r="W410" i="1"/>
  <c r="Q410" i="1"/>
  <c r="AE409" i="1"/>
  <c r="W409" i="1"/>
  <c r="S409" i="1"/>
  <c r="Q409" i="1"/>
  <c r="AE408" i="1"/>
  <c r="W408" i="1"/>
  <c r="S408" i="1"/>
  <c r="Q408" i="1"/>
  <c r="AE407" i="1"/>
  <c r="W407" i="1"/>
  <c r="S407" i="1"/>
  <c r="Q407" i="1"/>
  <c r="AE406" i="1"/>
  <c r="W406" i="1"/>
  <c r="Q406" i="1"/>
  <c r="AE405" i="1"/>
  <c r="W405" i="1"/>
  <c r="Q405" i="1"/>
  <c r="AE404" i="1"/>
  <c r="W404" i="1"/>
  <c r="S404" i="1"/>
  <c r="Q404" i="1"/>
  <c r="AE403" i="1"/>
  <c r="W403" i="1"/>
  <c r="S403" i="1"/>
  <c r="Q403" i="1"/>
  <c r="AE402" i="1"/>
  <c r="W402" i="1"/>
  <c r="Q402" i="1"/>
  <c r="AE401" i="1"/>
  <c r="W401" i="1"/>
  <c r="Q401" i="1"/>
  <c r="AE400" i="1"/>
  <c r="W400" i="1"/>
  <c r="Q400" i="1"/>
  <c r="AE399" i="1"/>
  <c r="W399" i="1"/>
  <c r="Q399" i="1"/>
  <c r="AE398" i="1"/>
  <c r="W398" i="1"/>
  <c r="Q398" i="1"/>
  <c r="AE397" i="1"/>
  <c r="AF397" i="1" s="1"/>
  <c r="W397" i="1"/>
  <c r="Q397" i="1"/>
  <c r="AE396" i="1"/>
  <c r="W396" i="1"/>
  <c r="Q396" i="1"/>
  <c r="AE395" i="1"/>
  <c r="W395" i="1"/>
  <c r="Q395" i="1"/>
  <c r="AE394" i="1"/>
  <c r="W394" i="1"/>
  <c r="Q394" i="1"/>
  <c r="AE393" i="1"/>
  <c r="W393" i="1"/>
  <c r="Q393" i="1"/>
  <c r="AE392" i="1"/>
  <c r="W392" i="1"/>
  <c r="Q392" i="1"/>
  <c r="AE391" i="1"/>
  <c r="W391" i="1"/>
  <c r="S391" i="1"/>
  <c r="Q391" i="1"/>
  <c r="Z390" i="1"/>
  <c r="AC390" i="1" s="1"/>
  <c r="W390" i="1"/>
  <c r="Q390" i="1"/>
  <c r="Z389" i="1"/>
  <c r="AC389" i="1" s="1"/>
  <c r="W389" i="1"/>
  <c r="Q389" i="1"/>
  <c r="Z388" i="1"/>
  <c r="AC388" i="1" s="1"/>
  <c r="W388" i="1"/>
  <c r="Q388" i="1"/>
  <c r="Z387" i="1"/>
  <c r="W387" i="1"/>
  <c r="Q387" i="1"/>
  <c r="Z386" i="1"/>
  <c r="W386" i="1"/>
  <c r="Q386" i="1"/>
  <c r="Z385" i="1"/>
  <c r="W385" i="1"/>
  <c r="Q385" i="1"/>
  <c r="Z384" i="1"/>
  <c r="AC384" i="1" s="1"/>
  <c r="W384" i="1"/>
  <c r="Q384" i="1"/>
  <c r="Z383" i="1"/>
  <c r="AC383" i="1" s="1"/>
  <c r="W383" i="1"/>
  <c r="Q383" i="1"/>
  <c r="Z382" i="1"/>
  <c r="W382" i="1"/>
  <c r="Q382" i="1"/>
  <c r="Z381" i="1"/>
  <c r="W381" i="1"/>
  <c r="Q381" i="1"/>
  <c r="Z380" i="1"/>
  <c r="AC380" i="1" s="1"/>
  <c r="W380" i="1"/>
  <c r="Q380" i="1"/>
  <c r="Z379" i="1"/>
  <c r="W379" i="1"/>
  <c r="Q379" i="1"/>
  <c r="Z378" i="1"/>
  <c r="AA378" i="1" s="1"/>
  <c r="W378" i="1"/>
  <c r="Q378" i="1"/>
  <c r="Z377" i="1"/>
  <c r="W377" i="1"/>
  <c r="Q377" i="1"/>
  <c r="Z376" i="1"/>
  <c r="AA376" i="1" s="1"/>
  <c r="W376" i="1"/>
  <c r="Q376" i="1"/>
  <c r="Z375" i="1"/>
  <c r="W375" i="1"/>
  <c r="Q375" i="1"/>
  <c r="Z374" i="1"/>
  <c r="AA374" i="1" s="1"/>
  <c r="W374" i="1"/>
  <c r="Q374" i="1"/>
  <c r="Z373" i="1"/>
  <c r="AA373" i="1" s="1"/>
  <c r="W373" i="1"/>
  <c r="Q373" i="1"/>
  <c r="Z372" i="1"/>
  <c r="AA372" i="1" s="1"/>
  <c r="AC372" i="1" s="1"/>
  <c r="W372" i="1"/>
  <c r="Q372" i="1"/>
  <c r="Z371" i="1"/>
  <c r="AA371" i="1" s="1"/>
  <c r="W371" i="1"/>
  <c r="Q371" i="1"/>
  <c r="Z370" i="1"/>
  <c r="AA370" i="1" s="1"/>
  <c r="R370" i="1"/>
  <c r="W370" i="1" s="1"/>
  <c r="Z369" i="1"/>
  <c r="R369" i="1"/>
  <c r="R368" i="1"/>
  <c r="W368" i="1" s="1"/>
  <c r="Z368" i="1" s="1"/>
  <c r="R367" i="1"/>
  <c r="Q367" i="1" s="1"/>
  <c r="R366" i="1"/>
  <c r="R365" i="1"/>
  <c r="W365" i="1" s="1"/>
  <c r="Z365" i="1" s="1"/>
  <c r="R364" i="1"/>
  <c r="W364" i="1" s="1"/>
  <c r="Z364" i="1" s="1"/>
  <c r="AA364" i="1" s="1"/>
  <c r="R363" i="1"/>
  <c r="Q363" i="1" s="1"/>
  <c r="R362" i="1"/>
  <c r="W362" i="1" s="1"/>
  <c r="Z362" i="1" s="1"/>
  <c r="AA362" i="1" s="1"/>
  <c r="AB362" i="1" s="1"/>
  <c r="R361" i="1"/>
  <c r="R360" i="1"/>
  <c r="W360" i="1" s="1"/>
  <c r="Z360" i="1" s="1"/>
  <c r="R359" i="1"/>
  <c r="W358" i="1"/>
  <c r="Z358" i="1" s="1"/>
  <c r="Q358" i="1"/>
  <c r="W357" i="1"/>
  <c r="Z357" i="1" s="1"/>
  <c r="Q357" i="1"/>
  <c r="W356" i="1"/>
  <c r="Z356" i="1" s="1"/>
  <c r="Q356" i="1"/>
  <c r="W355" i="1"/>
  <c r="Z355" i="1" s="1"/>
  <c r="AA355" i="1" s="1"/>
  <c r="Q355" i="1"/>
  <c r="W354" i="1"/>
  <c r="Z354" i="1" s="1"/>
  <c r="AA354" i="1" s="1"/>
  <c r="Q354" i="1"/>
  <c r="W353" i="1"/>
  <c r="Z353" i="1" s="1"/>
  <c r="AA353" i="1" s="1"/>
  <c r="Q353" i="1"/>
  <c r="W352" i="1"/>
  <c r="Z352" i="1" s="1"/>
  <c r="Q352" i="1"/>
  <c r="W351" i="1"/>
  <c r="Z351" i="1" s="1"/>
  <c r="Q351" i="1"/>
  <c r="W350" i="1"/>
  <c r="Z350" i="1" s="1"/>
  <c r="AA350" i="1" s="1"/>
  <c r="Q350" i="1"/>
  <c r="W349" i="1"/>
  <c r="Z349" i="1" s="1"/>
  <c r="Q349" i="1"/>
  <c r="W348" i="1"/>
  <c r="Z348" i="1" s="1"/>
  <c r="Q348" i="1"/>
  <c r="W347" i="1"/>
  <c r="Z347" i="1" s="1"/>
  <c r="Q347" i="1"/>
  <c r="W346" i="1"/>
  <c r="Z346" i="1" s="1"/>
  <c r="AA346" i="1" s="1"/>
  <c r="AB346" i="1" s="1"/>
  <c r="Q346" i="1"/>
  <c r="W345" i="1"/>
  <c r="Z345" i="1" s="1"/>
  <c r="Q345" i="1"/>
  <c r="W344" i="1"/>
  <c r="Z344" i="1" s="1"/>
  <c r="Q344" i="1"/>
  <c r="W343" i="1"/>
  <c r="Z343" i="1" s="1"/>
  <c r="Q343" i="1"/>
  <c r="W342" i="1"/>
  <c r="Z342" i="1" s="1"/>
  <c r="Q342" i="1"/>
  <c r="W341" i="1"/>
  <c r="Z341" i="1" s="1"/>
  <c r="Q341" i="1"/>
  <c r="W340" i="1"/>
  <c r="Z340" i="1" s="1"/>
  <c r="AA340" i="1" s="1"/>
  <c r="Q340" i="1"/>
  <c r="W339" i="1"/>
  <c r="Z339" i="1" s="1"/>
  <c r="Q339" i="1"/>
  <c r="Z338" i="1"/>
  <c r="AA338" i="1" s="1"/>
  <c r="AB338" i="1" s="1"/>
  <c r="W338" i="1"/>
  <c r="Q338" i="1"/>
  <c r="W337" i="1"/>
  <c r="Z337" i="1" s="1"/>
  <c r="Q337" i="1"/>
  <c r="W336" i="1"/>
  <c r="Z336" i="1" s="1"/>
  <c r="AA336" i="1" s="1"/>
  <c r="Q336" i="1"/>
  <c r="W335" i="1"/>
  <c r="Z335" i="1" s="1"/>
  <c r="AA335" i="1" s="1"/>
  <c r="Q335" i="1"/>
  <c r="W334" i="1"/>
  <c r="Z334" i="1" s="1"/>
  <c r="Q334" i="1"/>
  <c r="W333" i="1"/>
  <c r="Z333" i="1" s="1"/>
  <c r="AA333" i="1" s="1"/>
  <c r="Q333" i="1"/>
  <c r="W332" i="1"/>
  <c r="Z332" i="1" s="1"/>
  <c r="Q332" i="1"/>
  <c r="W331" i="1"/>
  <c r="Z331" i="1" s="1"/>
  <c r="Q331" i="1"/>
  <c r="W330" i="1"/>
  <c r="Z330" i="1" s="1"/>
  <c r="AA330" i="1" s="1"/>
  <c r="Q330" i="1"/>
  <c r="W329" i="1"/>
  <c r="Z329" i="1" s="1"/>
  <c r="Q329" i="1"/>
  <c r="W328" i="1"/>
  <c r="Z328" i="1" s="1"/>
  <c r="AA328" i="1" s="1"/>
  <c r="Q328" i="1"/>
  <c r="W327" i="1"/>
  <c r="Z327" i="1" s="1"/>
  <c r="AA327" i="1" s="1"/>
  <c r="AB327" i="1" s="1"/>
  <c r="Q327" i="1"/>
  <c r="W326" i="1"/>
  <c r="Z326" i="1" s="1"/>
  <c r="Q326" i="1"/>
  <c r="W325" i="1"/>
  <c r="Z325" i="1" s="1"/>
  <c r="AA325" i="1" s="1"/>
  <c r="AB325" i="1" s="1"/>
  <c r="Q325" i="1"/>
  <c r="W324" i="1"/>
  <c r="Z324" i="1" s="1"/>
  <c r="Q324" i="1"/>
  <c r="W323" i="1"/>
  <c r="Z323" i="1" s="1"/>
  <c r="Q323" i="1"/>
  <c r="W322" i="1"/>
  <c r="Z322" i="1" s="1"/>
  <c r="AA322" i="1" s="1"/>
  <c r="AB322" i="1" s="1"/>
  <c r="Q322" i="1"/>
  <c r="W321" i="1"/>
  <c r="Z321" i="1" s="1"/>
  <c r="AA321" i="1" s="1"/>
  <c r="Q321" i="1"/>
  <c r="W320" i="1"/>
  <c r="Z320" i="1" s="1"/>
  <c r="Q320" i="1"/>
  <c r="W319" i="1"/>
  <c r="Z319" i="1" s="1"/>
  <c r="Q319" i="1"/>
  <c r="W318" i="1"/>
  <c r="Z318" i="1" s="1"/>
  <c r="AA318" i="1" s="1"/>
  <c r="Q318" i="1"/>
  <c r="W317" i="1"/>
  <c r="Z317" i="1" s="1"/>
  <c r="AA317" i="1" s="1"/>
  <c r="Q317" i="1"/>
  <c r="W316" i="1"/>
  <c r="Z316" i="1" s="1"/>
  <c r="Q316" i="1"/>
  <c r="W315" i="1"/>
  <c r="Z315" i="1" s="1"/>
  <c r="Q315" i="1"/>
  <c r="W314" i="1"/>
  <c r="Z314" i="1" s="1"/>
  <c r="AA314" i="1" s="1"/>
  <c r="Q314" i="1"/>
  <c r="W313" i="1"/>
  <c r="Z313" i="1" s="1"/>
  <c r="AA313" i="1" s="1"/>
  <c r="Q313" i="1"/>
  <c r="W312" i="1"/>
  <c r="Z312" i="1" s="1"/>
  <c r="AA312" i="1" s="1"/>
  <c r="Q312" i="1"/>
  <c r="W311" i="1"/>
  <c r="Z311" i="1" s="1"/>
  <c r="AA311" i="1" s="1"/>
  <c r="Q311" i="1"/>
  <c r="W310" i="1"/>
  <c r="Z310" i="1" s="1"/>
  <c r="Q310" i="1"/>
  <c r="W309" i="1"/>
  <c r="Z309" i="1" s="1"/>
  <c r="AA309" i="1" s="1"/>
  <c r="Q309" i="1"/>
  <c r="W308" i="1"/>
  <c r="Z308" i="1" s="1"/>
  <c r="AA308" i="1" s="1"/>
  <c r="Q308" i="1"/>
  <c r="W307" i="1"/>
  <c r="Z307" i="1" s="1"/>
  <c r="AA307" i="1" s="1"/>
  <c r="Q307" i="1"/>
  <c r="W306" i="1"/>
  <c r="Z306" i="1" s="1"/>
  <c r="Q306" i="1"/>
  <c r="W305" i="1"/>
  <c r="Z305" i="1" s="1"/>
  <c r="Q305" i="1"/>
  <c r="W304" i="1"/>
  <c r="Z304" i="1" s="1"/>
  <c r="AA304" i="1" s="1"/>
  <c r="Q304" i="1"/>
  <c r="W303" i="1"/>
  <c r="Z303" i="1" s="1"/>
  <c r="Q303" i="1"/>
  <c r="W302" i="1"/>
  <c r="Z302" i="1" s="1"/>
  <c r="Q302" i="1"/>
  <c r="W301" i="1"/>
  <c r="Z301" i="1" s="1"/>
  <c r="AA301" i="1" s="1"/>
  <c r="Q301" i="1"/>
  <c r="W300" i="1"/>
  <c r="Z300" i="1" s="1"/>
  <c r="Q300" i="1"/>
  <c r="W299" i="1"/>
  <c r="Z299" i="1" s="1"/>
  <c r="Q299" i="1"/>
  <c r="W298" i="1"/>
  <c r="Z298" i="1" s="1"/>
  <c r="Q298" i="1"/>
  <c r="W297" i="1"/>
  <c r="Z297" i="1" s="1"/>
  <c r="AA297" i="1" s="1"/>
  <c r="AB297" i="1" s="1"/>
  <c r="Q297" i="1"/>
  <c r="W296" i="1"/>
  <c r="Z296" i="1" s="1"/>
  <c r="Q296" i="1"/>
  <c r="W295" i="1"/>
  <c r="Z295" i="1" s="1"/>
  <c r="AA295" i="1" s="1"/>
  <c r="Q295" i="1"/>
  <c r="W294" i="1"/>
  <c r="Z294" i="1" s="1"/>
  <c r="Q294" i="1"/>
  <c r="W293" i="1"/>
  <c r="Z293" i="1" s="1"/>
  <c r="AA293" i="1" s="1"/>
  <c r="Q293" i="1"/>
  <c r="W292" i="1"/>
  <c r="Z292" i="1" s="1"/>
  <c r="Q292" i="1"/>
  <c r="W291" i="1"/>
  <c r="Z291" i="1" s="1"/>
  <c r="AA291" i="1" s="1"/>
  <c r="Q291" i="1"/>
  <c r="W290" i="1"/>
  <c r="Z290" i="1" s="1"/>
  <c r="AA290" i="1" s="1"/>
  <c r="S290" i="1"/>
  <c r="Q290" i="1"/>
  <c r="W289" i="1"/>
  <c r="Z289" i="1" s="1"/>
  <c r="AA289" i="1" s="1"/>
  <c r="AB289" i="1" s="1"/>
  <c r="S289" i="1"/>
  <c r="Q289" i="1"/>
  <c r="W288" i="1"/>
  <c r="Z288" i="1" s="1"/>
  <c r="AA288" i="1" s="1"/>
  <c r="S288" i="1"/>
  <c r="Q288" i="1"/>
  <c r="W287" i="1"/>
  <c r="S287" i="1"/>
  <c r="Q287" i="1"/>
  <c r="W286" i="1"/>
  <c r="Z286" i="1" s="1"/>
  <c r="S286" i="1"/>
  <c r="Q286" i="1"/>
  <c r="W285" i="1"/>
  <c r="Z285" i="1" s="1"/>
  <c r="AA285" i="1" s="1"/>
  <c r="AB285" i="1" s="1"/>
  <c r="S285" i="1"/>
  <c r="Q285" i="1"/>
  <c r="W284" i="1"/>
  <c r="Z284" i="1" s="1"/>
  <c r="S284" i="1"/>
  <c r="Q284" i="1"/>
  <c r="W283" i="1"/>
  <c r="Z283" i="1" s="1"/>
  <c r="S283" i="1"/>
  <c r="Q283" i="1"/>
  <c r="W282" i="1"/>
  <c r="Z282" i="1" s="1"/>
  <c r="S282" i="1"/>
  <c r="Q282" i="1"/>
  <c r="W281" i="1"/>
  <c r="Z281" i="1" s="1"/>
  <c r="AA281" i="1" s="1"/>
  <c r="S281" i="1"/>
  <c r="Q281" i="1"/>
  <c r="W280" i="1"/>
  <c r="Z280" i="1" s="1"/>
  <c r="S280" i="1"/>
  <c r="Q280" i="1"/>
  <c r="W279" i="1"/>
  <c r="Z279" i="1" s="1"/>
  <c r="AA279" i="1" s="1"/>
  <c r="S279" i="1"/>
  <c r="Q279" i="1"/>
  <c r="W278" i="1"/>
  <c r="Z278" i="1" s="1"/>
  <c r="AA278" i="1" s="1"/>
  <c r="S278" i="1"/>
  <c r="Q278" i="1"/>
  <c r="W277" i="1"/>
  <c r="Z277" i="1" s="1"/>
  <c r="S277" i="1"/>
  <c r="Q277" i="1"/>
  <c r="W276" i="1"/>
  <c r="Z276" i="1" s="1"/>
  <c r="S276" i="1"/>
  <c r="Q276" i="1"/>
  <c r="W275" i="1"/>
  <c r="Z275" i="1" s="1"/>
  <c r="S275" i="1"/>
  <c r="Q275" i="1"/>
  <c r="W274" i="1"/>
  <c r="Z274" i="1" s="1"/>
  <c r="S274" i="1"/>
  <c r="Q274" i="1"/>
  <c r="W273" i="1"/>
  <c r="Z273" i="1" s="1"/>
  <c r="AA273" i="1" s="1"/>
  <c r="AB273" i="1" s="1"/>
  <c r="S273" i="1"/>
  <c r="Q273" i="1"/>
  <c r="W272" i="1"/>
  <c r="Z272" i="1" s="1"/>
  <c r="AA272" i="1" s="1"/>
  <c r="S272" i="1"/>
  <c r="Q272" i="1"/>
  <c r="W271" i="1"/>
  <c r="Z271" i="1" s="1"/>
  <c r="AA271" i="1" s="1"/>
  <c r="S271" i="1"/>
  <c r="Q271" i="1"/>
  <c r="W270" i="1"/>
  <c r="Z270" i="1" s="1"/>
  <c r="AA270" i="1" s="1"/>
  <c r="S270" i="1"/>
  <c r="Q270" i="1"/>
  <c r="W269" i="1"/>
  <c r="Z269" i="1" s="1"/>
  <c r="AA269" i="1" s="1"/>
  <c r="S269" i="1"/>
  <c r="Q269" i="1"/>
  <c r="W268" i="1"/>
  <c r="Z268" i="1" s="1"/>
  <c r="AA268" i="1" s="1"/>
  <c r="S268" i="1"/>
  <c r="Q268" i="1"/>
  <c r="W267" i="1"/>
  <c r="Z267" i="1" s="1"/>
  <c r="S267" i="1"/>
  <c r="Q267" i="1"/>
  <c r="W266" i="1"/>
  <c r="Z266" i="1" s="1"/>
  <c r="S266" i="1"/>
  <c r="Q266" i="1"/>
  <c r="W265" i="1"/>
  <c r="Z265" i="1" s="1"/>
  <c r="AA265" i="1" s="1"/>
  <c r="AB265" i="1" s="1"/>
  <c r="S265" i="1"/>
  <c r="Q265" i="1"/>
  <c r="W264" i="1"/>
  <c r="Z264" i="1" s="1"/>
  <c r="S264" i="1"/>
  <c r="Q264" i="1"/>
  <c r="W263" i="1"/>
  <c r="Z263" i="1" s="1"/>
  <c r="AA263" i="1" s="1"/>
  <c r="S263" i="1"/>
  <c r="Q263" i="1"/>
  <c r="W262" i="1"/>
  <c r="Z262" i="1" s="1"/>
  <c r="AA262" i="1" s="1"/>
  <c r="S262" i="1"/>
  <c r="Q262" i="1"/>
  <c r="W261" i="1"/>
  <c r="Z261" i="1" s="1"/>
  <c r="AA261" i="1" s="1"/>
  <c r="S261" i="1"/>
  <c r="Q261" i="1"/>
  <c r="W260" i="1"/>
  <c r="Z260" i="1" s="1"/>
  <c r="S260" i="1"/>
  <c r="Q260" i="1"/>
  <c r="W259" i="1"/>
  <c r="Z259" i="1" s="1"/>
  <c r="S259" i="1"/>
  <c r="Q259" i="1"/>
  <c r="W258" i="1"/>
  <c r="Z258" i="1" s="1"/>
  <c r="AA258" i="1" s="1"/>
  <c r="S258" i="1"/>
  <c r="Q258" i="1"/>
  <c r="W257" i="1"/>
  <c r="Z257" i="1" s="1"/>
  <c r="AA257" i="1" s="1"/>
  <c r="S257" i="1"/>
  <c r="Q257" i="1"/>
  <c r="W256" i="1"/>
  <c r="Z256" i="1" s="1"/>
  <c r="AA256" i="1" s="1"/>
  <c r="S256" i="1"/>
  <c r="Q256" i="1"/>
  <c r="W255" i="1"/>
  <c r="Z255" i="1" s="1"/>
  <c r="S255" i="1"/>
  <c r="Q255" i="1"/>
  <c r="AB254" i="1"/>
  <c r="AC254" i="1" s="1"/>
  <c r="W254" i="1"/>
  <c r="Z254" i="1" s="1"/>
  <c r="S254" i="1"/>
  <c r="Q254" i="1"/>
  <c r="W253" i="1"/>
  <c r="Z253" i="1" s="1"/>
  <c r="S253" i="1"/>
  <c r="Q253" i="1"/>
  <c r="W252" i="1"/>
  <c r="Z252" i="1" s="1"/>
  <c r="AA252" i="1" s="1"/>
  <c r="S252" i="1"/>
  <c r="Q252" i="1"/>
  <c r="W251" i="1"/>
  <c r="Z251" i="1" s="1"/>
  <c r="S251" i="1"/>
  <c r="Q251" i="1"/>
  <c r="W250" i="1"/>
  <c r="Z250" i="1" s="1"/>
  <c r="AA250" i="1" s="1"/>
  <c r="AB250" i="1" s="1"/>
  <c r="S250" i="1"/>
  <c r="Q250" i="1"/>
  <c r="W249" i="1"/>
  <c r="Z249" i="1" s="1"/>
  <c r="AA249" i="1" s="1"/>
  <c r="S249" i="1"/>
  <c r="Q249" i="1"/>
  <c r="W248" i="1"/>
  <c r="Z248" i="1" s="1"/>
  <c r="S248" i="1"/>
  <c r="Q248" i="1"/>
  <c r="W247" i="1"/>
  <c r="Z247" i="1" s="1"/>
  <c r="S247" i="1"/>
  <c r="Q247" i="1"/>
  <c r="W246" i="1"/>
  <c r="Z246" i="1" s="1"/>
  <c r="AA246" i="1" s="1"/>
  <c r="AB246" i="1" s="1"/>
  <c r="S246" i="1"/>
  <c r="Q246" i="1"/>
  <c r="W245" i="1"/>
  <c r="Z245" i="1" s="1"/>
  <c r="Q245" i="1"/>
  <c r="W244" i="1"/>
  <c r="Z244" i="1" s="1"/>
  <c r="Q244" i="1"/>
  <c r="W243" i="1"/>
  <c r="Z243" i="1" s="1"/>
  <c r="Q243" i="1"/>
  <c r="W242" i="1"/>
  <c r="Z242" i="1" s="1"/>
  <c r="Q242" i="1"/>
  <c r="W241" i="1"/>
  <c r="Z241" i="1" s="1"/>
  <c r="Q241" i="1"/>
  <c r="W240" i="1"/>
  <c r="Z240" i="1" s="1"/>
  <c r="Q240" i="1"/>
  <c r="W239" i="1"/>
  <c r="Z239" i="1" s="1"/>
  <c r="AA239" i="1" s="1"/>
  <c r="Q239" i="1"/>
  <c r="W238" i="1"/>
  <c r="Z238" i="1" s="1"/>
  <c r="Q238" i="1"/>
  <c r="W237" i="1"/>
  <c r="Z237" i="1" s="1"/>
  <c r="Q237" i="1"/>
  <c r="W236" i="1"/>
  <c r="Z236" i="1" s="1"/>
  <c r="Q236" i="1"/>
  <c r="W235" i="1"/>
  <c r="Z235" i="1" s="1"/>
  <c r="Q235" i="1"/>
  <c r="W234" i="1"/>
  <c r="Z234" i="1" s="1"/>
  <c r="Q234" i="1"/>
  <c r="W233" i="1"/>
  <c r="Z233" i="1" s="1"/>
  <c r="Q233" i="1"/>
  <c r="W232" i="1"/>
  <c r="Z232" i="1" s="1"/>
  <c r="Q232" i="1"/>
  <c r="W231" i="1"/>
  <c r="Z231" i="1" s="1"/>
  <c r="Q231" i="1"/>
  <c r="W230" i="1"/>
  <c r="Z230" i="1" s="1"/>
  <c r="AA230" i="1" s="1"/>
  <c r="AB230" i="1" s="1"/>
  <c r="Q230" i="1"/>
  <c r="W229" i="1"/>
  <c r="Z229" i="1" s="1"/>
  <c r="AA229" i="1" s="1"/>
  <c r="AB229" i="1" s="1"/>
  <c r="Q229" i="1"/>
  <c r="W228" i="1"/>
  <c r="Z228" i="1" s="1"/>
  <c r="Q228" i="1"/>
  <c r="W227" i="1"/>
  <c r="Z227" i="1" s="1"/>
  <c r="AA227" i="1" s="1"/>
  <c r="AB227" i="1" s="1"/>
  <c r="Q227" i="1"/>
  <c r="W226" i="1"/>
  <c r="Z226" i="1" s="1"/>
  <c r="AA226" i="1" s="1"/>
  <c r="Q226" i="1"/>
  <c r="W225" i="1"/>
  <c r="Z225" i="1" s="1"/>
  <c r="Q225" i="1"/>
  <c r="W224" i="1"/>
  <c r="Z224" i="1" s="1"/>
  <c r="Q224" i="1"/>
  <c r="W223" i="1"/>
  <c r="Z223" i="1" s="1"/>
  <c r="AA223" i="1" s="1"/>
  <c r="Q223" i="1"/>
  <c r="W222" i="1"/>
  <c r="Z222" i="1" s="1"/>
  <c r="Q222" i="1"/>
  <c r="W221" i="1"/>
  <c r="Z221" i="1" s="1"/>
  <c r="AA221" i="1" s="1"/>
  <c r="AB221" i="1" s="1"/>
  <c r="AC221" i="1" s="1"/>
  <c r="AD221" i="1" s="1"/>
  <c r="Q221" i="1"/>
  <c r="W220" i="1"/>
  <c r="Z220" i="1" s="1"/>
  <c r="AA220" i="1" s="1"/>
  <c r="Q220" i="1"/>
  <c r="R219" i="1"/>
  <c r="Q219" i="1" s="1"/>
  <c r="R218" i="1"/>
  <c r="W218" i="1" s="1"/>
  <c r="Z218" i="1" s="1"/>
  <c r="R217" i="1"/>
  <c r="W217" i="1" s="1"/>
  <c r="Z217" i="1" s="1"/>
  <c r="AA217" i="1" s="1"/>
  <c r="AB217" i="1" s="1"/>
  <c r="R216" i="1"/>
  <c r="R215" i="1"/>
  <c r="W215" i="1" s="1"/>
  <c r="Z215" i="1" s="1"/>
  <c r="V214" i="1"/>
  <c r="W214" i="1" s="1"/>
  <c r="Z214" i="1" s="1"/>
  <c r="Q214" i="1"/>
  <c r="V213" i="1"/>
  <c r="Q213" i="1"/>
  <c r="V212" i="1"/>
  <c r="W212" i="1" s="1"/>
  <c r="Z212" i="1" s="1"/>
  <c r="Q212" i="1"/>
  <c r="V211" i="1"/>
  <c r="W211" i="1" s="1"/>
  <c r="Z211" i="1" s="1"/>
  <c r="Q211" i="1"/>
  <c r="V210" i="1"/>
  <c r="Q210" i="1"/>
  <c r="V209" i="1"/>
  <c r="Q209" i="1"/>
  <c r="V208" i="1"/>
  <c r="Q208" i="1"/>
  <c r="V207" i="1"/>
  <c r="Q207" i="1"/>
  <c r="V206" i="1"/>
  <c r="Q206" i="1"/>
  <c r="V205" i="1"/>
  <c r="Q205" i="1"/>
  <c r="V204" i="1"/>
  <c r="Q204" i="1"/>
  <c r="V203" i="1"/>
  <c r="W203" i="1" s="1"/>
  <c r="Z203" i="1" s="1"/>
  <c r="AA203" i="1" s="1"/>
  <c r="Q203" i="1"/>
  <c r="V202" i="1"/>
  <c r="Q202" i="1"/>
  <c r="V201" i="1"/>
  <c r="W201" i="1" s="1"/>
  <c r="Z201" i="1" s="1"/>
  <c r="Q201" i="1"/>
  <c r="V200" i="1"/>
  <c r="W200" i="1" s="1"/>
  <c r="Z200" i="1" s="1"/>
  <c r="Q200" i="1"/>
  <c r="V199" i="1"/>
  <c r="Q199" i="1"/>
  <c r="V198" i="1"/>
  <c r="Q198" i="1"/>
  <c r="V197" i="1"/>
  <c r="Q197" i="1"/>
  <c r="V196" i="1"/>
  <c r="Q196" i="1"/>
  <c r="V195" i="1"/>
  <c r="Q195" i="1"/>
  <c r="V194" i="1"/>
  <c r="W194" i="1" s="1"/>
  <c r="Z194" i="1" s="1"/>
  <c r="Q194" i="1"/>
  <c r="V193" i="1"/>
  <c r="Q193" i="1"/>
  <c r="V192" i="1"/>
  <c r="W192" i="1" s="1"/>
  <c r="Z192" i="1" s="1"/>
  <c r="Q192" i="1"/>
  <c r="V191" i="1"/>
  <c r="W191" i="1" s="1"/>
  <c r="Z191" i="1" s="1"/>
  <c r="Q191" i="1"/>
  <c r="V190" i="1"/>
  <c r="Q190" i="1"/>
  <c r="V189" i="1"/>
  <c r="W189" i="1" s="1"/>
  <c r="Z189" i="1" s="1"/>
  <c r="Q189" i="1"/>
  <c r="V188" i="1"/>
  <c r="Q188" i="1"/>
  <c r="V187" i="1"/>
  <c r="W187" i="1" s="1"/>
  <c r="Z187" i="1" s="1"/>
  <c r="Q187" i="1"/>
  <c r="V186" i="1"/>
  <c r="Q186" i="1"/>
  <c r="V185" i="1"/>
  <c r="Q185" i="1"/>
  <c r="V184" i="1"/>
  <c r="W184" i="1" s="1"/>
  <c r="Z184" i="1" s="1"/>
  <c r="Q184" i="1"/>
  <c r="V183" i="1"/>
  <c r="W183" i="1" s="1"/>
  <c r="Z183" i="1" s="1"/>
  <c r="AA183" i="1" s="1"/>
  <c r="Q183" i="1"/>
  <c r="V182" i="1"/>
  <c r="Q182" i="1"/>
  <c r="V181" i="1"/>
  <c r="W181" i="1" s="1"/>
  <c r="Z181" i="1" s="1"/>
  <c r="Q181" i="1"/>
  <c r="V180" i="1"/>
  <c r="Q180" i="1"/>
  <c r="V179" i="1"/>
  <c r="W179" i="1" s="1"/>
  <c r="Z179" i="1" s="1"/>
  <c r="Q179" i="1"/>
  <c r="V178" i="1"/>
  <c r="W178" i="1" s="1"/>
  <c r="Z178" i="1" s="1"/>
  <c r="Q178" i="1"/>
  <c r="V177" i="1"/>
  <c r="W177" i="1" s="1"/>
  <c r="Z177" i="1" s="1"/>
  <c r="Q177" i="1"/>
  <c r="V176" i="1"/>
  <c r="Q176" i="1"/>
  <c r="V175" i="1"/>
  <c r="Q175" i="1"/>
  <c r="V174" i="1"/>
  <c r="Q174" i="1"/>
  <c r="V173" i="1"/>
  <c r="Q173" i="1"/>
  <c r="V172" i="1"/>
  <c r="Q172" i="1"/>
  <c r="V171" i="1"/>
  <c r="W171" i="1" s="1"/>
  <c r="Z171" i="1" s="1"/>
  <c r="Q171" i="1"/>
  <c r="V170" i="1"/>
  <c r="Q170" i="1"/>
  <c r="V169" i="1"/>
  <c r="W169" i="1" s="1"/>
  <c r="Z169" i="1" s="1"/>
  <c r="Q169" i="1"/>
  <c r="V168" i="1"/>
  <c r="W168" i="1" s="1"/>
  <c r="Z168" i="1" s="1"/>
  <c r="Q168" i="1"/>
  <c r="V167" i="1"/>
  <c r="W167" i="1" s="1"/>
  <c r="Z167" i="1" s="1"/>
  <c r="Q167" i="1"/>
  <c r="V166" i="1"/>
  <c r="W166" i="1" s="1"/>
  <c r="Z166" i="1" s="1"/>
  <c r="Q166" i="1"/>
  <c r="V165" i="1"/>
  <c r="Q165" i="1"/>
  <c r="V164" i="1"/>
  <c r="W164" i="1" s="1"/>
  <c r="Z164" i="1" s="1"/>
  <c r="Q164" i="1"/>
  <c r="V163" i="1"/>
  <c r="W163" i="1" s="1"/>
  <c r="Z163" i="1" s="1"/>
  <c r="Q163" i="1"/>
  <c r="V162" i="1"/>
  <c r="Q162" i="1"/>
  <c r="V161" i="1"/>
  <c r="W161" i="1" s="1"/>
  <c r="Z161" i="1" s="1"/>
  <c r="Q161" i="1"/>
  <c r="V160" i="1"/>
  <c r="W160" i="1" s="1"/>
  <c r="Z160" i="1" s="1"/>
  <c r="AA160" i="1" s="1"/>
  <c r="Q160" i="1"/>
  <c r="V159" i="1"/>
  <c r="W159" i="1" s="1"/>
  <c r="Z159" i="1" s="1"/>
  <c r="Q159" i="1"/>
  <c r="V158" i="1"/>
  <c r="Q158" i="1"/>
  <c r="W157" i="1"/>
  <c r="Z157" i="1" s="1"/>
  <c r="Q157" i="1"/>
  <c r="W156" i="1"/>
  <c r="Z156" i="1" s="1"/>
  <c r="S156" i="1"/>
  <c r="Q156" i="1"/>
  <c r="W155" i="1"/>
  <c r="Z155" i="1" s="1"/>
  <c r="S155" i="1"/>
  <c r="Q155" i="1"/>
  <c r="W154" i="1"/>
  <c r="Z154" i="1" s="1"/>
  <c r="S154" i="1"/>
  <c r="Q154" i="1"/>
  <c r="W153" i="1"/>
  <c r="Z153" i="1" s="1"/>
  <c r="S153" i="1"/>
  <c r="Q153" i="1"/>
  <c r="W152" i="1"/>
  <c r="Z152" i="1" s="1"/>
  <c r="AA152" i="1" s="1"/>
  <c r="AB152" i="1" s="1"/>
  <c r="S152" i="1"/>
  <c r="Q152" i="1"/>
  <c r="W151" i="1"/>
  <c r="Z151" i="1" s="1"/>
  <c r="S151" i="1"/>
  <c r="Q151" i="1"/>
  <c r="W150" i="1"/>
  <c r="Z150" i="1" s="1"/>
  <c r="S150" i="1"/>
  <c r="Q150" i="1"/>
  <c r="W149" i="1"/>
  <c r="Z149" i="1" s="1"/>
  <c r="AA149" i="1" s="1"/>
  <c r="S149" i="1"/>
  <c r="Q149" i="1"/>
  <c r="W148" i="1"/>
  <c r="Z148" i="1" s="1"/>
  <c r="S148" i="1"/>
  <c r="Q148" i="1"/>
  <c r="W147" i="1"/>
  <c r="Z147" i="1" s="1"/>
  <c r="S147" i="1"/>
  <c r="Q147" i="1"/>
  <c r="W146" i="1"/>
  <c r="Z146" i="1" s="1"/>
  <c r="AA146" i="1" s="1"/>
  <c r="AB146" i="1" s="1"/>
  <c r="S146" i="1"/>
  <c r="Q146" i="1"/>
  <c r="W145" i="1"/>
  <c r="Z145" i="1" s="1"/>
  <c r="AA145" i="1" s="1"/>
  <c r="S145" i="1"/>
  <c r="Q145" i="1"/>
  <c r="W144" i="1"/>
  <c r="Z144" i="1" s="1"/>
  <c r="S144" i="1"/>
  <c r="Q144" i="1"/>
  <c r="W143" i="1"/>
  <c r="Z143" i="1" s="1"/>
  <c r="S143" i="1"/>
  <c r="Q143" i="1"/>
  <c r="W142" i="1"/>
  <c r="Z142" i="1" s="1"/>
  <c r="S142" i="1"/>
  <c r="Q142" i="1"/>
  <c r="W141" i="1"/>
  <c r="Z141" i="1" s="1"/>
  <c r="S141" i="1"/>
  <c r="Q141" i="1"/>
  <c r="W140" i="1"/>
  <c r="Z140" i="1" s="1"/>
  <c r="S140" i="1"/>
  <c r="Q140" i="1"/>
  <c r="V139" i="1"/>
  <c r="W139" i="1" s="1"/>
  <c r="Z139" i="1" s="1"/>
  <c r="S139" i="1"/>
  <c r="Q139" i="1"/>
  <c r="V138" i="1"/>
  <c r="S138" i="1"/>
  <c r="Q138" i="1"/>
  <c r="V137" i="1"/>
  <c r="W137" i="1" s="1"/>
  <c r="Z137" i="1" s="1"/>
  <c r="S137" i="1"/>
  <c r="Q137" i="1"/>
  <c r="V136" i="1"/>
  <c r="W136" i="1" s="1"/>
  <c r="Z136" i="1" s="1"/>
  <c r="S136" i="1"/>
  <c r="Q136" i="1"/>
  <c r="V135" i="1"/>
  <c r="W135" i="1" s="1"/>
  <c r="Z135" i="1" s="1"/>
  <c r="S135" i="1"/>
  <c r="Q135" i="1"/>
  <c r="V134" i="1"/>
  <c r="S134" i="1"/>
  <c r="Q134" i="1"/>
  <c r="V133" i="1"/>
  <c r="W133" i="1" s="1"/>
  <c r="Z133" i="1" s="1"/>
  <c r="S133" i="1"/>
  <c r="Q133" i="1"/>
  <c r="V132" i="1"/>
  <c r="S132" i="1"/>
  <c r="Q132" i="1"/>
  <c r="V131" i="1"/>
  <c r="W131" i="1" s="1"/>
  <c r="Z131" i="1" s="1"/>
  <c r="S131" i="1"/>
  <c r="Q131" i="1"/>
  <c r="V130" i="1"/>
  <c r="S130" i="1"/>
  <c r="Q130" i="1"/>
  <c r="V129" i="1"/>
  <c r="W129" i="1" s="1"/>
  <c r="Z129" i="1" s="1"/>
  <c r="AA129" i="1" s="1"/>
  <c r="AB129" i="1" s="1"/>
  <c r="S129" i="1"/>
  <c r="Q129" i="1"/>
  <c r="V128" i="1"/>
  <c r="S128" i="1"/>
  <c r="Q128" i="1"/>
  <c r="V127" i="1"/>
  <c r="S127" i="1"/>
  <c r="Q127" i="1"/>
  <c r="V126" i="1"/>
  <c r="S126" i="1"/>
  <c r="Q126" i="1"/>
  <c r="V125" i="1"/>
  <c r="S125" i="1"/>
  <c r="Q125" i="1"/>
  <c r="V124" i="1"/>
  <c r="W124" i="1" s="1"/>
  <c r="Z124" i="1" s="1"/>
  <c r="S124" i="1"/>
  <c r="Q124" i="1"/>
  <c r="V123" i="1"/>
  <c r="W123" i="1" s="1"/>
  <c r="Z123" i="1" s="1"/>
  <c r="S123" i="1"/>
  <c r="Q123" i="1"/>
  <c r="V122" i="1"/>
  <c r="W122" i="1" s="1"/>
  <c r="Z122" i="1" s="1"/>
  <c r="S122" i="1"/>
  <c r="Q122" i="1"/>
  <c r="V121" i="1"/>
  <c r="S121" i="1"/>
  <c r="Q121" i="1"/>
  <c r="V120" i="1"/>
  <c r="W120" i="1" s="1"/>
  <c r="Z120" i="1" s="1"/>
  <c r="S120" i="1"/>
  <c r="Q120" i="1"/>
  <c r="V119" i="1"/>
  <c r="S119" i="1"/>
  <c r="Q119" i="1"/>
  <c r="V118" i="1"/>
  <c r="S118" i="1"/>
  <c r="Q118" i="1"/>
  <c r="V117" i="1"/>
  <c r="S117" i="1"/>
  <c r="Q117" i="1"/>
  <c r="V116" i="1"/>
  <c r="W116" i="1" s="1"/>
  <c r="Z116" i="1" s="1"/>
  <c r="S116" i="1"/>
  <c r="Q116" i="1"/>
  <c r="V115" i="1"/>
  <c r="S115" i="1"/>
  <c r="Q115" i="1"/>
  <c r="V114" i="1"/>
  <c r="S114" i="1"/>
  <c r="Q114" i="1"/>
  <c r="V113" i="1"/>
  <c r="W113" i="1" s="1"/>
  <c r="Z113" i="1" s="1"/>
  <c r="S113" i="1"/>
  <c r="Q113" i="1"/>
  <c r="V112" i="1"/>
  <c r="S112" i="1"/>
  <c r="Q112" i="1"/>
  <c r="V111" i="1"/>
  <c r="S111" i="1"/>
  <c r="Q111" i="1"/>
  <c r="V110" i="1"/>
  <c r="W110" i="1" s="1"/>
  <c r="Z110" i="1" s="1"/>
  <c r="S110" i="1"/>
  <c r="Q110" i="1"/>
  <c r="V109" i="1"/>
  <c r="W109" i="1" s="1"/>
  <c r="Z109" i="1" s="1"/>
  <c r="S109" i="1"/>
  <c r="Q109" i="1"/>
  <c r="V108" i="1"/>
  <c r="W108" i="1" s="1"/>
  <c r="Z108" i="1" s="1"/>
  <c r="S108" i="1"/>
  <c r="Q108" i="1"/>
  <c r="V107" i="1"/>
  <c r="W107" i="1" s="1"/>
  <c r="Z107" i="1" s="1"/>
  <c r="S107" i="1"/>
  <c r="Q107" i="1"/>
  <c r="V106" i="1"/>
  <c r="S106" i="1"/>
  <c r="Q106" i="1"/>
  <c r="V105" i="1"/>
  <c r="W105" i="1" s="1"/>
  <c r="Z105" i="1" s="1"/>
  <c r="S105" i="1"/>
  <c r="Q105" i="1"/>
  <c r="V104" i="1"/>
  <c r="W104" i="1" s="1"/>
  <c r="Z104" i="1" s="1"/>
  <c r="S104" i="1"/>
  <c r="Q104" i="1"/>
  <c r="V103" i="1"/>
  <c r="W103" i="1" s="1"/>
  <c r="Z103" i="1" s="1"/>
  <c r="S103" i="1"/>
  <c r="Q103" i="1"/>
  <c r="V102" i="1"/>
  <c r="S102" i="1"/>
  <c r="Q102" i="1"/>
  <c r="V101" i="1"/>
  <c r="S101" i="1"/>
  <c r="Q101" i="1"/>
  <c r="V100" i="1"/>
  <c r="W100" i="1" s="1"/>
  <c r="Z100" i="1" s="1"/>
  <c r="S100" i="1"/>
  <c r="Q100" i="1"/>
  <c r="V99" i="1"/>
  <c r="S99" i="1"/>
  <c r="Q99" i="1"/>
  <c r="V98" i="1"/>
  <c r="S98" i="1"/>
  <c r="Q98" i="1"/>
  <c r="V97" i="1"/>
  <c r="S97" i="1"/>
  <c r="Q97" i="1"/>
  <c r="V96" i="1"/>
  <c r="W96" i="1" s="1"/>
  <c r="Z96" i="1" s="1"/>
  <c r="S96" i="1"/>
  <c r="Q96" i="1"/>
  <c r="V95" i="1"/>
  <c r="W95" i="1" s="1"/>
  <c r="Z95" i="1" s="1"/>
  <c r="S95" i="1"/>
  <c r="Q95" i="1"/>
  <c r="V94" i="1"/>
  <c r="W94" i="1" s="1"/>
  <c r="Z94" i="1" s="1"/>
  <c r="S94" i="1"/>
  <c r="Q94" i="1"/>
  <c r="V93" i="1"/>
  <c r="W93" i="1" s="1"/>
  <c r="Z93" i="1" s="1"/>
  <c r="S93" i="1"/>
  <c r="Q93" i="1"/>
  <c r="V92" i="1"/>
  <c r="W92" i="1" s="1"/>
  <c r="Z92" i="1" s="1"/>
  <c r="S92" i="1"/>
  <c r="Q92" i="1"/>
  <c r="V91" i="1"/>
  <c r="S91" i="1"/>
  <c r="Q91" i="1"/>
  <c r="V90" i="1"/>
  <c r="S90" i="1"/>
  <c r="Q90" i="1"/>
  <c r="V89" i="1"/>
  <c r="S89" i="1"/>
  <c r="Q89" i="1"/>
  <c r="V88" i="1"/>
  <c r="W88" i="1" s="1"/>
  <c r="Z88" i="1" s="1"/>
  <c r="S88" i="1"/>
  <c r="Q88" i="1"/>
  <c r="V87" i="1"/>
  <c r="S87" i="1"/>
  <c r="Q87" i="1"/>
  <c r="V86" i="1"/>
  <c r="W86" i="1" s="1"/>
  <c r="Z86" i="1" s="1"/>
  <c r="S86" i="1"/>
  <c r="Q86" i="1"/>
  <c r="V85" i="1"/>
  <c r="S85" i="1"/>
  <c r="Q85" i="1"/>
  <c r="V84" i="1"/>
  <c r="S84" i="1"/>
  <c r="Q84" i="1"/>
  <c r="V83" i="1"/>
  <c r="W83" i="1" s="1"/>
  <c r="Z83" i="1" s="1"/>
  <c r="S83" i="1"/>
  <c r="Q83" i="1"/>
  <c r="V82" i="1"/>
  <c r="W82" i="1" s="1"/>
  <c r="Z82" i="1" s="1"/>
  <c r="S82" i="1"/>
  <c r="Q82" i="1"/>
  <c r="V81" i="1"/>
  <c r="S81" i="1"/>
  <c r="Q81" i="1"/>
  <c r="V80" i="1"/>
  <c r="W80" i="1" s="1"/>
  <c r="Z80" i="1" s="1"/>
  <c r="S80" i="1"/>
  <c r="Q80" i="1"/>
  <c r="V79" i="1"/>
  <c r="W79" i="1" s="1"/>
  <c r="Z79" i="1" s="1"/>
  <c r="S79" i="1"/>
  <c r="Q79" i="1"/>
  <c r="V78" i="1"/>
  <c r="W78" i="1" s="1"/>
  <c r="Z78" i="1" s="1"/>
  <c r="S78" i="1"/>
  <c r="Q78" i="1"/>
  <c r="V77" i="1"/>
  <c r="S77" i="1"/>
  <c r="Q77" i="1"/>
  <c r="V76" i="1"/>
  <c r="S76" i="1"/>
  <c r="Q76" i="1"/>
  <c r="V75" i="1"/>
  <c r="S75" i="1"/>
  <c r="Q75" i="1"/>
  <c r="V74" i="1"/>
  <c r="S74" i="1"/>
  <c r="Q74" i="1"/>
  <c r="V73" i="1"/>
  <c r="S73" i="1"/>
  <c r="Q73" i="1"/>
  <c r="V72" i="1"/>
  <c r="S72" i="1"/>
  <c r="Q72" i="1"/>
  <c r="V71" i="1"/>
  <c r="W71" i="1" s="1"/>
  <c r="Z71" i="1" s="1"/>
  <c r="S71" i="1"/>
  <c r="Q71" i="1"/>
  <c r="V70" i="1"/>
  <c r="S70" i="1"/>
  <c r="Q70" i="1"/>
  <c r="V69" i="1"/>
  <c r="W69" i="1" s="1"/>
  <c r="Z69" i="1" s="1"/>
  <c r="S69" i="1"/>
  <c r="Q69" i="1"/>
  <c r="V68" i="1"/>
  <c r="W68" i="1" s="1"/>
  <c r="Z68" i="1" s="1"/>
  <c r="S68" i="1"/>
  <c r="Q68" i="1"/>
  <c r="V67" i="1"/>
  <c r="S67" i="1"/>
  <c r="Q67" i="1"/>
  <c r="V66" i="1"/>
  <c r="W66" i="1" s="1"/>
  <c r="Z66" i="1" s="1"/>
  <c r="S66" i="1"/>
  <c r="Q66" i="1"/>
  <c r="V65" i="1"/>
  <c r="S65" i="1"/>
  <c r="Q65" i="1"/>
  <c r="V64" i="1"/>
  <c r="W64" i="1" s="1"/>
  <c r="Z64" i="1" s="1"/>
  <c r="S64" i="1"/>
  <c r="Q64" i="1"/>
  <c r="V63" i="1"/>
  <c r="S63" i="1"/>
  <c r="Q63" i="1"/>
  <c r="V62" i="1"/>
  <c r="S62" i="1"/>
  <c r="Q62" i="1"/>
  <c r="V61" i="1"/>
  <c r="W61" i="1" s="1"/>
  <c r="Z61" i="1" s="1"/>
  <c r="S61" i="1"/>
  <c r="Q61" i="1"/>
  <c r="V60" i="1"/>
  <c r="W60" i="1" s="1"/>
  <c r="Z60" i="1" s="1"/>
  <c r="S60" i="1"/>
  <c r="Q60" i="1"/>
  <c r="V59" i="1"/>
  <c r="S59" i="1"/>
  <c r="Q59" i="1"/>
  <c r="V58" i="1"/>
  <c r="W58" i="1" s="1"/>
  <c r="Z58" i="1" s="1"/>
  <c r="S58" i="1"/>
  <c r="Q58" i="1"/>
  <c r="V57" i="1"/>
  <c r="W57" i="1" s="1"/>
  <c r="Z57" i="1" s="1"/>
  <c r="AA57" i="1" s="1"/>
  <c r="S57" i="1"/>
  <c r="Q57" i="1"/>
  <c r="V56" i="1"/>
  <c r="S56" i="1"/>
  <c r="Q56" i="1"/>
  <c r="V55" i="1"/>
  <c r="W55" i="1" s="1"/>
  <c r="Z55" i="1" s="1"/>
  <c r="S55" i="1"/>
  <c r="Q55" i="1"/>
  <c r="V54" i="1"/>
  <c r="S54" i="1"/>
  <c r="Q54" i="1"/>
  <c r="V53" i="1"/>
  <c r="S53" i="1"/>
  <c r="Q53" i="1"/>
  <c r="V52" i="1"/>
  <c r="S52" i="1"/>
  <c r="Q52" i="1"/>
  <c r="V51" i="1"/>
  <c r="W51" i="1" s="1"/>
  <c r="Z51" i="1" s="1"/>
  <c r="S51" i="1"/>
  <c r="Q51" i="1"/>
  <c r="V50" i="1"/>
  <c r="W50" i="1" s="1"/>
  <c r="Z50" i="1" s="1"/>
  <c r="S50" i="1"/>
  <c r="Q50" i="1"/>
  <c r="V49" i="1"/>
  <c r="S49" i="1"/>
  <c r="Q49" i="1"/>
  <c r="V48" i="1"/>
  <c r="W48" i="1" s="1"/>
  <c r="Z48" i="1" s="1"/>
  <c r="S48" i="1"/>
  <c r="Q48" i="1"/>
  <c r="V47" i="1"/>
  <c r="W47" i="1" s="1"/>
  <c r="Z47" i="1" s="1"/>
  <c r="S47" i="1"/>
  <c r="Q47" i="1"/>
  <c r="V46" i="1"/>
  <c r="W46" i="1" s="1"/>
  <c r="Z46" i="1" s="1"/>
  <c r="S46" i="1"/>
  <c r="Q46" i="1"/>
  <c r="V45" i="1"/>
  <c r="W45" i="1" s="1"/>
  <c r="Z45" i="1" s="1"/>
  <c r="S45" i="1"/>
  <c r="Q45" i="1"/>
  <c r="V44" i="1"/>
  <c r="S44" i="1"/>
  <c r="Q44" i="1"/>
  <c r="V43" i="1"/>
  <c r="S43" i="1"/>
  <c r="Q43" i="1"/>
  <c r="V42" i="1"/>
  <c r="S42" i="1"/>
  <c r="Q42" i="1"/>
  <c r="V41" i="1"/>
  <c r="W41" i="1" s="1"/>
  <c r="Z41" i="1" s="1"/>
  <c r="AA41" i="1" s="1"/>
  <c r="S41" i="1"/>
  <c r="Q41" i="1"/>
  <c r="V40" i="1"/>
  <c r="S40" i="1"/>
  <c r="Q40" i="1"/>
  <c r="V39" i="1"/>
  <c r="S39" i="1"/>
  <c r="Q39" i="1"/>
  <c r="V38" i="1"/>
  <c r="W38" i="1" s="1"/>
  <c r="Z38" i="1" s="1"/>
  <c r="S38" i="1"/>
  <c r="Q38" i="1"/>
  <c r="V37" i="1"/>
  <c r="W37" i="1" s="1"/>
  <c r="Z37" i="1" s="1"/>
  <c r="S37" i="1"/>
  <c r="Q37" i="1"/>
  <c r="V36" i="1"/>
  <c r="S36" i="1"/>
  <c r="Q36" i="1"/>
  <c r="V35" i="1"/>
  <c r="S35" i="1"/>
  <c r="Q35" i="1"/>
  <c r="V34" i="1"/>
  <c r="S34" i="1"/>
  <c r="Q34" i="1"/>
  <c r="V33" i="1"/>
  <c r="S33" i="1"/>
  <c r="Q33" i="1"/>
  <c r="V32" i="1"/>
  <c r="W32" i="1" s="1"/>
  <c r="Z32" i="1" s="1"/>
  <c r="S32" i="1"/>
  <c r="Q32" i="1"/>
  <c r="V31" i="1"/>
  <c r="W31" i="1" s="1"/>
  <c r="Z31" i="1" s="1"/>
  <c r="AA31" i="1" s="1"/>
  <c r="S31" i="1"/>
  <c r="Q31" i="1"/>
  <c r="V30" i="1"/>
  <c r="S30" i="1"/>
  <c r="Q30" i="1"/>
  <c r="V29" i="1"/>
  <c r="W29" i="1" s="1"/>
  <c r="Z29" i="1" s="1"/>
  <c r="S29" i="1"/>
  <c r="Q29" i="1"/>
  <c r="V28" i="1"/>
  <c r="W28" i="1" s="1"/>
  <c r="Z28" i="1" s="1"/>
  <c r="S28" i="1"/>
  <c r="Q28" i="1"/>
  <c r="V27" i="1"/>
  <c r="S27" i="1"/>
  <c r="Q27" i="1"/>
  <c r="V26" i="1"/>
  <c r="S26" i="1"/>
  <c r="Q26" i="1"/>
  <c r="V25" i="1"/>
  <c r="S25" i="1"/>
  <c r="Q25" i="1"/>
  <c r="V24" i="1"/>
  <c r="W24" i="1" s="1"/>
  <c r="Z24" i="1" s="1"/>
  <c r="S24" i="1"/>
  <c r="Q24" i="1"/>
  <c r="V23" i="1"/>
  <c r="W23" i="1" s="1"/>
  <c r="Z23" i="1" s="1"/>
  <c r="S23" i="1"/>
  <c r="Q23" i="1"/>
  <c r="V22" i="1"/>
  <c r="S22" i="1"/>
  <c r="Q22" i="1"/>
  <c r="V21" i="1"/>
  <c r="W21" i="1" s="1"/>
  <c r="Z21" i="1" s="1"/>
  <c r="S21" i="1"/>
  <c r="Q21" i="1"/>
  <c r="V20" i="1"/>
  <c r="S20" i="1"/>
  <c r="Q20" i="1"/>
  <c r="V19" i="1"/>
  <c r="S19" i="1"/>
  <c r="Q19" i="1"/>
  <c r="V18" i="1"/>
  <c r="W18" i="1" s="1"/>
  <c r="Z18" i="1" s="1"/>
  <c r="S18" i="1"/>
  <c r="Q18" i="1"/>
  <c r="V17" i="1"/>
  <c r="W17" i="1" s="1"/>
  <c r="Z17" i="1" s="1"/>
  <c r="AA17" i="1" s="1"/>
  <c r="S17" i="1"/>
  <c r="Q17" i="1"/>
  <c r="V16" i="1"/>
  <c r="S16" i="1"/>
  <c r="Q16" i="1"/>
  <c r="V15" i="1"/>
  <c r="W15" i="1" s="1"/>
  <c r="Z15" i="1" s="1"/>
  <c r="S15" i="1"/>
  <c r="Q15" i="1"/>
  <c r="V14" i="1"/>
  <c r="W14" i="1" s="1"/>
  <c r="Z14" i="1" s="1"/>
  <c r="S14" i="1"/>
  <c r="Q14" i="1"/>
  <c r="V13" i="1"/>
  <c r="S13" i="1"/>
  <c r="Q13" i="1"/>
  <c r="AB12" i="1"/>
  <c r="W12" i="1"/>
  <c r="Z12" i="1" s="1"/>
  <c r="S12" i="1"/>
  <c r="Q12" i="1"/>
  <c r="W11" i="1"/>
  <c r="Z11" i="1" s="1"/>
  <c r="AA11" i="1" s="1"/>
  <c r="S11" i="1"/>
  <c r="W10" i="1"/>
  <c r="Z10" i="1" s="1"/>
  <c r="AA10" i="1" s="1"/>
  <c r="AB10" i="1" s="1"/>
  <c r="S10" i="1"/>
  <c r="W9" i="1"/>
  <c r="Z9" i="1" s="1"/>
  <c r="S9" i="1"/>
  <c r="W8" i="1"/>
  <c r="Z8" i="1" s="1"/>
  <c r="S8" i="1"/>
  <c r="W7" i="1"/>
  <c r="Z7" i="1" s="1"/>
  <c r="AA7" i="1" s="1"/>
  <c r="S7" i="1"/>
  <c r="W6" i="1"/>
  <c r="Z6" i="1" s="1"/>
  <c r="AA6" i="1" s="1"/>
  <c r="S6" i="1"/>
  <c r="Q364" i="1" l="1"/>
  <c r="Q218" i="1"/>
  <c r="AF400" i="1"/>
  <c r="AF392" i="1"/>
  <c r="AB376" i="1"/>
  <c r="AC376" i="1" s="1"/>
  <c r="Q215" i="1"/>
  <c r="Q360" i="1"/>
  <c r="Q419" i="1"/>
  <c r="AB378" i="1"/>
  <c r="Q421" i="1"/>
  <c r="Q362" i="1"/>
  <c r="Q418" i="1"/>
  <c r="Q368" i="1"/>
  <c r="Q370" i="1"/>
  <c r="AF399" i="1"/>
  <c r="AX399" i="1" s="1"/>
  <c r="AY399" i="1" s="1"/>
  <c r="AF407" i="1"/>
  <c r="AX407" i="1" s="1"/>
  <c r="AY407" i="1" s="1"/>
  <c r="Q415" i="1"/>
  <c r="AB223" i="1"/>
  <c r="AC223" i="1" s="1"/>
  <c r="AD223" i="1" s="1"/>
  <c r="AE223" i="1" s="1"/>
  <c r="AF405" i="1"/>
  <c r="AX405" i="1" s="1"/>
  <c r="AY405" i="1" s="1"/>
  <c r="AB271" i="1"/>
  <c r="AC271" i="1" s="1"/>
  <c r="AD271" i="1" s="1"/>
  <c r="AE271" i="1" s="1"/>
  <c r="AF271" i="1" s="1"/>
  <c r="AG271" i="1" s="1"/>
  <c r="AI271" i="1" s="1"/>
  <c r="AK271" i="1" s="1"/>
  <c r="AM271" i="1" s="1"/>
  <c r="AO271" i="1" s="1"/>
  <c r="AQ271" i="1" s="1"/>
  <c r="AS271" i="1" s="1"/>
  <c r="AU271" i="1" s="1"/>
  <c r="AW271" i="1" s="1"/>
  <c r="AB291" i="1"/>
  <c r="AC291" i="1"/>
  <c r="AD291" i="1" s="1"/>
  <c r="AB257" i="1"/>
  <c r="AC257" i="1"/>
  <c r="AD257" i="1" s="1"/>
  <c r="AE257" i="1" s="1"/>
  <c r="AG398" i="1"/>
  <c r="AI398" i="1" s="1"/>
  <c r="AK398" i="1" s="1"/>
  <c r="AM398" i="1" s="1"/>
  <c r="AO398" i="1" s="1"/>
  <c r="AQ398" i="1" s="1"/>
  <c r="AS398" i="1" s="1"/>
  <c r="AU398" i="1" s="1"/>
  <c r="AW398" i="1" s="1"/>
  <c r="AZ398" i="1" s="1"/>
  <c r="AB313" i="1"/>
  <c r="AC313" i="1" s="1"/>
  <c r="AA29" i="1"/>
  <c r="AB226" i="1"/>
  <c r="AC226" i="1" s="1"/>
  <c r="AD226" i="1" s="1"/>
  <c r="AE226" i="1" s="1"/>
  <c r="AF226" i="1" s="1"/>
  <c r="AX226" i="1" s="1"/>
  <c r="AY226" i="1" s="1"/>
  <c r="AB258" i="1"/>
  <c r="AC258" i="1" s="1"/>
  <c r="AB263" i="1"/>
  <c r="AC263" i="1" s="1"/>
  <c r="AB268" i="1"/>
  <c r="AC268" i="1" s="1"/>
  <c r="AD268" i="1" s="1"/>
  <c r="AE268" i="1" s="1"/>
  <c r="AB370" i="1"/>
  <c r="AC370" i="1" s="1"/>
  <c r="AD370" i="1" s="1"/>
  <c r="W195" i="1"/>
  <c r="Z195" i="1" s="1"/>
  <c r="AA195" i="1" s="1"/>
  <c r="AB195" i="1" s="1"/>
  <c r="AC195" i="1" s="1"/>
  <c r="AB7" i="1"/>
  <c r="AC7" i="1" s="1"/>
  <c r="AB239" i="1"/>
  <c r="AC239" i="1" s="1"/>
  <c r="AB373" i="1"/>
  <c r="AC373" i="1" s="1"/>
  <c r="AD373" i="1" s="1"/>
  <c r="W416" i="1"/>
  <c r="Q416" i="1"/>
  <c r="AB301" i="1"/>
  <c r="AC301" i="1"/>
  <c r="AA192" i="1"/>
  <c r="AB192" i="1" s="1"/>
  <c r="AC192" i="1" s="1"/>
  <c r="AA137" i="1"/>
  <c r="AB137" i="1" s="1"/>
  <c r="W417" i="1"/>
  <c r="AB317" i="1"/>
  <c r="AC317" i="1" s="1"/>
  <c r="AD317" i="1" s="1"/>
  <c r="AF398" i="1"/>
  <c r="AX398" i="1" s="1"/>
  <c r="AY398" i="1" s="1"/>
  <c r="AC229" i="1"/>
  <c r="AD229" i="1" s="1"/>
  <c r="AC385" i="1"/>
  <c r="AD385" i="1" s="1"/>
  <c r="AE385" i="1" s="1"/>
  <c r="W63" i="1"/>
  <c r="Z63" i="1" s="1"/>
  <c r="AA63" i="1" s="1"/>
  <c r="AB63" i="1" s="1"/>
  <c r="AC63" i="1" s="1"/>
  <c r="AF394" i="1"/>
  <c r="AG394" i="1" s="1"/>
  <c r="AI394" i="1" s="1"/>
  <c r="AK394" i="1" s="1"/>
  <c r="AM394" i="1" s="1"/>
  <c r="AO394" i="1" s="1"/>
  <c r="AQ394" i="1" s="1"/>
  <c r="AS394" i="1" s="1"/>
  <c r="AU394" i="1" s="1"/>
  <c r="AW394" i="1" s="1"/>
  <c r="AD390" i="1"/>
  <c r="AE390" i="1" s="1"/>
  <c r="AF390" i="1" s="1"/>
  <c r="AX390" i="1" s="1"/>
  <c r="AY390" i="1" s="1"/>
  <c r="AF396" i="1"/>
  <c r="AG396" i="1" s="1"/>
  <c r="AI396" i="1" s="1"/>
  <c r="AK396" i="1" s="1"/>
  <c r="AM396" i="1" s="1"/>
  <c r="AO396" i="1" s="1"/>
  <c r="AQ396" i="1" s="1"/>
  <c r="AS396" i="1" s="1"/>
  <c r="AU396" i="1" s="1"/>
  <c r="AW396" i="1" s="1"/>
  <c r="AA47" i="1"/>
  <c r="AA94" i="1"/>
  <c r="AA38" i="1"/>
  <c r="AA80" i="1"/>
  <c r="AA113" i="1"/>
  <c r="AA48" i="1"/>
  <c r="AA95" i="1"/>
  <c r="AA86" i="1"/>
  <c r="AA100" i="1"/>
  <c r="AA79" i="1"/>
  <c r="AA14" i="1"/>
  <c r="AA68" i="1"/>
  <c r="AA78" i="1"/>
  <c r="AB41" i="1"/>
  <c r="AA83" i="1"/>
  <c r="AA169" i="1"/>
  <c r="AC10" i="1"/>
  <c r="AA92" i="1"/>
  <c r="AA46" i="1"/>
  <c r="AA64" i="1"/>
  <c r="AA15" i="1"/>
  <c r="AA140" i="1"/>
  <c r="AA21" i="1"/>
  <c r="AA133" i="1"/>
  <c r="AA55" i="1"/>
  <c r="AA18" i="1"/>
  <c r="AA28" i="1"/>
  <c r="AA32" i="1"/>
  <c r="AA69" i="1"/>
  <c r="AA107" i="1"/>
  <c r="W40" i="1"/>
  <c r="Z40" i="1" s="1"/>
  <c r="AA40" i="1"/>
  <c r="AA73" i="1"/>
  <c r="W125" i="1"/>
  <c r="Z125" i="1" s="1"/>
  <c r="V455" i="1"/>
  <c r="W22" i="1"/>
  <c r="Z22" i="1" s="1"/>
  <c r="AA22" i="1" s="1"/>
  <c r="W35" i="1"/>
  <c r="Z35" i="1" s="1"/>
  <c r="AA35" i="1" s="1"/>
  <c r="AA50" i="1"/>
  <c r="W112" i="1"/>
  <c r="Z112" i="1" s="1"/>
  <c r="W118" i="1"/>
  <c r="Z118" i="1" s="1"/>
  <c r="AA141" i="1"/>
  <c r="W198" i="1"/>
  <c r="Z198" i="1" s="1"/>
  <c r="AA198" i="1" s="1"/>
  <c r="W13" i="1"/>
  <c r="Z13" i="1" s="1"/>
  <c r="AA13" i="1" s="1"/>
  <c r="W27" i="1"/>
  <c r="Z27" i="1" s="1"/>
  <c r="AA27" i="1" s="1"/>
  <c r="AA66" i="1"/>
  <c r="W75" i="1"/>
  <c r="Z75" i="1" s="1"/>
  <c r="AA75" i="1" s="1"/>
  <c r="W34" i="1"/>
  <c r="Z34" i="1" s="1"/>
  <c r="AA34" i="1" s="1"/>
  <c r="W173" i="1"/>
  <c r="Z173" i="1" s="1"/>
  <c r="AA173" i="1" s="1"/>
  <c r="AA242" i="1"/>
  <c r="AB256" i="1"/>
  <c r="AC256" i="1" s="1"/>
  <c r="AB262" i="1"/>
  <c r="W20" i="1"/>
  <c r="Z20" i="1" s="1"/>
  <c r="W39" i="1"/>
  <c r="Z39" i="1" s="1"/>
  <c r="AA39" i="1" s="1"/>
  <c r="W97" i="1"/>
  <c r="Z97" i="1" s="1"/>
  <c r="AA120" i="1"/>
  <c r="W70" i="1"/>
  <c r="Z70" i="1" s="1"/>
  <c r="AA70" i="1" s="1"/>
  <c r="AA97" i="1"/>
  <c r="W128" i="1"/>
  <c r="Z128" i="1" s="1"/>
  <c r="AA128" i="1" s="1"/>
  <c r="AA212" i="1"/>
  <c r="AA228" i="1"/>
  <c r="AA8" i="1"/>
  <c r="AC12" i="1"/>
  <c r="W19" i="1"/>
  <c r="Z19" i="1" s="1"/>
  <c r="W42" i="1"/>
  <c r="Z42" i="1" s="1"/>
  <c r="W49" i="1"/>
  <c r="Z49" i="1" s="1"/>
  <c r="AA49" i="1" s="1"/>
  <c r="W65" i="1"/>
  <c r="Z65" i="1" s="1"/>
  <c r="W72" i="1"/>
  <c r="Z72" i="1" s="1"/>
  <c r="W84" i="1"/>
  <c r="Z84" i="1" s="1"/>
  <c r="W126" i="1"/>
  <c r="Z126" i="1" s="1"/>
  <c r="AB149" i="1"/>
  <c r="AA163" i="1"/>
  <c r="AA306" i="1"/>
  <c r="W25" i="1"/>
  <c r="Z25" i="1" s="1"/>
  <c r="W33" i="1"/>
  <c r="Z33" i="1" s="1"/>
  <c r="AA33" i="1" s="1"/>
  <c r="AB57" i="1"/>
  <c r="AC57" i="1" s="1"/>
  <c r="AA65" i="1"/>
  <c r="W99" i="1"/>
  <c r="Z99" i="1" s="1"/>
  <c r="AA99" i="1" s="1"/>
  <c r="AA142" i="1"/>
  <c r="AA167" i="1"/>
  <c r="AA200" i="1"/>
  <c r="AA276" i="1"/>
  <c r="AA144" i="1"/>
  <c r="AB11" i="1"/>
  <c r="AC11" i="1" s="1"/>
  <c r="W74" i="1"/>
  <c r="Z74" i="1" s="1"/>
  <c r="W111" i="1"/>
  <c r="Z111" i="1" s="1"/>
  <c r="AA111" i="1"/>
  <c r="AA51" i="1"/>
  <c r="AA96" i="1"/>
  <c r="W132" i="1"/>
  <c r="Z132" i="1" s="1"/>
  <c r="AA136" i="1"/>
  <c r="AA260" i="1"/>
  <c r="AB288" i="1"/>
  <c r="AB293" i="1"/>
  <c r="AC293" i="1" s="1"/>
  <c r="AA139" i="1"/>
  <c r="AA60" i="1"/>
  <c r="AB31" i="1"/>
  <c r="AA37" i="1"/>
  <c r="W76" i="1"/>
  <c r="Z76" i="1" s="1"/>
  <c r="AA76" i="1" s="1"/>
  <c r="W81" i="1"/>
  <c r="Z81" i="1" s="1"/>
  <c r="W117" i="1"/>
  <c r="Z117" i="1" s="1"/>
  <c r="AA117" i="1" s="1"/>
  <c r="AA150" i="1"/>
  <c r="W219" i="1"/>
  <c r="Z219" i="1" s="1"/>
  <c r="AA324" i="1"/>
  <c r="W85" i="1"/>
  <c r="Z85" i="1" s="1"/>
  <c r="AA110" i="1"/>
  <c r="AA135" i="1"/>
  <c r="AA82" i="1"/>
  <c r="AA222" i="1"/>
  <c r="AB17" i="1"/>
  <c r="AA24" i="1"/>
  <c r="AB6" i="1"/>
  <c r="W16" i="1"/>
  <c r="Z16" i="1" s="1"/>
  <c r="W30" i="1"/>
  <c r="Z30" i="1" s="1"/>
  <c r="W53" i="1"/>
  <c r="Z53" i="1" s="1"/>
  <c r="AA53" i="1" s="1"/>
  <c r="W56" i="1"/>
  <c r="Z56" i="1" s="1"/>
  <c r="AA56" i="1" s="1"/>
  <c r="AA81" i="1"/>
  <c r="W90" i="1"/>
  <c r="Z90" i="1" s="1"/>
  <c r="W134" i="1"/>
  <c r="Z134" i="1" s="1"/>
  <c r="AA201" i="1"/>
  <c r="AA23" i="1"/>
  <c r="W206" i="1"/>
  <c r="Z206" i="1" s="1"/>
  <c r="AA206" i="1" s="1"/>
  <c r="W73" i="1"/>
  <c r="Z73" i="1" s="1"/>
  <c r="AA151" i="1"/>
  <c r="AA9" i="1"/>
  <c r="W87" i="1"/>
  <c r="Z87" i="1" s="1"/>
  <c r="AA87" i="1" s="1"/>
  <c r="W216" i="1"/>
  <c r="Z216" i="1" s="1"/>
  <c r="Q216" i="1"/>
  <c r="W89" i="1"/>
  <c r="Z89" i="1" s="1"/>
  <c r="W67" i="1"/>
  <c r="Z67" i="1" s="1"/>
  <c r="AA67" i="1" s="1"/>
  <c r="W36" i="1"/>
  <c r="Z36" i="1" s="1"/>
  <c r="AA36" i="1" s="1"/>
  <c r="AA71" i="1"/>
  <c r="AA93" i="1"/>
  <c r="W98" i="1"/>
  <c r="Z98" i="1" s="1"/>
  <c r="AA98" i="1" s="1"/>
  <c r="W101" i="1"/>
  <c r="Z101" i="1" s="1"/>
  <c r="AA143" i="1"/>
  <c r="AA215" i="1"/>
  <c r="AA231" i="1"/>
  <c r="AB321" i="1"/>
  <c r="AC321" i="1" s="1"/>
  <c r="AB350" i="1"/>
  <c r="AC350" i="1" s="1"/>
  <c r="W52" i="1"/>
  <c r="Z52" i="1" s="1"/>
  <c r="AA52" i="1" s="1"/>
  <c r="AA153" i="1"/>
  <c r="W54" i="1"/>
  <c r="Z54" i="1" s="1"/>
  <c r="AA54" i="1" s="1"/>
  <c r="AA108" i="1"/>
  <c r="AA109" i="1"/>
  <c r="W121" i="1"/>
  <c r="Z121" i="1" s="1"/>
  <c r="AA131" i="1"/>
  <c r="AC382" i="1"/>
  <c r="AA58" i="1"/>
  <c r="AB145" i="1"/>
  <c r="AB160" i="1"/>
  <c r="AC160" i="1" s="1"/>
  <c r="AA181" i="1"/>
  <c r="AA284" i="1"/>
  <c r="W43" i="1"/>
  <c r="Z43" i="1" s="1"/>
  <c r="AA164" i="1"/>
  <c r="AA224" i="1"/>
  <c r="AA255" i="1"/>
  <c r="AB269" i="1"/>
  <c r="W26" i="1"/>
  <c r="Z26" i="1" s="1"/>
  <c r="AA26" i="1" s="1"/>
  <c r="W44" i="1"/>
  <c r="Z44" i="1" s="1"/>
  <c r="AA61" i="1"/>
  <c r="W62" i="1"/>
  <c r="Z62" i="1" s="1"/>
  <c r="AA233" i="1"/>
  <c r="AA245" i="1"/>
  <c r="AB278" i="1"/>
  <c r="AC278" i="1" s="1"/>
  <c r="AA292" i="1"/>
  <c r="AA104" i="1"/>
  <c r="W114" i="1"/>
  <c r="Z114" i="1" s="1"/>
  <c r="AA114" i="1" s="1"/>
  <c r="AA156" i="1"/>
  <c r="W175" i="1"/>
  <c r="Z175" i="1" s="1"/>
  <c r="AA175" i="1" s="1"/>
  <c r="AE221" i="1"/>
  <c r="AA264" i="1"/>
  <c r="AB333" i="1"/>
  <c r="AC333" i="1" s="1"/>
  <c r="AA45" i="1"/>
  <c r="W102" i="1"/>
  <c r="Z102" i="1" s="1"/>
  <c r="AA102" i="1" s="1"/>
  <c r="AA103" i="1"/>
  <c r="W119" i="1"/>
  <c r="Z119" i="1" s="1"/>
  <c r="AA119" i="1" s="1"/>
  <c r="AA124" i="1"/>
  <c r="AC129" i="1"/>
  <c r="AA154" i="1"/>
  <c r="W170" i="1"/>
  <c r="Z170" i="1" s="1"/>
  <c r="AA177" i="1"/>
  <c r="W182" i="1"/>
  <c r="Z182" i="1" s="1"/>
  <c r="AA243" i="1"/>
  <c r="W127" i="1"/>
  <c r="Z127" i="1" s="1"/>
  <c r="W138" i="1"/>
  <c r="Z138" i="1" s="1"/>
  <c r="AA138" i="1" s="1"/>
  <c r="W162" i="1"/>
  <c r="Z162" i="1" s="1"/>
  <c r="AA162" i="1" s="1"/>
  <c r="AA105" i="1"/>
  <c r="AA148" i="1"/>
  <c r="AA179" i="1"/>
  <c r="AB183" i="1"/>
  <c r="AC183" i="1"/>
  <c r="W207" i="1"/>
  <c r="Z207" i="1" s="1"/>
  <c r="AA207" i="1" s="1"/>
  <c r="AC217" i="1"/>
  <c r="AA237" i="1"/>
  <c r="AB249" i="1"/>
  <c r="AC249" i="1" s="1"/>
  <c r="AC265" i="1"/>
  <c r="W363" i="1"/>
  <c r="Z363" i="1" s="1"/>
  <c r="AC146" i="1"/>
  <c r="AB220" i="1"/>
  <c r="AC220" i="1" s="1"/>
  <c r="AA240" i="1"/>
  <c r="AB314" i="1"/>
  <c r="W59" i="1"/>
  <c r="Z59" i="1" s="1"/>
  <c r="W77" i="1"/>
  <c r="Z77" i="1" s="1"/>
  <c r="W91" i="1"/>
  <c r="Z91" i="1" s="1"/>
  <c r="W106" i="1"/>
  <c r="Z106" i="1" s="1"/>
  <c r="AA88" i="1"/>
  <c r="W115" i="1"/>
  <c r="Z115" i="1" s="1"/>
  <c r="AA116" i="1"/>
  <c r="AA122" i="1"/>
  <c r="AA123" i="1"/>
  <c r="AC152" i="1"/>
  <c r="AA155" i="1"/>
  <c r="W165" i="1"/>
  <c r="Z165" i="1" s="1"/>
  <c r="AA165" i="1" s="1"/>
  <c r="W174" i="1"/>
  <c r="Z174" i="1" s="1"/>
  <c r="AA174" i="1" s="1"/>
  <c r="AA187" i="1"/>
  <c r="AA191" i="1"/>
  <c r="W197" i="1"/>
  <c r="Z197" i="1" s="1"/>
  <c r="AA197" i="1" s="1"/>
  <c r="AB203" i="1"/>
  <c r="AC203" i="1" s="1"/>
  <c r="AC227" i="1"/>
  <c r="AA238" i="1"/>
  <c r="AA247" i="1"/>
  <c r="AB261" i="1"/>
  <c r="AC261" i="1" s="1"/>
  <c r="AA266" i="1"/>
  <c r="AB279" i="1"/>
  <c r="AC279" i="1" s="1"/>
  <c r="W130" i="1"/>
  <c r="Z130" i="1" s="1"/>
  <c r="AA130" i="1" s="1"/>
  <c r="AA157" i="1"/>
  <c r="AA178" i="1"/>
  <c r="W213" i="1"/>
  <c r="Z213" i="1" s="1"/>
  <c r="AA213" i="1" s="1"/>
  <c r="AA241" i="1"/>
  <c r="AA277" i="1"/>
  <c r="AA236" i="1"/>
  <c r="AA253" i="1"/>
  <c r="AA274" i="1"/>
  <c r="AA315" i="1"/>
  <c r="AA360" i="1"/>
  <c r="AA211" i="1"/>
  <c r="AA225" i="1"/>
  <c r="AA282" i="1"/>
  <c r="W199" i="1"/>
  <c r="Z199" i="1" s="1"/>
  <c r="AA199" i="1" s="1"/>
  <c r="AA218" i="1"/>
  <c r="AA232" i="1"/>
  <c r="AA248" i="1"/>
  <c r="AA259" i="1"/>
  <c r="AA294" i="1"/>
  <c r="AA303" i="1"/>
  <c r="AA161" i="1"/>
  <c r="AA166" i="1"/>
  <c r="AA171" i="1"/>
  <c r="W176" i="1"/>
  <c r="Z176" i="1" s="1"/>
  <c r="AA189" i="1"/>
  <c r="AC246" i="1"/>
  <c r="AB272" i="1"/>
  <c r="AC272" i="1" s="1"/>
  <c r="AC327" i="1"/>
  <c r="AA147" i="1"/>
  <c r="AA159" i="1"/>
  <c r="W196" i="1"/>
  <c r="Z196" i="1" s="1"/>
  <c r="AA196" i="1" s="1"/>
  <c r="W208" i="1"/>
  <c r="Z208" i="1" s="1"/>
  <c r="AA208" i="1" s="1"/>
  <c r="AB307" i="1"/>
  <c r="AC307" i="1" s="1"/>
  <c r="AB353" i="1"/>
  <c r="W158" i="1"/>
  <c r="Z158" i="1" s="1"/>
  <c r="AA158" i="1" s="1"/>
  <c r="W188" i="1"/>
  <c r="Z188" i="1" s="1"/>
  <c r="AD254" i="1"/>
  <c r="AE254" i="1" s="1"/>
  <c r="AA280" i="1"/>
  <c r="AD372" i="1"/>
  <c r="AC387" i="1"/>
  <c r="W209" i="1"/>
  <c r="Z209" i="1" s="1"/>
  <c r="AA209" i="1" s="1"/>
  <c r="AA235" i="1"/>
  <c r="AA300" i="1"/>
  <c r="AA316" i="1"/>
  <c r="AB328" i="1"/>
  <c r="AC328" i="1" s="1"/>
  <c r="AA341" i="1"/>
  <c r="AC381" i="1"/>
  <c r="W180" i="1"/>
  <c r="Z180" i="1" s="1"/>
  <c r="AA180" i="1" s="1"/>
  <c r="AA244" i="1"/>
  <c r="AA275" i="1"/>
  <c r="AA326" i="1"/>
  <c r="AB336" i="1"/>
  <c r="W205" i="1"/>
  <c r="Z205" i="1" s="1"/>
  <c r="AA205" i="1" s="1"/>
  <c r="AA234" i="1"/>
  <c r="AA329" i="1"/>
  <c r="AB270" i="1"/>
  <c r="AC270" i="1" s="1"/>
  <c r="AB304" i="1"/>
  <c r="AC304" i="1" s="1"/>
  <c r="AA320" i="1"/>
  <c r="AF402" i="1"/>
  <c r="AX402" i="1" s="1"/>
  <c r="AY402" i="1" s="1"/>
  <c r="AA168" i="1"/>
  <c r="W172" i="1"/>
  <c r="Z172" i="1" s="1"/>
  <c r="AA172" i="1" s="1"/>
  <c r="AA184" i="1"/>
  <c r="W185" i="1"/>
  <c r="Z185" i="1" s="1"/>
  <c r="AA185" i="1" s="1"/>
  <c r="W186" i="1"/>
  <c r="Z186" i="1" s="1"/>
  <c r="W190" i="1"/>
  <c r="Z190" i="1" s="1"/>
  <c r="AA190" i="1" s="1"/>
  <c r="W193" i="1"/>
  <c r="Z193" i="1" s="1"/>
  <c r="AA194" i="1"/>
  <c r="W202" i="1"/>
  <c r="Z202" i="1" s="1"/>
  <c r="AA214" i="1"/>
  <c r="AC230" i="1"/>
  <c r="AB252" i="1"/>
  <c r="AA299" i="1"/>
  <c r="AA339" i="1"/>
  <c r="AF393" i="1"/>
  <c r="AX393" i="1" s="1"/>
  <c r="AY393" i="1" s="1"/>
  <c r="AA286" i="1"/>
  <c r="Q361" i="1"/>
  <c r="W361" i="1"/>
  <c r="Z361" i="1" s="1"/>
  <c r="AC289" i="1"/>
  <c r="AA296" i="1"/>
  <c r="AA298" i="1"/>
  <c r="AB340" i="1"/>
  <c r="AA365" i="1"/>
  <c r="AA375" i="1"/>
  <c r="AC379" i="1"/>
  <c r="AF408" i="1"/>
  <c r="AX408" i="1" s="1"/>
  <c r="AY408" i="1" s="1"/>
  <c r="Q217" i="1"/>
  <c r="AA251" i="1"/>
  <c r="AB335" i="1"/>
  <c r="AC335" i="1" s="1"/>
  <c r="AA283" i="1"/>
  <c r="AA305" i="1"/>
  <c r="AB311" i="1"/>
  <c r="AC311" i="1" s="1"/>
  <c r="AB318" i="1"/>
  <c r="AC318" i="1" s="1"/>
  <c r="AB355" i="1"/>
  <c r="W204" i="1"/>
  <c r="Z204" i="1" s="1"/>
  <c r="AA204" i="1" s="1"/>
  <c r="W210" i="1"/>
  <c r="Z210" i="1" s="1"/>
  <c r="AA210" i="1" s="1"/>
  <c r="AC250" i="1"/>
  <c r="AA267" i="1"/>
  <c r="AC285" i="1"/>
  <c r="AC297" i="1"/>
  <c r="AC338" i="1"/>
  <c r="AA347" i="1"/>
  <c r="AD383" i="1"/>
  <c r="AF391" i="1"/>
  <c r="AX391" i="1" s="1"/>
  <c r="AY391" i="1" s="1"/>
  <c r="AC273" i="1"/>
  <c r="AB290" i="1"/>
  <c r="AB295" i="1"/>
  <c r="AA302" i="1"/>
  <c r="AB308" i="1"/>
  <c r="AC308" i="1" s="1"/>
  <c r="AB312" i="1"/>
  <c r="AB330" i="1"/>
  <c r="AA351" i="1"/>
  <c r="AA356" i="1"/>
  <c r="Q359" i="1"/>
  <c r="W359" i="1"/>
  <c r="Z359" i="1" s="1"/>
  <c r="AA368" i="1"/>
  <c r="AB281" i="1"/>
  <c r="AC281" i="1" s="1"/>
  <c r="AA334" i="1"/>
  <c r="AA344" i="1"/>
  <c r="AC346" i="1"/>
  <c r="AX397" i="1"/>
  <c r="AY397" i="1" s="1"/>
  <c r="AG397" i="1"/>
  <c r="AI397" i="1" s="1"/>
  <c r="AK397" i="1" s="1"/>
  <c r="AM397" i="1" s="1"/>
  <c r="AO397" i="1" s="1"/>
  <c r="AQ397" i="1" s="1"/>
  <c r="AS397" i="1" s="1"/>
  <c r="AU397" i="1" s="1"/>
  <c r="AW397" i="1" s="1"/>
  <c r="AC325" i="1"/>
  <c r="AA332" i="1"/>
  <c r="AA342" i="1"/>
  <c r="AB354" i="1"/>
  <c r="AC354" i="1" s="1"/>
  <c r="AC362" i="1"/>
  <c r="AA377" i="1"/>
  <c r="AX400" i="1"/>
  <c r="AY400" i="1" s="1"/>
  <c r="AG400" i="1"/>
  <c r="AI400" i="1" s="1"/>
  <c r="AK400" i="1" s="1"/>
  <c r="AM400" i="1" s="1"/>
  <c r="AO400" i="1" s="1"/>
  <c r="AQ400" i="1" s="1"/>
  <c r="AS400" i="1" s="1"/>
  <c r="AU400" i="1" s="1"/>
  <c r="AW400" i="1" s="1"/>
  <c r="AA319" i="1"/>
  <c r="AA357" i="1"/>
  <c r="W557" i="1"/>
  <c r="AA348" i="1"/>
  <c r="W366" i="1"/>
  <c r="Z366" i="1" s="1"/>
  <c r="Q366" i="1"/>
  <c r="Z287" i="1"/>
  <c r="AA310" i="1"/>
  <c r="AA323" i="1"/>
  <c r="AA343" i="1"/>
  <c r="Q369" i="1"/>
  <c r="W369" i="1"/>
  <c r="AB371" i="1"/>
  <c r="AA331" i="1"/>
  <c r="AA352" i="1"/>
  <c r="AD376" i="1"/>
  <c r="AE376" i="1" s="1"/>
  <c r="AF404" i="1"/>
  <c r="AX404" i="1" s="1"/>
  <c r="AY404" i="1" s="1"/>
  <c r="AB309" i="1"/>
  <c r="AC309" i="1" s="1"/>
  <c r="AC322" i="1"/>
  <c r="AC386" i="1"/>
  <c r="AD389" i="1"/>
  <c r="AE389" i="1" s="1"/>
  <c r="AF395" i="1"/>
  <c r="AX395" i="1" s="1"/>
  <c r="AY395" i="1" s="1"/>
  <c r="AA369" i="1"/>
  <c r="AD380" i="1"/>
  <c r="AA337" i="1"/>
  <c r="AA349" i="1"/>
  <c r="AA358" i="1"/>
  <c r="W367" i="1"/>
  <c r="Z367" i="1" s="1"/>
  <c r="AB374" i="1"/>
  <c r="AC374" i="1" s="1"/>
  <c r="AF401" i="1"/>
  <c r="AX401" i="1" s="1"/>
  <c r="AY401" i="1" s="1"/>
  <c r="AF406" i="1"/>
  <c r="AX406" i="1" s="1"/>
  <c r="AY406" i="1" s="1"/>
  <c r="AD388" i="1"/>
  <c r="AB364" i="1"/>
  <c r="AC364" i="1"/>
  <c r="AF410" i="1"/>
  <c r="AA345" i="1"/>
  <c r="AX392" i="1"/>
  <c r="AY392" i="1" s="1"/>
  <c r="AG392" i="1"/>
  <c r="AI392" i="1" s="1"/>
  <c r="AK392" i="1" s="1"/>
  <c r="AM392" i="1" s="1"/>
  <c r="AO392" i="1" s="1"/>
  <c r="AQ392" i="1" s="1"/>
  <c r="AS392" i="1" s="1"/>
  <c r="AU392" i="1" s="1"/>
  <c r="AW392" i="1" s="1"/>
  <c r="W420" i="1"/>
  <c r="AC378" i="1"/>
  <c r="AF409" i="1"/>
  <c r="AX409" i="1" s="1"/>
  <c r="AY409" i="1" s="1"/>
  <c r="Q365" i="1"/>
  <c r="AF403" i="1"/>
  <c r="AX403" i="1" s="1"/>
  <c r="AY403" i="1" s="1"/>
  <c r="AD384" i="1"/>
  <c r="AE384" i="1" s="1"/>
  <c r="AG409" i="1" l="1"/>
  <c r="AI409" i="1" s="1"/>
  <c r="AK409" i="1" s="1"/>
  <c r="AM409" i="1" s="1"/>
  <c r="AO409" i="1" s="1"/>
  <c r="AQ409" i="1" s="1"/>
  <c r="AS409" i="1" s="1"/>
  <c r="AU409" i="1" s="1"/>
  <c r="AW409" i="1" s="1"/>
  <c r="AZ409" i="1" s="1"/>
  <c r="AZ400" i="1"/>
  <c r="AG402" i="1"/>
  <c r="AI402" i="1" s="1"/>
  <c r="AK402" i="1" s="1"/>
  <c r="AM402" i="1" s="1"/>
  <c r="AO402" i="1" s="1"/>
  <c r="AQ402" i="1" s="1"/>
  <c r="AS402" i="1" s="1"/>
  <c r="AU402" i="1" s="1"/>
  <c r="AW402" i="1" s="1"/>
  <c r="AG399" i="1"/>
  <c r="AI399" i="1" s="1"/>
  <c r="AK399" i="1" s="1"/>
  <c r="AM399" i="1" s="1"/>
  <c r="AO399" i="1" s="1"/>
  <c r="AQ399" i="1" s="1"/>
  <c r="AS399" i="1" s="1"/>
  <c r="AU399" i="1" s="1"/>
  <c r="AW399" i="1" s="1"/>
  <c r="AX396" i="1"/>
  <c r="AY396" i="1" s="1"/>
  <c r="AZ396" i="1" s="1"/>
  <c r="AD239" i="1"/>
  <c r="AE239" i="1" s="1"/>
  <c r="AZ397" i="1"/>
  <c r="AE291" i="1"/>
  <c r="AZ399" i="1"/>
  <c r="AZ402" i="1"/>
  <c r="AC137" i="1"/>
  <c r="AD137" i="1" s="1"/>
  <c r="AE137" i="1" s="1"/>
  <c r="AG407" i="1"/>
  <c r="AI407" i="1" s="1"/>
  <c r="AK407" i="1" s="1"/>
  <c r="AM407" i="1" s="1"/>
  <c r="AO407" i="1" s="1"/>
  <c r="AQ407" i="1" s="1"/>
  <c r="AS407" i="1" s="1"/>
  <c r="AU407" i="1" s="1"/>
  <c r="AW407" i="1" s="1"/>
  <c r="AZ407" i="1" s="1"/>
  <c r="AE229" i="1"/>
  <c r="AF229" i="1" s="1"/>
  <c r="AX229" i="1" s="1"/>
  <c r="AY229" i="1" s="1"/>
  <c r="AD263" i="1"/>
  <c r="AE263" i="1"/>
  <c r="AD258" i="1"/>
  <c r="AE258" i="1" s="1"/>
  <c r="AF258" i="1" s="1"/>
  <c r="AG258" i="1" s="1"/>
  <c r="AI258" i="1" s="1"/>
  <c r="AK258" i="1" s="1"/>
  <c r="AM258" i="1" s="1"/>
  <c r="AO258" i="1" s="1"/>
  <c r="AQ258" i="1" s="1"/>
  <c r="AS258" i="1" s="1"/>
  <c r="AU258" i="1" s="1"/>
  <c r="AW258" i="1" s="1"/>
  <c r="AD7" i="1"/>
  <c r="AE7" i="1"/>
  <c r="AF7" i="1" s="1"/>
  <c r="AG7" i="1" s="1"/>
  <c r="AI7" i="1" s="1"/>
  <c r="AK7" i="1" s="1"/>
  <c r="AM7" i="1" s="1"/>
  <c r="AO7" i="1" s="1"/>
  <c r="AQ7" i="1" s="1"/>
  <c r="AS7" i="1" s="1"/>
  <c r="AU7" i="1" s="1"/>
  <c r="AW7" i="1" s="1"/>
  <c r="AX394" i="1"/>
  <c r="AY394" i="1" s="1"/>
  <c r="AZ394" i="1" s="1"/>
  <c r="AD313" i="1"/>
  <c r="AE313" i="1" s="1"/>
  <c r="AF313" i="1" s="1"/>
  <c r="AX313" i="1" s="1"/>
  <c r="AY313" i="1" s="1"/>
  <c r="AX271" i="1"/>
  <c r="AY271" i="1" s="1"/>
  <c r="AZ271" i="1" s="1"/>
  <c r="AF385" i="1"/>
  <c r="AX385" i="1" s="1"/>
  <c r="AY385" i="1" s="1"/>
  <c r="AG385" i="1"/>
  <c r="AI385" i="1" s="1"/>
  <c r="AK385" i="1" s="1"/>
  <c r="AM385" i="1" s="1"/>
  <c r="AO385" i="1" s="1"/>
  <c r="AQ385" i="1" s="1"/>
  <c r="AS385" i="1" s="1"/>
  <c r="AU385" i="1" s="1"/>
  <c r="AW385" i="1" s="1"/>
  <c r="AZ392" i="1"/>
  <c r="AG393" i="1"/>
  <c r="AI393" i="1" s="1"/>
  <c r="AK393" i="1" s="1"/>
  <c r="AM393" i="1" s="1"/>
  <c r="AO393" i="1" s="1"/>
  <c r="AQ393" i="1" s="1"/>
  <c r="AS393" i="1" s="1"/>
  <c r="AU393" i="1" s="1"/>
  <c r="AW393" i="1" s="1"/>
  <c r="AZ393" i="1" s="1"/>
  <c r="AG405" i="1"/>
  <c r="AI405" i="1" s="1"/>
  <c r="AK405" i="1" s="1"/>
  <c r="AM405" i="1" s="1"/>
  <c r="AO405" i="1" s="1"/>
  <c r="AQ405" i="1" s="1"/>
  <c r="AS405" i="1" s="1"/>
  <c r="AU405" i="1" s="1"/>
  <c r="AW405" i="1" s="1"/>
  <c r="AZ405" i="1" s="1"/>
  <c r="AB29" i="1"/>
  <c r="AC29" i="1" s="1"/>
  <c r="AD29" i="1" s="1"/>
  <c r="AE29" i="1" s="1"/>
  <c r="AD301" i="1"/>
  <c r="AE301" i="1" s="1"/>
  <c r="AD203" i="1"/>
  <c r="AE203" i="1" s="1"/>
  <c r="AD318" i="1"/>
  <c r="AE318" i="1"/>
  <c r="AD256" i="1"/>
  <c r="AE256" i="1" s="1"/>
  <c r="AD311" i="1"/>
  <c r="AE311" i="1" s="1"/>
  <c r="AB213" i="1"/>
  <c r="AC213" i="1" s="1"/>
  <c r="AD57" i="1"/>
  <c r="AE57" i="1" s="1"/>
  <c r="AD309" i="1"/>
  <c r="AD220" i="1"/>
  <c r="AE220" i="1" s="1"/>
  <c r="AB102" i="1"/>
  <c r="AC102" i="1" s="1"/>
  <c r="AF384" i="1"/>
  <c r="AX384" i="1" s="1"/>
  <c r="AY384" i="1" s="1"/>
  <c r="AB205" i="1"/>
  <c r="AC205" i="1" s="1"/>
  <c r="AB87" i="1"/>
  <c r="AB56" i="1"/>
  <c r="AF389" i="1"/>
  <c r="AX389" i="1" s="1"/>
  <c r="AY389" i="1" s="1"/>
  <c r="AG389" i="1"/>
  <c r="AI389" i="1" s="1"/>
  <c r="AK389" i="1" s="1"/>
  <c r="AM389" i="1" s="1"/>
  <c r="AO389" i="1" s="1"/>
  <c r="AQ389" i="1" s="1"/>
  <c r="AS389" i="1" s="1"/>
  <c r="AU389" i="1" s="1"/>
  <c r="AW389" i="1" s="1"/>
  <c r="AD321" i="1"/>
  <c r="AE321" i="1" s="1"/>
  <c r="AD279" i="1"/>
  <c r="AE279" i="1" s="1"/>
  <c r="AD249" i="1"/>
  <c r="AE249" i="1" s="1"/>
  <c r="AB70" i="1"/>
  <c r="AC70" i="1" s="1"/>
  <c r="AD304" i="1"/>
  <c r="AE304" i="1"/>
  <c r="AD374" i="1"/>
  <c r="AE374" i="1" s="1"/>
  <c r="AD272" i="1"/>
  <c r="AB76" i="1"/>
  <c r="AD335" i="1"/>
  <c r="AE335" i="1" s="1"/>
  <c r="AD11" i="1"/>
  <c r="AE11" i="1" s="1"/>
  <c r="AB114" i="1"/>
  <c r="AD195" i="1"/>
  <c r="AE195" i="1" s="1"/>
  <c r="AF376" i="1"/>
  <c r="AX376" i="1" s="1"/>
  <c r="AY376" i="1" s="1"/>
  <c r="AD63" i="1"/>
  <c r="AE63" i="1" s="1"/>
  <c r="AD261" i="1"/>
  <c r="AB206" i="1"/>
  <c r="AC206" i="1" s="1"/>
  <c r="AB13" i="1"/>
  <c r="AC13" i="1" s="1"/>
  <c r="AD354" i="1"/>
  <c r="AB54" i="1"/>
  <c r="AC54" i="1" s="1"/>
  <c r="AD278" i="1"/>
  <c r="AE278" i="1" s="1"/>
  <c r="AF268" i="1"/>
  <c r="AX268" i="1" s="1"/>
  <c r="AY268" i="1" s="1"/>
  <c r="AB207" i="1"/>
  <c r="AD364" i="1"/>
  <c r="AE364" i="1" s="1"/>
  <c r="AA366" i="1"/>
  <c r="AB210" i="1"/>
  <c r="AC210" i="1" s="1"/>
  <c r="AD270" i="1"/>
  <c r="AB122" i="1"/>
  <c r="AC122" i="1"/>
  <c r="AB179" i="1"/>
  <c r="AC179" i="1" s="1"/>
  <c r="AB231" i="1"/>
  <c r="AC231" i="1" s="1"/>
  <c r="AD386" i="1"/>
  <c r="AE386" i="1" s="1"/>
  <c r="AB347" i="1"/>
  <c r="AC347" i="1" s="1"/>
  <c r="AB299" i="1"/>
  <c r="AB197" i="1"/>
  <c r="AC197" i="1"/>
  <c r="AB116" i="1"/>
  <c r="Z455" i="1"/>
  <c r="Z457" i="1" s="1"/>
  <c r="AA74" i="1"/>
  <c r="AB34" i="1"/>
  <c r="AC34" i="1" s="1"/>
  <c r="AB342" i="1"/>
  <c r="AC342" i="1" s="1"/>
  <c r="AD338" i="1"/>
  <c r="AE338" i="1" s="1"/>
  <c r="AB316" i="1"/>
  <c r="AC316" i="1" s="1"/>
  <c r="AB158" i="1"/>
  <c r="AC158" i="1" s="1"/>
  <c r="AD265" i="1"/>
  <c r="AE265" i="1" s="1"/>
  <c r="AB201" i="1"/>
  <c r="AC201" i="1" s="1"/>
  <c r="AB53" i="1"/>
  <c r="AC53" i="1" s="1"/>
  <c r="AB33" i="1"/>
  <c r="AC33" i="1" s="1"/>
  <c r="AC262" i="1"/>
  <c r="AB369" i="1"/>
  <c r="AC369" i="1" s="1"/>
  <c r="AD322" i="1"/>
  <c r="AE322" i="1" s="1"/>
  <c r="AB298" i="1"/>
  <c r="AF254" i="1"/>
  <c r="AX254" i="1" s="1"/>
  <c r="AY254" i="1" s="1"/>
  <c r="AB147" i="1"/>
  <c r="AC147" i="1" s="1"/>
  <c r="AB178" i="1"/>
  <c r="AB105" i="1"/>
  <c r="AC105" i="1" s="1"/>
  <c r="AG226" i="1"/>
  <c r="AI226" i="1" s="1"/>
  <c r="AK226" i="1" s="1"/>
  <c r="AM226" i="1" s="1"/>
  <c r="AO226" i="1" s="1"/>
  <c r="AQ226" i="1" s="1"/>
  <c r="AS226" i="1" s="1"/>
  <c r="AU226" i="1" s="1"/>
  <c r="AW226" i="1" s="1"/>
  <c r="AZ226" i="1" s="1"/>
  <c r="AB260" i="1"/>
  <c r="AC260" i="1" s="1"/>
  <c r="AD10" i="1"/>
  <c r="AE373" i="1"/>
  <c r="AB332" i="1"/>
  <c r="AB296" i="1"/>
  <c r="AB184" i="1"/>
  <c r="AB172" i="1"/>
  <c r="AC172" i="1" s="1"/>
  <c r="AB45" i="1"/>
  <c r="AC45" i="1" s="1"/>
  <c r="AD382" i="1"/>
  <c r="AE382" i="1" s="1"/>
  <c r="AD325" i="1"/>
  <c r="AE325" i="1" s="1"/>
  <c r="AB356" i="1"/>
  <c r="AC356" i="1" s="1"/>
  <c r="AB251" i="1"/>
  <c r="AC251" i="1"/>
  <c r="AB253" i="1"/>
  <c r="AB237" i="1"/>
  <c r="AC237" i="1" s="1"/>
  <c r="AB177" i="1"/>
  <c r="AC177" i="1" s="1"/>
  <c r="AB136" i="1"/>
  <c r="AB8" i="1"/>
  <c r="AB173" i="1"/>
  <c r="AC173" i="1" s="1"/>
  <c r="AG406" i="1"/>
  <c r="AI406" i="1" s="1"/>
  <c r="AK406" i="1" s="1"/>
  <c r="AM406" i="1" s="1"/>
  <c r="AO406" i="1" s="1"/>
  <c r="AQ406" i="1" s="1"/>
  <c r="AS406" i="1" s="1"/>
  <c r="AU406" i="1" s="1"/>
  <c r="AW406" i="1" s="1"/>
  <c r="AZ406" i="1" s="1"/>
  <c r="AD285" i="1"/>
  <c r="AE285" i="1" s="1"/>
  <c r="AD230" i="1"/>
  <c r="AE230" i="1" s="1"/>
  <c r="AB191" i="1"/>
  <c r="AC191" i="1" s="1"/>
  <c r="AD333" i="1"/>
  <c r="AE333" i="1" s="1"/>
  <c r="AB255" i="1"/>
  <c r="AB284" i="1"/>
  <c r="AC284" i="1" s="1"/>
  <c r="AC17" i="1"/>
  <c r="AA219" i="1"/>
  <c r="AC31" i="1"/>
  <c r="AB32" i="1"/>
  <c r="AB140" i="1"/>
  <c r="AC140" i="1" s="1"/>
  <c r="AB80" i="1"/>
  <c r="AC80" i="1" s="1"/>
  <c r="AB343" i="1"/>
  <c r="AB357" i="1"/>
  <c r="AD281" i="1"/>
  <c r="AE281" i="1" s="1"/>
  <c r="AB214" i="1"/>
  <c r="AC214" i="1" s="1"/>
  <c r="AB244" i="1"/>
  <c r="AC244" i="1" s="1"/>
  <c r="AB209" i="1"/>
  <c r="AC209" i="1"/>
  <c r="AA188" i="1"/>
  <c r="AD246" i="1"/>
  <c r="AE246" i="1" s="1"/>
  <c r="AB294" i="1"/>
  <c r="AB157" i="1"/>
  <c r="AC157" i="1" s="1"/>
  <c r="AB187" i="1"/>
  <c r="AC187" i="1" s="1"/>
  <c r="AC314" i="1"/>
  <c r="AD217" i="1"/>
  <c r="AE217" i="1" s="1"/>
  <c r="AD192" i="1"/>
  <c r="AE192" i="1" s="1"/>
  <c r="AB175" i="1"/>
  <c r="AC175" i="1" s="1"/>
  <c r="AB104" i="1"/>
  <c r="AC104" i="1" s="1"/>
  <c r="AA101" i="1"/>
  <c r="AA216" i="1"/>
  <c r="AA90" i="1"/>
  <c r="AB150" i="1"/>
  <c r="AC150" i="1" s="1"/>
  <c r="AA16" i="1"/>
  <c r="AB144" i="1"/>
  <c r="AC144" i="1"/>
  <c r="AB49" i="1"/>
  <c r="AC49" i="1" s="1"/>
  <c r="AA126" i="1"/>
  <c r="AB28" i="1"/>
  <c r="AB83" i="1"/>
  <c r="AC83" i="1"/>
  <c r="AB100" i="1"/>
  <c r="AD378" i="1"/>
  <c r="AE378" i="1" s="1"/>
  <c r="AE388" i="1"/>
  <c r="AG395" i="1"/>
  <c r="AI395" i="1" s="1"/>
  <c r="AK395" i="1" s="1"/>
  <c r="AM395" i="1" s="1"/>
  <c r="AO395" i="1" s="1"/>
  <c r="AQ395" i="1" s="1"/>
  <c r="AS395" i="1" s="1"/>
  <c r="AU395" i="1" s="1"/>
  <c r="AW395" i="1" s="1"/>
  <c r="AZ395" i="1" s="1"/>
  <c r="AD273" i="1"/>
  <c r="AE273" i="1" s="1"/>
  <c r="AA170" i="1"/>
  <c r="AA118" i="1"/>
  <c r="AC6" i="1"/>
  <c r="AB96" i="1"/>
  <c r="AC96" i="1" s="1"/>
  <c r="AB276" i="1"/>
  <c r="AC276" i="1" s="1"/>
  <c r="AA84" i="1"/>
  <c r="AB228" i="1"/>
  <c r="AC228" i="1" s="1"/>
  <c r="AB242" i="1"/>
  <c r="AC242" i="1" s="1"/>
  <c r="AB15" i="1"/>
  <c r="AB38" i="1"/>
  <c r="AC38" i="1" s="1"/>
  <c r="AB238" i="1"/>
  <c r="AC238" i="1" s="1"/>
  <c r="AB22" i="1"/>
  <c r="AC22" i="1" s="1"/>
  <c r="AB26" i="1"/>
  <c r="AC26" i="1"/>
  <c r="AB92" i="1"/>
  <c r="AB302" i="1"/>
  <c r="AC302" i="1"/>
  <c r="AB21" i="1"/>
  <c r="AD297" i="1"/>
  <c r="AB275" i="1"/>
  <c r="AC275" i="1"/>
  <c r="AA125" i="1"/>
  <c r="AB236" i="1"/>
  <c r="AB319" i="1"/>
  <c r="AB267" i="1"/>
  <c r="AB208" i="1"/>
  <c r="AB240" i="1"/>
  <c r="AB212" i="1"/>
  <c r="AC212" i="1" s="1"/>
  <c r="AB86" i="1"/>
  <c r="AD250" i="1"/>
  <c r="AE250" i="1" s="1"/>
  <c r="AG391" i="1"/>
  <c r="AI391" i="1" s="1"/>
  <c r="AK391" i="1" s="1"/>
  <c r="AM391" i="1" s="1"/>
  <c r="AO391" i="1" s="1"/>
  <c r="AQ391" i="1" s="1"/>
  <c r="AS391" i="1" s="1"/>
  <c r="AU391" i="1" s="1"/>
  <c r="AW391" i="1" s="1"/>
  <c r="AZ391" i="1" s="1"/>
  <c r="AB194" i="1"/>
  <c r="AD381" i="1"/>
  <c r="AE381" i="1" s="1"/>
  <c r="AC353" i="1"/>
  <c r="AB232" i="1"/>
  <c r="AC232" i="1" s="1"/>
  <c r="AB277" i="1"/>
  <c r="AC277" i="1" s="1"/>
  <c r="AB138" i="1"/>
  <c r="AC138" i="1" s="1"/>
  <c r="AB71" i="1"/>
  <c r="AC71" i="1" s="1"/>
  <c r="AB222" i="1"/>
  <c r="AB60" i="1"/>
  <c r="AC60" i="1" s="1"/>
  <c r="AB120" i="1"/>
  <c r="AC120" i="1" s="1"/>
  <c r="AA112" i="1"/>
  <c r="AB50" i="1"/>
  <c r="AC50" i="1" s="1"/>
  <c r="AA30" i="1"/>
  <c r="AB94" i="1"/>
  <c r="AC94" i="1" s="1"/>
  <c r="AB368" i="1"/>
  <c r="AB166" i="1"/>
  <c r="AC166" i="1" s="1"/>
  <c r="AB48" i="1"/>
  <c r="AC48" i="1" s="1"/>
  <c r="AE380" i="1"/>
  <c r="AA186" i="1"/>
  <c r="AB199" i="1"/>
  <c r="AC199" i="1" s="1"/>
  <c r="AB162" i="1"/>
  <c r="AC162" i="1" s="1"/>
  <c r="AB163" i="1"/>
  <c r="AA359" i="1"/>
  <c r="AB148" i="1"/>
  <c r="AF257" i="1"/>
  <c r="AG257" i="1" s="1"/>
  <c r="AI257" i="1" s="1"/>
  <c r="AK257" i="1" s="1"/>
  <c r="AM257" i="1" s="1"/>
  <c r="AO257" i="1" s="1"/>
  <c r="AQ257" i="1" s="1"/>
  <c r="AS257" i="1" s="1"/>
  <c r="AU257" i="1" s="1"/>
  <c r="AW257" i="1" s="1"/>
  <c r="AC288" i="1"/>
  <c r="AB215" i="1"/>
  <c r="AC215" i="1" s="1"/>
  <c r="AD327" i="1"/>
  <c r="AB165" i="1"/>
  <c r="AC165" i="1" s="1"/>
  <c r="AC290" i="1"/>
  <c r="AD289" i="1"/>
  <c r="AE289" i="1" s="1"/>
  <c r="AF291" i="1"/>
  <c r="AX291" i="1" s="1"/>
  <c r="AY291" i="1" s="1"/>
  <c r="AA202" i="1"/>
  <c r="AB180" i="1"/>
  <c r="AC180" i="1" s="1"/>
  <c r="AB52" i="1"/>
  <c r="AC52" i="1"/>
  <c r="AB18" i="1"/>
  <c r="AB211" i="1"/>
  <c r="AC211" i="1" s="1"/>
  <c r="AB9" i="1"/>
  <c r="AC9" i="1" s="1"/>
  <c r="AA367" i="1"/>
  <c r="AB310" i="1"/>
  <c r="AA287" i="1"/>
  <c r="AB283" i="1"/>
  <c r="AD379" i="1"/>
  <c r="AE379" i="1" s="1"/>
  <c r="AA193" i="1"/>
  <c r="AB320" i="1"/>
  <c r="AD387" i="1"/>
  <c r="AB189" i="1"/>
  <c r="AC189" i="1" s="1"/>
  <c r="AB360" i="1"/>
  <c r="AB266" i="1"/>
  <c r="AC266" i="1"/>
  <c r="AB155" i="1"/>
  <c r="AC155" i="1" s="1"/>
  <c r="AD129" i="1"/>
  <c r="AE129" i="1" s="1"/>
  <c r="AB164" i="1"/>
  <c r="AA121" i="1"/>
  <c r="AD350" i="1"/>
  <c r="AE350" i="1"/>
  <c r="AB75" i="1"/>
  <c r="AC75" i="1" s="1"/>
  <c r="AB51" i="1"/>
  <c r="AC51" i="1"/>
  <c r="AB167" i="1"/>
  <c r="AC167" i="1" s="1"/>
  <c r="AB55" i="1"/>
  <c r="AB64" i="1"/>
  <c r="AB78" i="1"/>
  <c r="AC78" i="1" s="1"/>
  <c r="AA132" i="1"/>
  <c r="AD328" i="1"/>
  <c r="AE328" i="1" s="1"/>
  <c r="AB58" i="1"/>
  <c r="AC58" i="1" s="1"/>
  <c r="AB185" i="1"/>
  <c r="AC185" i="1" s="1"/>
  <c r="AB274" i="1"/>
  <c r="AC274" i="1"/>
  <c r="AB243" i="1"/>
  <c r="AC243" i="1" s="1"/>
  <c r="AE243" i="1" s="1"/>
  <c r="AB198" i="1"/>
  <c r="AC198" i="1" s="1"/>
  <c r="AB69" i="1"/>
  <c r="AC69" i="1" s="1"/>
  <c r="AB303" i="1"/>
  <c r="AC303" i="1" s="1"/>
  <c r="AB119" i="1"/>
  <c r="AC119" i="1" s="1"/>
  <c r="AB153" i="1"/>
  <c r="AC153" i="1" s="1"/>
  <c r="AB324" i="1"/>
  <c r="AB65" i="1"/>
  <c r="AC65" i="1" s="1"/>
  <c r="AB329" i="1"/>
  <c r="AC329" i="1" s="1"/>
  <c r="AD346" i="1"/>
  <c r="AE346" i="1"/>
  <c r="AA361" i="1"/>
  <c r="AF221" i="1"/>
  <c r="AX221" i="1" s="1"/>
  <c r="AY221" i="1" s="1"/>
  <c r="AG221" i="1"/>
  <c r="AI221" i="1" s="1"/>
  <c r="AK221" i="1" s="1"/>
  <c r="AM221" i="1" s="1"/>
  <c r="AO221" i="1" s="1"/>
  <c r="AQ221" i="1" s="1"/>
  <c r="AS221" i="1" s="1"/>
  <c r="AU221" i="1" s="1"/>
  <c r="AW221" i="1" s="1"/>
  <c r="AE383" i="1"/>
  <c r="AB375" i="1"/>
  <c r="AB286" i="1"/>
  <c r="AC286" i="1" s="1"/>
  <c r="AD307" i="1"/>
  <c r="AB241" i="1"/>
  <c r="AD152" i="1"/>
  <c r="AE152" i="1" s="1"/>
  <c r="AB174" i="1"/>
  <c r="AC174" i="1" s="1"/>
  <c r="AD146" i="1"/>
  <c r="AE146" i="1" s="1"/>
  <c r="AD183" i="1"/>
  <c r="AE183" i="1" s="1"/>
  <c r="AA127" i="1"/>
  <c r="AB124" i="1"/>
  <c r="AC124" i="1"/>
  <c r="AA182" i="1"/>
  <c r="AD160" i="1"/>
  <c r="AE160" i="1" s="1"/>
  <c r="AB109" i="1"/>
  <c r="AB151" i="1"/>
  <c r="AB142" i="1"/>
  <c r="AB306" i="1"/>
  <c r="AB97" i="1"/>
  <c r="AC97" i="1" s="1"/>
  <c r="AB40" i="1"/>
  <c r="AB95" i="1"/>
  <c r="AC95" i="1" s="1"/>
  <c r="AC340" i="1"/>
  <c r="AB107" i="1"/>
  <c r="AB300" i="1"/>
  <c r="AC300" i="1" s="1"/>
  <c r="AB79" i="1"/>
  <c r="AC295" i="1"/>
  <c r="AB117" i="1"/>
  <c r="AC117" i="1" s="1"/>
  <c r="AB305" i="1"/>
  <c r="AC305" i="1" s="1"/>
  <c r="AB235" i="1"/>
  <c r="AC235" i="1" s="1"/>
  <c r="AB259" i="1"/>
  <c r="AB93" i="1"/>
  <c r="AA134" i="1"/>
  <c r="AB234" i="1"/>
  <c r="AC234" i="1" s="1"/>
  <c r="AB128" i="1"/>
  <c r="AB352" i="1"/>
  <c r="AB344" i="1"/>
  <c r="AC344" i="1" s="1"/>
  <c r="AE370" i="1"/>
  <c r="AB349" i="1"/>
  <c r="AC349" i="1" s="1"/>
  <c r="AB377" i="1"/>
  <c r="AB341" i="1"/>
  <c r="AA176" i="1"/>
  <c r="AB218" i="1"/>
  <c r="AC218" i="1"/>
  <c r="AB315" i="1"/>
  <c r="AC315" i="1"/>
  <c r="AB130" i="1"/>
  <c r="AC130" i="1" s="1"/>
  <c r="AA106" i="1"/>
  <c r="AB245" i="1"/>
  <c r="AC245" i="1" s="1"/>
  <c r="AB108" i="1"/>
  <c r="AB23" i="1"/>
  <c r="AC23" i="1" s="1"/>
  <c r="AB82" i="1"/>
  <c r="AC82" i="1" s="1"/>
  <c r="AB139" i="1"/>
  <c r="AB111" i="1"/>
  <c r="AC111" i="1" s="1"/>
  <c r="AA42" i="1"/>
  <c r="AA91" i="1"/>
  <c r="AA77" i="1"/>
  <c r="AB66" i="1"/>
  <c r="AC66" i="1" s="1"/>
  <c r="AB133" i="1"/>
  <c r="AC133" i="1" s="1"/>
  <c r="AB46" i="1"/>
  <c r="AB68" i="1"/>
  <c r="AB47" i="1"/>
  <c r="AC47" i="1" s="1"/>
  <c r="AD308" i="1"/>
  <c r="AE308" i="1" s="1"/>
  <c r="AB190" i="1"/>
  <c r="AC190" i="1" s="1"/>
  <c r="AB326" i="1"/>
  <c r="AC326" i="1" s="1"/>
  <c r="AB159" i="1"/>
  <c r="AC159" i="1" s="1"/>
  <c r="AA363" i="1"/>
  <c r="AB103" i="1"/>
  <c r="AC103" i="1" s="1"/>
  <c r="AB156" i="1"/>
  <c r="AC156" i="1" s="1"/>
  <c r="AB36" i="1"/>
  <c r="AC36" i="1" s="1"/>
  <c r="AF223" i="1"/>
  <c r="AX223" i="1" s="1"/>
  <c r="AY223" i="1" s="1"/>
  <c r="AG223" i="1"/>
  <c r="AI223" i="1" s="1"/>
  <c r="AK223" i="1" s="1"/>
  <c r="AM223" i="1" s="1"/>
  <c r="AO223" i="1" s="1"/>
  <c r="AQ223" i="1" s="1"/>
  <c r="AS223" i="1" s="1"/>
  <c r="AU223" i="1" s="1"/>
  <c r="AW223" i="1" s="1"/>
  <c r="AB135" i="1"/>
  <c r="AC135" i="1" s="1"/>
  <c r="AD293" i="1"/>
  <c r="AE293" i="1"/>
  <c r="AB27" i="1"/>
  <c r="AC27" i="1" s="1"/>
  <c r="AB204" i="1"/>
  <c r="AC204" i="1" s="1"/>
  <c r="AB280" i="1"/>
  <c r="AB161" i="1"/>
  <c r="AD227" i="1"/>
  <c r="AE227" i="1" s="1"/>
  <c r="AB61" i="1"/>
  <c r="AC61" i="1" s="1"/>
  <c r="AB110" i="1"/>
  <c r="AB67" i="1"/>
  <c r="AC67" i="1" s="1"/>
  <c r="AB99" i="1"/>
  <c r="AC99" i="1"/>
  <c r="AB39" i="1"/>
  <c r="AC39" i="1" s="1"/>
  <c r="AB14" i="1"/>
  <c r="AB348" i="1"/>
  <c r="AA20" i="1"/>
  <c r="AB141" i="1"/>
  <c r="AB113" i="1"/>
  <c r="AB88" i="1"/>
  <c r="AC88" i="1"/>
  <c r="AB24" i="1"/>
  <c r="AB37" i="1"/>
  <c r="AC37" i="1" s="1"/>
  <c r="AC149" i="1"/>
  <c r="AD12" i="1"/>
  <c r="AA19" i="1"/>
  <c r="AC252" i="1"/>
  <c r="W455" i="1"/>
  <c r="AB143" i="1"/>
  <c r="AB169" i="1"/>
  <c r="AC169" i="1" s="1"/>
  <c r="AB351" i="1"/>
  <c r="AC351" i="1"/>
  <c r="AB168" i="1"/>
  <c r="AC168" i="1" s="1"/>
  <c r="AB282" i="1"/>
  <c r="AC371" i="1"/>
  <c r="AB323" i="1"/>
  <c r="AC323" i="1"/>
  <c r="AB225" i="1"/>
  <c r="AC225" i="1" s="1"/>
  <c r="AA59" i="1"/>
  <c r="AB264" i="1"/>
  <c r="AB131" i="1"/>
  <c r="AB81" i="1"/>
  <c r="AB200" i="1"/>
  <c r="AC200" i="1" s="1"/>
  <c r="AA25" i="1"/>
  <c r="AB35" i="1"/>
  <c r="AC35" i="1" s="1"/>
  <c r="AA85" i="1"/>
  <c r="AG403" i="1"/>
  <c r="AI403" i="1" s="1"/>
  <c r="AK403" i="1" s="1"/>
  <c r="AM403" i="1" s="1"/>
  <c r="AO403" i="1" s="1"/>
  <c r="AQ403" i="1" s="1"/>
  <c r="AS403" i="1" s="1"/>
  <c r="AU403" i="1" s="1"/>
  <c r="AW403" i="1" s="1"/>
  <c r="AZ403" i="1" s="1"/>
  <c r="AG408" i="1"/>
  <c r="AI408" i="1" s="1"/>
  <c r="AK408" i="1" s="1"/>
  <c r="AM408" i="1" s="1"/>
  <c r="AO408" i="1" s="1"/>
  <c r="AQ408" i="1" s="1"/>
  <c r="AS408" i="1" s="1"/>
  <c r="AU408" i="1" s="1"/>
  <c r="AW408" i="1" s="1"/>
  <c r="AZ408" i="1" s="1"/>
  <c r="AB196" i="1"/>
  <c r="AC196" i="1" s="1"/>
  <c r="AB248" i="1"/>
  <c r="AC248" i="1" s="1"/>
  <c r="AB154" i="1"/>
  <c r="AC154" i="1" s="1"/>
  <c r="AB292" i="1"/>
  <c r="AB224" i="1"/>
  <c r="AC224" i="1" s="1"/>
  <c r="AB181" i="1"/>
  <c r="AC181" i="1" s="1"/>
  <c r="AB98" i="1"/>
  <c r="AC98" i="1" s="1"/>
  <c r="AA72" i="1"/>
  <c r="AA62" i="1"/>
  <c r="AB73" i="1"/>
  <c r="AC41" i="1"/>
  <c r="AB358" i="1"/>
  <c r="AC330" i="1"/>
  <c r="AB345" i="1"/>
  <c r="AB331" i="1"/>
  <c r="AC331" i="1" s="1"/>
  <c r="AB334" i="1"/>
  <c r="AC334" i="1" s="1"/>
  <c r="AB337" i="1"/>
  <c r="AC312" i="1"/>
  <c r="AG390" i="1"/>
  <c r="AI390" i="1" s="1"/>
  <c r="AK390" i="1" s="1"/>
  <c r="AM390" i="1" s="1"/>
  <c r="AO390" i="1" s="1"/>
  <c r="AQ390" i="1" s="1"/>
  <c r="AS390" i="1" s="1"/>
  <c r="AU390" i="1" s="1"/>
  <c r="AW390" i="1" s="1"/>
  <c r="AZ390" i="1" s="1"/>
  <c r="AE372" i="1"/>
  <c r="AX410" i="1"/>
  <c r="AY410" i="1" s="1"/>
  <c r="AG410" i="1"/>
  <c r="AI410" i="1" s="1"/>
  <c r="AK410" i="1" s="1"/>
  <c r="AM410" i="1" s="1"/>
  <c r="AO410" i="1" s="1"/>
  <c r="AQ410" i="1" s="1"/>
  <c r="AS410" i="1" s="1"/>
  <c r="AU410" i="1" s="1"/>
  <c r="AW410" i="1" s="1"/>
  <c r="AG401" i="1"/>
  <c r="AI401" i="1" s="1"/>
  <c r="AK401" i="1" s="1"/>
  <c r="AM401" i="1" s="1"/>
  <c r="AO401" i="1" s="1"/>
  <c r="AQ401" i="1" s="1"/>
  <c r="AS401" i="1" s="1"/>
  <c r="AU401" i="1" s="1"/>
  <c r="AW401" i="1" s="1"/>
  <c r="AZ401" i="1" s="1"/>
  <c r="AG404" i="1"/>
  <c r="AI404" i="1" s="1"/>
  <c r="AK404" i="1" s="1"/>
  <c r="AM404" i="1" s="1"/>
  <c r="AO404" i="1" s="1"/>
  <c r="AQ404" i="1" s="1"/>
  <c r="AS404" i="1" s="1"/>
  <c r="AU404" i="1" s="1"/>
  <c r="AW404" i="1" s="1"/>
  <c r="AZ404" i="1" s="1"/>
  <c r="AD362" i="1"/>
  <c r="AC355" i="1"/>
  <c r="AB365" i="1"/>
  <c r="AC365" i="1" s="1"/>
  <c r="AB339" i="1"/>
  <c r="AC339" i="1" s="1"/>
  <c r="AC336" i="1"/>
  <c r="AB171" i="1"/>
  <c r="AC171" i="1" s="1"/>
  <c r="AB247" i="1"/>
  <c r="AB123" i="1"/>
  <c r="AC123" i="1" s="1"/>
  <c r="AA115" i="1"/>
  <c r="AE317" i="1"/>
  <c r="AB233" i="1"/>
  <c r="AC233" i="1" s="1"/>
  <c r="AA43" i="1"/>
  <c r="AC145" i="1"/>
  <c r="AA44" i="1"/>
  <c r="AC269" i="1"/>
  <c r="AA89" i="1"/>
  <c r="AF263" i="1" l="1"/>
  <c r="AX263" i="1" s="1"/>
  <c r="AY263" i="1" s="1"/>
  <c r="AG254" i="1"/>
  <c r="AI254" i="1" s="1"/>
  <c r="AK254" i="1" s="1"/>
  <c r="AM254" i="1" s="1"/>
  <c r="AO254" i="1" s="1"/>
  <c r="AQ254" i="1" s="1"/>
  <c r="AS254" i="1" s="1"/>
  <c r="AU254" i="1" s="1"/>
  <c r="AW254" i="1" s="1"/>
  <c r="AZ410" i="1"/>
  <c r="AZ221" i="1"/>
  <c r="AF239" i="1"/>
  <c r="AX239" i="1" s="1"/>
  <c r="AY239" i="1" s="1"/>
  <c r="AF301" i="1"/>
  <c r="AX301" i="1" s="1"/>
  <c r="AY301" i="1" s="1"/>
  <c r="AZ385" i="1"/>
  <c r="AX7" i="1"/>
  <c r="AY7" i="1" s="1"/>
  <c r="AZ7" i="1" s="1"/>
  <c r="AG268" i="1"/>
  <c r="AI268" i="1" s="1"/>
  <c r="AK268" i="1" s="1"/>
  <c r="AM268" i="1" s="1"/>
  <c r="AO268" i="1" s="1"/>
  <c r="AQ268" i="1" s="1"/>
  <c r="AS268" i="1" s="1"/>
  <c r="AU268" i="1" s="1"/>
  <c r="AW268" i="1" s="1"/>
  <c r="AZ268" i="1" s="1"/>
  <c r="AG291" i="1"/>
  <c r="AI291" i="1" s="1"/>
  <c r="AK291" i="1" s="1"/>
  <c r="AM291" i="1" s="1"/>
  <c r="AO291" i="1" s="1"/>
  <c r="AQ291" i="1" s="1"/>
  <c r="AS291" i="1" s="1"/>
  <c r="AU291" i="1" s="1"/>
  <c r="AW291" i="1" s="1"/>
  <c r="AZ291" i="1" s="1"/>
  <c r="AG384" i="1"/>
  <c r="AI384" i="1" s="1"/>
  <c r="AK384" i="1" s="1"/>
  <c r="AM384" i="1" s="1"/>
  <c r="AO384" i="1" s="1"/>
  <c r="AQ384" i="1" s="1"/>
  <c r="AS384" i="1" s="1"/>
  <c r="AU384" i="1" s="1"/>
  <c r="AW384" i="1" s="1"/>
  <c r="AX258" i="1"/>
  <c r="AY258" i="1" s="1"/>
  <c r="AZ258" i="1" s="1"/>
  <c r="AF278" i="1"/>
  <c r="AG278" i="1" s="1"/>
  <c r="AI278" i="1" s="1"/>
  <c r="AK278" i="1" s="1"/>
  <c r="AM278" i="1" s="1"/>
  <c r="AO278" i="1" s="1"/>
  <c r="AQ278" i="1" s="1"/>
  <c r="AS278" i="1" s="1"/>
  <c r="AU278" i="1" s="1"/>
  <c r="AW278" i="1" s="1"/>
  <c r="AD173" i="1"/>
  <c r="AD365" i="1"/>
  <c r="AE365" i="1" s="1"/>
  <c r="AD82" i="1"/>
  <c r="AE82" i="1"/>
  <c r="AD140" i="1"/>
  <c r="AE140" i="1" s="1"/>
  <c r="AD204" i="1"/>
  <c r="AE204" i="1" s="1"/>
  <c r="AD27" i="1"/>
  <c r="AE27" i="1" s="1"/>
  <c r="AD96" i="1"/>
  <c r="AE96" i="1" s="1"/>
  <c r="AD369" i="1"/>
  <c r="AE369" i="1" s="1"/>
  <c r="AD342" i="1"/>
  <c r="AE342" i="1" s="1"/>
  <c r="AF308" i="1"/>
  <c r="AX308" i="1" s="1"/>
  <c r="AY308" i="1" s="1"/>
  <c r="AF183" i="1"/>
  <c r="AX183" i="1" s="1"/>
  <c r="AY183" i="1" s="1"/>
  <c r="AD34" i="1"/>
  <c r="AE34" i="1" s="1"/>
  <c r="AF63" i="1"/>
  <c r="AX63" i="1" s="1"/>
  <c r="AY63" i="1" s="1"/>
  <c r="AF279" i="1"/>
  <c r="AX279" i="1" s="1"/>
  <c r="AY279" i="1" s="1"/>
  <c r="AD344" i="1"/>
  <c r="AE344" i="1" s="1"/>
  <c r="AD196" i="1"/>
  <c r="AE196" i="1" s="1"/>
  <c r="AD211" i="1"/>
  <c r="AE211" i="1" s="1"/>
  <c r="AF338" i="1"/>
  <c r="AX338" i="1" s="1"/>
  <c r="AY338" i="1" s="1"/>
  <c r="AD233" i="1"/>
  <c r="AE233" i="1" s="1"/>
  <c r="AF195" i="1"/>
  <c r="AX195" i="1" s="1"/>
  <c r="AY195" i="1" s="1"/>
  <c r="AD234" i="1"/>
  <c r="AE234" i="1" s="1"/>
  <c r="AF289" i="1"/>
  <c r="AG289" i="1" s="1"/>
  <c r="AI289" i="1" s="1"/>
  <c r="AK289" i="1" s="1"/>
  <c r="AM289" i="1" s="1"/>
  <c r="AO289" i="1" s="1"/>
  <c r="AQ289" i="1" s="1"/>
  <c r="AS289" i="1" s="1"/>
  <c r="AU289" i="1" s="1"/>
  <c r="AW289" i="1" s="1"/>
  <c r="AD22" i="1"/>
  <c r="AF364" i="1"/>
  <c r="AX364" i="1" s="1"/>
  <c r="AY364" i="1" s="1"/>
  <c r="AF11" i="1"/>
  <c r="AX11" i="1" s="1"/>
  <c r="AY11" i="1" s="1"/>
  <c r="AF386" i="1"/>
  <c r="AX386" i="1" s="1"/>
  <c r="AY386" i="1" s="1"/>
  <c r="AD54" i="1"/>
  <c r="AD231" i="1"/>
  <c r="AE231" i="1" s="1"/>
  <c r="AD133" i="1"/>
  <c r="AE133" i="1" s="1"/>
  <c r="AD97" i="1"/>
  <c r="AE97" i="1" s="1"/>
  <c r="AD71" i="1"/>
  <c r="AD238" i="1"/>
  <c r="AE238" i="1" s="1"/>
  <c r="AF333" i="1"/>
  <c r="AX333" i="1" s="1"/>
  <c r="AY333" i="1" s="1"/>
  <c r="AF137" i="1"/>
  <c r="AG137" i="1" s="1"/>
  <c r="AI137" i="1" s="1"/>
  <c r="AK137" i="1" s="1"/>
  <c r="AM137" i="1" s="1"/>
  <c r="AO137" i="1" s="1"/>
  <c r="AQ137" i="1" s="1"/>
  <c r="AS137" i="1" s="1"/>
  <c r="AU137" i="1" s="1"/>
  <c r="AW137" i="1" s="1"/>
  <c r="AF335" i="1"/>
  <c r="AX335" i="1" s="1"/>
  <c r="AY335" i="1" s="1"/>
  <c r="AG335" i="1"/>
  <c r="AI335" i="1" s="1"/>
  <c r="AK335" i="1" s="1"/>
  <c r="AM335" i="1" s="1"/>
  <c r="AO335" i="1" s="1"/>
  <c r="AQ335" i="1" s="1"/>
  <c r="AS335" i="1" s="1"/>
  <c r="AU335" i="1" s="1"/>
  <c r="AW335" i="1" s="1"/>
  <c r="AD206" i="1"/>
  <c r="AE206" i="1" s="1"/>
  <c r="AD210" i="1"/>
  <c r="AF311" i="1"/>
  <c r="AG311" i="1" s="1"/>
  <c r="AI311" i="1" s="1"/>
  <c r="AK311" i="1" s="1"/>
  <c r="AM311" i="1" s="1"/>
  <c r="AO311" i="1" s="1"/>
  <c r="AQ311" i="1" s="1"/>
  <c r="AS311" i="1" s="1"/>
  <c r="AU311" i="1" s="1"/>
  <c r="AW311" i="1" s="1"/>
  <c r="AD36" i="1"/>
  <c r="AD66" i="1"/>
  <c r="AE66" i="1" s="1"/>
  <c r="AF29" i="1"/>
  <c r="AG29" i="1" s="1"/>
  <c r="AI29" i="1" s="1"/>
  <c r="AK29" i="1" s="1"/>
  <c r="AM29" i="1" s="1"/>
  <c r="AO29" i="1" s="1"/>
  <c r="AQ29" i="1" s="1"/>
  <c r="AS29" i="1" s="1"/>
  <c r="AU29" i="1" s="1"/>
  <c r="AW29" i="1" s="1"/>
  <c r="AD244" i="1"/>
  <c r="AE244" i="1" s="1"/>
  <c r="AD105" i="1"/>
  <c r="AE105" i="1" s="1"/>
  <c r="AD117" i="1"/>
  <c r="AD13" i="1"/>
  <c r="AE13" i="1" s="1"/>
  <c r="AD168" i="1"/>
  <c r="AE168" i="1" s="1"/>
  <c r="AD198" i="1"/>
  <c r="AE198" i="1" s="1"/>
  <c r="AD185" i="1"/>
  <c r="AE185" i="1"/>
  <c r="AD104" i="1"/>
  <c r="AE104" i="1" s="1"/>
  <c r="AD103" i="1"/>
  <c r="AE103" i="1" s="1"/>
  <c r="AF129" i="1"/>
  <c r="AX129" i="1" s="1"/>
  <c r="AY129" i="1" s="1"/>
  <c r="AG129" i="1"/>
  <c r="AI129" i="1" s="1"/>
  <c r="AK129" i="1" s="1"/>
  <c r="AM129" i="1" s="1"/>
  <c r="AO129" i="1" s="1"/>
  <c r="AQ129" i="1" s="1"/>
  <c r="AS129" i="1" s="1"/>
  <c r="AU129" i="1" s="1"/>
  <c r="AW129" i="1" s="1"/>
  <c r="AD232" i="1"/>
  <c r="AF281" i="1"/>
  <c r="AG281" i="1" s="1"/>
  <c r="AI281" i="1" s="1"/>
  <c r="AK281" i="1" s="1"/>
  <c r="AM281" i="1" s="1"/>
  <c r="AO281" i="1" s="1"/>
  <c r="AQ281" i="1" s="1"/>
  <c r="AS281" i="1" s="1"/>
  <c r="AU281" i="1" s="1"/>
  <c r="AW281" i="1" s="1"/>
  <c r="AF382" i="1"/>
  <c r="AG382" i="1" s="1"/>
  <c r="AI382" i="1" s="1"/>
  <c r="AK382" i="1" s="1"/>
  <c r="AM382" i="1" s="1"/>
  <c r="AO382" i="1" s="1"/>
  <c r="AQ382" i="1" s="1"/>
  <c r="AS382" i="1" s="1"/>
  <c r="AU382" i="1" s="1"/>
  <c r="AW382" i="1" s="1"/>
  <c r="AD61" i="1"/>
  <c r="AE61" i="1" s="1"/>
  <c r="AD305" i="1"/>
  <c r="AE305" i="1" s="1"/>
  <c r="AD155" i="1"/>
  <c r="AE155" i="1"/>
  <c r="AF285" i="1"/>
  <c r="AG285" i="1" s="1"/>
  <c r="AI285" i="1" s="1"/>
  <c r="AK285" i="1" s="1"/>
  <c r="AM285" i="1" s="1"/>
  <c r="AO285" i="1" s="1"/>
  <c r="AQ285" i="1" s="1"/>
  <c r="AS285" i="1" s="1"/>
  <c r="AU285" i="1" s="1"/>
  <c r="AW285" i="1" s="1"/>
  <c r="AF227" i="1"/>
  <c r="AX227" i="1" s="1"/>
  <c r="AY227" i="1" s="1"/>
  <c r="AD228" i="1"/>
  <c r="AE228" i="1" s="1"/>
  <c r="AD119" i="1"/>
  <c r="AD78" i="1"/>
  <c r="AE78" i="1" s="1"/>
  <c r="AD80" i="1"/>
  <c r="AE80" i="1" s="1"/>
  <c r="AD172" i="1"/>
  <c r="AD326" i="1"/>
  <c r="AF220" i="1"/>
  <c r="AX220" i="1" s="1"/>
  <c r="AY220" i="1" s="1"/>
  <c r="AD187" i="1"/>
  <c r="AE187" i="1" s="1"/>
  <c r="AD98" i="1"/>
  <c r="AE98" i="1" s="1"/>
  <c r="AF246" i="1"/>
  <c r="AG246" i="1" s="1"/>
  <c r="AI246" i="1" s="1"/>
  <c r="AK246" i="1" s="1"/>
  <c r="AM246" i="1" s="1"/>
  <c r="AO246" i="1" s="1"/>
  <c r="AQ246" i="1" s="1"/>
  <c r="AS246" i="1" s="1"/>
  <c r="AU246" i="1" s="1"/>
  <c r="AW246" i="1" s="1"/>
  <c r="AD150" i="1"/>
  <c r="AE150" i="1" s="1"/>
  <c r="AD53" i="1"/>
  <c r="AE53" i="1"/>
  <c r="AD334" i="1"/>
  <c r="AE334" i="1" s="1"/>
  <c r="AD154" i="1"/>
  <c r="AE154" i="1" s="1"/>
  <c r="AD58" i="1"/>
  <c r="AE58" i="1" s="1"/>
  <c r="AD166" i="1"/>
  <c r="AX166" i="1" s="1"/>
  <c r="AY166" i="1" s="1"/>
  <c r="AE166" i="1"/>
  <c r="AG166" i="1" s="1"/>
  <c r="AI166" i="1" s="1"/>
  <c r="AK166" i="1" s="1"/>
  <c r="AM166" i="1" s="1"/>
  <c r="AO166" i="1" s="1"/>
  <c r="AQ166" i="1" s="1"/>
  <c r="AS166" i="1" s="1"/>
  <c r="AU166" i="1" s="1"/>
  <c r="AW166" i="1" s="1"/>
  <c r="AD277" i="1"/>
  <c r="AE277" i="1" s="1"/>
  <c r="AD175" i="1"/>
  <c r="AE175" i="1" s="1"/>
  <c r="AF325" i="1"/>
  <c r="AG325" i="1" s="1"/>
  <c r="AI325" i="1" s="1"/>
  <c r="AK325" i="1" s="1"/>
  <c r="AM325" i="1" s="1"/>
  <c r="AO325" i="1" s="1"/>
  <c r="AQ325" i="1" s="1"/>
  <c r="AS325" i="1" s="1"/>
  <c r="AU325" i="1" s="1"/>
  <c r="AW325" i="1" s="1"/>
  <c r="AF203" i="1"/>
  <c r="AX203" i="1" s="1"/>
  <c r="AY203" i="1" s="1"/>
  <c r="AB43" i="1"/>
  <c r="AF321" i="1"/>
  <c r="AG321" i="1" s="1"/>
  <c r="AI321" i="1" s="1"/>
  <c r="AK321" i="1" s="1"/>
  <c r="AM321" i="1" s="1"/>
  <c r="AO321" i="1" s="1"/>
  <c r="AQ321" i="1" s="1"/>
  <c r="AS321" i="1" s="1"/>
  <c r="AU321" i="1" s="1"/>
  <c r="AW321" i="1" s="1"/>
  <c r="AB85" i="1"/>
  <c r="AD315" i="1"/>
  <c r="AE315" i="1" s="1"/>
  <c r="AB367" i="1"/>
  <c r="AF322" i="1"/>
  <c r="AX322" i="1" s="1"/>
  <c r="AY322" i="1" s="1"/>
  <c r="AF57" i="1"/>
  <c r="AX57" i="1" s="1"/>
  <c r="AY57" i="1" s="1"/>
  <c r="AG57" i="1"/>
  <c r="AI57" i="1" s="1"/>
  <c r="AK57" i="1" s="1"/>
  <c r="AM57" i="1" s="1"/>
  <c r="AO57" i="1" s="1"/>
  <c r="AQ57" i="1" s="1"/>
  <c r="AS57" i="1" s="1"/>
  <c r="AU57" i="1" s="1"/>
  <c r="AW57" i="1" s="1"/>
  <c r="AD181" i="1"/>
  <c r="AD35" i="1"/>
  <c r="AE35" i="1" s="1"/>
  <c r="AC68" i="1"/>
  <c r="AF152" i="1"/>
  <c r="AX152" i="1" s="1"/>
  <c r="AY152" i="1" s="1"/>
  <c r="AC208" i="1"/>
  <c r="AF388" i="1"/>
  <c r="AX388" i="1" s="1"/>
  <c r="AY388" i="1" s="1"/>
  <c r="AC352" i="1"/>
  <c r="AD99" i="1"/>
  <c r="AE99" i="1" s="1"/>
  <c r="AD314" i="1"/>
  <c r="AC207" i="1"/>
  <c r="AE272" i="1"/>
  <c r="AC46" i="1"/>
  <c r="AB25" i="1"/>
  <c r="AC25" i="1" s="1"/>
  <c r="AD251" i="1"/>
  <c r="AE251" i="1" s="1"/>
  <c r="AD262" i="1"/>
  <c r="AE262" i="1" s="1"/>
  <c r="AB115" i="1"/>
  <c r="AC115" i="1" s="1"/>
  <c r="AD295" i="1"/>
  <c r="AE295" i="1" s="1"/>
  <c r="AD94" i="1"/>
  <c r="AE94" i="1" s="1"/>
  <c r="AF304" i="1"/>
  <c r="AG304" i="1" s="1"/>
  <c r="AI304" i="1" s="1"/>
  <c r="AK304" i="1" s="1"/>
  <c r="AM304" i="1" s="1"/>
  <c r="AO304" i="1" s="1"/>
  <c r="AQ304" i="1" s="1"/>
  <c r="AS304" i="1" s="1"/>
  <c r="AU304" i="1" s="1"/>
  <c r="AW304" i="1" s="1"/>
  <c r="AD123" i="1"/>
  <c r="AE123" i="1" s="1"/>
  <c r="AC141" i="1"/>
  <c r="AC341" i="1"/>
  <c r="AB134" i="1"/>
  <c r="AC134" i="1" s="1"/>
  <c r="AF372" i="1"/>
  <c r="AX372" i="1" s="1"/>
  <c r="AY372" i="1" s="1"/>
  <c r="AD245" i="1"/>
  <c r="AE245" i="1" s="1"/>
  <c r="AD180" i="1"/>
  <c r="AB112" i="1"/>
  <c r="AC112" i="1"/>
  <c r="AD212" i="1"/>
  <c r="AE212" i="1" s="1"/>
  <c r="AD275" i="1"/>
  <c r="AB84" i="1"/>
  <c r="AC84" i="1" s="1"/>
  <c r="AB126" i="1"/>
  <c r="AD209" i="1"/>
  <c r="AE209" i="1" s="1"/>
  <c r="AZ254" i="1"/>
  <c r="AB366" i="1"/>
  <c r="AC366" i="1" s="1"/>
  <c r="AE354" i="1"/>
  <c r="AC114" i="1"/>
  <c r="AD102" i="1"/>
  <c r="AD339" i="1"/>
  <c r="AE339" i="1" s="1"/>
  <c r="AD39" i="1"/>
  <c r="AE39" i="1" s="1"/>
  <c r="AF383" i="1"/>
  <c r="AX383" i="1" s="1"/>
  <c r="AY383" i="1" s="1"/>
  <c r="AB121" i="1"/>
  <c r="AC121" i="1" s="1"/>
  <c r="AF273" i="1"/>
  <c r="AG273" i="1" s="1"/>
  <c r="AI273" i="1" s="1"/>
  <c r="AK273" i="1" s="1"/>
  <c r="AM273" i="1" s="1"/>
  <c r="AO273" i="1" s="1"/>
  <c r="AQ273" i="1" s="1"/>
  <c r="AS273" i="1" s="1"/>
  <c r="AU273" i="1" s="1"/>
  <c r="AW273" i="1" s="1"/>
  <c r="AD237" i="1"/>
  <c r="AE237" i="1" s="1"/>
  <c r="AD225" i="1"/>
  <c r="AE225" i="1" s="1"/>
  <c r="AC76" i="1"/>
  <c r="AD65" i="1"/>
  <c r="AE65" i="1" s="1"/>
  <c r="AC56" i="1"/>
  <c r="AB176" i="1"/>
  <c r="AC176" i="1"/>
  <c r="AC241" i="1"/>
  <c r="AB359" i="1"/>
  <c r="AC359" i="1" s="1"/>
  <c r="AE362" i="1"/>
  <c r="AD274" i="1"/>
  <c r="AE274" i="1" s="1"/>
  <c r="AG313" i="1"/>
  <c r="AI313" i="1" s="1"/>
  <c r="AK313" i="1" s="1"/>
  <c r="AM313" i="1" s="1"/>
  <c r="AO313" i="1" s="1"/>
  <c r="AQ313" i="1" s="1"/>
  <c r="AS313" i="1" s="1"/>
  <c r="AU313" i="1" s="1"/>
  <c r="AW313" i="1" s="1"/>
  <c r="AZ313" i="1" s="1"/>
  <c r="AC299" i="1"/>
  <c r="AC87" i="1"/>
  <c r="AB19" i="1"/>
  <c r="AC19" i="1" s="1"/>
  <c r="AC296" i="1"/>
  <c r="AD205" i="1"/>
  <c r="AD135" i="1"/>
  <c r="AE135" i="1" s="1"/>
  <c r="AD70" i="1"/>
  <c r="AE70" i="1"/>
  <c r="AC92" i="1"/>
  <c r="AZ223" i="1"/>
  <c r="AF346" i="1"/>
  <c r="AX346" i="1" s="1"/>
  <c r="AY346" i="1" s="1"/>
  <c r="AD199" i="1"/>
  <c r="AF373" i="1"/>
  <c r="AX373" i="1" s="1"/>
  <c r="AY373" i="1" s="1"/>
  <c r="AD37" i="1"/>
  <c r="AB91" i="1"/>
  <c r="AC91" i="1" s="1"/>
  <c r="AC377" i="1"/>
  <c r="AC93" i="1"/>
  <c r="AC306" i="1"/>
  <c r="AC360" i="1"/>
  <c r="AD215" i="1"/>
  <c r="AE215" i="1" s="1"/>
  <c r="AB186" i="1"/>
  <c r="AC186" i="1" s="1"/>
  <c r="AC32" i="1"/>
  <c r="AD191" i="1"/>
  <c r="AD235" i="1"/>
  <c r="AE235" i="1" s="1"/>
  <c r="AF381" i="1"/>
  <c r="AX381" i="1" s="1"/>
  <c r="AY381" i="1" s="1"/>
  <c r="AD88" i="1"/>
  <c r="AF250" i="1"/>
  <c r="AX250" i="1" s="1"/>
  <c r="AY250" i="1" s="1"/>
  <c r="AG250" i="1"/>
  <c r="AI250" i="1" s="1"/>
  <c r="AK250" i="1" s="1"/>
  <c r="AM250" i="1" s="1"/>
  <c r="AO250" i="1" s="1"/>
  <c r="AQ250" i="1" s="1"/>
  <c r="AS250" i="1" s="1"/>
  <c r="AU250" i="1" s="1"/>
  <c r="AW250" i="1" s="1"/>
  <c r="AC294" i="1"/>
  <c r="AD356" i="1"/>
  <c r="AE356" i="1" s="1"/>
  <c r="AD347" i="1"/>
  <c r="AE347" i="1" s="1"/>
  <c r="AD269" i="1"/>
  <c r="AE269" i="1" s="1"/>
  <c r="AE307" i="1"/>
  <c r="AC255" i="1"/>
  <c r="AC178" i="1"/>
  <c r="AC358" i="1"/>
  <c r="AE12" i="1"/>
  <c r="AD190" i="1"/>
  <c r="AE190" i="1" s="1"/>
  <c r="AD149" i="1"/>
  <c r="AE149" i="1" s="1"/>
  <c r="AC107" i="1"/>
  <c r="AC375" i="1"/>
  <c r="AD329" i="1"/>
  <c r="AE329" i="1" s="1"/>
  <c r="AD69" i="1"/>
  <c r="AE69" i="1"/>
  <c r="AF328" i="1"/>
  <c r="AX328" i="1" s="1"/>
  <c r="AY328" i="1" s="1"/>
  <c r="AD75" i="1"/>
  <c r="AD189" i="1"/>
  <c r="AE189" i="1" s="1"/>
  <c r="AD120" i="1"/>
  <c r="AE120" i="1" s="1"/>
  <c r="AD49" i="1"/>
  <c r="AE49" i="1" s="1"/>
  <c r="AX192" i="1"/>
  <c r="AY192" i="1" s="1"/>
  <c r="AE10" i="1"/>
  <c r="AD201" i="1"/>
  <c r="AE201" i="1" s="1"/>
  <c r="AD130" i="1"/>
  <c r="AE130" i="1"/>
  <c r="AD48" i="1"/>
  <c r="AE48" i="1" s="1"/>
  <c r="AE261" i="1"/>
  <c r="AC194" i="1"/>
  <c r="AC164" i="1"/>
  <c r="AD38" i="1"/>
  <c r="AE38" i="1" s="1"/>
  <c r="AF378" i="1"/>
  <c r="AG378" i="1" s="1"/>
  <c r="AI378" i="1" s="1"/>
  <c r="AK378" i="1" s="1"/>
  <c r="AM378" i="1" s="1"/>
  <c r="AO378" i="1" s="1"/>
  <c r="AQ378" i="1" s="1"/>
  <c r="AS378" i="1" s="1"/>
  <c r="AU378" i="1" s="1"/>
  <c r="AW378" i="1" s="1"/>
  <c r="AD17" i="1"/>
  <c r="AX17" i="1" s="1"/>
  <c r="AY17" i="1" s="1"/>
  <c r="AC109" i="1"/>
  <c r="AD165" i="1"/>
  <c r="AE165" i="1" s="1"/>
  <c r="AG165" i="1" s="1"/>
  <c r="AI165" i="1" s="1"/>
  <c r="AK165" i="1" s="1"/>
  <c r="AM165" i="1" s="1"/>
  <c r="AO165" i="1" s="1"/>
  <c r="AQ165" i="1" s="1"/>
  <c r="AS165" i="1" s="1"/>
  <c r="AU165" i="1" s="1"/>
  <c r="AW165" i="1" s="1"/>
  <c r="AF374" i="1"/>
  <c r="AG374" i="1" s="1"/>
  <c r="AI374" i="1" s="1"/>
  <c r="AK374" i="1" s="1"/>
  <c r="AM374" i="1" s="1"/>
  <c r="AO374" i="1" s="1"/>
  <c r="AQ374" i="1" s="1"/>
  <c r="AS374" i="1" s="1"/>
  <c r="AU374" i="1" s="1"/>
  <c r="AW374" i="1" s="1"/>
  <c r="AF317" i="1"/>
  <c r="AX317" i="1" s="1"/>
  <c r="AY317" i="1" s="1"/>
  <c r="AD323" i="1"/>
  <c r="AE323" i="1" s="1"/>
  <c r="AD159" i="1"/>
  <c r="AE159" i="1" s="1"/>
  <c r="AC128" i="1"/>
  <c r="AC324" i="1"/>
  <c r="AB216" i="1"/>
  <c r="AC216" i="1" s="1"/>
  <c r="AD284" i="1"/>
  <c r="AC184" i="1"/>
  <c r="AB170" i="1"/>
  <c r="AB89" i="1"/>
  <c r="AC89" i="1" s="1"/>
  <c r="AF379" i="1"/>
  <c r="AX379" i="1" s="1"/>
  <c r="AY379" i="1" s="1"/>
  <c r="AC163" i="1"/>
  <c r="AD242" i="1"/>
  <c r="AE242" i="1" s="1"/>
  <c r="AG376" i="1"/>
  <c r="AI376" i="1" s="1"/>
  <c r="AK376" i="1" s="1"/>
  <c r="AM376" i="1" s="1"/>
  <c r="AO376" i="1" s="1"/>
  <c r="AQ376" i="1" s="1"/>
  <c r="AS376" i="1" s="1"/>
  <c r="AU376" i="1" s="1"/>
  <c r="AW376" i="1" s="1"/>
  <c r="AZ376" i="1" s="1"/>
  <c r="AC108" i="1"/>
  <c r="AZ384" i="1"/>
  <c r="AC247" i="1"/>
  <c r="AC81" i="1"/>
  <c r="AB77" i="1"/>
  <c r="AD300" i="1"/>
  <c r="AE300" i="1" s="1"/>
  <c r="AB127" i="1"/>
  <c r="AC127" i="1" s="1"/>
  <c r="AD286" i="1"/>
  <c r="AE286" i="1" s="1"/>
  <c r="AD303" i="1"/>
  <c r="AE303" i="1"/>
  <c r="AD51" i="1"/>
  <c r="AC283" i="1"/>
  <c r="AC86" i="1"/>
  <c r="AD26" i="1"/>
  <c r="AE26" i="1" s="1"/>
  <c r="AC28" i="1"/>
  <c r="AB188" i="1"/>
  <c r="AC188" i="1" s="1"/>
  <c r="AC136" i="1"/>
  <c r="AF318" i="1"/>
  <c r="AX318" i="1" s="1"/>
  <c r="AY318" i="1" s="1"/>
  <c r="AC348" i="1"/>
  <c r="AC259" i="1"/>
  <c r="AD288" i="1"/>
  <c r="AE288" i="1" s="1"/>
  <c r="AD353" i="1"/>
  <c r="AE353" i="1" s="1"/>
  <c r="AG229" i="1"/>
  <c r="AI229" i="1" s="1"/>
  <c r="AK229" i="1" s="1"/>
  <c r="AM229" i="1" s="1"/>
  <c r="AO229" i="1" s="1"/>
  <c r="AQ229" i="1" s="1"/>
  <c r="AS229" i="1" s="1"/>
  <c r="AU229" i="1" s="1"/>
  <c r="AW229" i="1" s="1"/>
  <c r="AZ229" i="1" s="1"/>
  <c r="AD276" i="1"/>
  <c r="AE276" i="1" s="1"/>
  <c r="AD144" i="1"/>
  <c r="AE144" i="1" s="1"/>
  <c r="AF192" i="1"/>
  <c r="AG192" i="1" s="1"/>
  <c r="AI192" i="1" s="1"/>
  <c r="AK192" i="1" s="1"/>
  <c r="AM192" i="1" s="1"/>
  <c r="AO192" i="1" s="1"/>
  <c r="AQ192" i="1" s="1"/>
  <c r="AS192" i="1" s="1"/>
  <c r="AU192" i="1" s="1"/>
  <c r="AW192" i="1" s="1"/>
  <c r="AD177" i="1"/>
  <c r="AE177" i="1" s="1"/>
  <c r="AB74" i="1"/>
  <c r="AC74" i="1" s="1"/>
  <c r="AB59" i="1"/>
  <c r="AC59" i="1" s="1"/>
  <c r="AD169" i="1"/>
  <c r="AE169" i="1" s="1"/>
  <c r="AD47" i="1"/>
  <c r="AE47" i="1" s="1"/>
  <c r="AD340" i="1"/>
  <c r="AD174" i="1"/>
  <c r="AE174" i="1" s="1"/>
  <c r="AD60" i="1"/>
  <c r="AE60" i="1" s="1"/>
  <c r="AB16" i="1"/>
  <c r="AC16" i="1" s="1"/>
  <c r="AF217" i="1"/>
  <c r="AX217" i="1" s="1"/>
  <c r="AY217" i="1" s="1"/>
  <c r="AD214" i="1"/>
  <c r="AE214" i="1" s="1"/>
  <c r="AD31" i="1"/>
  <c r="AE31" i="1"/>
  <c r="AF230" i="1"/>
  <c r="AG230" i="1" s="1"/>
  <c r="AI230" i="1" s="1"/>
  <c r="AK230" i="1" s="1"/>
  <c r="AM230" i="1" s="1"/>
  <c r="AO230" i="1" s="1"/>
  <c r="AQ230" i="1" s="1"/>
  <c r="AS230" i="1" s="1"/>
  <c r="AU230" i="1" s="1"/>
  <c r="AW230" i="1" s="1"/>
  <c r="AD45" i="1"/>
  <c r="AE45" i="1" s="1"/>
  <c r="AD260" i="1"/>
  <c r="AF265" i="1"/>
  <c r="AG265" i="1" s="1"/>
  <c r="AI265" i="1" s="1"/>
  <c r="AK265" i="1" s="1"/>
  <c r="AM265" i="1" s="1"/>
  <c r="AO265" i="1" s="1"/>
  <c r="AQ265" i="1" s="1"/>
  <c r="AS265" i="1" s="1"/>
  <c r="AU265" i="1" s="1"/>
  <c r="AW265" i="1" s="1"/>
  <c r="AC139" i="1"/>
  <c r="AC151" i="1"/>
  <c r="AE387" i="1"/>
  <c r="AB219" i="1"/>
  <c r="AD158" i="1"/>
  <c r="AE158" i="1" s="1"/>
  <c r="AZ389" i="1"/>
  <c r="AD95" i="1"/>
  <c r="AC148" i="1"/>
  <c r="AC222" i="1"/>
  <c r="AC21" i="1"/>
  <c r="AD6" i="1"/>
  <c r="AE6" i="1" s="1"/>
  <c r="AC116" i="1"/>
  <c r="AD331" i="1"/>
  <c r="AC143" i="1"/>
  <c r="AD67" i="1"/>
  <c r="AE67" i="1" s="1"/>
  <c r="AB363" i="1"/>
  <c r="AD218" i="1"/>
  <c r="AC64" i="1"/>
  <c r="AD9" i="1"/>
  <c r="AE9" i="1" s="1"/>
  <c r="AD290" i="1"/>
  <c r="AE290" i="1"/>
  <c r="AB118" i="1"/>
  <c r="AB90" i="1"/>
  <c r="AC90" i="1"/>
  <c r="AC253" i="1"/>
  <c r="AD316" i="1"/>
  <c r="AD197" i="1"/>
  <c r="AD179" i="1"/>
  <c r="AE179" i="1" s="1"/>
  <c r="AD213" i="1"/>
  <c r="AD355" i="1"/>
  <c r="AE355" i="1" s="1"/>
  <c r="AD224" i="1"/>
  <c r="AE224" i="1" s="1"/>
  <c r="AF243" i="1"/>
  <c r="AX243" i="1" s="1"/>
  <c r="AY243" i="1" s="1"/>
  <c r="AC320" i="1"/>
  <c r="AC267" i="1"/>
  <c r="AD157" i="1"/>
  <c r="AE157" i="1" s="1"/>
  <c r="AC357" i="1"/>
  <c r="AC113" i="1"/>
  <c r="AF293" i="1"/>
  <c r="AX293" i="1" s="1"/>
  <c r="AY293" i="1" s="1"/>
  <c r="AD23" i="1"/>
  <c r="AE23" i="1" s="1"/>
  <c r="AC40" i="1"/>
  <c r="AF160" i="1"/>
  <c r="AX160" i="1" s="1"/>
  <c r="AY160" i="1" s="1"/>
  <c r="AC55" i="1"/>
  <c r="AB193" i="1"/>
  <c r="AC368" i="1"/>
  <c r="AD122" i="1"/>
  <c r="AC345" i="1"/>
  <c r="AD252" i="1"/>
  <c r="AE252" i="1" s="1"/>
  <c r="AC110" i="1"/>
  <c r="AD153" i="1"/>
  <c r="AC319" i="1"/>
  <c r="AD302" i="1"/>
  <c r="AE302" i="1" s="1"/>
  <c r="AC15" i="1"/>
  <c r="AC100" i="1"/>
  <c r="AB101" i="1"/>
  <c r="AC101" i="1" s="1"/>
  <c r="AC343" i="1"/>
  <c r="AD33" i="1"/>
  <c r="AD330" i="1"/>
  <c r="AE330" i="1" s="1"/>
  <c r="AC292" i="1"/>
  <c r="AD200" i="1"/>
  <c r="AE200" i="1" s="1"/>
  <c r="AD371" i="1"/>
  <c r="AB182" i="1"/>
  <c r="AC182" i="1" s="1"/>
  <c r="AA455" i="1"/>
  <c r="AA457" i="1" s="1"/>
  <c r="AD83" i="1"/>
  <c r="AC8" i="1"/>
  <c r="AF256" i="1"/>
  <c r="AG256" i="1" s="1"/>
  <c r="AI256" i="1" s="1"/>
  <c r="AK256" i="1" s="1"/>
  <c r="AM256" i="1" s="1"/>
  <c r="AO256" i="1" s="1"/>
  <c r="AQ256" i="1" s="1"/>
  <c r="AS256" i="1" s="1"/>
  <c r="AU256" i="1" s="1"/>
  <c r="AW256" i="1" s="1"/>
  <c r="AB20" i="1"/>
  <c r="AC20" i="1" s="1"/>
  <c r="AC79" i="1"/>
  <c r="AD124" i="1"/>
  <c r="AE124" i="1" s="1"/>
  <c r="AD167" i="1"/>
  <c r="AE167" i="1" s="1"/>
  <c r="AC18" i="1"/>
  <c r="AD162" i="1"/>
  <c r="AE162" i="1" s="1"/>
  <c r="AB30" i="1"/>
  <c r="AD138" i="1"/>
  <c r="AE138" i="1" s="1"/>
  <c r="AC236" i="1"/>
  <c r="AX257" i="1"/>
  <c r="AY257" i="1" s="1"/>
  <c r="AZ257" i="1" s="1"/>
  <c r="AE270" i="1"/>
  <c r="AB361" i="1"/>
  <c r="AD266" i="1"/>
  <c r="AE266" i="1" s="1"/>
  <c r="AD52" i="1"/>
  <c r="AE52" i="1" s="1"/>
  <c r="AE327" i="1"/>
  <c r="AD50" i="1"/>
  <c r="AE50" i="1" s="1"/>
  <c r="AB125" i="1"/>
  <c r="AC332" i="1"/>
  <c r="AD147" i="1"/>
  <c r="AD41" i="1"/>
  <c r="AC282" i="1"/>
  <c r="AF249" i="1"/>
  <c r="AG249" i="1" s="1"/>
  <c r="AI249" i="1" s="1"/>
  <c r="AK249" i="1" s="1"/>
  <c r="AM249" i="1" s="1"/>
  <c r="AO249" i="1" s="1"/>
  <c r="AQ249" i="1" s="1"/>
  <c r="AS249" i="1" s="1"/>
  <c r="AU249" i="1" s="1"/>
  <c r="AW249" i="1" s="1"/>
  <c r="AD171" i="1"/>
  <c r="AD248" i="1"/>
  <c r="AB44" i="1"/>
  <c r="AC73" i="1"/>
  <c r="AB62" i="1"/>
  <c r="AC131" i="1"/>
  <c r="AD351" i="1"/>
  <c r="AC161" i="1"/>
  <c r="AB42" i="1"/>
  <c r="AC42" i="1" s="1"/>
  <c r="AD349" i="1"/>
  <c r="AE349" i="1" s="1"/>
  <c r="AD312" i="1"/>
  <c r="AE312" i="1" s="1"/>
  <c r="AB72" i="1"/>
  <c r="AC14" i="1"/>
  <c r="AD156" i="1"/>
  <c r="AE156" i="1" s="1"/>
  <c r="AD111" i="1"/>
  <c r="AE111" i="1"/>
  <c r="AB106" i="1"/>
  <c r="AC106" i="1" s="1"/>
  <c r="AC142" i="1"/>
  <c r="AF146" i="1"/>
  <c r="AX146" i="1" s="1"/>
  <c r="AY146" i="1" s="1"/>
  <c r="AG146" i="1"/>
  <c r="AI146" i="1" s="1"/>
  <c r="AK146" i="1" s="1"/>
  <c r="AM146" i="1" s="1"/>
  <c r="AO146" i="1" s="1"/>
  <c r="AQ146" i="1" s="1"/>
  <c r="AS146" i="1" s="1"/>
  <c r="AU146" i="1" s="1"/>
  <c r="AW146" i="1" s="1"/>
  <c r="AF350" i="1"/>
  <c r="AX350" i="1" s="1"/>
  <c r="AY350" i="1" s="1"/>
  <c r="AB287" i="1"/>
  <c r="AB202" i="1"/>
  <c r="AC202" i="1" s="1"/>
  <c r="AF380" i="1"/>
  <c r="AX380" i="1" s="1"/>
  <c r="AY380" i="1" s="1"/>
  <c r="AD145" i="1"/>
  <c r="AD336" i="1"/>
  <c r="AE336" i="1" s="1"/>
  <c r="AC337" i="1"/>
  <c r="AC264" i="1"/>
  <c r="AC24" i="1"/>
  <c r="AC280" i="1"/>
  <c r="AF370" i="1"/>
  <c r="AX370" i="1" s="1"/>
  <c r="AY370" i="1" s="1"/>
  <c r="AB132" i="1"/>
  <c r="AC310" i="1"/>
  <c r="AC240" i="1"/>
  <c r="AE297" i="1"/>
  <c r="AC298" i="1"/>
  <c r="AE309" i="1"/>
  <c r="AG388" i="1" l="1"/>
  <c r="AI388" i="1" s="1"/>
  <c r="AK388" i="1" s="1"/>
  <c r="AM388" i="1" s="1"/>
  <c r="AO388" i="1" s="1"/>
  <c r="AQ388" i="1" s="1"/>
  <c r="AS388" i="1" s="1"/>
  <c r="AU388" i="1" s="1"/>
  <c r="AW388" i="1" s="1"/>
  <c r="AZ388" i="1" s="1"/>
  <c r="AG243" i="1"/>
  <c r="AI243" i="1" s="1"/>
  <c r="AK243" i="1" s="1"/>
  <c r="AM243" i="1" s="1"/>
  <c r="AO243" i="1" s="1"/>
  <c r="AQ243" i="1" s="1"/>
  <c r="AS243" i="1" s="1"/>
  <c r="AU243" i="1" s="1"/>
  <c r="AW243" i="1" s="1"/>
  <c r="AX311" i="1"/>
  <c r="AY311" i="1" s="1"/>
  <c r="AZ311" i="1" s="1"/>
  <c r="AX325" i="1"/>
  <c r="AY325" i="1" s="1"/>
  <c r="AX278" i="1"/>
  <c r="AY278" i="1" s="1"/>
  <c r="AZ278" i="1" s="1"/>
  <c r="AG183" i="1"/>
  <c r="AI183" i="1" s="1"/>
  <c r="AK183" i="1" s="1"/>
  <c r="AM183" i="1" s="1"/>
  <c r="AO183" i="1" s="1"/>
  <c r="AQ183" i="1" s="1"/>
  <c r="AS183" i="1" s="1"/>
  <c r="AU183" i="1" s="1"/>
  <c r="AW183" i="1" s="1"/>
  <c r="AG333" i="1"/>
  <c r="AI333" i="1" s="1"/>
  <c r="AK333" i="1" s="1"/>
  <c r="AM333" i="1" s="1"/>
  <c r="AO333" i="1" s="1"/>
  <c r="AQ333" i="1" s="1"/>
  <c r="AS333" i="1" s="1"/>
  <c r="AU333" i="1" s="1"/>
  <c r="AW333" i="1" s="1"/>
  <c r="AG346" i="1"/>
  <c r="AI346" i="1" s="1"/>
  <c r="AK346" i="1" s="1"/>
  <c r="AM346" i="1" s="1"/>
  <c r="AO346" i="1" s="1"/>
  <c r="AQ346" i="1" s="1"/>
  <c r="AS346" i="1" s="1"/>
  <c r="AU346" i="1" s="1"/>
  <c r="AW346" i="1" s="1"/>
  <c r="AZ346" i="1" s="1"/>
  <c r="AX265" i="1"/>
  <c r="AY265" i="1" s="1"/>
  <c r="AG217" i="1"/>
  <c r="AI217" i="1" s="1"/>
  <c r="AK217" i="1" s="1"/>
  <c r="AM217" i="1" s="1"/>
  <c r="AO217" i="1" s="1"/>
  <c r="AQ217" i="1" s="1"/>
  <c r="AS217" i="1" s="1"/>
  <c r="AU217" i="1" s="1"/>
  <c r="AW217" i="1" s="1"/>
  <c r="AZ217" i="1" s="1"/>
  <c r="AX273" i="1"/>
  <c r="AY273" i="1" s="1"/>
  <c r="AZ273" i="1" s="1"/>
  <c r="AG160" i="1"/>
  <c r="AI160" i="1" s="1"/>
  <c r="AK160" i="1" s="1"/>
  <c r="AM160" i="1" s="1"/>
  <c r="AO160" i="1" s="1"/>
  <c r="AQ160" i="1" s="1"/>
  <c r="AS160" i="1" s="1"/>
  <c r="AU160" i="1" s="1"/>
  <c r="AW160" i="1" s="1"/>
  <c r="AZ160" i="1" s="1"/>
  <c r="AG152" i="1"/>
  <c r="AI152" i="1" s="1"/>
  <c r="AK152" i="1" s="1"/>
  <c r="AM152" i="1" s="1"/>
  <c r="AO152" i="1" s="1"/>
  <c r="AQ152" i="1" s="1"/>
  <c r="AS152" i="1" s="1"/>
  <c r="AU152" i="1" s="1"/>
  <c r="AW152" i="1" s="1"/>
  <c r="AG301" i="1"/>
  <c r="AI301" i="1" s="1"/>
  <c r="AK301" i="1" s="1"/>
  <c r="AM301" i="1" s="1"/>
  <c r="AO301" i="1" s="1"/>
  <c r="AQ301" i="1" s="1"/>
  <c r="AS301" i="1" s="1"/>
  <c r="AU301" i="1" s="1"/>
  <c r="AW301" i="1" s="1"/>
  <c r="AG263" i="1"/>
  <c r="AI263" i="1" s="1"/>
  <c r="AK263" i="1" s="1"/>
  <c r="AM263" i="1" s="1"/>
  <c r="AO263" i="1" s="1"/>
  <c r="AQ263" i="1" s="1"/>
  <c r="AS263" i="1" s="1"/>
  <c r="AU263" i="1" s="1"/>
  <c r="AW263" i="1" s="1"/>
  <c r="AZ263" i="1" s="1"/>
  <c r="AX165" i="1"/>
  <c r="AY165" i="1" s="1"/>
  <c r="AZ165" i="1" s="1"/>
  <c r="AX378" i="1"/>
  <c r="AY378" i="1" s="1"/>
  <c r="AZ378" i="1" s="1"/>
  <c r="AG379" i="1"/>
  <c r="AI379" i="1" s="1"/>
  <c r="AK379" i="1" s="1"/>
  <c r="AM379" i="1" s="1"/>
  <c r="AO379" i="1" s="1"/>
  <c r="AQ379" i="1" s="1"/>
  <c r="AS379" i="1" s="1"/>
  <c r="AU379" i="1" s="1"/>
  <c r="AW379" i="1" s="1"/>
  <c r="AZ379" i="1" s="1"/>
  <c r="AZ57" i="1"/>
  <c r="AZ183" i="1"/>
  <c r="AG381" i="1"/>
  <c r="AI381" i="1" s="1"/>
  <c r="AK381" i="1" s="1"/>
  <c r="AM381" i="1" s="1"/>
  <c r="AO381" i="1" s="1"/>
  <c r="AQ381" i="1" s="1"/>
  <c r="AS381" i="1" s="1"/>
  <c r="AU381" i="1" s="1"/>
  <c r="AW381" i="1" s="1"/>
  <c r="AZ381" i="1" s="1"/>
  <c r="AZ301" i="1"/>
  <c r="AZ335" i="1"/>
  <c r="AX29" i="1"/>
  <c r="AY29" i="1" s="1"/>
  <c r="AZ29" i="1" s="1"/>
  <c r="AX249" i="1"/>
  <c r="AY249" i="1" s="1"/>
  <c r="AZ249" i="1" s="1"/>
  <c r="AX374" i="1"/>
  <c r="AY374" i="1" s="1"/>
  <c r="AZ374" i="1" s="1"/>
  <c r="AG239" i="1"/>
  <c r="AI239" i="1" s="1"/>
  <c r="AK239" i="1" s="1"/>
  <c r="AM239" i="1" s="1"/>
  <c r="AO239" i="1" s="1"/>
  <c r="AQ239" i="1" s="1"/>
  <c r="AS239" i="1" s="1"/>
  <c r="AU239" i="1" s="1"/>
  <c r="AW239" i="1" s="1"/>
  <c r="AZ239" i="1" s="1"/>
  <c r="AZ166" i="1"/>
  <c r="AG372" i="1"/>
  <c r="AI372" i="1" s="1"/>
  <c r="AK372" i="1" s="1"/>
  <c r="AM372" i="1" s="1"/>
  <c r="AO372" i="1" s="1"/>
  <c r="AQ372" i="1" s="1"/>
  <c r="AS372" i="1" s="1"/>
  <c r="AU372" i="1" s="1"/>
  <c r="AW372" i="1" s="1"/>
  <c r="AZ372" i="1" s="1"/>
  <c r="AX382" i="1"/>
  <c r="AY382" i="1" s="1"/>
  <c r="AZ382" i="1" s="1"/>
  <c r="AZ250" i="1"/>
  <c r="AX281" i="1"/>
  <c r="AY281" i="1" s="1"/>
  <c r="AZ281" i="1" s="1"/>
  <c r="AZ192" i="1"/>
  <c r="AG63" i="1"/>
  <c r="AI63" i="1" s="1"/>
  <c r="AK63" i="1" s="1"/>
  <c r="AM63" i="1" s="1"/>
  <c r="AO63" i="1" s="1"/>
  <c r="AQ63" i="1" s="1"/>
  <c r="AS63" i="1" s="1"/>
  <c r="AU63" i="1" s="1"/>
  <c r="AW63" i="1" s="1"/>
  <c r="AZ63" i="1" s="1"/>
  <c r="AG380" i="1"/>
  <c r="AI380" i="1" s="1"/>
  <c r="AK380" i="1" s="1"/>
  <c r="AM380" i="1" s="1"/>
  <c r="AO380" i="1" s="1"/>
  <c r="AQ380" i="1" s="1"/>
  <c r="AS380" i="1" s="1"/>
  <c r="AU380" i="1" s="1"/>
  <c r="AW380" i="1" s="1"/>
  <c r="AZ380" i="1" s="1"/>
  <c r="AB455" i="1"/>
  <c r="AB457" i="1" s="1"/>
  <c r="AX289" i="1"/>
  <c r="AY289" i="1" s="1"/>
  <c r="AZ289" i="1" s="1"/>
  <c r="AG373" i="1"/>
  <c r="AI373" i="1" s="1"/>
  <c r="AK373" i="1" s="1"/>
  <c r="AM373" i="1" s="1"/>
  <c r="AO373" i="1" s="1"/>
  <c r="AQ373" i="1" s="1"/>
  <c r="AS373" i="1" s="1"/>
  <c r="AU373" i="1" s="1"/>
  <c r="AW373" i="1" s="1"/>
  <c r="AZ373" i="1" s="1"/>
  <c r="AG383" i="1"/>
  <c r="AI383" i="1" s="1"/>
  <c r="AK383" i="1" s="1"/>
  <c r="AM383" i="1" s="1"/>
  <c r="AO383" i="1" s="1"/>
  <c r="AQ383" i="1" s="1"/>
  <c r="AS383" i="1" s="1"/>
  <c r="AU383" i="1" s="1"/>
  <c r="AW383" i="1" s="1"/>
  <c r="AZ383" i="1" s="1"/>
  <c r="AE17" i="1"/>
  <c r="AG17" i="1" s="1"/>
  <c r="AI17" i="1" s="1"/>
  <c r="AK17" i="1" s="1"/>
  <c r="AM17" i="1" s="1"/>
  <c r="AO17" i="1" s="1"/>
  <c r="AQ17" i="1" s="1"/>
  <c r="AS17" i="1" s="1"/>
  <c r="AU17" i="1" s="1"/>
  <c r="AW17" i="1" s="1"/>
  <c r="AZ17" i="1" s="1"/>
  <c r="AZ325" i="1"/>
  <c r="AZ152" i="1"/>
  <c r="AX246" i="1"/>
  <c r="AY246" i="1" s="1"/>
  <c r="AZ246" i="1" s="1"/>
  <c r="AG11" i="1"/>
  <c r="AI11" i="1" s="1"/>
  <c r="AK11" i="1" s="1"/>
  <c r="AM11" i="1" s="1"/>
  <c r="AO11" i="1" s="1"/>
  <c r="AQ11" i="1" s="1"/>
  <c r="AS11" i="1" s="1"/>
  <c r="AU11" i="1" s="1"/>
  <c r="AW11" i="1" s="1"/>
  <c r="AZ11" i="1" s="1"/>
  <c r="AF225" i="1"/>
  <c r="AG225" i="1" s="1"/>
  <c r="AI225" i="1" s="1"/>
  <c r="AK225" i="1" s="1"/>
  <c r="AM225" i="1" s="1"/>
  <c r="AO225" i="1" s="1"/>
  <c r="AQ225" i="1" s="1"/>
  <c r="AS225" i="1" s="1"/>
  <c r="AU225" i="1" s="1"/>
  <c r="AW225" i="1" s="1"/>
  <c r="AF209" i="1"/>
  <c r="AG209" i="1" s="1"/>
  <c r="AI209" i="1" s="1"/>
  <c r="AK209" i="1" s="1"/>
  <c r="AM209" i="1" s="1"/>
  <c r="AO209" i="1" s="1"/>
  <c r="AQ209" i="1" s="1"/>
  <c r="AS209" i="1" s="1"/>
  <c r="AU209" i="1" s="1"/>
  <c r="AW209" i="1" s="1"/>
  <c r="AF355" i="1"/>
  <c r="AX355" i="1" s="1"/>
  <c r="AY355" i="1" s="1"/>
  <c r="AF190" i="1"/>
  <c r="AG190" i="1" s="1"/>
  <c r="AI190" i="1" s="1"/>
  <c r="AK190" i="1" s="1"/>
  <c r="AM190" i="1" s="1"/>
  <c r="AO190" i="1" s="1"/>
  <c r="AQ190" i="1" s="1"/>
  <c r="AS190" i="1" s="1"/>
  <c r="AU190" i="1" s="1"/>
  <c r="AW190" i="1" s="1"/>
  <c r="AF212" i="1"/>
  <c r="AG212" i="1" s="1"/>
  <c r="AI212" i="1" s="1"/>
  <c r="AK212" i="1" s="1"/>
  <c r="AM212" i="1" s="1"/>
  <c r="AO212" i="1" s="1"/>
  <c r="AQ212" i="1" s="1"/>
  <c r="AS212" i="1" s="1"/>
  <c r="AU212" i="1" s="1"/>
  <c r="AW212" i="1" s="1"/>
  <c r="AF231" i="1"/>
  <c r="AX231" i="1" s="1"/>
  <c r="AY231" i="1" s="1"/>
  <c r="AF174" i="1"/>
  <c r="AG174" i="1" s="1"/>
  <c r="AI174" i="1" s="1"/>
  <c r="AK174" i="1" s="1"/>
  <c r="AM174" i="1" s="1"/>
  <c r="AO174" i="1" s="1"/>
  <c r="AQ174" i="1" s="1"/>
  <c r="AS174" i="1" s="1"/>
  <c r="AU174" i="1" s="1"/>
  <c r="AW174" i="1" s="1"/>
  <c r="AD89" i="1"/>
  <c r="AE89" i="1" s="1"/>
  <c r="AF120" i="1"/>
  <c r="AX120" i="1" s="1"/>
  <c r="AY120" i="1" s="1"/>
  <c r="AD182" i="1"/>
  <c r="AF286" i="1"/>
  <c r="AX286" i="1" s="1"/>
  <c r="AY286" i="1" s="1"/>
  <c r="AF175" i="1"/>
  <c r="AX175" i="1" s="1"/>
  <c r="AY175" i="1" s="1"/>
  <c r="AF344" i="1"/>
  <c r="AX344" i="1" s="1"/>
  <c r="AY344" i="1" s="1"/>
  <c r="AF47" i="1"/>
  <c r="AX47" i="1" s="1"/>
  <c r="AY47" i="1" s="1"/>
  <c r="AF339" i="1"/>
  <c r="AX339" i="1" s="1"/>
  <c r="AY339" i="1" s="1"/>
  <c r="AF262" i="1"/>
  <c r="AX262" i="1" s="1"/>
  <c r="AY262" i="1" s="1"/>
  <c r="AD121" i="1"/>
  <c r="AE121" i="1" s="1"/>
  <c r="AF200" i="1"/>
  <c r="AG200" i="1" s="1"/>
  <c r="AI200" i="1" s="1"/>
  <c r="AK200" i="1" s="1"/>
  <c r="AM200" i="1" s="1"/>
  <c r="AO200" i="1" s="1"/>
  <c r="AQ200" i="1" s="1"/>
  <c r="AS200" i="1" s="1"/>
  <c r="AU200" i="1" s="1"/>
  <c r="AW200" i="1" s="1"/>
  <c r="AF162" i="1"/>
  <c r="AG162" i="1" s="1"/>
  <c r="AI162" i="1" s="1"/>
  <c r="AK162" i="1" s="1"/>
  <c r="AM162" i="1" s="1"/>
  <c r="AO162" i="1" s="1"/>
  <c r="AQ162" i="1" s="1"/>
  <c r="AS162" i="1" s="1"/>
  <c r="AU162" i="1" s="1"/>
  <c r="AW162" i="1" s="1"/>
  <c r="AF269" i="1"/>
  <c r="AX269" i="1" s="1"/>
  <c r="AY269" i="1" s="1"/>
  <c r="AF34" i="1"/>
  <c r="AG34" i="1" s="1"/>
  <c r="AI34" i="1" s="1"/>
  <c r="AK34" i="1" s="1"/>
  <c r="AM34" i="1" s="1"/>
  <c r="AO34" i="1" s="1"/>
  <c r="AQ34" i="1" s="1"/>
  <c r="AS34" i="1" s="1"/>
  <c r="AU34" i="1" s="1"/>
  <c r="AW34" i="1" s="1"/>
  <c r="AF244" i="1"/>
  <c r="AX244" i="1" s="1"/>
  <c r="AY244" i="1" s="1"/>
  <c r="AF23" i="1"/>
  <c r="AX23" i="1" s="1"/>
  <c r="AY23" i="1" s="1"/>
  <c r="AF133" i="1"/>
  <c r="AX133" i="1" s="1"/>
  <c r="AY133" i="1" s="1"/>
  <c r="AF347" i="1"/>
  <c r="AX347" i="1" s="1"/>
  <c r="AY347" i="1" s="1"/>
  <c r="AF135" i="1"/>
  <c r="AX135" i="1" s="1"/>
  <c r="AY135" i="1" s="1"/>
  <c r="AX304" i="1"/>
  <c r="AY304" i="1" s="1"/>
  <c r="AZ304" i="1" s="1"/>
  <c r="AF169" i="1"/>
  <c r="AG169" i="1" s="1"/>
  <c r="AI169" i="1" s="1"/>
  <c r="AK169" i="1" s="1"/>
  <c r="AM169" i="1" s="1"/>
  <c r="AO169" i="1" s="1"/>
  <c r="AQ169" i="1" s="1"/>
  <c r="AS169" i="1" s="1"/>
  <c r="AU169" i="1" s="1"/>
  <c r="AW169" i="1" s="1"/>
  <c r="AF242" i="1"/>
  <c r="AX242" i="1" s="1"/>
  <c r="AY242" i="1" s="1"/>
  <c r="AF103" i="1"/>
  <c r="AG103" i="1" s="1"/>
  <c r="AI103" i="1" s="1"/>
  <c r="AK103" i="1" s="1"/>
  <c r="AM103" i="1" s="1"/>
  <c r="AO103" i="1" s="1"/>
  <c r="AQ103" i="1" s="1"/>
  <c r="AS103" i="1" s="1"/>
  <c r="AU103" i="1" s="1"/>
  <c r="AW103" i="1" s="1"/>
  <c r="AX103" i="1" s="1"/>
  <c r="AY103" i="1" s="1"/>
  <c r="AF266" i="1"/>
  <c r="AG266" i="1" s="1"/>
  <c r="AI266" i="1" s="1"/>
  <c r="AK266" i="1" s="1"/>
  <c r="AM266" i="1" s="1"/>
  <c r="AO266" i="1" s="1"/>
  <c r="AQ266" i="1" s="1"/>
  <c r="AS266" i="1" s="1"/>
  <c r="AU266" i="1" s="1"/>
  <c r="AW266" i="1" s="1"/>
  <c r="AF276" i="1"/>
  <c r="AX276" i="1" s="1"/>
  <c r="AY276" i="1" s="1"/>
  <c r="AF353" i="1"/>
  <c r="AG353" i="1" s="1"/>
  <c r="AI353" i="1" s="1"/>
  <c r="AK353" i="1" s="1"/>
  <c r="AM353" i="1" s="1"/>
  <c r="AO353" i="1" s="1"/>
  <c r="AQ353" i="1" s="1"/>
  <c r="AS353" i="1" s="1"/>
  <c r="AU353" i="1" s="1"/>
  <c r="AW353" i="1" s="1"/>
  <c r="AF168" i="1"/>
  <c r="AX168" i="1" s="1"/>
  <c r="AY168" i="1" s="1"/>
  <c r="AF9" i="1"/>
  <c r="AG9" i="1" s="1"/>
  <c r="AI9" i="1" s="1"/>
  <c r="AK9" i="1" s="1"/>
  <c r="AM9" i="1" s="1"/>
  <c r="AO9" i="1" s="1"/>
  <c r="AQ9" i="1" s="1"/>
  <c r="AS9" i="1" s="1"/>
  <c r="AU9" i="1" s="1"/>
  <c r="AW9" i="1" s="1"/>
  <c r="AF214" i="1"/>
  <c r="AX214" i="1" s="1"/>
  <c r="AY214" i="1" s="1"/>
  <c r="AF159" i="1"/>
  <c r="AG159" i="1" s="1"/>
  <c r="AI159" i="1" s="1"/>
  <c r="AK159" i="1" s="1"/>
  <c r="AM159" i="1" s="1"/>
  <c r="AO159" i="1" s="1"/>
  <c r="AQ159" i="1" s="1"/>
  <c r="AS159" i="1" s="1"/>
  <c r="AU159" i="1" s="1"/>
  <c r="AW159" i="1" s="1"/>
  <c r="AF48" i="1"/>
  <c r="AG48" i="1" s="1"/>
  <c r="AI48" i="1" s="1"/>
  <c r="AK48" i="1" s="1"/>
  <c r="AM48" i="1" s="1"/>
  <c r="AO48" i="1" s="1"/>
  <c r="AQ48" i="1" s="1"/>
  <c r="AS48" i="1" s="1"/>
  <c r="AU48" i="1" s="1"/>
  <c r="AW48" i="1" s="1"/>
  <c r="AF80" i="1"/>
  <c r="AX80" i="1" s="1"/>
  <c r="AY80" i="1" s="1"/>
  <c r="AF177" i="1"/>
  <c r="AG177" i="1" s="1"/>
  <c r="AI177" i="1" s="1"/>
  <c r="AK177" i="1" s="1"/>
  <c r="AM177" i="1" s="1"/>
  <c r="AO177" i="1" s="1"/>
  <c r="AQ177" i="1" s="1"/>
  <c r="AS177" i="1" s="1"/>
  <c r="AU177" i="1" s="1"/>
  <c r="AW177" i="1" s="1"/>
  <c r="AD91" i="1"/>
  <c r="AE91" i="1" s="1"/>
  <c r="AF237" i="1"/>
  <c r="AX237" i="1" s="1"/>
  <c r="AY237" i="1" s="1"/>
  <c r="AG237" i="1"/>
  <c r="AI237" i="1" s="1"/>
  <c r="AK237" i="1" s="1"/>
  <c r="AM237" i="1" s="1"/>
  <c r="AO237" i="1" s="1"/>
  <c r="AQ237" i="1" s="1"/>
  <c r="AS237" i="1" s="1"/>
  <c r="AU237" i="1" s="1"/>
  <c r="AW237" i="1" s="1"/>
  <c r="AF315" i="1"/>
  <c r="AX315" i="1" s="1"/>
  <c r="AY315" i="1" s="1"/>
  <c r="AF94" i="1"/>
  <c r="AX94" i="1" s="1"/>
  <c r="AY94" i="1" s="1"/>
  <c r="AD106" i="1"/>
  <c r="AF49" i="1"/>
  <c r="AG49" i="1" s="1"/>
  <c r="AI49" i="1" s="1"/>
  <c r="AK49" i="1" s="1"/>
  <c r="AM49" i="1" s="1"/>
  <c r="AO49" i="1" s="1"/>
  <c r="AQ49" i="1" s="1"/>
  <c r="AS49" i="1" s="1"/>
  <c r="AU49" i="1" s="1"/>
  <c r="AW49" i="1" s="1"/>
  <c r="AF235" i="1"/>
  <c r="AX235" i="1" s="1"/>
  <c r="AY235" i="1" s="1"/>
  <c r="AF295" i="1"/>
  <c r="AG295" i="1" s="1"/>
  <c r="AI295" i="1" s="1"/>
  <c r="AK295" i="1" s="1"/>
  <c r="AM295" i="1" s="1"/>
  <c r="AO295" i="1" s="1"/>
  <c r="AQ295" i="1" s="1"/>
  <c r="AS295" i="1" s="1"/>
  <c r="AU295" i="1" s="1"/>
  <c r="AW295" i="1" s="1"/>
  <c r="AF27" i="1"/>
  <c r="AX27" i="1" s="1"/>
  <c r="AY27" i="1" s="1"/>
  <c r="AF251" i="1"/>
  <c r="AG251" i="1" s="1"/>
  <c r="AI251" i="1" s="1"/>
  <c r="AK251" i="1" s="1"/>
  <c r="AM251" i="1" s="1"/>
  <c r="AO251" i="1" s="1"/>
  <c r="AQ251" i="1" s="1"/>
  <c r="AS251" i="1" s="1"/>
  <c r="AU251" i="1" s="1"/>
  <c r="AW251" i="1" s="1"/>
  <c r="AF349" i="1"/>
  <c r="AX349" i="1" s="1"/>
  <c r="AY349" i="1" s="1"/>
  <c r="AF167" i="1"/>
  <c r="AX167" i="1" s="1"/>
  <c r="AY167" i="1" s="1"/>
  <c r="AD42" i="1"/>
  <c r="AE42" i="1" s="1"/>
  <c r="AF50" i="1"/>
  <c r="AX50" i="1" s="1"/>
  <c r="AY50" i="1" s="1"/>
  <c r="AF124" i="1"/>
  <c r="AX124" i="1" s="1"/>
  <c r="AY124" i="1" s="1"/>
  <c r="AF323" i="1"/>
  <c r="AG323" i="1" s="1"/>
  <c r="AI323" i="1" s="1"/>
  <c r="AK323" i="1" s="1"/>
  <c r="AM323" i="1" s="1"/>
  <c r="AO323" i="1" s="1"/>
  <c r="AQ323" i="1" s="1"/>
  <c r="AS323" i="1" s="1"/>
  <c r="AU323" i="1" s="1"/>
  <c r="AW323" i="1" s="1"/>
  <c r="AF39" i="1"/>
  <c r="AX39" i="1" s="1"/>
  <c r="AY39" i="1" s="1"/>
  <c r="AF99" i="1"/>
  <c r="AX99" i="1" s="1"/>
  <c r="AY99" i="1" s="1"/>
  <c r="AF35" i="1"/>
  <c r="AX35" i="1" s="1"/>
  <c r="AY35" i="1" s="1"/>
  <c r="AF58" i="1"/>
  <c r="AX58" i="1" s="1"/>
  <c r="AY58" i="1" s="1"/>
  <c r="AF98" i="1"/>
  <c r="AX98" i="1" s="1"/>
  <c r="AY98" i="1" s="1"/>
  <c r="AF228" i="1"/>
  <c r="AX228" i="1" s="1"/>
  <c r="AY228" i="1" s="1"/>
  <c r="AG228" i="1"/>
  <c r="AI228" i="1" s="1"/>
  <c r="AK228" i="1" s="1"/>
  <c r="AM228" i="1" s="1"/>
  <c r="AO228" i="1" s="1"/>
  <c r="AQ228" i="1" s="1"/>
  <c r="AS228" i="1" s="1"/>
  <c r="AU228" i="1" s="1"/>
  <c r="AW228" i="1" s="1"/>
  <c r="AF13" i="1"/>
  <c r="AG13" i="1" s="1"/>
  <c r="AI13" i="1" s="1"/>
  <c r="AK13" i="1" s="1"/>
  <c r="AM13" i="1" s="1"/>
  <c r="AO13" i="1" s="1"/>
  <c r="AQ13" i="1" s="1"/>
  <c r="AS13" i="1" s="1"/>
  <c r="AU13" i="1" s="1"/>
  <c r="AW13" i="1" s="1"/>
  <c r="AD202" i="1"/>
  <c r="AE202" i="1" s="1"/>
  <c r="AD64" i="1"/>
  <c r="AD76" i="1"/>
  <c r="AF187" i="1"/>
  <c r="AG187" i="1" s="1"/>
  <c r="AI187" i="1" s="1"/>
  <c r="AK187" i="1" s="1"/>
  <c r="AM187" i="1" s="1"/>
  <c r="AO187" i="1" s="1"/>
  <c r="AQ187" i="1" s="1"/>
  <c r="AS187" i="1" s="1"/>
  <c r="AU187" i="1" s="1"/>
  <c r="AW187" i="1" s="1"/>
  <c r="AE232" i="1"/>
  <c r="AE197" i="1"/>
  <c r="AF303" i="1"/>
  <c r="AG303" i="1" s="1"/>
  <c r="AI303" i="1" s="1"/>
  <c r="AK303" i="1" s="1"/>
  <c r="AM303" i="1" s="1"/>
  <c r="AO303" i="1" s="1"/>
  <c r="AQ303" i="1" s="1"/>
  <c r="AS303" i="1" s="1"/>
  <c r="AU303" i="1" s="1"/>
  <c r="AW303" i="1" s="1"/>
  <c r="AE75" i="1"/>
  <c r="AD341" i="1"/>
  <c r="AE341" i="1" s="1"/>
  <c r="AE181" i="1"/>
  <c r="AZ129" i="1"/>
  <c r="AE153" i="1"/>
  <c r="AD320" i="1"/>
  <c r="AE320" i="1" s="1"/>
  <c r="AE218" i="1"/>
  <c r="AD222" i="1"/>
  <c r="AE222" i="1"/>
  <c r="AF31" i="1"/>
  <c r="AG31" i="1" s="1"/>
  <c r="AI31" i="1" s="1"/>
  <c r="AK31" i="1" s="1"/>
  <c r="AM31" i="1" s="1"/>
  <c r="AO31" i="1" s="1"/>
  <c r="AQ31" i="1" s="1"/>
  <c r="AS31" i="1" s="1"/>
  <c r="AU31" i="1" s="1"/>
  <c r="AW31" i="1" s="1"/>
  <c r="AE191" i="1"/>
  <c r="AD115" i="1"/>
  <c r="AE115" i="1" s="1"/>
  <c r="AD46" i="1"/>
  <c r="AG227" i="1"/>
  <c r="AI227" i="1" s="1"/>
  <c r="AK227" i="1" s="1"/>
  <c r="AM227" i="1" s="1"/>
  <c r="AO227" i="1" s="1"/>
  <c r="AQ227" i="1" s="1"/>
  <c r="AS227" i="1" s="1"/>
  <c r="AU227" i="1" s="1"/>
  <c r="AW227" i="1" s="1"/>
  <c r="AZ227" i="1" s="1"/>
  <c r="AE117" i="1"/>
  <c r="AC287" i="1"/>
  <c r="AD241" i="1"/>
  <c r="AC43" i="1"/>
  <c r="AD110" i="1"/>
  <c r="AE110" i="1" s="1"/>
  <c r="AF387" i="1"/>
  <c r="AX387" i="1" s="1"/>
  <c r="AY387" i="1" s="1"/>
  <c r="AF245" i="1"/>
  <c r="AX245" i="1" s="1"/>
  <c r="AY245" i="1" s="1"/>
  <c r="AD280" i="1"/>
  <c r="AG350" i="1"/>
  <c r="AI350" i="1" s="1"/>
  <c r="AK350" i="1" s="1"/>
  <c r="AM350" i="1" s="1"/>
  <c r="AO350" i="1" s="1"/>
  <c r="AQ350" i="1" s="1"/>
  <c r="AS350" i="1" s="1"/>
  <c r="AU350" i="1" s="1"/>
  <c r="AW350" i="1" s="1"/>
  <c r="AZ350" i="1" s="1"/>
  <c r="AD332" i="1"/>
  <c r="AF252" i="1"/>
  <c r="AG252" i="1" s="1"/>
  <c r="AI252" i="1" s="1"/>
  <c r="AK252" i="1" s="1"/>
  <c r="AM252" i="1" s="1"/>
  <c r="AO252" i="1" s="1"/>
  <c r="AQ252" i="1" s="1"/>
  <c r="AS252" i="1" s="1"/>
  <c r="AU252" i="1" s="1"/>
  <c r="AW252" i="1" s="1"/>
  <c r="AD253" i="1"/>
  <c r="AE253" i="1" s="1"/>
  <c r="AF67" i="1"/>
  <c r="AG67" i="1" s="1"/>
  <c r="AI67" i="1" s="1"/>
  <c r="AK67" i="1" s="1"/>
  <c r="AM67" i="1" s="1"/>
  <c r="AO67" i="1" s="1"/>
  <c r="AQ67" i="1" s="1"/>
  <c r="AS67" i="1" s="1"/>
  <c r="AU67" i="1" s="1"/>
  <c r="AW67" i="1" s="1"/>
  <c r="AD151" i="1"/>
  <c r="AE151" i="1" s="1"/>
  <c r="AG318" i="1"/>
  <c r="AI318" i="1" s="1"/>
  <c r="AK318" i="1" s="1"/>
  <c r="AM318" i="1" s="1"/>
  <c r="AO318" i="1" s="1"/>
  <c r="AQ318" i="1" s="1"/>
  <c r="AS318" i="1" s="1"/>
  <c r="AU318" i="1" s="1"/>
  <c r="AW318" i="1" s="1"/>
  <c r="AZ318" i="1" s="1"/>
  <c r="AD127" i="1"/>
  <c r="AE127" i="1" s="1"/>
  <c r="AD108" i="1"/>
  <c r="AE108" i="1" s="1"/>
  <c r="AG317" i="1"/>
  <c r="AI317" i="1" s="1"/>
  <c r="AK317" i="1" s="1"/>
  <c r="AM317" i="1" s="1"/>
  <c r="AO317" i="1" s="1"/>
  <c r="AQ317" i="1" s="1"/>
  <c r="AS317" i="1" s="1"/>
  <c r="AU317" i="1" s="1"/>
  <c r="AW317" i="1" s="1"/>
  <c r="AZ317" i="1" s="1"/>
  <c r="AD164" i="1"/>
  <c r="AX164" i="1" s="1"/>
  <c r="AY164" i="1" s="1"/>
  <c r="AF10" i="1"/>
  <c r="AX10" i="1" s="1"/>
  <c r="AY10" i="1" s="1"/>
  <c r="AD294" i="1"/>
  <c r="AF70" i="1"/>
  <c r="AX70" i="1" s="1"/>
  <c r="AY70" i="1" s="1"/>
  <c r="AD87" i="1"/>
  <c r="AE87" i="1" s="1"/>
  <c r="AD114" i="1"/>
  <c r="AE114" i="1" s="1"/>
  <c r="AD112" i="1"/>
  <c r="AE112" i="1" s="1"/>
  <c r="AF272" i="1"/>
  <c r="AX272" i="1" s="1"/>
  <c r="AY272" i="1" s="1"/>
  <c r="AG203" i="1"/>
  <c r="AI203" i="1" s="1"/>
  <c r="AK203" i="1" s="1"/>
  <c r="AM203" i="1" s="1"/>
  <c r="AO203" i="1" s="1"/>
  <c r="AQ203" i="1" s="1"/>
  <c r="AS203" i="1" s="1"/>
  <c r="AU203" i="1" s="1"/>
  <c r="AW203" i="1" s="1"/>
  <c r="AZ203" i="1" s="1"/>
  <c r="AE326" i="1"/>
  <c r="AF155" i="1"/>
  <c r="AG155" i="1" s="1"/>
  <c r="AI155" i="1" s="1"/>
  <c r="AK155" i="1" s="1"/>
  <c r="AM155" i="1" s="1"/>
  <c r="AO155" i="1" s="1"/>
  <c r="AQ155" i="1" s="1"/>
  <c r="AS155" i="1" s="1"/>
  <c r="AU155" i="1" s="1"/>
  <c r="AW155" i="1" s="1"/>
  <c r="AG364" i="1"/>
  <c r="AI364" i="1" s="1"/>
  <c r="AK364" i="1" s="1"/>
  <c r="AM364" i="1" s="1"/>
  <c r="AO364" i="1" s="1"/>
  <c r="AQ364" i="1" s="1"/>
  <c r="AS364" i="1" s="1"/>
  <c r="AU364" i="1" s="1"/>
  <c r="AW364" i="1" s="1"/>
  <c r="AZ364" i="1" s="1"/>
  <c r="AG308" i="1"/>
  <c r="AI308" i="1" s="1"/>
  <c r="AK308" i="1" s="1"/>
  <c r="AM308" i="1" s="1"/>
  <c r="AO308" i="1" s="1"/>
  <c r="AQ308" i="1" s="1"/>
  <c r="AS308" i="1" s="1"/>
  <c r="AU308" i="1" s="1"/>
  <c r="AW308" i="1" s="1"/>
  <c r="AZ308" i="1" s="1"/>
  <c r="AF82" i="1"/>
  <c r="AX82" i="1" s="1"/>
  <c r="AY82" i="1" s="1"/>
  <c r="AD24" i="1"/>
  <c r="AZ146" i="1"/>
  <c r="AC72" i="1"/>
  <c r="AC44" i="1"/>
  <c r="AF270" i="1"/>
  <c r="AX270" i="1" s="1"/>
  <c r="AY270" i="1" s="1"/>
  <c r="AE33" i="1"/>
  <c r="AD90" i="1"/>
  <c r="AE90" i="1" s="1"/>
  <c r="AE95" i="1"/>
  <c r="AD136" i="1"/>
  <c r="AE136" i="1" s="1"/>
  <c r="AF329" i="1"/>
  <c r="AX329" i="1" s="1"/>
  <c r="AY329" i="1" s="1"/>
  <c r="AF12" i="1"/>
  <c r="AX12" i="1" s="1"/>
  <c r="AY12" i="1" s="1"/>
  <c r="AD299" i="1"/>
  <c r="AF354" i="1"/>
  <c r="AX354" i="1" s="1"/>
  <c r="AY354" i="1" s="1"/>
  <c r="AD141" i="1"/>
  <c r="AE141" i="1" s="1"/>
  <c r="AG322" i="1"/>
  <c r="AI322" i="1" s="1"/>
  <c r="AK322" i="1" s="1"/>
  <c r="AM322" i="1" s="1"/>
  <c r="AO322" i="1" s="1"/>
  <c r="AQ322" i="1" s="1"/>
  <c r="AS322" i="1" s="1"/>
  <c r="AU322" i="1" s="1"/>
  <c r="AW322" i="1" s="1"/>
  <c r="AZ322" i="1" s="1"/>
  <c r="AF53" i="1"/>
  <c r="AX53" i="1" s="1"/>
  <c r="AY53" i="1" s="1"/>
  <c r="AF104" i="1"/>
  <c r="AX104" i="1" s="1"/>
  <c r="AY104" i="1" s="1"/>
  <c r="AE210" i="1"/>
  <c r="AE71" i="1"/>
  <c r="AF211" i="1"/>
  <c r="AX211" i="1" s="1"/>
  <c r="AY211" i="1" s="1"/>
  <c r="AF297" i="1"/>
  <c r="AX297" i="1" s="1"/>
  <c r="AY297" i="1" s="1"/>
  <c r="AD79" i="1"/>
  <c r="AE79" i="1" s="1"/>
  <c r="AD143" i="1"/>
  <c r="AE143" i="1" s="1"/>
  <c r="AD139" i="1"/>
  <c r="AD184" i="1"/>
  <c r="AD194" i="1"/>
  <c r="AE194" i="1" s="1"/>
  <c r="AD358" i="1"/>
  <c r="AE37" i="1"/>
  <c r="AD208" i="1"/>
  <c r="AE172" i="1"/>
  <c r="AE22" i="1"/>
  <c r="AF52" i="1"/>
  <c r="AG52" i="1" s="1"/>
  <c r="AI52" i="1" s="1"/>
  <c r="AK52" i="1" s="1"/>
  <c r="AM52" i="1" s="1"/>
  <c r="AO52" i="1" s="1"/>
  <c r="AQ52" i="1" s="1"/>
  <c r="AS52" i="1" s="1"/>
  <c r="AU52" i="1" s="1"/>
  <c r="AW52" i="1" s="1"/>
  <c r="AF179" i="1"/>
  <c r="AX179" i="1" s="1"/>
  <c r="AY179" i="1" s="1"/>
  <c r="AD306" i="1"/>
  <c r="AE306" i="1" s="1"/>
  <c r="AF66" i="1"/>
  <c r="AX66" i="1" s="1"/>
  <c r="AY66" i="1" s="1"/>
  <c r="AC193" i="1"/>
  <c r="AX230" i="1"/>
  <c r="AY230" i="1" s="1"/>
  <c r="AZ230" i="1" s="1"/>
  <c r="AZ333" i="1"/>
  <c r="AD148" i="1"/>
  <c r="AE148" i="1" s="1"/>
  <c r="AD352" i="1"/>
  <c r="AF238" i="1"/>
  <c r="AX238" i="1" s="1"/>
  <c r="AY238" i="1" s="1"/>
  <c r="AZ243" i="1"/>
  <c r="AG338" i="1"/>
  <c r="AI338" i="1" s="1"/>
  <c r="AK338" i="1" s="1"/>
  <c r="AM338" i="1" s="1"/>
  <c r="AO338" i="1" s="1"/>
  <c r="AQ338" i="1" s="1"/>
  <c r="AS338" i="1" s="1"/>
  <c r="AU338" i="1" s="1"/>
  <c r="AW338" i="1" s="1"/>
  <c r="AZ338" i="1" s="1"/>
  <c r="AD240" i="1"/>
  <c r="AE240" i="1" s="1"/>
  <c r="AD16" i="1"/>
  <c r="AD188" i="1"/>
  <c r="AE188" i="1" s="1"/>
  <c r="AD375" i="1"/>
  <c r="AE375" i="1" s="1"/>
  <c r="AD366" i="1"/>
  <c r="AE366" i="1" s="1"/>
  <c r="AG293" i="1"/>
  <c r="AI293" i="1" s="1"/>
  <c r="AK293" i="1" s="1"/>
  <c r="AM293" i="1" s="1"/>
  <c r="AO293" i="1" s="1"/>
  <c r="AQ293" i="1" s="1"/>
  <c r="AS293" i="1" s="1"/>
  <c r="AU293" i="1" s="1"/>
  <c r="AW293" i="1" s="1"/>
  <c r="AZ293" i="1" s="1"/>
  <c r="AF185" i="1"/>
  <c r="AX185" i="1" s="1"/>
  <c r="AY185" i="1" s="1"/>
  <c r="AF309" i="1"/>
  <c r="AX309" i="1" s="1"/>
  <c r="AY309" i="1" s="1"/>
  <c r="AE171" i="1"/>
  <c r="AC125" i="1"/>
  <c r="AD236" i="1"/>
  <c r="AE122" i="1"/>
  <c r="AD113" i="1"/>
  <c r="AD116" i="1"/>
  <c r="AE116" i="1" s="1"/>
  <c r="AC77" i="1"/>
  <c r="AX285" i="1"/>
  <c r="AY285" i="1" s="1"/>
  <c r="AZ285" i="1" s="1"/>
  <c r="AD107" i="1"/>
  <c r="AE107" i="1" s="1"/>
  <c r="AD255" i="1"/>
  <c r="AX256" i="1"/>
  <c r="AY256" i="1" s="1"/>
  <c r="AZ256" i="1" s="1"/>
  <c r="AE173" i="1"/>
  <c r="AF156" i="1"/>
  <c r="AX156" i="1" s="1"/>
  <c r="AY156" i="1" s="1"/>
  <c r="AF302" i="1"/>
  <c r="AX302" i="1" s="1"/>
  <c r="AY302" i="1" s="1"/>
  <c r="AF288" i="1"/>
  <c r="AG288" i="1" s="1"/>
  <c r="AI288" i="1" s="1"/>
  <c r="AK288" i="1" s="1"/>
  <c r="AM288" i="1" s="1"/>
  <c r="AO288" i="1" s="1"/>
  <c r="AQ288" i="1" s="1"/>
  <c r="AS288" i="1" s="1"/>
  <c r="AU288" i="1" s="1"/>
  <c r="AW288" i="1" s="1"/>
  <c r="AE351" i="1"/>
  <c r="AE51" i="1"/>
  <c r="AF149" i="1"/>
  <c r="AG149" i="1" s="1"/>
  <c r="AI149" i="1" s="1"/>
  <c r="AK149" i="1" s="1"/>
  <c r="AM149" i="1" s="1"/>
  <c r="AO149" i="1" s="1"/>
  <c r="AQ149" i="1" s="1"/>
  <c r="AS149" i="1" s="1"/>
  <c r="AU149" i="1" s="1"/>
  <c r="AW149" i="1" s="1"/>
  <c r="AG195" i="1"/>
  <c r="AI195" i="1" s="1"/>
  <c r="AK195" i="1" s="1"/>
  <c r="AM195" i="1" s="1"/>
  <c r="AO195" i="1" s="1"/>
  <c r="AQ195" i="1" s="1"/>
  <c r="AS195" i="1" s="1"/>
  <c r="AU195" i="1" s="1"/>
  <c r="AW195" i="1" s="1"/>
  <c r="AZ195" i="1" s="1"/>
  <c r="AD14" i="1"/>
  <c r="AE14" i="1" s="1"/>
  <c r="AD21" i="1"/>
  <c r="AE21" i="1" s="1"/>
  <c r="AD359" i="1"/>
  <c r="AE359" i="1" s="1"/>
  <c r="AG386" i="1"/>
  <c r="AI386" i="1" s="1"/>
  <c r="AK386" i="1" s="1"/>
  <c r="AM386" i="1" s="1"/>
  <c r="AO386" i="1" s="1"/>
  <c r="AQ386" i="1" s="1"/>
  <c r="AS386" i="1" s="1"/>
  <c r="AU386" i="1" s="1"/>
  <c r="AW386" i="1" s="1"/>
  <c r="AZ386" i="1" s="1"/>
  <c r="AE83" i="1"/>
  <c r="AD348" i="1"/>
  <c r="AE348" i="1" s="1"/>
  <c r="AF144" i="1"/>
  <c r="AX144" i="1" s="1"/>
  <c r="AY144" i="1" s="1"/>
  <c r="AD186" i="1"/>
  <c r="AE186" i="1" s="1"/>
  <c r="AF123" i="1"/>
  <c r="AX123" i="1" s="1"/>
  <c r="AY123" i="1" s="1"/>
  <c r="AG123" i="1"/>
  <c r="AI123" i="1" s="1"/>
  <c r="AK123" i="1" s="1"/>
  <c r="AM123" i="1" s="1"/>
  <c r="AO123" i="1" s="1"/>
  <c r="AQ123" i="1" s="1"/>
  <c r="AS123" i="1" s="1"/>
  <c r="AU123" i="1" s="1"/>
  <c r="AW123" i="1" s="1"/>
  <c r="AF150" i="1"/>
  <c r="AX150" i="1" s="1"/>
  <c r="AY150" i="1" s="1"/>
  <c r="AF97" i="1"/>
  <c r="AX97" i="1" s="1"/>
  <c r="AY97" i="1" s="1"/>
  <c r="AE248" i="1"/>
  <c r="AE284" i="1"/>
  <c r="AE88" i="1"/>
  <c r="AX321" i="1"/>
  <c r="AY321" i="1" s="1"/>
  <c r="AZ321" i="1" s="1"/>
  <c r="AF158" i="1"/>
  <c r="AX158" i="1" s="1"/>
  <c r="AY158" i="1" s="1"/>
  <c r="AZ265" i="1"/>
  <c r="AD59" i="1"/>
  <c r="AE59" i="1" s="1"/>
  <c r="AF26" i="1"/>
  <c r="AG26" i="1" s="1"/>
  <c r="AI26" i="1" s="1"/>
  <c r="AK26" i="1" s="1"/>
  <c r="AM26" i="1" s="1"/>
  <c r="AO26" i="1" s="1"/>
  <c r="AQ26" i="1" s="1"/>
  <c r="AS26" i="1" s="1"/>
  <c r="AU26" i="1" s="1"/>
  <c r="AW26" i="1" s="1"/>
  <c r="AD163" i="1"/>
  <c r="AE163" i="1"/>
  <c r="AD216" i="1"/>
  <c r="AE216" i="1" s="1"/>
  <c r="AD360" i="1"/>
  <c r="AE360" i="1" s="1"/>
  <c r="AF274" i="1"/>
  <c r="AX274" i="1" s="1"/>
  <c r="AY274" i="1" s="1"/>
  <c r="AF277" i="1"/>
  <c r="AX277" i="1" s="1"/>
  <c r="AY277" i="1" s="1"/>
  <c r="AF78" i="1"/>
  <c r="AX78" i="1" s="1"/>
  <c r="AY78" i="1" s="1"/>
  <c r="AX137" i="1"/>
  <c r="AY137" i="1" s="1"/>
  <c r="AZ137" i="1" s="1"/>
  <c r="AD131" i="1"/>
  <c r="AD267" i="1"/>
  <c r="AD93" i="1"/>
  <c r="AE93" i="1" s="1"/>
  <c r="AF233" i="1"/>
  <c r="AX233" i="1" s="1"/>
  <c r="AY233" i="1" s="1"/>
  <c r="AD32" i="1"/>
  <c r="AE102" i="1"/>
  <c r="AD176" i="1"/>
  <c r="AE176" i="1"/>
  <c r="AF224" i="1"/>
  <c r="AX224" i="1" s="1"/>
  <c r="AY224" i="1" s="1"/>
  <c r="AF196" i="1"/>
  <c r="AG196" i="1" s="1"/>
  <c r="AI196" i="1" s="1"/>
  <c r="AK196" i="1" s="1"/>
  <c r="AM196" i="1" s="1"/>
  <c r="AO196" i="1" s="1"/>
  <c r="AQ196" i="1" s="1"/>
  <c r="AS196" i="1" s="1"/>
  <c r="AU196" i="1" s="1"/>
  <c r="AW196" i="1" s="1"/>
  <c r="AE331" i="1"/>
  <c r="AF215" i="1"/>
  <c r="AG215" i="1" s="1"/>
  <c r="AI215" i="1" s="1"/>
  <c r="AK215" i="1" s="1"/>
  <c r="AM215" i="1" s="1"/>
  <c r="AO215" i="1" s="1"/>
  <c r="AQ215" i="1" s="1"/>
  <c r="AS215" i="1" s="1"/>
  <c r="AU215" i="1" s="1"/>
  <c r="AW215" i="1" s="1"/>
  <c r="AF61" i="1"/>
  <c r="AX61" i="1" s="1"/>
  <c r="AY61" i="1" s="1"/>
  <c r="AF138" i="1"/>
  <c r="AX138" i="1" s="1"/>
  <c r="AY138" i="1" s="1"/>
  <c r="AD81" i="1"/>
  <c r="AD134" i="1"/>
  <c r="AE134" i="1" s="1"/>
  <c r="AD25" i="1"/>
  <c r="AE25" i="1" s="1"/>
  <c r="AD68" i="1"/>
  <c r="AF198" i="1"/>
  <c r="AG198" i="1" s="1"/>
  <c r="AI198" i="1" s="1"/>
  <c r="AK198" i="1" s="1"/>
  <c r="AM198" i="1" s="1"/>
  <c r="AO198" i="1" s="1"/>
  <c r="AQ198" i="1" s="1"/>
  <c r="AS198" i="1" s="1"/>
  <c r="AU198" i="1" s="1"/>
  <c r="AW198" i="1" s="1"/>
  <c r="AF234" i="1"/>
  <c r="AX234" i="1" s="1"/>
  <c r="AY234" i="1" s="1"/>
  <c r="AF96" i="1"/>
  <c r="AX96" i="1" s="1"/>
  <c r="AY96" i="1" s="1"/>
  <c r="AF6" i="1"/>
  <c r="AX6" i="1" s="1"/>
  <c r="AE41" i="1"/>
  <c r="AE36" i="1"/>
  <c r="AE275" i="1"/>
  <c r="AC361" i="1"/>
  <c r="AE316" i="1"/>
  <c r="AD73" i="1"/>
  <c r="AD345" i="1"/>
  <c r="AF342" i="1"/>
  <c r="AX342" i="1" s="1"/>
  <c r="AY342" i="1" s="1"/>
  <c r="AC118" i="1"/>
  <c r="AD207" i="1"/>
  <c r="AD298" i="1"/>
  <c r="AF327" i="1"/>
  <c r="AX327" i="1" s="1"/>
  <c r="AY327" i="1" s="1"/>
  <c r="AF307" i="1"/>
  <c r="AX307" i="1" s="1"/>
  <c r="AY307" i="1" s="1"/>
  <c r="AE205" i="1"/>
  <c r="AE314" i="1"/>
  <c r="AE119" i="1"/>
  <c r="AG279" i="1"/>
  <c r="AI279" i="1" s="1"/>
  <c r="AK279" i="1" s="1"/>
  <c r="AM279" i="1" s="1"/>
  <c r="AO279" i="1" s="1"/>
  <c r="AQ279" i="1" s="1"/>
  <c r="AS279" i="1" s="1"/>
  <c r="AU279" i="1" s="1"/>
  <c r="AW279" i="1" s="1"/>
  <c r="AZ279" i="1" s="1"/>
  <c r="AF157" i="1"/>
  <c r="AX157" i="1" s="1"/>
  <c r="AY157" i="1" s="1"/>
  <c r="AF45" i="1"/>
  <c r="AX45" i="1" s="1"/>
  <c r="AY45" i="1" s="1"/>
  <c r="AD74" i="1"/>
  <c r="AF189" i="1"/>
  <c r="AX189" i="1" s="1"/>
  <c r="AY189" i="1" s="1"/>
  <c r="AF65" i="1"/>
  <c r="AX65" i="1" s="1"/>
  <c r="AY65" i="1" s="1"/>
  <c r="AD84" i="1"/>
  <c r="AE84" i="1" s="1"/>
  <c r="AD8" i="1"/>
  <c r="AE8" i="1" s="1"/>
  <c r="AD319" i="1"/>
  <c r="AE319" i="1" s="1"/>
  <c r="AF130" i="1"/>
  <c r="AX130" i="1" s="1"/>
  <c r="AY130" i="1" s="1"/>
  <c r="AF204" i="1"/>
  <c r="AG204" i="1" s="1"/>
  <c r="AI204" i="1" s="1"/>
  <c r="AK204" i="1" s="1"/>
  <c r="AM204" i="1" s="1"/>
  <c r="AO204" i="1" s="1"/>
  <c r="AQ204" i="1" s="1"/>
  <c r="AS204" i="1" s="1"/>
  <c r="AU204" i="1" s="1"/>
  <c r="AW204" i="1" s="1"/>
  <c r="AD18" i="1"/>
  <c r="AX18" i="1" s="1"/>
  <c r="AY18" i="1" s="1"/>
  <c r="AD292" i="1"/>
  <c r="AE292" i="1" s="1"/>
  <c r="AD55" i="1"/>
  <c r="AD259" i="1"/>
  <c r="AG370" i="1"/>
  <c r="AI370" i="1" s="1"/>
  <c r="AK370" i="1" s="1"/>
  <c r="AM370" i="1" s="1"/>
  <c r="AO370" i="1" s="1"/>
  <c r="AQ370" i="1" s="1"/>
  <c r="AS370" i="1" s="1"/>
  <c r="AU370" i="1" s="1"/>
  <c r="AW370" i="1" s="1"/>
  <c r="AZ370" i="1" s="1"/>
  <c r="AF330" i="1"/>
  <c r="AX330" i="1" s="1"/>
  <c r="AY330" i="1" s="1"/>
  <c r="AF38" i="1"/>
  <c r="AG38" i="1" s="1"/>
  <c r="AI38" i="1" s="1"/>
  <c r="AK38" i="1" s="1"/>
  <c r="AM38" i="1" s="1"/>
  <c r="AO38" i="1" s="1"/>
  <c r="AQ38" i="1" s="1"/>
  <c r="AS38" i="1" s="1"/>
  <c r="AU38" i="1" s="1"/>
  <c r="AW38" i="1" s="1"/>
  <c r="AF201" i="1"/>
  <c r="AX201" i="1" s="1"/>
  <c r="AY201" i="1" s="1"/>
  <c r="AD377" i="1"/>
  <c r="AF154" i="1"/>
  <c r="AG154" i="1" s="1"/>
  <c r="AI154" i="1" s="1"/>
  <c r="AK154" i="1" s="1"/>
  <c r="AM154" i="1" s="1"/>
  <c r="AO154" i="1" s="1"/>
  <c r="AQ154" i="1" s="1"/>
  <c r="AS154" i="1" s="1"/>
  <c r="AU154" i="1" s="1"/>
  <c r="AW154" i="1" s="1"/>
  <c r="AC62" i="1"/>
  <c r="AE340" i="1"/>
  <c r="AC170" i="1"/>
  <c r="AG328" i="1"/>
  <c r="AI328" i="1" s="1"/>
  <c r="AK328" i="1" s="1"/>
  <c r="AM328" i="1" s="1"/>
  <c r="AO328" i="1" s="1"/>
  <c r="AQ328" i="1" s="1"/>
  <c r="AS328" i="1" s="1"/>
  <c r="AU328" i="1" s="1"/>
  <c r="AW328" i="1" s="1"/>
  <c r="AZ328" i="1" s="1"/>
  <c r="AF356" i="1"/>
  <c r="AG356" i="1" s="1"/>
  <c r="AI356" i="1" s="1"/>
  <c r="AK356" i="1" s="1"/>
  <c r="AM356" i="1" s="1"/>
  <c r="AO356" i="1" s="1"/>
  <c r="AQ356" i="1" s="1"/>
  <c r="AS356" i="1" s="1"/>
  <c r="AU356" i="1" s="1"/>
  <c r="AW356" i="1" s="1"/>
  <c r="AD92" i="1"/>
  <c r="AD19" i="1"/>
  <c r="AE19" i="1" s="1"/>
  <c r="AG220" i="1"/>
  <c r="AI220" i="1" s="1"/>
  <c r="AK220" i="1" s="1"/>
  <c r="AM220" i="1" s="1"/>
  <c r="AO220" i="1" s="1"/>
  <c r="AQ220" i="1" s="1"/>
  <c r="AS220" i="1" s="1"/>
  <c r="AU220" i="1" s="1"/>
  <c r="AW220" i="1" s="1"/>
  <c r="AZ220" i="1" s="1"/>
  <c r="AF140" i="1"/>
  <c r="AG140" i="1" s="1"/>
  <c r="AI140" i="1" s="1"/>
  <c r="AK140" i="1" s="1"/>
  <c r="AM140" i="1" s="1"/>
  <c r="AO140" i="1" s="1"/>
  <c r="AQ140" i="1" s="1"/>
  <c r="AS140" i="1" s="1"/>
  <c r="AU140" i="1" s="1"/>
  <c r="AW140" i="1" s="1"/>
  <c r="AE147" i="1"/>
  <c r="AD40" i="1"/>
  <c r="AC363" i="1"/>
  <c r="AF69" i="1"/>
  <c r="AG69" i="1" s="1"/>
  <c r="AI69" i="1" s="1"/>
  <c r="AK69" i="1" s="1"/>
  <c r="AM69" i="1" s="1"/>
  <c r="AO69" i="1" s="1"/>
  <c r="AQ69" i="1" s="1"/>
  <c r="AS69" i="1" s="1"/>
  <c r="AU69" i="1" s="1"/>
  <c r="AW69" i="1" s="1"/>
  <c r="AF334" i="1"/>
  <c r="AX334" i="1" s="1"/>
  <c r="AY334" i="1" s="1"/>
  <c r="AD264" i="1"/>
  <c r="AE264" i="1" s="1"/>
  <c r="AD142" i="1"/>
  <c r="AF312" i="1"/>
  <c r="AX312" i="1" s="1"/>
  <c r="AY312" i="1" s="1"/>
  <c r="AF300" i="1"/>
  <c r="AX300" i="1" s="1"/>
  <c r="AY300" i="1" s="1"/>
  <c r="AD56" i="1"/>
  <c r="AF305" i="1"/>
  <c r="AX305" i="1" s="1"/>
  <c r="AY305" i="1" s="1"/>
  <c r="AF105" i="1"/>
  <c r="AX105" i="1" s="1"/>
  <c r="AY105" i="1" s="1"/>
  <c r="AF206" i="1"/>
  <c r="AX206" i="1" s="1"/>
  <c r="AY206" i="1" s="1"/>
  <c r="AF365" i="1"/>
  <c r="AX365" i="1" s="1"/>
  <c r="AY365" i="1" s="1"/>
  <c r="AD337" i="1"/>
  <c r="AE337" i="1" s="1"/>
  <c r="AD343" i="1"/>
  <c r="AD28" i="1"/>
  <c r="AE28" i="1" s="1"/>
  <c r="AF261" i="1"/>
  <c r="AX261" i="1" s="1"/>
  <c r="AY261" i="1" s="1"/>
  <c r="AD178" i="1"/>
  <c r="AE178" i="1"/>
  <c r="AE180" i="1"/>
  <c r="AC367" i="1"/>
  <c r="AF369" i="1"/>
  <c r="AX369" i="1" s="1"/>
  <c r="AY369" i="1" s="1"/>
  <c r="AF336" i="1"/>
  <c r="AG336" i="1" s="1"/>
  <c r="AI336" i="1" s="1"/>
  <c r="AK336" i="1" s="1"/>
  <c r="AM336" i="1" s="1"/>
  <c r="AO336" i="1" s="1"/>
  <c r="AQ336" i="1" s="1"/>
  <c r="AS336" i="1" s="1"/>
  <c r="AU336" i="1" s="1"/>
  <c r="AW336" i="1" s="1"/>
  <c r="AD20" i="1"/>
  <c r="AE20" i="1" s="1"/>
  <c r="AD101" i="1"/>
  <c r="AE101" i="1" s="1"/>
  <c r="AF290" i="1"/>
  <c r="AG290" i="1" s="1"/>
  <c r="AI290" i="1" s="1"/>
  <c r="AK290" i="1" s="1"/>
  <c r="AM290" i="1" s="1"/>
  <c r="AO290" i="1" s="1"/>
  <c r="AQ290" i="1" s="1"/>
  <c r="AS290" i="1" s="1"/>
  <c r="AU290" i="1" s="1"/>
  <c r="AW290" i="1" s="1"/>
  <c r="AD310" i="1"/>
  <c r="AE310" i="1" s="1"/>
  <c r="AF111" i="1"/>
  <c r="AX111" i="1" s="1"/>
  <c r="AY111" i="1" s="1"/>
  <c r="AD100" i="1"/>
  <c r="AE213" i="1"/>
  <c r="AF60" i="1"/>
  <c r="AX60" i="1" s="1"/>
  <c r="AY60" i="1" s="1"/>
  <c r="AD86" i="1"/>
  <c r="AE86" i="1"/>
  <c r="AE145" i="1"/>
  <c r="AD161" i="1"/>
  <c r="AX161" i="1" s="1"/>
  <c r="AY161" i="1" s="1"/>
  <c r="AD15" i="1"/>
  <c r="AE15" i="1" s="1"/>
  <c r="AD368" i="1"/>
  <c r="AE368" i="1"/>
  <c r="AD357" i="1"/>
  <c r="AE260" i="1"/>
  <c r="AD247" i="1"/>
  <c r="AE247" i="1"/>
  <c r="AD324" i="1"/>
  <c r="AE324" i="1" s="1"/>
  <c r="AD109" i="1"/>
  <c r="AC132" i="1"/>
  <c r="AD282" i="1"/>
  <c r="AE282" i="1"/>
  <c r="AC30" i="1"/>
  <c r="AE371" i="1"/>
  <c r="AC219" i="1"/>
  <c r="AD283" i="1"/>
  <c r="AE283" i="1" s="1"/>
  <c r="AD128" i="1"/>
  <c r="AE128" i="1" s="1"/>
  <c r="AE199" i="1"/>
  <c r="AD296" i="1"/>
  <c r="AE296" i="1"/>
  <c r="AF362" i="1"/>
  <c r="AX362" i="1" s="1"/>
  <c r="AY362" i="1" s="1"/>
  <c r="AC126" i="1"/>
  <c r="AC85" i="1"/>
  <c r="AE54" i="1"/>
  <c r="AG365" i="1" l="1"/>
  <c r="AI365" i="1" s="1"/>
  <c r="AK365" i="1" s="1"/>
  <c r="AM365" i="1" s="1"/>
  <c r="AO365" i="1" s="1"/>
  <c r="AQ365" i="1" s="1"/>
  <c r="AS365" i="1" s="1"/>
  <c r="AU365" i="1" s="1"/>
  <c r="AW365" i="1" s="1"/>
  <c r="AZ365" i="1" s="1"/>
  <c r="AG305" i="1"/>
  <c r="AI305" i="1" s="1"/>
  <c r="AK305" i="1" s="1"/>
  <c r="AM305" i="1" s="1"/>
  <c r="AO305" i="1" s="1"/>
  <c r="AQ305" i="1" s="1"/>
  <c r="AS305" i="1" s="1"/>
  <c r="AU305" i="1" s="1"/>
  <c r="AW305" i="1" s="1"/>
  <c r="AG270" i="1"/>
  <c r="AI270" i="1" s="1"/>
  <c r="AK270" i="1" s="1"/>
  <c r="AM270" i="1" s="1"/>
  <c r="AO270" i="1" s="1"/>
  <c r="AQ270" i="1" s="1"/>
  <c r="AS270" i="1" s="1"/>
  <c r="AU270" i="1" s="1"/>
  <c r="AW270" i="1" s="1"/>
  <c r="AZ123" i="1"/>
  <c r="AG189" i="1"/>
  <c r="AI189" i="1" s="1"/>
  <c r="AK189" i="1" s="1"/>
  <c r="AM189" i="1" s="1"/>
  <c r="AO189" i="1" s="1"/>
  <c r="AQ189" i="1" s="1"/>
  <c r="AS189" i="1" s="1"/>
  <c r="AU189" i="1" s="1"/>
  <c r="AW189" i="1" s="1"/>
  <c r="AG262" i="1"/>
  <c r="AI262" i="1" s="1"/>
  <c r="AK262" i="1" s="1"/>
  <c r="AM262" i="1" s="1"/>
  <c r="AO262" i="1" s="1"/>
  <c r="AQ262" i="1" s="1"/>
  <c r="AS262" i="1" s="1"/>
  <c r="AU262" i="1" s="1"/>
  <c r="AW262" i="1" s="1"/>
  <c r="AZ262" i="1" s="1"/>
  <c r="AX52" i="1"/>
  <c r="AY52" i="1" s="1"/>
  <c r="AG347" i="1"/>
  <c r="AI347" i="1" s="1"/>
  <c r="AK347" i="1" s="1"/>
  <c r="AM347" i="1" s="1"/>
  <c r="AO347" i="1" s="1"/>
  <c r="AQ347" i="1" s="1"/>
  <c r="AS347" i="1" s="1"/>
  <c r="AU347" i="1" s="1"/>
  <c r="AW347" i="1" s="1"/>
  <c r="AZ305" i="1"/>
  <c r="AG133" i="1"/>
  <c r="AI133" i="1" s="1"/>
  <c r="AK133" i="1" s="1"/>
  <c r="AM133" i="1" s="1"/>
  <c r="AO133" i="1" s="1"/>
  <c r="AQ133" i="1" s="1"/>
  <c r="AS133" i="1" s="1"/>
  <c r="AU133" i="1" s="1"/>
  <c r="AW133" i="1" s="1"/>
  <c r="AX67" i="1"/>
  <c r="AY67" i="1" s="1"/>
  <c r="AZ270" i="1"/>
  <c r="AG369" i="1"/>
  <c r="AI369" i="1" s="1"/>
  <c r="AK369" i="1" s="1"/>
  <c r="AM369" i="1" s="1"/>
  <c r="AO369" i="1" s="1"/>
  <c r="AQ369" i="1" s="1"/>
  <c r="AS369" i="1" s="1"/>
  <c r="AU369" i="1" s="1"/>
  <c r="AW369" i="1" s="1"/>
  <c r="AZ369" i="1" s="1"/>
  <c r="AG157" i="1"/>
  <c r="AI157" i="1" s="1"/>
  <c r="AK157" i="1" s="1"/>
  <c r="AM157" i="1" s="1"/>
  <c r="AO157" i="1" s="1"/>
  <c r="AQ157" i="1" s="1"/>
  <c r="AS157" i="1" s="1"/>
  <c r="AU157" i="1" s="1"/>
  <c r="AW157" i="1" s="1"/>
  <c r="AZ157" i="1" s="1"/>
  <c r="AX252" i="1"/>
  <c r="AY252" i="1" s="1"/>
  <c r="AZ252" i="1" s="1"/>
  <c r="AZ237" i="1"/>
  <c r="AG99" i="1"/>
  <c r="AI99" i="1" s="1"/>
  <c r="AK99" i="1" s="1"/>
  <c r="AM99" i="1" s="1"/>
  <c r="AO99" i="1" s="1"/>
  <c r="AQ99" i="1" s="1"/>
  <c r="AS99" i="1" s="1"/>
  <c r="AU99" i="1" s="1"/>
  <c r="AW99" i="1" s="1"/>
  <c r="AZ99" i="1" s="1"/>
  <c r="AG344" i="1"/>
  <c r="AI344" i="1" s="1"/>
  <c r="AK344" i="1" s="1"/>
  <c r="AM344" i="1" s="1"/>
  <c r="AO344" i="1" s="1"/>
  <c r="AQ344" i="1" s="1"/>
  <c r="AS344" i="1" s="1"/>
  <c r="AU344" i="1" s="1"/>
  <c r="AW344" i="1" s="1"/>
  <c r="AZ344" i="1" s="1"/>
  <c r="AE164" i="1"/>
  <c r="AG164" i="1" s="1"/>
  <c r="AI164" i="1" s="1"/>
  <c r="AK164" i="1" s="1"/>
  <c r="AM164" i="1" s="1"/>
  <c r="AO164" i="1" s="1"/>
  <c r="AQ164" i="1" s="1"/>
  <c r="AS164" i="1" s="1"/>
  <c r="AU164" i="1" s="1"/>
  <c r="AW164" i="1" s="1"/>
  <c r="AZ164" i="1" s="1"/>
  <c r="AG39" i="1"/>
  <c r="AI39" i="1" s="1"/>
  <c r="AK39" i="1" s="1"/>
  <c r="AM39" i="1" s="1"/>
  <c r="AO39" i="1" s="1"/>
  <c r="AQ39" i="1" s="1"/>
  <c r="AS39" i="1" s="1"/>
  <c r="AU39" i="1" s="1"/>
  <c r="AW39" i="1" s="1"/>
  <c r="AZ39" i="1" s="1"/>
  <c r="AX26" i="1"/>
  <c r="AY26" i="1" s="1"/>
  <c r="AZ26" i="1" s="1"/>
  <c r="AX196" i="1"/>
  <c r="AY196" i="1" s="1"/>
  <c r="AZ196" i="1" s="1"/>
  <c r="AG105" i="1"/>
  <c r="AI105" i="1" s="1"/>
  <c r="AK105" i="1" s="1"/>
  <c r="AM105" i="1" s="1"/>
  <c r="AO105" i="1" s="1"/>
  <c r="AQ105" i="1" s="1"/>
  <c r="AS105" i="1" s="1"/>
  <c r="AU105" i="1" s="1"/>
  <c r="AW105" i="1" s="1"/>
  <c r="AZ105" i="1" s="1"/>
  <c r="AG233" i="1"/>
  <c r="AI233" i="1" s="1"/>
  <c r="AK233" i="1" s="1"/>
  <c r="AM233" i="1" s="1"/>
  <c r="AO233" i="1" s="1"/>
  <c r="AQ233" i="1" s="1"/>
  <c r="AS233" i="1" s="1"/>
  <c r="AU233" i="1" s="1"/>
  <c r="AW233" i="1" s="1"/>
  <c r="AZ233" i="1" s="1"/>
  <c r="AG349" i="1"/>
  <c r="AI349" i="1" s="1"/>
  <c r="AK349" i="1" s="1"/>
  <c r="AM349" i="1" s="1"/>
  <c r="AO349" i="1" s="1"/>
  <c r="AQ349" i="1" s="1"/>
  <c r="AS349" i="1" s="1"/>
  <c r="AU349" i="1" s="1"/>
  <c r="AW349" i="1" s="1"/>
  <c r="AZ349" i="1" s="1"/>
  <c r="AG235" i="1"/>
  <c r="AI235" i="1" s="1"/>
  <c r="AK235" i="1" s="1"/>
  <c r="AM235" i="1" s="1"/>
  <c r="AO235" i="1" s="1"/>
  <c r="AQ235" i="1" s="1"/>
  <c r="AS235" i="1" s="1"/>
  <c r="AU235" i="1" s="1"/>
  <c r="AW235" i="1" s="1"/>
  <c r="AZ235" i="1" s="1"/>
  <c r="AX200" i="1"/>
  <c r="AY200" i="1" s="1"/>
  <c r="AZ200" i="1" s="1"/>
  <c r="AX159" i="1"/>
  <c r="AY159" i="1" s="1"/>
  <c r="AZ159" i="1" s="1"/>
  <c r="AX251" i="1"/>
  <c r="AY251" i="1" s="1"/>
  <c r="AZ251" i="1" s="1"/>
  <c r="AG23" i="1"/>
  <c r="AI23" i="1" s="1"/>
  <c r="AK23" i="1" s="1"/>
  <c r="AM23" i="1" s="1"/>
  <c r="AO23" i="1" s="1"/>
  <c r="AQ23" i="1" s="1"/>
  <c r="AS23" i="1" s="1"/>
  <c r="AU23" i="1" s="1"/>
  <c r="AW23" i="1" s="1"/>
  <c r="AZ23" i="1" s="1"/>
  <c r="AG315" i="1"/>
  <c r="AI315" i="1" s="1"/>
  <c r="AK315" i="1" s="1"/>
  <c r="AM315" i="1" s="1"/>
  <c r="AO315" i="1" s="1"/>
  <c r="AQ315" i="1" s="1"/>
  <c r="AS315" i="1" s="1"/>
  <c r="AU315" i="1" s="1"/>
  <c r="AW315" i="1" s="1"/>
  <c r="AZ315" i="1" s="1"/>
  <c r="AX198" i="1"/>
  <c r="AY198" i="1" s="1"/>
  <c r="AZ198" i="1" s="1"/>
  <c r="AG272" i="1"/>
  <c r="AI272" i="1" s="1"/>
  <c r="AK272" i="1" s="1"/>
  <c r="AM272" i="1" s="1"/>
  <c r="AO272" i="1" s="1"/>
  <c r="AQ272" i="1" s="1"/>
  <c r="AS272" i="1" s="1"/>
  <c r="AU272" i="1" s="1"/>
  <c r="AW272" i="1" s="1"/>
  <c r="AZ272" i="1" s="1"/>
  <c r="AG185" i="1"/>
  <c r="AI185" i="1" s="1"/>
  <c r="AK185" i="1" s="1"/>
  <c r="AM185" i="1" s="1"/>
  <c r="AO185" i="1" s="1"/>
  <c r="AQ185" i="1" s="1"/>
  <c r="AS185" i="1" s="1"/>
  <c r="AU185" i="1" s="1"/>
  <c r="AW185" i="1" s="1"/>
  <c r="AZ185" i="1" s="1"/>
  <c r="AX155" i="1"/>
  <c r="AY155" i="1" s="1"/>
  <c r="AZ155" i="1" s="1"/>
  <c r="AG175" i="1"/>
  <c r="AI175" i="1" s="1"/>
  <c r="AK175" i="1" s="1"/>
  <c r="AM175" i="1" s="1"/>
  <c r="AO175" i="1" s="1"/>
  <c r="AQ175" i="1" s="1"/>
  <c r="AS175" i="1" s="1"/>
  <c r="AU175" i="1" s="1"/>
  <c r="AW175" i="1" s="1"/>
  <c r="AZ175" i="1" s="1"/>
  <c r="AZ189" i="1"/>
  <c r="AG158" i="1"/>
  <c r="AI158" i="1" s="1"/>
  <c r="AK158" i="1" s="1"/>
  <c r="AM158" i="1" s="1"/>
  <c r="AO158" i="1" s="1"/>
  <c r="AQ158" i="1" s="1"/>
  <c r="AS158" i="1" s="1"/>
  <c r="AU158" i="1" s="1"/>
  <c r="AW158" i="1" s="1"/>
  <c r="AZ158" i="1" s="1"/>
  <c r="AX48" i="1"/>
  <c r="AY48" i="1" s="1"/>
  <c r="AZ48" i="1" s="1"/>
  <c r="AX323" i="1"/>
  <c r="AY323" i="1" s="1"/>
  <c r="AZ323" i="1" s="1"/>
  <c r="AX209" i="1"/>
  <c r="AY209" i="1" s="1"/>
  <c r="AZ209" i="1" s="1"/>
  <c r="AX187" i="1"/>
  <c r="AY187" i="1" s="1"/>
  <c r="AZ187" i="1" s="1"/>
  <c r="AG120" i="1"/>
  <c r="AI120" i="1" s="1"/>
  <c r="AK120" i="1" s="1"/>
  <c r="AM120" i="1" s="1"/>
  <c r="AO120" i="1" s="1"/>
  <c r="AQ120" i="1" s="1"/>
  <c r="AS120" i="1" s="1"/>
  <c r="AU120" i="1" s="1"/>
  <c r="AW120" i="1" s="1"/>
  <c r="AZ120" i="1" s="1"/>
  <c r="AG327" i="1"/>
  <c r="AI327" i="1" s="1"/>
  <c r="AK327" i="1" s="1"/>
  <c r="AM327" i="1" s="1"/>
  <c r="AO327" i="1" s="1"/>
  <c r="AQ327" i="1" s="1"/>
  <c r="AS327" i="1" s="1"/>
  <c r="AU327" i="1" s="1"/>
  <c r="AW327" i="1" s="1"/>
  <c r="AZ327" i="1" s="1"/>
  <c r="AX174" i="1"/>
  <c r="AY174" i="1" s="1"/>
  <c r="AZ174" i="1" s="1"/>
  <c r="AX49" i="1"/>
  <c r="AY49" i="1" s="1"/>
  <c r="AZ49" i="1" s="1"/>
  <c r="AX177" i="1"/>
  <c r="AY177" i="1" s="1"/>
  <c r="AZ177" i="1" s="1"/>
  <c r="AX225" i="1"/>
  <c r="AY225" i="1" s="1"/>
  <c r="AZ225" i="1" s="1"/>
  <c r="AG269" i="1"/>
  <c r="AI269" i="1" s="1"/>
  <c r="AK269" i="1" s="1"/>
  <c r="AM269" i="1" s="1"/>
  <c r="AO269" i="1" s="1"/>
  <c r="AQ269" i="1" s="1"/>
  <c r="AS269" i="1" s="1"/>
  <c r="AU269" i="1" s="1"/>
  <c r="AW269" i="1" s="1"/>
  <c r="AZ269" i="1" s="1"/>
  <c r="AZ133" i="1"/>
  <c r="AZ52" i="1"/>
  <c r="AX34" i="1"/>
  <c r="AY34" i="1" s="1"/>
  <c r="AZ34" i="1" s="1"/>
  <c r="AG6" i="1"/>
  <c r="AI6" i="1" s="1"/>
  <c r="AX162" i="1"/>
  <c r="AY162" i="1" s="1"/>
  <c r="AZ162" i="1" s="1"/>
  <c r="AX295" i="1"/>
  <c r="AY295" i="1" s="1"/>
  <c r="AZ295" i="1" s="1"/>
  <c r="AX290" i="1"/>
  <c r="AY290" i="1" s="1"/>
  <c r="AZ290" i="1" s="1"/>
  <c r="AX336" i="1"/>
  <c r="AY336" i="1" s="1"/>
  <c r="AZ336" i="1" s="1"/>
  <c r="AX303" i="1"/>
  <c r="AY303" i="1" s="1"/>
  <c r="AZ303" i="1" s="1"/>
  <c r="AG211" i="1"/>
  <c r="AI211" i="1" s="1"/>
  <c r="AK211" i="1" s="1"/>
  <c r="AM211" i="1" s="1"/>
  <c r="AO211" i="1" s="1"/>
  <c r="AQ211" i="1" s="1"/>
  <c r="AS211" i="1" s="1"/>
  <c r="AU211" i="1" s="1"/>
  <c r="AW211" i="1" s="1"/>
  <c r="AZ211" i="1" s="1"/>
  <c r="AG300" i="1"/>
  <c r="AI300" i="1" s="1"/>
  <c r="AK300" i="1" s="1"/>
  <c r="AM300" i="1" s="1"/>
  <c r="AO300" i="1" s="1"/>
  <c r="AQ300" i="1" s="1"/>
  <c r="AS300" i="1" s="1"/>
  <c r="AU300" i="1" s="1"/>
  <c r="AW300" i="1" s="1"/>
  <c r="AZ300" i="1" s="1"/>
  <c r="AX356" i="1"/>
  <c r="AY356" i="1" s="1"/>
  <c r="AZ356" i="1" s="1"/>
  <c r="AX9" i="1"/>
  <c r="AY9" i="1" s="1"/>
  <c r="AZ9" i="1" s="1"/>
  <c r="AX190" i="1"/>
  <c r="AY190" i="1" s="1"/>
  <c r="AZ190" i="1" s="1"/>
  <c r="AX149" i="1"/>
  <c r="AY149" i="1" s="1"/>
  <c r="AZ149" i="1" s="1"/>
  <c r="AG329" i="1"/>
  <c r="AI329" i="1" s="1"/>
  <c r="AK329" i="1" s="1"/>
  <c r="AM329" i="1" s="1"/>
  <c r="AO329" i="1" s="1"/>
  <c r="AQ329" i="1" s="1"/>
  <c r="AS329" i="1" s="1"/>
  <c r="AU329" i="1" s="1"/>
  <c r="AW329" i="1" s="1"/>
  <c r="AZ329" i="1" s="1"/>
  <c r="AE161" i="1"/>
  <c r="AG161" i="1" s="1"/>
  <c r="AI161" i="1" s="1"/>
  <c r="AK161" i="1" s="1"/>
  <c r="AM161" i="1" s="1"/>
  <c r="AO161" i="1" s="1"/>
  <c r="AQ161" i="1" s="1"/>
  <c r="AS161" i="1" s="1"/>
  <c r="AU161" i="1" s="1"/>
  <c r="AW161" i="1" s="1"/>
  <c r="AZ161" i="1" s="1"/>
  <c r="AG12" i="1"/>
  <c r="AI12" i="1" s="1"/>
  <c r="AK12" i="1" s="1"/>
  <c r="AM12" i="1" s="1"/>
  <c r="AO12" i="1" s="1"/>
  <c r="AQ12" i="1" s="1"/>
  <c r="AS12" i="1" s="1"/>
  <c r="AU12" i="1" s="1"/>
  <c r="AW12" i="1" s="1"/>
  <c r="AZ12" i="1" s="1"/>
  <c r="AG214" i="1"/>
  <c r="AI214" i="1" s="1"/>
  <c r="AK214" i="1" s="1"/>
  <c r="AM214" i="1" s="1"/>
  <c r="AO214" i="1" s="1"/>
  <c r="AQ214" i="1" s="1"/>
  <c r="AS214" i="1" s="1"/>
  <c r="AU214" i="1" s="1"/>
  <c r="AW214" i="1" s="1"/>
  <c r="AZ214" i="1" s="1"/>
  <c r="AF136" i="1"/>
  <c r="AG136" i="1" s="1"/>
  <c r="AI136" i="1" s="1"/>
  <c r="AK136" i="1" s="1"/>
  <c r="AM136" i="1" s="1"/>
  <c r="AO136" i="1" s="1"/>
  <c r="AQ136" i="1" s="1"/>
  <c r="AS136" i="1" s="1"/>
  <c r="AU136" i="1" s="1"/>
  <c r="AW136" i="1" s="1"/>
  <c r="AF324" i="1"/>
  <c r="AG324" i="1" s="1"/>
  <c r="AI324" i="1" s="1"/>
  <c r="AK324" i="1" s="1"/>
  <c r="AM324" i="1" s="1"/>
  <c r="AO324" i="1" s="1"/>
  <c r="AQ324" i="1" s="1"/>
  <c r="AS324" i="1" s="1"/>
  <c r="AU324" i="1" s="1"/>
  <c r="AW324" i="1" s="1"/>
  <c r="AF108" i="1"/>
  <c r="AG108" i="1" s="1"/>
  <c r="AI108" i="1" s="1"/>
  <c r="AK108" i="1" s="1"/>
  <c r="AM108" i="1" s="1"/>
  <c r="AO108" i="1" s="1"/>
  <c r="AQ108" i="1" s="1"/>
  <c r="AS108" i="1" s="1"/>
  <c r="AU108" i="1" s="1"/>
  <c r="AW108" i="1" s="1"/>
  <c r="AF127" i="1"/>
  <c r="AX127" i="1" s="1"/>
  <c r="AY127" i="1" s="1"/>
  <c r="AF151" i="1"/>
  <c r="AG151" i="1" s="1"/>
  <c r="AI151" i="1" s="1"/>
  <c r="AK151" i="1" s="1"/>
  <c r="AM151" i="1" s="1"/>
  <c r="AO151" i="1" s="1"/>
  <c r="AQ151" i="1" s="1"/>
  <c r="AS151" i="1" s="1"/>
  <c r="AU151" i="1" s="1"/>
  <c r="AW151" i="1" s="1"/>
  <c r="AF128" i="1"/>
  <c r="AG128" i="1" s="1"/>
  <c r="AI128" i="1" s="1"/>
  <c r="AK128" i="1" s="1"/>
  <c r="AM128" i="1" s="1"/>
  <c r="AO128" i="1" s="1"/>
  <c r="AQ128" i="1" s="1"/>
  <c r="AS128" i="1" s="1"/>
  <c r="AU128" i="1" s="1"/>
  <c r="AW128" i="1" s="1"/>
  <c r="AF337" i="1"/>
  <c r="AG337" i="1" s="1"/>
  <c r="AI337" i="1" s="1"/>
  <c r="AK337" i="1" s="1"/>
  <c r="AM337" i="1" s="1"/>
  <c r="AO337" i="1" s="1"/>
  <c r="AQ337" i="1" s="1"/>
  <c r="AS337" i="1" s="1"/>
  <c r="AU337" i="1" s="1"/>
  <c r="AW337" i="1" s="1"/>
  <c r="AX69" i="1"/>
  <c r="AY69" i="1" s="1"/>
  <c r="AZ69" i="1" s="1"/>
  <c r="AF283" i="1"/>
  <c r="AG283" i="1" s="1"/>
  <c r="AI283" i="1" s="1"/>
  <c r="AK283" i="1" s="1"/>
  <c r="AM283" i="1" s="1"/>
  <c r="AO283" i="1" s="1"/>
  <c r="AQ283" i="1" s="1"/>
  <c r="AS283" i="1" s="1"/>
  <c r="AU283" i="1" s="1"/>
  <c r="AW283" i="1" s="1"/>
  <c r="AX38" i="1"/>
  <c r="AY38" i="1" s="1"/>
  <c r="AZ38" i="1" s="1"/>
  <c r="AF115" i="1"/>
  <c r="AX115" i="1" s="1"/>
  <c r="AY115" i="1" s="1"/>
  <c r="AF8" i="1"/>
  <c r="AG8" i="1" s="1"/>
  <c r="AI8" i="1" s="1"/>
  <c r="AK8" i="1" s="1"/>
  <c r="AM8" i="1" s="1"/>
  <c r="AO8" i="1" s="1"/>
  <c r="AQ8" i="1" s="1"/>
  <c r="AS8" i="1" s="1"/>
  <c r="AU8" i="1" s="1"/>
  <c r="AW8" i="1" s="1"/>
  <c r="AF87" i="1"/>
  <c r="AX87" i="1" s="1"/>
  <c r="AY87" i="1" s="1"/>
  <c r="AF14" i="1"/>
  <c r="AG14" i="1" s="1"/>
  <c r="AI14" i="1" s="1"/>
  <c r="AK14" i="1" s="1"/>
  <c r="AM14" i="1" s="1"/>
  <c r="AO14" i="1" s="1"/>
  <c r="AQ14" i="1" s="1"/>
  <c r="AS14" i="1" s="1"/>
  <c r="AU14" i="1" s="1"/>
  <c r="AW14" i="1" s="1"/>
  <c r="AF79" i="1"/>
  <c r="AG79" i="1" s="1"/>
  <c r="AI79" i="1" s="1"/>
  <c r="AK79" i="1" s="1"/>
  <c r="AM79" i="1" s="1"/>
  <c r="AO79" i="1" s="1"/>
  <c r="AQ79" i="1" s="1"/>
  <c r="AS79" i="1" s="1"/>
  <c r="AU79" i="1" s="1"/>
  <c r="AW79" i="1" s="1"/>
  <c r="AF366" i="1"/>
  <c r="AX366" i="1" s="1"/>
  <c r="AY366" i="1" s="1"/>
  <c r="AF188" i="1"/>
  <c r="AX188" i="1" s="1"/>
  <c r="AY188" i="1" s="1"/>
  <c r="AX215" i="1"/>
  <c r="AY215" i="1" s="1"/>
  <c r="AZ215" i="1" s="1"/>
  <c r="AF310" i="1"/>
  <c r="AG310" i="1" s="1"/>
  <c r="AI310" i="1" s="1"/>
  <c r="AK310" i="1" s="1"/>
  <c r="AM310" i="1" s="1"/>
  <c r="AO310" i="1" s="1"/>
  <c r="AQ310" i="1" s="1"/>
  <c r="AS310" i="1" s="1"/>
  <c r="AU310" i="1" s="1"/>
  <c r="AW310" i="1" s="1"/>
  <c r="AX212" i="1"/>
  <c r="AY212" i="1" s="1"/>
  <c r="AZ212" i="1" s="1"/>
  <c r="AX353" i="1"/>
  <c r="AY353" i="1" s="1"/>
  <c r="AZ353" i="1" s="1"/>
  <c r="AX204" i="1"/>
  <c r="AY204" i="1" s="1"/>
  <c r="AZ204" i="1" s="1"/>
  <c r="AX266" i="1"/>
  <c r="AY266" i="1" s="1"/>
  <c r="AZ266" i="1" s="1"/>
  <c r="AF319" i="1"/>
  <c r="AX319" i="1" s="1"/>
  <c r="AY319" i="1" s="1"/>
  <c r="AG319" i="1"/>
  <c r="AI319" i="1" s="1"/>
  <c r="AK319" i="1" s="1"/>
  <c r="AM319" i="1" s="1"/>
  <c r="AO319" i="1" s="1"/>
  <c r="AQ319" i="1" s="1"/>
  <c r="AS319" i="1" s="1"/>
  <c r="AU319" i="1" s="1"/>
  <c r="AW319" i="1" s="1"/>
  <c r="AF90" i="1"/>
  <c r="AX90" i="1" s="1"/>
  <c r="AY90" i="1" s="1"/>
  <c r="AX154" i="1"/>
  <c r="AY154" i="1" s="1"/>
  <c r="AZ154" i="1" s="1"/>
  <c r="AF15" i="1"/>
  <c r="AG15" i="1" s="1"/>
  <c r="AI15" i="1" s="1"/>
  <c r="AK15" i="1" s="1"/>
  <c r="AM15" i="1" s="1"/>
  <c r="AO15" i="1" s="1"/>
  <c r="AQ15" i="1" s="1"/>
  <c r="AS15" i="1" s="1"/>
  <c r="AU15" i="1" s="1"/>
  <c r="AW15" i="1" s="1"/>
  <c r="AX140" i="1"/>
  <c r="AY140" i="1" s="1"/>
  <c r="AZ140" i="1" s="1"/>
  <c r="AF25" i="1"/>
  <c r="AX25" i="1" s="1"/>
  <c r="AY25" i="1" s="1"/>
  <c r="AF306" i="1"/>
  <c r="AG306" i="1" s="1"/>
  <c r="AI306" i="1" s="1"/>
  <c r="AK306" i="1" s="1"/>
  <c r="AM306" i="1" s="1"/>
  <c r="AO306" i="1" s="1"/>
  <c r="AQ306" i="1" s="1"/>
  <c r="AS306" i="1" s="1"/>
  <c r="AU306" i="1" s="1"/>
  <c r="AW306" i="1" s="1"/>
  <c r="AF216" i="1"/>
  <c r="AX216" i="1" s="1"/>
  <c r="AY216" i="1" s="1"/>
  <c r="AF116" i="1"/>
  <c r="AX116" i="1" s="1"/>
  <c r="AY116" i="1" s="1"/>
  <c r="AF205" i="1"/>
  <c r="AX205" i="1" s="1"/>
  <c r="AY205" i="1" s="1"/>
  <c r="AF371" i="1"/>
  <c r="AX371" i="1" s="1"/>
  <c r="AY371" i="1" s="1"/>
  <c r="AF368" i="1"/>
  <c r="AG368" i="1" s="1"/>
  <c r="AI368" i="1" s="1"/>
  <c r="AK368" i="1" s="1"/>
  <c r="AM368" i="1" s="1"/>
  <c r="AO368" i="1" s="1"/>
  <c r="AQ368" i="1" s="1"/>
  <c r="AS368" i="1" s="1"/>
  <c r="AU368" i="1" s="1"/>
  <c r="AW368" i="1" s="1"/>
  <c r="AG60" i="1"/>
  <c r="AI60" i="1" s="1"/>
  <c r="AK60" i="1" s="1"/>
  <c r="AM60" i="1" s="1"/>
  <c r="AO60" i="1" s="1"/>
  <c r="AQ60" i="1" s="1"/>
  <c r="AS60" i="1" s="1"/>
  <c r="AU60" i="1" s="1"/>
  <c r="AW60" i="1" s="1"/>
  <c r="AZ60" i="1" s="1"/>
  <c r="AG342" i="1"/>
  <c r="AI342" i="1" s="1"/>
  <c r="AK342" i="1" s="1"/>
  <c r="AM342" i="1" s="1"/>
  <c r="AO342" i="1" s="1"/>
  <c r="AQ342" i="1" s="1"/>
  <c r="AS342" i="1" s="1"/>
  <c r="AU342" i="1" s="1"/>
  <c r="AW342" i="1" s="1"/>
  <c r="AZ342" i="1" s="1"/>
  <c r="AF284" i="1"/>
  <c r="AG284" i="1" s="1"/>
  <c r="AI284" i="1" s="1"/>
  <c r="AK284" i="1" s="1"/>
  <c r="AM284" i="1" s="1"/>
  <c r="AO284" i="1" s="1"/>
  <c r="AQ284" i="1" s="1"/>
  <c r="AS284" i="1" s="1"/>
  <c r="AU284" i="1" s="1"/>
  <c r="AW284" i="1" s="1"/>
  <c r="AF114" i="1"/>
  <c r="AG114" i="1" s="1"/>
  <c r="AI114" i="1" s="1"/>
  <c r="AK114" i="1" s="1"/>
  <c r="AM114" i="1" s="1"/>
  <c r="AO114" i="1" s="1"/>
  <c r="AQ114" i="1" s="1"/>
  <c r="AS114" i="1" s="1"/>
  <c r="AU114" i="1" s="1"/>
  <c r="AW114" i="1" s="1"/>
  <c r="AG224" i="1"/>
  <c r="AI224" i="1" s="1"/>
  <c r="AK224" i="1" s="1"/>
  <c r="AM224" i="1" s="1"/>
  <c r="AO224" i="1" s="1"/>
  <c r="AQ224" i="1" s="1"/>
  <c r="AS224" i="1" s="1"/>
  <c r="AU224" i="1" s="1"/>
  <c r="AW224" i="1" s="1"/>
  <c r="AZ224" i="1" s="1"/>
  <c r="AF37" i="1"/>
  <c r="AG37" i="1" s="1"/>
  <c r="AI37" i="1" s="1"/>
  <c r="AK37" i="1" s="1"/>
  <c r="AM37" i="1" s="1"/>
  <c r="AO37" i="1" s="1"/>
  <c r="AQ37" i="1" s="1"/>
  <c r="AS37" i="1" s="1"/>
  <c r="AU37" i="1" s="1"/>
  <c r="AW37" i="1" s="1"/>
  <c r="AG201" i="1"/>
  <c r="AI201" i="1" s="1"/>
  <c r="AK201" i="1" s="1"/>
  <c r="AM201" i="1" s="1"/>
  <c r="AO201" i="1" s="1"/>
  <c r="AQ201" i="1" s="1"/>
  <c r="AS201" i="1" s="1"/>
  <c r="AU201" i="1" s="1"/>
  <c r="AW201" i="1" s="1"/>
  <c r="AZ201" i="1" s="1"/>
  <c r="AF121" i="1"/>
  <c r="AG121" i="1" s="1"/>
  <c r="AI121" i="1" s="1"/>
  <c r="AK121" i="1" s="1"/>
  <c r="AM121" i="1" s="1"/>
  <c r="AO121" i="1" s="1"/>
  <c r="AQ121" i="1" s="1"/>
  <c r="AS121" i="1" s="1"/>
  <c r="AU121" i="1" s="1"/>
  <c r="AW121" i="1" s="1"/>
  <c r="AF296" i="1"/>
  <c r="AG296" i="1" s="1"/>
  <c r="AI296" i="1" s="1"/>
  <c r="AK296" i="1" s="1"/>
  <c r="AM296" i="1" s="1"/>
  <c r="AO296" i="1" s="1"/>
  <c r="AQ296" i="1" s="1"/>
  <c r="AS296" i="1" s="1"/>
  <c r="AU296" i="1" s="1"/>
  <c r="AW296" i="1" s="1"/>
  <c r="AG66" i="1"/>
  <c r="AI66" i="1" s="1"/>
  <c r="AK66" i="1" s="1"/>
  <c r="AM66" i="1" s="1"/>
  <c r="AO66" i="1" s="1"/>
  <c r="AQ66" i="1" s="1"/>
  <c r="AS66" i="1" s="1"/>
  <c r="AU66" i="1" s="1"/>
  <c r="AW66" i="1" s="1"/>
  <c r="AZ66" i="1" s="1"/>
  <c r="AE92" i="1"/>
  <c r="AG138" i="1"/>
  <c r="AI138" i="1" s="1"/>
  <c r="AK138" i="1" s="1"/>
  <c r="AM138" i="1" s="1"/>
  <c r="AO138" i="1" s="1"/>
  <c r="AQ138" i="1" s="1"/>
  <c r="AS138" i="1" s="1"/>
  <c r="AU138" i="1" s="1"/>
  <c r="AW138" i="1" s="1"/>
  <c r="AZ138" i="1" s="1"/>
  <c r="AF95" i="1"/>
  <c r="AG95" i="1" s="1"/>
  <c r="AI95" i="1" s="1"/>
  <c r="AK95" i="1" s="1"/>
  <c r="AM95" i="1" s="1"/>
  <c r="AO95" i="1" s="1"/>
  <c r="AQ95" i="1" s="1"/>
  <c r="AS95" i="1" s="1"/>
  <c r="AU95" i="1" s="1"/>
  <c r="AW95" i="1" s="1"/>
  <c r="AF173" i="1"/>
  <c r="AX173" i="1" s="1"/>
  <c r="AY173" i="1" s="1"/>
  <c r="AF59" i="1"/>
  <c r="AX59" i="1" s="1"/>
  <c r="AY59" i="1" s="1"/>
  <c r="AX169" i="1"/>
  <c r="AY169" i="1" s="1"/>
  <c r="AZ169" i="1" s="1"/>
  <c r="AG339" i="1"/>
  <c r="AI339" i="1" s="1"/>
  <c r="AK339" i="1" s="1"/>
  <c r="AM339" i="1" s="1"/>
  <c r="AO339" i="1" s="1"/>
  <c r="AQ339" i="1" s="1"/>
  <c r="AS339" i="1" s="1"/>
  <c r="AU339" i="1" s="1"/>
  <c r="AW339" i="1" s="1"/>
  <c r="AZ339" i="1" s="1"/>
  <c r="AG135" i="1"/>
  <c r="AI135" i="1" s="1"/>
  <c r="AK135" i="1" s="1"/>
  <c r="AM135" i="1" s="1"/>
  <c r="AO135" i="1" s="1"/>
  <c r="AQ135" i="1" s="1"/>
  <c r="AS135" i="1" s="1"/>
  <c r="AU135" i="1" s="1"/>
  <c r="AW135" i="1" s="1"/>
  <c r="AZ135" i="1" s="1"/>
  <c r="AE352" i="1"/>
  <c r="AG297" i="1"/>
  <c r="AI297" i="1" s="1"/>
  <c r="AK297" i="1" s="1"/>
  <c r="AM297" i="1" s="1"/>
  <c r="AO297" i="1" s="1"/>
  <c r="AQ297" i="1" s="1"/>
  <c r="AS297" i="1" s="1"/>
  <c r="AU297" i="1" s="1"/>
  <c r="AW297" i="1" s="1"/>
  <c r="AZ297" i="1" s="1"/>
  <c r="AF326" i="1"/>
  <c r="AG326" i="1" s="1"/>
  <c r="AI326" i="1" s="1"/>
  <c r="AK326" i="1" s="1"/>
  <c r="AM326" i="1" s="1"/>
  <c r="AO326" i="1" s="1"/>
  <c r="AQ326" i="1" s="1"/>
  <c r="AS326" i="1" s="1"/>
  <c r="AU326" i="1" s="1"/>
  <c r="AW326" i="1" s="1"/>
  <c r="AD43" i="1"/>
  <c r="AE43" i="1"/>
  <c r="AF222" i="1"/>
  <c r="AX222" i="1" s="1"/>
  <c r="AY222" i="1" s="1"/>
  <c r="AZ347" i="1"/>
  <c r="AG47" i="1"/>
  <c r="AI47" i="1" s="1"/>
  <c r="AK47" i="1" s="1"/>
  <c r="AM47" i="1" s="1"/>
  <c r="AO47" i="1" s="1"/>
  <c r="AQ47" i="1" s="1"/>
  <c r="AS47" i="1" s="1"/>
  <c r="AU47" i="1" s="1"/>
  <c r="AW47" i="1" s="1"/>
  <c r="AZ47" i="1" s="1"/>
  <c r="AG355" i="1"/>
  <c r="AI355" i="1" s="1"/>
  <c r="AK355" i="1" s="1"/>
  <c r="AM355" i="1" s="1"/>
  <c r="AO355" i="1" s="1"/>
  <c r="AQ355" i="1" s="1"/>
  <c r="AS355" i="1" s="1"/>
  <c r="AU355" i="1" s="1"/>
  <c r="AW355" i="1" s="1"/>
  <c r="AZ355" i="1" s="1"/>
  <c r="AF153" i="1"/>
  <c r="AG153" i="1" s="1"/>
  <c r="AI153" i="1" s="1"/>
  <c r="AK153" i="1" s="1"/>
  <c r="AM153" i="1" s="1"/>
  <c r="AO153" i="1" s="1"/>
  <c r="AQ153" i="1" s="1"/>
  <c r="AS153" i="1" s="1"/>
  <c r="AU153" i="1" s="1"/>
  <c r="AW153" i="1" s="1"/>
  <c r="AG307" i="1"/>
  <c r="AI307" i="1" s="1"/>
  <c r="AK307" i="1" s="1"/>
  <c r="AM307" i="1" s="1"/>
  <c r="AO307" i="1" s="1"/>
  <c r="AQ307" i="1" s="1"/>
  <c r="AS307" i="1" s="1"/>
  <c r="AU307" i="1" s="1"/>
  <c r="AW307" i="1" s="1"/>
  <c r="AZ307" i="1" s="1"/>
  <c r="AF248" i="1"/>
  <c r="AG248" i="1" s="1"/>
  <c r="AI248" i="1" s="1"/>
  <c r="AK248" i="1" s="1"/>
  <c r="AM248" i="1" s="1"/>
  <c r="AO248" i="1" s="1"/>
  <c r="AQ248" i="1" s="1"/>
  <c r="AS248" i="1" s="1"/>
  <c r="AU248" i="1" s="1"/>
  <c r="AW248" i="1" s="1"/>
  <c r="AG80" i="1"/>
  <c r="AI80" i="1" s="1"/>
  <c r="AK80" i="1" s="1"/>
  <c r="AM80" i="1" s="1"/>
  <c r="AO80" i="1" s="1"/>
  <c r="AQ80" i="1" s="1"/>
  <c r="AS80" i="1" s="1"/>
  <c r="AU80" i="1" s="1"/>
  <c r="AW80" i="1" s="1"/>
  <c r="AZ80" i="1" s="1"/>
  <c r="AD132" i="1"/>
  <c r="AG206" i="1"/>
  <c r="AI206" i="1" s="1"/>
  <c r="AK206" i="1" s="1"/>
  <c r="AM206" i="1" s="1"/>
  <c r="AO206" i="1" s="1"/>
  <c r="AQ206" i="1" s="1"/>
  <c r="AS206" i="1" s="1"/>
  <c r="AU206" i="1" s="1"/>
  <c r="AW206" i="1" s="1"/>
  <c r="AZ206" i="1" s="1"/>
  <c r="AE74" i="1"/>
  <c r="AG245" i="1"/>
  <c r="AI245" i="1" s="1"/>
  <c r="AK245" i="1" s="1"/>
  <c r="AM245" i="1" s="1"/>
  <c r="AO245" i="1" s="1"/>
  <c r="AQ245" i="1" s="1"/>
  <c r="AS245" i="1" s="1"/>
  <c r="AU245" i="1" s="1"/>
  <c r="AW245" i="1" s="1"/>
  <c r="AZ245" i="1" s="1"/>
  <c r="AF316" i="1"/>
  <c r="AG316" i="1" s="1"/>
  <c r="AI316" i="1" s="1"/>
  <c r="AK316" i="1" s="1"/>
  <c r="AM316" i="1" s="1"/>
  <c r="AO316" i="1" s="1"/>
  <c r="AQ316" i="1" s="1"/>
  <c r="AS316" i="1" s="1"/>
  <c r="AU316" i="1" s="1"/>
  <c r="AW316" i="1" s="1"/>
  <c r="AG150" i="1"/>
  <c r="AI150" i="1" s="1"/>
  <c r="AK150" i="1" s="1"/>
  <c r="AM150" i="1" s="1"/>
  <c r="AO150" i="1" s="1"/>
  <c r="AQ150" i="1" s="1"/>
  <c r="AS150" i="1" s="1"/>
  <c r="AU150" i="1" s="1"/>
  <c r="AW150" i="1" s="1"/>
  <c r="AZ150" i="1" s="1"/>
  <c r="AG330" i="1"/>
  <c r="AI330" i="1" s="1"/>
  <c r="AK330" i="1" s="1"/>
  <c r="AM330" i="1" s="1"/>
  <c r="AO330" i="1" s="1"/>
  <c r="AQ330" i="1" s="1"/>
  <c r="AS330" i="1" s="1"/>
  <c r="AU330" i="1" s="1"/>
  <c r="AW330" i="1" s="1"/>
  <c r="AZ330" i="1" s="1"/>
  <c r="AD361" i="1"/>
  <c r="AE182" i="1"/>
  <c r="AF110" i="1"/>
  <c r="AX110" i="1" s="1"/>
  <c r="AY110" i="1" s="1"/>
  <c r="AF197" i="1"/>
  <c r="AG197" i="1" s="1"/>
  <c r="AI197" i="1" s="1"/>
  <c r="AK197" i="1" s="1"/>
  <c r="AM197" i="1" s="1"/>
  <c r="AO197" i="1" s="1"/>
  <c r="AQ197" i="1" s="1"/>
  <c r="AS197" i="1" s="1"/>
  <c r="AU197" i="1" s="1"/>
  <c r="AW197" i="1" s="1"/>
  <c r="AD170" i="1"/>
  <c r="AF186" i="1"/>
  <c r="AX186" i="1" s="1"/>
  <c r="AY186" i="1" s="1"/>
  <c r="AE184" i="1"/>
  <c r="AF340" i="1"/>
  <c r="AX340" i="1" s="1"/>
  <c r="AY340" i="1" s="1"/>
  <c r="AF101" i="1"/>
  <c r="AG101" i="1" s="1"/>
  <c r="AI101" i="1" s="1"/>
  <c r="AK101" i="1" s="1"/>
  <c r="AM101" i="1" s="1"/>
  <c r="AO101" i="1" s="1"/>
  <c r="AQ101" i="1" s="1"/>
  <c r="AS101" i="1" s="1"/>
  <c r="AU101" i="1" s="1"/>
  <c r="AW101" i="1" s="1"/>
  <c r="AD363" i="1"/>
  <c r="AX31" i="1"/>
  <c r="AY31" i="1" s="1"/>
  <c r="AZ31" i="1" s="1"/>
  <c r="AE259" i="1"/>
  <c r="AF119" i="1"/>
  <c r="AX119" i="1" s="1"/>
  <c r="AY119" i="1" s="1"/>
  <c r="AE207" i="1"/>
  <c r="AE68" i="1"/>
  <c r="AG144" i="1"/>
  <c r="AI144" i="1" s="1"/>
  <c r="AK144" i="1" s="1"/>
  <c r="AM144" i="1" s="1"/>
  <c r="AO144" i="1" s="1"/>
  <c r="AQ144" i="1" s="1"/>
  <c r="AS144" i="1" s="1"/>
  <c r="AU144" i="1" s="1"/>
  <c r="AW144" i="1" s="1"/>
  <c r="AZ144" i="1" s="1"/>
  <c r="AF22" i="1"/>
  <c r="AX22" i="1" s="1"/>
  <c r="AY22" i="1" s="1"/>
  <c r="AE299" i="1"/>
  <c r="AF33" i="1"/>
  <c r="AG33" i="1" s="1"/>
  <c r="AI33" i="1" s="1"/>
  <c r="AK33" i="1" s="1"/>
  <c r="AM33" i="1" s="1"/>
  <c r="AO33" i="1" s="1"/>
  <c r="AQ33" i="1" s="1"/>
  <c r="AS33" i="1" s="1"/>
  <c r="AU33" i="1" s="1"/>
  <c r="AW33" i="1" s="1"/>
  <c r="AG10" i="1"/>
  <c r="AI10" i="1" s="1"/>
  <c r="AK10" i="1" s="1"/>
  <c r="AM10" i="1" s="1"/>
  <c r="AO10" i="1" s="1"/>
  <c r="AQ10" i="1" s="1"/>
  <c r="AS10" i="1" s="1"/>
  <c r="AU10" i="1" s="1"/>
  <c r="AW10" i="1" s="1"/>
  <c r="AZ10" i="1" s="1"/>
  <c r="AG58" i="1"/>
  <c r="AI58" i="1" s="1"/>
  <c r="AK58" i="1" s="1"/>
  <c r="AM58" i="1" s="1"/>
  <c r="AO58" i="1" s="1"/>
  <c r="AQ58" i="1" s="1"/>
  <c r="AS58" i="1" s="1"/>
  <c r="AU58" i="1" s="1"/>
  <c r="AW58" i="1" s="1"/>
  <c r="AZ58" i="1" s="1"/>
  <c r="AG50" i="1"/>
  <c r="AI50" i="1" s="1"/>
  <c r="AK50" i="1" s="1"/>
  <c r="AM50" i="1" s="1"/>
  <c r="AO50" i="1" s="1"/>
  <c r="AQ50" i="1" s="1"/>
  <c r="AS50" i="1" s="1"/>
  <c r="AU50" i="1" s="1"/>
  <c r="AW50" i="1" s="1"/>
  <c r="AZ50" i="1" s="1"/>
  <c r="AG242" i="1"/>
  <c r="AI242" i="1" s="1"/>
  <c r="AK242" i="1" s="1"/>
  <c r="AM242" i="1" s="1"/>
  <c r="AO242" i="1" s="1"/>
  <c r="AQ242" i="1" s="1"/>
  <c r="AS242" i="1" s="1"/>
  <c r="AU242" i="1" s="1"/>
  <c r="AW242" i="1" s="1"/>
  <c r="AZ242" i="1" s="1"/>
  <c r="AF84" i="1"/>
  <c r="AX84" i="1" s="1"/>
  <c r="AY84" i="1" s="1"/>
  <c r="AF83" i="1"/>
  <c r="AG83" i="1" s="1"/>
  <c r="AI83" i="1" s="1"/>
  <c r="AK83" i="1" s="1"/>
  <c r="AM83" i="1" s="1"/>
  <c r="AO83" i="1" s="1"/>
  <c r="AQ83" i="1" s="1"/>
  <c r="AS83" i="1" s="1"/>
  <c r="AU83" i="1" s="1"/>
  <c r="AW83" i="1" s="1"/>
  <c r="AE16" i="1"/>
  <c r="AG312" i="1"/>
  <c r="AI312" i="1" s="1"/>
  <c r="AK312" i="1" s="1"/>
  <c r="AM312" i="1" s="1"/>
  <c r="AO312" i="1" s="1"/>
  <c r="AQ312" i="1" s="1"/>
  <c r="AS312" i="1" s="1"/>
  <c r="AU312" i="1" s="1"/>
  <c r="AW312" i="1" s="1"/>
  <c r="AZ312" i="1" s="1"/>
  <c r="AF240" i="1"/>
  <c r="AG240" i="1" s="1"/>
  <c r="AI240" i="1" s="1"/>
  <c r="AK240" i="1" s="1"/>
  <c r="AM240" i="1" s="1"/>
  <c r="AO240" i="1" s="1"/>
  <c r="AQ240" i="1" s="1"/>
  <c r="AS240" i="1" s="1"/>
  <c r="AU240" i="1" s="1"/>
  <c r="AW240" i="1" s="1"/>
  <c r="AF202" i="1"/>
  <c r="AX202" i="1" s="1"/>
  <c r="AY202" i="1" s="1"/>
  <c r="AE100" i="1"/>
  <c r="AG96" i="1"/>
  <c r="AI96" i="1" s="1"/>
  <c r="AK96" i="1" s="1"/>
  <c r="AM96" i="1" s="1"/>
  <c r="AO96" i="1" s="1"/>
  <c r="AQ96" i="1" s="1"/>
  <c r="AS96" i="1" s="1"/>
  <c r="AU96" i="1" s="1"/>
  <c r="AW96" i="1" s="1"/>
  <c r="AZ96" i="1" s="1"/>
  <c r="AF359" i="1"/>
  <c r="AG359" i="1" s="1"/>
  <c r="AI359" i="1" s="1"/>
  <c r="AK359" i="1" s="1"/>
  <c r="AM359" i="1" s="1"/>
  <c r="AO359" i="1" s="1"/>
  <c r="AQ359" i="1" s="1"/>
  <c r="AS359" i="1" s="1"/>
  <c r="AU359" i="1" s="1"/>
  <c r="AW359" i="1" s="1"/>
  <c r="AG286" i="1"/>
  <c r="AI286" i="1" s="1"/>
  <c r="AK286" i="1" s="1"/>
  <c r="AM286" i="1" s="1"/>
  <c r="AO286" i="1" s="1"/>
  <c r="AQ286" i="1" s="1"/>
  <c r="AS286" i="1" s="1"/>
  <c r="AU286" i="1" s="1"/>
  <c r="AW286" i="1" s="1"/>
  <c r="AZ286" i="1" s="1"/>
  <c r="AG302" i="1"/>
  <c r="AI302" i="1" s="1"/>
  <c r="AK302" i="1" s="1"/>
  <c r="AM302" i="1" s="1"/>
  <c r="AO302" i="1" s="1"/>
  <c r="AQ302" i="1" s="1"/>
  <c r="AS302" i="1" s="1"/>
  <c r="AU302" i="1" s="1"/>
  <c r="AW302" i="1" s="1"/>
  <c r="AZ302" i="1" s="1"/>
  <c r="AG82" i="1"/>
  <c r="AI82" i="1" s="1"/>
  <c r="AK82" i="1" s="1"/>
  <c r="AM82" i="1" s="1"/>
  <c r="AO82" i="1" s="1"/>
  <c r="AQ82" i="1" s="1"/>
  <c r="AS82" i="1" s="1"/>
  <c r="AU82" i="1" s="1"/>
  <c r="AW82" i="1" s="1"/>
  <c r="AZ82" i="1" s="1"/>
  <c r="AD367" i="1"/>
  <c r="AE367" i="1" s="1"/>
  <c r="AG45" i="1"/>
  <c r="AI45" i="1" s="1"/>
  <c r="AK45" i="1" s="1"/>
  <c r="AM45" i="1" s="1"/>
  <c r="AO45" i="1" s="1"/>
  <c r="AQ45" i="1" s="1"/>
  <c r="AS45" i="1" s="1"/>
  <c r="AU45" i="1" s="1"/>
  <c r="AW45" i="1" s="1"/>
  <c r="AZ45" i="1" s="1"/>
  <c r="AG179" i="1"/>
  <c r="AI179" i="1" s="1"/>
  <c r="AK179" i="1" s="1"/>
  <c r="AM179" i="1" s="1"/>
  <c r="AO179" i="1" s="1"/>
  <c r="AQ179" i="1" s="1"/>
  <c r="AS179" i="1" s="1"/>
  <c r="AU179" i="1" s="1"/>
  <c r="AW179" i="1" s="1"/>
  <c r="AZ179" i="1" s="1"/>
  <c r="AF122" i="1"/>
  <c r="AG122" i="1" s="1"/>
  <c r="AI122" i="1" s="1"/>
  <c r="AK122" i="1" s="1"/>
  <c r="AM122" i="1" s="1"/>
  <c r="AO122" i="1" s="1"/>
  <c r="AQ122" i="1" s="1"/>
  <c r="AS122" i="1" s="1"/>
  <c r="AU122" i="1" s="1"/>
  <c r="AW122" i="1" s="1"/>
  <c r="AF232" i="1"/>
  <c r="AG232" i="1" s="1"/>
  <c r="AI232" i="1" s="1"/>
  <c r="AK232" i="1" s="1"/>
  <c r="AM232" i="1" s="1"/>
  <c r="AO232" i="1" s="1"/>
  <c r="AQ232" i="1" s="1"/>
  <c r="AS232" i="1" s="1"/>
  <c r="AU232" i="1" s="1"/>
  <c r="AW232" i="1" s="1"/>
  <c r="AG27" i="1"/>
  <c r="AI27" i="1" s="1"/>
  <c r="AK27" i="1" s="1"/>
  <c r="AM27" i="1" s="1"/>
  <c r="AO27" i="1" s="1"/>
  <c r="AQ27" i="1" s="1"/>
  <c r="AS27" i="1" s="1"/>
  <c r="AU27" i="1" s="1"/>
  <c r="AW27" i="1" s="1"/>
  <c r="AZ27" i="1" s="1"/>
  <c r="AF36" i="1"/>
  <c r="AX36" i="1" s="1"/>
  <c r="AY36" i="1" s="1"/>
  <c r="AF93" i="1"/>
  <c r="AG93" i="1" s="1"/>
  <c r="AI93" i="1" s="1"/>
  <c r="AK93" i="1" s="1"/>
  <c r="AM93" i="1" s="1"/>
  <c r="AO93" i="1" s="1"/>
  <c r="AQ93" i="1" s="1"/>
  <c r="AS93" i="1" s="1"/>
  <c r="AU93" i="1" s="1"/>
  <c r="AW93" i="1" s="1"/>
  <c r="AF218" i="1"/>
  <c r="AG218" i="1" s="1"/>
  <c r="AI218" i="1" s="1"/>
  <c r="AK218" i="1" s="1"/>
  <c r="AM218" i="1" s="1"/>
  <c r="AO218" i="1" s="1"/>
  <c r="AQ218" i="1" s="1"/>
  <c r="AS218" i="1" s="1"/>
  <c r="AU218" i="1" s="1"/>
  <c r="AW218" i="1" s="1"/>
  <c r="AF42" i="1"/>
  <c r="AX42" i="1" s="1"/>
  <c r="AY42" i="1" s="1"/>
  <c r="AF89" i="1"/>
  <c r="AX89" i="1" s="1"/>
  <c r="AY89" i="1" s="1"/>
  <c r="AG89" i="1"/>
  <c r="AI89" i="1" s="1"/>
  <c r="AK89" i="1" s="1"/>
  <c r="AM89" i="1" s="1"/>
  <c r="AO89" i="1" s="1"/>
  <c r="AQ89" i="1" s="1"/>
  <c r="AS89" i="1" s="1"/>
  <c r="AU89" i="1" s="1"/>
  <c r="AW89" i="1" s="1"/>
  <c r="AD85" i="1"/>
  <c r="AE85" i="1" s="1"/>
  <c r="AD30" i="1"/>
  <c r="AE30" i="1" s="1"/>
  <c r="AE18" i="1"/>
  <c r="AG18" i="1" s="1"/>
  <c r="AI18" i="1" s="1"/>
  <c r="AK18" i="1" s="1"/>
  <c r="AM18" i="1" s="1"/>
  <c r="AO18" i="1" s="1"/>
  <c r="AQ18" i="1" s="1"/>
  <c r="AS18" i="1" s="1"/>
  <c r="AU18" i="1" s="1"/>
  <c r="AW18" i="1" s="1"/>
  <c r="AZ18" i="1" s="1"/>
  <c r="AE64" i="1"/>
  <c r="AG309" i="1"/>
  <c r="AI309" i="1" s="1"/>
  <c r="AK309" i="1" s="1"/>
  <c r="AM309" i="1" s="1"/>
  <c r="AO309" i="1" s="1"/>
  <c r="AQ309" i="1" s="1"/>
  <c r="AS309" i="1" s="1"/>
  <c r="AU309" i="1" s="1"/>
  <c r="AW309" i="1" s="1"/>
  <c r="AZ309" i="1" s="1"/>
  <c r="AD193" i="1"/>
  <c r="AE24" i="1"/>
  <c r="AE106" i="1"/>
  <c r="AF282" i="1"/>
  <c r="AG282" i="1" s="1"/>
  <c r="AI282" i="1" s="1"/>
  <c r="AK282" i="1" s="1"/>
  <c r="AM282" i="1" s="1"/>
  <c r="AO282" i="1" s="1"/>
  <c r="AQ282" i="1" s="1"/>
  <c r="AS282" i="1" s="1"/>
  <c r="AU282" i="1" s="1"/>
  <c r="AW282" i="1" s="1"/>
  <c r="AG53" i="1"/>
  <c r="AI53" i="1" s="1"/>
  <c r="AK53" i="1" s="1"/>
  <c r="AM53" i="1" s="1"/>
  <c r="AO53" i="1" s="1"/>
  <c r="AQ53" i="1" s="1"/>
  <c r="AS53" i="1" s="1"/>
  <c r="AU53" i="1" s="1"/>
  <c r="AW53" i="1" s="1"/>
  <c r="AZ53" i="1" s="1"/>
  <c r="AF163" i="1"/>
  <c r="AX163" i="1" s="1"/>
  <c r="AY163" i="1" s="1"/>
  <c r="AG111" i="1"/>
  <c r="AI111" i="1" s="1"/>
  <c r="AK111" i="1" s="1"/>
  <c r="AM111" i="1" s="1"/>
  <c r="AO111" i="1" s="1"/>
  <c r="AQ111" i="1" s="1"/>
  <c r="AS111" i="1" s="1"/>
  <c r="AU111" i="1" s="1"/>
  <c r="AW111" i="1" s="1"/>
  <c r="AZ111" i="1" s="1"/>
  <c r="AF180" i="1"/>
  <c r="AX180" i="1" s="1"/>
  <c r="AY180" i="1" s="1"/>
  <c r="AF102" i="1"/>
  <c r="AX102" i="1" s="1"/>
  <c r="AY102" i="1" s="1"/>
  <c r="AG244" i="1"/>
  <c r="AI244" i="1" s="1"/>
  <c r="AK244" i="1" s="1"/>
  <c r="AM244" i="1" s="1"/>
  <c r="AO244" i="1" s="1"/>
  <c r="AQ244" i="1" s="1"/>
  <c r="AS244" i="1" s="1"/>
  <c r="AU244" i="1" s="1"/>
  <c r="AW244" i="1" s="1"/>
  <c r="AZ244" i="1" s="1"/>
  <c r="AF275" i="1"/>
  <c r="AG275" i="1" s="1"/>
  <c r="AI275" i="1" s="1"/>
  <c r="AK275" i="1" s="1"/>
  <c r="AM275" i="1" s="1"/>
  <c r="AO275" i="1" s="1"/>
  <c r="AQ275" i="1" s="1"/>
  <c r="AS275" i="1" s="1"/>
  <c r="AU275" i="1" s="1"/>
  <c r="AW275" i="1" s="1"/>
  <c r="AE113" i="1"/>
  <c r="AG238" i="1"/>
  <c r="AI238" i="1" s="1"/>
  <c r="AK238" i="1" s="1"/>
  <c r="AM238" i="1" s="1"/>
  <c r="AO238" i="1" s="1"/>
  <c r="AQ238" i="1" s="1"/>
  <c r="AS238" i="1" s="1"/>
  <c r="AU238" i="1" s="1"/>
  <c r="AW238" i="1" s="1"/>
  <c r="AZ238" i="1" s="1"/>
  <c r="AG61" i="1"/>
  <c r="AI61" i="1" s="1"/>
  <c r="AK61" i="1" s="1"/>
  <c r="AM61" i="1" s="1"/>
  <c r="AO61" i="1" s="1"/>
  <c r="AQ61" i="1" s="1"/>
  <c r="AS61" i="1" s="1"/>
  <c r="AU61" i="1" s="1"/>
  <c r="AW61" i="1" s="1"/>
  <c r="AZ61" i="1" s="1"/>
  <c r="AG277" i="1"/>
  <c r="AI277" i="1" s="1"/>
  <c r="AK277" i="1" s="1"/>
  <c r="AM277" i="1" s="1"/>
  <c r="AO277" i="1" s="1"/>
  <c r="AQ277" i="1" s="1"/>
  <c r="AS277" i="1" s="1"/>
  <c r="AU277" i="1" s="1"/>
  <c r="AW277" i="1" s="1"/>
  <c r="AZ277" i="1" s="1"/>
  <c r="AG354" i="1"/>
  <c r="AI354" i="1" s="1"/>
  <c r="AK354" i="1" s="1"/>
  <c r="AM354" i="1" s="1"/>
  <c r="AO354" i="1" s="1"/>
  <c r="AQ354" i="1" s="1"/>
  <c r="AS354" i="1" s="1"/>
  <c r="AU354" i="1" s="1"/>
  <c r="AW354" i="1" s="1"/>
  <c r="AZ354" i="1" s="1"/>
  <c r="AE294" i="1"/>
  <c r="AG124" i="1"/>
  <c r="AI124" i="1" s="1"/>
  <c r="AK124" i="1" s="1"/>
  <c r="AM124" i="1" s="1"/>
  <c r="AO124" i="1" s="1"/>
  <c r="AQ124" i="1" s="1"/>
  <c r="AS124" i="1" s="1"/>
  <c r="AU124" i="1" s="1"/>
  <c r="AW124" i="1" s="1"/>
  <c r="AZ124" i="1" s="1"/>
  <c r="AF247" i="1"/>
  <c r="AG247" i="1"/>
  <c r="AI247" i="1" s="1"/>
  <c r="AK247" i="1" s="1"/>
  <c r="AM247" i="1" s="1"/>
  <c r="AO247" i="1" s="1"/>
  <c r="AQ247" i="1" s="1"/>
  <c r="AS247" i="1" s="1"/>
  <c r="AU247" i="1" s="1"/>
  <c r="AW247" i="1" s="1"/>
  <c r="AX247" i="1" s="1"/>
  <c r="AY247" i="1" s="1"/>
  <c r="AX288" i="1"/>
  <c r="AY288" i="1" s="1"/>
  <c r="AZ288" i="1" s="1"/>
  <c r="AF86" i="1"/>
  <c r="AX86" i="1" s="1"/>
  <c r="AY86" i="1" s="1"/>
  <c r="AG86" i="1"/>
  <c r="AI86" i="1" s="1"/>
  <c r="AK86" i="1" s="1"/>
  <c r="AM86" i="1" s="1"/>
  <c r="AO86" i="1" s="1"/>
  <c r="AQ86" i="1" s="1"/>
  <c r="AS86" i="1" s="1"/>
  <c r="AU86" i="1" s="1"/>
  <c r="AW86" i="1" s="1"/>
  <c r="AF148" i="1"/>
  <c r="AG148" i="1" s="1"/>
  <c r="AI148" i="1" s="1"/>
  <c r="AK148" i="1" s="1"/>
  <c r="AM148" i="1" s="1"/>
  <c r="AO148" i="1" s="1"/>
  <c r="AQ148" i="1" s="1"/>
  <c r="AS148" i="1" s="1"/>
  <c r="AU148" i="1" s="1"/>
  <c r="AW148" i="1" s="1"/>
  <c r="AF172" i="1"/>
  <c r="AG172" i="1" s="1"/>
  <c r="AI172" i="1" s="1"/>
  <c r="AK172" i="1" s="1"/>
  <c r="AM172" i="1" s="1"/>
  <c r="AO172" i="1" s="1"/>
  <c r="AQ172" i="1" s="1"/>
  <c r="AS172" i="1" s="1"/>
  <c r="AU172" i="1" s="1"/>
  <c r="AW172" i="1" s="1"/>
  <c r="AE241" i="1"/>
  <c r="AF320" i="1"/>
  <c r="AG320" i="1" s="1"/>
  <c r="AI320" i="1" s="1"/>
  <c r="AK320" i="1" s="1"/>
  <c r="AM320" i="1" s="1"/>
  <c r="AO320" i="1" s="1"/>
  <c r="AQ320" i="1" s="1"/>
  <c r="AS320" i="1" s="1"/>
  <c r="AU320" i="1" s="1"/>
  <c r="AW320" i="1" s="1"/>
  <c r="AE76" i="1"/>
  <c r="AG35" i="1"/>
  <c r="AI35" i="1" s="1"/>
  <c r="AK35" i="1" s="1"/>
  <c r="AM35" i="1" s="1"/>
  <c r="AO35" i="1" s="1"/>
  <c r="AQ35" i="1" s="1"/>
  <c r="AS35" i="1" s="1"/>
  <c r="AU35" i="1" s="1"/>
  <c r="AW35" i="1" s="1"/>
  <c r="AZ35" i="1" s="1"/>
  <c r="AF292" i="1"/>
  <c r="AG292" i="1" s="1"/>
  <c r="AI292" i="1" s="1"/>
  <c r="AK292" i="1" s="1"/>
  <c r="AM292" i="1" s="1"/>
  <c r="AO292" i="1" s="1"/>
  <c r="AQ292" i="1" s="1"/>
  <c r="AS292" i="1" s="1"/>
  <c r="AU292" i="1" s="1"/>
  <c r="AW292" i="1" s="1"/>
  <c r="AF134" i="1"/>
  <c r="AG134" i="1" s="1"/>
  <c r="AI134" i="1" s="1"/>
  <c r="AK134" i="1" s="1"/>
  <c r="AM134" i="1" s="1"/>
  <c r="AO134" i="1" s="1"/>
  <c r="AQ134" i="1" s="1"/>
  <c r="AS134" i="1" s="1"/>
  <c r="AU134" i="1" s="1"/>
  <c r="AW134" i="1" s="1"/>
  <c r="AF360" i="1"/>
  <c r="AG360" i="1" s="1"/>
  <c r="AI360" i="1" s="1"/>
  <c r="AK360" i="1" s="1"/>
  <c r="AM360" i="1" s="1"/>
  <c r="AO360" i="1" s="1"/>
  <c r="AQ360" i="1" s="1"/>
  <c r="AS360" i="1" s="1"/>
  <c r="AU360" i="1" s="1"/>
  <c r="AW360" i="1" s="1"/>
  <c r="AF88" i="1"/>
  <c r="AG88" i="1" s="1"/>
  <c r="AI88" i="1" s="1"/>
  <c r="AK88" i="1" s="1"/>
  <c r="AM88" i="1" s="1"/>
  <c r="AO88" i="1" s="1"/>
  <c r="AQ88" i="1" s="1"/>
  <c r="AS88" i="1" s="1"/>
  <c r="AU88" i="1" s="1"/>
  <c r="AW88" i="1" s="1"/>
  <c r="AF348" i="1"/>
  <c r="AG348" i="1" s="1"/>
  <c r="AI348" i="1" s="1"/>
  <c r="AK348" i="1" s="1"/>
  <c r="AM348" i="1" s="1"/>
  <c r="AO348" i="1" s="1"/>
  <c r="AQ348" i="1" s="1"/>
  <c r="AS348" i="1" s="1"/>
  <c r="AU348" i="1" s="1"/>
  <c r="AW348" i="1" s="1"/>
  <c r="AF351" i="1"/>
  <c r="AG351" i="1" s="1"/>
  <c r="AI351" i="1" s="1"/>
  <c r="AK351" i="1" s="1"/>
  <c r="AM351" i="1" s="1"/>
  <c r="AO351" i="1" s="1"/>
  <c r="AQ351" i="1" s="1"/>
  <c r="AS351" i="1" s="1"/>
  <c r="AU351" i="1" s="1"/>
  <c r="AW351" i="1" s="1"/>
  <c r="AF107" i="1"/>
  <c r="AG107" i="1" s="1"/>
  <c r="AI107" i="1" s="1"/>
  <c r="AK107" i="1" s="1"/>
  <c r="AM107" i="1" s="1"/>
  <c r="AO107" i="1" s="1"/>
  <c r="AQ107" i="1" s="1"/>
  <c r="AS107" i="1" s="1"/>
  <c r="AU107" i="1" s="1"/>
  <c r="AW107" i="1" s="1"/>
  <c r="AF171" i="1"/>
  <c r="AX171" i="1" s="1"/>
  <c r="AY171" i="1" s="1"/>
  <c r="AF143" i="1"/>
  <c r="AG143" i="1" s="1"/>
  <c r="AI143" i="1" s="1"/>
  <c r="AK143" i="1" s="1"/>
  <c r="AM143" i="1" s="1"/>
  <c r="AO143" i="1" s="1"/>
  <c r="AQ143" i="1" s="1"/>
  <c r="AS143" i="1" s="1"/>
  <c r="AU143" i="1" s="1"/>
  <c r="AW143" i="1" s="1"/>
  <c r="AF210" i="1"/>
  <c r="AX210" i="1" s="1"/>
  <c r="AY210" i="1" s="1"/>
  <c r="AD72" i="1"/>
  <c r="AE72" i="1" s="1"/>
  <c r="AF112" i="1"/>
  <c r="AX112" i="1" s="1"/>
  <c r="AY112" i="1" s="1"/>
  <c r="AF117" i="1"/>
  <c r="AG117" i="1" s="1"/>
  <c r="AI117" i="1" s="1"/>
  <c r="AK117" i="1" s="1"/>
  <c r="AM117" i="1" s="1"/>
  <c r="AO117" i="1" s="1"/>
  <c r="AQ117" i="1" s="1"/>
  <c r="AS117" i="1" s="1"/>
  <c r="AU117" i="1" s="1"/>
  <c r="AW117" i="1" s="1"/>
  <c r="AF91" i="1"/>
  <c r="AX91" i="1" s="1"/>
  <c r="AY91" i="1" s="1"/>
  <c r="AD126" i="1"/>
  <c r="AE126" i="1" s="1"/>
  <c r="AE131" i="1"/>
  <c r="AE208" i="1"/>
  <c r="AG168" i="1"/>
  <c r="AI168" i="1" s="1"/>
  <c r="AK168" i="1" s="1"/>
  <c r="AM168" i="1" s="1"/>
  <c r="AO168" i="1" s="1"/>
  <c r="AQ168" i="1" s="1"/>
  <c r="AS168" i="1" s="1"/>
  <c r="AU168" i="1" s="1"/>
  <c r="AW168" i="1" s="1"/>
  <c r="AZ168" i="1" s="1"/>
  <c r="AF213" i="1"/>
  <c r="AX213" i="1" s="1"/>
  <c r="AY213" i="1" s="1"/>
  <c r="AE377" i="1"/>
  <c r="AG65" i="1"/>
  <c r="AI65" i="1" s="1"/>
  <c r="AK65" i="1" s="1"/>
  <c r="AM65" i="1" s="1"/>
  <c r="AO65" i="1" s="1"/>
  <c r="AQ65" i="1" s="1"/>
  <c r="AS65" i="1" s="1"/>
  <c r="AU65" i="1" s="1"/>
  <c r="AW65" i="1" s="1"/>
  <c r="AZ65" i="1" s="1"/>
  <c r="AG104" i="1"/>
  <c r="AI104" i="1" s="1"/>
  <c r="AK104" i="1" s="1"/>
  <c r="AM104" i="1" s="1"/>
  <c r="AO104" i="1" s="1"/>
  <c r="AQ104" i="1" s="1"/>
  <c r="AS104" i="1" s="1"/>
  <c r="AU104" i="1" s="1"/>
  <c r="AW104" i="1" s="1"/>
  <c r="AZ104" i="1" s="1"/>
  <c r="AG231" i="1"/>
  <c r="AI231" i="1" s="1"/>
  <c r="AK231" i="1" s="1"/>
  <c r="AM231" i="1" s="1"/>
  <c r="AO231" i="1" s="1"/>
  <c r="AQ231" i="1" s="1"/>
  <c r="AS231" i="1" s="1"/>
  <c r="AU231" i="1" s="1"/>
  <c r="AW231" i="1" s="1"/>
  <c r="AZ231" i="1" s="1"/>
  <c r="AF19" i="1"/>
  <c r="AG19" i="1" s="1"/>
  <c r="AI19" i="1" s="1"/>
  <c r="AK19" i="1" s="1"/>
  <c r="AM19" i="1" s="1"/>
  <c r="AO19" i="1" s="1"/>
  <c r="AQ19" i="1" s="1"/>
  <c r="AS19" i="1" s="1"/>
  <c r="AU19" i="1" s="1"/>
  <c r="AW19" i="1" s="1"/>
  <c r="AX19" i="1" s="1"/>
  <c r="AY19" i="1" s="1"/>
  <c r="AE345" i="1"/>
  <c r="AD77" i="1"/>
  <c r="AF181" i="1"/>
  <c r="AG181" i="1" s="1"/>
  <c r="AI181" i="1" s="1"/>
  <c r="AK181" i="1" s="1"/>
  <c r="AM181" i="1" s="1"/>
  <c r="AO181" i="1" s="1"/>
  <c r="AQ181" i="1" s="1"/>
  <c r="AS181" i="1" s="1"/>
  <c r="AU181" i="1" s="1"/>
  <c r="AW181" i="1" s="1"/>
  <c r="AG362" i="1"/>
  <c r="AI362" i="1" s="1"/>
  <c r="AK362" i="1" s="1"/>
  <c r="AM362" i="1" s="1"/>
  <c r="AO362" i="1" s="1"/>
  <c r="AQ362" i="1" s="1"/>
  <c r="AS362" i="1" s="1"/>
  <c r="AU362" i="1" s="1"/>
  <c r="AW362" i="1" s="1"/>
  <c r="AZ362" i="1" s="1"/>
  <c r="AE142" i="1"/>
  <c r="AF176" i="1"/>
  <c r="AX176" i="1" s="1"/>
  <c r="AY176" i="1" s="1"/>
  <c r="AX240" i="1"/>
  <c r="AY240" i="1" s="1"/>
  <c r="AE280" i="1"/>
  <c r="AE46" i="1"/>
  <c r="AF341" i="1"/>
  <c r="AG341" i="1" s="1"/>
  <c r="AI341" i="1" s="1"/>
  <c r="AK341" i="1" s="1"/>
  <c r="AM341" i="1" s="1"/>
  <c r="AO341" i="1" s="1"/>
  <c r="AQ341" i="1" s="1"/>
  <c r="AS341" i="1" s="1"/>
  <c r="AU341" i="1" s="1"/>
  <c r="AW341" i="1" s="1"/>
  <c r="AF264" i="1"/>
  <c r="AG264" i="1" s="1"/>
  <c r="AI264" i="1" s="1"/>
  <c r="AK264" i="1" s="1"/>
  <c r="AM264" i="1" s="1"/>
  <c r="AO264" i="1" s="1"/>
  <c r="AQ264" i="1" s="1"/>
  <c r="AS264" i="1" s="1"/>
  <c r="AU264" i="1" s="1"/>
  <c r="AW264" i="1" s="1"/>
  <c r="AE81" i="1"/>
  <c r="AG97" i="1"/>
  <c r="AI97" i="1" s="1"/>
  <c r="AK97" i="1" s="1"/>
  <c r="AM97" i="1" s="1"/>
  <c r="AO97" i="1" s="1"/>
  <c r="AQ97" i="1" s="1"/>
  <c r="AS97" i="1" s="1"/>
  <c r="AU97" i="1" s="1"/>
  <c r="AW97" i="1" s="1"/>
  <c r="AZ97" i="1" s="1"/>
  <c r="AG94" i="1"/>
  <c r="AI94" i="1" s="1"/>
  <c r="AK94" i="1" s="1"/>
  <c r="AM94" i="1" s="1"/>
  <c r="AO94" i="1" s="1"/>
  <c r="AQ94" i="1" s="1"/>
  <c r="AS94" i="1" s="1"/>
  <c r="AU94" i="1" s="1"/>
  <c r="AW94" i="1" s="1"/>
  <c r="AZ94" i="1" s="1"/>
  <c r="AX13" i="1"/>
  <c r="AY13" i="1" s="1"/>
  <c r="AZ13" i="1" s="1"/>
  <c r="AE73" i="1"/>
  <c r="AG234" i="1"/>
  <c r="AI234" i="1" s="1"/>
  <c r="AK234" i="1" s="1"/>
  <c r="AM234" i="1" s="1"/>
  <c r="AO234" i="1" s="1"/>
  <c r="AQ234" i="1" s="1"/>
  <c r="AS234" i="1" s="1"/>
  <c r="AU234" i="1" s="1"/>
  <c r="AW234" i="1" s="1"/>
  <c r="AZ234" i="1" s="1"/>
  <c r="AE358" i="1"/>
  <c r="AF141" i="1"/>
  <c r="AG141" i="1" s="1"/>
  <c r="AI141" i="1" s="1"/>
  <c r="AK141" i="1" s="1"/>
  <c r="AM141" i="1" s="1"/>
  <c r="AO141" i="1" s="1"/>
  <c r="AQ141" i="1" s="1"/>
  <c r="AS141" i="1" s="1"/>
  <c r="AU141" i="1" s="1"/>
  <c r="AW141" i="1" s="1"/>
  <c r="AF75" i="1"/>
  <c r="AX75" i="1" s="1"/>
  <c r="AY75" i="1" s="1"/>
  <c r="AG276" i="1"/>
  <c r="AI276" i="1" s="1"/>
  <c r="AK276" i="1" s="1"/>
  <c r="AM276" i="1" s="1"/>
  <c r="AO276" i="1" s="1"/>
  <c r="AQ276" i="1" s="1"/>
  <c r="AS276" i="1" s="1"/>
  <c r="AU276" i="1" s="1"/>
  <c r="AW276" i="1" s="1"/>
  <c r="AZ276" i="1" s="1"/>
  <c r="AF199" i="1"/>
  <c r="AX199" i="1" s="1"/>
  <c r="AY199" i="1" s="1"/>
  <c r="AE298" i="1"/>
  <c r="AF21" i="1"/>
  <c r="AG21" i="1" s="1"/>
  <c r="AI21" i="1" s="1"/>
  <c r="AK21" i="1" s="1"/>
  <c r="AM21" i="1" s="1"/>
  <c r="AO21" i="1" s="1"/>
  <c r="AQ21" i="1" s="1"/>
  <c r="AS21" i="1" s="1"/>
  <c r="AU21" i="1" s="1"/>
  <c r="AW21" i="1" s="1"/>
  <c r="AG156" i="1"/>
  <c r="AI156" i="1" s="1"/>
  <c r="AK156" i="1" s="1"/>
  <c r="AM156" i="1" s="1"/>
  <c r="AO156" i="1" s="1"/>
  <c r="AQ156" i="1" s="1"/>
  <c r="AS156" i="1" s="1"/>
  <c r="AU156" i="1" s="1"/>
  <c r="AW156" i="1" s="1"/>
  <c r="AZ156" i="1" s="1"/>
  <c r="AF194" i="1"/>
  <c r="AG194" i="1" s="1"/>
  <c r="AI194" i="1" s="1"/>
  <c r="AK194" i="1" s="1"/>
  <c r="AM194" i="1" s="1"/>
  <c r="AO194" i="1" s="1"/>
  <c r="AQ194" i="1" s="1"/>
  <c r="AS194" i="1" s="1"/>
  <c r="AU194" i="1" s="1"/>
  <c r="AW194" i="1" s="1"/>
  <c r="AG70" i="1"/>
  <c r="AI70" i="1" s="1"/>
  <c r="AK70" i="1" s="1"/>
  <c r="AM70" i="1" s="1"/>
  <c r="AO70" i="1" s="1"/>
  <c r="AQ70" i="1" s="1"/>
  <c r="AS70" i="1" s="1"/>
  <c r="AU70" i="1" s="1"/>
  <c r="AW70" i="1" s="1"/>
  <c r="AZ70" i="1" s="1"/>
  <c r="AZ228" i="1"/>
  <c r="AE109" i="1"/>
  <c r="AF178" i="1"/>
  <c r="AG178" i="1" s="1"/>
  <c r="AI178" i="1" s="1"/>
  <c r="AK178" i="1" s="1"/>
  <c r="AM178" i="1" s="1"/>
  <c r="AO178" i="1" s="1"/>
  <c r="AQ178" i="1" s="1"/>
  <c r="AS178" i="1" s="1"/>
  <c r="AU178" i="1" s="1"/>
  <c r="AW178" i="1" s="1"/>
  <c r="AG334" i="1"/>
  <c r="AI334" i="1" s="1"/>
  <c r="AK334" i="1" s="1"/>
  <c r="AM334" i="1" s="1"/>
  <c r="AO334" i="1" s="1"/>
  <c r="AQ334" i="1" s="1"/>
  <c r="AS334" i="1" s="1"/>
  <c r="AU334" i="1" s="1"/>
  <c r="AW334" i="1" s="1"/>
  <c r="AZ334" i="1" s="1"/>
  <c r="AG130" i="1"/>
  <c r="AI130" i="1" s="1"/>
  <c r="AK130" i="1" s="1"/>
  <c r="AM130" i="1" s="1"/>
  <c r="AO130" i="1" s="1"/>
  <c r="AQ130" i="1" s="1"/>
  <c r="AS130" i="1" s="1"/>
  <c r="AU130" i="1" s="1"/>
  <c r="AW130" i="1" s="1"/>
  <c r="AZ130" i="1" s="1"/>
  <c r="AG78" i="1"/>
  <c r="AI78" i="1" s="1"/>
  <c r="AK78" i="1" s="1"/>
  <c r="AM78" i="1" s="1"/>
  <c r="AO78" i="1" s="1"/>
  <c r="AQ78" i="1" s="1"/>
  <c r="AS78" i="1" s="1"/>
  <c r="AU78" i="1" s="1"/>
  <c r="AW78" i="1" s="1"/>
  <c r="AZ78" i="1" s="1"/>
  <c r="AZ67" i="1"/>
  <c r="AG387" i="1"/>
  <c r="AI387" i="1" s="1"/>
  <c r="AK387" i="1" s="1"/>
  <c r="AM387" i="1" s="1"/>
  <c r="AO387" i="1" s="1"/>
  <c r="AQ387" i="1" s="1"/>
  <c r="AS387" i="1" s="1"/>
  <c r="AU387" i="1" s="1"/>
  <c r="AW387" i="1" s="1"/>
  <c r="AZ387" i="1" s="1"/>
  <c r="AF191" i="1"/>
  <c r="AG191" i="1" s="1"/>
  <c r="AI191" i="1" s="1"/>
  <c r="AK191" i="1" s="1"/>
  <c r="AM191" i="1" s="1"/>
  <c r="AO191" i="1" s="1"/>
  <c r="AQ191" i="1" s="1"/>
  <c r="AS191" i="1" s="1"/>
  <c r="AU191" i="1" s="1"/>
  <c r="AW191" i="1" s="1"/>
  <c r="AE32" i="1"/>
  <c r="AZ103" i="1"/>
  <c r="AF145" i="1"/>
  <c r="AX145" i="1" s="1"/>
  <c r="AY145" i="1" s="1"/>
  <c r="AC455" i="1"/>
  <c r="AC457" i="1" s="1"/>
  <c r="AF253" i="1"/>
  <c r="AG253" i="1" s="1"/>
  <c r="AI253" i="1" s="1"/>
  <c r="AK253" i="1" s="1"/>
  <c r="AM253" i="1" s="1"/>
  <c r="AO253" i="1" s="1"/>
  <c r="AQ253" i="1" s="1"/>
  <c r="AS253" i="1" s="1"/>
  <c r="AU253" i="1" s="1"/>
  <c r="AW253" i="1" s="1"/>
  <c r="AG98" i="1"/>
  <c r="AI98" i="1" s="1"/>
  <c r="AK98" i="1" s="1"/>
  <c r="AM98" i="1" s="1"/>
  <c r="AO98" i="1" s="1"/>
  <c r="AQ98" i="1" s="1"/>
  <c r="AS98" i="1" s="1"/>
  <c r="AU98" i="1" s="1"/>
  <c r="AW98" i="1" s="1"/>
  <c r="AZ98" i="1" s="1"/>
  <c r="AG261" i="1"/>
  <c r="AI261" i="1" s="1"/>
  <c r="AK261" i="1" s="1"/>
  <c r="AM261" i="1" s="1"/>
  <c r="AO261" i="1" s="1"/>
  <c r="AQ261" i="1" s="1"/>
  <c r="AS261" i="1" s="1"/>
  <c r="AU261" i="1" s="1"/>
  <c r="AW261" i="1" s="1"/>
  <c r="AZ261" i="1" s="1"/>
  <c r="AF260" i="1"/>
  <c r="AG260" i="1" s="1"/>
  <c r="AI260" i="1" s="1"/>
  <c r="AK260" i="1" s="1"/>
  <c r="AM260" i="1" s="1"/>
  <c r="AO260" i="1" s="1"/>
  <c r="AQ260" i="1" s="1"/>
  <c r="AS260" i="1" s="1"/>
  <c r="AU260" i="1" s="1"/>
  <c r="AW260" i="1" s="1"/>
  <c r="AF28" i="1"/>
  <c r="AG28" i="1" s="1"/>
  <c r="AI28" i="1" s="1"/>
  <c r="AK28" i="1" s="1"/>
  <c r="AM28" i="1" s="1"/>
  <c r="AO28" i="1" s="1"/>
  <c r="AQ28" i="1" s="1"/>
  <c r="AS28" i="1" s="1"/>
  <c r="AU28" i="1" s="1"/>
  <c r="AW28" i="1" s="1"/>
  <c r="AF331" i="1"/>
  <c r="AG331" i="1"/>
  <c r="AI331" i="1" s="1"/>
  <c r="AK331" i="1" s="1"/>
  <c r="AM331" i="1" s="1"/>
  <c r="AO331" i="1" s="1"/>
  <c r="AQ331" i="1" s="1"/>
  <c r="AS331" i="1" s="1"/>
  <c r="AU331" i="1" s="1"/>
  <c r="AW331" i="1" s="1"/>
  <c r="AF375" i="1"/>
  <c r="AG375" i="1" s="1"/>
  <c r="AI375" i="1" s="1"/>
  <c r="AK375" i="1" s="1"/>
  <c r="AM375" i="1" s="1"/>
  <c r="AO375" i="1" s="1"/>
  <c r="AQ375" i="1" s="1"/>
  <c r="AS375" i="1" s="1"/>
  <c r="AU375" i="1" s="1"/>
  <c r="AW375" i="1" s="1"/>
  <c r="AD219" i="1"/>
  <c r="AF20" i="1"/>
  <c r="AX20" i="1" s="1"/>
  <c r="AY20" i="1" s="1"/>
  <c r="AE56" i="1"/>
  <c r="AE40" i="1"/>
  <c r="AD62" i="1"/>
  <c r="AE62" i="1" s="1"/>
  <c r="AE55" i="1"/>
  <c r="AF314" i="1"/>
  <c r="AX314" i="1" s="1"/>
  <c r="AY314" i="1" s="1"/>
  <c r="AF41" i="1"/>
  <c r="AX41" i="1" s="1"/>
  <c r="AY41" i="1" s="1"/>
  <c r="AG274" i="1"/>
  <c r="AI274" i="1" s="1"/>
  <c r="AK274" i="1" s="1"/>
  <c r="AM274" i="1" s="1"/>
  <c r="AO274" i="1" s="1"/>
  <c r="AQ274" i="1" s="1"/>
  <c r="AS274" i="1" s="1"/>
  <c r="AU274" i="1" s="1"/>
  <c r="AW274" i="1" s="1"/>
  <c r="AZ274" i="1" s="1"/>
  <c r="AE255" i="1"/>
  <c r="AE236" i="1"/>
  <c r="AE139" i="1"/>
  <c r="AF54" i="1"/>
  <c r="AX54" i="1" s="1"/>
  <c r="AY54" i="1" s="1"/>
  <c r="AY6" i="1"/>
  <c r="AE357" i="1"/>
  <c r="AE343" i="1"/>
  <c r="AF147" i="1"/>
  <c r="AG147" i="1" s="1"/>
  <c r="AI147" i="1" s="1"/>
  <c r="AK147" i="1" s="1"/>
  <c r="AM147" i="1" s="1"/>
  <c r="AO147" i="1" s="1"/>
  <c r="AQ147" i="1" s="1"/>
  <c r="AS147" i="1" s="1"/>
  <c r="AU147" i="1" s="1"/>
  <c r="AW147" i="1" s="1"/>
  <c r="AD118" i="1"/>
  <c r="AE118" i="1"/>
  <c r="AE267" i="1"/>
  <c r="AF51" i="1"/>
  <c r="AX51" i="1" s="1"/>
  <c r="AY51" i="1" s="1"/>
  <c r="AD125" i="1"/>
  <c r="AE125" i="1" s="1"/>
  <c r="AF71" i="1"/>
  <c r="AG71" i="1" s="1"/>
  <c r="AI71" i="1" s="1"/>
  <c r="AK71" i="1" s="1"/>
  <c r="AM71" i="1" s="1"/>
  <c r="AO71" i="1" s="1"/>
  <c r="AQ71" i="1" s="1"/>
  <c r="AS71" i="1" s="1"/>
  <c r="AU71" i="1" s="1"/>
  <c r="AW71" i="1" s="1"/>
  <c r="AD44" i="1"/>
  <c r="AE44" i="1"/>
  <c r="AE332" i="1"/>
  <c r="AD287" i="1"/>
  <c r="AE287" i="1" s="1"/>
  <c r="AG167" i="1"/>
  <c r="AI167" i="1" s="1"/>
  <c r="AK167" i="1" s="1"/>
  <c r="AM167" i="1" s="1"/>
  <c r="AO167" i="1" s="1"/>
  <c r="AQ167" i="1" s="1"/>
  <c r="AS167" i="1" s="1"/>
  <c r="AU167" i="1" s="1"/>
  <c r="AW167" i="1" s="1"/>
  <c r="AZ167" i="1" s="1"/>
  <c r="AX264" i="1" l="1"/>
  <c r="AY264" i="1" s="1"/>
  <c r="AG188" i="1"/>
  <c r="AI188" i="1" s="1"/>
  <c r="AK188" i="1" s="1"/>
  <c r="AM188" i="1" s="1"/>
  <c r="AO188" i="1" s="1"/>
  <c r="AQ188" i="1" s="1"/>
  <c r="AS188" i="1" s="1"/>
  <c r="AU188" i="1" s="1"/>
  <c r="AW188" i="1" s="1"/>
  <c r="AZ89" i="1"/>
  <c r="AG366" i="1"/>
  <c r="AI366" i="1" s="1"/>
  <c r="AK366" i="1" s="1"/>
  <c r="AM366" i="1" s="1"/>
  <c r="AO366" i="1" s="1"/>
  <c r="AQ366" i="1" s="1"/>
  <c r="AS366" i="1" s="1"/>
  <c r="AU366" i="1" s="1"/>
  <c r="AW366" i="1" s="1"/>
  <c r="AZ366" i="1" s="1"/>
  <c r="AG371" i="1"/>
  <c r="AI371" i="1" s="1"/>
  <c r="AK371" i="1" s="1"/>
  <c r="AM371" i="1" s="1"/>
  <c r="AO371" i="1" s="1"/>
  <c r="AQ371" i="1" s="1"/>
  <c r="AS371" i="1" s="1"/>
  <c r="AU371" i="1" s="1"/>
  <c r="AW371" i="1" s="1"/>
  <c r="AG115" i="1"/>
  <c r="AI115" i="1" s="1"/>
  <c r="AK115" i="1" s="1"/>
  <c r="AM115" i="1" s="1"/>
  <c r="AO115" i="1" s="1"/>
  <c r="AQ115" i="1" s="1"/>
  <c r="AS115" i="1" s="1"/>
  <c r="AU115" i="1" s="1"/>
  <c r="AW115" i="1" s="1"/>
  <c r="AX253" i="1"/>
  <c r="AY253" i="1" s="1"/>
  <c r="AG102" i="1"/>
  <c r="AI102" i="1" s="1"/>
  <c r="AK102" i="1" s="1"/>
  <c r="AM102" i="1" s="1"/>
  <c r="AO102" i="1" s="1"/>
  <c r="AQ102" i="1" s="1"/>
  <c r="AS102" i="1" s="1"/>
  <c r="AU102" i="1" s="1"/>
  <c r="AW102" i="1" s="1"/>
  <c r="AZ102" i="1" s="1"/>
  <c r="AG59" i="1"/>
  <c r="AI59" i="1" s="1"/>
  <c r="AK59" i="1" s="1"/>
  <c r="AM59" i="1" s="1"/>
  <c r="AO59" i="1" s="1"/>
  <c r="AQ59" i="1" s="1"/>
  <c r="AS59" i="1" s="1"/>
  <c r="AU59" i="1" s="1"/>
  <c r="AW59" i="1" s="1"/>
  <c r="AZ59" i="1" s="1"/>
  <c r="AG199" i="1"/>
  <c r="AI199" i="1" s="1"/>
  <c r="AK199" i="1" s="1"/>
  <c r="AM199" i="1" s="1"/>
  <c r="AO199" i="1" s="1"/>
  <c r="AQ199" i="1" s="1"/>
  <c r="AS199" i="1" s="1"/>
  <c r="AU199" i="1" s="1"/>
  <c r="AW199" i="1" s="1"/>
  <c r="AZ199" i="1" s="1"/>
  <c r="AG112" i="1"/>
  <c r="AI112" i="1" s="1"/>
  <c r="AK112" i="1" s="1"/>
  <c r="AM112" i="1" s="1"/>
  <c r="AO112" i="1" s="1"/>
  <c r="AQ112" i="1" s="1"/>
  <c r="AS112" i="1" s="1"/>
  <c r="AU112" i="1" s="1"/>
  <c r="AW112" i="1" s="1"/>
  <c r="AZ112" i="1" s="1"/>
  <c r="AG110" i="1"/>
  <c r="AI110" i="1" s="1"/>
  <c r="AK110" i="1" s="1"/>
  <c r="AM110" i="1" s="1"/>
  <c r="AO110" i="1" s="1"/>
  <c r="AQ110" i="1" s="1"/>
  <c r="AS110" i="1" s="1"/>
  <c r="AU110" i="1" s="1"/>
  <c r="AW110" i="1" s="1"/>
  <c r="AZ110" i="1" s="1"/>
  <c r="AX15" i="1"/>
  <c r="AY15" i="1" s="1"/>
  <c r="AZ15" i="1" s="1"/>
  <c r="AZ188" i="1"/>
  <c r="AX341" i="1"/>
  <c r="AY341" i="1" s="1"/>
  <c r="AG75" i="1"/>
  <c r="AI75" i="1" s="1"/>
  <c r="AK75" i="1" s="1"/>
  <c r="AM75" i="1" s="1"/>
  <c r="AO75" i="1" s="1"/>
  <c r="AQ75" i="1" s="1"/>
  <c r="AS75" i="1" s="1"/>
  <c r="AU75" i="1" s="1"/>
  <c r="AW75" i="1" s="1"/>
  <c r="AZ75" i="1" s="1"/>
  <c r="AZ371" i="1"/>
  <c r="AX337" i="1"/>
  <c r="AY337" i="1" s="1"/>
  <c r="AZ337" i="1" s="1"/>
  <c r="AX283" i="1"/>
  <c r="AY283" i="1" s="1"/>
  <c r="AZ283" i="1" s="1"/>
  <c r="AG41" i="1"/>
  <c r="AI41" i="1" s="1"/>
  <c r="AK41" i="1" s="1"/>
  <c r="AM41" i="1" s="1"/>
  <c r="AO41" i="1" s="1"/>
  <c r="AQ41" i="1" s="1"/>
  <c r="AS41" i="1" s="1"/>
  <c r="AU41" i="1" s="1"/>
  <c r="AW41" i="1" s="1"/>
  <c r="AZ41" i="1" s="1"/>
  <c r="AG87" i="1"/>
  <c r="AI87" i="1" s="1"/>
  <c r="AK87" i="1" s="1"/>
  <c r="AM87" i="1" s="1"/>
  <c r="AO87" i="1" s="1"/>
  <c r="AQ87" i="1" s="1"/>
  <c r="AS87" i="1" s="1"/>
  <c r="AU87" i="1" s="1"/>
  <c r="AW87" i="1" s="1"/>
  <c r="AZ87" i="1" s="1"/>
  <c r="AG119" i="1"/>
  <c r="AI119" i="1" s="1"/>
  <c r="AK119" i="1" s="1"/>
  <c r="AM119" i="1" s="1"/>
  <c r="AO119" i="1" s="1"/>
  <c r="AQ119" i="1" s="1"/>
  <c r="AS119" i="1" s="1"/>
  <c r="AU119" i="1" s="1"/>
  <c r="AW119" i="1" s="1"/>
  <c r="AZ119" i="1" s="1"/>
  <c r="AX79" i="1"/>
  <c r="AY79" i="1" s="1"/>
  <c r="AZ79" i="1" s="1"/>
  <c r="AX114" i="1"/>
  <c r="AY114" i="1" s="1"/>
  <c r="AZ114" i="1" s="1"/>
  <c r="AX28" i="1"/>
  <c r="AY28" i="1" s="1"/>
  <c r="AZ28" i="1" s="1"/>
  <c r="AX143" i="1"/>
  <c r="AY143" i="1" s="1"/>
  <c r="AZ143" i="1" s="1"/>
  <c r="AG213" i="1"/>
  <c r="AI213" i="1" s="1"/>
  <c r="AK213" i="1" s="1"/>
  <c r="AM213" i="1" s="1"/>
  <c r="AO213" i="1" s="1"/>
  <c r="AQ213" i="1" s="1"/>
  <c r="AS213" i="1" s="1"/>
  <c r="AU213" i="1" s="1"/>
  <c r="AW213" i="1" s="1"/>
  <c r="AZ213" i="1" s="1"/>
  <c r="AG116" i="1"/>
  <c r="AI116" i="1" s="1"/>
  <c r="AK116" i="1" s="1"/>
  <c r="AM116" i="1" s="1"/>
  <c r="AO116" i="1" s="1"/>
  <c r="AQ116" i="1" s="1"/>
  <c r="AS116" i="1" s="1"/>
  <c r="AU116" i="1" s="1"/>
  <c r="AW116" i="1" s="1"/>
  <c r="AZ116" i="1" s="1"/>
  <c r="AG216" i="1"/>
  <c r="AI216" i="1" s="1"/>
  <c r="AK216" i="1" s="1"/>
  <c r="AM216" i="1" s="1"/>
  <c r="AO216" i="1" s="1"/>
  <c r="AQ216" i="1" s="1"/>
  <c r="AS216" i="1" s="1"/>
  <c r="AU216" i="1" s="1"/>
  <c r="AW216" i="1" s="1"/>
  <c r="AZ216" i="1" s="1"/>
  <c r="AX324" i="1"/>
  <c r="AY324" i="1" s="1"/>
  <c r="AZ324" i="1" s="1"/>
  <c r="AX296" i="1"/>
  <c r="AY296" i="1" s="1"/>
  <c r="AZ296" i="1" s="1"/>
  <c r="AX136" i="1"/>
  <c r="AY136" i="1" s="1"/>
  <c r="AZ136" i="1" s="1"/>
  <c r="AX148" i="1"/>
  <c r="AY148" i="1" s="1"/>
  <c r="AZ148" i="1" s="1"/>
  <c r="AG163" i="1"/>
  <c r="AI163" i="1" s="1"/>
  <c r="AK163" i="1" s="1"/>
  <c r="AM163" i="1" s="1"/>
  <c r="AO163" i="1" s="1"/>
  <c r="AQ163" i="1" s="1"/>
  <c r="AS163" i="1" s="1"/>
  <c r="AU163" i="1" s="1"/>
  <c r="AW163" i="1" s="1"/>
  <c r="AZ163" i="1" s="1"/>
  <c r="AX368" i="1"/>
  <c r="AY368" i="1" s="1"/>
  <c r="AZ368" i="1" s="1"/>
  <c r="AG171" i="1"/>
  <c r="AI171" i="1" s="1"/>
  <c r="AK171" i="1" s="1"/>
  <c r="AM171" i="1" s="1"/>
  <c r="AO171" i="1" s="1"/>
  <c r="AQ171" i="1" s="1"/>
  <c r="AS171" i="1" s="1"/>
  <c r="AU171" i="1" s="1"/>
  <c r="AW171" i="1" s="1"/>
  <c r="AZ171" i="1" s="1"/>
  <c r="AX178" i="1"/>
  <c r="AY178" i="1" s="1"/>
  <c r="AZ178" i="1" s="1"/>
  <c r="AZ264" i="1"/>
  <c r="AX282" i="1"/>
  <c r="AY282" i="1" s="1"/>
  <c r="AZ282" i="1" s="1"/>
  <c r="AZ341" i="1"/>
  <c r="AZ240" i="1"/>
  <c r="AX134" i="1"/>
  <c r="AY134" i="1" s="1"/>
  <c r="AZ134" i="1" s="1"/>
  <c r="AX360" i="1"/>
  <c r="AY360" i="1" s="1"/>
  <c r="AZ360" i="1" s="1"/>
  <c r="AX101" i="1"/>
  <c r="AY101" i="1" s="1"/>
  <c r="AZ101" i="1" s="1"/>
  <c r="AG222" i="1"/>
  <c r="AI222" i="1" s="1"/>
  <c r="AK222" i="1" s="1"/>
  <c r="AM222" i="1" s="1"/>
  <c r="AO222" i="1" s="1"/>
  <c r="AQ222" i="1" s="1"/>
  <c r="AS222" i="1" s="1"/>
  <c r="AU222" i="1" s="1"/>
  <c r="AW222" i="1" s="1"/>
  <c r="AZ222" i="1" s="1"/>
  <c r="AX359" i="1"/>
  <c r="AY359" i="1" s="1"/>
  <c r="AZ359" i="1" s="1"/>
  <c r="AZ253" i="1"/>
  <c r="AX147" i="1"/>
  <c r="AY147" i="1" s="1"/>
  <c r="AZ147" i="1" s="1"/>
  <c r="AX88" i="1"/>
  <c r="AY88" i="1" s="1"/>
  <c r="AZ88" i="1" s="1"/>
  <c r="AX310" i="1"/>
  <c r="AY310" i="1" s="1"/>
  <c r="AZ310" i="1" s="1"/>
  <c r="AX260" i="1"/>
  <c r="AY260" i="1" s="1"/>
  <c r="AZ260" i="1" s="1"/>
  <c r="AX107" i="1"/>
  <c r="AY107" i="1" s="1"/>
  <c r="AZ107" i="1" s="1"/>
  <c r="AX108" i="1"/>
  <c r="AY108" i="1" s="1"/>
  <c r="AZ108" i="1" s="1"/>
  <c r="AX141" i="1"/>
  <c r="AY141" i="1" s="1"/>
  <c r="AZ141" i="1" s="1"/>
  <c r="AX153" i="1"/>
  <c r="AY153" i="1" s="1"/>
  <c r="AZ153" i="1" s="1"/>
  <c r="AF30" i="1"/>
  <c r="AG30" i="1" s="1"/>
  <c r="AI30" i="1" s="1"/>
  <c r="AK30" i="1" s="1"/>
  <c r="AM30" i="1" s="1"/>
  <c r="AO30" i="1" s="1"/>
  <c r="AQ30" i="1" s="1"/>
  <c r="AS30" i="1" s="1"/>
  <c r="AU30" i="1" s="1"/>
  <c r="AW30" i="1" s="1"/>
  <c r="AX194" i="1"/>
  <c r="AY194" i="1" s="1"/>
  <c r="AZ194" i="1" s="1"/>
  <c r="AX151" i="1"/>
  <c r="AY151" i="1" s="1"/>
  <c r="AZ151" i="1" s="1"/>
  <c r="AX232" i="1"/>
  <c r="AY232" i="1" s="1"/>
  <c r="AZ232" i="1" s="1"/>
  <c r="AX275" i="1"/>
  <c r="AY275" i="1" s="1"/>
  <c r="AZ275" i="1" s="1"/>
  <c r="AF125" i="1"/>
  <c r="AG125" i="1" s="1"/>
  <c r="AI125" i="1" s="1"/>
  <c r="AK125" i="1" s="1"/>
  <c r="AM125" i="1" s="1"/>
  <c r="AO125" i="1" s="1"/>
  <c r="AQ125" i="1" s="1"/>
  <c r="AS125" i="1" s="1"/>
  <c r="AU125" i="1" s="1"/>
  <c r="AW125" i="1" s="1"/>
  <c r="AX125" i="1" s="1"/>
  <c r="AY125" i="1" s="1"/>
  <c r="AX117" i="1"/>
  <c r="AY117" i="1" s="1"/>
  <c r="AZ117" i="1" s="1"/>
  <c r="AX326" i="1"/>
  <c r="AY326" i="1" s="1"/>
  <c r="AZ326" i="1" s="1"/>
  <c r="AX33" i="1"/>
  <c r="AY33" i="1" s="1"/>
  <c r="AZ33" i="1" s="1"/>
  <c r="AX320" i="1"/>
  <c r="AY320" i="1" s="1"/>
  <c r="AZ320" i="1" s="1"/>
  <c r="AX248" i="1"/>
  <c r="AY248" i="1" s="1"/>
  <c r="AZ248" i="1" s="1"/>
  <c r="AX197" i="1"/>
  <c r="AY197" i="1" s="1"/>
  <c r="AZ197" i="1" s="1"/>
  <c r="AX181" i="1"/>
  <c r="AY181" i="1" s="1"/>
  <c r="AZ181" i="1" s="1"/>
  <c r="AX95" i="1"/>
  <c r="AY95" i="1" s="1"/>
  <c r="AZ95" i="1" s="1"/>
  <c r="AX348" i="1"/>
  <c r="AY348" i="1" s="1"/>
  <c r="AZ348" i="1" s="1"/>
  <c r="AX316" i="1"/>
  <c r="AY316" i="1" s="1"/>
  <c r="AZ316" i="1" s="1"/>
  <c r="AX21" i="1"/>
  <c r="AY21" i="1" s="1"/>
  <c r="AZ21" i="1" s="1"/>
  <c r="AF287" i="1"/>
  <c r="AG287" i="1" s="1"/>
  <c r="AI287" i="1" s="1"/>
  <c r="AK287" i="1" s="1"/>
  <c r="AM287" i="1" s="1"/>
  <c r="AO287" i="1" s="1"/>
  <c r="AQ287" i="1" s="1"/>
  <c r="AS287" i="1" s="1"/>
  <c r="AU287" i="1" s="1"/>
  <c r="AW287" i="1" s="1"/>
  <c r="AX375" i="1"/>
  <c r="AY375" i="1" s="1"/>
  <c r="AZ375" i="1" s="1"/>
  <c r="AX292" i="1"/>
  <c r="AY292" i="1" s="1"/>
  <c r="AZ292" i="1" s="1"/>
  <c r="AX93" i="1"/>
  <c r="AY93" i="1" s="1"/>
  <c r="AZ93" i="1" s="1"/>
  <c r="AX121" i="1"/>
  <c r="AY121" i="1" s="1"/>
  <c r="AZ121" i="1" s="1"/>
  <c r="AF357" i="1"/>
  <c r="AG357" i="1" s="1"/>
  <c r="AI357" i="1" s="1"/>
  <c r="AK357" i="1" s="1"/>
  <c r="AM357" i="1" s="1"/>
  <c r="AO357" i="1" s="1"/>
  <c r="AQ357" i="1" s="1"/>
  <c r="AS357" i="1" s="1"/>
  <c r="AU357" i="1" s="1"/>
  <c r="AW357" i="1" s="1"/>
  <c r="AF62" i="1"/>
  <c r="AG62" i="1" s="1"/>
  <c r="AI62" i="1" s="1"/>
  <c r="AK62" i="1" s="1"/>
  <c r="AM62" i="1" s="1"/>
  <c r="AO62" i="1" s="1"/>
  <c r="AQ62" i="1" s="1"/>
  <c r="AS62" i="1" s="1"/>
  <c r="AU62" i="1" s="1"/>
  <c r="AW62" i="1" s="1"/>
  <c r="AF40" i="1"/>
  <c r="AG40" i="1" s="1"/>
  <c r="AI40" i="1" s="1"/>
  <c r="AK40" i="1" s="1"/>
  <c r="AM40" i="1" s="1"/>
  <c r="AO40" i="1" s="1"/>
  <c r="AQ40" i="1" s="1"/>
  <c r="AS40" i="1" s="1"/>
  <c r="AU40" i="1" s="1"/>
  <c r="AW40" i="1" s="1"/>
  <c r="AG42" i="1"/>
  <c r="AI42" i="1" s="1"/>
  <c r="AK42" i="1" s="1"/>
  <c r="AM42" i="1" s="1"/>
  <c r="AO42" i="1" s="1"/>
  <c r="AQ42" i="1" s="1"/>
  <c r="AS42" i="1" s="1"/>
  <c r="AU42" i="1" s="1"/>
  <c r="AW42" i="1" s="1"/>
  <c r="AZ42" i="1" s="1"/>
  <c r="AF100" i="1"/>
  <c r="AG100" i="1" s="1"/>
  <c r="AI100" i="1" s="1"/>
  <c r="AK100" i="1" s="1"/>
  <c r="AM100" i="1" s="1"/>
  <c r="AO100" i="1" s="1"/>
  <c r="AQ100" i="1" s="1"/>
  <c r="AS100" i="1" s="1"/>
  <c r="AU100" i="1" s="1"/>
  <c r="AW100" i="1" s="1"/>
  <c r="AG180" i="1"/>
  <c r="AI180" i="1" s="1"/>
  <c r="AK180" i="1" s="1"/>
  <c r="AM180" i="1" s="1"/>
  <c r="AO180" i="1" s="1"/>
  <c r="AQ180" i="1" s="1"/>
  <c r="AS180" i="1" s="1"/>
  <c r="AU180" i="1" s="1"/>
  <c r="AW180" i="1" s="1"/>
  <c r="AZ180" i="1" s="1"/>
  <c r="AF64" i="1"/>
  <c r="AG64" i="1" s="1"/>
  <c r="AI64" i="1" s="1"/>
  <c r="AK64" i="1" s="1"/>
  <c r="AM64" i="1" s="1"/>
  <c r="AO64" i="1" s="1"/>
  <c r="AQ64" i="1" s="1"/>
  <c r="AS64" i="1" s="1"/>
  <c r="AU64" i="1" s="1"/>
  <c r="AW64" i="1" s="1"/>
  <c r="AG54" i="1"/>
  <c r="AI54" i="1" s="1"/>
  <c r="AK54" i="1" s="1"/>
  <c r="AM54" i="1" s="1"/>
  <c r="AO54" i="1" s="1"/>
  <c r="AQ54" i="1" s="1"/>
  <c r="AS54" i="1" s="1"/>
  <c r="AU54" i="1" s="1"/>
  <c r="AW54" i="1" s="1"/>
  <c r="AZ54" i="1" s="1"/>
  <c r="AG91" i="1"/>
  <c r="AI91" i="1" s="1"/>
  <c r="AK91" i="1" s="1"/>
  <c r="AM91" i="1" s="1"/>
  <c r="AO91" i="1" s="1"/>
  <c r="AQ91" i="1" s="1"/>
  <c r="AS91" i="1" s="1"/>
  <c r="AU91" i="1" s="1"/>
  <c r="AW91" i="1" s="1"/>
  <c r="AZ91" i="1" s="1"/>
  <c r="AG51" i="1"/>
  <c r="AI51" i="1" s="1"/>
  <c r="AK51" i="1" s="1"/>
  <c r="AM51" i="1" s="1"/>
  <c r="AO51" i="1" s="1"/>
  <c r="AQ51" i="1" s="1"/>
  <c r="AS51" i="1" s="1"/>
  <c r="AU51" i="1" s="1"/>
  <c r="AW51" i="1" s="1"/>
  <c r="AZ51" i="1" s="1"/>
  <c r="AE219" i="1"/>
  <c r="AF142" i="1"/>
  <c r="AG142" i="1" s="1"/>
  <c r="AI142" i="1" s="1"/>
  <c r="AK142" i="1" s="1"/>
  <c r="AM142" i="1" s="1"/>
  <c r="AO142" i="1" s="1"/>
  <c r="AQ142" i="1" s="1"/>
  <c r="AS142" i="1" s="1"/>
  <c r="AU142" i="1" s="1"/>
  <c r="AW142" i="1" s="1"/>
  <c r="AF377" i="1"/>
  <c r="AG377" i="1" s="1"/>
  <c r="AI377" i="1" s="1"/>
  <c r="AK377" i="1" s="1"/>
  <c r="AM377" i="1" s="1"/>
  <c r="AO377" i="1" s="1"/>
  <c r="AQ377" i="1" s="1"/>
  <c r="AS377" i="1" s="1"/>
  <c r="AU377" i="1" s="1"/>
  <c r="AW377" i="1" s="1"/>
  <c r="AF241" i="1"/>
  <c r="AG241" i="1" s="1"/>
  <c r="AI241" i="1" s="1"/>
  <c r="AK241" i="1" s="1"/>
  <c r="AM241" i="1" s="1"/>
  <c r="AO241" i="1" s="1"/>
  <c r="AQ241" i="1" s="1"/>
  <c r="AS241" i="1" s="1"/>
  <c r="AU241" i="1" s="1"/>
  <c r="AW241" i="1" s="1"/>
  <c r="AZ319" i="1"/>
  <c r="AZ115" i="1"/>
  <c r="AF267" i="1"/>
  <c r="AG267" i="1" s="1"/>
  <c r="AI267" i="1" s="1"/>
  <c r="AK267" i="1" s="1"/>
  <c r="AM267" i="1" s="1"/>
  <c r="AO267" i="1" s="1"/>
  <c r="AQ267" i="1" s="1"/>
  <c r="AS267" i="1" s="1"/>
  <c r="AU267" i="1" s="1"/>
  <c r="AW267" i="1" s="1"/>
  <c r="AG22" i="1"/>
  <c r="AI22" i="1" s="1"/>
  <c r="AK22" i="1" s="1"/>
  <c r="AM22" i="1" s="1"/>
  <c r="AO22" i="1" s="1"/>
  <c r="AQ22" i="1" s="1"/>
  <c r="AS22" i="1" s="1"/>
  <c r="AU22" i="1" s="1"/>
  <c r="AW22" i="1" s="1"/>
  <c r="AZ22" i="1" s="1"/>
  <c r="AG340" i="1"/>
  <c r="AI340" i="1" s="1"/>
  <c r="AK340" i="1" s="1"/>
  <c r="AM340" i="1" s="1"/>
  <c r="AO340" i="1" s="1"/>
  <c r="AQ340" i="1" s="1"/>
  <c r="AS340" i="1" s="1"/>
  <c r="AU340" i="1" s="1"/>
  <c r="AW340" i="1" s="1"/>
  <c r="AZ340" i="1" s="1"/>
  <c r="AE361" i="1"/>
  <c r="AF352" i="1"/>
  <c r="AG352" i="1"/>
  <c r="AI352" i="1" s="1"/>
  <c r="AK352" i="1" s="1"/>
  <c r="AM352" i="1" s="1"/>
  <c r="AO352" i="1" s="1"/>
  <c r="AQ352" i="1" s="1"/>
  <c r="AS352" i="1" s="1"/>
  <c r="AU352" i="1" s="1"/>
  <c r="AW352" i="1" s="1"/>
  <c r="AF92" i="1"/>
  <c r="AG92" i="1" s="1"/>
  <c r="AI92" i="1" s="1"/>
  <c r="AK92" i="1" s="1"/>
  <c r="AM92" i="1" s="1"/>
  <c r="AO92" i="1" s="1"/>
  <c r="AQ92" i="1" s="1"/>
  <c r="AS92" i="1" s="1"/>
  <c r="AU92" i="1" s="1"/>
  <c r="AW92" i="1" s="1"/>
  <c r="AG127" i="1"/>
  <c r="AI127" i="1" s="1"/>
  <c r="AK127" i="1" s="1"/>
  <c r="AM127" i="1" s="1"/>
  <c r="AO127" i="1" s="1"/>
  <c r="AQ127" i="1" s="1"/>
  <c r="AS127" i="1" s="1"/>
  <c r="AU127" i="1" s="1"/>
  <c r="AW127" i="1" s="1"/>
  <c r="AZ127" i="1" s="1"/>
  <c r="AX122" i="1"/>
  <c r="AY122" i="1" s="1"/>
  <c r="AZ122" i="1" s="1"/>
  <c r="AF294" i="1"/>
  <c r="AG294" i="1" s="1"/>
  <c r="AI294" i="1" s="1"/>
  <c r="AK294" i="1" s="1"/>
  <c r="AM294" i="1" s="1"/>
  <c r="AO294" i="1" s="1"/>
  <c r="AQ294" i="1" s="1"/>
  <c r="AS294" i="1" s="1"/>
  <c r="AU294" i="1" s="1"/>
  <c r="AW294" i="1" s="1"/>
  <c r="AG176" i="1"/>
  <c r="AI176" i="1" s="1"/>
  <c r="AK176" i="1" s="1"/>
  <c r="AM176" i="1" s="1"/>
  <c r="AO176" i="1" s="1"/>
  <c r="AQ176" i="1" s="1"/>
  <c r="AS176" i="1" s="1"/>
  <c r="AU176" i="1" s="1"/>
  <c r="AW176" i="1" s="1"/>
  <c r="AZ176" i="1" s="1"/>
  <c r="AF113" i="1"/>
  <c r="AG113" i="1"/>
  <c r="AI113" i="1" s="1"/>
  <c r="AK113" i="1" s="1"/>
  <c r="AM113" i="1" s="1"/>
  <c r="AO113" i="1" s="1"/>
  <c r="AQ113" i="1" s="1"/>
  <c r="AS113" i="1" s="1"/>
  <c r="AU113" i="1" s="1"/>
  <c r="AW113" i="1" s="1"/>
  <c r="AF16" i="1"/>
  <c r="AX83" i="1"/>
  <c r="AY83" i="1" s="1"/>
  <c r="AZ83" i="1" s="1"/>
  <c r="AX331" i="1"/>
  <c r="AY331" i="1" s="1"/>
  <c r="AZ331" i="1" s="1"/>
  <c r="AF85" i="1"/>
  <c r="AG85" i="1" s="1"/>
  <c r="AI85" i="1" s="1"/>
  <c r="AK85" i="1" s="1"/>
  <c r="AM85" i="1" s="1"/>
  <c r="AO85" i="1" s="1"/>
  <c r="AQ85" i="1" s="1"/>
  <c r="AS85" i="1" s="1"/>
  <c r="AU85" i="1" s="1"/>
  <c r="AW85" i="1" s="1"/>
  <c r="AG36" i="1"/>
  <c r="AI36" i="1" s="1"/>
  <c r="AK36" i="1" s="1"/>
  <c r="AM36" i="1" s="1"/>
  <c r="AO36" i="1" s="1"/>
  <c r="AQ36" i="1" s="1"/>
  <c r="AS36" i="1" s="1"/>
  <c r="AU36" i="1" s="1"/>
  <c r="AW36" i="1" s="1"/>
  <c r="AZ36" i="1" s="1"/>
  <c r="AE363" i="1"/>
  <c r="AF139" i="1"/>
  <c r="AG139" i="1" s="1"/>
  <c r="AI139" i="1" s="1"/>
  <c r="AK139" i="1" s="1"/>
  <c r="AM139" i="1" s="1"/>
  <c r="AO139" i="1" s="1"/>
  <c r="AQ139" i="1" s="1"/>
  <c r="AS139" i="1" s="1"/>
  <c r="AU139" i="1" s="1"/>
  <c r="AW139" i="1" s="1"/>
  <c r="AD455" i="1"/>
  <c r="AD457" i="1" s="1"/>
  <c r="AF255" i="1"/>
  <c r="AG255" i="1" s="1"/>
  <c r="AI255" i="1" s="1"/>
  <c r="AK255" i="1" s="1"/>
  <c r="AM255" i="1" s="1"/>
  <c r="AO255" i="1" s="1"/>
  <c r="AQ255" i="1" s="1"/>
  <c r="AS255" i="1" s="1"/>
  <c r="AU255" i="1" s="1"/>
  <c r="AW255" i="1" s="1"/>
  <c r="AF72" i="1"/>
  <c r="AG72" i="1" s="1"/>
  <c r="AI72" i="1" s="1"/>
  <c r="AK72" i="1" s="1"/>
  <c r="AM72" i="1" s="1"/>
  <c r="AO72" i="1" s="1"/>
  <c r="AQ72" i="1" s="1"/>
  <c r="AS72" i="1" s="1"/>
  <c r="AU72" i="1" s="1"/>
  <c r="AW72" i="1" s="1"/>
  <c r="AF118" i="1"/>
  <c r="AG118" i="1" s="1"/>
  <c r="AI118" i="1" s="1"/>
  <c r="AK118" i="1" s="1"/>
  <c r="AM118" i="1" s="1"/>
  <c r="AO118" i="1" s="1"/>
  <c r="AQ118" i="1" s="1"/>
  <c r="AS118" i="1" s="1"/>
  <c r="AU118" i="1" s="1"/>
  <c r="AW118" i="1" s="1"/>
  <c r="AF184" i="1"/>
  <c r="AG184" i="1" s="1"/>
  <c r="AI184" i="1" s="1"/>
  <c r="AK184" i="1" s="1"/>
  <c r="AM184" i="1" s="1"/>
  <c r="AO184" i="1" s="1"/>
  <c r="AQ184" i="1" s="1"/>
  <c r="AS184" i="1" s="1"/>
  <c r="AU184" i="1" s="1"/>
  <c r="AW184" i="1" s="1"/>
  <c r="AF332" i="1"/>
  <c r="AG332" i="1" s="1"/>
  <c r="AI332" i="1" s="1"/>
  <c r="AK332" i="1" s="1"/>
  <c r="AM332" i="1" s="1"/>
  <c r="AO332" i="1" s="1"/>
  <c r="AQ332" i="1" s="1"/>
  <c r="AS332" i="1" s="1"/>
  <c r="AU332" i="1" s="1"/>
  <c r="AW332" i="1" s="1"/>
  <c r="AG210" i="1"/>
  <c r="AI210" i="1" s="1"/>
  <c r="AK210" i="1" s="1"/>
  <c r="AM210" i="1" s="1"/>
  <c r="AO210" i="1" s="1"/>
  <c r="AQ210" i="1" s="1"/>
  <c r="AS210" i="1" s="1"/>
  <c r="AU210" i="1" s="1"/>
  <c r="AW210" i="1" s="1"/>
  <c r="AZ210" i="1" s="1"/>
  <c r="AG186" i="1"/>
  <c r="AI186" i="1" s="1"/>
  <c r="AK186" i="1" s="1"/>
  <c r="AM186" i="1" s="1"/>
  <c r="AO186" i="1" s="1"/>
  <c r="AQ186" i="1" s="1"/>
  <c r="AS186" i="1" s="1"/>
  <c r="AU186" i="1" s="1"/>
  <c r="AW186" i="1" s="1"/>
  <c r="AZ186" i="1" s="1"/>
  <c r="AG25" i="1"/>
  <c r="AI25" i="1" s="1"/>
  <c r="AK25" i="1" s="1"/>
  <c r="AM25" i="1" s="1"/>
  <c r="AO25" i="1" s="1"/>
  <c r="AQ25" i="1" s="1"/>
  <c r="AS25" i="1" s="1"/>
  <c r="AU25" i="1" s="1"/>
  <c r="AW25" i="1" s="1"/>
  <c r="AZ25" i="1" s="1"/>
  <c r="AF46" i="1"/>
  <c r="AG46" i="1" s="1"/>
  <c r="AI46" i="1" s="1"/>
  <c r="AK46" i="1" s="1"/>
  <c r="AM46" i="1" s="1"/>
  <c r="AO46" i="1" s="1"/>
  <c r="AQ46" i="1" s="1"/>
  <c r="AS46" i="1" s="1"/>
  <c r="AU46" i="1" s="1"/>
  <c r="AW46" i="1" s="1"/>
  <c r="AX191" i="1"/>
  <c r="AY191" i="1" s="1"/>
  <c r="AZ191" i="1" s="1"/>
  <c r="AF126" i="1"/>
  <c r="AG126" i="1" s="1"/>
  <c r="AI126" i="1" s="1"/>
  <c r="AK126" i="1" s="1"/>
  <c r="AM126" i="1" s="1"/>
  <c r="AO126" i="1" s="1"/>
  <c r="AQ126" i="1" s="1"/>
  <c r="AS126" i="1" s="1"/>
  <c r="AU126" i="1" s="1"/>
  <c r="AW126" i="1" s="1"/>
  <c r="AE193" i="1"/>
  <c r="AF43" i="1"/>
  <c r="AG43" i="1" s="1"/>
  <c r="AI43" i="1" s="1"/>
  <c r="AK43" i="1" s="1"/>
  <c r="AM43" i="1" s="1"/>
  <c r="AO43" i="1" s="1"/>
  <c r="AQ43" i="1" s="1"/>
  <c r="AS43" i="1" s="1"/>
  <c r="AU43" i="1" s="1"/>
  <c r="AW43" i="1" s="1"/>
  <c r="AX351" i="1"/>
  <c r="AY351" i="1" s="1"/>
  <c r="AZ351" i="1" s="1"/>
  <c r="AG20" i="1"/>
  <c r="AI20" i="1" s="1"/>
  <c r="AK20" i="1" s="1"/>
  <c r="AM20" i="1" s="1"/>
  <c r="AO20" i="1" s="1"/>
  <c r="AQ20" i="1" s="1"/>
  <c r="AS20" i="1" s="1"/>
  <c r="AU20" i="1" s="1"/>
  <c r="AW20" i="1" s="1"/>
  <c r="AZ20" i="1" s="1"/>
  <c r="AX172" i="1"/>
  <c r="AY172" i="1" s="1"/>
  <c r="AZ172" i="1" s="1"/>
  <c r="AG145" i="1"/>
  <c r="AI145" i="1" s="1"/>
  <c r="AK145" i="1" s="1"/>
  <c r="AM145" i="1" s="1"/>
  <c r="AO145" i="1" s="1"/>
  <c r="AQ145" i="1" s="1"/>
  <c r="AS145" i="1" s="1"/>
  <c r="AU145" i="1" s="1"/>
  <c r="AW145" i="1" s="1"/>
  <c r="AZ145" i="1" s="1"/>
  <c r="AG84" i="1"/>
  <c r="AI84" i="1" s="1"/>
  <c r="AK84" i="1" s="1"/>
  <c r="AM84" i="1" s="1"/>
  <c r="AO84" i="1" s="1"/>
  <c r="AQ84" i="1" s="1"/>
  <c r="AS84" i="1" s="1"/>
  <c r="AU84" i="1" s="1"/>
  <c r="AW84" i="1" s="1"/>
  <c r="AZ84" i="1" s="1"/>
  <c r="AF68" i="1"/>
  <c r="AG68" i="1" s="1"/>
  <c r="AI68" i="1" s="1"/>
  <c r="AK68" i="1" s="1"/>
  <c r="AM68" i="1" s="1"/>
  <c r="AO68" i="1" s="1"/>
  <c r="AQ68" i="1" s="1"/>
  <c r="AS68" i="1" s="1"/>
  <c r="AU68" i="1" s="1"/>
  <c r="AW68" i="1" s="1"/>
  <c r="AF280" i="1"/>
  <c r="AG280" i="1"/>
  <c r="AI280" i="1" s="1"/>
  <c r="AK280" i="1" s="1"/>
  <c r="AM280" i="1" s="1"/>
  <c r="AO280" i="1" s="1"/>
  <c r="AQ280" i="1" s="1"/>
  <c r="AS280" i="1" s="1"/>
  <c r="AU280" i="1" s="1"/>
  <c r="AW280" i="1" s="1"/>
  <c r="AF76" i="1"/>
  <c r="AG76" i="1" s="1"/>
  <c r="AI76" i="1" s="1"/>
  <c r="AK76" i="1" s="1"/>
  <c r="AM76" i="1" s="1"/>
  <c r="AO76" i="1" s="1"/>
  <c r="AQ76" i="1" s="1"/>
  <c r="AS76" i="1" s="1"/>
  <c r="AU76" i="1" s="1"/>
  <c r="AW76" i="1" s="1"/>
  <c r="AF298" i="1"/>
  <c r="AG298" i="1" s="1"/>
  <c r="AI298" i="1" s="1"/>
  <c r="AK298" i="1" s="1"/>
  <c r="AM298" i="1" s="1"/>
  <c r="AO298" i="1" s="1"/>
  <c r="AQ298" i="1" s="1"/>
  <c r="AS298" i="1" s="1"/>
  <c r="AU298" i="1" s="1"/>
  <c r="AW298" i="1" s="1"/>
  <c r="AG90" i="1"/>
  <c r="AI90" i="1" s="1"/>
  <c r="AK90" i="1" s="1"/>
  <c r="AM90" i="1" s="1"/>
  <c r="AO90" i="1" s="1"/>
  <c r="AQ90" i="1" s="1"/>
  <c r="AS90" i="1" s="1"/>
  <c r="AU90" i="1" s="1"/>
  <c r="AW90" i="1" s="1"/>
  <c r="AZ90" i="1" s="1"/>
  <c r="AX8" i="1"/>
  <c r="AK6" i="1"/>
  <c r="AF207" i="1"/>
  <c r="AG207" i="1"/>
  <c r="AI207" i="1" s="1"/>
  <c r="AK207" i="1" s="1"/>
  <c r="AM207" i="1" s="1"/>
  <c r="AO207" i="1" s="1"/>
  <c r="AQ207" i="1" s="1"/>
  <c r="AS207" i="1" s="1"/>
  <c r="AU207" i="1" s="1"/>
  <c r="AW207" i="1" s="1"/>
  <c r="AE170" i="1"/>
  <c r="AZ19" i="1"/>
  <c r="AZ247" i="1"/>
  <c r="AF259" i="1"/>
  <c r="AG259" i="1" s="1"/>
  <c r="AI259" i="1" s="1"/>
  <c r="AK259" i="1" s="1"/>
  <c r="AM259" i="1" s="1"/>
  <c r="AO259" i="1" s="1"/>
  <c r="AQ259" i="1" s="1"/>
  <c r="AS259" i="1" s="1"/>
  <c r="AU259" i="1" s="1"/>
  <c r="AW259" i="1" s="1"/>
  <c r="AX37" i="1"/>
  <c r="AY37" i="1" s="1"/>
  <c r="AZ37" i="1" s="1"/>
  <c r="AG205" i="1"/>
  <c r="AI205" i="1" s="1"/>
  <c r="AK205" i="1" s="1"/>
  <c r="AM205" i="1" s="1"/>
  <c r="AO205" i="1" s="1"/>
  <c r="AQ205" i="1" s="1"/>
  <c r="AS205" i="1" s="1"/>
  <c r="AU205" i="1" s="1"/>
  <c r="AW205" i="1" s="1"/>
  <c r="AZ205" i="1" s="1"/>
  <c r="AF56" i="1"/>
  <c r="AG56" i="1" s="1"/>
  <c r="AI56" i="1" s="1"/>
  <c r="AK56" i="1" s="1"/>
  <c r="AM56" i="1" s="1"/>
  <c r="AO56" i="1" s="1"/>
  <c r="AQ56" i="1" s="1"/>
  <c r="AS56" i="1" s="1"/>
  <c r="AU56" i="1" s="1"/>
  <c r="AW56" i="1" s="1"/>
  <c r="AF73" i="1"/>
  <c r="AG73" i="1" s="1"/>
  <c r="AI73" i="1" s="1"/>
  <c r="AK73" i="1" s="1"/>
  <c r="AM73" i="1" s="1"/>
  <c r="AO73" i="1" s="1"/>
  <c r="AQ73" i="1" s="1"/>
  <c r="AS73" i="1" s="1"/>
  <c r="AU73" i="1" s="1"/>
  <c r="AW73" i="1" s="1"/>
  <c r="AE132" i="1"/>
  <c r="AX218" i="1"/>
  <c r="AY218" i="1" s="1"/>
  <c r="AZ218" i="1" s="1"/>
  <c r="AG202" i="1"/>
  <c r="AI202" i="1" s="1"/>
  <c r="AK202" i="1" s="1"/>
  <c r="AM202" i="1" s="1"/>
  <c r="AO202" i="1" s="1"/>
  <c r="AQ202" i="1" s="1"/>
  <c r="AS202" i="1" s="1"/>
  <c r="AU202" i="1" s="1"/>
  <c r="AW202" i="1" s="1"/>
  <c r="AZ202" i="1" s="1"/>
  <c r="AG173" i="1"/>
  <c r="AI173" i="1" s="1"/>
  <c r="AK173" i="1" s="1"/>
  <c r="AM173" i="1" s="1"/>
  <c r="AO173" i="1" s="1"/>
  <c r="AQ173" i="1" s="1"/>
  <c r="AS173" i="1" s="1"/>
  <c r="AU173" i="1" s="1"/>
  <c r="AW173" i="1" s="1"/>
  <c r="AZ173" i="1" s="1"/>
  <c r="AF236" i="1"/>
  <c r="AG236" i="1"/>
  <c r="AI236" i="1" s="1"/>
  <c r="AK236" i="1" s="1"/>
  <c r="AM236" i="1" s="1"/>
  <c r="AO236" i="1" s="1"/>
  <c r="AQ236" i="1" s="1"/>
  <c r="AS236" i="1" s="1"/>
  <c r="AU236" i="1" s="1"/>
  <c r="AW236" i="1" s="1"/>
  <c r="AF299" i="1"/>
  <c r="AG299" i="1" s="1"/>
  <c r="AI299" i="1" s="1"/>
  <c r="AK299" i="1" s="1"/>
  <c r="AM299" i="1" s="1"/>
  <c r="AO299" i="1" s="1"/>
  <c r="AQ299" i="1" s="1"/>
  <c r="AS299" i="1" s="1"/>
  <c r="AU299" i="1" s="1"/>
  <c r="AW299" i="1" s="1"/>
  <c r="AF182" i="1"/>
  <c r="AG182" i="1"/>
  <c r="AI182" i="1" s="1"/>
  <c r="AK182" i="1" s="1"/>
  <c r="AM182" i="1" s="1"/>
  <c r="AO182" i="1" s="1"/>
  <c r="AQ182" i="1" s="1"/>
  <c r="AS182" i="1" s="1"/>
  <c r="AU182" i="1" s="1"/>
  <c r="AW182" i="1" s="1"/>
  <c r="AF367" i="1"/>
  <c r="AX367" i="1" s="1"/>
  <c r="AY367" i="1" s="1"/>
  <c r="AX284" i="1"/>
  <c r="AY284" i="1" s="1"/>
  <c r="AZ284" i="1" s="1"/>
  <c r="AF81" i="1"/>
  <c r="AG81" i="1" s="1"/>
  <c r="AI81" i="1" s="1"/>
  <c r="AK81" i="1" s="1"/>
  <c r="AM81" i="1" s="1"/>
  <c r="AO81" i="1" s="1"/>
  <c r="AQ81" i="1" s="1"/>
  <c r="AS81" i="1" s="1"/>
  <c r="AU81" i="1" s="1"/>
  <c r="AW81" i="1" s="1"/>
  <c r="AF44" i="1"/>
  <c r="AG44" i="1" s="1"/>
  <c r="AI44" i="1" s="1"/>
  <c r="AK44" i="1" s="1"/>
  <c r="AM44" i="1" s="1"/>
  <c r="AO44" i="1" s="1"/>
  <c r="AQ44" i="1" s="1"/>
  <c r="AS44" i="1" s="1"/>
  <c r="AU44" i="1" s="1"/>
  <c r="AW44" i="1" s="1"/>
  <c r="AF109" i="1"/>
  <c r="AG109" i="1" s="1"/>
  <c r="AI109" i="1" s="1"/>
  <c r="AK109" i="1" s="1"/>
  <c r="AM109" i="1" s="1"/>
  <c r="AO109" i="1" s="1"/>
  <c r="AQ109" i="1" s="1"/>
  <c r="AS109" i="1" s="1"/>
  <c r="AU109" i="1" s="1"/>
  <c r="AW109" i="1" s="1"/>
  <c r="AG314" i="1"/>
  <c r="AI314" i="1" s="1"/>
  <c r="AK314" i="1" s="1"/>
  <c r="AM314" i="1" s="1"/>
  <c r="AO314" i="1" s="1"/>
  <c r="AQ314" i="1" s="1"/>
  <c r="AS314" i="1" s="1"/>
  <c r="AU314" i="1" s="1"/>
  <c r="AW314" i="1" s="1"/>
  <c r="AZ314" i="1" s="1"/>
  <c r="AX128" i="1"/>
  <c r="AY128" i="1" s="1"/>
  <c r="AZ128" i="1" s="1"/>
  <c r="AE77" i="1"/>
  <c r="AX71" i="1"/>
  <c r="AY71" i="1" s="1"/>
  <c r="AZ71" i="1" s="1"/>
  <c r="AF55" i="1"/>
  <c r="AG55" i="1" s="1"/>
  <c r="AI55" i="1" s="1"/>
  <c r="AK55" i="1" s="1"/>
  <c r="AM55" i="1" s="1"/>
  <c r="AO55" i="1" s="1"/>
  <c r="AQ55" i="1" s="1"/>
  <c r="AS55" i="1" s="1"/>
  <c r="AU55" i="1" s="1"/>
  <c r="AW55" i="1" s="1"/>
  <c r="AX14" i="1"/>
  <c r="AY14" i="1" s="1"/>
  <c r="AZ14" i="1" s="1"/>
  <c r="AF358" i="1"/>
  <c r="AG358" i="1" s="1"/>
  <c r="AI358" i="1" s="1"/>
  <c r="AK358" i="1" s="1"/>
  <c r="AM358" i="1" s="1"/>
  <c r="AO358" i="1" s="1"/>
  <c r="AQ358" i="1" s="1"/>
  <c r="AS358" i="1" s="1"/>
  <c r="AU358" i="1" s="1"/>
  <c r="AW358" i="1" s="1"/>
  <c r="AF345" i="1"/>
  <c r="AG345" i="1"/>
  <c r="AI345" i="1" s="1"/>
  <c r="AK345" i="1" s="1"/>
  <c r="AM345" i="1" s="1"/>
  <c r="AO345" i="1" s="1"/>
  <c r="AQ345" i="1" s="1"/>
  <c r="AS345" i="1" s="1"/>
  <c r="AU345" i="1" s="1"/>
  <c r="AW345" i="1" s="1"/>
  <c r="AF208" i="1"/>
  <c r="AG208" i="1" s="1"/>
  <c r="AI208" i="1" s="1"/>
  <c r="AK208" i="1" s="1"/>
  <c r="AM208" i="1" s="1"/>
  <c r="AO208" i="1" s="1"/>
  <c r="AQ208" i="1" s="1"/>
  <c r="AS208" i="1" s="1"/>
  <c r="AU208" i="1" s="1"/>
  <c r="AW208" i="1" s="1"/>
  <c r="AZ86" i="1"/>
  <c r="AF106" i="1"/>
  <c r="AG106" i="1" s="1"/>
  <c r="AI106" i="1" s="1"/>
  <c r="AK106" i="1" s="1"/>
  <c r="AM106" i="1" s="1"/>
  <c r="AO106" i="1" s="1"/>
  <c r="AQ106" i="1" s="1"/>
  <c r="AS106" i="1" s="1"/>
  <c r="AU106" i="1" s="1"/>
  <c r="AW106" i="1" s="1"/>
  <c r="AF343" i="1"/>
  <c r="AG343" i="1"/>
  <c r="AI343" i="1" s="1"/>
  <c r="AK343" i="1" s="1"/>
  <c r="AM343" i="1" s="1"/>
  <c r="AO343" i="1" s="1"/>
  <c r="AQ343" i="1" s="1"/>
  <c r="AS343" i="1" s="1"/>
  <c r="AU343" i="1" s="1"/>
  <c r="AW343" i="1" s="1"/>
  <c r="AF32" i="1"/>
  <c r="AG32" i="1" s="1"/>
  <c r="AI32" i="1" s="1"/>
  <c r="AK32" i="1" s="1"/>
  <c r="AM32" i="1" s="1"/>
  <c r="AO32" i="1" s="1"/>
  <c r="AQ32" i="1" s="1"/>
  <c r="AS32" i="1" s="1"/>
  <c r="AU32" i="1" s="1"/>
  <c r="AW32" i="1" s="1"/>
  <c r="AX306" i="1"/>
  <c r="AY306" i="1" s="1"/>
  <c r="AZ306" i="1" s="1"/>
  <c r="AF131" i="1"/>
  <c r="AG131" i="1" s="1"/>
  <c r="AI131" i="1" s="1"/>
  <c r="AK131" i="1" s="1"/>
  <c r="AM131" i="1" s="1"/>
  <c r="AO131" i="1" s="1"/>
  <c r="AQ131" i="1" s="1"/>
  <c r="AS131" i="1" s="1"/>
  <c r="AU131" i="1" s="1"/>
  <c r="AW131" i="1" s="1"/>
  <c r="AF24" i="1"/>
  <c r="AG24" i="1" s="1"/>
  <c r="AI24" i="1" s="1"/>
  <c r="AK24" i="1" s="1"/>
  <c r="AM24" i="1" s="1"/>
  <c r="AO24" i="1" s="1"/>
  <c r="AQ24" i="1" s="1"/>
  <c r="AS24" i="1" s="1"/>
  <c r="AU24" i="1" s="1"/>
  <c r="AW24" i="1" s="1"/>
  <c r="AF74" i="1"/>
  <c r="AG74" i="1" s="1"/>
  <c r="AI74" i="1" s="1"/>
  <c r="AK74" i="1" s="1"/>
  <c r="AM74" i="1" s="1"/>
  <c r="AO74" i="1" s="1"/>
  <c r="AQ74" i="1" s="1"/>
  <c r="AS74" i="1" s="1"/>
  <c r="AU74" i="1" s="1"/>
  <c r="AW74" i="1" s="1"/>
  <c r="AX43" i="1" l="1"/>
  <c r="AY43" i="1" s="1"/>
  <c r="AZ43" i="1" s="1"/>
  <c r="AX118" i="1"/>
  <c r="AY118" i="1" s="1"/>
  <c r="AZ118" i="1" s="1"/>
  <c r="AX62" i="1"/>
  <c r="AY62" i="1" s="1"/>
  <c r="AX30" i="1"/>
  <c r="AY30" i="1" s="1"/>
  <c r="AZ30" i="1" s="1"/>
  <c r="AX44" i="1"/>
  <c r="AY44" i="1" s="1"/>
  <c r="AZ44" i="1" s="1"/>
  <c r="AX85" i="1"/>
  <c r="AY85" i="1" s="1"/>
  <c r="AX72" i="1"/>
  <c r="AY72" i="1" s="1"/>
  <c r="AZ72" i="1" s="1"/>
  <c r="AG367" i="1"/>
  <c r="AI367" i="1" s="1"/>
  <c r="AK367" i="1" s="1"/>
  <c r="AM367" i="1" s="1"/>
  <c r="AO367" i="1" s="1"/>
  <c r="AQ367" i="1" s="1"/>
  <c r="AS367" i="1" s="1"/>
  <c r="AU367" i="1" s="1"/>
  <c r="AW367" i="1" s="1"/>
  <c r="AX287" i="1"/>
  <c r="AY287" i="1" s="1"/>
  <c r="AZ287" i="1" s="1"/>
  <c r="AX126" i="1"/>
  <c r="AY126" i="1" s="1"/>
  <c r="AZ126" i="1" s="1"/>
  <c r="AZ85" i="1"/>
  <c r="AX139" i="1"/>
  <c r="AY139" i="1" s="1"/>
  <c r="AZ139" i="1" s="1"/>
  <c r="AX299" i="1"/>
  <c r="AY299" i="1" s="1"/>
  <c r="AZ299" i="1" s="1"/>
  <c r="AX40" i="1"/>
  <c r="AY40" i="1" s="1"/>
  <c r="AZ40" i="1" s="1"/>
  <c r="AX259" i="1"/>
  <c r="AY259" i="1" s="1"/>
  <c r="AZ259" i="1" s="1"/>
  <c r="AX74" i="1"/>
  <c r="AY74" i="1" s="1"/>
  <c r="AZ74" i="1" s="1"/>
  <c r="AX106" i="1"/>
  <c r="AY106" i="1" s="1"/>
  <c r="AZ106" i="1" s="1"/>
  <c r="AX184" i="1"/>
  <c r="AY184" i="1" s="1"/>
  <c r="AZ184" i="1" s="1"/>
  <c r="AX241" i="1"/>
  <c r="AY241" i="1" s="1"/>
  <c r="AZ241" i="1" s="1"/>
  <c r="AX73" i="1"/>
  <c r="AY73" i="1" s="1"/>
  <c r="AZ73" i="1" s="1"/>
  <c r="AX377" i="1"/>
  <c r="AY377" i="1" s="1"/>
  <c r="AZ377" i="1" s="1"/>
  <c r="AX92" i="1"/>
  <c r="AY92" i="1" s="1"/>
  <c r="AZ92" i="1" s="1"/>
  <c r="AX131" i="1"/>
  <c r="AY131" i="1" s="1"/>
  <c r="AZ131" i="1" s="1"/>
  <c r="AX357" i="1"/>
  <c r="AY357" i="1" s="1"/>
  <c r="AZ357" i="1" s="1"/>
  <c r="AX208" i="1"/>
  <c r="AY208" i="1" s="1"/>
  <c r="AZ208" i="1" s="1"/>
  <c r="AX81" i="1"/>
  <c r="AY81" i="1" s="1"/>
  <c r="AZ81" i="1" s="1"/>
  <c r="AX76" i="1"/>
  <c r="AY76" i="1" s="1"/>
  <c r="AZ76" i="1" s="1"/>
  <c r="AX294" i="1"/>
  <c r="AY294" i="1" s="1"/>
  <c r="AZ294" i="1" s="1"/>
  <c r="AX64" i="1"/>
  <c r="AY64" i="1" s="1"/>
  <c r="AZ64" i="1" s="1"/>
  <c r="AX32" i="1"/>
  <c r="AY32" i="1" s="1"/>
  <c r="AZ32" i="1" s="1"/>
  <c r="AX267" i="1"/>
  <c r="AY267" i="1" s="1"/>
  <c r="AZ267" i="1" s="1"/>
  <c r="AX109" i="1"/>
  <c r="AY109" i="1" s="1"/>
  <c r="AZ109" i="1" s="1"/>
  <c r="AX56" i="1"/>
  <c r="AY56" i="1" s="1"/>
  <c r="AZ56" i="1" s="1"/>
  <c r="AX343" i="1"/>
  <c r="AY343" i="1" s="1"/>
  <c r="AZ343" i="1" s="1"/>
  <c r="AX332" i="1"/>
  <c r="AY332" i="1" s="1"/>
  <c r="AZ332" i="1" s="1"/>
  <c r="AG16" i="1"/>
  <c r="AX236" i="1"/>
  <c r="AY236" i="1" s="1"/>
  <c r="AZ236" i="1" s="1"/>
  <c r="AF170" i="1"/>
  <c r="AG170" i="1" s="1"/>
  <c r="AI170" i="1" s="1"/>
  <c r="AK170" i="1" s="1"/>
  <c r="AM170" i="1" s="1"/>
  <c r="AO170" i="1" s="1"/>
  <c r="AQ170" i="1" s="1"/>
  <c r="AS170" i="1" s="1"/>
  <c r="AU170" i="1" s="1"/>
  <c r="AW170" i="1" s="1"/>
  <c r="AF132" i="1"/>
  <c r="AG132" i="1" s="1"/>
  <c r="AI132" i="1" s="1"/>
  <c r="AK132" i="1" s="1"/>
  <c r="AM132" i="1" s="1"/>
  <c r="AO132" i="1" s="1"/>
  <c r="AQ132" i="1" s="1"/>
  <c r="AS132" i="1" s="1"/>
  <c r="AU132" i="1" s="1"/>
  <c r="AW132" i="1" s="1"/>
  <c r="AM6" i="1"/>
  <c r="AF77" i="1"/>
  <c r="AG77" i="1" s="1"/>
  <c r="AI77" i="1" s="1"/>
  <c r="AK77" i="1" s="1"/>
  <c r="AM77" i="1" s="1"/>
  <c r="AO77" i="1" s="1"/>
  <c r="AQ77" i="1" s="1"/>
  <c r="AS77" i="1" s="1"/>
  <c r="AU77" i="1" s="1"/>
  <c r="AW77" i="1" s="1"/>
  <c r="AX24" i="1"/>
  <c r="AY24" i="1" s="1"/>
  <c r="AZ24" i="1" s="1"/>
  <c r="AX358" i="1"/>
  <c r="AY358" i="1" s="1"/>
  <c r="AZ358" i="1" s="1"/>
  <c r="AX280" i="1"/>
  <c r="AY280" i="1" s="1"/>
  <c r="AZ280" i="1" s="1"/>
  <c r="AF193" i="1"/>
  <c r="AG193" i="1" s="1"/>
  <c r="AI193" i="1" s="1"/>
  <c r="AK193" i="1" s="1"/>
  <c r="AM193" i="1" s="1"/>
  <c r="AO193" i="1" s="1"/>
  <c r="AQ193" i="1" s="1"/>
  <c r="AS193" i="1" s="1"/>
  <c r="AU193" i="1" s="1"/>
  <c r="AW193" i="1" s="1"/>
  <c r="AZ367" i="1"/>
  <c r="AX142" i="1"/>
  <c r="AY142" i="1" s="1"/>
  <c r="AZ142" i="1" s="1"/>
  <c r="AY8" i="1"/>
  <c r="AF219" i="1"/>
  <c r="AG219" i="1" s="1"/>
  <c r="AI219" i="1" s="1"/>
  <c r="AK219" i="1" s="1"/>
  <c r="AM219" i="1" s="1"/>
  <c r="AO219" i="1" s="1"/>
  <c r="AQ219" i="1" s="1"/>
  <c r="AS219" i="1" s="1"/>
  <c r="AU219" i="1" s="1"/>
  <c r="AW219" i="1" s="1"/>
  <c r="AX182" i="1"/>
  <c r="AY182" i="1" s="1"/>
  <c r="AZ182" i="1" s="1"/>
  <c r="AX255" i="1"/>
  <c r="AY255" i="1" s="1"/>
  <c r="AZ255" i="1" s="1"/>
  <c r="AX298" i="1"/>
  <c r="AY298" i="1" s="1"/>
  <c r="AZ298" i="1" s="1"/>
  <c r="AX113" i="1"/>
  <c r="AY113" i="1" s="1"/>
  <c r="AZ113" i="1" s="1"/>
  <c r="AZ125" i="1"/>
  <c r="AF363" i="1"/>
  <c r="AG363" i="1" s="1"/>
  <c r="AI363" i="1" s="1"/>
  <c r="AK363" i="1" s="1"/>
  <c r="AM363" i="1" s="1"/>
  <c r="AO363" i="1" s="1"/>
  <c r="AQ363" i="1" s="1"/>
  <c r="AS363" i="1" s="1"/>
  <c r="AU363" i="1" s="1"/>
  <c r="AW363" i="1" s="1"/>
  <c r="AX345" i="1"/>
  <c r="AY345" i="1" s="1"/>
  <c r="AZ345" i="1" s="1"/>
  <c r="AX100" i="1"/>
  <c r="AY100" i="1" s="1"/>
  <c r="AZ100" i="1" s="1"/>
  <c r="AX207" i="1"/>
  <c r="AY207" i="1" s="1"/>
  <c r="AZ207" i="1" s="1"/>
  <c r="AX55" i="1"/>
  <c r="AY55" i="1" s="1"/>
  <c r="AZ55" i="1" s="1"/>
  <c r="AX352" i="1"/>
  <c r="AY352" i="1" s="1"/>
  <c r="AZ352" i="1" s="1"/>
  <c r="AE455" i="1"/>
  <c r="AE457" i="1" s="1"/>
  <c r="AX68" i="1"/>
  <c r="AY68" i="1" s="1"/>
  <c r="AZ68" i="1" s="1"/>
  <c r="AX46" i="1"/>
  <c r="AY46" i="1" s="1"/>
  <c r="AZ46" i="1" s="1"/>
  <c r="AF361" i="1"/>
  <c r="AG361" i="1" s="1"/>
  <c r="AI361" i="1" s="1"/>
  <c r="AK361" i="1" s="1"/>
  <c r="AM361" i="1" s="1"/>
  <c r="AO361" i="1" s="1"/>
  <c r="AQ361" i="1" s="1"/>
  <c r="AS361" i="1" s="1"/>
  <c r="AU361" i="1" s="1"/>
  <c r="AW361" i="1" s="1"/>
  <c r="AZ62" i="1"/>
  <c r="AF455" i="1" l="1"/>
  <c r="AF457" i="1" s="1"/>
  <c r="AX170" i="1"/>
  <c r="AY170" i="1" s="1"/>
  <c r="AZ170" i="1" s="1"/>
  <c r="AX219" i="1"/>
  <c r="AY219" i="1" s="1"/>
  <c r="AZ219" i="1" s="1"/>
  <c r="AX77" i="1"/>
  <c r="AY77" i="1" s="1"/>
  <c r="AZ77" i="1" s="1"/>
  <c r="AX132" i="1"/>
  <c r="AY132" i="1" s="1"/>
  <c r="AZ132" i="1" s="1"/>
  <c r="AO6" i="1"/>
  <c r="AZ8" i="1"/>
  <c r="AX361" i="1"/>
  <c r="AY361" i="1" s="1"/>
  <c r="AZ361" i="1" s="1"/>
  <c r="AX193" i="1"/>
  <c r="AY193" i="1" s="1"/>
  <c r="AZ193" i="1" s="1"/>
  <c r="AX363" i="1"/>
  <c r="AY363" i="1" s="1"/>
  <c r="AZ363" i="1" s="1"/>
  <c r="AI16" i="1"/>
  <c r="AG455" i="1"/>
  <c r="AG457" i="1" s="1"/>
  <c r="AK16" i="1" l="1"/>
  <c r="AI455" i="1"/>
  <c r="AI457" i="1" s="1"/>
  <c r="AQ6" i="1"/>
  <c r="AS6" i="1" l="1"/>
  <c r="AM16" i="1"/>
  <c r="AK455" i="1"/>
  <c r="AK457" i="1" s="1"/>
  <c r="AO16" i="1" l="1"/>
  <c r="AM455" i="1"/>
  <c r="AM457" i="1" s="1"/>
  <c r="AU6" i="1"/>
  <c r="AW6" i="1" l="1"/>
  <c r="AQ16" i="1"/>
  <c r="AO455" i="1"/>
  <c r="AO457" i="1" s="1"/>
  <c r="AS16" i="1" l="1"/>
  <c r="AQ455" i="1"/>
  <c r="AQ457" i="1" s="1"/>
  <c r="AZ6" i="1"/>
  <c r="AU16" i="1" l="1"/>
  <c r="AS455" i="1"/>
  <c r="AS457" i="1" s="1"/>
  <c r="AW16" i="1" l="1"/>
  <c r="AU455" i="1"/>
  <c r="AU457" i="1" s="1"/>
  <c r="AX16" i="1" l="1"/>
  <c r="AW455" i="1"/>
  <c r="AW457" i="1" s="1"/>
  <c r="AY16" i="1" l="1"/>
  <c r="AX455" i="1"/>
  <c r="AX458" i="1" s="1"/>
  <c r="AY455" i="1" l="1"/>
  <c r="AY457" i="1" s="1"/>
  <c r="AZ1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Thuy - MUS</author>
    <author>ACC2</author>
    <author>ACC-PC01</author>
    <author>Dao Thi Thuy</author>
    <author>Windows User</author>
  </authors>
  <commentList>
    <comment ref="R6" authorId="0" shapeId="0" xr:uid="{7AF48C5A-FB02-4974-9742-FF8FCD40D74E}">
      <text>
        <r>
          <rPr>
            <b/>
            <sz val="9"/>
            <color indexed="81"/>
            <rFont val="Tahoma"/>
            <family val="2"/>
          </rPr>
          <t>Thuy - MUS:</t>
        </r>
        <r>
          <rPr>
            <sz val="9"/>
            <color indexed="81"/>
            <rFont val="Tahoma"/>
            <family val="2"/>
          </rPr>
          <t xml:space="preserve">
( tru di 3 thang tu 9
-&gt;11) Bat dau phan bo tu 01/ 12/2013</t>
        </r>
      </text>
    </comment>
    <comment ref="T6" authorId="1" shapeId="0" xr:uid="{E103747D-2CA0-4A47-81C3-46688ED892C3}">
      <text>
        <r>
          <rPr>
            <b/>
            <sz val="9"/>
            <color indexed="81"/>
            <rFont val="Tahoma"/>
            <family val="2"/>
          </rPr>
          <t>ACC2:</t>
        </r>
        <r>
          <rPr>
            <sz val="9"/>
            <color indexed="81"/>
            <rFont val="Tahoma"/>
            <family val="2"/>
          </rPr>
          <t xml:space="preserve">
total là :39412293467
chia giá trị làm 2 dong
</t>
        </r>
      </text>
    </comment>
    <comment ref="E11" authorId="2" shapeId="0" xr:uid="{A12F822A-D75F-4EE8-B54D-B6FBC662573F}">
      <text>
        <r>
          <rPr>
            <b/>
            <sz val="9"/>
            <color indexed="81"/>
            <rFont val="Tahoma"/>
            <family val="2"/>
          </rPr>
          <t>ACC-PC01:</t>
        </r>
        <r>
          <rPr>
            <sz val="9"/>
            <color indexed="81"/>
            <rFont val="Tahoma"/>
            <family val="2"/>
          </rPr>
          <t xml:space="preserve">
Nhiều thiết bị</t>
        </r>
      </text>
    </comment>
    <comment ref="T397" authorId="3" shapeId="0" xr:uid="{9EBD9CC1-8D74-4E57-BD21-F778AE09604C}">
      <text>
        <r>
          <rPr>
            <b/>
            <sz val="9"/>
            <color indexed="81"/>
            <rFont val="Tahoma"/>
            <family val="2"/>
          </rPr>
          <t>Dao Thi Thuy:</t>
        </r>
        <r>
          <rPr>
            <sz val="9"/>
            <color indexed="81"/>
            <rFont val="Tahoma"/>
            <family val="2"/>
          </rPr>
          <t xml:space="preserve">
tháng 4 out hết, giá trị thấp</t>
        </r>
      </text>
    </comment>
    <comment ref="AB457" authorId="3" shapeId="0" xr:uid="{F710A6B8-73E5-4FED-955F-B06B313E7D87}">
      <text>
        <r>
          <rPr>
            <b/>
            <sz val="9"/>
            <color indexed="81"/>
            <rFont val="Tahoma"/>
            <family val="2"/>
          </rPr>
          <t>Dao Thi Thuy:</t>
        </r>
        <r>
          <rPr>
            <sz val="9"/>
            <color indexed="81"/>
            <rFont val="Tahoma"/>
            <family val="2"/>
          </rPr>
          <t xml:space="preserve">
Lệch do trích thừa đã làm bút toán revert vào tháng 03.2026 (cty yonyou)</t>
        </r>
      </text>
    </comment>
    <comment ref="AU457" authorId="4" shapeId="0" xr:uid="{351F6E73-7AE9-4132-9554-7ADFECA6C3D8}">
      <text>
        <r>
          <rPr>
            <b/>
            <sz val="9"/>
            <color indexed="81"/>
            <rFont val="Tahoma"/>
            <family val="2"/>
          </rPr>
          <t>Windows User:</t>
        </r>
        <r>
          <rPr>
            <sz val="9"/>
            <color indexed="81"/>
            <rFont val="Tahoma"/>
            <family val="2"/>
          </rPr>
          <t xml:space="preserve">
Lệch do bút toán thuê TC bị PB 2 lần đã đc vào tháng 12.2025</t>
        </r>
      </text>
    </comment>
    <comment ref="AX458" authorId="3" shapeId="0" xr:uid="{2327F687-0DE3-461F-BEDF-6075FCB3A8BF}">
      <text>
        <r>
          <rPr>
            <b/>
            <sz val="9"/>
            <color indexed="81"/>
            <rFont val="Tahoma"/>
            <family val="2"/>
          </rPr>
          <t>Dao Thi Thuy:</t>
        </r>
        <r>
          <rPr>
            <sz val="9"/>
            <color indexed="81"/>
            <rFont val="Tahoma"/>
            <family val="2"/>
          </rPr>
          <t xml:space="preserve">
Lệch do trích thừa đã làm bút toán revert vào tháng 03.2026</t>
        </r>
      </text>
    </comment>
  </commentList>
</comments>
</file>

<file path=xl/sharedStrings.xml><?xml version="1.0" encoding="utf-8"?>
<sst xmlns="http://schemas.openxmlformats.org/spreadsheetml/2006/main" count="4950" uniqueCount="1196">
  <si>
    <t>LONG TERM PREPAID REPORT BREAKDOWN 2026</t>
  </si>
  <si>
    <t>NO</t>
  </si>
  <si>
    <t xml:space="preserve">Code </t>
  </si>
  <si>
    <t>Vendor</t>
  </si>
  <si>
    <t>Classify</t>
  </si>
  <si>
    <t>Description</t>
  </si>
  <si>
    <t>CD/invoice</t>
  </si>
  <si>
    <t>Voucher Date</t>
  </si>
  <si>
    <t>Voucher GL</t>
  </si>
  <si>
    <t>Acc Pre</t>
  </si>
  <si>
    <t>Acc name</t>
  </si>
  <si>
    <t>Acc exp</t>
  </si>
  <si>
    <t>Exp name</t>
  </si>
  <si>
    <t>Cost center</t>
  </si>
  <si>
    <t>Cost center name</t>
  </si>
  <si>
    <t xml:space="preserve">Amortization Time </t>
  </si>
  <si>
    <t>Time month</t>
  </si>
  <si>
    <t>Durable Year</t>
  </si>
  <si>
    <t>AMT</t>
  </si>
  <si>
    <t>Amt</t>
  </si>
  <si>
    <t>Amortization/ month</t>
  </si>
  <si>
    <t>Total Accumulated
Expense
2013-2025</t>
  </si>
  <si>
    <t>Beginning 2026</t>
  </si>
  <si>
    <t>Jan'26</t>
  </si>
  <si>
    <t>Feb'26</t>
  </si>
  <si>
    <t>Mar'26</t>
  </si>
  <si>
    <t>Apr'26</t>
  </si>
  <si>
    <t>May'26</t>
  </si>
  <si>
    <t>Jun'26</t>
  </si>
  <si>
    <t>Jul'26</t>
  </si>
  <si>
    <t>Aug'26</t>
  </si>
  <si>
    <t>Sep'26</t>
  </si>
  <si>
    <t>Oct'26</t>
  </si>
  <si>
    <t>Nov'26</t>
  </si>
  <si>
    <t>Dec'26</t>
  </si>
  <si>
    <t>END OF 2026</t>
  </si>
  <si>
    <t>Qty</t>
  </si>
  <si>
    <t>Begin</t>
  </si>
  <si>
    <t>Finshed</t>
  </si>
  <si>
    <t>VND</t>
  </si>
  <si>
    <t>Ngoại tệ (USD)</t>
  </si>
  <si>
    <t>Amortization</t>
  </si>
  <si>
    <t>Banlance</t>
  </si>
  <si>
    <t>Total
 Allowcated in 2026</t>
  </si>
  <si>
    <t>Balance 
end of 2026</t>
  </si>
  <si>
    <t>Kind</t>
  </si>
  <si>
    <t>Code 242</t>
  </si>
  <si>
    <t xml:space="preserve">Code expense </t>
  </si>
  <si>
    <t>Original value</t>
  </si>
  <si>
    <t>MCVN-01</t>
  </si>
  <si>
    <t xml:space="preserve">Land-use right with Kinh Bac ( HĐ 130/HĐ-QVMR/2013 ngaøy 26/9/13) </t>
  </si>
  <si>
    <t>19010135</t>
  </si>
  <si>
    <t>Long-term prepaid expenses - start-up costs - amortization of intangible assets</t>
  </si>
  <si>
    <t>41051801</t>
  </si>
  <si>
    <t>Manufacturing costs - rental - land rental</t>
  </si>
  <si>
    <t>C-1000</t>
  </si>
  <si>
    <t>Production</t>
  </si>
  <si>
    <t>MCVN-02</t>
  </si>
  <si>
    <t>55021801</t>
  </si>
  <si>
    <t>Administrative expense - Rental - land</t>
  </si>
  <si>
    <t>C-8000</t>
  </si>
  <si>
    <t>Management</t>
  </si>
  <si>
    <t>MCVN-225</t>
  </si>
  <si>
    <t>CÔNG TY TNHH AN THIẾT</t>
  </si>
  <si>
    <t>repair workshop</t>
  </si>
  <si>
    <t>Chi phí xử lý nền phòng đùn ép nhôm theo hợp đồng số 020819/QV/HĐKT/MC-AT, sign 02/08/2019. Expense for repair the floor at Extrusion room follow the contract no. 020819/QV/HĐKT/MC-AT, sign 02/08/2019</t>
  </si>
  <si>
    <t>19010999</t>
  </si>
  <si>
    <t>Long-term prepaid expenses - other</t>
  </si>
  <si>
    <t>41052207</t>
  </si>
  <si>
    <t>Manufacturing costs - Amortization - Other</t>
  </si>
  <si>
    <t>C-1100</t>
  </si>
  <si>
    <t>Casting</t>
  </si>
  <si>
    <t>MCVN-226</t>
  </si>
  <si>
    <t>CÔNG TY CỔ PHẦN XÂY DỰNG VÀ THƯƠNG MẠI BIỂN VIỆT</t>
  </si>
  <si>
    <t>chi phí lắp đặt nhà kho tầng 2 mới theo hợp đồng số M&amp;C 2019-0820-BV. Expense for installation 2nd floor store follow the contract no.M&amp;C 2019-0820-BV</t>
  </si>
  <si>
    <t>MCVN-372</t>
  </si>
  <si>
    <t>Chi phí tháo lắp,thay đổi lắp đặt máy đúc tại xưởng Đúc kim loại/Cost of modify,change,install 5 set casting machine at cAsting room</t>
  </si>
  <si>
    <t>00000016 1C22TBV</t>
  </si>
  <si>
    <t>41050703</t>
  </si>
  <si>
    <t>Manufacturing costs - repairs - Tools and supplies</t>
  </si>
  <si>
    <t>MCVN-405</t>
  </si>
  <si>
    <t>M&amp;C Electronics Vina</t>
  </si>
  <si>
    <t>Equipment</t>
  </si>
  <si>
    <t>Máy LVDT kiểm tra A536(3EA)</t>
  </si>
  <si>
    <t>19012101</t>
  </si>
  <si>
    <t>Long-term prepaid expenses_equipment</t>
  </si>
  <si>
    <t>41052202</t>
  </si>
  <si>
    <t>Manufacturing costs - Amortization - Supplies</t>
  </si>
  <si>
    <t>C-2500</t>
  </si>
  <si>
    <t>Painting</t>
  </si>
  <si>
    <t>MCVN-426</t>
  </si>
  <si>
    <t>CÔNG TY TNHH TM XÂY DỰNG KỸ THUẬT ĐÔNG BẮC</t>
  </si>
  <si>
    <t>Chi phí sơn nền xưởng Đúc kim loại</t>
  </si>
  <si>
    <t>62 1C23TDB</t>
  </si>
  <si>
    <t>MCVN-427</t>
  </si>
  <si>
    <t>Mold</t>
  </si>
  <si>
    <t>Output for Mold interial using</t>
  </si>
  <si>
    <t>-</t>
  </si>
  <si>
    <t>19011801</t>
  </si>
  <si>
    <t>41052203</t>
  </si>
  <si>
    <t>Manufacturing costs - Amortization - Mold</t>
  </si>
  <si>
    <t>C-6300</t>
  </si>
  <si>
    <t>Mold Dev</t>
  </si>
  <si>
    <t>MCVN-428</t>
  </si>
  <si>
    <t>MCVN-429</t>
  </si>
  <si>
    <t>CÔNG TY TNHH CÔNG NGHỆ 4CTECH VIỆT NAM</t>
  </si>
  <si>
    <t>License</t>
  </si>
  <si>
    <t>Phần mềm AutoCARD LT bản quyền sử dụng 3 năm</t>
  </si>
  <si>
    <t>1C23TCT 33</t>
  </si>
  <si>
    <t>55021401</t>
  </si>
  <si>
    <t>Administrative expense - Supplies - office supplies</t>
  </si>
  <si>
    <t>C-7200</t>
  </si>
  <si>
    <t>Dev Team</t>
  </si>
  <si>
    <t>MCVN-430</t>
  </si>
  <si>
    <t>Others</t>
  </si>
  <si>
    <t>Chi phí cung cấp lắp đặt cơ điện 4 máy đúc kim loại theo HĐ số M&amp;C 2023-0118-BV</t>
  </si>
  <si>
    <t>4 1C23TBV</t>
  </si>
  <si>
    <t>41050702</t>
  </si>
  <si>
    <t>Manufacturing costs - repairs - Machinery</t>
  </si>
  <si>
    <t>MCVN-431</t>
  </si>
  <si>
    <t xml:space="preserve">Vận hành thử nghiệm và cấp phép môi trường theo hợp đồng số M&amp;C2021-10188-BV </t>
  </si>
  <si>
    <t>00000006 123TBV</t>
  </si>
  <si>
    <t>MCVN-432</t>
  </si>
  <si>
    <t>Chi phí lắp đặt rèm nhựa cho phòng máy Dukin</t>
  </si>
  <si>
    <t>7 1C23TBV</t>
  </si>
  <si>
    <t>C-6000</t>
  </si>
  <si>
    <t>Prod support</t>
  </si>
  <si>
    <t>MCVN-433</t>
  </si>
  <si>
    <t>Chi phí sơn nền nhà xưởng CNC 1 và CNC 2</t>
  </si>
  <si>
    <t>377 1C23TDB</t>
  </si>
  <si>
    <t>C-2110</t>
  </si>
  <si>
    <t>CNC1</t>
  </si>
  <si>
    <t>MCVN-434</t>
  </si>
  <si>
    <t>Mold  Casting Hosiden UPPER FRAME(HGU0700-93PW)</t>
  </si>
  <si>
    <t>MCVN-435</t>
  </si>
  <si>
    <t>Mold  Trimming 1 Hosiden UPPER FRAME(HGU0700-93PW)</t>
  </si>
  <si>
    <t>MCVN-436</t>
  </si>
  <si>
    <t>Mold  Trimming 2 Hosiden UPPER FRAME(HGU0700-93PW)</t>
  </si>
  <si>
    <t>MCVN-437</t>
  </si>
  <si>
    <t>PK Mold Mando Tesla heat sink #1 (1 cav)- Casting Mold</t>
  </si>
  <si>
    <t>MCVN-438</t>
  </si>
  <si>
    <t>PK Mold RS4 Housing #2 - Casting Mold</t>
  </si>
  <si>
    <t>MCVN-439</t>
  </si>
  <si>
    <t>PK Mold Gen5 Stator -Trimming Mold</t>
  </si>
  <si>
    <t>MCVN-440</t>
  </si>
  <si>
    <t>PK Mold Gen5 Stator - Die Casting Tool</t>
  </si>
  <si>
    <t>MCVN-441</t>
  </si>
  <si>
    <t>PK Mold HEG (WIN) Stand Cover 1 Cavity- Die Casting Tool</t>
  </si>
  <si>
    <t>MCVN-442</t>
  </si>
  <si>
    <t>PK Mold Mando Gen3s Cover - Casting Mold</t>
  </si>
  <si>
    <t>MCVN-443</t>
  </si>
  <si>
    <t>PK Mold EB1073 Case Degating Trimming Mold</t>
  </si>
  <si>
    <t>MCVN-444</t>
  </si>
  <si>
    <t>PK Mold HEG Stand Cover 1 Cavity # 2- Casting Mold</t>
  </si>
  <si>
    <t>MCVN-445</t>
  </si>
  <si>
    <t>PK Mold HEG Stand Cover 1 Cavity - Trimming #2</t>
  </si>
  <si>
    <t>Long-term prepaid expenses_Mold</t>
  </si>
  <si>
    <t>MCVN-446</t>
  </si>
  <si>
    <t>PK Mold Byd Housing Backup- Spare Core</t>
  </si>
  <si>
    <t>MCVN-447</t>
  </si>
  <si>
    <t>PK Mold Byd Cover Backup- Spare Core</t>
  </si>
  <si>
    <t>MCVN-448</t>
  </si>
  <si>
    <t>PK Mold SM-A245F Braclet AL- Trimming Mold</t>
  </si>
  <si>
    <t>MCVN-449</t>
  </si>
  <si>
    <t>PK Mold SM-A346 Braclet AL- Trimming Mold</t>
  </si>
  <si>
    <t>MCVN-450</t>
  </si>
  <si>
    <t>PK Mold SM-A546 Braclet AL- Trimming Mold</t>
  </si>
  <si>
    <t>MCVN-451</t>
  </si>
  <si>
    <t>PK Mold SM-A245F Braclet AL- Trimming Degating</t>
  </si>
  <si>
    <t>MCVN-452</t>
  </si>
  <si>
    <t>Chi phí lắp đặt điện,khí cho máy CNC theo hợp đồng số M&amp;C2023-0515-BV/Cost of install electric and air for CNC machines according to contract No. M&amp;C2023-0515-BV</t>
  </si>
  <si>
    <t>12 1C23TBV</t>
  </si>
  <si>
    <t>MCVN-453</t>
  </si>
  <si>
    <t>CÔNG TY TNHH AN SINH E&amp;C VINA</t>
  </si>
  <si>
    <t>Chi phí lắp đặt điều hòa phòng CNC/ Cost of install air condition</t>
  </si>
  <si>
    <t>9 1C23TAS</t>
  </si>
  <si>
    <t>MCVN-454</t>
  </si>
  <si>
    <t>CÔNG TY TNHH CƠ ĐIỆN LẠNH NGỌC ANH</t>
  </si>
  <si>
    <t>Chi phí lắp đặt điều hòa cho CNC/Cost install air condition for CNC room</t>
  </si>
  <si>
    <t>16 1C23TNA</t>
  </si>
  <si>
    <t>MCVN-474</t>
  </si>
  <si>
    <t>Chi phí di chuyển và lắp đặt điều hòa cho phòng CNC/Cost for move and install air condition for CNC room</t>
  </si>
  <si>
    <t>MCVN-475</t>
  </si>
  <si>
    <t>MCVN-476</t>
  </si>
  <si>
    <t>16 1C23TBV</t>
  </si>
  <si>
    <t>MCVN-477</t>
  </si>
  <si>
    <t>14 1C23TBV</t>
  </si>
  <si>
    <t>MCVN-478</t>
  </si>
  <si>
    <t>Chi phí lắp quạt,cắt nền nhà xưởng,vật tư panel cho CNC/Cosr install fan,cutting floor and material for panel at CNC room.</t>
  </si>
  <si>
    <t>MCVN-479</t>
  </si>
  <si>
    <t>PK Mold HEG Upper Housing #16 - Spare Core</t>
  </si>
  <si>
    <t>MCVN-480</t>
  </si>
  <si>
    <t>PK Mold HEG Upper Housing #15 - Spare Core</t>
  </si>
  <si>
    <t>MCVN-481</t>
  </si>
  <si>
    <t>PK Mold HEG Upper Housing #14 - Spare Core</t>
  </si>
  <si>
    <t>MCVN-482</t>
  </si>
  <si>
    <t>PK Mold HEG Upper Housing #13 - Spare Core</t>
  </si>
  <si>
    <t>MCVN-483</t>
  </si>
  <si>
    <t>PK Mold HEG Upper Housing #12 - Spare Core</t>
  </si>
  <si>
    <t>MCVN-484</t>
  </si>
  <si>
    <t>PK Mold HEG Upper Housing #11 - Spare Core</t>
  </si>
  <si>
    <t>MCVN-485</t>
  </si>
  <si>
    <t>PK Mold Tey Gen4 Heatsink Cover #2- Casting Mold</t>
  </si>
  <si>
    <t>MCVN-486</t>
  </si>
  <si>
    <t>PK Mold J100 Housing #2 - Spare Core</t>
  </si>
  <si>
    <t>MCVN-487</t>
  </si>
  <si>
    <t>PK Mold Mas65C 4.5 Heatsink #2- Spare Core</t>
  </si>
  <si>
    <t>MCVN-488</t>
  </si>
  <si>
    <t>PK Mold MPC5.5 Cover Lens - Trimming Mold</t>
  </si>
  <si>
    <t>MCVN-489</t>
  </si>
  <si>
    <t>PK Mold NX4 Heatsink Cover #2- Spare Core</t>
  </si>
  <si>
    <t>MCVN-490</t>
  </si>
  <si>
    <t>PK Mold TTI 317961001 Gear Case, Hammer Drill Trimming Mold</t>
  </si>
  <si>
    <t>MCVN-491</t>
  </si>
  <si>
    <t>PK Mold TTI 642427003 Guidance DG- Trimming Mold</t>
  </si>
  <si>
    <t>MCVN-492</t>
  </si>
  <si>
    <t>PK Mold ZF FCA 4.8 Cover VN- Square Core</t>
  </si>
  <si>
    <t>MCVN-493</t>
  </si>
  <si>
    <t>PK Mold Nissan 4.8 Lens Mount Back Up- Spare Core</t>
  </si>
  <si>
    <t>MCVN-494</t>
  </si>
  <si>
    <t>PK Mold Mando DCU Cover- Casting Mold</t>
  </si>
  <si>
    <t>MCVN-495</t>
  </si>
  <si>
    <t>PK Mold Mando DCU Cover- Trimming Mold</t>
  </si>
  <si>
    <t>MCVN-496</t>
  </si>
  <si>
    <t>PK Mold NX4 Housing #3 Back Up- Casting Mold</t>
  </si>
  <si>
    <t>MCVN-497</t>
  </si>
  <si>
    <t>PK Mold Mando DCU Housing- Casting Mold</t>
  </si>
  <si>
    <t>MCVN-498</t>
  </si>
  <si>
    <t>PK Mold Mando DCU Housing- Trimming Mold</t>
  </si>
  <si>
    <t>MCVN-499</t>
  </si>
  <si>
    <t>PK Mold Mando Mas65C 4.5 Heatsink - Trimming Mold</t>
  </si>
  <si>
    <t>MCVN-500</t>
  </si>
  <si>
    <t>PK Mold Mando Mas65C 4.5 Heatsink - Casting Mold</t>
  </si>
  <si>
    <t>MCVN-501</t>
  </si>
  <si>
    <t>PK Mold N3 Cover Trimming  - Casting Mold</t>
  </si>
  <si>
    <t>MCVN-502</t>
  </si>
  <si>
    <t>PK Mold RG3 Cover Trimming Mold</t>
  </si>
  <si>
    <t>MCVN-503</t>
  </si>
  <si>
    <t>PK Mold FCA 4.8 Housing Trimming Mold</t>
  </si>
  <si>
    <t>MCVN-504</t>
  </si>
  <si>
    <t>PK Mold FCA 4.8 Cover VN Trimming Mold</t>
  </si>
  <si>
    <t>MCVN-505</t>
  </si>
  <si>
    <t>PK Mold FCA4.8 Cover TQ Trimming Mold</t>
  </si>
  <si>
    <t>MCVN-506</t>
  </si>
  <si>
    <t>PK Mold Nissan 4.8 Lens Mount - Die Casting Mold</t>
  </si>
  <si>
    <t>MCVN-507</t>
  </si>
  <si>
    <t>PK Mold Nissan 4.8 Cover - Die Casting Mold</t>
  </si>
  <si>
    <t>MCVN-508</t>
  </si>
  <si>
    <t>PK Mold ZF Handle Bar  -Trimming Mold</t>
  </si>
  <si>
    <t>MCVN-509</t>
  </si>
  <si>
    <t>PK Mold GT1XX Cover- Trimming Mold</t>
  </si>
  <si>
    <t>MCVN-510</t>
  </si>
  <si>
    <t>PK Mold FCA 4.8 Housing - Die Casting Mold</t>
  </si>
  <si>
    <t>MCVN-511</t>
  </si>
  <si>
    <t>PK Mold FCA 4.8 Cover - Die Casting Mold</t>
  </si>
  <si>
    <t>MCVN-512</t>
  </si>
  <si>
    <t>PK Mold N3 Cover #2 Back Up - Spare Core</t>
  </si>
  <si>
    <t>MCVN-513</t>
  </si>
  <si>
    <t>PK Mold Tesla Heat Sink Cover Trimming Mold</t>
  </si>
  <si>
    <t>MCVN-514</t>
  </si>
  <si>
    <t>PK Mold NX4 Housing - Casting Mold</t>
  </si>
  <si>
    <t>MCVN-515</t>
  </si>
  <si>
    <t>PK Mold ZF RC2.1 Cover- Trimming Out</t>
  </si>
  <si>
    <t>MCVN-516</t>
  </si>
  <si>
    <t>PK Mold ZF RC2.1 Cover- Trimming Mold</t>
  </si>
  <si>
    <t>MCVN-517</t>
  </si>
  <si>
    <t>PK Mold IPM Housing- Trimming Mold</t>
  </si>
  <si>
    <t>MCVN-518</t>
  </si>
  <si>
    <t>PK Mold IPM Housing 1 Cavity- Die Casting Mold</t>
  </si>
  <si>
    <t>MCVN-519</t>
  </si>
  <si>
    <t>PK Mold ACP2 Cover Trimming Mold</t>
  </si>
  <si>
    <t>MCVN-520</t>
  </si>
  <si>
    <t>PK Mold ACP2 Housing Trimming Mold</t>
  </si>
  <si>
    <t>MCVN-521</t>
  </si>
  <si>
    <t>PK Mold ZF Handle Bar trimming -Trimming</t>
  </si>
  <si>
    <t>MCVN-522</t>
  </si>
  <si>
    <t>PK Mold Handle Bar- Casting Mold</t>
  </si>
  <si>
    <t>MCVN-523</t>
  </si>
  <si>
    <t>PK Mold HEG Cover #4- Die Casting Tool</t>
  </si>
  <si>
    <t>MCVN-524</t>
  </si>
  <si>
    <t>PK Mold HEG Cover #5- Die Casting Tool</t>
  </si>
  <si>
    <t>MCVN-525</t>
  </si>
  <si>
    <t>PK Mold HEG Stand Cover- Trimming 06</t>
  </si>
  <si>
    <t>MCVN-526</t>
  </si>
  <si>
    <t>PK Mold HEG Stand Cover- Trimming 07</t>
  </si>
  <si>
    <t>MCVN-527</t>
  </si>
  <si>
    <t>PK Mold HEG Stand Cover # 6- Casting Mold</t>
  </si>
  <si>
    <t>MCVN-528</t>
  </si>
  <si>
    <t>PK Mold HEG Stand Cover # 7- Casting Mold</t>
  </si>
  <si>
    <t>MCVN-529</t>
  </si>
  <si>
    <t>PK Mold HEG Upper Housing #8- Casting Mold</t>
  </si>
  <si>
    <t>MCVN-530</t>
  </si>
  <si>
    <t>PK Mold HEG Upper Housing #9- Casting Mold</t>
  </si>
  <si>
    <t>MCVN-531</t>
  </si>
  <si>
    <t>PK Mold HEG Upper Housing #10- Casting Mold</t>
  </si>
  <si>
    <t>MCVN-532</t>
  </si>
  <si>
    <t>PK Mold SV52 Heat Sink Cover- Trimming Mold</t>
  </si>
  <si>
    <t>MCVN-533</t>
  </si>
  <si>
    <t>PK Mold HEG Stand Cover #13 -Spare Core</t>
  </si>
  <si>
    <t>MCVN-534</t>
  </si>
  <si>
    <t>PK Mold HEG Stand Cover #12 -Spare Core</t>
  </si>
  <si>
    <t>MCVN-535</t>
  </si>
  <si>
    <t>PK Mold HEG Stand Cover #11 -Spare Core</t>
  </si>
  <si>
    <t>MCVN-536</t>
  </si>
  <si>
    <t>PK Mold HEG Stand Cover #10-Spare Core</t>
  </si>
  <si>
    <t>MCVN-537</t>
  </si>
  <si>
    <t>PK Mold HEG Stand Cover #9-Spare Core</t>
  </si>
  <si>
    <t>MCVN-538</t>
  </si>
  <si>
    <t>PK Mold HEG Stand Cover #8-Spare Core</t>
  </si>
  <si>
    <t>MCVN-539</t>
  </si>
  <si>
    <t>PK Mold HEG Upper Housing #23 - Spare Core</t>
  </si>
  <si>
    <t>MCVN-540</t>
  </si>
  <si>
    <t>PK Mold HEG Upper Housing #22- Spare Core</t>
  </si>
  <si>
    <t>MCVN-541</t>
  </si>
  <si>
    <t>PK Mold HEG Upper Housing #21 - Spare Core</t>
  </si>
  <si>
    <t>MCVN-542</t>
  </si>
  <si>
    <t>PK Mold HEG Upper Housing #20- Spare Core</t>
  </si>
  <si>
    <t>MCVN-543</t>
  </si>
  <si>
    <t>PK Mold HEG Upper Housing #19 - Spare Core</t>
  </si>
  <si>
    <t>MCVN-544</t>
  </si>
  <si>
    <t>PK Mold HEG Upper Housing #18 - Spare Core</t>
  </si>
  <si>
    <t>MCVN-545</t>
  </si>
  <si>
    <t>PK Mold HEG Upper Housing #17 - Spare Core</t>
  </si>
  <si>
    <t>MCVN-546</t>
  </si>
  <si>
    <t>Hot Runner 50-43162-51/Thiết bị gia nhiệt cho kênh dẫn nhựa trong khuôn ép nhựa</t>
  </si>
  <si>
    <t>C-3300</t>
  </si>
  <si>
    <t>Processing Mov Die</t>
  </si>
  <si>
    <t>MCVN-547</t>
  </si>
  <si>
    <t>Hot Runner 50-43162-52/Thiết bị gia nhiệt cho kênh dẫn nhựa trong khuôn ép nhựa</t>
  </si>
  <si>
    <t>MCVN-548</t>
  </si>
  <si>
    <t>Trung tâm Khuyến Công và Tư vấn phát triển công nghiệp Bắc Ninh</t>
  </si>
  <si>
    <t>Chi phí kiểm toán năng lượng định kỳ năm 2023/Cost for Energy audit 2023</t>
  </si>
  <si>
    <t>10 1C23TKC</t>
  </si>
  <si>
    <t>55021203</t>
  </si>
  <si>
    <t>Administrative expense - Consulting - audit</t>
  </si>
  <si>
    <t>MCVN-549</t>
  </si>
  <si>
    <t>Chi phí cải tạo lắp đặt máy cnc theo hợp đồng số M&amp;C2023-0702-BV/Cost of renovating and installing cnc machines according to contract No. M&amp;C2023-0702-BV</t>
  </si>
  <si>
    <t>17 1C23TBV</t>
  </si>
  <si>
    <t>MCVN-550</t>
  </si>
  <si>
    <t>PK Mold LIGT 1V5 Housing 1826-Square Core</t>
  </si>
  <si>
    <t>MCVN-551</t>
  </si>
  <si>
    <t>PK Mold OMS Front Lens Holder 207A- Trimming Mold</t>
  </si>
  <si>
    <t>MCVN-552</t>
  </si>
  <si>
    <t>CÔNG TY TNHH PACISOFT VIỆT NAM</t>
  </si>
  <si>
    <t>AutoCAD license 28/09/23 to 28/09/2023 - Ra hạn bản quyền  ứng dụng Auto CAD</t>
  </si>
  <si>
    <t>00002574/1C23TPC</t>
  </si>
  <si>
    <t>MCVN-553</t>
  </si>
  <si>
    <t>Chi phí lắp đặt điều hòa cho văn phòng/cost install air condition for office</t>
  </si>
  <si>
    <t>52 1C23TNA</t>
  </si>
  <si>
    <t>55022207</t>
  </si>
  <si>
    <t>Operating expenses - Amortization - others</t>
  </si>
  <si>
    <t>MCVN-554</t>
  </si>
  <si>
    <t>Chi phí lắp đặt điều hoà cho văn phòng/cost install air condition for office</t>
  </si>
  <si>
    <t>51 1C23TNA</t>
  </si>
  <si>
    <t>MCVN-555</t>
  </si>
  <si>
    <t>PK Mold Hosiden HEG Stand cover trimming #3 new- Trimming mold</t>
  </si>
  <si>
    <t>MCVN-556</t>
  </si>
  <si>
    <t>PK Mold MPC5.5 Cover Lens Back Up Core</t>
  </si>
  <si>
    <t>MCVN-557</t>
  </si>
  <si>
    <t xml:space="preserve">Chi phí lắp đặt,cải tạo sửa chữa nhà xưởng theo hợp đồng số M&amp;C 2023-0920-BV / Cost for modify,repair factory for contract no M&amp;C-0920-BV </t>
  </si>
  <si>
    <t>29 1C23TBV</t>
  </si>
  <si>
    <t>MCVN-558</t>
  </si>
  <si>
    <t>PK Mold CX788 Housing- Casting Mold</t>
  </si>
  <si>
    <t>MCVN-559</t>
  </si>
  <si>
    <t>PK Mold RG3 Cover- Casting Mold</t>
  </si>
  <si>
    <t>MCVN-560</t>
  </si>
  <si>
    <t>PK Mold CX788 Heatsink Cover- Casting Mold</t>
  </si>
  <si>
    <t>MCVN-561</t>
  </si>
  <si>
    <t>PK Mold NX4 Heatsink Cover #2- Mold Base</t>
  </si>
  <si>
    <t>MCVN-562</t>
  </si>
  <si>
    <t>PK Mold MasA65C 4.5 Heatsink #2- Casting Mold</t>
  </si>
  <si>
    <t>MCVN-563</t>
  </si>
  <si>
    <t>PK Mold ZF Handle Bar #2- Casting Mold</t>
  </si>
  <si>
    <t>MCVN-564</t>
  </si>
  <si>
    <t>PK Mold Mando J100 Housing Back up #2 - Die Casting Mold</t>
  </si>
  <si>
    <t>MCVN-565</t>
  </si>
  <si>
    <t>PK Mold LGIT GEN3 AL5 HOUSING  - Spare mold - Die casting mold</t>
  </si>
  <si>
    <t>MCVN-566</t>
  </si>
  <si>
    <t>PK Mold LGIT- GEN3 AL6 HOUSING  - Spare mold - Die casting mold</t>
  </si>
  <si>
    <t>MCVN-567</t>
  </si>
  <si>
    <t>PK Mold Mando TEY GEN4 COVER #4  - Die casting tool</t>
  </si>
  <si>
    <t>MCVN-568</t>
  </si>
  <si>
    <t>PK Mold ZF -IPM1.0  HOUSING #2- BACK UP CORE</t>
  </si>
  <si>
    <t>MCVN-569</t>
  </si>
  <si>
    <t>PK Mold Hosiden HEG Stand cover #7 - Spare mold base (2)</t>
  </si>
  <si>
    <t>MCVN-570</t>
  </si>
  <si>
    <t>PK Mold Hosiden HEG Stand cover #8 - Spare mold base (2)</t>
  </si>
  <si>
    <t>MCVN-571</t>
  </si>
  <si>
    <t>PK Mold Hosiden HEG Stand cover #9 - Spare mold base (2)</t>
  </si>
  <si>
    <t>MCVN-572</t>
  </si>
  <si>
    <t>PK Mold Mando J100 Housing Back up #2 - Die Casting Mold (2)</t>
  </si>
  <si>
    <t>MCVN-573</t>
  </si>
  <si>
    <t>Chi phí lắp đặt mới phòng máy nén khí/Cost install air compressor room</t>
  </si>
  <si>
    <t>3 1C24TBV</t>
  </si>
  <si>
    <t>MCVN-574</t>
  </si>
  <si>
    <t>CÔNG TY TNHH THƯƠNG MẠI DỊCH VỤ NGÂN PHÁT BẮC NINH</t>
  </si>
  <si>
    <t>IT Equipment</t>
  </si>
  <si>
    <t>Buying laptop for Mr. KIM SEOK KI/ Mua máy tính xách tay cho ông Kim Seok Ki</t>
  </si>
  <si>
    <t>00000086-1C24TNP</t>
  </si>
  <si>
    <t>19011101</t>
  </si>
  <si>
    <t>Long-term prepaid expenses - IT Equipment</t>
  </si>
  <si>
    <t>55021403</t>
  </si>
  <si>
    <t>Administrative expense - Supplies - IT</t>
  </si>
  <si>
    <t>C-8300</t>
  </si>
  <si>
    <t>IT</t>
  </si>
  <si>
    <t>MCVN-575</t>
  </si>
  <si>
    <t>Mold die casting ACP2 HOUSING #2/Khuôn đúc ACP2 Housing #2</t>
  </si>
  <si>
    <t>MCVN-576</t>
  </si>
  <si>
    <t>SM- A156E Bracket  Die Casting Mold (full set)/ Bọ khuôn đúc nhôm</t>
  </si>
  <si>
    <t>MCVN-577</t>
  </si>
  <si>
    <t>BRACKET SM-A156E DIE CASTING MOLD NEW LOW  CORE/ Nhân dưới khuôn đúc nhôm</t>
  </si>
  <si>
    <t>MCVN-578</t>
  </si>
  <si>
    <t>Mold trimming, khuôn dập-GEN5 STATOR BLOCK</t>
  </si>
  <si>
    <t>MCVN-579</t>
  </si>
  <si>
    <t>Mold Die casting BMS Bottom  #4/Khuôn đúc BMS Bottom  #4, Material: DAC MAGIC</t>
  </si>
  <si>
    <t>MCVN-580</t>
  </si>
  <si>
    <t>Mold Die casting BMS Top #4/Khuôn đúc BMS Top #4  Material: DAC MAGIC</t>
  </si>
  <si>
    <t>MCVN-581</t>
  </si>
  <si>
    <t>Mold Die casting Tey Gen 4  #5/Khuôn đúc Tey gen4 #5</t>
  </si>
  <si>
    <t>MCVN-582</t>
  </si>
  <si>
    <t>GEN5 STATOR BLOCK - Lower core(240*340*65mm)</t>
  </si>
  <si>
    <t>MCVN-583</t>
  </si>
  <si>
    <t>Bộ core/ Lõi khuôn HEG UPPER HOUSING #3 (ANGULAR) UC01, LC01, AC01, AC02 - NEW</t>
  </si>
  <si>
    <t>MCVN-584</t>
  </si>
  <si>
    <t>Lõi khuôn trên HEG PPER HOUSING #1-7 SLIDE TYPE - SPARE  UC (SH) - NEW</t>
  </si>
  <si>
    <t>MCVN-585</t>
  </si>
  <si>
    <t>Lõi khuôn trên HEG UPPER HOUSING #1-9 SLIDE TYPE - SPARE UC (DIEVAR)- NEW</t>
  </si>
  <si>
    <t>MCVN-586</t>
  </si>
  <si>
    <t>Buy new 01 UPS for new ERP systerm/ Mua bộ cấp nguồn  cho hệ thống ERP mới</t>
  </si>
  <si>
    <t>120/1C24TN</t>
  </si>
  <si>
    <t>MCVN-587</t>
  </si>
  <si>
    <t>Công ty TNHH An Thiết</t>
  </si>
  <si>
    <t>The smoking house  /Công trình khu vực hút thuốc cho công nhân viên</t>
  </si>
  <si>
    <t>9-1C24TYY</t>
  </si>
  <si>
    <t>41052207&amp; 55022207</t>
  </si>
  <si>
    <t>C-0000</t>
  </si>
  <si>
    <t>M&amp;C VINA</t>
  </si>
  <si>
    <t>MCVN-588</t>
  </si>
  <si>
    <t>Buying new computer for new translator at R&amp;D dept/ Bộ máy tính mới cho phiên dịch viên mới tại phòng Phát triển</t>
  </si>
  <si>
    <t>00000353-1C24TNP</t>
  </si>
  <si>
    <t>MCVN-589</t>
  </si>
  <si>
    <t>Buying new computer for new staff  at Sales dept/ Bộ máy tính mới cho nhân viên mới tại phòng Kinh doanh</t>
  </si>
  <si>
    <t>55011403</t>
  </si>
  <si>
    <t>Operating expenses - Supplies- computer parts</t>
  </si>
  <si>
    <t>C-7000</t>
  </si>
  <si>
    <t>Sales</t>
  </si>
  <si>
    <t>MCVN-590</t>
  </si>
  <si>
    <t>Buying new computer for new staff at Automation dept/ Bộ máy tính mới cho nhân viên mới bộ phận tự động hóa</t>
  </si>
  <si>
    <t>41051403</t>
  </si>
  <si>
    <t>Manufacturing costs - supplies - computer parts</t>
  </si>
  <si>
    <t>MCVN-591</t>
  </si>
  <si>
    <t>Chi nhánh công ty cổ phần thế giới di động tại Bắc Ninh</t>
  </si>
  <si>
    <t>Purchase of 9 phones for production managers/Tạm ứng mua 9 điện thoại kèm phần mềm phục vụ sản xuất</t>
  </si>
  <si>
    <t>108125/1K24TBN</t>
  </si>
  <si>
    <t>Administrative expense - Amortization - others</t>
  </si>
  <si>
    <t>MCVN-592</t>
  </si>
  <si>
    <t>MCVN-593</t>
  </si>
  <si>
    <t>Mua SMART TIVI SAMSUNG 4K 65INCH 65AU7002 UHD cho Welcome board/ Buying SMART TIVI SAMSUNG 4K 65INCH 65AU7002 UHD to Reception in Apr.2024</t>
  </si>
  <si>
    <t>00000460-1C24TNP</t>
  </si>
  <si>
    <t>MCVN-594</t>
  </si>
  <si>
    <t>Mua Lenovo Legion Pro 5 Y9000P 2023 cho Mr Lee Choong Jae/ Buying Laptop Lenovo Legion Pro 5 Y9000P 2023 to Mr Lee Choong Jae in Apr.2024</t>
  </si>
  <si>
    <t>MCVN-595</t>
  </si>
  <si>
    <t>NUT ADAPTER FC18-006678 CASTING MOLD CORE (신규 제작)</t>
  </si>
  <si>
    <t>MCVN-596</t>
  </si>
  <si>
    <t>NUT ADAPTER FC18-006678 DEGATING MOLD  CORE (신규 제작)</t>
  </si>
  <si>
    <t>MCVN-597</t>
  </si>
  <si>
    <t>RC2.1 Housing Degating mold</t>
  </si>
  <si>
    <t>MCVN-598</t>
  </si>
  <si>
    <t>RC2.1 Housing Trimming mold</t>
  </si>
  <si>
    <t>MCVN-599</t>
  </si>
  <si>
    <t>FC15-009022 COVER BOTTOM Trimming mold</t>
  </si>
  <si>
    <t>MCVN-600</t>
  </si>
  <si>
    <t>Install Sprinkler fire alarm system for CNC2 area/Lắp đặt hệ  thống báo cháy Sprimkler cho khu vực CNC2</t>
  </si>
  <si>
    <t>00000011-1C24TBV</t>
  </si>
  <si>
    <t>19010302</t>
  </si>
  <si>
    <t>Long-term prepaid expense - Repair workshop</t>
  </si>
  <si>
    <t>41052205</t>
  </si>
  <si>
    <t>Manufacturing costs - Amortization - Deferred</t>
  </si>
  <si>
    <t>C-2120</t>
  </si>
  <si>
    <t>CNC2</t>
  </si>
  <si>
    <t>MCVN-601</t>
  </si>
  <si>
    <t>CÔNG TY CỔ PHẦN ĐIỆN LỰC MIỀN BẮC</t>
  </si>
  <si>
    <t>Chi phí kiểm định thiết bị trạm điện năm 2024/ Cost of regulation technical safety inspection for electrical equiment requested 2024</t>
  </si>
  <si>
    <t>1858 1C24TAC</t>
  </si>
  <si>
    <t>MCVN-602</t>
  </si>
  <si>
    <t>Mold for Antena carrier, GPS and 3.5 GHZ Nicobar 50-PL169-P1</t>
  </si>
  <si>
    <t>MCVN-603</t>
  </si>
  <si>
    <t>Mold for Antena element, GPS, Nicobar 50-PL170-PL</t>
  </si>
  <si>
    <t>MCVN-604</t>
  </si>
  <si>
    <t>J8 CASE COVER Mold/ Khuôn</t>
  </si>
  <si>
    <t>MCVN-605</t>
  </si>
  <si>
    <t>FC15-000899A ABF BASE PLATE</t>
  </si>
  <si>
    <t>MCVN-606</t>
  </si>
  <si>
    <t>FC29-009417A HOLDER SENSOR</t>
  </si>
  <si>
    <t>MCVN-607</t>
  </si>
  <si>
    <t>SNV-L6083R MOUNT PLATE/ Khuôn Trimming FC39-003498A</t>
  </si>
  <si>
    <t>MCVN-608</t>
  </si>
  <si>
    <t>XNV-8080R MOUNT PLATE/ Khuôn Trimming FC39-004148A</t>
  </si>
  <si>
    <t>MCVN-609</t>
  </si>
  <si>
    <t>EP07-001164A HEAT SINK LED HP</t>
  </si>
  <si>
    <t>MCVN-610</t>
  </si>
  <si>
    <t>EP07-001201A/202A HEAT SINK L/R</t>
  </si>
  <si>
    <t>MCVN-611</t>
  </si>
  <si>
    <t>EP07-001028C/D HEAT SINK L/R</t>
  </si>
  <si>
    <t>MCVN-612</t>
  </si>
  <si>
    <t>SNV-L6083R BOTTOM/ Khuôn Trimming FC29-006564A</t>
  </si>
  <si>
    <t>MCVN-613</t>
  </si>
  <si>
    <t>SCV-5080 CASE BOTTOM/ Khuôn Trimming FC29-004223B</t>
  </si>
  <si>
    <t>MCVN-614</t>
  </si>
  <si>
    <t>EP07-001168A/B HEAT SINK L/R</t>
  </si>
  <si>
    <t>MCVN-615</t>
  </si>
  <si>
    <t>Jig</t>
  </si>
  <si>
    <t>Staking jig 55 PG284 1</t>
  </si>
  <si>
    <t>19012201</t>
  </si>
  <si>
    <t>Long-term prepaid expenses_Tools &amp; supplies</t>
  </si>
  <si>
    <t>MCVN-616</t>
  </si>
  <si>
    <t>CÔNG TY BẢO VIỆT BẮC NINH</t>
  </si>
  <si>
    <t>Insurance for Machinery</t>
  </si>
  <si>
    <t>Insurance/ Bảo hiểm cháy nổ bắt buộc- Thiệt hại vật chất từ ngày 21/06/2024 đến 21/06/2028</t>
  </si>
  <si>
    <t>6453/1K24TBN</t>
  </si>
  <si>
    <t>19011710</t>
  </si>
  <si>
    <t>Long-term prepaid expenses_Insurance Premium</t>
  </si>
  <si>
    <t>41050808 &amp; 55020808</t>
  </si>
  <si>
    <t>Administrative expense - insurance - property insurance</t>
  </si>
  <si>
    <t>MCVN-617</t>
  </si>
  <si>
    <t>TỔNG CÔNG TY BẢO HIỂM BẢO VIỆT</t>
  </si>
  <si>
    <t>Insurance for Korean</t>
  </si>
  <si>
    <t xml:space="preserve">Insurance for Mr Roh Chung Hyun/ Phí bảo hiểm cho Mr Roh 2 năm </t>
  </si>
  <si>
    <t>1276/1K24T</t>
  </si>
  <si>
    <t>55020214</t>
  </si>
  <si>
    <t>Administrative expense - welfare - medical insurance</t>
  </si>
  <si>
    <t>C-0100</t>
  </si>
  <si>
    <t>Executive</t>
  </si>
  <si>
    <t>MCVN-618</t>
  </si>
  <si>
    <t>Mua máy tính và Ổ cứng SSD SATA 256GB TEAM RETAIL/ Buying Computer system for Mr. Thuần, Mr. Hơn - Casting manager</t>
  </si>
  <si>
    <t>00000694-1C24TNP</t>
  </si>
  <si>
    <t>MCVN-619</t>
  </si>
  <si>
    <t>MPC5.5 COVER LENZ DIE CASTING NEW MOLD #3/ Khuôn đúc nhôm</t>
  </si>
  <si>
    <t>MCVN-620</t>
  </si>
  <si>
    <t>FCA4.8 HOUSING #3 DIE CASTING NEW MOLD / full set khuôn đúc nhôm</t>
  </si>
  <si>
    <t>MCVN-621</t>
  </si>
  <si>
    <t>Mold Die Casting GMT1 SCAM4.8 COVER #2/Khuôn đúc GMT1 SCAM4.8 COVER #2</t>
  </si>
  <si>
    <t>MCVN-622</t>
  </si>
  <si>
    <t>Mold Die casting/ khuôn đúc MRA2 CAMERA BASE #3</t>
  </si>
  <si>
    <t>MCVN-623</t>
  </si>
  <si>
    <t>LGIT MRA2 Camera Base Degating  new Mold/ khuôn cắt cổng liệu -SKD11</t>
  </si>
  <si>
    <t>MCVN-624</t>
  </si>
  <si>
    <t>MAS65C Heat sink spare core / Bộ core của khuôn MAS65C HEAT SINK #3 (Back up mold)</t>
  </si>
  <si>
    <t>MCVN-625</t>
  </si>
  <si>
    <t>ACP2 Cover spare core / Bộ core của khuôn ACP2 COVER #2 (Back up mold)</t>
  </si>
  <si>
    <t>MCVN-626</t>
  </si>
  <si>
    <t>DCU15 Housing core / Bộ core của khuôn DCU15 Housing #3 (Back up mold)</t>
  </si>
  <si>
    <t>MCVN-627</t>
  </si>
  <si>
    <t>SM - A156EDIE CASTING MOLD BASE/ Đế khuôn đúc nhôm</t>
  </si>
  <si>
    <t>MCVN-628</t>
  </si>
  <si>
    <t>Mold diecasting T6 Housing #5 (Marking #4)/Khuôn đúc T6 housing #5 (Marking #4)</t>
  </si>
  <si>
    <t>MCVN-629</t>
  </si>
  <si>
    <t>New core Die Casting NX4-HOUSING #6/Nhân khuôn đúc NX4-HOUSING #6</t>
  </si>
  <si>
    <t>MCVN-630</t>
  </si>
  <si>
    <t>Mold Die casting IMEB2 Housing #2 (dievar) /khuôn đúc  IMEB2 Housing #2</t>
  </si>
  <si>
    <t>MCVN-631</t>
  </si>
  <si>
    <t>New core Die Casting/nhân khuôn đúc-NX4 Housing #7-Core set</t>
  </si>
  <si>
    <t>MCVN-632</t>
  </si>
  <si>
    <t>Mold Die Casting/khuôn đúc, NX4 Cover #5 - Full mold set</t>
  </si>
  <si>
    <t>MCVN-633</t>
  </si>
  <si>
    <t>Mold Die casting IMEB2 Housing #3</t>
  </si>
  <si>
    <t>MCVN-634</t>
  </si>
  <si>
    <t>Mold die casting, Tey Gen 4 Cover #6 - Full mold set</t>
  </si>
  <si>
    <t>MCVN-635</t>
  </si>
  <si>
    <t>Mold die casting,Tey Gen 4 Cover #7 - Core set</t>
  </si>
  <si>
    <t>MCVN-636</t>
  </si>
  <si>
    <t>Insurance /số 7055366/ Bảo hiểm cháy nổ bắt buộc- Thiệt hại vật chất từ ngày 15/07/2024 đến 14/07/2029</t>
  </si>
  <si>
    <t>(AP)-2024-07-0103</t>
  </si>
  <si>
    <t>MCVN-637</t>
  </si>
  <si>
    <t>Buying Laptop Lenovo for Automation Mua Máy tính xách tay Lenovo ThinkBook 14 G4 IAP (Core i5 1235U8GB 512GB SSD Intel Iris Xe Graphics 14.0inch Full HD Windows 11 Home Grey III350 Vỏ nhôm 2 Year) cho Tự động hóa (C-6000)</t>
  </si>
  <si>
    <t>(AP)-2024-07-0356</t>
  </si>
  <si>
    <t>MCVN-638</t>
  </si>
  <si>
    <t>Buying Máy tính xách tay Lenovo ThinkBook 16 G6 ABP Mua Laptop lenovo thinkbook</t>
  </si>
  <si>
    <t>(AP)-2024-08-0424</t>
  </si>
  <si>
    <t>MCVN-639</t>
  </si>
  <si>
    <t>CL4 HSG - New Slide core #3. Material DAC MAGIC</t>
  </si>
  <si>
    <t>(M)-2024-08-0006</t>
  </si>
  <si>
    <t>MCVN-640</t>
  </si>
  <si>
    <t>Mold Die casting N3 Heatsink cover #4 /Khuôn đúc kim loại  N3 Heatsink cover #4</t>
  </si>
  <si>
    <t>MCVN-641</t>
  </si>
  <si>
    <t>MAS65C Heatsink #4 Die Casting mold  (full set)/ Khuôn đúc nhôm MAS65C Heatsink #4</t>
  </si>
  <si>
    <t>MCVN-642</t>
  </si>
  <si>
    <t>ACP2 Cover #3 Die casting mold  (full set)</t>
  </si>
  <si>
    <t>MCVN-643</t>
  </si>
  <si>
    <t>Mold Die Casting Lens Mount #4 (4 cavities)/Khuôn đúc Lens Mount #4 Material: Dievar</t>
  </si>
  <si>
    <t>MCVN-644</t>
  </si>
  <si>
    <t>Tey Gen 4 - Mold Degating, material SKD11, sz: 400*280*250 mm</t>
  </si>
  <si>
    <t>MCVN-645</t>
  </si>
  <si>
    <t>Mold trimming CL4 HSG/Khuôn trimming CL4 HSG</t>
  </si>
  <si>
    <t>MCVN-646</t>
  </si>
  <si>
    <t>Mold die casting, J100 Housing #3 - Core set</t>
  </si>
  <si>
    <t>MCVN-647</t>
  </si>
  <si>
    <t>MQ4a PE HSG - New Slide core #2. Material DAC MAGIC</t>
  </si>
  <si>
    <t>MCVN-648</t>
  </si>
  <si>
    <t>Insurance for Mr Roh Chung Hyun / số HPH.D05.BTT.24.HD184.1-5 (12/09/2024-12/09/2029)</t>
  </si>
  <si>
    <t>(AP)-2024-09-0223</t>
  </si>
  <si>
    <t>MCVN-649</t>
  </si>
  <si>
    <t>Chi phí cung cấp và lắp đặt điện khí cho 27 máy CNC theo QT HĐ số M&amp;C2024-0829-BV/Cost of supplying and installing electricity for 27 CNC machines according to Contract No. M&amp;C2024-0829-BV/</t>
  </si>
  <si>
    <t>(AP)-2024-09-0426</t>
  </si>
  <si>
    <t>MCVN-650</t>
  </si>
  <si>
    <t>Chi phí thay thế panel cho phòng hóa chất và sửa chữa ống hút khói đúc theo hợp đồng số M&amp;C2024-0820-BV./Replace panel for chemical room and repair exhaust duct in casting room contract number M&amp;C2024-0820-BV</t>
  </si>
  <si>
    <t>(AP)-2024-09-0427</t>
  </si>
  <si>
    <t>MCVN-651</t>
  </si>
  <si>
    <t>MCVN-652</t>
  </si>
  <si>
    <t>Tháo, lắp đặt ống, panel, cáp điện, cấp nguồn điện cho 8 máy đúc theo hợp đồng số M&amp;C2024-0810-BV/Dismantle, install pipes, panels, electrical cables, supply power to 8 casting machines according to contract number M&amp;C2024-0810-BV/</t>
  </si>
  <si>
    <t>(AP)-2024-09-0428</t>
  </si>
  <si>
    <t>MCVN-653</t>
  </si>
  <si>
    <t>PH 10M plus rohs RBE head kit/Bộ đầu đo của máy đo 3 chiều CMM</t>
  </si>
  <si>
    <t>(M)-2024-09-0006</t>
  </si>
  <si>
    <t>QC</t>
  </si>
  <si>
    <t>MCVN-654</t>
  </si>
  <si>
    <t>Dimenson fix ture/Chi tiết thép DAC MAGIC, KT:120*240*340 LOWER ,UPPER,INSERT CORE của khuôn GEN5 (spare mold)</t>
  </si>
  <si>
    <t>Long-term prepaid expenses_ Mold</t>
  </si>
  <si>
    <t>MCVN-655</t>
  </si>
  <si>
    <t>FCA4.8 Housing #4 Die Casting mold (full set)/ Khuôn đúc nhôm FCA4.8 Housing #4</t>
  </si>
  <si>
    <t>(M)-2024-10-0005</t>
  </si>
  <si>
    <t>MCVN-656</t>
  </si>
  <si>
    <t>Mold Die casting IMEB2 Housing #4, , 350 TON D/C - 2CAV</t>
  </si>
  <si>
    <t>MCVN-657</t>
  </si>
  <si>
    <t>Mold Die Casting NX4 HSG #8</t>
  </si>
  <si>
    <t>MCVN-658</t>
  </si>
  <si>
    <t>CHI NHÁNH BẮC NINH - CÔNG TY CỔ PHẦN THƯƠNG MẠI MÁY TÍNH AN PHÁT</t>
  </si>
  <si>
    <t>Buy Laptop for QC/ Mua Laptop cho Bp QC</t>
  </si>
  <si>
    <t>(AP)-2024-10-0142</t>
  </si>
  <si>
    <t>MCVN-659</t>
  </si>
  <si>
    <t>MESCIUS Inc., Korea Brand</t>
  </si>
  <si>
    <t>Buy Forguncy softwware/Mua bộ công cụ phát triển phần mềm</t>
  </si>
  <si>
    <t>(AP)-2024-10-0148</t>
  </si>
  <si>
    <t>19011201</t>
  </si>
  <si>
    <t>Long-term prepaid expenses - internet management</t>
  </si>
  <si>
    <t>55022204</t>
  </si>
  <si>
    <t>Administrative expense - Amortization - intangible assets</t>
  </si>
  <si>
    <t>MCVN-660</t>
  </si>
  <si>
    <t>ACP2 Cover #4 Die Casting mold  (full set)/ Khuôn đúc nhôm ACP2 Cover #4</t>
  </si>
  <si>
    <t>(M)-2024-11-0006</t>
  </si>
  <si>
    <t>MCVN-661</t>
  </si>
  <si>
    <t>GM EU2L Housing #4 Die Casting mold / khuôn đúc nhôm (full set)</t>
  </si>
  <si>
    <t>MCVN-662</t>
  </si>
  <si>
    <t>ACP2 Hsg  #4 Die Casting mold  (full set)/ Khuôn đúc nhôm</t>
  </si>
  <si>
    <t>MCVN-663</t>
  </si>
  <si>
    <t>FCA4.8 Cover #4 Die Casting mold  (full set), Khuôn đúc nhôm</t>
  </si>
  <si>
    <t>MCVN-664</t>
  </si>
  <si>
    <t>Xuất khuôn ra sử dụng/ Issue Mold/140138-PK Mold Mra2 Camera Base Back Up - Spare Core/140248-PK Mold LGIT OMS Front Lens Holder 3CAC00207A #2- Casting Mold</t>
  </si>
  <si>
    <t>(M)-2024-11-0017</t>
  </si>
  <si>
    <t>MCVN-666</t>
  </si>
  <si>
    <t>CÔNG TY TNHH YONYOU NETWORK VIỆT NAM</t>
  </si>
  <si>
    <t>Annual license fee of U9 Cloud/Dịch vụ phần mềm U9 cloud theo năm hợp đồng số VI2410300001F1 ngày 14.11.2024(Pb 03.2025-02.2026)</t>
  </si>
  <si>
    <t>(AP)-2024-11-0167</t>
  </si>
  <si>
    <t>MCVN-668</t>
  </si>
  <si>
    <t>Cải tạo hệ thống thoát nước và lắp đặt phòng mài rung/Cost Renovate the drainage system and install M&amp;E for vibration grinding room</t>
  </si>
  <si>
    <t>(AP)-2024-11-0457</t>
  </si>
  <si>
    <t>MCVN-669</t>
  </si>
  <si>
    <t>Chi phí thay thế cầu thang văn phòng chính/ Cost change ladder main office</t>
  </si>
  <si>
    <t>(AP)-2024-12-0250</t>
  </si>
  <si>
    <t>MCVN-670</t>
  </si>
  <si>
    <t>Chi phí lắp đặt sửa chữa rèm nhựa cho khu vực blaster/Cost of installation and repair of plastic curtains for blaster area</t>
  </si>
  <si>
    <t>(AP)-2024-12-0251</t>
  </si>
  <si>
    <t>C-2800</t>
  </si>
  <si>
    <t>Blasting</t>
  </si>
  <si>
    <t>MCVN-671</t>
  </si>
  <si>
    <t>Chi phí sửa chữa,cải tạo ống gió cho xưởng đúc kim loại/Cost repair,modify duct for casting room</t>
  </si>
  <si>
    <t>(AP)-2024-12-0252</t>
  </si>
  <si>
    <t>MCVN-672</t>
  </si>
  <si>
    <t>Chi phia thay thế, lắp đặt trần thạch cao,bóng đèn cho hành lang xưởng B/ Cost change, install ceclling,lighting for factory B.</t>
  </si>
  <si>
    <t>(AP)-2024-12-0253</t>
  </si>
  <si>
    <t>MCVN-673</t>
  </si>
  <si>
    <t>Chi phí cải tạo phòng hóa chất/ Cost modify chemical room</t>
  </si>
  <si>
    <t>(AP)-2024-12-0254</t>
  </si>
  <si>
    <t>C-2400</t>
  </si>
  <si>
    <t>N-Chromate</t>
  </si>
  <si>
    <t>MCVN-674</t>
  </si>
  <si>
    <t>Mua máy tính, màn hình cho nhân viên mới phòng IT</t>
  </si>
  <si>
    <t>(AP)-2024-12-0426</t>
  </si>
  <si>
    <t>MCVN-675</t>
  </si>
  <si>
    <t>Mua main boar  dùng cho máy tính bộ phận QC</t>
  </si>
  <si>
    <t>MCVN-676</t>
  </si>
  <si>
    <t>Tools &amp; supplies</t>
  </si>
  <si>
    <t>745600-Angle chain conveyor for recycle/ Băng tải xích nghiêng</t>
  </si>
  <si>
    <t>(M)-2024-12-0006</t>
  </si>
  <si>
    <t>MCVN-677</t>
  </si>
  <si>
    <t>745601-Two-way chain conveyor for recycle line/ Băng tải xích 2 chiều - thanh chặn chuyển hướng. Kích thước 4200x500x500mm</t>
  </si>
  <si>
    <t>MCVN-681</t>
  </si>
  <si>
    <t>CÔNG TY CHO THUÊ TÀI CHÍNH TNHH MTV QUỐC TẾ CHAILEASE - CHI NHÁNH HÀ NỘI</t>
  </si>
  <si>
    <t xml:space="preserve">Differ the selling and netbool value/ Chênh lệch giữa giá bán và giá trị còn lại </t>
  </si>
  <si>
    <t>(GL)-2024-07-0230</t>
  </si>
  <si>
    <t>Sales costs- other</t>
  </si>
  <si>
    <t>MCVN-683</t>
  </si>
  <si>
    <t>(GL)-2024-09-0174</t>
  </si>
  <si>
    <t>MCVN-684</t>
  </si>
  <si>
    <t xml:space="preserve">Differ the selling and netbook value/ Chênh lệch giữa giá bán và giá trị còn lại </t>
  </si>
  <si>
    <t>(GL)-2024-09-0175</t>
  </si>
  <si>
    <t>MCVN-685</t>
  </si>
  <si>
    <t>Chi phí lắp đặt hệ thống cấp thoát nước cho chuyền rửa tự động/Cost of installing water supply and drainage system for automatic washing line.</t>
  </si>
  <si>
    <t>(AP)-2025-01-0156</t>
  </si>
  <si>
    <t>C-2420</t>
  </si>
  <si>
    <t>Cleaning</t>
  </si>
  <si>
    <t>MCVN-686</t>
  </si>
  <si>
    <t>Chi phí lắp đặt thay thế cầu thang xưởng A/Cost of installing and replacing stairs in factory A</t>
  </si>
  <si>
    <t>(AP)-2025-01-0157</t>
  </si>
  <si>
    <t>MCVN-687</t>
  </si>
  <si>
    <t>Chi phí di chuyển lắp đặt máy đúc kim loại theo hợp đồng M&amp;C2024-1104-BV/Cost of moving and installing metal casting machine according to contract M&amp;C2024-1104-BV</t>
  </si>
  <si>
    <t>(AP)-2025-01-0158</t>
  </si>
  <si>
    <t>MCVN-688</t>
  </si>
  <si>
    <t>(GL)-2025-01-0132</t>
  </si>
  <si>
    <t>MCVN-689</t>
  </si>
  <si>
    <t>140276-PK Mold ZF- ACP Housing Back up #3 - Die casting tool</t>
  </si>
  <si>
    <t>(M)-2025-01-0017</t>
  </si>
  <si>
    <t>MCVN-690</t>
  </si>
  <si>
    <t>140277-PK Mold ZF- FCA4.8 COVER Back up #3 - Die casting tool</t>
  </si>
  <si>
    <t>MCVN-691</t>
  </si>
  <si>
    <t>140278-PK Mold ZF- GM EU2L HOUSING  Back up #3- Die casting tool</t>
  </si>
  <si>
    <t>MCVN-692</t>
  </si>
  <si>
    <t>140280-PK Mold ZF-GM T1 XX SCAM4.8 COVER Back up #4 - Die casting tool</t>
  </si>
  <si>
    <t>MCVN-693</t>
  </si>
  <si>
    <t>140286-PK Mold ZF - NISSAN 4.8 lens mount Back up #5 - Die casting tool</t>
  </si>
  <si>
    <t>MCVN-694</t>
  </si>
  <si>
    <t>140287-PK Mold ZF - NISSAN 4.8 lens mount Back up #6- Die casting tool</t>
  </si>
  <si>
    <t>MCVN-695</t>
  </si>
  <si>
    <t>140290-PK Mold Mando -TESLA GEN4 Back up #8 - Die casting tool</t>
  </si>
  <si>
    <t>MCVN-696</t>
  </si>
  <si>
    <t>140291-PK Mold MANDO- NX4 COVER Back up #6-Die casting tool</t>
  </si>
  <si>
    <t>MCVN-697</t>
  </si>
  <si>
    <t>140304-PK Mold  MANDO- TESLA GEN4  Back up #9 - Die casting tool</t>
  </si>
  <si>
    <t>MCVN-698</t>
  </si>
  <si>
    <t>140313-PK Mold Mando- TESLA GEN4  Back up # 10- Die casting tool</t>
  </si>
  <si>
    <t>MCVN-699</t>
  </si>
  <si>
    <t>140316-PK Mold MANDO- NX4 HOUSING  Back up #9- Die casting tool</t>
  </si>
  <si>
    <t>MCVN-700</t>
  </si>
  <si>
    <t>140312-PK Mold ZF- GM EU2L HOUSING  Back up #6 - Die casting tool</t>
  </si>
  <si>
    <t>(M)-2025-02-0017</t>
  </si>
  <si>
    <t>MCVN-701</t>
  </si>
  <si>
    <t>140314-PK Mold Mando- TESLA GEN4  Back up # 11 - Die casting tool</t>
  </si>
  <si>
    <t>MCVN-702</t>
  </si>
  <si>
    <t>780908-EK_Single 48_COVER_Mold Trimming</t>
  </si>
  <si>
    <t>MCVN-703</t>
  </si>
  <si>
    <t>780916-GM EU2L Housing #5 Die Casting mold  (full set)/ khuôn đúc nhôm</t>
  </si>
  <si>
    <t>MCVN-704</t>
  </si>
  <si>
    <t>780917-FCA4.8 Housing #6 Die Casting mold  (full set)/ khuôn đúc nhôm</t>
  </si>
  <si>
    <t>MCVN-705</t>
  </si>
  <si>
    <t>780918-ZF ACP2 HOUSING #6 Die Casting mold  (full set)/ khuôn đúc nhôm</t>
  </si>
  <si>
    <t>MCVN-706</t>
  </si>
  <si>
    <t>780903-MAS65C_4.5 HEAT SINK #5 Die Casting mold/ Khuôn đúc nhôm  (full set)</t>
  </si>
  <si>
    <t>MCVN-707</t>
  </si>
  <si>
    <t>784826-FCA4.8 Housing #5 Die Casting mold/ khuôn đúc nhôm   (full set)</t>
  </si>
  <si>
    <t>MCVN-708</t>
  </si>
  <si>
    <t>780902-ZF ACP2 HOUSING #5 Die Casting mold/ Khuôn đúc nhôm  (full set)</t>
  </si>
  <si>
    <t>MCVN-709</t>
  </si>
  <si>
    <t>780934-MAS65C HEAT SINK #6 Die Casting mold / Bộ khuôn đúc nhôm (full set)</t>
  </si>
  <si>
    <t>MCVN-710</t>
  </si>
  <si>
    <t>780944-Gen 5 #9 _New Upper Core/Đồ gá Gen 5 #9</t>
  </si>
  <si>
    <t>MCVN-711</t>
  </si>
  <si>
    <t>781004-SM-A366B BRACKET DIE CASTING MOLD 2CAV  (CORE SET)/Khuôn A366B bracket 2Cav</t>
  </si>
  <si>
    <t>MCVN-712</t>
  </si>
  <si>
    <t>781005-SM-A366B BRACKET DIE CASTING MOLD 1CAV  (FULL SET)/Khuôn A366B bracket 1Cav</t>
  </si>
  <si>
    <t>MCVN-713</t>
  </si>
  <si>
    <t>713934-Khay liệu CL4 cover (L900xW850xH20)</t>
  </si>
  <si>
    <t>C-2110-6</t>
  </si>
  <si>
    <t>CNC1 Auto LG</t>
  </si>
  <si>
    <t>MCVN-714</t>
  </si>
  <si>
    <t>713935-Khay liệu MQ4 cover (L900xW850xH20)</t>
  </si>
  <si>
    <t>MCVN-715</t>
  </si>
  <si>
    <t>713936-Khay liệu IMEB2 Housing (L900xW850xH20)</t>
  </si>
  <si>
    <t>C-2110-5</t>
  </si>
  <si>
    <t>CNC1 Auto Mando</t>
  </si>
  <si>
    <t>MCVN-716</t>
  </si>
  <si>
    <t>714037-Khay liệu CL4 Housing (L900xW850xH20)</t>
  </si>
  <si>
    <t>MCVN-717</t>
  </si>
  <si>
    <t>714038-Khay liệu MQ4 Housing (L900xW850xH20)</t>
  </si>
  <si>
    <t>MCVN-718</t>
  </si>
  <si>
    <t>714039-Khay liệu TEY GEN4 (L900xW850xH20)</t>
  </si>
  <si>
    <t>MCVN-719</t>
  </si>
  <si>
    <t>714040-Khay liệu NX4 Housing (L900xW850xH20)</t>
  </si>
  <si>
    <t>MCVN-720</t>
  </si>
  <si>
    <t>714959-Khay liệu CL4-MQ4 Cover (L900xW850xH20)</t>
  </si>
  <si>
    <t>C-1110</t>
  </si>
  <si>
    <t>Trimming</t>
  </si>
  <si>
    <t>MCVN-721</t>
  </si>
  <si>
    <t>714960-Khay liệu  CL4 MQ4 Housing (L900xW850xH20)</t>
  </si>
  <si>
    <t>MCVN-722</t>
  </si>
  <si>
    <t>714961-Khay liệu ACP2 Housing (L900xW850xH20)</t>
  </si>
  <si>
    <t>MCVN-723</t>
  </si>
  <si>
    <t>714962-Khay liệu ACP2  Cover (L900xW850xH20)</t>
  </si>
  <si>
    <t>MCVN-724</t>
  </si>
  <si>
    <t>714963-Khay liệu AL5 Housing (L900xW850xH20)</t>
  </si>
  <si>
    <t>MCVN-725</t>
  </si>
  <si>
    <t>714261-Barcode printer Zebra ZT411 300dpi</t>
  </si>
  <si>
    <t>MCVN-727</t>
  </si>
  <si>
    <t>Chi phí thuế Nk phân bổ</t>
  </si>
  <si>
    <t>(GL)-2025-02-0182</t>
  </si>
  <si>
    <t>MCVN-728</t>
  </si>
  <si>
    <t>(GL)-2025-02-0183</t>
  </si>
  <si>
    <t>MCVN-729</t>
  </si>
  <si>
    <t>Chi phí sơn vách panel hành lang, cnc 1 và cầu thang văn phòng/Cost of painting the corridor panel wall, CNC 1 and office stairs</t>
  </si>
  <si>
    <t>(AP)-2025-02-0011</t>
  </si>
  <si>
    <t>MCVN-730</t>
  </si>
  <si>
    <t>Selling 01 Machine 1V8 / Xuất bán máy cho cty Thuê TC</t>
  </si>
  <si>
    <t>(GL)-2025-02-0061</t>
  </si>
  <si>
    <t>MCVN-731</t>
  </si>
  <si>
    <t>Chi phí lắp đặt điện khí cho máy mài, máy dập, chuyển rửa, cửa thoát hiểm theo HĐ số M&amp;C2025-0220-BV/Cost install  electric,air for for polishing, trimming, clear line, exit door according to Contract No. M&amp;C2025-0220-BV</t>
  </si>
  <si>
    <t>(AP)-2025-03-0323</t>
  </si>
  <si>
    <t>MCVN-732</t>
  </si>
  <si>
    <t>M&amp;C ELECTRONICS VINA</t>
  </si>
  <si>
    <t>Bộ máy tính cho nhân viên mới phòng QC</t>
  </si>
  <si>
    <t>(AP)-2025-03-0330</t>
  </si>
  <si>
    <t>MCVN-733</t>
  </si>
  <si>
    <t>Mua 02 Laptop ASUS Gaming Vivobook K3605ZC Cho phòng Utility</t>
  </si>
  <si>
    <t>MCVN-734</t>
  </si>
  <si>
    <t>Mua Bộ Máy tính cho phòng Utility</t>
  </si>
  <si>
    <t>MCVN-735</t>
  </si>
  <si>
    <t>Expense of renew license ( 3D PTC inc ) ( 18.03.2025-17.03.2026 )-Chi phí gia hạn phần mêm Creo Design Advance</t>
  </si>
  <si>
    <t>(AP)-2025-03-0422</t>
  </si>
  <si>
    <t>MCVN-737</t>
  </si>
  <si>
    <t>PK Mold ZF-  PM HOUSING 1.0  Back up #2 Die casting tool</t>
  </si>
  <si>
    <t>(M)-2025-03-0016</t>
  </si>
  <si>
    <t>MCVN-739</t>
  </si>
  <si>
    <t>Chi phí lắp đặt hàng rào ,sàn thao tác,điện cho chuyền vận chuyển nhôm/Cost install fance,frame,electric for AL transport line</t>
  </si>
  <si>
    <t>(AP)-2025-04-0244</t>
  </si>
  <si>
    <t>MCVN-740</t>
  </si>
  <si>
    <t>Chi phí lắp đặt máy đúc kim loại/Cost install casting machine</t>
  </si>
  <si>
    <t>(AP)-2025-04-0245</t>
  </si>
  <si>
    <t>MCVN-741</t>
  </si>
  <si>
    <t>Mua Bộ Máy tính cho phòng PT sử dụng phần mềm Work NC</t>
  </si>
  <si>
    <t>(AP)-2025-04-0495</t>
  </si>
  <si>
    <t>MCVN-742</t>
  </si>
  <si>
    <t>Công cụ dụng cụ xuất kho phân bổ T04.2025</t>
  </si>
  <si>
    <t>(M)-2025-04-0006</t>
  </si>
  <si>
    <t>MCVN-743</t>
  </si>
  <si>
    <t>MCVN-744</t>
  </si>
  <si>
    <t>C-2200</t>
  </si>
  <si>
    <t>Polishing</t>
  </si>
  <si>
    <t>MCVN-745</t>
  </si>
  <si>
    <t>MCVN-746</t>
  </si>
  <si>
    <t>(M)-2025-04-0004</t>
  </si>
  <si>
    <t>MCVN-747</t>
  </si>
  <si>
    <t>Chi phí lắp đặt điều hòa cho sản xuất/ Cost install airconditon for product</t>
  </si>
  <si>
    <t>(AP)-2025-05-0190</t>
  </si>
  <si>
    <t>MCVN-748</t>
  </si>
  <si>
    <t>Chi phí lắp đặt rèm PVC cho chuyền rửa/Cost install PVC wall for clear line</t>
  </si>
  <si>
    <t>(AP)-2025-05-0191</t>
  </si>
  <si>
    <t>MCVN-749</t>
  </si>
  <si>
    <t xml:space="preserve">Xuất khuôn ra sử dụng/ Issue Mold </t>
  </si>
  <si>
    <t>(M)-2025-05-0006</t>
  </si>
  <si>
    <t>MCVN-750</t>
  </si>
  <si>
    <t>(M)-2025-05-0017</t>
  </si>
  <si>
    <t>MCVN-751</t>
  </si>
  <si>
    <t>Air floating file device/Thiết bị giũa khí nén MSIY-40 (S08026)</t>
  </si>
  <si>
    <t>MCVN-752</t>
  </si>
  <si>
    <t>Monitor Samsung 27inch- Màn hình máy tính samsung 27 inch</t>
  </si>
  <si>
    <t>(AP)-2025-06-0455</t>
  </si>
  <si>
    <t>MCVN-753</t>
  </si>
  <si>
    <t>Combo Destop PC- B760/Core i5/16Gb/256Gb</t>
  </si>
  <si>
    <t>C-8200</t>
  </si>
  <si>
    <t>Finance</t>
  </si>
  <si>
    <t>MCVN-754</t>
  </si>
  <si>
    <t>Destop combo core i7 14700k/64Gb/1Tb/4Tb- bộ máy tính để bàn</t>
  </si>
  <si>
    <t>MCVN-755</t>
  </si>
  <si>
    <t>Xuất khuôn ra sử dụng/ Issue Mold  Tháng 06.2025</t>
  </si>
  <si>
    <t>(M)-2025-06-0006</t>
  </si>
  <si>
    <t>MCVN-756</t>
  </si>
  <si>
    <t>MCVN-757</t>
  </si>
  <si>
    <t>Công cụ dụng cụ xuất kho phân bổ T06.2025</t>
  </si>
  <si>
    <t>MCVN-758</t>
  </si>
  <si>
    <t>MCVN-759</t>
  </si>
  <si>
    <t>MCVN-760</t>
  </si>
  <si>
    <t>MCVN-761</t>
  </si>
  <si>
    <t>chi phí lắp cải tạo,sửa chữa ống gió,cửa kính,của cuốn nhanh theo hợp đồng số M&amp;C2025-0325BV/Cost for installation, renovation, and repair of air ducts, glass doors, and rapid rolling doors under contract No. M&amp;C2025-0325BV</t>
  </si>
  <si>
    <t>(AP)-2025-07-0172</t>
  </si>
  <si>
    <t>MCVN-762</t>
  </si>
  <si>
    <t>CÔNG TY TNHH SOLID &amp; SOFT</t>
  </si>
  <si>
    <t xml:space="preserve"> LearnMembership - NX Design included 1 year maintenance/ Phần mềm dạy học cho phần mền NX</t>
  </si>
  <si>
    <t>(AP)-2025-07-0195</t>
  </si>
  <si>
    <t>MCVN-763</t>
  </si>
  <si>
    <t>PK Mold MANDO BRORE- TESLA GEN4  Back up # 16 - Die casting tool</t>
  </si>
  <si>
    <t>(M)-2025-07-0017</t>
  </si>
  <si>
    <t>Long term deffered expenses</t>
  </si>
  <si>
    <t>MCVN-764</t>
  </si>
  <si>
    <t>AIR GAGE &amp; HEIGHT GAGE_AL5-HOUSING</t>
  </si>
  <si>
    <t>(M)-2025-07-0006</t>
  </si>
  <si>
    <t>Long-term prepaid expenses_Tools  supplies</t>
  </si>
  <si>
    <t>MCVN-765</t>
  </si>
  <si>
    <t>AIR GAGE HEAD/MASTER_NX4-HOUSING</t>
  </si>
  <si>
    <t>MCVN-766</t>
  </si>
  <si>
    <t>Laptop Acer N24H6- máy tính xách tay</t>
  </si>
  <si>
    <t>(AP)-2025-08-0182</t>
  </si>
  <si>
    <t>MCVN-767</t>
  </si>
  <si>
    <t>Combo PC core i7 14700/ B760/16Gb/512Gb- Bộ máy tính để bàn</t>
  </si>
  <si>
    <t>MCVN-768</t>
  </si>
  <si>
    <t>Gearbox for KF121. Model No.50210-1181</t>
  </si>
  <si>
    <t>(M)-2025-08-0006</t>
  </si>
  <si>
    <t>MCVN-769</t>
  </si>
  <si>
    <t>Bo mạch Mainboard FTS D3076-K+ CPU, mã hàng 215838</t>
  </si>
  <si>
    <t>MCVN-770</t>
  </si>
  <si>
    <t>Main board/Bảng mạch điện tử (ELECTRONIC BO.HPS14J+AUX-80+PSC-10+FPB29)</t>
  </si>
  <si>
    <t>MCVN-771</t>
  </si>
  <si>
    <t>PK Mold MANDO BROSE- NX4 HOUSING  Back up #13- Die casting tool</t>
  </si>
  <si>
    <t>MCVN-772</t>
  </si>
  <si>
    <t>PK Mold ZF- FCA COVER #8 Back up- Die casting tool</t>
  </si>
  <si>
    <t>MCVN-773</t>
  </si>
  <si>
    <t>PK Mold ZF-GM EU2L COVER Back up #8- Die casting tool</t>
  </si>
  <si>
    <t>MCVN-774</t>
  </si>
  <si>
    <t>Chi phí lăp đặt ống gió AHU theo hợp đồng số M&amp;C2025-0721-BV/Installation cost of AHU ductwork under contract No. M&amp;C2025-0721-BV</t>
  </si>
  <si>
    <t>(AP)-2025-09-0227</t>
  </si>
  <si>
    <t>MCVN-775</t>
  </si>
  <si>
    <t>Chi phí sơn nền nhà máy/Cost floor paint factory</t>
  </si>
  <si>
    <t>(AP)-2025-09-0229</t>
  </si>
  <si>
    <t>MCVN-776</t>
  </si>
  <si>
    <t>Bộ máy tính để bàn Core i7 14700k/Ram 32Gb/ SSD 1TB/ combo Computer i7 14700k</t>
  </si>
  <si>
    <t>(AP)-2025-09-0328</t>
  </si>
  <si>
    <t>MCVN-777</t>
  </si>
  <si>
    <t>Công cụ dụng cụ xuất kho phân bổ T09.2025/ SM- A176B BRACKET DIE CASTING MOLD 1CAV (FULL SET)/ Khuôn đúc nhôm SM- A176B BRACKET</t>
  </si>
  <si>
    <t>MCVN-778</t>
  </si>
  <si>
    <t>Công cụ dụng cụ xuất kho phân bổ T09.2025/SM-A176B BRACKET DIE CASTING MOLD 1CAV  (CORE SET)/Chi tiết khuôn bằng thép (lõi khuôn trên và lõi khuôn dưới)</t>
  </si>
  <si>
    <t>MCVN-779</t>
  </si>
  <si>
    <t>Công cụ dụng cụ xuất kho phân bổ T09.2025/Air floating file device/Thiết bị giũa khí nén MTQ-03, 500W, 9000Hz, 0.28m/min</t>
  </si>
  <si>
    <t>MCVN-780</t>
  </si>
  <si>
    <t>Công cụ dụng cụ xuất kho phân bổ T09.2025/Motor/Động cơ HYOSUNG 30Kw 4P 380V trục 60mm,kiểu lắp chân đế</t>
  </si>
  <si>
    <t>MCVN-781</t>
  </si>
  <si>
    <t>Công cụ dụng cụ xuất kho phân bổ T09.2025/KONTEC KSC3 GRIP 125-160 CLAMPING VISE/ Ê tô KONTEC KSC3 GRIP 125-160 (1514238) ( bộ phận kẹp sản phẩm )</t>
  </si>
  <si>
    <t>MCVN-782</t>
  </si>
  <si>
    <t>Công cụ dụng cụ xuất kho phân bổ T09.2025/Tool board/ Bàn thao tác máy mài tự động sản phẩm AL5</t>
  </si>
  <si>
    <t>MCVN-783</t>
  </si>
  <si>
    <t>Công cụ dụng cụ xuất kho phân bổ T09.2025/Product inspection cabinet/Tủ kiểm tra sản phẩm Kích thước: 600x556x700mm, khung nhôm, 220V-24V</t>
  </si>
  <si>
    <t>MCVN-784</t>
  </si>
  <si>
    <t>Công cụ dụng cụ xuất kho phân bổ T09.2025/AIR M/M TYPE  GAGE_ CL4-HOUSING</t>
  </si>
  <si>
    <t>MCVN-785</t>
  </si>
  <si>
    <t>Công cụ dụng cụ xuất kho phân bổ T09.2025/AIR M/M TYPE  GAGE_ DL3a-HOUSING</t>
  </si>
  <si>
    <t>MCVN-786</t>
  </si>
  <si>
    <t>Công cụ dụng cụ xuất kho phân bổ T09.2025/JIG MCT + index 3+2 trục</t>
  </si>
  <si>
    <t>MCVN-787</t>
  </si>
  <si>
    <t>Combo PC main Asus B760 wifi, CPU i7 14700F/ Bộ máy tính cho QC</t>
  </si>
  <si>
    <t>(AP)-2025-10-0696</t>
  </si>
  <si>
    <t>MCVN-788</t>
  </si>
  <si>
    <t>Xuất kho CCDC /Issue supplies</t>
  </si>
  <si>
    <t>(M)-2025-10-0006</t>
  </si>
  <si>
    <t>MCVN-789</t>
  </si>
  <si>
    <t>MCVN-790</t>
  </si>
  <si>
    <t>MCVN-792</t>
  </si>
  <si>
    <t>Xuất TP sử dụng khuôn/ Issue Mold to use</t>
  </si>
  <si>
    <t>(M)-2025-10-0017</t>
  </si>
  <si>
    <t>MCVN-791</t>
  </si>
  <si>
    <t>C-2600</t>
  </si>
  <si>
    <t>Injection</t>
  </si>
  <si>
    <t>MCVN-793</t>
  </si>
  <si>
    <t>Chi phí lắp đặt cửa tự động cho CNC1,CNC2/Cost install auto door for CNC1.CNC4 room</t>
  </si>
  <si>
    <t>(AP)-2025-11-0124</t>
  </si>
  <si>
    <t>MCVN-794</t>
  </si>
  <si>
    <t>Chi phí lắp đặt, sửa chữa cửa theo hđ số M&amp;C2025-0811/Installation and repair costs for the door under Contract No. M&amp;C2025-0811</t>
  </si>
  <si>
    <t>(AP)-2025-11-0347</t>
  </si>
  <si>
    <t>MCVN-795</t>
  </si>
  <si>
    <t xml:space="preserve">Cost of installing Break Room </t>
  </si>
  <si>
    <t>(AP)-2025-11-0348</t>
  </si>
  <si>
    <t>55020213</t>
  </si>
  <si>
    <t>Administrative expense - welfare - others</t>
  </si>
  <si>
    <t>MCVN-796</t>
  </si>
  <si>
    <t>(M)-2025-11-0006</t>
  </si>
  <si>
    <t>MCVN-797</t>
  </si>
  <si>
    <t>MCVN-798</t>
  </si>
  <si>
    <t>MCVN-799</t>
  </si>
  <si>
    <t>MCVN-800</t>
  </si>
  <si>
    <t>MCVN-801</t>
  </si>
  <si>
    <t>CÔNG TY TNHH SẢN XUẤT VÀ THƯƠNG MẠI PHÙNG THỊNH</t>
  </si>
  <si>
    <t>Nội thất phòng nghỉ ( bục ngồi nhân viên, ghế băng, ghế tựa)</t>
  </si>
  <si>
    <t>(AP)-2025-12-0009</t>
  </si>
  <si>
    <t>MCVN-802</t>
  </si>
  <si>
    <t>Chi phí cải tạo, lắp đặt phòng máy rửa hàng và pha dầu tự động/Cost for renovation and installation of the automatic parts washing and oil mixing room.</t>
  </si>
  <si>
    <t>(AP)-2025-12-0221</t>
  </si>
  <si>
    <t>MCVN-803</t>
  </si>
  <si>
    <t>Chi phí tháo dỡ lắp đặt máy đúc theo hợp đồng số M&amp;C2025-1101-BV/Cost for dismantling and installation of the casting machine under Contract No. M&amp;C2025-1101-BV.</t>
  </si>
  <si>
    <t>(AP)-2025-12-0222</t>
  </si>
  <si>
    <t>MCVN-804</t>
  </si>
  <si>
    <t>Chi phí cải tạo phòng IT/Cost for dismantling and installation IT room</t>
  </si>
  <si>
    <t>(AP)-2025-12-0224</t>
  </si>
  <si>
    <t>MCVN-805</t>
  </si>
  <si>
    <t>(M)-2025-12-0006</t>
  </si>
  <si>
    <t>MCVN-806</t>
  </si>
  <si>
    <t>MCVN-807</t>
  </si>
  <si>
    <t>MCVN-808</t>
  </si>
  <si>
    <t>MCVN-809</t>
  </si>
  <si>
    <t>MCVN-810</t>
  </si>
  <si>
    <t>MCVN-811</t>
  </si>
  <si>
    <t>Chi phí cải tạo hệ thống cơ điện CNC2  theo HĐ số M&amp;C2025-0913-BV/Renovation cost of the CNC2 M&amp;E system under Contract No. M&amp;C2025-0913-BV.</t>
  </si>
  <si>
    <t>(AP)-2026-01-0091</t>
  </si>
  <si>
    <t>MCVN-812</t>
  </si>
  <si>
    <t>Chi phí lắp đặt điều hòa cho phòng nghỉ/Cost install aircondition for rest room.</t>
  </si>
  <si>
    <t>(AP)-2026-01-0093</t>
  </si>
  <si>
    <t>MCVN-813</t>
  </si>
  <si>
    <t>Công ty TNHH Nhân Sinh Phúc</t>
  </si>
  <si>
    <t>Buy rack/Mua tủ chứa máy chủ</t>
  </si>
  <si>
    <t>(AP)-2026-01-0165</t>
  </si>
  <si>
    <t>MCVN-814</t>
  </si>
  <si>
    <t>Annual license fee of U9 Cloud/Dịch vụ phần mềm U9 cloud theo năm hợp đồng số VI2410300001F1 ngày 14.11.2024(Pb 03.2026-02.2027)</t>
  </si>
  <si>
    <t>(GL)-2026-01-0023</t>
  </si>
  <si>
    <t>MCVN-815</t>
  </si>
  <si>
    <t>SM-A366B BRACKET DIE CASTING MOLD 1CAV  (CORE SET)/ Nhân 1Cav khuôn đúc nhôm (Material: Dievar)</t>
  </si>
  <si>
    <t>(M)-2026-01-0006</t>
  </si>
  <si>
    <t>C-6300-1</t>
  </si>
  <si>
    <t>Mold Mobile Braket</t>
  </si>
  <si>
    <t>MCVN-816</t>
  </si>
  <si>
    <t>Hydraulic chuck/ Bộ mâm cặp thủy lực 3 chấu 8" CGH-08 (E007)</t>
  </si>
  <si>
    <t>MCVN-817</t>
  </si>
  <si>
    <t>TDMATE CHUCK JPU-200/Chấu cặp_LT2 Housing</t>
  </si>
  <si>
    <t>MCVN-818</t>
  </si>
  <si>
    <t>Servo Drive/Bộ điều khiển bộ thay dao máy CNC T4050, 300419-00035C</t>
  </si>
  <si>
    <t>MCVN-819</t>
  </si>
  <si>
    <t>SM-A176B BRACKET DIE CASTING MOLD 2CAV  (CORE SET)/Chi tiết khuôn bằng thép (lõi khuôn trên và lõi khuôn dưới)</t>
  </si>
  <si>
    <t>MCVN-820</t>
  </si>
  <si>
    <t>PK Mold MANDO BROSE - NX4 COVER Back up #10 - Die casting tool</t>
  </si>
  <si>
    <t>(M)-2025-12-0017</t>
  </si>
  <si>
    <t>C-6300-5</t>
  </si>
  <si>
    <t>Mold Auto Mando</t>
  </si>
  <si>
    <t>MCVN-821</t>
  </si>
  <si>
    <t>PK Mold MANDO BRORE - TESLA GEN4  Back up #17 - Die casting tool</t>
  </si>
  <si>
    <t>(M)-2026-02-0017</t>
  </si>
  <si>
    <t>MCVN-822</t>
  </si>
  <si>
    <t>PK Mold MANDO BROSE - NX4 HOUSING  Back up #18 - Die casting tool</t>
  </si>
  <si>
    <t>MCVN-823</t>
  </si>
  <si>
    <t>PK Mold ZF - FCA Housing Back up #10 - Die casting tool</t>
  </si>
  <si>
    <t>C-6300-4</t>
  </si>
  <si>
    <t>Mold Auto ZF</t>
  </si>
  <si>
    <t>MCVN-824</t>
  </si>
  <si>
    <t>PK Mold ZF- GM EU2L HOUSING 4 CAVITY #1 Back up - Die casting tool</t>
  </si>
  <si>
    <t>MCVN-825</t>
  </si>
  <si>
    <t>PK Mold ZF- GM EU2L COVER 4 CAVITY #1 Back up - Die casting tool</t>
  </si>
  <si>
    <t>MCVN-826</t>
  </si>
  <si>
    <t>PK Mold ZF- FCA COVER 4 CAVITY #1 Back up - Die casting tool</t>
  </si>
  <si>
    <t>MCVN-827</t>
  </si>
  <si>
    <t>PK Mold ZF- FCA Housing 4 CAVITY #1 Back up - Die casting tool</t>
  </si>
  <si>
    <t>MCVN-828</t>
  </si>
  <si>
    <t>PK Mold ZF- NISSAN4.8 LENS MOUNT #13 - Die casting tool</t>
  </si>
  <si>
    <t>MCVN-829</t>
  </si>
  <si>
    <t>PK Mold ZF- NISSAN4.8 LENS MOUNT #14 - Die casting tool</t>
  </si>
  <si>
    <t>MCVN-830</t>
  </si>
  <si>
    <t>(M)-2026-02-0006</t>
  </si>
  <si>
    <t>MCVN-831</t>
  </si>
  <si>
    <t>CHINA NINGBO INTERNATIONAL COOPERATION CO.，LTD</t>
  </si>
  <si>
    <t>350 ton maintenance fee/ chi phí bảo dưỡng máy 350 tấn hợp đồng số 26112025</t>
  </si>
  <si>
    <t>(AP)-2026-02-0108/212</t>
  </si>
  <si>
    <t>MCVN-832</t>
  </si>
  <si>
    <t>Laptop Lenovo LOQ - 15IRX9 83DV00D5VN</t>
  </si>
  <si>
    <t>(AP)-2026-02-0267</t>
  </si>
  <si>
    <t>C-6200</t>
  </si>
  <si>
    <t>Purchasing</t>
  </si>
  <si>
    <t>MCVN-833</t>
  </si>
  <si>
    <t>Expense of Renew 10 license of AutoCAD LT software subscription - 1 year/ Phần mềm AutoCARD LT bản quyền sử dụng 1 năm (03.2026-03.2027)</t>
  </si>
  <si>
    <t>(AP)-2026-03-0008</t>
  </si>
  <si>
    <t>MCVN-834</t>
  </si>
  <si>
    <t>125 ton maintenance fee/ chi phí bảo dưỡng máy 125 tấn hợp đồng số 22092025</t>
  </si>
  <si>
    <t>(AP)-2026-03-0170</t>
  </si>
  <si>
    <t>MCVN-835</t>
  </si>
  <si>
    <t>Creo Design software renewal from March 18, 2026 to March 17, 2027/ Phí gia hạn phần mềm Creo Design Advanced từ 18/03/2026~ 17/03/2027</t>
  </si>
  <si>
    <t>(AP)-2026-03-0361</t>
  </si>
  <si>
    <t>MCVN-836</t>
  </si>
  <si>
    <t>PK Mold ZF- NISSAN4.8 LENS MOUNT #15 - Die casting tool</t>
  </si>
  <si>
    <t>(M)-2026-03-0017</t>
  </si>
  <si>
    <t>MCVN-837</t>
  </si>
  <si>
    <t>PK Mold MANDO BROSE - NX4 COVER  Back up #11 - Die casting tool</t>
  </si>
  <si>
    <t>MCVN-838</t>
  </si>
  <si>
    <t>PK Mold MANDO BROSE - NX4 HOUSING  Back up #19 - Die casting tool</t>
  </si>
  <si>
    <t>MCVN-839</t>
  </si>
  <si>
    <t>PK JIG - LOCATION Jig Check usb, Simtray (đồ gá kiểm tra vị trí khe cắm sạc, và khe sim sản phẩm) A376 (02)</t>
  </si>
  <si>
    <t>MCVN-840</t>
  </si>
  <si>
    <t>PK Mold ZF - NISSAN4.8 LENS MOUNT #16 - Die casting tool</t>
  </si>
  <si>
    <t>MCVN-841</t>
  </si>
  <si>
    <t>PK Mold ZF - ACP COVER 4 CAVITY #14 Back up - Die casting tool</t>
  </si>
  <si>
    <t>MCVN-842</t>
  </si>
  <si>
    <t>PK Mold HLK - MAS65C Back up #12 - Die casting tool</t>
  </si>
  <si>
    <t>MCVN-843</t>
  </si>
  <si>
    <t>PK Mold ZF- ACP Housing 4 CAVITY #14 - Die casting tool</t>
  </si>
  <si>
    <t>MCVN-844</t>
  </si>
  <si>
    <t>PK Mold HLK - MAS65C Back up #13 - Die casting tool</t>
  </si>
  <si>
    <t>MCVN-845</t>
  </si>
  <si>
    <t>Máy ảnh công nghiệp màu Hikrobot Model MV CH250-90VC</t>
  </si>
  <si>
    <t>(M)-2026-03-0006</t>
  </si>
  <si>
    <t>MCVN-846</t>
  </si>
  <si>
    <t>X-ray tube, EDX for replacement/ Ống phóng tia X</t>
  </si>
  <si>
    <t>MCVN-847</t>
  </si>
  <si>
    <t>50kV Inverter Power Supply/ Bộ nguồn cao áp 50kV</t>
  </si>
  <si>
    <t>MCVN-848</t>
  </si>
  <si>
    <t>AC servo motor RH10TD-8BO(Doosan cnc)</t>
  </si>
  <si>
    <t>MCVN-849</t>
  </si>
  <si>
    <t>MCVN-850</t>
  </si>
  <si>
    <t>Chain conveyor/ Băng tải xích-L2800xW705xH1300</t>
  </si>
  <si>
    <t>MCVN-851</t>
  </si>
  <si>
    <t>Băng tải xích tấm bản lề L3000xW705xH(1070-1300)</t>
  </si>
  <si>
    <t>MCVN-852</t>
  </si>
  <si>
    <t>Điện cực pH cho máy HM-30P, Model: GST-2739C.</t>
  </si>
  <si>
    <t>MCVN-853</t>
  </si>
  <si>
    <t>CÔNG TY TNHH THƯƠNG MẠI DỊCH VỤ KỸ THUẬT NGÂN PHÁT</t>
  </si>
  <si>
    <t>Combo Destop PC- B760/Core i5/16Gb/256Gb Bộ cây máy tính để bàn cho IT</t>
  </si>
  <si>
    <t>(AP)-2026-04-0319</t>
  </si>
  <si>
    <t>MCVN-854</t>
  </si>
  <si>
    <t>Combo Destop PC- H510/Core i5 10400/ Ram16Gb/ SSD 256Gb - Bộ cây máy tính để bàn cho phòng Utility</t>
  </si>
  <si>
    <t>MCVN-855</t>
  </si>
  <si>
    <t>Phần mềm Windows GGWA-Windows 11 Pro-Legalization Get Genuine (bản quyền sử dụng vĩnh viễn)</t>
  </si>
  <si>
    <t>(AP)-2026-04-0570</t>
  </si>
  <si>
    <t>MCVN-856</t>
  </si>
  <si>
    <t>Phần mềm Office Home &amp; Business 2024 All Lng APAC EM Retail Online ESD (bản quyền sử dụng vĩnh viễn)</t>
  </si>
  <si>
    <t>MCVN-857</t>
  </si>
  <si>
    <t>Chi phí cải tạo sảnh chính theo HĐ số M&amp;C2026-0328-BV/ Cost for renovation of main lobby under Contract No. M&amp;C2026-0328-BV</t>
  </si>
  <si>
    <t>(AP)-2026-04-0507</t>
  </si>
  <si>
    <t> Administrative expense - Amortization - others</t>
  </si>
  <si>
    <t>MCVN-858</t>
  </si>
  <si>
    <t>Chi phí tháo dỡ, lắp đặt 2 line CNC từ CNC2 sang CNC3 theo hợp đồng M&amp;C2026-0325-BV/ Cost for dismantling and installation CNC machines according to contract No. M&amp;C2026-0325-BV</t>
  </si>
  <si>
    <t>(AP)-2026-04-0508</t>
  </si>
  <si>
    <t>MCVN-859</t>
  </si>
  <si>
    <t>Chi phí lắp đặt cửa tự động cho phòng hóa chất theo hợp đồng M&amp;C2026-0331-BV /Cost install auto door for chemical room under Contract No. M&amp;C2026-0331-BV</t>
  </si>
  <si>
    <t>(AP)-2026-04-0548</t>
  </si>
  <si>
    <t>MCVN-860</t>
  </si>
  <si>
    <t>Chi phí tháo dỡ lắp đặt lại điện khí cho máy đúc theo hợp đồng số M&amp;C2026-0401-BV/Cost for dismantling and installation of the casting machine under Contract No. M&amp;C2026-0401-BV.</t>
  </si>
  <si>
    <t>(AP)-2026-04-0549</t>
  </si>
  <si>
    <t>MCVN-861</t>
  </si>
  <si>
    <t>Chi phí cải tạo kho chứa đồ theo HĐ M&amp;C2026-0108-BV/ Cost for renovation of storage area at the existing smoking area according to contract No. M&amp;C2026-0108-BV</t>
  </si>
  <si>
    <t>(AP)-2026-04-0703</t>
  </si>
  <si>
    <t>MCVN-862</t>
  </si>
  <si>
    <t>Chi phí tháo dỡ lắp đặt máy đúc theo hợp đồng số M&amp;C2026-0110-BV/ Cost for dismantling and installation of the casting machine according to contract No. M&amp;C2026-0110-BV</t>
  </si>
  <si>
    <t>(AP)-2026-04-0704</t>
  </si>
  <si>
    <t>MCVN-863</t>
  </si>
  <si>
    <t>Chi phí cải tạo lắp đặt phòng IQC theo hđ số M&amp;C2025-1220-BV/ Cost for renovation and installation IQC room according to contract No. M&amp;C2025-1220-BV</t>
  </si>
  <si>
    <t>(AP)-2026-04-0705</t>
  </si>
  <si>
    <t>MCVN-864</t>
  </si>
  <si>
    <t>PK Mold HLK- MAS65C Back up #14 - Die casting tool</t>
  </si>
  <si>
    <t>(M)-2026-04-0017</t>
  </si>
  <si>
    <t>MCVN-865</t>
  </si>
  <si>
    <t>PK Mold LGIT- DCU HOUSING #9 Back up - Die casting tool</t>
  </si>
  <si>
    <t>C-6300-6</t>
  </si>
  <si>
    <t>Mold Auto LG</t>
  </si>
  <si>
    <t>MCVN-866</t>
  </si>
  <si>
    <t>PK Mold HLK - MAS65C  Back up #15 - Die casting tool</t>
  </si>
  <si>
    <t>MCVN-867</t>
  </si>
  <si>
    <t>Conveyor belts and work tables/ Băng tải và bàn thao tác KT: L2500xW530xH(850+885)mm</t>
  </si>
  <si>
    <t>(M)-2026-04-0006</t>
  </si>
  <si>
    <t>C-3200</t>
  </si>
  <si>
    <t>Assembly</t>
  </si>
  <si>
    <t>MCVN-868</t>
  </si>
  <si>
    <t>Vacuum pump/ Máy hút chân không, Model: DZQ 500</t>
  </si>
  <si>
    <t>MCVN-869</t>
  </si>
  <si>
    <t>Gá kẹp bánh răng đài dao 21 dao máy Fanuc</t>
  </si>
  <si>
    <t>MCVN-870</t>
  </si>
  <si>
    <t>PROJECT A - side - shield - L&amp;R MCT - JIG</t>
  </si>
  <si>
    <t>MCVN-871</t>
  </si>
  <si>
    <t>PROJECT A - temple - arm - L&amp;R  MCT JIG</t>
  </si>
  <si>
    <t>MCVN-872</t>
  </si>
  <si>
    <t>"Inverter Yaskawa A1000 CIMR-AT4A0072AAA (37KW/30KW 380V)/Biến tần Yaskawa A1000 CIMR-AT4A0072AAA (37KW/30KW 380V)"</t>
  </si>
  <si>
    <t>MCVN-873</t>
  </si>
  <si>
    <t>A37 RESISTANCE MACHINE/ Máy đo điện trở</t>
  </si>
  <si>
    <t>MCVN-874</t>
  </si>
  <si>
    <t>Nguồn laser</t>
  </si>
  <si>
    <t>MCVN-875</t>
  </si>
  <si>
    <t>Máy đo độ cứng kim  loại LILIANG</t>
  </si>
  <si>
    <t>MCVN-876</t>
  </si>
  <si>
    <t>Thiết bị đọc mã vạch; model: R5030PMG-05M RGG01E</t>
  </si>
  <si>
    <t>MCVN-877</t>
  </si>
  <si>
    <t>JK1-HOUSING(LHD/RHD), AIR GAGE HEAD/MASTER</t>
  </si>
  <si>
    <t>MCVN-878</t>
  </si>
  <si>
    <t>JG(REPS)/US4(RHD)/JG(RWS), AIR GAGE HEAD/MASTER</t>
  </si>
  <si>
    <t>MCVN-879</t>
  </si>
  <si>
    <t>JG(REPS)/US4(RHD)/ JG(RWS)_AIR GAGE DIGIMETIC TYPE</t>
  </si>
  <si>
    <t>MCVN-880</t>
  </si>
  <si>
    <t>SM-A376B BRACKET DIE CASTING MOLD 2CAV  (CORE SET)/Chi tiết khuôn bằng thép (lõi khuôn trên và lõi khuôn dưới)</t>
  </si>
  <si>
    <t>MCVN-881</t>
  </si>
  <si>
    <t>SM-A376B BRACKET DIE CASTING MOLD 1CAV (FULL SET)/ Khuôn đúc nhôm SM- SM-A376B BRACKET</t>
  </si>
  <si>
    <t>MCVN-882</t>
  </si>
  <si>
    <t>SM-A376B BRACKET DIE CASTING MOLD 1CAV  (CORE SET)/Chi tiết khuôn bằng thép (lõi khuôn trên và lõi khuôn dưới)</t>
  </si>
  <si>
    <t>MCVN-883</t>
  </si>
  <si>
    <t>SM-A176B BRACKET DIE CASTING MOLD 1CAV  (CORE SET)/Chi tiết khuôn bằng thép (lõi khuôn trên và lõi khuôn dưới)</t>
  </si>
  <si>
    <t>MCVN-884</t>
  </si>
  <si>
    <t>Mold Die casting IMEB2 Housing  2 CAV (Full set) #6</t>
  </si>
  <si>
    <t>MCVN-885</t>
  </si>
  <si>
    <t>Mold De-gating + Trimming NX4 Cover</t>
  </si>
  <si>
    <t>MCVN-886</t>
  </si>
  <si>
    <t>Mold Die casting IMEB2 HSG #5/Khuôn đúc IMEB2 HSG #5</t>
  </si>
  <si>
    <t>MCVN-887</t>
  </si>
  <si>
    <t>Mold Die casting J100 Housing 1 CAV (Full set)/ Khuôn đúc J100 Housing #4</t>
  </si>
  <si>
    <t>MCVN-888</t>
  </si>
  <si>
    <t>Mold Die Casting IMEB2 Housing #7</t>
  </si>
  <si>
    <t>MCVN-889</t>
  </si>
  <si>
    <t>ZF GM EU2L HSG Degating + Trimming Mold/ Khuôn dập gate + trimming</t>
  </si>
  <si>
    <t>MCVN-890</t>
  </si>
  <si>
    <t>SM-A266B BRACKET DIE CASTING MOLD 1CAV (CORE SET)/ Nhân 1Cav khuôn đúc nhôm (Material: Dievar)</t>
  </si>
  <si>
    <t>MCVN-891</t>
  </si>
  <si>
    <t>SM-A176B BRACKET DIE CASTING MOLD 2 CAV (LOWER CORE)/ Chi tiết khuôn bằng thép ( 1 tấm lõi khuôn dưới)</t>
  </si>
  <si>
    <t>MCVN-892</t>
  </si>
  <si>
    <t>MCVN-893</t>
  </si>
  <si>
    <t>SM- A176B BRACKET DIE CASTING MOLD 2CAV (FULL SET)/ Khuôn đúc nhôm SM- A176B BRACKET/ Maker: SONGJIA</t>
  </si>
  <si>
    <t>MCVN-894</t>
  </si>
  <si>
    <t>SM- A176B BRACKET Degating mold/ Khuôn cắt gate SM- A176B BRACKET/ Maker: SONGJIA</t>
  </si>
  <si>
    <t>MCVN-895</t>
  </si>
  <si>
    <t>SM-A266B BRACKET DIE CASTING MOLD 2CAV  (CORE SET)/Chi tiết khuôn bằng thép (lõi khuôn trên và lõi khuôn dưới)</t>
  </si>
  <si>
    <t>TOTAL</t>
  </si>
  <si>
    <t>TB</t>
  </si>
  <si>
    <t>Mold</t>
    <phoneticPr fontId="2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</si>
</sst>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0.00_-;\-* #,##0.00_-;_-* &quot;-&quot;??_-;_-@_-"/>
    <numFmt numFmtId="176" formatCode="_(* #,##0_);_(* \(#,##0\);_(* &quot;-&quot;_);_(@_)"/>
    <numFmt numFmtId="177" formatCode="_(&quot;$&quot;* #,##0.00_);_(&quot;$&quot;* \(#,##0.00\);_(&quot;$&quot;* &quot;-&quot;??_);_(@_)"/>
    <numFmt numFmtId="178" formatCode="_(* #,##0.00_);_(* \(#,##0.00\);_(* &quot;-&quot;??_);_(@_)"/>
    <numFmt numFmtId="179" formatCode="[$-409]d\-mmm\-yyyy;@"/>
    <numFmt numFmtId="180" formatCode="#,##0.000000"/>
    <numFmt numFmtId="181" formatCode="_(* #,##0_);_(* \(#,##0\);_(* &quot;-&quot;??_);_(@_)"/>
    <numFmt numFmtId="182" formatCode="#,##0.000000000000000000"/>
    <numFmt numFmtId="183" formatCode="0_ "/>
    <numFmt numFmtId="184" formatCode="_(* #,##0.00000000000_);_(* \(#,##0.00000000000\);_(* &quot;-&quot;??_);_(@_)"/>
    <numFmt numFmtId="185" formatCode="_(* #,##0.0_);_(* \(#,##0.0\);_(* &quot;-&quot;??_);_(@_)"/>
    <numFmt numFmtId="186" formatCode="_(* #,##0.0000_);_(* \(#,##0.0000\);_(* &quot;-&quot;??_);_(@_)"/>
  </numFmts>
  <fonts count="26">
    <font>
      <sz val="11"/>
      <color theme="1"/>
      <name val="맑은 고딕"/>
      <family val="2"/>
      <scheme val="minor"/>
    </font>
    <font>
      <sz val="11"/>
      <color theme="1"/>
      <name val="맑은 고딕"/>
      <family val="2"/>
      <scheme val="minor"/>
    </font>
    <font>
      <sz val="10"/>
      <name val="Arial"/>
      <family val="2"/>
    </font>
    <font>
      <b/>
      <sz val="14"/>
      <name val="Arial"/>
      <family val="2"/>
    </font>
    <font>
      <b/>
      <sz val="10"/>
      <name val="Arial"/>
      <family val="2"/>
    </font>
    <font>
      <sz val="10"/>
      <color rgb="FFFF0000"/>
      <name val="Arial"/>
      <family val="2"/>
    </font>
    <font>
      <sz val="10"/>
      <color rgb="FF0000FF"/>
      <name val="Arial"/>
      <family val="2"/>
    </font>
    <font>
      <b/>
      <sz val="9"/>
      <name val="Arial"/>
      <family val="2"/>
    </font>
    <font>
      <b/>
      <sz val="9"/>
      <color rgb="FFFF0000"/>
      <name val="Arial"/>
      <family val="2"/>
    </font>
    <font>
      <sz val="9"/>
      <name val="Arial"/>
      <family val="2"/>
    </font>
    <font>
      <b/>
      <sz val="8"/>
      <color rgb="FF0000FF"/>
      <name val="Arial"/>
      <family val="2"/>
    </font>
    <font>
      <b/>
      <sz val="8"/>
      <name val="Arial"/>
      <family val="2"/>
    </font>
    <font>
      <i/>
      <sz val="10"/>
      <name val="Arial"/>
      <family val="2"/>
    </font>
    <font>
      <i/>
      <sz val="10"/>
      <color rgb="FFFF0000"/>
      <name val="Arial"/>
      <family val="2"/>
    </font>
    <font>
      <i/>
      <sz val="10"/>
      <color rgb="FF0000FF"/>
      <name val="Arial"/>
      <family val="2"/>
    </font>
    <font>
      <b/>
      <i/>
      <sz val="10"/>
      <name val="Arial"/>
      <family val="2"/>
    </font>
    <font>
      <sz val="10"/>
      <color theme="1"/>
      <name val="Arial"/>
      <family val="2"/>
    </font>
    <font>
      <sz val="10"/>
      <name val=".VnArial"/>
      <family val="2"/>
    </font>
    <font>
      <b/>
      <sz val="10"/>
      <color rgb="FFFF0000"/>
      <name val="Arial"/>
      <family val="2"/>
    </font>
    <font>
      <sz val="11"/>
      <color theme="1"/>
      <name val="Times New Roman"/>
      <family val="1"/>
    </font>
    <font>
      <sz val="11"/>
      <name val="맑은 고딕"/>
      <family val="2"/>
      <scheme val="minor"/>
    </font>
    <font>
      <sz val="9"/>
      <color rgb="FFFF0000"/>
      <name val="Arial"/>
      <family val="2"/>
    </font>
    <font>
      <sz val="9"/>
      <color theme="1"/>
      <name val="Arial"/>
      <family val="2"/>
    </font>
    <font>
      <b/>
      <sz val="9"/>
      <color indexed="81"/>
      <name val="Tahoma"/>
      <family val="2"/>
    </font>
    <font>
      <sz val="9"/>
      <color indexed="81"/>
      <name val="Tahoma"/>
      <family val="2"/>
    </font>
    <font>
      <sz val="8"/>
      <name val="맑은 고딕"/>
      <family val="3"/>
      <charset val="129"/>
      <scheme val="minor"/>
    </font>
  </fonts>
  <fills count="12">
    <fill>
      <patternFill patternType="none"/>
    </fill>
    <fill>
      <patternFill patternType="gray125"/>
    </fill>
    <fill>
      <patternFill patternType="solid">
        <fgColor theme="9" tint="0.39997558519241921"/>
        <bgColor indexed="64"/>
      </patternFill>
    </fill>
    <fill>
      <patternFill patternType="solid">
        <fgColor theme="7" tint="0.59999389629810485"/>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rgb="FFFFFF00"/>
        <bgColor indexed="64"/>
      </patternFill>
    </fill>
    <fill>
      <patternFill patternType="solid">
        <fgColor rgb="FF92D050"/>
        <bgColor indexed="64"/>
      </patternFill>
    </fill>
    <fill>
      <patternFill patternType="solid">
        <fgColor theme="6" tint="0.39997558519241921"/>
        <bgColor indexed="64"/>
      </patternFill>
    </fill>
    <fill>
      <patternFill patternType="solid">
        <fgColor theme="3" tint="0.79998168889431442"/>
        <bgColor indexed="64"/>
      </patternFill>
    </fill>
    <fill>
      <patternFill patternType="solid">
        <fgColor theme="5" tint="0.79998168889431442"/>
        <bgColor indexed="64"/>
      </patternFill>
    </fill>
    <fill>
      <patternFill patternType="solid">
        <fgColor theme="0"/>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bottom style="thin">
        <color auto="1"/>
      </bottom>
      <diagonal/>
    </border>
    <border>
      <left style="thin">
        <color indexed="64"/>
      </left>
      <right style="thin">
        <color indexed="64"/>
      </right>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top style="thin">
        <color indexed="64"/>
      </top>
      <bottom/>
      <diagonal/>
    </border>
  </borders>
  <cellStyleXfs count="8">
    <xf numFmtId="0" fontId="0" fillId="0" borderId="0"/>
    <xf numFmtId="178" fontId="1" fillId="0" borderId="0" applyFont="0" applyFill="0" applyBorder="0" applyAlignment="0" applyProtection="0"/>
    <xf numFmtId="177" fontId="1" fillId="0" borderId="0" applyFont="0" applyFill="0" applyBorder="0" applyAlignment="0" applyProtection="0"/>
    <xf numFmtId="0" fontId="2" fillId="0" borderId="0"/>
    <xf numFmtId="178" fontId="2" fillId="0" borderId="0" applyFont="0" applyFill="0" applyBorder="0" applyAlignment="0" applyProtection="0"/>
    <xf numFmtId="0" fontId="17" fillId="0" borderId="0"/>
    <xf numFmtId="43" fontId="1" fillId="0" borderId="0" applyFont="0" applyFill="0" applyBorder="0" applyAlignment="0" applyProtection="0"/>
    <xf numFmtId="0" fontId="2" fillId="0" borderId="0"/>
  </cellStyleXfs>
  <cellXfs count="248">
    <xf numFmtId="0" fontId="0" fillId="0" borderId="0" xfId="0"/>
    <xf numFmtId="0" fontId="3" fillId="0" borderId="0" xfId="3" applyFont="1" applyAlignment="1">
      <alignment horizontal="left" vertical="center"/>
    </xf>
    <xf numFmtId="0" fontId="4" fillId="0" borderId="0" xfId="3" applyFont="1" applyAlignment="1">
      <alignment horizontal="left" vertical="center"/>
    </xf>
    <xf numFmtId="0" fontId="2" fillId="0" borderId="0" xfId="3" applyAlignment="1">
      <alignment horizontal="left" vertical="center"/>
    </xf>
    <xf numFmtId="0" fontId="2" fillId="0" borderId="0" xfId="3" applyAlignment="1">
      <alignment horizontal="left"/>
    </xf>
    <xf numFmtId="0" fontId="2" fillId="0" borderId="0" xfId="3" applyAlignment="1">
      <alignment horizontal="center" vertical="center"/>
    </xf>
    <xf numFmtId="0" fontId="5" fillId="0" borderId="0" xfId="3" applyFont="1" applyAlignment="1">
      <alignment horizontal="left" vertical="center"/>
    </xf>
    <xf numFmtId="0" fontId="5" fillId="0" borderId="0" xfId="3" applyFont="1" applyAlignment="1">
      <alignment horizontal="center" vertical="center"/>
    </xf>
    <xf numFmtId="179" fontId="2" fillId="0" borderId="0" xfId="3" applyNumberFormat="1" applyAlignment="1">
      <alignment horizontal="left" vertical="center"/>
    </xf>
    <xf numFmtId="14" fontId="2" fillId="0" borderId="0" xfId="3" applyNumberFormat="1" applyAlignment="1">
      <alignment horizontal="center" vertical="center"/>
    </xf>
    <xf numFmtId="3" fontId="2" fillId="0" borderId="0" xfId="3" applyNumberFormat="1" applyAlignment="1">
      <alignment horizontal="center" vertical="center"/>
    </xf>
    <xf numFmtId="4" fontId="2" fillId="0" borderId="0" xfId="4" applyNumberFormat="1" applyFont="1" applyFill="1" applyAlignment="1">
      <alignment vertical="center"/>
    </xf>
    <xf numFmtId="177" fontId="2" fillId="0" borderId="0" xfId="2" applyFont="1" applyFill="1" applyAlignment="1">
      <alignment vertical="center"/>
    </xf>
    <xf numFmtId="4" fontId="2" fillId="0" borderId="0" xfId="3" applyNumberFormat="1" applyAlignment="1">
      <alignment vertical="center"/>
    </xf>
    <xf numFmtId="0" fontId="2" fillId="0" borderId="0" xfId="3" applyAlignment="1">
      <alignment vertical="center"/>
    </xf>
    <xf numFmtId="180" fontId="2" fillId="0" borderId="0" xfId="3" applyNumberFormat="1" applyAlignment="1">
      <alignment vertical="center"/>
    </xf>
    <xf numFmtId="0" fontId="6" fillId="0" borderId="0" xfId="3" applyFont="1" applyAlignment="1">
      <alignment horizontal="center" vertical="center"/>
    </xf>
    <xf numFmtId="178" fontId="6" fillId="0" borderId="0" xfId="3" applyNumberFormat="1" applyFont="1" applyAlignment="1">
      <alignment horizontal="center" vertical="center"/>
    </xf>
    <xf numFmtId="181" fontId="6" fillId="0" borderId="0" xfId="3" applyNumberFormat="1" applyFont="1" applyAlignment="1">
      <alignment horizontal="center" vertical="center"/>
    </xf>
    <xf numFmtId="182" fontId="2" fillId="0" borderId="0" xfId="3" applyNumberFormat="1" applyAlignment="1">
      <alignment vertical="center"/>
    </xf>
    <xf numFmtId="0" fontId="7" fillId="2" borderId="2" xfId="3" applyFont="1" applyFill="1" applyBorder="1" applyAlignment="1">
      <alignment horizontal="center" vertical="center"/>
    </xf>
    <xf numFmtId="0" fontId="7" fillId="3" borderId="1" xfId="3" applyFont="1" applyFill="1" applyBorder="1" applyAlignment="1">
      <alignment horizontal="center" vertical="center" wrapText="1"/>
    </xf>
    <xf numFmtId="0" fontId="7" fillId="3" borderId="3" xfId="3" applyFont="1" applyFill="1" applyBorder="1" applyAlignment="1">
      <alignment horizontal="center" vertical="center" wrapText="1"/>
    </xf>
    <xf numFmtId="0" fontId="9" fillId="5" borderId="3" xfId="3" applyFont="1" applyFill="1" applyBorder="1" applyAlignment="1">
      <alignment horizontal="centerContinuous" vertical="center"/>
    </xf>
    <xf numFmtId="0" fontId="9" fillId="5" borderId="4" xfId="3" applyFont="1" applyFill="1" applyBorder="1" applyAlignment="1">
      <alignment horizontal="centerContinuous" vertical="center"/>
    </xf>
    <xf numFmtId="0" fontId="9" fillId="0" borderId="0" xfId="3" applyFont="1" applyAlignment="1">
      <alignment horizontal="center" vertical="center"/>
    </xf>
    <xf numFmtId="0" fontId="7" fillId="2" borderId="5" xfId="3" applyFont="1" applyFill="1" applyBorder="1" applyAlignment="1">
      <alignment horizontal="center" vertical="center"/>
    </xf>
    <xf numFmtId="179" fontId="7" fillId="3" borderId="1" xfId="3" applyNumberFormat="1" applyFont="1" applyFill="1" applyBorder="1" applyAlignment="1">
      <alignment horizontal="left" vertical="center"/>
    </xf>
    <xf numFmtId="4" fontId="7" fillId="3" borderId="1" xfId="4" applyNumberFormat="1" applyFont="1" applyFill="1" applyBorder="1" applyAlignment="1">
      <alignment horizontal="center" vertical="center"/>
    </xf>
    <xf numFmtId="177" fontId="7" fillId="3" borderId="1" xfId="2" applyFont="1" applyFill="1" applyBorder="1" applyAlignment="1">
      <alignment horizontal="center" vertical="center" wrapText="1"/>
    </xf>
    <xf numFmtId="0" fontId="10" fillId="4" borderId="2" xfId="3" applyFont="1" applyFill="1" applyBorder="1" applyAlignment="1">
      <alignment horizontal="center" vertical="center" wrapText="1"/>
    </xf>
    <xf numFmtId="3" fontId="11" fillId="4" borderId="2" xfId="3" applyNumberFormat="1" applyFont="1" applyFill="1" applyBorder="1" applyAlignment="1">
      <alignment horizontal="center" vertical="center" wrapText="1"/>
    </xf>
    <xf numFmtId="0" fontId="7" fillId="5" borderId="1" xfId="3" applyFont="1" applyFill="1" applyBorder="1" applyAlignment="1">
      <alignment horizontal="center" vertical="center" wrapText="1"/>
    </xf>
    <xf numFmtId="0" fontId="12" fillId="2" borderId="2" xfId="3" applyFont="1" applyFill="1" applyBorder="1" applyAlignment="1">
      <alignment horizontal="center" vertical="center" wrapText="1"/>
    </xf>
    <xf numFmtId="0" fontId="12" fillId="2" borderId="2" xfId="3" applyFont="1" applyFill="1" applyBorder="1" applyAlignment="1">
      <alignment horizontal="center" vertical="center"/>
    </xf>
    <xf numFmtId="0" fontId="12" fillId="2" borderId="2" xfId="3" applyFont="1" applyFill="1" applyBorder="1" applyAlignment="1">
      <alignment horizontal="left"/>
    </xf>
    <xf numFmtId="0" fontId="13" fillId="2" borderId="2" xfId="3" applyFont="1" applyFill="1" applyBorder="1" applyAlignment="1">
      <alignment horizontal="left" vertical="center" wrapText="1"/>
    </xf>
    <xf numFmtId="0" fontId="12" fillId="3" borderId="2" xfId="3" applyFont="1" applyFill="1" applyBorder="1" applyAlignment="1">
      <alignment horizontal="center" vertical="center"/>
    </xf>
    <xf numFmtId="0" fontId="12" fillId="3" borderId="2" xfId="3" applyFont="1" applyFill="1" applyBorder="1" applyAlignment="1">
      <alignment horizontal="center" vertical="center" wrapText="1"/>
    </xf>
    <xf numFmtId="0" fontId="12" fillId="3" borderId="2" xfId="3" applyFont="1" applyFill="1" applyBorder="1" applyAlignment="1">
      <alignment horizontal="left" vertical="center" wrapText="1"/>
    </xf>
    <xf numFmtId="4" fontId="12" fillId="3" borderId="2" xfId="3" applyNumberFormat="1" applyFont="1" applyFill="1" applyBorder="1" applyAlignment="1">
      <alignment horizontal="center" vertical="center" wrapText="1"/>
    </xf>
    <xf numFmtId="0" fontId="14" fillId="4" borderId="2" xfId="3" applyFont="1" applyFill="1" applyBorder="1" applyAlignment="1">
      <alignment horizontal="center" vertical="center" wrapText="1"/>
    </xf>
    <xf numFmtId="0" fontId="12" fillId="4" borderId="2" xfId="3" applyFont="1" applyFill="1" applyBorder="1" applyAlignment="1">
      <alignment horizontal="center" vertical="center" wrapText="1"/>
    </xf>
    <xf numFmtId="0" fontId="15" fillId="5" borderId="6" xfId="3" applyFont="1" applyFill="1" applyBorder="1" applyAlignment="1">
      <alignment horizontal="center" vertical="center"/>
    </xf>
    <xf numFmtId="0" fontId="12" fillId="0" borderId="0" xfId="3" applyFont="1" applyAlignment="1">
      <alignment horizontal="center" vertical="center"/>
    </xf>
    <xf numFmtId="0" fontId="16" fillId="0" borderId="7" xfId="3" applyFont="1" applyBorder="1" applyAlignment="1">
      <alignment horizontal="center" vertical="center" wrapText="1"/>
    </xf>
    <xf numFmtId="0" fontId="16" fillId="0" borderId="7" xfId="3" applyFont="1" applyBorder="1" applyAlignment="1">
      <alignment horizontal="left" vertical="center" wrapText="1"/>
    </xf>
    <xf numFmtId="0" fontId="16" fillId="0" borderId="7" xfId="3" applyFont="1" applyBorder="1" applyAlignment="1">
      <alignment horizontal="left" vertical="center"/>
    </xf>
    <xf numFmtId="183" fontId="16" fillId="0" borderId="7" xfId="5" applyNumberFormat="1" applyFont="1" applyBorder="1" applyAlignment="1">
      <alignment horizontal="left" vertical="center"/>
    </xf>
    <xf numFmtId="181" fontId="16" fillId="0" borderId="7" xfId="6" applyNumberFormat="1" applyFont="1" applyFill="1" applyBorder="1" applyAlignment="1">
      <alignment horizontal="center"/>
    </xf>
    <xf numFmtId="49" fontId="16" fillId="0" borderId="7" xfId="3" applyNumberFormat="1" applyFont="1" applyBorder="1" applyAlignment="1">
      <alignment horizontal="center" vertical="center" wrapText="1"/>
    </xf>
    <xf numFmtId="0" fontId="16" fillId="0" borderId="7" xfId="3" quotePrefix="1" applyFont="1" applyBorder="1" applyAlignment="1">
      <alignment horizontal="center" vertical="center" wrapText="1"/>
    </xf>
    <xf numFmtId="0" fontId="16" fillId="0" borderId="7" xfId="5" applyFont="1" applyBorder="1" applyAlignment="1">
      <alignment horizontal="center" vertical="center" wrapText="1"/>
    </xf>
    <xf numFmtId="0" fontId="16" fillId="0" borderId="7" xfId="5" applyFont="1" applyBorder="1" applyAlignment="1">
      <alignment horizontal="left" vertical="center" wrapText="1"/>
    </xf>
    <xf numFmtId="183" fontId="16" fillId="0" borderId="7" xfId="5" applyNumberFormat="1" applyFont="1" applyBorder="1" applyAlignment="1">
      <alignment horizontal="center" vertical="center" wrapText="1"/>
    </xf>
    <xf numFmtId="179" fontId="16" fillId="0" borderId="7" xfId="0" applyNumberFormat="1" applyFont="1" applyBorder="1" applyAlignment="1">
      <alignment horizontal="left" vertical="center" wrapText="1"/>
    </xf>
    <xf numFmtId="1" fontId="16" fillId="0" borderId="7" xfId="7" applyNumberFormat="1" applyFont="1" applyBorder="1" applyAlignment="1">
      <alignment horizontal="center" vertical="center" wrapText="1"/>
    </xf>
    <xf numFmtId="4" fontId="16" fillId="0" borderId="7" xfId="0" applyNumberFormat="1" applyFont="1" applyBorder="1" applyAlignment="1">
      <alignment horizontal="right" vertical="center" wrapText="1"/>
    </xf>
    <xf numFmtId="177" fontId="16" fillId="0" borderId="7" xfId="2" applyFont="1" applyFill="1" applyBorder="1" applyAlignment="1">
      <alignment horizontal="right" vertical="center" wrapText="1"/>
    </xf>
    <xf numFmtId="4" fontId="16" fillId="0" borderId="7" xfId="4" applyNumberFormat="1" applyFont="1" applyFill="1" applyBorder="1" applyAlignment="1">
      <alignment horizontal="right" vertical="center" wrapText="1"/>
    </xf>
    <xf numFmtId="3" fontId="16" fillId="0" borderId="7" xfId="3" applyNumberFormat="1" applyFont="1" applyBorder="1" applyAlignment="1">
      <alignment horizontal="right" vertical="center" wrapText="1"/>
    </xf>
    <xf numFmtId="181" fontId="16" fillId="0" borderId="7" xfId="4" applyNumberFormat="1" applyFont="1" applyFill="1" applyBorder="1" applyAlignment="1">
      <alignment horizontal="right" vertical="center" wrapText="1"/>
    </xf>
    <xf numFmtId="176" fontId="16" fillId="0" borderId="7" xfId="3" applyNumberFormat="1" applyFont="1" applyBorder="1" applyAlignment="1">
      <alignment horizontal="right" vertical="center" wrapText="1"/>
    </xf>
    <xf numFmtId="176" fontId="4" fillId="5" borderId="7" xfId="3" applyNumberFormat="1" applyFont="1" applyFill="1" applyBorder="1" applyAlignment="1">
      <alignment vertical="center" wrapText="1"/>
    </xf>
    <xf numFmtId="178" fontId="4" fillId="5" borderId="7" xfId="3" applyNumberFormat="1" applyFont="1" applyFill="1" applyBorder="1" applyAlignment="1">
      <alignment vertical="center" wrapText="1"/>
    </xf>
    <xf numFmtId="178" fontId="2" fillId="0" borderId="0" xfId="3" applyNumberFormat="1" applyAlignment="1">
      <alignment vertical="center" wrapText="1"/>
    </xf>
    <xf numFmtId="181" fontId="2" fillId="0" borderId="0" xfId="3" applyNumberFormat="1" applyAlignment="1">
      <alignment vertical="center" wrapText="1"/>
    </xf>
    <xf numFmtId="0" fontId="2" fillId="0" borderId="0" xfId="3" applyAlignment="1">
      <alignment vertical="center" wrapText="1"/>
    </xf>
    <xf numFmtId="0" fontId="16" fillId="0" borderId="8" xfId="3" applyFont="1" applyBorder="1" applyAlignment="1">
      <alignment horizontal="center" vertical="center" wrapText="1"/>
    </xf>
    <xf numFmtId="0" fontId="16" fillId="0" borderId="8" xfId="3" applyFont="1" applyBorder="1" applyAlignment="1">
      <alignment horizontal="left" vertical="center" wrapText="1"/>
    </xf>
    <xf numFmtId="0" fontId="16" fillId="0" borderId="8" xfId="3" applyFont="1" applyBorder="1" applyAlignment="1">
      <alignment horizontal="left" vertical="center"/>
    </xf>
    <xf numFmtId="183" fontId="16" fillId="0" borderId="8" xfId="5" applyNumberFormat="1" applyFont="1" applyBorder="1" applyAlignment="1">
      <alignment horizontal="left" vertical="center"/>
    </xf>
    <xf numFmtId="181" fontId="16" fillId="0" borderId="8" xfId="6" applyNumberFormat="1" applyFont="1" applyFill="1" applyBorder="1" applyAlignment="1">
      <alignment horizontal="center"/>
    </xf>
    <xf numFmtId="49" fontId="16" fillId="0" borderId="8" xfId="3" applyNumberFormat="1" applyFont="1" applyBorder="1" applyAlignment="1">
      <alignment horizontal="center" vertical="center" wrapText="1"/>
    </xf>
    <xf numFmtId="0" fontId="16" fillId="0" borderId="8" xfId="3" quotePrefix="1" applyFont="1" applyBorder="1" applyAlignment="1">
      <alignment horizontal="center" vertical="center" wrapText="1"/>
    </xf>
    <xf numFmtId="0" fontId="16" fillId="0" borderId="8" xfId="5" applyFont="1" applyBorder="1" applyAlignment="1">
      <alignment horizontal="center" vertical="center" wrapText="1"/>
    </xf>
    <xf numFmtId="0" fontId="16" fillId="0" borderId="8" xfId="5" applyFont="1" applyBorder="1" applyAlignment="1">
      <alignment horizontal="left" vertical="center" wrapText="1"/>
    </xf>
    <xf numFmtId="183" fontId="16" fillId="0" borderId="8" xfId="5" applyNumberFormat="1" applyFont="1" applyBorder="1" applyAlignment="1">
      <alignment horizontal="center" vertical="center" wrapText="1"/>
    </xf>
    <xf numFmtId="179" fontId="16" fillId="0" borderId="8" xfId="0" applyNumberFormat="1" applyFont="1" applyBorder="1" applyAlignment="1">
      <alignment horizontal="left" vertical="center" wrapText="1"/>
    </xf>
    <xf numFmtId="1" fontId="16" fillId="0" borderId="8" xfId="7" applyNumberFormat="1" applyFont="1" applyBorder="1" applyAlignment="1">
      <alignment horizontal="center" vertical="center" wrapText="1"/>
    </xf>
    <xf numFmtId="4" fontId="16" fillId="0" borderId="8" xfId="0" applyNumberFormat="1" applyFont="1" applyBorder="1" applyAlignment="1">
      <alignment horizontal="right" vertical="center" wrapText="1"/>
    </xf>
    <xf numFmtId="177" fontId="16" fillId="0" borderId="8" xfId="2" applyFont="1" applyFill="1" applyBorder="1" applyAlignment="1">
      <alignment horizontal="right" vertical="center" wrapText="1"/>
    </xf>
    <xf numFmtId="4" fontId="16" fillId="0" borderId="8" xfId="4" applyNumberFormat="1" applyFont="1" applyFill="1" applyBorder="1" applyAlignment="1">
      <alignment horizontal="right" vertical="center" wrapText="1"/>
    </xf>
    <xf numFmtId="3" fontId="16" fillId="0" borderId="8" xfId="3" applyNumberFormat="1" applyFont="1" applyBorder="1" applyAlignment="1">
      <alignment horizontal="right" vertical="center" wrapText="1"/>
    </xf>
    <xf numFmtId="181" fontId="16" fillId="0" borderId="8" xfId="4" applyNumberFormat="1" applyFont="1" applyFill="1" applyBorder="1" applyAlignment="1">
      <alignment horizontal="right" vertical="center" wrapText="1"/>
    </xf>
    <xf numFmtId="176" fontId="16" fillId="0" borderId="8" xfId="3" applyNumberFormat="1" applyFont="1" applyBorder="1" applyAlignment="1">
      <alignment horizontal="right" vertical="center" wrapText="1"/>
    </xf>
    <xf numFmtId="176" fontId="4" fillId="5" borderId="8" xfId="3" applyNumberFormat="1" applyFont="1" applyFill="1" applyBorder="1" applyAlignment="1">
      <alignment vertical="center" wrapText="1"/>
    </xf>
    <xf numFmtId="178" fontId="4" fillId="5" borderId="8" xfId="3" applyNumberFormat="1" applyFont="1" applyFill="1" applyBorder="1" applyAlignment="1">
      <alignment vertical="center" wrapText="1"/>
    </xf>
    <xf numFmtId="0" fontId="16" fillId="0" borderId="8" xfId="0" applyFont="1" applyBorder="1"/>
    <xf numFmtId="181" fontId="16" fillId="0" borderId="8" xfId="6" quotePrefix="1" applyNumberFormat="1" applyFont="1" applyFill="1" applyBorder="1" applyAlignment="1">
      <alignment horizontal="center"/>
    </xf>
    <xf numFmtId="179" fontId="16" fillId="0" borderId="8" xfId="3" applyNumberFormat="1" applyFont="1" applyBorder="1" applyAlignment="1">
      <alignment horizontal="left" vertical="center" wrapText="1"/>
    </xf>
    <xf numFmtId="4" fontId="16" fillId="0" borderId="8" xfId="0" applyNumberFormat="1" applyFont="1" applyBorder="1"/>
    <xf numFmtId="181" fontId="16" fillId="0" borderId="8" xfId="6" quotePrefix="1" applyNumberFormat="1" applyFont="1" applyFill="1" applyBorder="1" applyAlignment="1">
      <alignment horizontal="left"/>
    </xf>
    <xf numFmtId="0" fontId="5" fillId="0" borderId="8" xfId="0" applyFont="1" applyBorder="1"/>
    <xf numFmtId="179" fontId="16" fillId="0" borderId="8" xfId="5" applyNumberFormat="1" applyFont="1" applyBorder="1" applyAlignment="1">
      <alignment horizontal="left" vertical="center"/>
    </xf>
    <xf numFmtId="0" fontId="5" fillId="0" borderId="8" xfId="3" quotePrefix="1" applyFont="1" applyBorder="1" applyAlignment="1">
      <alignment horizontal="left" vertical="center" wrapText="1"/>
    </xf>
    <xf numFmtId="184" fontId="16" fillId="0" borderId="8" xfId="4" applyNumberFormat="1" applyFont="1" applyFill="1" applyBorder="1" applyAlignment="1">
      <alignment horizontal="right" vertical="center" wrapText="1"/>
    </xf>
    <xf numFmtId="181" fontId="16" fillId="0" borderId="8" xfId="1" applyNumberFormat="1" applyFont="1" applyFill="1" applyBorder="1" applyAlignment="1"/>
    <xf numFmtId="0" fontId="16" fillId="5" borderId="8" xfId="0" applyFont="1" applyFill="1" applyBorder="1"/>
    <xf numFmtId="0" fontId="9" fillId="5" borderId="8" xfId="0" applyFont="1" applyFill="1" applyBorder="1"/>
    <xf numFmtId="3" fontId="5" fillId="0" borderId="8" xfId="3" applyNumberFormat="1" applyFont="1" applyBorder="1" applyAlignment="1">
      <alignment horizontal="right" vertical="center" wrapText="1"/>
    </xf>
    <xf numFmtId="179" fontId="16" fillId="0" borderId="8" xfId="0" applyNumberFormat="1" applyFont="1" applyBorder="1"/>
    <xf numFmtId="0" fontId="2" fillId="0" borderId="8" xfId="0" applyFont="1" applyBorder="1"/>
    <xf numFmtId="183" fontId="2" fillId="0" borderId="8" xfId="5" applyNumberFormat="1" applyFont="1" applyBorder="1" applyAlignment="1">
      <alignment horizontal="left" vertical="center"/>
    </xf>
    <xf numFmtId="181" fontId="2" fillId="0" borderId="8" xfId="6" quotePrefix="1" applyNumberFormat="1" applyFont="1" applyFill="1" applyBorder="1" applyAlignment="1">
      <alignment horizontal="center"/>
    </xf>
    <xf numFmtId="179" fontId="2" fillId="0" borderId="8" xfId="0" applyNumberFormat="1" applyFont="1" applyBorder="1"/>
    <xf numFmtId="0" fontId="2" fillId="0" borderId="8" xfId="3" applyBorder="1" applyAlignment="1">
      <alignment horizontal="center" vertical="center" wrapText="1"/>
    </xf>
    <xf numFmtId="0" fontId="2" fillId="0" borderId="8" xfId="3" applyBorder="1" applyAlignment="1">
      <alignment horizontal="left" vertical="center"/>
    </xf>
    <xf numFmtId="183" fontId="2" fillId="0" borderId="8" xfId="5" applyNumberFormat="1" applyFont="1" applyBorder="1" applyAlignment="1">
      <alignment horizontal="center" vertical="center" wrapText="1"/>
    </xf>
    <xf numFmtId="179" fontId="2" fillId="0" borderId="8" xfId="3" applyNumberFormat="1" applyBorder="1" applyAlignment="1">
      <alignment horizontal="left" vertical="center" wrapText="1"/>
    </xf>
    <xf numFmtId="179" fontId="2" fillId="0" borderId="8" xfId="5" applyNumberFormat="1" applyFont="1" applyBorder="1" applyAlignment="1">
      <alignment horizontal="left" vertical="center"/>
    </xf>
    <xf numFmtId="1" fontId="2" fillId="0" borderId="8" xfId="7" applyNumberFormat="1" applyBorder="1" applyAlignment="1">
      <alignment horizontal="center" vertical="center" wrapText="1"/>
    </xf>
    <xf numFmtId="4" fontId="5" fillId="0" borderId="8" xfId="0" applyNumberFormat="1" applyFont="1" applyBorder="1"/>
    <xf numFmtId="177" fontId="2" fillId="0" borderId="8" xfId="2" applyFont="1" applyFill="1" applyBorder="1" applyAlignment="1">
      <alignment horizontal="right" vertical="center" wrapText="1"/>
    </xf>
    <xf numFmtId="4" fontId="2" fillId="0" borderId="8" xfId="4" applyNumberFormat="1" applyFont="1" applyFill="1" applyBorder="1" applyAlignment="1">
      <alignment horizontal="right" vertical="center" wrapText="1"/>
    </xf>
    <xf numFmtId="3" fontId="2" fillId="0" borderId="8" xfId="3" applyNumberFormat="1" applyBorder="1" applyAlignment="1">
      <alignment horizontal="right" vertical="center" wrapText="1"/>
    </xf>
    <xf numFmtId="176" fontId="5" fillId="0" borderId="8" xfId="3" applyNumberFormat="1" applyFont="1" applyBorder="1" applyAlignment="1">
      <alignment horizontal="right" vertical="center" wrapText="1"/>
    </xf>
    <xf numFmtId="181" fontId="5" fillId="0" borderId="8" xfId="4" applyNumberFormat="1" applyFont="1" applyFill="1" applyBorder="1" applyAlignment="1">
      <alignment horizontal="right" vertical="center" wrapText="1"/>
    </xf>
    <xf numFmtId="181" fontId="2" fillId="0" borderId="8" xfId="4" applyNumberFormat="1" applyFont="1" applyFill="1" applyBorder="1" applyAlignment="1">
      <alignment horizontal="right" vertical="center" wrapText="1"/>
    </xf>
    <xf numFmtId="0" fontId="5" fillId="0" borderId="0" xfId="3" applyFont="1" applyAlignment="1">
      <alignment vertical="center" wrapText="1"/>
    </xf>
    <xf numFmtId="0" fontId="2" fillId="0" borderId="8" xfId="3" quotePrefix="1" applyBorder="1" applyAlignment="1">
      <alignment horizontal="left" vertical="center" wrapText="1"/>
    </xf>
    <xf numFmtId="4" fontId="5" fillId="0" borderId="8" xfId="4" applyNumberFormat="1" applyFont="1" applyFill="1" applyBorder="1" applyAlignment="1">
      <alignment horizontal="right" vertical="center" wrapText="1"/>
    </xf>
    <xf numFmtId="1" fontId="5" fillId="0" borderId="8" xfId="7" applyNumberFormat="1" applyFont="1" applyBorder="1" applyAlignment="1">
      <alignment horizontal="center" vertical="center" wrapText="1"/>
    </xf>
    <xf numFmtId="4" fontId="2" fillId="0" borderId="8" xfId="0" applyNumberFormat="1" applyFont="1" applyBorder="1"/>
    <xf numFmtId="176" fontId="2" fillId="0" borderId="8" xfId="3" applyNumberFormat="1" applyBorder="1" applyAlignment="1">
      <alignment horizontal="right" vertical="center" wrapText="1"/>
    </xf>
    <xf numFmtId="0" fontId="5" fillId="0" borderId="8" xfId="3" applyFont="1" applyBorder="1" applyAlignment="1">
      <alignment horizontal="left" vertical="center" wrapText="1"/>
    </xf>
    <xf numFmtId="181" fontId="5" fillId="0" borderId="8" xfId="6" quotePrefix="1" applyNumberFormat="1" applyFont="1" applyFill="1" applyBorder="1" applyAlignment="1">
      <alignment horizontal="center"/>
    </xf>
    <xf numFmtId="179" fontId="5" fillId="0" borderId="8" xfId="0" applyNumberFormat="1" applyFont="1" applyBorder="1"/>
    <xf numFmtId="0" fontId="5" fillId="0" borderId="8" xfId="3" applyFont="1" applyBorder="1" applyAlignment="1">
      <alignment horizontal="center" vertical="center" wrapText="1"/>
    </xf>
    <xf numFmtId="0" fontId="5" fillId="0" borderId="8" xfId="3" applyFont="1" applyBorder="1" applyAlignment="1">
      <alignment horizontal="left" vertical="center"/>
    </xf>
    <xf numFmtId="183" fontId="5" fillId="0" borderId="8" xfId="5" applyNumberFormat="1" applyFont="1" applyBorder="1" applyAlignment="1">
      <alignment horizontal="center" vertical="center" wrapText="1"/>
    </xf>
    <xf numFmtId="179" fontId="5" fillId="6" borderId="8" xfId="3" applyNumberFormat="1" applyFont="1" applyFill="1" applyBorder="1" applyAlignment="1">
      <alignment horizontal="left" vertical="center" wrapText="1"/>
    </xf>
    <xf numFmtId="179" fontId="5" fillId="6" borderId="8" xfId="5" applyNumberFormat="1" applyFont="1" applyFill="1" applyBorder="1" applyAlignment="1">
      <alignment horizontal="left" vertical="center"/>
    </xf>
    <xf numFmtId="1" fontId="5" fillId="6" borderId="8" xfId="7" applyNumberFormat="1" applyFont="1" applyFill="1" applyBorder="1" applyAlignment="1">
      <alignment horizontal="center" vertical="center" wrapText="1"/>
    </xf>
    <xf numFmtId="177" fontId="5" fillId="0" borderId="8" xfId="2" applyFont="1" applyFill="1" applyBorder="1" applyAlignment="1">
      <alignment horizontal="right" vertical="center" wrapText="1"/>
    </xf>
    <xf numFmtId="3" fontId="5" fillId="6" borderId="8" xfId="3" applyNumberFormat="1" applyFont="1" applyFill="1" applyBorder="1" applyAlignment="1">
      <alignment horizontal="right" vertical="center" wrapText="1"/>
    </xf>
    <xf numFmtId="176" fontId="18" fillId="5" borderId="8" xfId="3" applyNumberFormat="1" applyFont="1" applyFill="1" applyBorder="1" applyAlignment="1">
      <alignment vertical="center" wrapText="1"/>
    </xf>
    <xf numFmtId="0" fontId="16" fillId="7" borderId="8" xfId="3" applyFont="1" applyFill="1" applyBorder="1" applyAlignment="1">
      <alignment horizontal="left" vertical="center" wrapText="1"/>
    </xf>
    <xf numFmtId="0" fontId="16" fillId="7" borderId="8" xfId="0" applyFont="1" applyFill="1" applyBorder="1"/>
    <xf numFmtId="176" fontId="16" fillId="6" borderId="8" xfId="3" applyNumberFormat="1" applyFont="1" applyFill="1" applyBorder="1" applyAlignment="1">
      <alignment horizontal="right" vertical="center" wrapText="1"/>
    </xf>
    <xf numFmtId="3" fontId="2" fillId="0" borderId="8" xfId="0" applyNumberFormat="1" applyFont="1" applyBorder="1"/>
    <xf numFmtId="0" fontId="16" fillId="6" borderId="8" xfId="3" applyFont="1" applyFill="1" applyBorder="1" applyAlignment="1">
      <alignment horizontal="center" vertical="center" wrapText="1"/>
    </xf>
    <xf numFmtId="0" fontId="16" fillId="6" borderId="8" xfId="0" applyFont="1" applyFill="1" applyBorder="1"/>
    <xf numFmtId="0" fontId="19" fillId="6" borderId="8" xfId="0" applyFont="1" applyFill="1" applyBorder="1" applyAlignment="1">
      <alignment vertical="center"/>
    </xf>
    <xf numFmtId="0" fontId="19" fillId="6" borderId="9" xfId="0" applyFont="1" applyFill="1" applyBorder="1" applyAlignment="1">
      <alignment vertical="center"/>
    </xf>
    <xf numFmtId="183" fontId="5" fillId="0" borderId="8" xfId="5" applyNumberFormat="1" applyFont="1" applyBorder="1" applyAlignment="1">
      <alignment horizontal="left" vertical="center"/>
    </xf>
    <xf numFmtId="179" fontId="5" fillId="0" borderId="8" xfId="3" applyNumberFormat="1" applyFont="1" applyBorder="1" applyAlignment="1">
      <alignment horizontal="left" vertical="center" wrapText="1"/>
    </xf>
    <xf numFmtId="179" fontId="5" fillId="0" borderId="8" xfId="5" applyNumberFormat="1" applyFont="1" applyBorder="1" applyAlignment="1">
      <alignment horizontal="left" vertical="center"/>
    </xf>
    <xf numFmtId="178" fontId="18" fillId="5" borderId="8" xfId="3" applyNumberFormat="1" applyFont="1" applyFill="1" applyBorder="1" applyAlignment="1">
      <alignment vertical="center" wrapText="1"/>
    </xf>
    <xf numFmtId="178" fontId="5" fillId="0" borderId="0" xfId="3" applyNumberFormat="1" applyFont="1" applyAlignment="1">
      <alignment vertical="center" wrapText="1"/>
    </xf>
    <xf numFmtId="0" fontId="0" fillId="0" borderId="8" xfId="0" applyBorder="1"/>
    <xf numFmtId="185" fontId="2" fillId="0" borderId="8" xfId="1" applyNumberFormat="1" applyFont="1" applyFill="1" applyBorder="1" applyAlignment="1">
      <alignment horizontal="center" vertical="center" wrapText="1"/>
    </xf>
    <xf numFmtId="176" fontId="16" fillId="2" borderId="8" xfId="3" applyNumberFormat="1" applyFont="1" applyFill="1" applyBorder="1" applyAlignment="1">
      <alignment horizontal="right" vertical="center" wrapText="1"/>
    </xf>
    <xf numFmtId="178" fontId="2" fillId="0" borderId="8" xfId="1" applyFont="1" applyFill="1" applyBorder="1" applyAlignment="1">
      <alignment horizontal="center" vertical="center" wrapText="1"/>
    </xf>
    <xf numFmtId="0" fontId="2" fillId="0" borderId="8" xfId="3" applyBorder="1" applyAlignment="1">
      <alignment horizontal="left" vertical="center" wrapText="1"/>
    </xf>
    <xf numFmtId="0" fontId="20" fillId="0" borderId="8" xfId="0" applyFont="1" applyBorder="1"/>
    <xf numFmtId="0" fontId="16" fillId="0" borderId="8" xfId="0" applyFont="1" applyBorder="1" applyAlignment="1">
      <alignment vertical="center"/>
    </xf>
    <xf numFmtId="0" fontId="0" fillId="0" borderId="8" xfId="0" applyBorder="1" applyAlignment="1">
      <alignment vertical="center"/>
    </xf>
    <xf numFmtId="181" fontId="2" fillId="0" borderId="8" xfId="6" quotePrefix="1" applyNumberFormat="1" applyFont="1" applyFill="1" applyBorder="1" applyAlignment="1">
      <alignment horizontal="center" vertical="center"/>
    </xf>
    <xf numFmtId="179" fontId="2" fillId="0" borderId="8" xfId="0" applyNumberFormat="1" applyFont="1" applyBorder="1" applyAlignment="1">
      <alignment vertical="center"/>
    </xf>
    <xf numFmtId="0" fontId="2" fillId="0" borderId="8" xfId="0" applyFont="1" applyBorder="1" applyAlignment="1">
      <alignment vertical="center"/>
    </xf>
    <xf numFmtId="4" fontId="2" fillId="0" borderId="8" xfId="0" applyNumberFormat="1" applyFont="1" applyBorder="1" applyAlignment="1">
      <alignment vertical="center"/>
    </xf>
    <xf numFmtId="0" fontId="5" fillId="0" borderId="8" xfId="0" applyFont="1" applyBorder="1" applyAlignment="1">
      <alignment vertical="center"/>
    </xf>
    <xf numFmtId="179" fontId="5" fillId="0" borderId="8" xfId="0" applyNumberFormat="1" applyFont="1" applyBorder="1" applyAlignment="1">
      <alignment vertical="center"/>
    </xf>
    <xf numFmtId="4" fontId="5" fillId="0" borderId="8" xfId="0" applyNumberFormat="1" applyFont="1" applyBorder="1" applyAlignment="1">
      <alignment vertical="center"/>
    </xf>
    <xf numFmtId="0" fontId="19" fillId="6" borderId="1" xfId="0" applyFont="1" applyFill="1" applyBorder="1" applyAlignment="1">
      <alignment vertical="center"/>
    </xf>
    <xf numFmtId="176" fontId="16" fillId="8" borderId="8" xfId="3" applyNumberFormat="1" applyFont="1" applyFill="1" applyBorder="1" applyAlignment="1">
      <alignment horizontal="right" vertical="center" wrapText="1"/>
    </xf>
    <xf numFmtId="176" fontId="2" fillId="9" borderId="8" xfId="3" applyNumberFormat="1" applyFill="1" applyBorder="1" applyAlignment="1">
      <alignment horizontal="right" vertical="center" wrapText="1"/>
    </xf>
    <xf numFmtId="178" fontId="4" fillId="5" borderId="8" xfId="1" applyFont="1" applyFill="1" applyBorder="1" applyAlignment="1">
      <alignment vertical="center" wrapText="1"/>
    </xf>
    <xf numFmtId="3" fontId="4" fillId="10" borderId="1" xfId="3" applyNumberFormat="1" applyFont="1" applyFill="1" applyBorder="1" applyAlignment="1">
      <alignment horizontal="center"/>
    </xf>
    <xf numFmtId="3" fontId="4" fillId="10" borderId="1" xfId="3" applyNumberFormat="1" applyFont="1" applyFill="1" applyBorder="1" applyAlignment="1">
      <alignment horizontal="left" vertical="center"/>
    </xf>
    <xf numFmtId="3" fontId="4" fillId="10" borderId="1" xfId="3" applyNumberFormat="1" applyFont="1" applyFill="1" applyBorder="1" applyAlignment="1">
      <alignment horizontal="left"/>
    </xf>
    <xf numFmtId="3" fontId="4" fillId="10" borderId="1" xfId="3" quotePrefix="1" applyNumberFormat="1" applyFont="1" applyFill="1" applyBorder="1" applyAlignment="1">
      <alignment horizontal="left"/>
    </xf>
    <xf numFmtId="3" fontId="4" fillId="10" borderId="1" xfId="3" applyNumberFormat="1" applyFont="1" applyFill="1" applyBorder="1" applyAlignment="1">
      <alignment horizontal="right"/>
    </xf>
    <xf numFmtId="3" fontId="4" fillId="0" borderId="0" xfId="3" applyNumberFormat="1" applyFont="1"/>
    <xf numFmtId="0" fontId="2" fillId="0" borderId="0" xfId="3" applyAlignment="1">
      <alignment horizontal="center" vertical="center" wrapText="1"/>
    </xf>
    <xf numFmtId="0" fontId="2" fillId="0" borderId="0" xfId="3" applyAlignment="1">
      <alignment horizontal="left" vertical="center" wrapText="1"/>
    </xf>
    <xf numFmtId="0" fontId="2" fillId="0" borderId="0" xfId="3" applyAlignment="1">
      <alignment horizontal="center"/>
    </xf>
    <xf numFmtId="179" fontId="2" fillId="0" borderId="0" xfId="3" applyNumberFormat="1" applyAlignment="1">
      <alignment horizontal="left"/>
    </xf>
    <xf numFmtId="1" fontId="16" fillId="0" borderId="10" xfId="7" applyNumberFormat="1" applyFont="1" applyBorder="1" applyAlignment="1">
      <alignment horizontal="center" vertical="center" wrapText="1"/>
    </xf>
    <xf numFmtId="3" fontId="2" fillId="0" borderId="0" xfId="3" applyNumberFormat="1" applyAlignment="1">
      <alignment horizontal="center"/>
    </xf>
    <xf numFmtId="4" fontId="2" fillId="0" borderId="0" xfId="4" applyNumberFormat="1" applyFont="1" applyFill="1"/>
    <xf numFmtId="177" fontId="2" fillId="0" borderId="0" xfId="2" applyFont="1" applyFill="1"/>
    <xf numFmtId="4" fontId="2" fillId="0" borderId="0" xfId="3" applyNumberFormat="1"/>
    <xf numFmtId="0" fontId="2" fillId="0" borderId="0" xfId="3"/>
    <xf numFmtId="181" fontId="2" fillId="0" borderId="0" xfId="1" applyNumberFormat="1" applyFont="1" applyFill="1"/>
    <xf numFmtId="181" fontId="6" fillId="0" borderId="0" xfId="3" applyNumberFormat="1" applyFont="1" applyAlignment="1">
      <alignment horizontal="center"/>
    </xf>
    <xf numFmtId="181" fontId="2" fillId="0" borderId="0" xfId="1" applyNumberFormat="1" applyFont="1" applyFill="1" applyAlignment="1">
      <alignment horizontal="center"/>
    </xf>
    <xf numFmtId="3" fontId="6" fillId="0" borderId="0" xfId="3" applyNumberFormat="1" applyFont="1" applyAlignment="1">
      <alignment horizontal="center"/>
    </xf>
    <xf numFmtId="3" fontId="5" fillId="0" borderId="0" xfId="3" applyNumberFormat="1" applyFont="1"/>
    <xf numFmtId="178" fontId="6" fillId="0" borderId="0" xfId="1" applyFont="1" applyFill="1" applyAlignment="1">
      <alignment horizontal="center"/>
    </xf>
    <xf numFmtId="4" fontId="2" fillId="0" borderId="0" xfId="3" applyNumberFormat="1" applyAlignment="1">
      <alignment horizontal="center"/>
    </xf>
    <xf numFmtId="0" fontId="6" fillId="0" borderId="0" xfId="3" applyFont="1" applyAlignment="1">
      <alignment horizontal="center"/>
    </xf>
    <xf numFmtId="1" fontId="16" fillId="0" borderId="0" xfId="7" applyNumberFormat="1" applyFont="1" applyAlignment="1">
      <alignment horizontal="center" vertical="center" wrapText="1"/>
    </xf>
    <xf numFmtId="4" fontId="2" fillId="11" borderId="0" xfId="4" applyNumberFormat="1" applyFont="1" applyFill="1"/>
    <xf numFmtId="4" fontId="2" fillId="11" borderId="0" xfId="3" applyNumberFormat="1" applyFill="1"/>
    <xf numFmtId="3" fontId="2" fillId="11" borderId="0" xfId="3" applyNumberFormat="1" applyFill="1"/>
    <xf numFmtId="178" fontId="2" fillId="11" borderId="0" xfId="3" applyNumberFormat="1" applyFill="1"/>
    <xf numFmtId="178" fontId="6" fillId="0" borderId="0" xfId="3" applyNumberFormat="1" applyFont="1" applyAlignment="1">
      <alignment horizontal="center"/>
    </xf>
    <xf numFmtId="178" fontId="2" fillId="0" borderId="0" xfId="1" applyFont="1" applyFill="1"/>
    <xf numFmtId="3" fontId="16" fillId="0" borderId="0" xfId="3" applyNumberFormat="1" applyFont="1" applyAlignment="1">
      <alignment horizontal="center"/>
    </xf>
    <xf numFmtId="3" fontId="2" fillId="0" borderId="0" xfId="3" applyNumberFormat="1" applyAlignment="1">
      <alignment horizontal="right"/>
    </xf>
    <xf numFmtId="3" fontId="2" fillId="0" borderId="0" xfId="3" applyNumberFormat="1"/>
    <xf numFmtId="49" fontId="0" fillId="0" borderId="0" xfId="1" applyNumberFormat="1" applyFont="1" applyFill="1" applyBorder="1" applyAlignment="1">
      <alignment horizontal="left"/>
    </xf>
    <xf numFmtId="49" fontId="0" fillId="0" borderId="0" xfId="1" applyNumberFormat="1" applyFont="1" applyFill="1" applyBorder="1" applyAlignment="1"/>
    <xf numFmtId="0" fontId="2" fillId="11" borderId="0" xfId="3" applyFill="1"/>
    <xf numFmtId="3" fontId="21" fillId="0" borderId="0" xfId="3" applyNumberFormat="1" applyFont="1" applyAlignment="1">
      <alignment horizontal="center"/>
    </xf>
    <xf numFmtId="180" fontId="21" fillId="0" borderId="0" xfId="3" applyNumberFormat="1" applyFont="1" applyAlignment="1">
      <alignment horizontal="center"/>
    </xf>
    <xf numFmtId="181" fontId="2" fillId="0" borderId="0" xfId="4" applyNumberFormat="1" applyFont="1" applyFill="1"/>
    <xf numFmtId="178" fontId="2" fillId="0" borderId="0" xfId="1" applyFont="1" applyFill="1" applyAlignment="1">
      <alignment horizontal="right"/>
    </xf>
    <xf numFmtId="0" fontId="5" fillId="0" borderId="0" xfId="3" applyFont="1" applyAlignment="1">
      <alignment horizontal="left"/>
    </xf>
    <xf numFmtId="3" fontId="22" fillId="0" borderId="0" xfId="3" applyNumberFormat="1" applyFont="1" applyAlignment="1">
      <alignment horizontal="center"/>
    </xf>
    <xf numFmtId="178" fontId="2" fillId="0" borderId="0" xfId="1" applyFont="1" applyAlignment="1">
      <alignment horizontal="center"/>
    </xf>
    <xf numFmtId="0" fontId="5" fillId="0" borderId="0" xfId="3" applyFont="1" applyAlignment="1">
      <alignment horizontal="center"/>
    </xf>
    <xf numFmtId="178" fontId="2" fillId="11" borderId="0" xfId="1" applyFont="1" applyFill="1"/>
    <xf numFmtId="178" fontId="2" fillId="0" borderId="0" xfId="1" applyFont="1" applyFill="1" applyAlignment="1">
      <alignment horizontal="center"/>
    </xf>
    <xf numFmtId="178" fontId="2" fillId="0" borderId="0" xfId="3" applyNumberFormat="1" applyAlignment="1">
      <alignment horizontal="center"/>
    </xf>
    <xf numFmtId="176" fontId="6" fillId="0" borderId="0" xfId="3" applyNumberFormat="1" applyFont="1" applyAlignment="1">
      <alignment horizontal="center"/>
    </xf>
    <xf numFmtId="181" fontId="6" fillId="0" borderId="0" xfId="1" applyNumberFormat="1" applyFont="1" applyFill="1" applyAlignment="1">
      <alignment horizontal="center"/>
    </xf>
    <xf numFmtId="178" fontId="2" fillId="0" borderId="0" xfId="4" applyFont="1" applyFill="1"/>
    <xf numFmtId="186" fontId="2" fillId="0" borderId="0" xfId="1" applyNumberFormat="1" applyFont="1" applyFill="1" applyAlignment="1">
      <alignment horizontal="center"/>
    </xf>
    <xf numFmtId="0" fontId="7" fillId="4" borderId="1" xfId="3" applyFont="1" applyFill="1" applyBorder="1" applyAlignment="1">
      <alignment horizontal="center" vertical="center"/>
    </xf>
    <xf numFmtId="4" fontId="7" fillId="3" borderId="2" xfId="4" applyNumberFormat="1" applyFont="1" applyFill="1" applyBorder="1" applyAlignment="1">
      <alignment horizontal="center" vertical="center" wrapText="1"/>
    </xf>
    <xf numFmtId="4" fontId="7" fillId="3" borderId="5" xfId="4" applyNumberFormat="1" applyFont="1" applyFill="1" applyBorder="1" applyAlignment="1">
      <alignment horizontal="center" vertical="center" wrapText="1"/>
    </xf>
    <xf numFmtId="0" fontId="7" fillId="3" borderId="2" xfId="3" applyFont="1" applyFill="1" applyBorder="1" applyAlignment="1">
      <alignment horizontal="center" vertical="center" wrapText="1" shrinkToFit="1"/>
    </xf>
    <xf numFmtId="0" fontId="7" fillId="3" borderId="5" xfId="3" applyFont="1" applyFill="1" applyBorder="1" applyAlignment="1">
      <alignment horizontal="center" vertical="center" wrapText="1" shrinkToFit="1"/>
    </xf>
    <xf numFmtId="0" fontId="7" fillId="3" borderId="1" xfId="3" applyFont="1" applyFill="1" applyBorder="1" applyAlignment="1">
      <alignment horizontal="center" vertical="center" wrapText="1" shrinkToFit="1"/>
    </xf>
    <xf numFmtId="0" fontId="7" fillId="4" borderId="3" xfId="3" applyFont="1" applyFill="1" applyBorder="1" applyAlignment="1">
      <alignment horizontal="center" vertical="center"/>
    </xf>
    <xf numFmtId="0" fontId="7" fillId="4" borderId="4" xfId="3" applyFont="1" applyFill="1" applyBorder="1" applyAlignment="1">
      <alignment horizontal="center" vertical="center"/>
    </xf>
    <xf numFmtId="0" fontId="7" fillId="3" borderId="1" xfId="3" applyFont="1" applyFill="1" applyBorder="1" applyAlignment="1">
      <alignment horizontal="left" vertical="center" wrapText="1"/>
    </xf>
    <xf numFmtId="179" fontId="7" fillId="3" borderId="3" xfId="3" applyNumberFormat="1" applyFont="1" applyFill="1" applyBorder="1" applyAlignment="1">
      <alignment horizontal="center" vertical="center"/>
    </xf>
    <xf numFmtId="179" fontId="7" fillId="3" borderId="4" xfId="3" applyNumberFormat="1" applyFont="1" applyFill="1" applyBorder="1" applyAlignment="1">
      <alignment horizontal="center" vertical="center"/>
    </xf>
    <xf numFmtId="0" fontId="7" fillId="3" borderId="1" xfId="3" quotePrefix="1" applyFont="1" applyFill="1" applyBorder="1" applyAlignment="1">
      <alignment horizontal="center" vertical="center" wrapText="1" shrinkToFit="1"/>
    </xf>
    <xf numFmtId="3" fontId="7" fillId="3" borderId="1" xfId="3" quotePrefix="1" applyNumberFormat="1" applyFont="1" applyFill="1" applyBorder="1" applyAlignment="1">
      <alignment horizontal="center" vertical="center" wrapText="1" shrinkToFit="1"/>
    </xf>
    <xf numFmtId="3" fontId="7" fillId="3" borderId="1" xfId="3" applyNumberFormat="1" applyFont="1" applyFill="1" applyBorder="1" applyAlignment="1">
      <alignment horizontal="center" vertical="center" wrapText="1" shrinkToFit="1"/>
    </xf>
    <xf numFmtId="181" fontId="7" fillId="3" borderId="1" xfId="4" applyNumberFormat="1" applyFont="1" applyFill="1" applyBorder="1" applyAlignment="1">
      <alignment horizontal="center" vertical="center"/>
    </xf>
    <xf numFmtId="49" fontId="7" fillId="2" borderId="1" xfId="3" applyNumberFormat="1" applyFont="1" applyFill="1" applyBorder="1" applyAlignment="1">
      <alignment horizontal="center" vertical="center" wrapText="1"/>
    </xf>
    <xf numFmtId="0" fontId="8" fillId="2" borderId="2" xfId="3" applyFont="1" applyFill="1" applyBorder="1" applyAlignment="1">
      <alignment horizontal="center" vertical="center" wrapText="1"/>
    </xf>
    <xf numFmtId="0" fontId="8" fillId="2" borderId="5" xfId="3" applyFont="1" applyFill="1" applyBorder="1" applyAlignment="1">
      <alignment horizontal="center" vertical="center" wrapText="1"/>
    </xf>
    <xf numFmtId="0" fontId="7" fillId="2" borderId="1" xfId="3" applyFont="1" applyFill="1" applyBorder="1" applyAlignment="1">
      <alignment horizontal="center" vertical="center" wrapText="1"/>
    </xf>
    <xf numFmtId="0" fontId="7" fillId="3" borderId="2" xfId="3" applyFont="1" applyFill="1" applyBorder="1" applyAlignment="1">
      <alignment horizontal="center" vertical="center"/>
    </xf>
    <xf numFmtId="0" fontId="7" fillId="3" borderId="5" xfId="3" applyFont="1" applyFill="1" applyBorder="1" applyAlignment="1">
      <alignment horizontal="center" vertical="center"/>
    </xf>
    <xf numFmtId="0" fontId="7" fillId="3" borderId="1" xfId="3" applyFont="1" applyFill="1" applyBorder="1" applyAlignment="1">
      <alignment horizontal="center" vertical="center" wrapText="1"/>
    </xf>
    <xf numFmtId="0" fontId="7" fillId="2" borderId="2" xfId="3" applyFont="1" applyFill="1" applyBorder="1" applyAlignment="1">
      <alignment horizontal="center" vertical="center" wrapText="1"/>
    </xf>
    <xf numFmtId="0" fontId="7" fillId="2" borderId="5" xfId="3" applyFont="1" applyFill="1" applyBorder="1" applyAlignment="1">
      <alignment horizontal="center" vertical="center" wrapText="1"/>
    </xf>
    <xf numFmtId="0" fontId="7" fillId="2" borderId="1" xfId="3" applyFont="1" applyFill="1" applyBorder="1" applyAlignment="1">
      <alignment horizontal="center" vertical="center"/>
    </xf>
    <xf numFmtId="0" fontId="7" fillId="2" borderId="1" xfId="3" quotePrefix="1" applyFont="1" applyFill="1" applyBorder="1" applyAlignment="1">
      <alignment horizontal="left"/>
    </xf>
    <xf numFmtId="0" fontId="7" fillId="2" borderId="1" xfId="3" applyFont="1" applyFill="1" applyBorder="1" applyAlignment="1">
      <alignment horizontal="left"/>
    </xf>
  </cellXfs>
  <cellStyles count="8">
    <cellStyle name="Comma 2" xfId="6" xr:uid="{F21CEC06-8CF1-4921-BC3F-DA3F45D9CE5F}"/>
    <cellStyle name="Comma 5" xfId="4" xr:uid="{9E513E90-2BFB-4960-9F7B-B34DB57A94ED}"/>
    <cellStyle name="Normal 2 2" xfId="7" xr:uid="{1FFB2B84-5C03-470C-AEB1-36129C8C2BFB}"/>
    <cellStyle name="Normal 6 3" xfId="3" xr:uid="{703FB961-684B-4E3B-B5DE-872006A6D27C}"/>
    <cellStyle name="Normal_MAU HTS" xfId="5" xr:uid="{0D326DD9-68AE-4BF2-BFE2-64EB4D042075}"/>
    <cellStyle name="쉼표" xfId="1" builtinId="3"/>
    <cellStyle name="통화" xfId="2" builtinId="4"/>
    <cellStyle name="표준" xfId="0" builtinId="0"/>
  </cellStyles>
  <dxfs count="23">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4"/>
        </patternFill>
      </fill>
    </dxf>
    <dxf>
      <fill>
        <patternFill>
          <bgColor theme="3" tint="0.59996337778862885"/>
        </patternFill>
      </fill>
    </dxf>
    <dxf>
      <fill>
        <patternFill>
          <bgColor theme="4" tint="0.39994506668294322"/>
        </patternFill>
      </fill>
    </dxf>
    <dxf>
      <fill>
        <patternFill>
          <bgColor theme="4" tint="0.59996337778862885"/>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customProperty" Target="../customProperty1.bin"/><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CECA2-5123-4104-A907-C8F97859BC79}">
  <sheetPr codeName="Sheet5" filterMode="1"/>
  <dimension ref="A1:BA558"/>
  <sheetViews>
    <sheetView showGridLines="0" tabSelected="1" zoomScale="85" zoomScaleNormal="85" zoomScaleSheetLayoutView="100" workbookViewId="0">
      <pane xSplit="4" ySplit="5" topLeftCell="E335" activePane="bottomRight" state="frozen"/>
      <selection pane="topRight" activeCell="E1" sqref="E1"/>
      <selection pane="bottomLeft" activeCell="A6" sqref="A6"/>
      <selection pane="bottomRight" activeCell="E465" sqref="E465"/>
    </sheetView>
  </sheetViews>
  <sheetFormatPr defaultColWidth="9.125" defaultRowHeight="12.75" outlineLevelCol="1"/>
  <cols>
    <col min="1" max="1" width="4.25" style="177" customWidth="1"/>
    <col min="2" max="2" width="13.125" style="4" customWidth="1"/>
    <col min="3" max="3" width="43.125" style="3" customWidth="1"/>
    <col min="4" max="4" width="16.75" style="4" customWidth="1"/>
    <col min="5" max="5" width="51.625" style="3" customWidth="1"/>
    <col min="6" max="6" width="16.75" style="4" customWidth="1" outlineLevel="1"/>
    <col min="7" max="7" width="13.625" style="177" customWidth="1" outlineLevel="1"/>
    <col min="8" max="8" width="19" style="177" customWidth="1" outlineLevel="1"/>
    <col min="9" max="9" width="11.125" style="210" customWidth="1" outlineLevel="1"/>
    <col min="10" max="10" width="41" style="4" customWidth="1" outlineLevel="1"/>
    <col min="11" max="11" width="14.125" style="213" customWidth="1" outlineLevel="1"/>
    <col min="12" max="12" width="70.25" style="4" customWidth="1" outlineLevel="1"/>
    <col min="13" max="13" width="14.75" style="177" customWidth="1"/>
    <col min="14" max="14" width="18.375" style="4" customWidth="1"/>
    <col min="15" max="15" width="10.375" style="177" customWidth="1"/>
    <col min="16" max="16" width="12.875" style="178" customWidth="1"/>
    <col min="17" max="17" width="15.625" style="178" customWidth="1"/>
    <col min="18" max="18" width="8.75" style="177" customWidth="1"/>
    <col min="19" max="19" width="7.75" style="180" customWidth="1"/>
    <col min="20" max="20" width="17" style="181" customWidth="1"/>
    <col min="21" max="21" width="14.25" style="182" customWidth="1"/>
    <col min="22" max="22" width="27.125" style="183" customWidth="1"/>
    <col min="23" max="23" width="21.75" style="184" customWidth="1"/>
    <col min="24" max="24" width="19.625" style="184" customWidth="1"/>
    <col min="25" max="25" width="17.75" style="184" customWidth="1"/>
    <col min="26" max="26" width="20.875" style="192" customWidth="1" outlineLevel="1"/>
    <col min="27" max="27" width="23.125" style="192" customWidth="1" outlineLevel="1"/>
    <col min="28" max="28" width="18" style="192" customWidth="1" outlineLevel="1"/>
    <col min="29" max="29" width="19" style="192" customWidth="1" outlineLevel="1"/>
    <col min="30" max="30" width="18.375" style="192" customWidth="1" outlineLevel="1"/>
    <col min="31" max="31" width="21.625" style="177" customWidth="1" outlineLevel="1"/>
    <col min="32" max="32" width="18.125" style="192" customWidth="1" outlineLevel="1"/>
    <col min="33" max="33" width="23.75" style="177" customWidth="1" outlineLevel="1"/>
    <col min="34" max="34" width="23.125" style="192" hidden="1" customWidth="1" outlineLevel="1"/>
    <col min="35" max="35" width="20.25" style="177" hidden="1" customWidth="1" outlineLevel="1"/>
    <col min="36" max="36" width="22.125" style="192" hidden="1" customWidth="1" outlineLevel="1"/>
    <col min="37" max="37" width="20.875" style="177" hidden="1" customWidth="1" outlineLevel="1"/>
    <col min="38" max="38" width="21.875" style="192" hidden="1" customWidth="1" outlineLevel="1"/>
    <col min="39" max="39" width="22.75" style="177" hidden="1" customWidth="1" outlineLevel="1"/>
    <col min="40" max="40" width="20.75" style="192" hidden="1" customWidth="1" outlineLevel="1"/>
    <col min="41" max="41" width="17.25" style="177" hidden="1" customWidth="1" outlineLevel="1"/>
    <col min="42" max="42" width="15" style="192" hidden="1" customWidth="1" outlineLevel="1"/>
    <col min="43" max="43" width="19.125" style="177" hidden="1" customWidth="1" outlineLevel="1"/>
    <col min="44" max="44" width="15" style="192" hidden="1" customWidth="1" outlineLevel="1"/>
    <col min="45" max="45" width="17" style="177" hidden="1" customWidth="1" outlineLevel="1"/>
    <col min="46" max="46" width="19" style="192" hidden="1" customWidth="1" outlineLevel="1"/>
    <col min="47" max="47" width="21.75" style="177" hidden="1" customWidth="1" outlineLevel="1"/>
    <col min="48" max="48" width="15" style="192" hidden="1" customWidth="1" outlineLevel="1"/>
    <col min="49" max="49" width="16.75" style="177" hidden="1" customWidth="1" outlineLevel="1"/>
    <col min="50" max="50" width="20.25" style="184" customWidth="1"/>
    <col min="51" max="51" width="17" style="184" customWidth="1"/>
    <col min="52" max="52" width="19.875" style="184" customWidth="1"/>
    <col min="53" max="53" width="15" style="184" bestFit="1" customWidth="1"/>
    <col min="54" max="16384" width="9.125" style="184"/>
  </cols>
  <sheetData>
    <row r="1" spans="1:53" s="14" customFormat="1" ht="18">
      <c r="A1" s="1" t="s">
        <v>0</v>
      </c>
      <c r="B1" s="2"/>
      <c r="C1" s="3"/>
      <c r="D1" s="3"/>
      <c r="E1" s="3"/>
      <c r="F1" s="4"/>
      <c r="G1" s="5"/>
      <c r="H1" s="5"/>
      <c r="I1" s="6"/>
      <c r="J1" s="3"/>
      <c r="K1" s="7"/>
      <c r="L1" s="3"/>
      <c r="M1" s="5"/>
      <c r="N1" s="3"/>
      <c r="O1" s="5"/>
      <c r="P1" s="8"/>
      <c r="Q1" s="8"/>
      <c r="R1" s="9"/>
      <c r="S1" s="10"/>
      <c r="T1" s="11"/>
      <c r="U1" s="12"/>
      <c r="V1" s="13"/>
      <c r="W1" s="13"/>
      <c r="Y1" s="15"/>
      <c r="Z1" s="16"/>
      <c r="AA1" s="17"/>
      <c r="AB1" s="17"/>
      <c r="AC1" s="17"/>
      <c r="AD1" s="16"/>
      <c r="AE1" s="5"/>
      <c r="AF1" s="16"/>
      <c r="AG1" s="5"/>
      <c r="AH1" s="18"/>
      <c r="AI1" s="5"/>
      <c r="AJ1" s="18"/>
      <c r="AK1" s="5"/>
      <c r="AL1" s="18"/>
      <c r="AM1" s="5"/>
      <c r="AN1" s="16"/>
      <c r="AO1" s="5"/>
      <c r="AP1" s="16"/>
      <c r="AQ1" s="5"/>
      <c r="AR1" s="16"/>
      <c r="AS1" s="5"/>
      <c r="AT1" s="16"/>
      <c r="AU1" s="5"/>
      <c r="AV1" s="16"/>
      <c r="AW1" s="5"/>
    </row>
    <row r="2" spans="1:53" s="14" customFormat="1">
      <c r="A2" s="5"/>
      <c r="B2" s="3"/>
      <c r="C2" s="3"/>
      <c r="D2" s="3"/>
      <c r="E2" s="3"/>
      <c r="F2" s="4"/>
      <c r="G2" s="5"/>
      <c r="H2" s="5"/>
      <c r="I2" s="6"/>
      <c r="J2" s="3"/>
      <c r="K2" s="7"/>
      <c r="L2" s="3"/>
      <c r="M2" s="5"/>
      <c r="N2" s="3"/>
      <c r="O2" s="5"/>
      <c r="P2" s="8"/>
      <c r="Q2" s="8"/>
      <c r="R2" s="5"/>
      <c r="S2" s="10"/>
      <c r="T2" s="11"/>
      <c r="U2" s="12"/>
      <c r="V2" s="13"/>
      <c r="Y2" s="19"/>
      <c r="Z2" s="16"/>
      <c r="AA2" s="17"/>
      <c r="AB2" s="16"/>
      <c r="AC2" s="16"/>
      <c r="AD2" s="16"/>
      <c r="AE2" s="5"/>
      <c r="AF2" s="16"/>
      <c r="AG2" s="5"/>
      <c r="AH2" s="16"/>
      <c r="AI2" s="5"/>
      <c r="AJ2" s="16"/>
      <c r="AK2" s="5"/>
      <c r="AL2" s="16"/>
      <c r="AM2" s="5"/>
      <c r="AN2" s="16"/>
      <c r="AO2" s="5"/>
      <c r="AP2" s="16"/>
      <c r="AQ2" s="5"/>
      <c r="AR2" s="16"/>
      <c r="AS2" s="5"/>
      <c r="AT2" s="16"/>
      <c r="AU2" s="5"/>
      <c r="AV2" s="16"/>
      <c r="AW2" s="5"/>
    </row>
    <row r="3" spans="1:53" s="25" customFormat="1" ht="17.25" customHeight="1">
      <c r="A3" s="239" t="s">
        <v>1</v>
      </c>
      <c r="B3" s="243" t="s">
        <v>2</v>
      </c>
      <c r="C3" s="245" t="s">
        <v>3</v>
      </c>
      <c r="D3" s="245" t="s">
        <v>4</v>
      </c>
      <c r="E3" s="245" t="s">
        <v>5</v>
      </c>
      <c r="F3" s="246" t="s">
        <v>6</v>
      </c>
      <c r="G3" s="236" t="s">
        <v>7</v>
      </c>
      <c r="H3" s="236" t="s">
        <v>8</v>
      </c>
      <c r="I3" s="237" t="s">
        <v>9</v>
      </c>
      <c r="J3" s="20" t="s">
        <v>10</v>
      </c>
      <c r="K3" s="239" t="s">
        <v>11</v>
      </c>
      <c r="L3" s="240" t="s">
        <v>12</v>
      </c>
      <c r="M3" s="242" t="s">
        <v>13</v>
      </c>
      <c r="N3" s="229" t="s">
        <v>14</v>
      </c>
      <c r="O3" s="22"/>
      <c r="P3" s="230" t="s">
        <v>15</v>
      </c>
      <c r="Q3" s="231"/>
      <c r="R3" s="232" t="s">
        <v>16</v>
      </c>
      <c r="S3" s="233" t="s">
        <v>17</v>
      </c>
      <c r="T3" s="235" t="s">
        <v>18</v>
      </c>
      <c r="U3" s="235"/>
      <c r="V3" s="222" t="s">
        <v>19</v>
      </c>
      <c r="W3" s="222" t="s">
        <v>20</v>
      </c>
      <c r="X3" s="224" t="s">
        <v>21</v>
      </c>
      <c r="Y3" s="226" t="s">
        <v>22</v>
      </c>
      <c r="Z3" s="227" t="s">
        <v>23</v>
      </c>
      <c r="AA3" s="228"/>
      <c r="AB3" s="227" t="s">
        <v>24</v>
      </c>
      <c r="AC3" s="228"/>
      <c r="AD3" s="221" t="s">
        <v>25</v>
      </c>
      <c r="AE3" s="221"/>
      <c r="AF3" s="221" t="s">
        <v>26</v>
      </c>
      <c r="AG3" s="221"/>
      <c r="AH3" s="221" t="s">
        <v>27</v>
      </c>
      <c r="AI3" s="221"/>
      <c r="AJ3" s="221" t="s">
        <v>28</v>
      </c>
      <c r="AK3" s="221"/>
      <c r="AL3" s="221" t="s">
        <v>29</v>
      </c>
      <c r="AM3" s="221"/>
      <c r="AN3" s="221" t="s">
        <v>30</v>
      </c>
      <c r="AO3" s="221"/>
      <c r="AP3" s="221" t="s">
        <v>31</v>
      </c>
      <c r="AQ3" s="221"/>
      <c r="AR3" s="221" t="s">
        <v>32</v>
      </c>
      <c r="AS3" s="221"/>
      <c r="AT3" s="221" t="s">
        <v>33</v>
      </c>
      <c r="AU3" s="221"/>
      <c r="AV3" s="221" t="s">
        <v>34</v>
      </c>
      <c r="AW3" s="221"/>
      <c r="AX3" s="23" t="s">
        <v>35</v>
      </c>
      <c r="AY3" s="24"/>
    </row>
    <row r="4" spans="1:53" s="25" customFormat="1" ht="34.5" customHeight="1">
      <c r="A4" s="239"/>
      <c r="B4" s="244"/>
      <c r="C4" s="245"/>
      <c r="D4" s="245"/>
      <c r="E4" s="245"/>
      <c r="F4" s="247"/>
      <c r="G4" s="236"/>
      <c r="H4" s="236"/>
      <c r="I4" s="238"/>
      <c r="J4" s="26"/>
      <c r="K4" s="239"/>
      <c r="L4" s="241"/>
      <c r="M4" s="242"/>
      <c r="N4" s="229"/>
      <c r="O4" s="21" t="s">
        <v>36</v>
      </c>
      <c r="P4" s="27" t="s">
        <v>37</v>
      </c>
      <c r="Q4" s="27" t="s">
        <v>38</v>
      </c>
      <c r="R4" s="226"/>
      <c r="S4" s="234"/>
      <c r="T4" s="28" t="s">
        <v>39</v>
      </c>
      <c r="U4" s="29" t="s">
        <v>40</v>
      </c>
      <c r="V4" s="223"/>
      <c r="W4" s="223"/>
      <c r="X4" s="225"/>
      <c r="Y4" s="226"/>
      <c r="Z4" s="30" t="s">
        <v>41</v>
      </c>
      <c r="AA4" s="31" t="s">
        <v>42</v>
      </c>
      <c r="AB4" s="30" t="s">
        <v>41</v>
      </c>
      <c r="AC4" s="31" t="s">
        <v>42</v>
      </c>
      <c r="AD4" s="30" t="s">
        <v>41</v>
      </c>
      <c r="AE4" s="31" t="s">
        <v>42</v>
      </c>
      <c r="AF4" s="30" t="s">
        <v>41</v>
      </c>
      <c r="AG4" s="31" t="s">
        <v>42</v>
      </c>
      <c r="AH4" s="30" t="s">
        <v>41</v>
      </c>
      <c r="AI4" s="31" t="s">
        <v>42</v>
      </c>
      <c r="AJ4" s="30" t="s">
        <v>41</v>
      </c>
      <c r="AK4" s="31" t="s">
        <v>42</v>
      </c>
      <c r="AL4" s="30" t="s">
        <v>41</v>
      </c>
      <c r="AM4" s="31" t="s">
        <v>42</v>
      </c>
      <c r="AN4" s="30" t="s">
        <v>41</v>
      </c>
      <c r="AO4" s="31" t="s">
        <v>42</v>
      </c>
      <c r="AP4" s="30" t="s">
        <v>41</v>
      </c>
      <c r="AQ4" s="31" t="s">
        <v>42</v>
      </c>
      <c r="AR4" s="30" t="s">
        <v>41</v>
      </c>
      <c r="AS4" s="31" t="s">
        <v>42</v>
      </c>
      <c r="AT4" s="30" t="s">
        <v>41</v>
      </c>
      <c r="AU4" s="31" t="s">
        <v>42</v>
      </c>
      <c r="AV4" s="30" t="s">
        <v>41</v>
      </c>
      <c r="AW4" s="31" t="s">
        <v>42</v>
      </c>
      <c r="AX4" s="32" t="s">
        <v>43</v>
      </c>
      <c r="AY4" s="32" t="s">
        <v>44</v>
      </c>
    </row>
    <row r="5" spans="1:53" s="44" customFormat="1" ht="24.75" customHeight="1">
      <c r="A5" s="33">
        <v>1</v>
      </c>
      <c r="B5" s="33">
        <v>2</v>
      </c>
      <c r="C5" s="34">
        <v>3</v>
      </c>
      <c r="D5" s="34" t="s">
        <v>45</v>
      </c>
      <c r="E5" s="34" t="s">
        <v>5</v>
      </c>
      <c r="F5" s="35">
        <v>12</v>
      </c>
      <c r="G5" s="33">
        <v>6</v>
      </c>
      <c r="H5" s="33">
        <v>7</v>
      </c>
      <c r="I5" s="36" t="s">
        <v>46</v>
      </c>
      <c r="J5" s="34">
        <v>9</v>
      </c>
      <c r="K5" s="36" t="s">
        <v>47</v>
      </c>
      <c r="L5" s="37">
        <v>11</v>
      </c>
      <c r="M5" s="38" t="s">
        <v>13</v>
      </c>
      <c r="N5" s="39" t="s">
        <v>14</v>
      </c>
      <c r="O5" s="38">
        <v>15</v>
      </c>
      <c r="P5" s="39">
        <v>16</v>
      </c>
      <c r="Q5" s="39">
        <v>17</v>
      </c>
      <c r="R5" s="38">
        <v>18</v>
      </c>
      <c r="S5" s="38">
        <v>19</v>
      </c>
      <c r="T5" s="40" t="s">
        <v>48</v>
      </c>
      <c r="U5" s="38">
        <v>21</v>
      </c>
      <c r="V5" s="38">
        <v>22</v>
      </c>
      <c r="W5" s="38">
        <v>23</v>
      </c>
      <c r="X5" s="38">
        <v>24</v>
      </c>
      <c r="Y5" s="38" t="s">
        <v>22</v>
      </c>
      <c r="Z5" s="41">
        <v>26</v>
      </c>
      <c r="AA5" s="42">
        <v>27</v>
      </c>
      <c r="AB5" s="41">
        <v>28</v>
      </c>
      <c r="AC5" s="42">
        <v>29</v>
      </c>
      <c r="AD5" s="41">
        <v>30</v>
      </c>
      <c r="AE5" s="42">
        <v>31</v>
      </c>
      <c r="AF5" s="41">
        <v>32</v>
      </c>
      <c r="AG5" s="42">
        <v>33</v>
      </c>
      <c r="AH5" s="41">
        <v>34</v>
      </c>
      <c r="AI5" s="42">
        <v>35</v>
      </c>
      <c r="AJ5" s="41">
        <v>36</v>
      </c>
      <c r="AK5" s="42">
        <v>37</v>
      </c>
      <c r="AL5" s="41">
        <v>38</v>
      </c>
      <c r="AM5" s="42">
        <v>39</v>
      </c>
      <c r="AN5" s="41">
        <v>40</v>
      </c>
      <c r="AO5" s="42">
        <v>41</v>
      </c>
      <c r="AP5" s="41">
        <v>42</v>
      </c>
      <c r="AQ5" s="42">
        <v>43</v>
      </c>
      <c r="AR5" s="41">
        <v>44</v>
      </c>
      <c r="AS5" s="42">
        <v>45</v>
      </c>
      <c r="AT5" s="41">
        <v>46</v>
      </c>
      <c r="AU5" s="42">
        <v>47</v>
      </c>
      <c r="AV5" s="41">
        <v>48</v>
      </c>
      <c r="AW5" s="42">
        <v>49</v>
      </c>
      <c r="AX5" s="43">
        <v>50</v>
      </c>
      <c r="AY5" s="43">
        <v>51</v>
      </c>
    </row>
    <row r="6" spans="1:53" s="67" customFormat="1" ht="20.25" hidden="1" customHeight="1">
      <c r="A6" s="45">
        <v>1</v>
      </c>
      <c r="B6" s="46" t="s">
        <v>49</v>
      </c>
      <c r="C6" s="47"/>
      <c r="D6" s="48" t="s">
        <v>50</v>
      </c>
      <c r="E6" s="47" t="s">
        <v>50</v>
      </c>
      <c r="F6" s="49">
        <v>0</v>
      </c>
      <c r="G6" s="50"/>
      <c r="H6" s="50"/>
      <c r="I6" s="51" t="s">
        <v>51</v>
      </c>
      <c r="J6" s="47" t="s">
        <v>52</v>
      </c>
      <c r="K6" s="45" t="s">
        <v>53</v>
      </c>
      <c r="L6" s="47" t="s">
        <v>54</v>
      </c>
      <c r="M6" s="52" t="s">
        <v>55</v>
      </c>
      <c r="N6" s="53" t="s">
        <v>56</v>
      </c>
      <c r="O6" s="54">
        <v>1310</v>
      </c>
      <c r="P6" s="55">
        <v>41548</v>
      </c>
      <c r="Q6" s="55">
        <v>57435</v>
      </c>
      <c r="R6" s="56">
        <v>522</v>
      </c>
      <c r="S6" s="56">
        <f t="shared" ref="S6:S69" si="0">+R6/12</f>
        <v>43.5</v>
      </c>
      <c r="T6" s="57">
        <v>33500449446.950001</v>
      </c>
      <c r="U6" s="58"/>
      <c r="V6" s="59">
        <v>33500449446.950001</v>
      </c>
      <c r="W6" s="60">
        <f t="shared" ref="W6:W12" si="1">+V6/R6</f>
        <v>64177106.220210731</v>
      </c>
      <c r="X6" s="60">
        <v>9434034601.1583405</v>
      </c>
      <c r="Y6" s="61">
        <v>24066414845.79166</v>
      </c>
      <c r="Z6" s="62">
        <f t="shared" ref="Z6:Z69" si="2">+IF(Y6&lt;&gt;0,$W6,0)</f>
        <v>64177106.220210731</v>
      </c>
      <c r="AA6" s="61">
        <f>+$V6-$X6-Z6</f>
        <v>24002237739.571449</v>
      </c>
      <c r="AB6" s="62">
        <f t="shared" ref="AB6:AB69" si="3">+IF(AA6&lt;&gt;0,$W6,0)</f>
        <v>64177106.220210731</v>
      </c>
      <c r="AC6" s="61">
        <f t="shared" ref="AC6:AC69" si="4">AA6-AB6</f>
        <v>23938060633.351238</v>
      </c>
      <c r="AD6" s="62">
        <f t="shared" ref="AD6:AF16" si="5">+IF(AC6&lt;&gt;0,$W6,0)</f>
        <v>64177106.220210731</v>
      </c>
      <c r="AE6" s="61">
        <f t="shared" ref="AE6:AE69" si="6">AC6-AD6</f>
        <v>23873883527.131027</v>
      </c>
      <c r="AF6" s="62">
        <f t="shared" si="5"/>
        <v>64177106.220210731</v>
      </c>
      <c r="AG6" s="61">
        <f t="shared" ref="AG6:AG69" si="7">AE6-AF6</f>
        <v>23809706420.910816</v>
      </c>
      <c r="AH6" s="62"/>
      <c r="AI6" s="61">
        <f t="shared" ref="AI6:AI69" si="8">AG6-AH6</f>
        <v>23809706420.910816</v>
      </c>
      <c r="AJ6" s="62"/>
      <c r="AK6" s="61">
        <f t="shared" ref="AK6:AK69" si="9">AI6-AJ6</f>
        <v>23809706420.910816</v>
      </c>
      <c r="AL6" s="62"/>
      <c r="AM6" s="61">
        <f t="shared" ref="AM6:AM69" si="10">AK6-AL6</f>
        <v>23809706420.910816</v>
      </c>
      <c r="AN6" s="62"/>
      <c r="AO6" s="61">
        <f t="shared" ref="AO6:AO69" si="11">AM6-AN6</f>
        <v>23809706420.910816</v>
      </c>
      <c r="AP6" s="62"/>
      <c r="AQ6" s="61">
        <f t="shared" ref="AQ6:AQ69" si="12">AO6-AP6</f>
        <v>23809706420.910816</v>
      </c>
      <c r="AR6" s="62"/>
      <c r="AS6" s="61">
        <f t="shared" ref="AS6:AS69" si="13">AQ6-AR6</f>
        <v>23809706420.910816</v>
      </c>
      <c r="AT6" s="62"/>
      <c r="AU6" s="61">
        <f t="shared" ref="AU6:AU69" si="14">AS6-AT6</f>
        <v>23809706420.910816</v>
      </c>
      <c r="AV6" s="62"/>
      <c r="AW6" s="61">
        <f t="shared" ref="AW6:AW69" si="15">AU6-AV6</f>
        <v>23809706420.910816</v>
      </c>
      <c r="AX6" s="63">
        <f t="shared" ref="AX6:AX69" si="16">SUMIF($Z$4:$AW$4,"Amortization",Z6:AW6)</f>
        <v>256708424.88084292</v>
      </c>
      <c r="AY6" s="64">
        <f t="shared" ref="AY6:AY69" si="17">V6-X6-AX6</f>
        <v>23809706420.910816</v>
      </c>
      <c r="AZ6" s="65" t="b">
        <f t="shared" ref="AZ6:AZ69" si="18">ROUND(AW6,0)=ROUND(AY6,0)</f>
        <v>1</v>
      </c>
      <c r="BA6" s="66"/>
    </row>
    <row r="7" spans="1:53" s="67" customFormat="1" ht="20.25" hidden="1" customHeight="1">
      <c r="A7" s="68">
        <v>2</v>
      </c>
      <c r="B7" s="69" t="s">
        <v>57</v>
      </c>
      <c r="C7" s="70"/>
      <c r="D7" s="71" t="s">
        <v>50</v>
      </c>
      <c r="E7" s="70" t="s">
        <v>50</v>
      </c>
      <c r="F7" s="72">
        <v>0</v>
      </c>
      <c r="G7" s="73"/>
      <c r="H7" s="73"/>
      <c r="I7" s="74" t="s">
        <v>51</v>
      </c>
      <c r="J7" s="70" t="s">
        <v>52</v>
      </c>
      <c r="K7" s="68" t="s">
        <v>58</v>
      </c>
      <c r="L7" s="70" t="s">
        <v>59</v>
      </c>
      <c r="M7" s="75" t="s">
        <v>60</v>
      </c>
      <c r="N7" s="76" t="s">
        <v>61</v>
      </c>
      <c r="O7" s="77">
        <v>1310</v>
      </c>
      <c r="P7" s="78">
        <v>41548</v>
      </c>
      <c r="Q7" s="78">
        <v>57435</v>
      </c>
      <c r="R7" s="79">
        <v>522</v>
      </c>
      <c r="S7" s="79">
        <f t="shared" si="0"/>
        <v>43.5</v>
      </c>
      <c r="T7" s="80">
        <v>5911844020.0500002</v>
      </c>
      <c r="U7" s="81"/>
      <c r="V7" s="82">
        <v>5911844020.0500002</v>
      </c>
      <c r="W7" s="83">
        <f t="shared" si="1"/>
        <v>11325371.68591954</v>
      </c>
      <c r="X7" s="83">
        <v>1664829656.6750035</v>
      </c>
      <c r="Y7" s="84">
        <v>4247014363.3749971</v>
      </c>
      <c r="Z7" s="85">
        <f t="shared" si="2"/>
        <v>11325371.68591954</v>
      </c>
      <c r="AA7" s="84">
        <f>+V7-X7-Z7</f>
        <v>4235688991.6890769</v>
      </c>
      <c r="AB7" s="85">
        <f t="shared" si="3"/>
        <v>11325371.68591954</v>
      </c>
      <c r="AC7" s="84">
        <f t="shared" si="4"/>
        <v>4224363620.0031571</v>
      </c>
      <c r="AD7" s="85">
        <f t="shared" si="5"/>
        <v>11325371.68591954</v>
      </c>
      <c r="AE7" s="84">
        <f t="shared" si="6"/>
        <v>4213038248.3172374</v>
      </c>
      <c r="AF7" s="85">
        <f t="shared" si="5"/>
        <v>11325371.68591954</v>
      </c>
      <c r="AG7" s="84">
        <f t="shared" si="7"/>
        <v>4201712876.6313176</v>
      </c>
      <c r="AH7" s="85"/>
      <c r="AI7" s="84">
        <f t="shared" si="8"/>
        <v>4201712876.6313176</v>
      </c>
      <c r="AJ7" s="85"/>
      <c r="AK7" s="84">
        <f t="shared" si="9"/>
        <v>4201712876.6313176</v>
      </c>
      <c r="AL7" s="85"/>
      <c r="AM7" s="84">
        <f t="shared" si="10"/>
        <v>4201712876.6313176</v>
      </c>
      <c r="AN7" s="85"/>
      <c r="AO7" s="84">
        <f t="shared" si="11"/>
        <v>4201712876.6313176</v>
      </c>
      <c r="AP7" s="85"/>
      <c r="AQ7" s="84">
        <f t="shared" si="12"/>
        <v>4201712876.6313176</v>
      </c>
      <c r="AR7" s="85"/>
      <c r="AS7" s="84">
        <f t="shared" si="13"/>
        <v>4201712876.6313176</v>
      </c>
      <c r="AT7" s="85"/>
      <c r="AU7" s="84">
        <f t="shared" si="14"/>
        <v>4201712876.6313176</v>
      </c>
      <c r="AV7" s="85"/>
      <c r="AW7" s="84">
        <f t="shared" si="15"/>
        <v>4201712876.6313176</v>
      </c>
      <c r="AX7" s="86">
        <f t="shared" si="16"/>
        <v>45301486.74367816</v>
      </c>
      <c r="AY7" s="87">
        <f t="shared" si="17"/>
        <v>4201712876.6313186</v>
      </c>
      <c r="AZ7" s="65" t="b">
        <f t="shared" si="18"/>
        <v>1</v>
      </c>
    </row>
    <row r="8" spans="1:53" s="67" customFormat="1" ht="20.25" hidden="1" customHeight="1">
      <c r="A8" s="68">
        <v>3</v>
      </c>
      <c r="B8" s="69" t="s">
        <v>62</v>
      </c>
      <c r="C8" s="88" t="s">
        <v>63</v>
      </c>
      <c r="D8" s="71" t="s">
        <v>64</v>
      </c>
      <c r="E8" s="88" t="s">
        <v>65</v>
      </c>
      <c r="F8" s="89">
        <v>0</v>
      </c>
      <c r="G8" s="88">
        <v>20190830</v>
      </c>
      <c r="H8" s="88">
        <v>19080610</v>
      </c>
      <c r="I8" s="74" t="s">
        <v>66</v>
      </c>
      <c r="J8" s="88" t="s">
        <v>67</v>
      </c>
      <c r="K8" s="68" t="s">
        <v>68</v>
      </c>
      <c r="L8" s="70" t="s">
        <v>69</v>
      </c>
      <c r="M8" s="88" t="s">
        <v>70</v>
      </c>
      <c r="N8" s="88" t="s">
        <v>71</v>
      </c>
      <c r="O8" s="77"/>
      <c r="P8" s="90">
        <v>43922</v>
      </c>
      <c r="Q8" s="78">
        <v>46477</v>
      </c>
      <c r="R8" s="79">
        <v>84</v>
      </c>
      <c r="S8" s="79">
        <f t="shared" si="0"/>
        <v>7</v>
      </c>
      <c r="T8" s="91">
        <v>114285716</v>
      </c>
      <c r="U8" s="81"/>
      <c r="V8" s="91">
        <v>114285716</v>
      </c>
      <c r="W8" s="83">
        <f t="shared" si="1"/>
        <v>1360544.2380952381</v>
      </c>
      <c r="X8" s="83">
        <v>100408148.5714286</v>
      </c>
      <c r="Y8" s="84">
        <v>13877567.428571409</v>
      </c>
      <c r="Z8" s="85">
        <f t="shared" si="2"/>
        <v>1360544.2380952381</v>
      </c>
      <c r="AA8" s="84">
        <f>+V8-X8-Z8</f>
        <v>12517023.190476164</v>
      </c>
      <c r="AB8" s="85">
        <f t="shared" si="3"/>
        <v>1360544.2380952381</v>
      </c>
      <c r="AC8" s="84">
        <f t="shared" si="4"/>
        <v>11156478.952380925</v>
      </c>
      <c r="AD8" s="85">
        <f t="shared" si="5"/>
        <v>1360544.2380952381</v>
      </c>
      <c r="AE8" s="84">
        <f t="shared" si="6"/>
        <v>9795934.7142856866</v>
      </c>
      <c r="AF8" s="85">
        <f t="shared" si="5"/>
        <v>1360544.2380952381</v>
      </c>
      <c r="AG8" s="84">
        <f t="shared" si="7"/>
        <v>8435390.4761904478</v>
      </c>
      <c r="AH8" s="85"/>
      <c r="AI8" s="84">
        <f t="shared" si="8"/>
        <v>8435390.4761904478</v>
      </c>
      <c r="AJ8" s="85"/>
      <c r="AK8" s="84">
        <f t="shared" si="9"/>
        <v>8435390.4761904478</v>
      </c>
      <c r="AL8" s="85"/>
      <c r="AM8" s="84">
        <f t="shared" si="10"/>
        <v>8435390.4761904478</v>
      </c>
      <c r="AN8" s="85"/>
      <c r="AO8" s="84">
        <f t="shared" si="11"/>
        <v>8435390.4761904478</v>
      </c>
      <c r="AP8" s="85"/>
      <c r="AQ8" s="84">
        <f t="shared" si="12"/>
        <v>8435390.4761904478</v>
      </c>
      <c r="AR8" s="85"/>
      <c r="AS8" s="84">
        <f t="shared" si="13"/>
        <v>8435390.4761904478</v>
      </c>
      <c r="AT8" s="85"/>
      <c r="AU8" s="84">
        <f t="shared" si="14"/>
        <v>8435390.4761904478</v>
      </c>
      <c r="AV8" s="85"/>
      <c r="AW8" s="84">
        <f t="shared" si="15"/>
        <v>8435390.4761904478</v>
      </c>
      <c r="AX8" s="86">
        <f t="shared" si="16"/>
        <v>5442176.9523809524</v>
      </c>
      <c r="AY8" s="87">
        <f t="shared" si="17"/>
        <v>8435390.4761904515</v>
      </c>
      <c r="AZ8" s="65" t="b">
        <f t="shared" si="18"/>
        <v>1</v>
      </c>
    </row>
    <row r="9" spans="1:53" s="67" customFormat="1" ht="20.25" hidden="1" customHeight="1">
      <c r="A9" s="68">
        <v>4</v>
      </c>
      <c r="B9" s="69" t="s">
        <v>72</v>
      </c>
      <c r="C9" s="88" t="s">
        <v>73</v>
      </c>
      <c r="D9" s="71" t="s">
        <v>64</v>
      </c>
      <c r="E9" s="88" t="s">
        <v>74</v>
      </c>
      <c r="F9" s="89">
        <v>0</v>
      </c>
      <c r="G9" s="88">
        <v>20191130</v>
      </c>
      <c r="H9" s="88">
        <v>19110454</v>
      </c>
      <c r="I9" s="74" t="s">
        <v>66</v>
      </c>
      <c r="J9" s="88" t="s">
        <v>67</v>
      </c>
      <c r="K9" s="68" t="s">
        <v>68</v>
      </c>
      <c r="L9" s="70" t="s">
        <v>69</v>
      </c>
      <c r="M9" s="88" t="s">
        <v>55</v>
      </c>
      <c r="N9" s="88" t="s">
        <v>56</v>
      </c>
      <c r="O9" s="77"/>
      <c r="P9" s="90">
        <v>43922</v>
      </c>
      <c r="Q9" s="78">
        <v>47573</v>
      </c>
      <c r="R9" s="79">
        <v>120</v>
      </c>
      <c r="S9" s="79">
        <f t="shared" si="0"/>
        <v>10</v>
      </c>
      <c r="T9" s="91">
        <v>1983333333</v>
      </c>
      <c r="U9" s="81"/>
      <c r="V9" s="91">
        <v>1983333333</v>
      </c>
      <c r="W9" s="83">
        <f t="shared" si="1"/>
        <v>16527777.775</v>
      </c>
      <c r="X9" s="83">
        <v>1195000011.9000013</v>
      </c>
      <c r="Y9" s="84">
        <v>788333321.09999871</v>
      </c>
      <c r="Z9" s="85">
        <f t="shared" si="2"/>
        <v>16527777.775</v>
      </c>
      <c r="AA9" s="84">
        <f>+V9-X9-Z9</f>
        <v>771805543.32499874</v>
      </c>
      <c r="AB9" s="85">
        <f t="shared" si="3"/>
        <v>16527777.775</v>
      </c>
      <c r="AC9" s="84">
        <f t="shared" si="4"/>
        <v>755277765.54999876</v>
      </c>
      <c r="AD9" s="85">
        <f t="shared" si="5"/>
        <v>16527777.775</v>
      </c>
      <c r="AE9" s="84">
        <f t="shared" si="6"/>
        <v>738749987.77499878</v>
      </c>
      <c r="AF9" s="85">
        <f t="shared" si="5"/>
        <v>16527777.775</v>
      </c>
      <c r="AG9" s="84">
        <f t="shared" si="7"/>
        <v>722222209.99999881</v>
      </c>
      <c r="AH9" s="85"/>
      <c r="AI9" s="84">
        <f t="shared" si="8"/>
        <v>722222209.99999881</v>
      </c>
      <c r="AJ9" s="85"/>
      <c r="AK9" s="84">
        <f t="shared" si="9"/>
        <v>722222209.99999881</v>
      </c>
      <c r="AL9" s="85"/>
      <c r="AM9" s="84">
        <f t="shared" si="10"/>
        <v>722222209.99999881</v>
      </c>
      <c r="AN9" s="85"/>
      <c r="AO9" s="84">
        <f t="shared" si="11"/>
        <v>722222209.99999881</v>
      </c>
      <c r="AP9" s="85"/>
      <c r="AQ9" s="84">
        <f t="shared" si="12"/>
        <v>722222209.99999881</v>
      </c>
      <c r="AR9" s="85"/>
      <c r="AS9" s="84">
        <f t="shared" si="13"/>
        <v>722222209.99999881</v>
      </c>
      <c r="AT9" s="85"/>
      <c r="AU9" s="84">
        <f t="shared" si="14"/>
        <v>722222209.99999881</v>
      </c>
      <c r="AV9" s="85"/>
      <c r="AW9" s="84">
        <f t="shared" si="15"/>
        <v>722222209.99999881</v>
      </c>
      <c r="AX9" s="86">
        <f t="shared" si="16"/>
        <v>66111111.100000001</v>
      </c>
      <c r="AY9" s="87">
        <f t="shared" si="17"/>
        <v>722222209.99999869</v>
      </c>
      <c r="AZ9" s="65" t="b">
        <f t="shared" si="18"/>
        <v>1</v>
      </c>
    </row>
    <row r="10" spans="1:53" s="67" customFormat="1" ht="20.25" hidden="1" customHeight="1">
      <c r="A10" s="68">
        <v>5</v>
      </c>
      <c r="B10" s="69" t="s">
        <v>75</v>
      </c>
      <c r="C10" s="88" t="s">
        <v>73</v>
      </c>
      <c r="D10" s="71" t="s">
        <v>64</v>
      </c>
      <c r="E10" s="88" t="s">
        <v>76</v>
      </c>
      <c r="F10" s="92" t="s">
        <v>77</v>
      </c>
      <c r="G10" s="88">
        <v>20220518</v>
      </c>
      <c r="H10" s="88">
        <v>22050275</v>
      </c>
      <c r="I10" s="74" t="s">
        <v>66</v>
      </c>
      <c r="J10" s="88" t="s">
        <v>67</v>
      </c>
      <c r="K10" s="68" t="s">
        <v>78</v>
      </c>
      <c r="L10" s="70" t="s">
        <v>79</v>
      </c>
      <c r="M10" s="88" t="s">
        <v>70</v>
      </c>
      <c r="N10" s="88" t="s">
        <v>71</v>
      </c>
      <c r="O10" s="77"/>
      <c r="P10" s="90">
        <v>44713</v>
      </c>
      <c r="Q10" s="78">
        <v>46538</v>
      </c>
      <c r="R10" s="79">
        <v>60</v>
      </c>
      <c r="S10" s="79">
        <f t="shared" si="0"/>
        <v>5</v>
      </c>
      <c r="T10" s="91">
        <v>560000000</v>
      </c>
      <c r="U10" s="81"/>
      <c r="V10" s="82">
        <v>560000000</v>
      </c>
      <c r="W10" s="83">
        <f t="shared" si="1"/>
        <v>9333333.333333334</v>
      </c>
      <c r="X10" s="83">
        <v>401333333.33333308</v>
      </c>
      <c r="Y10" s="84">
        <v>158666666.66666692</v>
      </c>
      <c r="Z10" s="85">
        <f t="shared" si="2"/>
        <v>9333333.333333334</v>
      </c>
      <c r="AA10" s="84">
        <f>+V10-X10-Z10</f>
        <v>149333333.33333358</v>
      </c>
      <c r="AB10" s="85">
        <f t="shared" si="3"/>
        <v>9333333.333333334</v>
      </c>
      <c r="AC10" s="84">
        <f t="shared" si="4"/>
        <v>140000000.00000024</v>
      </c>
      <c r="AD10" s="85">
        <f t="shared" si="5"/>
        <v>9333333.333333334</v>
      </c>
      <c r="AE10" s="84">
        <f t="shared" si="6"/>
        <v>130666666.66666691</v>
      </c>
      <c r="AF10" s="85">
        <f t="shared" si="5"/>
        <v>9333333.333333334</v>
      </c>
      <c r="AG10" s="84">
        <f t="shared" si="7"/>
        <v>121333333.33333358</v>
      </c>
      <c r="AH10" s="85"/>
      <c r="AI10" s="84">
        <f t="shared" si="8"/>
        <v>121333333.33333358</v>
      </c>
      <c r="AJ10" s="85"/>
      <c r="AK10" s="84">
        <f t="shared" si="9"/>
        <v>121333333.33333358</v>
      </c>
      <c r="AL10" s="85"/>
      <c r="AM10" s="84">
        <f t="shared" si="10"/>
        <v>121333333.33333358</v>
      </c>
      <c r="AN10" s="85"/>
      <c r="AO10" s="84">
        <f t="shared" si="11"/>
        <v>121333333.33333358</v>
      </c>
      <c r="AP10" s="85"/>
      <c r="AQ10" s="84">
        <f t="shared" si="12"/>
        <v>121333333.33333358</v>
      </c>
      <c r="AR10" s="85"/>
      <c r="AS10" s="84">
        <f t="shared" si="13"/>
        <v>121333333.33333358</v>
      </c>
      <c r="AT10" s="85"/>
      <c r="AU10" s="84">
        <f t="shared" si="14"/>
        <v>121333333.33333358</v>
      </c>
      <c r="AV10" s="85"/>
      <c r="AW10" s="84">
        <f t="shared" si="15"/>
        <v>121333333.33333358</v>
      </c>
      <c r="AX10" s="86">
        <f t="shared" si="16"/>
        <v>37333333.333333336</v>
      </c>
      <c r="AY10" s="87">
        <f t="shared" si="17"/>
        <v>121333333.33333358</v>
      </c>
      <c r="AZ10" s="65" t="b">
        <f t="shared" si="18"/>
        <v>1</v>
      </c>
    </row>
    <row r="11" spans="1:53" s="67" customFormat="1" ht="20.25" hidden="1" customHeight="1">
      <c r="A11" s="68">
        <v>6</v>
      </c>
      <c r="B11" s="69" t="s">
        <v>80</v>
      </c>
      <c r="C11" s="88" t="s">
        <v>81</v>
      </c>
      <c r="D11" s="71" t="s">
        <v>82</v>
      </c>
      <c r="E11" s="93" t="s">
        <v>83</v>
      </c>
      <c r="F11" s="92"/>
      <c r="G11" s="88">
        <v>20221031</v>
      </c>
      <c r="H11" s="88">
        <v>22100716</v>
      </c>
      <c r="I11" s="74" t="s">
        <v>84</v>
      </c>
      <c r="J11" s="88" t="s">
        <v>85</v>
      </c>
      <c r="K11" s="68" t="s">
        <v>86</v>
      </c>
      <c r="L11" s="70" t="s">
        <v>87</v>
      </c>
      <c r="M11" s="88" t="s">
        <v>88</v>
      </c>
      <c r="N11" s="88" t="s">
        <v>89</v>
      </c>
      <c r="O11" s="77"/>
      <c r="P11" s="90">
        <v>44866</v>
      </c>
      <c r="Q11" s="78">
        <v>46691</v>
      </c>
      <c r="R11" s="79">
        <v>60</v>
      </c>
      <c r="S11" s="79">
        <f t="shared" si="0"/>
        <v>5</v>
      </c>
      <c r="T11" s="91">
        <v>635000001</v>
      </c>
      <c r="U11" s="81"/>
      <c r="V11" s="82">
        <v>635000001</v>
      </c>
      <c r="W11" s="83">
        <f t="shared" si="1"/>
        <v>10583333.35</v>
      </c>
      <c r="X11" s="83">
        <v>402166667.30000031</v>
      </c>
      <c r="Y11" s="84">
        <v>232833333.69999969</v>
      </c>
      <c r="Z11" s="85">
        <f t="shared" si="2"/>
        <v>10583333.35</v>
      </c>
      <c r="AA11" s="84">
        <f>+V11-X11-Z11</f>
        <v>222250000.3499997</v>
      </c>
      <c r="AB11" s="85">
        <f t="shared" si="3"/>
        <v>10583333.35</v>
      </c>
      <c r="AC11" s="84">
        <f t="shared" si="4"/>
        <v>211666666.9999997</v>
      </c>
      <c r="AD11" s="85">
        <f t="shared" si="5"/>
        <v>10583333.35</v>
      </c>
      <c r="AE11" s="84">
        <f t="shared" si="6"/>
        <v>201083333.64999971</v>
      </c>
      <c r="AF11" s="85">
        <f t="shared" si="5"/>
        <v>10583333.35</v>
      </c>
      <c r="AG11" s="84">
        <f t="shared" si="7"/>
        <v>190500000.29999971</v>
      </c>
      <c r="AH11" s="85"/>
      <c r="AI11" s="84">
        <f t="shared" si="8"/>
        <v>190500000.29999971</v>
      </c>
      <c r="AJ11" s="85"/>
      <c r="AK11" s="84">
        <f t="shared" si="9"/>
        <v>190500000.29999971</v>
      </c>
      <c r="AL11" s="85"/>
      <c r="AM11" s="84">
        <f t="shared" si="10"/>
        <v>190500000.29999971</v>
      </c>
      <c r="AN11" s="85"/>
      <c r="AO11" s="84">
        <f t="shared" si="11"/>
        <v>190500000.29999971</v>
      </c>
      <c r="AP11" s="85"/>
      <c r="AQ11" s="84">
        <f t="shared" si="12"/>
        <v>190500000.29999971</v>
      </c>
      <c r="AR11" s="85"/>
      <c r="AS11" s="84">
        <f t="shared" si="13"/>
        <v>190500000.29999971</v>
      </c>
      <c r="AT11" s="85"/>
      <c r="AU11" s="84">
        <f t="shared" si="14"/>
        <v>190500000.29999971</v>
      </c>
      <c r="AV11" s="85"/>
      <c r="AW11" s="84">
        <f t="shared" si="15"/>
        <v>190500000.29999971</v>
      </c>
      <c r="AX11" s="86">
        <f t="shared" si="16"/>
        <v>42333333.399999999</v>
      </c>
      <c r="AY11" s="87">
        <f t="shared" si="17"/>
        <v>190500000.29999968</v>
      </c>
      <c r="AZ11" s="65" t="b">
        <f t="shared" si="18"/>
        <v>1</v>
      </c>
    </row>
    <row r="12" spans="1:53" s="67" customFormat="1" ht="22.5" hidden="1" customHeight="1">
      <c r="A12" s="68">
        <v>7</v>
      </c>
      <c r="B12" s="69" t="s">
        <v>90</v>
      </c>
      <c r="C12" s="88" t="s">
        <v>91</v>
      </c>
      <c r="D12" s="71" t="s">
        <v>64</v>
      </c>
      <c r="E12" s="88" t="s">
        <v>92</v>
      </c>
      <c r="F12" s="89" t="s">
        <v>93</v>
      </c>
      <c r="G12" s="88">
        <v>20230131</v>
      </c>
      <c r="H12" s="88">
        <v>23010429</v>
      </c>
      <c r="I12" s="74" t="s">
        <v>66</v>
      </c>
      <c r="J12" s="88" t="s">
        <v>67</v>
      </c>
      <c r="K12" s="68" t="s">
        <v>68</v>
      </c>
      <c r="L12" s="70" t="s">
        <v>69</v>
      </c>
      <c r="M12" s="88" t="s">
        <v>70</v>
      </c>
      <c r="N12" s="88" t="s">
        <v>71</v>
      </c>
      <c r="O12" s="77"/>
      <c r="P12" s="90">
        <v>44958</v>
      </c>
      <c r="Q12" s="94">
        <f t="shared" ref="Q12:Q75" si="19">+EDATE(P12,R12)-DAY(P12)</f>
        <v>46053</v>
      </c>
      <c r="R12" s="79">
        <v>36</v>
      </c>
      <c r="S12" s="79">
        <f t="shared" si="0"/>
        <v>3</v>
      </c>
      <c r="T12" s="91">
        <v>56024000</v>
      </c>
      <c r="U12" s="81"/>
      <c r="V12" s="82">
        <v>56024000</v>
      </c>
      <c r="W12" s="83">
        <f t="shared" si="1"/>
        <v>1556222.2222222222</v>
      </c>
      <c r="X12" s="83">
        <v>54467777.777777806</v>
      </c>
      <c r="Y12" s="82">
        <v>1556222.2222221978</v>
      </c>
      <c r="Z12" s="85">
        <f t="shared" si="2"/>
        <v>1556222.2222222222</v>
      </c>
      <c r="AA12" s="84">
        <v>0</v>
      </c>
      <c r="AB12" s="85">
        <f t="shared" si="3"/>
        <v>0</v>
      </c>
      <c r="AC12" s="84">
        <f t="shared" si="4"/>
        <v>0</v>
      </c>
      <c r="AD12" s="85">
        <f t="shared" si="5"/>
        <v>0</v>
      </c>
      <c r="AE12" s="84">
        <f t="shared" si="6"/>
        <v>0</v>
      </c>
      <c r="AF12" s="85">
        <f t="shared" si="5"/>
        <v>0</v>
      </c>
      <c r="AG12" s="84">
        <f t="shared" si="7"/>
        <v>0</v>
      </c>
      <c r="AH12" s="85"/>
      <c r="AI12" s="84">
        <f t="shared" si="8"/>
        <v>0</v>
      </c>
      <c r="AJ12" s="85"/>
      <c r="AK12" s="84">
        <f t="shared" si="9"/>
        <v>0</v>
      </c>
      <c r="AL12" s="85"/>
      <c r="AM12" s="84">
        <f t="shared" si="10"/>
        <v>0</v>
      </c>
      <c r="AN12" s="85"/>
      <c r="AO12" s="84">
        <f t="shared" si="11"/>
        <v>0</v>
      </c>
      <c r="AP12" s="85"/>
      <c r="AQ12" s="84">
        <f t="shared" si="12"/>
        <v>0</v>
      </c>
      <c r="AR12" s="85"/>
      <c r="AS12" s="84">
        <f t="shared" si="13"/>
        <v>0</v>
      </c>
      <c r="AT12" s="85"/>
      <c r="AU12" s="84">
        <f t="shared" si="14"/>
        <v>0</v>
      </c>
      <c r="AV12" s="85"/>
      <c r="AW12" s="84">
        <f t="shared" si="15"/>
        <v>0</v>
      </c>
      <c r="AX12" s="86">
        <f t="shared" si="16"/>
        <v>1556222.2222222222</v>
      </c>
      <c r="AY12" s="87">
        <f t="shared" si="17"/>
        <v>-2.8172507882118225E-8</v>
      </c>
      <c r="AZ12" s="65" t="b">
        <f t="shared" si="18"/>
        <v>1</v>
      </c>
    </row>
    <row r="13" spans="1:53" s="67" customFormat="1" ht="22.5" hidden="1" customHeight="1">
      <c r="A13" s="68">
        <v>8</v>
      </c>
      <c r="B13" s="69" t="s">
        <v>94</v>
      </c>
      <c r="C13" s="88" t="s">
        <v>81</v>
      </c>
      <c r="D13" s="71" t="s">
        <v>95</v>
      </c>
      <c r="E13" s="88" t="s">
        <v>96</v>
      </c>
      <c r="F13" s="92" t="s">
        <v>97</v>
      </c>
      <c r="G13" s="88">
        <v>20230331</v>
      </c>
      <c r="H13" s="88">
        <v>23030757</v>
      </c>
      <c r="I13" s="95" t="s">
        <v>98</v>
      </c>
      <c r="J13" s="88" t="s">
        <v>67</v>
      </c>
      <c r="K13" s="68" t="s">
        <v>99</v>
      </c>
      <c r="L13" s="70" t="s">
        <v>100</v>
      </c>
      <c r="M13" s="88" t="s">
        <v>101</v>
      </c>
      <c r="N13" s="88" t="s">
        <v>102</v>
      </c>
      <c r="O13" s="77"/>
      <c r="P13" s="90">
        <v>45017</v>
      </c>
      <c r="Q13" s="94">
        <f t="shared" si="19"/>
        <v>46112</v>
      </c>
      <c r="R13" s="79">
        <v>36</v>
      </c>
      <c r="S13" s="79">
        <f t="shared" si="0"/>
        <v>3</v>
      </c>
      <c r="T13" s="91">
        <v>148000000</v>
      </c>
      <c r="U13" s="81"/>
      <c r="V13" s="82">
        <f t="shared" ref="V13:V76" si="20">T13</f>
        <v>148000000</v>
      </c>
      <c r="W13" s="83">
        <f t="shared" ref="W13:W76" si="21">V13/R13</f>
        <v>4111111.111111111</v>
      </c>
      <c r="X13" s="83">
        <v>135666666.66666663</v>
      </c>
      <c r="Y13" s="82">
        <v>12333333.333333381</v>
      </c>
      <c r="Z13" s="85">
        <f t="shared" si="2"/>
        <v>4111111.111111111</v>
      </c>
      <c r="AA13" s="84">
        <f t="shared" ref="AA13:AA76" si="22">+V13-X13-Z13</f>
        <v>8222222.2222222621</v>
      </c>
      <c r="AB13" s="85">
        <f t="shared" si="3"/>
        <v>4111111.111111111</v>
      </c>
      <c r="AC13" s="84">
        <f t="shared" si="4"/>
        <v>4111111.1111111511</v>
      </c>
      <c r="AD13" s="85">
        <f>+AC13</f>
        <v>4111111.1111111511</v>
      </c>
      <c r="AE13" s="84">
        <f t="shared" si="6"/>
        <v>0</v>
      </c>
      <c r="AF13" s="85">
        <f t="shared" si="5"/>
        <v>0</v>
      </c>
      <c r="AG13" s="84">
        <f t="shared" si="7"/>
        <v>0</v>
      </c>
      <c r="AH13" s="85"/>
      <c r="AI13" s="84">
        <f t="shared" si="8"/>
        <v>0</v>
      </c>
      <c r="AJ13" s="85"/>
      <c r="AK13" s="84">
        <f t="shared" si="9"/>
        <v>0</v>
      </c>
      <c r="AL13" s="85"/>
      <c r="AM13" s="84">
        <f t="shared" si="10"/>
        <v>0</v>
      </c>
      <c r="AN13" s="85"/>
      <c r="AO13" s="84">
        <f t="shared" si="11"/>
        <v>0</v>
      </c>
      <c r="AP13" s="85"/>
      <c r="AQ13" s="84">
        <f t="shared" si="12"/>
        <v>0</v>
      </c>
      <c r="AR13" s="85"/>
      <c r="AS13" s="84">
        <f t="shared" si="13"/>
        <v>0</v>
      </c>
      <c r="AT13" s="85"/>
      <c r="AU13" s="84">
        <f t="shared" si="14"/>
        <v>0</v>
      </c>
      <c r="AV13" s="85"/>
      <c r="AW13" s="84">
        <f t="shared" si="15"/>
        <v>0</v>
      </c>
      <c r="AX13" s="86">
        <f t="shared" si="16"/>
        <v>12333333.333333373</v>
      </c>
      <c r="AY13" s="87">
        <f t="shared" si="17"/>
        <v>0</v>
      </c>
      <c r="AZ13" s="65" t="b">
        <f t="shared" si="18"/>
        <v>1</v>
      </c>
    </row>
    <row r="14" spans="1:53" s="67" customFormat="1" ht="22.5" hidden="1" customHeight="1">
      <c r="A14" s="68">
        <v>9</v>
      </c>
      <c r="B14" s="69" t="s">
        <v>103</v>
      </c>
      <c r="C14" s="88" t="s">
        <v>81</v>
      </c>
      <c r="D14" s="71" t="s">
        <v>95</v>
      </c>
      <c r="E14" s="88" t="s">
        <v>96</v>
      </c>
      <c r="F14" s="92" t="s">
        <v>97</v>
      </c>
      <c r="G14" s="88">
        <v>20230331</v>
      </c>
      <c r="H14" s="88">
        <v>23031072</v>
      </c>
      <c r="I14" s="95" t="s">
        <v>98</v>
      </c>
      <c r="J14" s="88" t="s">
        <v>67</v>
      </c>
      <c r="K14" s="68" t="s">
        <v>99</v>
      </c>
      <c r="L14" s="70" t="s">
        <v>100</v>
      </c>
      <c r="M14" s="88" t="s">
        <v>101</v>
      </c>
      <c r="N14" s="88" t="s">
        <v>102</v>
      </c>
      <c r="O14" s="77"/>
      <c r="P14" s="90">
        <v>45017</v>
      </c>
      <c r="Q14" s="94">
        <f t="shared" si="19"/>
        <v>46112</v>
      </c>
      <c r="R14" s="79">
        <v>36</v>
      </c>
      <c r="S14" s="79">
        <f t="shared" si="0"/>
        <v>3</v>
      </c>
      <c r="T14" s="91">
        <v>520550328</v>
      </c>
      <c r="U14" s="81"/>
      <c r="V14" s="82">
        <f t="shared" si="20"/>
        <v>520550328</v>
      </c>
      <c r="W14" s="83">
        <f t="shared" si="21"/>
        <v>14459731.333333334</v>
      </c>
      <c r="X14" s="83">
        <v>477171133.99999982</v>
      </c>
      <c r="Y14" s="82">
        <v>43379194.000000179</v>
      </c>
      <c r="Z14" s="85">
        <f t="shared" si="2"/>
        <v>14459731.333333334</v>
      </c>
      <c r="AA14" s="84">
        <f t="shared" si="22"/>
        <v>28919462.666666843</v>
      </c>
      <c r="AB14" s="85">
        <f t="shared" si="3"/>
        <v>14459731.333333334</v>
      </c>
      <c r="AC14" s="84">
        <f t="shared" si="4"/>
        <v>14459731.333333509</v>
      </c>
      <c r="AD14" s="85">
        <f>+AC14</f>
        <v>14459731.333333509</v>
      </c>
      <c r="AE14" s="84">
        <f t="shared" si="6"/>
        <v>0</v>
      </c>
      <c r="AF14" s="85">
        <f t="shared" si="5"/>
        <v>0</v>
      </c>
      <c r="AG14" s="84">
        <f t="shared" si="7"/>
        <v>0</v>
      </c>
      <c r="AH14" s="85"/>
      <c r="AI14" s="84">
        <f t="shared" si="8"/>
        <v>0</v>
      </c>
      <c r="AJ14" s="85"/>
      <c r="AK14" s="84">
        <f t="shared" si="9"/>
        <v>0</v>
      </c>
      <c r="AL14" s="85"/>
      <c r="AM14" s="84">
        <f t="shared" si="10"/>
        <v>0</v>
      </c>
      <c r="AN14" s="85"/>
      <c r="AO14" s="84">
        <f t="shared" si="11"/>
        <v>0</v>
      </c>
      <c r="AP14" s="85"/>
      <c r="AQ14" s="84">
        <f t="shared" si="12"/>
        <v>0</v>
      </c>
      <c r="AR14" s="85"/>
      <c r="AS14" s="84">
        <f t="shared" si="13"/>
        <v>0</v>
      </c>
      <c r="AT14" s="85"/>
      <c r="AU14" s="84">
        <f t="shared" si="14"/>
        <v>0</v>
      </c>
      <c r="AV14" s="85"/>
      <c r="AW14" s="84">
        <f t="shared" si="15"/>
        <v>0</v>
      </c>
      <c r="AX14" s="86">
        <f t="shared" si="16"/>
        <v>43379194.000000179</v>
      </c>
      <c r="AY14" s="87">
        <f t="shared" si="17"/>
        <v>0</v>
      </c>
      <c r="AZ14" s="65" t="b">
        <f t="shared" si="18"/>
        <v>1</v>
      </c>
    </row>
    <row r="15" spans="1:53" s="67" customFormat="1" ht="22.5" hidden="1" customHeight="1">
      <c r="A15" s="68">
        <v>10</v>
      </c>
      <c r="B15" s="69" t="s">
        <v>104</v>
      </c>
      <c r="C15" s="88" t="s">
        <v>105</v>
      </c>
      <c r="D15" s="71" t="s">
        <v>106</v>
      </c>
      <c r="E15" s="88" t="s">
        <v>107</v>
      </c>
      <c r="F15" s="89" t="s">
        <v>108</v>
      </c>
      <c r="G15" s="88">
        <v>20230316</v>
      </c>
      <c r="H15" s="88">
        <v>23030272</v>
      </c>
      <c r="I15" s="74" t="s">
        <v>66</v>
      </c>
      <c r="J15" s="88" t="s">
        <v>67</v>
      </c>
      <c r="K15" s="68" t="s">
        <v>109</v>
      </c>
      <c r="L15" s="70" t="s">
        <v>110</v>
      </c>
      <c r="M15" s="88" t="s">
        <v>111</v>
      </c>
      <c r="N15" s="88" t="s">
        <v>112</v>
      </c>
      <c r="O15" s="77"/>
      <c r="P15" s="90">
        <v>45017</v>
      </c>
      <c r="Q15" s="94">
        <f t="shared" si="19"/>
        <v>46112</v>
      </c>
      <c r="R15" s="79">
        <v>36</v>
      </c>
      <c r="S15" s="79">
        <f t="shared" si="0"/>
        <v>3</v>
      </c>
      <c r="T15" s="91">
        <v>215000000</v>
      </c>
      <c r="U15" s="81"/>
      <c r="V15" s="82">
        <f t="shared" si="20"/>
        <v>215000000</v>
      </c>
      <c r="W15" s="83">
        <f t="shared" si="21"/>
        <v>5972222.222222222</v>
      </c>
      <c r="X15" s="83">
        <v>197083333.33333322</v>
      </c>
      <c r="Y15" s="82">
        <v>17916666.666666776</v>
      </c>
      <c r="Z15" s="85">
        <f t="shared" si="2"/>
        <v>5972222.222222222</v>
      </c>
      <c r="AA15" s="84">
        <f t="shared" si="22"/>
        <v>11944444.444444554</v>
      </c>
      <c r="AB15" s="85">
        <f t="shared" si="3"/>
        <v>5972222.222222222</v>
      </c>
      <c r="AC15" s="84">
        <f t="shared" si="4"/>
        <v>5972222.2222223319</v>
      </c>
      <c r="AD15" s="85">
        <f>+AC15</f>
        <v>5972222.2222223319</v>
      </c>
      <c r="AE15" s="84">
        <f t="shared" si="6"/>
        <v>0</v>
      </c>
      <c r="AF15" s="85">
        <f t="shared" si="5"/>
        <v>0</v>
      </c>
      <c r="AG15" s="84">
        <f t="shared" si="7"/>
        <v>0</v>
      </c>
      <c r="AH15" s="85"/>
      <c r="AI15" s="84">
        <f t="shared" si="8"/>
        <v>0</v>
      </c>
      <c r="AJ15" s="85"/>
      <c r="AK15" s="84">
        <f t="shared" si="9"/>
        <v>0</v>
      </c>
      <c r="AL15" s="85"/>
      <c r="AM15" s="84">
        <f t="shared" si="10"/>
        <v>0</v>
      </c>
      <c r="AN15" s="85"/>
      <c r="AO15" s="84">
        <f t="shared" si="11"/>
        <v>0</v>
      </c>
      <c r="AP15" s="85"/>
      <c r="AQ15" s="84">
        <f t="shared" si="12"/>
        <v>0</v>
      </c>
      <c r="AR15" s="85"/>
      <c r="AS15" s="84">
        <f t="shared" si="13"/>
        <v>0</v>
      </c>
      <c r="AT15" s="85"/>
      <c r="AU15" s="84">
        <f t="shared" si="14"/>
        <v>0</v>
      </c>
      <c r="AV15" s="85"/>
      <c r="AW15" s="84">
        <f t="shared" si="15"/>
        <v>0</v>
      </c>
      <c r="AX15" s="86">
        <f t="shared" si="16"/>
        <v>17916666.666666776</v>
      </c>
      <c r="AY15" s="87">
        <f t="shared" si="17"/>
        <v>0</v>
      </c>
      <c r="AZ15" s="65" t="b">
        <f t="shared" si="18"/>
        <v>1</v>
      </c>
    </row>
    <row r="16" spans="1:53" s="67" customFormat="1" ht="24.75" hidden="1" customHeight="1">
      <c r="A16" s="68">
        <v>11</v>
      </c>
      <c r="B16" s="69" t="s">
        <v>113</v>
      </c>
      <c r="C16" s="88" t="s">
        <v>73</v>
      </c>
      <c r="D16" s="71" t="s">
        <v>114</v>
      </c>
      <c r="E16" s="88" t="s">
        <v>115</v>
      </c>
      <c r="F16" s="89" t="s">
        <v>116</v>
      </c>
      <c r="G16" s="88">
        <v>20230323</v>
      </c>
      <c r="H16" s="88">
        <v>23030982</v>
      </c>
      <c r="I16" s="74" t="s">
        <v>84</v>
      </c>
      <c r="J16" s="88" t="s">
        <v>85</v>
      </c>
      <c r="K16" s="68" t="s">
        <v>117</v>
      </c>
      <c r="L16" s="70" t="s">
        <v>118</v>
      </c>
      <c r="M16" s="88" t="s">
        <v>70</v>
      </c>
      <c r="N16" s="88" t="s">
        <v>71</v>
      </c>
      <c r="O16" s="77"/>
      <c r="P16" s="90">
        <v>45017</v>
      </c>
      <c r="Q16" s="94">
        <f t="shared" si="19"/>
        <v>46112</v>
      </c>
      <c r="R16" s="79">
        <v>36</v>
      </c>
      <c r="S16" s="79">
        <f t="shared" si="0"/>
        <v>3</v>
      </c>
      <c r="T16" s="91">
        <v>295000000</v>
      </c>
      <c r="U16" s="81"/>
      <c r="V16" s="82">
        <f t="shared" si="20"/>
        <v>295000000</v>
      </c>
      <c r="W16" s="83">
        <f t="shared" si="21"/>
        <v>8194444.444444444</v>
      </c>
      <c r="X16" s="83">
        <v>270416666.66666669</v>
      </c>
      <c r="Y16" s="82">
        <v>24583333.333333328</v>
      </c>
      <c r="Z16" s="85">
        <f t="shared" si="2"/>
        <v>8194444.444444444</v>
      </c>
      <c r="AA16" s="84">
        <f t="shared" si="22"/>
        <v>16388888.888888869</v>
      </c>
      <c r="AB16" s="85">
        <f t="shared" si="3"/>
        <v>8194444.444444444</v>
      </c>
      <c r="AC16" s="84">
        <f t="shared" si="4"/>
        <v>8194444.4444444254</v>
      </c>
      <c r="AD16" s="85">
        <f>+AC16</f>
        <v>8194444.4444444254</v>
      </c>
      <c r="AE16" s="84">
        <f t="shared" si="6"/>
        <v>0</v>
      </c>
      <c r="AF16" s="85">
        <f t="shared" si="5"/>
        <v>0</v>
      </c>
      <c r="AG16" s="84">
        <f t="shared" si="7"/>
        <v>0</v>
      </c>
      <c r="AH16" s="85"/>
      <c r="AI16" s="84">
        <f t="shared" si="8"/>
        <v>0</v>
      </c>
      <c r="AJ16" s="85"/>
      <c r="AK16" s="84">
        <f t="shared" si="9"/>
        <v>0</v>
      </c>
      <c r="AL16" s="85"/>
      <c r="AM16" s="84">
        <f t="shared" si="10"/>
        <v>0</v>
      </c>
      <c r="AN16" s="85"/>
      <c r="AO16" s="84">
        <f t="shared" si="11"/>
        <v>0</v>
      </c>
      <c r="AP16" s="85"/>
      <c r="AQ16" s="84">
        <f t="shared" si="12"/>
        <v>0</v>
      </c>
      <c r="AR16" s="85"/>
      <c r="AS16" s="84">
        <f t="shared" si="13"/>
        <v>0</v>
      </c>
      <c r="AT16" s="85"/>
      <c r="AU16" s="84">
        <f t="shared" si="14"/>
        <v>0</v>
      </c>
      <c r="AV16" s="85"/>
      <c r="AW16" s="84">
        <f t="shared" si="15"/>
        <v>0</v>
      </c>
      <c r="AX16" s="86">
        <f t="shared" si="16"/>
        <v>24583333.333333313</v>
      </c>
      <c r="AY16" s="87">
        <f t="shared" si="17"/>
        <v>0</v>
      </c>
      <c r="AZ16" s="65" t="b">
        <f t="shared" si="18"/>
        <v>1</v>
      </c>
    </row>
    <row r="17" spans="1:52" s="67" customFormat="1" ht="24.75" hidden="1" customHeight="1">
      <c r="A17" s="68">
        <v>12</v>
      </c>
      <c r="B17" s="69" t="s">
        <v>119</v>
      </c>
      <c r="C17" s="88" t="s">
        <v>73</v>
      </c>
      <c r="D17" s="71" t="s">
        <v>114</v>
      </c>
      <c r="E17" s="88" t="s">
        <v>120</v>
      </c>
      <c r="F17" s="89" t="s">
        <v>121</v>
      </c>
      <c r="G17" s="88">
        <v>20230411</v>
      </c>
      <c r="H17" s="88">
        <v>23041015</v>
      </c>
      <c r="I17" s="74" t="s">
        <v>66</v>
      </c>
      <c r="J17" s="88" t="s">
        <v>67</v>
      </c>
      <c r="K17" s="68" t="s">
        <v>68</v>
      </c>
      <c r="L17" s="70" t="s">
        <v>69</v>
      </c>
      <c r="M17" s="88" t="s">
        <v>55</v>
      </c>
      <c r="N17" s="88" t="s">
        <v>56</v>
      </c>
      <c r="O17" s="77"/>
      <c r="P17" s="90">
        <v>45047</v>
      </c>
      <c r="Q17" s="94">
        <f t="shared" si="19"/>
        <v>46142</v>
      </c>
      <c r="R17" s="79">
        <v>36</v>
      </c>
      <c r="S17" s="79">
        <f t="shared" si="0"/>
        <v>3</v>
      </c>
      <c r="T17" s="91">
        <v>299275000</v>
      </c>
      <c r="U17" s="81"/>
      <c r="V17" s="82">
        <f t="shared" si="20"/>
        <v>299275000</v>
      </c>
      <c r="W17" s="83">
        <f t="shared" si="21"/>
        <v>8313194.444444444</v>
      </c>
      <c r="X17" s="83">
        <v>266022222.22222221</v>
      </c>
      <c r="Y17" s="82">
        <v>33252777.777777806</v>
      </c>
      <c r="Z17" s="85">
        <f t="shared" si="2"/>
        <v>8313194.444444444</v>
      </c>
      <c r="AA17" s="84">
        <f t="shared" si="22"/>
        <v>24939583.333333347</v>
      </c>
      <c r="AB17" s="85">
        <f t="shared" si="3"/>
        <v>8313194.444444444</v>
      </c>
      <c r="AC17" s="84">
        <f t="shared" si="4"/>
        <v>16626388.888888903</v>
      </c>
      <c r="AD17" s="85">
        <f t="shared" ref="AD17:AD80" si="23">+IF(AC17&lt;&gt;0,$W17,0)</f>
        <v>8313194.444444444</v>
      </c>
      <c r="AE17" s="84">
        <f t="shared" si="6"/>
        <v>8313194.4444444589</v>
      </c>
      <c r="AF17" s="85">
        <v>8313194.4444444589</v>
      </c>
      <c r="AG17" s="96">
        <f>AE17-AF17</f>
        <v>0</v>
      </c>
      <c r="AH17" s="85"/>
      <c r="AI17" s="84">
        <f t="shared" si="8"/>
        <v>0</v>
      </c>
      <c r="AJ17" s="85"/>
      <c r="AK17" s="84">
        <f t="shared" si="9"/>
        <v>0</v>
      </c>
      <c r="AL17" s="85"/>
      <c r="AM17" s="84">
        <f t="shared" si="10"/>
        <v>0</v>
      </c>
      <c r="AN17" s="85"/>
      <c r="AO17" s="84">
        <f t="shared" si="11"/>
        <v>0</v>
      </c>
      <c r="AP17" s="85"/>
      <c r="AQ17" s="84">
        <f t="shared" si="12"/>
        <v>0</v>
      </c>
      <c r="AR17" s="85"/>
      <c r="AS17" s="84">
        <f t="shared" si="13"/>
        <v>0</v>
      </c>
      <c r="AT17" s="85"/>
      <c r="AU17" s="84">
        <f t="shared" si="14"/>
        <v>0</v>
      </c>
      <c r="AV17" s="85"/>
      <c r="AW17" s="84">
        <f t="shared" si="15"/>
        <v>0</v>
      </c>
      <c r="AX17" s="86">
        <f t="shared" si="16"/>
        <v>33252777.777777791</v>
      </c>
      <c r="AY17" s="87">
        <f t="shared" si="17"/>
        <v>0</v>
      </c>
      <c r="AZ17" s="65" t="b">
        <f t="shared" si="18"/>
        <v>1</v>
      </c>
    </row>
    <row r="18" spans="1:52" s="67" customFormat="1" ht="24.75" hidden="1" customHeight="1">
      <c r="A18" s="68">
        <v>13</v>
      </c>
      <c r="B18" s="69" t="s">
        <v>122</v>
      </c>
      <c r="C18" s="88" t="s">
        <v>73</v>
      </c>
      <c r="D18" s="71" t="s">
        <v>64</v>
      </c>
      <c r="E18" s="88" t="s">
        <v>123</v>
      </c>
      <c r="F18" s="89" t="s">
        <v>124</v>
      </c>
      <c r="G18" s="88">
        <v>20230426</v>
      </c>
      <c r="H18" s="88">
        <v>23040994</v>
      </c>
      <c r="I18" s="74" t="s">
        <v>66</v>
      </c>
      <c r="J18" s="88" t="s">
        <v>67</v>
      </c>
      <c r="K18" s="68" t="s">
        <v>68</v>
      </c>
      <c r="L18" s="70" t="s">
        <v>69</v>
      </c>
      <c r="M18" s="88" t="s">
        <v>125</v>
      </c>
      <c r="N18" s="88" t="s">
        <v>126</v>
      </c>
      <c r="O18" s="77"/>
      <c r="P18" s="90">
        <v>45047</v>
      </c>
      <c r="Q18" s="94">
        <f t="shared" si="19"/>
        <v>46142</v>
      </c>
      <c r="R18" s="79">
        <v>36</v>
      </c>
      <c r="S18" s="79">
        <f t="shared" si="0"/>
        <v>3</v>
      </c>
      <c r="T18" s="91">
        <v>33000000</v>
      </c>
      <c r="U18" s="81"/>
      <c r="V18" s="82">
        <f t="shared" si="20"/>
        <v>33000000</v>
      </c>
      <c r="W18" s="83">
        <f t="shared" si="21"/>
        <v>916666.66666666663</v>
      </c>
      <c r="X18" s="83">
        <v>29333333.333333343</v>
      </c>
      <c r="Y18" s="82">
        <v>3666666.6666666567</v>
      </c>
      <c r="Z18" s="85">
        <f t="shared" si="2"/>
        <v>916666.66666666663</v>
      </c>
      <c r="AA18" s="84">
        <f t="shared" si="22"/>
        <v>2749999.9999999902</v>
      </c>
      <c r="AB18" s="85">
        <f t="shared" si="3"/>
        <v>916666.66666666663</v>
      </c>
      <c r="AC18" s="84">
        <f t="shared" si="4"/>
        <v>1833333.3333333237</v>
      </c>
      <c r="AD18" s="85">
        <f t="shared" si="23"/>
        <v>916666.66666666663</v>
      </c>
      <c r="AE18" s="84">
        <f t="shared" si="6"/>
        <v>916666.66666665708</v>
      </c>
      <c r="AF18" s="85">
        <v>916666.66666665708</v>
      </c>
      <c r="AG18" s="96">
        <f t="shared" si="7"/>
        <v>0</v>
      </c>
      <c r="AH18" s="85"/>
      <c r="AI18" s="84">
        <f t="shared" si="8"/>
        <v>0</v>
      </c>
      <c r="AJ18" s="85"/>
      <c r="AK18" s="84">
        <f t="shared" si="9"/>
        <v>0</v>
      </c>
      <c r="AL18" s="85"/>
      <c r="AM18" s="84">
        <f t="shared" si="10"/>
        <v>0</v>
      </c>
      <c r="AN18" s="85"/>
      <c r="AO18" s="84">
        <f t="shared" si="11"/>
        <v>0</v>
      </c>
      <c r="AP18" s="85"/>
      <c r="AQ18" s="84">
        <f t="shared" si="12"/>
        <v>0</v>
      </c>
      <c r="AR18" s="85"/>
      <c r="AS18" s="84">
        <f t="shared" si="13"/>
        <v>0</v>
      </c>
      <c r="AT18" s="85"/>
      <c r="AU18" s="84">
        <f t="shared" si="14"/>
        <v>0</v>
      </c>
      <c r="AV18" s="85"/>
      <c r="AW18" s="84">
        <f t="shared" si="15"/>
        <v>0</v>
      </c>
      <c r="AX18" s="86">
        <f t="shared" si="16"/>
        <v>3666666.6666666572</v>
      </c>
      <c r="AY18" s="87">
        <f t="shared" si="17"/>
        <v>0</v>
      </c>
      <c r="AZ18" s="65" t="b">
        <f t="shared" si="18"/>
        <v>1</v>
      </c>
    </row>
    <row r="19" spans="1:52" s="67" customFormat="1" ht="24.75" hidden="1" customHeight="1">
      <c r="A19" s="68">
        <v>14</v>
      </c>
      <c r="B19" s="69" t="s">
        <v>127</v>
      </c>
      <c r="C19" s="88" t="s">
        <v>91</v>
      </c>
      <c r="D19" s="71" t="s">
        <v>64</v>
      </c>
      <c r="E19" s="88" t="s">
        <v>128</v>
      </c>
      <c r="F19" s="89" t="s">
        <v>129</v>
      </c>
      <c r="G19" s="88">
        <v>20230504</v>
      </c>
      <c r="H19" s="88">
        <v>23050718</v>
      </c>
      <c r="I19" s="74" t="s">
        <v>66</v>
      </c>
      <c r="J19" s="88" t="s">
        <v>67</v>
      </c>
      <c r="K19" s="68" t="s">
        <v>68</v>
      </c>
      <c r="L19" s="70" t="s">
        <v>69</v>
      </c>
      <c r="M19" s="88" t="s">
        <v>130</v>
      </c>
      <c r="N19" s="88" t="s">
        <v>131</v>
      </c>
      <c r="O19" s="77"/>
      <c r="P19" s="90">
        <v>45078</v>
      </c>
      <c r="Q19" s="94">
        <f t="shared" si="19"/>
        <v>46173</v>
      </c>
      <c r="R19" s="79">
        <v>36</v>
      </c>
      <c r="S19" s="79">
        <f t="shared" si="0"/>
        <v>3</v>
      </c>
      <c r="T19" s="91">
        <v>192984000</v>
      </c>
      <c r="U19" s="81"/>
      <c r="V19" s="82">
        <f t="shared" si="20"/>
        <v>192984000</v>
      </c>
      <c r="W19" s="83">
        <f t="shared" si="21"/>
        <v>5360666.666666667</v>
      </c>
      <c r="X19" s="83">
        <v>166180666.6666666</v>
      </c>
      <c r="Y19" s="82">
        <v>26803333.33333341</v>
      </c>
      <c r="Z19" s="85">
        <f t="shared" si="2"/>
        <v>5360666.666666667</v>
      </c>
      <c r="AA19" s="84">
        <f t="shared" si="22"/>
        <v>21442666.666666735</v>
      </c>
      <c r="AB19" s="85">
        <f t="shared" si="3"/>
        <v>5360666.666666667</v>
      </c>
      <c r="AC19" s="84">
        <f t="shared" si="4"/>
        <v>16082000.000000067</v>
      </c>
      <c r="AD19" s="85">
        <f t="shared" si="23"/>
        <v>5360666.666666667</v>
      </c>
      <c r="AE19" s="84">
        <f t="shared" si="6"/>
        <v>10721333.333333399</v>
      </c>
      <c r="AF19" s="85">
        <f t="shared" ref="AF19:AF82" si="24">+IF(AE19&lt;&gt;0,$W19,0)</f>
        <v>5360666.666666667</v>
      </c>
      <c r="AG19" s="84">
        <f t="shared" si="7"/>
        <v>5360666.6666667322</v>
      </c>
      <c r="AH19" s="85"/>
      <c r="AI19" s="84">
        <f t="shared" si="8"/>
        <v>5360666.6666667322</v>
      </c>
      <c r="AJ19" s="85"/>
      <c r="AK19" s="84">
        <f t="shared" si="9"/>
        <v>5360666.6666667322</v>
      </c>
      <c r="AL19" s="85"/>
      <c r="AM19" s="84">
        <f t="shared" si="10"/>
        <v>5360666.6666667322</v>
      </c>
      <c r="AN19" s="85"/>
      <c r="AO19" s="84">
        <f t="shared" si="11"/>
        <v>5360666.6666667322</v>
      </c>
      <c r="AP19" s="85"/>
      <c r="AQ19" s="84">
        <f t="shared" si="12"/>
        <v>5360666.6666667322</v>
      </c>
      <c r="AR19" s="85"/>
      <c r="AS19" s="84">
        <f t="shared" si="13"/>
        <v>5360666.6666667322</v>
      </c>
      <c r="AT19" s="85"/>
      <c r="AU19" s="84">
        <f t="shared" si="14"/>
        <v>5360666.6666667322</v>
      </c>
      <c r="AV19" s="85"/>
      <c r="AW19" s="84">
        <f t="shared" si="15"/>
        <v>5360666.6666667322</v>
      </c>
      <c r="AX19" s="86">
        <f t="shared" si="16"/>
        <v>21442666.666666668</v>
      </c>
      <c r="AY19" s="87">
        <f t="shared" si="17"/>
        <v>5360666.666666735</v>
      </c>
      <c r="AZ19" s="65" t="b">
        <f t="shared" si="18"/>
        <v>1</v>
      </c>
    </row>
    <row r="20" spans="1:52" s="67" customFormat="1" ht="24.75" hidden="1" customHeight="1">
      <c r="A20" s="68">
        <v>15</v>
      </c>
      <c r="B20" s="69" t="s">
        <v>132</v>
      </c>
      <c r="C20" s="88" t="s">
        <v>81</v>
      </c>
      <c r="D20" s="71" t="s">
        <v>95</v>
      </c>
      <c r="E20" s="88" t="s">
        <v>133</v>
      </c>
      <c r="F20" s="92" t="s">
        <v>97</v>
      </c>
      <c r="G20" s="88">
        <v>20230630</v>
      </c>
      <c r="H20" s="88">
        <v>23060973</v>
      </c>
      <c r="I20" s="95" t="s">
        <v>98</v>
      </c>
      <c r="J20" s="88" t="s">
        <v>67</v>
      </c>
      <c r="K20" s="68" t="s">
        <v>99</v>
      </c>
      <c r="L20" s="70" t="s">
        <v>100</v>
      </c>
      <c r="M20" s="88" t="s">
        <v>101</v>
      </c>
      <c r="N20" s="88" t="s">
        <v>102</v>
      </c>
      <c r="O20" s="77">
        <v>1</v>
      </c>
      <c r="P20" s="90">
        <v>45108</v>
      </c>
      <c r="Q20" s="94">
        <f t="shared" si="19"/>
        <v>46203</v>
      </c>
      <c r="R20" s="79">
        <v>36</v>
      </c>
      <c r="S20" s="79">
        <f t="shared" si="0"/>
        <v>3</v>
      </c>
      <c r="T20" s="97">
        <v>90531664.650000006</v>
      </c>
      <c r="U20" s="81"/>
      <c r="V20" s="82">
        <f t="shared" si="20"/>
        <v>90531664.650000006</v>
      </c>
      <c r="W20" s="83">
        <f t="shared" si="21"/>
        <v>2514768.4625000004</v>
      </c>
      <c r="X20" s="83">
        <v>75443053.87500003</v>
      </c>
      <c r="Y20" s="82">
        <v>15088610.774999976</v>
      </c>
      <c r="Z20" s="85">
        <f t="shared" si="2"/>
        <v>2514768.4625000004</v>
      </c>
      <c r="AA20" s="84">
        <f t="shared" si="22"/>
        <v>12573842.312499976</v>
      </c>
      <c r="AB20" s="85">
        <f t="shared" si="3"/>
        <v>2514768.4625000004</v>
      </c>
      <c r="AC20" s="84">
        <f t="shared" si="4"/>
        <v>10059073.849999975</v>
      </c>
      <c r="AD20" s="85">
        <f t="shared" si="23"/>
        <v>2514768.4625000004</v>
      </c>
      <c r="AE20" s="84">
        <f t="shared" si="6"/>
        <v>7544305.387499975</v>
      </c>
      <c r="AF20" s="85">
        <f t="shared" si="24"/>
        <v>2514768.4625000004</v>
      </c>
      <c r="AG20" s="84">
        <f t="shared" si="7"/>
        <v>5029536.9249999747</v>
      </c>
      <c r="AH20" s="85"/>
      <c r="AI20" s="84">
        <f t="shared" si="8"/>
        <v>5029536.9249999747</v>
      </c>
      <c r="AJ20" s="85"/>
      <c r="AK20" s="84">
        <f t="shared" si="9"/>
        <v>5029536.9249999747</v>
      </c>
      <c r="AL20" s="85"/>
      <c r="AM20" s="84">
        <f t="shared" si="10"/>
        <v>5029536.9249999747</v>
      </c>
      <c r="AN20" s="85"/>
      <c r="AO20" s="84">
        <f t="shared" si="11"/>
        <v>5029536.9249999747</v>
      </c>
      <c r="AP20" s="85"/>
      <c r="AQ20" s="84">
        <f t="shared" si="12"/>
        <v>5029536.9249999747</v>
      </c>
      <c r="AR20" s="85"/>
      <c r="AS20" s="84">
        <f t="shared" si="13"/>
        <v>5029536.9249999747</v>
      </c>
      <c r="AT20" s="85"/>
      <c r="AU20" s="84">
        <f t="shared" si="14"/>
        <v>5029536.9249999747</v>
      </c>
      <c r="AV20" s="85"/>
      <c r="AW20" s="84">
        <f t="shared" si="15"/>
        <v>5029536.9249999747</v>
      </c>
      <c r="AX20" s="86">
        <f t="shared" si="16"/>
        <v>10059073.850000001</v>
      </c>
      <c r="AY20" s="87">
        <f t="shared" si="17"/>
        <v>5029536.9249999747</v>
      </c>
      <c r="AZ20" s="65" t="b">
        <f t="shared" si="18"/>
        <v>1</v>
      </c>
    </row>
    <row r="21" spans="1:52" s="67" customFormat="1" ht="24.75" hidden="1" customHeight="1">
      <c r="A21" s="68">
        <v>16</v>
      </c>
      <c r="B21" s="69" t="s">
        <v>134</v>
      </c>
      <c r="C21" s="88" t="s">
        <v>81</v>
      </c>
      <c r="D21" s="71" t="s">
        <v>95</v>
      </c>
      <c r="E21" s="88" t="s">
        <v>135</v>
      </c>
      <c r="F21" s="92" t="s">
        <v>97</v>
      </c>
      <c r="G21" s="88">
        <v>20230630</v>
      </c>
      <c r="H21" s="88">
        <v>23060973</v>
      </c>
      <c r="I21" s="95" t="s">
        <v>98</v>
      </c>
      <c r="J21" s="88" t="s">
        <v>67</v>
      </c>
      <c r="K21" s="68" t="s">
        <v>99</v>
      </c>
      <c r="L21" s="70" t="s">
        <v>100</v>
      </c>
      <c r="M21" s="88" t="s">
        <v>101</v>
      </c>
      <c r="N21" s="88" t="s">
        <v>102</v>
      </c>
      <c r="O21" s="77">
        <v>1</v>
      </c>
      <c r="P21" s="90">
        <v>45108</v>
      </c>
      <c r="Q21" s="94">
        <f t="shared" si="19"/>
        <v>46203</v>
      </c>
      <c r="R21" s="79">
        <v>36</v>
      </c>
      <c r="S21" s="79">
        <f t="shared" si="0"/>
        <v>3</v>
      </c>
      <c r="T21" s="97">
        <v>20872378.190000001</v>
      </c>
      <c r="U21" s="81"/>
      <c r="V21" s="82">
        <f t="shared" si="20"/>
        <v>20872378.190000001</v>
      </c>
      <c r="W21" s="83">
        <f t="shared" si="21"/>
        <v>579788.28305555554</v>
      </c>
      <c r="X21" s="83">
        <v>17393648.49166666</v>
      </c>
      <c r="Y21" s="82">
        <v>3478729.6983333416</v>
      </c>
      <c r="Z21" s="85">
        <f t="shared" si="2"/>
        <v>579788.28305555554</v>
      </c>
      <c r="AA21" s="84">
        <f t="shared" si="22"/>
        <v>2898941.4152777861</v>
      </c>
      <c r="AB21" s="85">
        <f t="shared" si="3"/>
        <v>579788.28305555554</v>
      </c>
      <c r="AC21" s="84">
        <f t="shared" si="4"/>
        <v>2319153.1322222305</v>
      </c>
      <c r="AD21" s="85">
        <f t="shared" si="23"/>
        <v>579788.28305555554</v>
      </c>
      <c r="AE21" s="84">
        <f t="shared" si="6"/>
        <v>1739364.849166675</v>
      </c>
      <c r="AF21" s="85">
        <f t="shared" si="24"/>
        <v>579788.28305555554</v>
      </c>
      <c r="AG21" s="84">
        <f t="shared" si="7"/>
        <v>1159576.5661111195</v>
      </c>
      <c r="AH21" s="85"/>
      <c r="AI21" s="84">
        <f t="shared" si="8"/>
        <v>1159576.5661111195</v>
      </c>
      <c r="AJ21" s="85"/>
      <c r="AK21" s="84">
        <f t="shared" si="9"/>
        <v>1159576.5661111195</v>
      </c>
      <c r="AL21" s="85"/>
      <c r="AM21" s="84">
        <f t="shared" si="10"/>
        <v>1159576.5661111195</v>
      </c>
      <c r="AN21" s="85"/>
      <c r="AO21" s="84">
        <f t="shared" si="11"/>
        <v>1159576.5661111195</v>
      </c>
      <c r="AP21" s="85"/>
      <c r="AQ21" s="84">
        <f t="shared" si="12"/>
        <v>1159576.5661111195</v>
      </c>
      <c r="AR21" s="85"/>
      <c r="AS21" s="84">
        <f t="shared" si="13"/>
        <v>1159576.5661111195</v>
      </c>
      <c r="AT21" s="85"/>
      <c r="AU21" s="84">
        <f t="shared" si="14"/>
        <v>1159576.5661111195</v>
      </c>
      <c r="AV21" s="85"/>
      <c r="AW21" s="84">
        <f t="shared" si="15"/>
        <v>1159576.5661111195</v>
      </c>
      <c r="AX21" s="86">
        <f t="shared" si="16"/>
        <v>2319153.1322222222</v>
      </c>
      <c r="AY21" s="87">
        <f t="shared" si="17"/>
        <v>1159576.5661111195</v>
      </c>
      <c r="AZ21" s="65" t="b">
        <f t="shared" si="18"/>
        <v>1</v>
      </c>
    </row>
    <row r="22" spans="1:52" s="67" customFormat="1" ht="24.75" hidden="1" customHeight="1">
      <c r="A22" s="68">
        <v>17</v>
      </c>
      <c r="B22" s="69" t="s">
        <v>136</v>
      </c>
      <c r="C22" s="88" t="s">
        <v>81</v>
      </c>
      <c r="D22" s="71" t="s">
        <v>95</v>
      </c>
      <c r="E22" s="88" t="s">
        <v>137</v>
      </c>
      <c r="F22" s="92" t="s">
        <v>97</v>
      </c>
      <c r="G22" s="88">
        <v>20230630</v>
      </c>
      <c r="H22" s="88">
        <v>23060973</v>
      </c>
      <c r="I22" s="95" t="s">
        <v>98</v>
      </c>
      <c r="J22" s="88" t="s">
        <v>67</v>
      </c>
      <c r="K22" s="68" t="s">
        <v>99</v>
      </c>
      <c r="L22" s="70" t="s">
        <v>100</v>
      </c>
      <c r="M22" s="88" t="s">
        <v>101</v>
      </c>
      <c r="N22" s="88" t="s">
        <v>102</v>
      </c>
      <c r="O22" s="77">
        <v>1</v>
      </c>
      <c r="P22" s="90">
        <v>45108</v>
      </c>
      <c r="Q22" s="94">
        <f t="shared" si="19"/>
        <v>46203</v>
      </c>
      <c r="R22" s="79">
        <v>36</v>
      </c>
      <c r="S22" s="79">
        <f t="shared" si="0"/>
        <v>3</v>
      </c>
      <c r="T22" s="97">
        <v>19589578.190000001</v>
      </c>
      <c r="U22" s="81"/>
      <c r="V22" s="82">
        <f t="shared" si="20"/>
        <v>19589578.190000001</v>
      </c>
      <c r="W22" s="83">
        <f t="shared" si="21"/>
        <v>544154.94972222229</v>
      </c>
      <c r="X22" s="83">
        <v>16324648.491666667</v>
      </c>
      <c r="Y22" s="82">
        <v>3264929.6983333332</v>
      </c>
      <c r="Z22" s="85">
        <f t="shared" si="2"/>
        <v>544154.94972222229</v>
      </c>
      <c r="AA22" s="84">
        <f t="shared" si="22"/>
        <v>2720774.7486111121</v>
      </c>
      <c r="AB22" s="85">
        <f t="shared" si="3"/>
        <v>544154.94972222229</v>
      </c>
      <c r="AC22" s="84">
        <f t="shared" si="4"/>
        <v>2176619.7988888901</v>
      </c>
      <c r="AD22" s="85">
        <f t="shared" si="23"/>
        <v>544154.94972222229</v>
      </c>
      <c r="AE22" s="84">
        <f t="shared" si="6"/>
        <v>1632464.8491666678</v>
      </c>
      <c r="AF22" s="85">
        <f t="shared" si="24"/>
        <v>544154.94972222229</v>
      </c>
      <c r="AG22" s="84">
        <f t="shared" si="7"/>
        <v>1088309.8994444455</v>
      </c>
      <c r="AH22" s="85"/>
      <c r="AI22" s="84">
        <f t="shared" si="8"/>
        <v>1088309.8994444455</v>
      </c>
      <c r="AJ22" s="85"/>
      <c r="AK22" s="84">
        <f t="shared" si="9"/>
        <v>1088309.8994444455</v>
      </c>
      <c r="AL22" s="85"/>
      <c r="AM22" s="84">
        <f t="shared" si="10"/>
        <v>1088309.8994444455</v>
      </c>
      <c r="AN22" s="85"/>
      <c r="AO22" s="84">
        <f t="shared" si="11"/>
        <v>1088309.8994444455</v>
      </c>
      <c r="AP22" s="85"/>
      <c r="AQ22" s="84">
        <f t="shared" si="12"/>
        <v>1088309.8994444455</v>
      </c>
      <c r="AR22" s="85"/>
      <c r="AS22" s="84">
        <f t="shared" si="13"/>
        <v>1088309.8994444455</v>
      </c>
      <c r="AT22" s="85"/>
      <c r="AU22" s="84">
        <f t="shared" si="14"/>
        <v>1088309.8994444455</v>
      </c>
      <c r="AV22" s="85"/>
      <c r="AW22" s="84">
        <f t="shared" si="15"/>
        <v>1088309.8994444455</v>
      </c>
      <c r="AX22" s="86">
        <f t="shared" si="16"/>
        <v>2176619.7988888891</v>
      </c>
      <c r="AY22" s="87">
        <f t="shared" si="17"/>
        <v>1088309.899444445</v>
      </c>
      <c r="AZ22" s="65" t="b">
        <f t="shared" si="18"/>
        <v>1</v>
      </c>
    </row>
    <row r="23" spans="1:52" s="67" customFormat="1" ht="24.75" hidden="1" customHeight="1">
      <c r="A23" s="68">
        <v>18</v>
      </c>
      <c r="B23" s="69" t="s">
        <v>138</v>
      </c>
      <c r="C23" s="88" t="s">
        <v>81</v>
      </c>
      <c r="D23" s="71" t="s">
        <v>95</v>
      </c>
      <c r="E23" s="88" t="s">
        <v>139</v>
      </c>
      <c r="F23" s="92" t="s">
        <v>97</v>
      </c>
      <c r="G23" s="88">
        <v>20230630</v>
      </c>
      <c r="H23" s="88">
        <v>23060973</v>
      </c>
      <c r="I23" s="95" t="s">
        <v>98</v>
      </c>
      <c r="J23" s="88" t="s">
        <v>67</v>
      </c>
      <c r="K23" s="68" t="s">
        <v>99</v>
      </c>
      <c r="L23" s="70" t="s">
        <v>100</v>
      </c>
      <c r="M23" s="88" t="s">
        <v>101</v>
      </c>
      <c r="N23" s="88" t="s">
        <v>102</v>
      </c>
      <c r="O23" s="77">
        <v>1</v>
      </c>
      <c r="P23" s="90">
        <v>45108</v>
      </c>
      <c r="Q23" s="94">
        <f t="shared" si="19"/>
        <v>46203</v>
      </c>
      <c r="R23" s="79">
        <v>36</v>
      </c>
      <c r="S23" s="79">
        <f t="shared" si="0"/>
        <v>3</v>
      </c>
      <c r="T23" s="97">
        <v>85448139.280000001</v>
      </c>
      <c r="U23" s="81"/>
      <c r="V23" s="82">
        <f t="shared" si="20"/>
        <v>85448139.280000001</v>
      </c>
      <c r="W23" s="83">
        <f t="shared" si="21"/>
        <v>2373559.4244444445</v>
      </c>
      <c r="X23" s="83">
        <v>71206782.73333329</v>
      </c>
      <c r="Y23" s="82">
        <v>14241356.546666712</v>
      </c>
      <c r="Z23" s="85">
        <f t="shared" si="2"/>
        <v>2373559.4244444445</v>
      </c>
      <c r="AA23" s="84">
        <f t="shared" si="22"/>
        <v>11867797.122222267</v>
      </c>
      <c r="AB23" s="85">
        <f t="shared" si="3"/>
        <v>2373559.4244444445</v>
      </c>
      <c r="AC23" s="84">
        <f t="shared" si="4"/>
        <v>9494237.6977778226</v>
      </c>
      <c r="AD23" s="85">
        <f t="shared" si="23"/>
        <v>2373559.4244444445</v>
      </c>
      <c r="AE23" s="84">
        <f t="shared" si="6"/>
        <v>7120678.2733333781</v>
      </c>
      <c r="AF23" s="85">
        <f t="shared" si="24"/>
        <v>2373559.4244444445</v>
      </c>
      <c r="AG23" s="84">
        <f t="shared" si="7"/>
        <v>4747118.8488889337</v>
      </c>
      <c r="AH23" s="85"/>
      <c r="AI23" s="84">
        <f t="shared" si="8"/>
        <v>4747118.8488889337</v>
      </c>
      <c r="AJ23" s="85"/>
      <c r="AK23" s="84">
        <f t="shared" si="9"/>
        <v>4747118.8488889337</v>
      </c>
      <c r="AL23" s="85"/>
      <c r="AM23" s="84">
        <f t="shared" si="10"/>
        <v>4747118.8488889337</v>
      </c>
      <c r="AN23" s="85"/>
      <c r="AO23" s="84">
        <f t="shared" si="11"/>
        <v>4747118.8488889337</v>
      </c>
      <c r="AP23" s="85"/>
      <c r="AQ23" s="84">
        <f t="shared" si="12"/>
        <v>4747118.8488889337</v>
      </c>
      <c r="AR23" s="85"/>
      <c r="AS23" s="84">
        <f t="shared" si="13"/>
        <v>4747118.8488889337</v>
      </c>
      <c r="AT23" s="85"/>
      <c r="AU23" s="84">
        <f t="shared" si="14"/>
        <v>4747118.8488889337</v>
      </c>
      <c r="AV23" s="85"/>
      <c r="AW23" s="84">
        <f t="shared" si="15"/>
        <v>4747118.8488889337</v>
      </c>
      <c r="AX23" s="86">
        <f t="shared" si="16"/>
        <v>9494237.6977777779</v>
      </c>
      <c r="AY23" s="87">
        <f t="shared" si="17"/>
        <v>4747118.8488889337</v>
      </c>
      <c r="AZ23" s="65" t="b">
        <f t="shared" si="18"/>
        <v>1</v>
      </c>
    </row>
    <row r="24" spans="1:52" s="67" customFormat="1" ht="24.75" hidden="1" customHeight="1">
      <c r="A24" s="68">
        <v>19</v>
      </c>
      <c r="B24" s="69" t="s">
        <v>140</v>
      </c>
      <c r="C24" s="88" t="s">
        <v>81</v>
      </c>
      <c r="D24" s="71" t="s">
        <v>95</v>
      </c>
      <c r="E24" s="88" t="s">
        <v>141</v>
      </c>
      <c r="F24" s="92" t="s">
        <v>97</v>
      </c>
      <c r="G24" s="88">
        <v>20230630</v>
      </c>
      <c r="H24" s="88">
        <v>23060973</v>
      </c>
      <c r="I24" s="95" t="s">
        <v>98</v>
      </c>
      <c r="J24" s="88" t="s">
        <v>67</v>
      </c>
      <c r="K24" s="68" t="s">
        <v>99</v>
      </c>
      <c r="L24" s="70" t="s">
        <v>100</v>
      </c>
      <c r="M24" s="88" t="s">
        <v>101</v>
      </c>
      <c r="N24" s="88" t="s">
        <v>102</v>
      </c>
      <c r="O24" s="77">
        <v>1</v>
      </c>
      <c r="P24" s="90">
        <v>45108</v>
      </c>
      <c r="Q24" s="94">
        <f t="shared" si="19"/>
        <v>46203</v>
      </c>
      <c r="R24" s="79">
        <v>36</v>
      </c>
      <c r="S24" s="79">
        <f t="shared" si="0"/>
        <v>3</v>
      </c>
      <c r="T24" s="97">
        <v>548415744.30999994</v>
      </c>
      <c r="U24" s="81"/>
      <c r="V24" s="82">
        <f t="shared" si="20"/>
        <v>548415744.30999994</v>
      </c>
      <c r="W24" s="83">
        <f t="shared" si="21"/>
        <v>15233770.675277777</v>
      </c>
      <c r="X24" s="83">
        <v>457013120.25833309</v>
      </c>
      <c r="Y24" s="82">
        <v>91402624.051666826</v>
      </c>
      <c r="Z24" s="85">
        <f t="shared" si="2"/>
        <v>15233770.675277777</v>
      </c>
      <c r="AA24" s="84">
        <f t="shared" si="22"/>
        <v>76168853.376389086</v>
      </c>
      <c r="AB24" s="85">
        <f t="shared" si="3"/>
        <v>15233770.675277777</v>
      </c>
      <c r="AC24" s="84">
        <f t="shared" si="4"/>
        <v>60935082.701111309</v>
      </c>
      <c r="AD24" s="85">
        <f t="shared" si="23"/>
        <v>15233770.675277777</v>
      </c>
      <c r="AE24" s="84">
        <f t="shared" si="6"/>
        <v>45701312.025833532</v>
      </c>
      <c r="AF24" s="85">
        <f t="shared" si="24"/>
        <v>15233770.675277777</v>
      </c>
      <c r="AG24" s="84">
        <f t="shared" si="7"/>
        <v>30467541.350555755</v>
      </c>
      <c r="AH24" s="85"/>
      <c r="AI24" s="84">
        <f t="shared" si="8"/>
        <v>30467541.350555755</v>
      </c>
      <c r="AJ24" s="85"/>
      <c r="AK24" s="84">
        <f t="shared" si="9"/>
        <v>30467541.350555755</v>
      </c>
      <c r="AL24" s="85"/>
      <c r="AM24" s="84">
        <f t="shared" si="10"/>
        <v>30467541.350555755</v>
      </c>
      <c r="AN24" s="85"/>
      <c r="AO24" s="84">
        <f t="shared" si="11"/>
        <v>30467541.350555755</v>
      </c>
      <c r="AP24" s="85"/>
      <c r="AQ24" s="84">
        <f t="shared" si="12"/>
        <v>30467541.350555755</v>
      </c>
      <c r="AR24" s="85"/>
      <c r="AS24" s="84">
        <f t="shared" si="13"/>
        <v>30467541.350555755</v>
      </c>
      <c r="AT24" s="85"/>
      <c r="AU24" s="84">
        <f t="shared" si="14"/>
        <v>30467541.350555755</v>
      </c>
      <c r="AV24" s="85"/>
      <c r="AW24" s="84">
        <f t="shared" si="15"/>
        <v>30467541.350555755</v>
      </c>
      <c r="AX24" s="86">
        <f t="shared" si="16"/>
        <v>60935082.701111108</v>
      </c>
      <c r="AY24" s="87">
        <f t="shared" si="17"/>
        <v>30467541.350555748</v>
      </c>
      <c r="AZ24" s="65" t="b">
        <f t="shared" si="18"/>
        <v>1</v>
      </c>
    </row>
    <row r="25" spans="1:52" s="67" customFormat="1" ht="24.75" hidden="1" customHeight="1">
      <c r="A25" s="68">
        <v>20</v>
      </c>
      <c r="B25" s="69" t="s">
        <v>142</v>
      </c>
      <c r="C25" s="88" t="s">
        <v>81</v>
      </c>
      <c r="D25" s="71" t="s">
        <v>95</v>
      </c>
      <c r="E25" s="88" t="s">
        <v>143</v>
      </c>
      <c r="F25" s="92" t="s">
        <v>97</v>
      </c>
      <c r="G25" s="88">
        <v>20230630</v>
      </c>
      <c r="H25" s="88">
        <v>23060973</v>
      </c>
      <c r="I25" s="95" t="s">
        <v>98</v>
      </c>
      <c r="J25" s="88" t="s">
        <v>67</v>
      </c>
      <c r="K25" s="68" t="s">
        <v>99</v>
      </c>
      <c r="L25" s="70" t="s">
        <v>100</v>
      </c>
      <c r="M25" s="88" t="s">
        <v>101</v>
      </c>
      <c r="N25" s="88" t="s">
        <v>102</v>
      </c>
      <c r="O25" s="77">
        <v>1</v>
      </c>
      <c r="P25" s="90">
        <v>45108</v>
      </c>
      <c r="Q25" s="94">
        <f t="shared" si="19"/>
        <v>46203</v>
      </c>
      <c r="R25" s="79">
        <v>36</v>
      </c>
      <c r="S25" s="79">
        <f t="shared" si="0"/>
        <v>3</v>
      </c>
      <c r="T25" s="97">
        <v>23641274.760000002</v>
      </c>
      <c r="U25" s="81"/>
      <c r="V25" s="82">
        <f t="shared" si="20"/>
        <v>23641274.760000002</v>
      </c>
      <c r="W25" s="83">
        <f t="shared" si="21"/>
        <v>656702.07666666666</v>
      </c>
      <c r="X25" s="83">
        <v>19701062.300000004</v>
      </c>
      <c r="Y25" s="82">
        <v>3940212.4599999972</v>
      </c>
      <c r="Z25" s="85">
        <f t="shared" si="2"/>
        <v>656702.07666666666</v>
      </c>
      <c r="AA25" s="84">
        <f t="shared" si="22"/>
        <v>3283510.3833333305</v>
      </c>
      <c r="AB25" s="85">
        <f t="shared" si="3"/>
        <v>656702.07666666666</v>
      </c>
      <c r="AC25" s="84">
        <f t="shared" si="4"/>
        <v>2626808.3066666638</v>
      </c>
      <c r="AD25" s="85">
        <f t="shared" si="23"/>
        <v>656702.07666666666</v>
      </c>
      <c r="AE25" s="84">
        <f t="shared" si="6"/>
        <v>1970106.2299999972</v>
      </c>
      <c r="AF25" s="85">
        <f t="shared" si="24"/>
        <v>656702.07666666666</v>
      </c>
      <c r="AG25" s="84">
        <f t="shared" si="7"/>
        <v>1313404.1533333305</v>
      </c>
      <c r="AH25" s="85"/>
      <c r="AI25" s="84">
        <f t="shared" si="8"/>
        <v>1313404.1533333305</v>
      </c>
      <c r="AJ25" s="85"/>
      <c r="AK25" s="84">
        <f t="shared" si="9"/>
        <v>1313404.1533333305</v>
      </c>
      <c r="AL25" s="85"/>
      <c r="AM25" s="84">
        <f t="shared" si="10"/>
        <v>1313404.1533333305</v>
      </c>
      <c r="AN25" s="85"/>
      <c r="AO25" s="84">
        <f t="shared" si="11"/>
        <v>1313404.1533333305</v>
      </c>
      <c r="AP25" s="85"/>
      <c r="AQ25" s="84">
        <f t="shared" si="12"/>
        <v>1313404.1533333305</v>
      </c>
      <c r="AR25" s="85"/>
      <c r="AS25" s="84">
        <f t="shared" si="13"/>
        <v>1313404.1533333305</v>
      </c>
      <c r="AT25" s="85"/>
      <c r="AU25" s="84">
        <f t="shared" si="14"/>
        <v>1313404.1533333305</v>
      </c>
      <c r="AV25" s="85"/>
      <c r="AW25" s="84">
        <f t="shared" si="15"/>
        <v>1313404.1533333305</v>
      </c>
      <c r="AX25" s="86">
        <f t="shared" si="16"/>
        <v>2626808.3066666666</v>
      </c>
      <c r="AY25" s="87">
        <f t="shared" si="17"/>
        <v>1313404.1533333305</v>
      </c>
      <c r="AZ25" s="65" t="b">
        <f t="shared" si="18"/>
        <v>1</v>
      </c>
    </row>
    <row r="26" spans="1:52" s="67" customFormat="1" ht="24.75" hidden="1" customHeight="1">
      <c r="A26" s="68">
        <v>21</v>
      </c>
      <c r="B26" s="69" t="s">
        <v>144</v>
      </c>
      <c r="C26" s="88" t="s">
        <v>81</v>
      </c>
      <c r="D26" s="71" t="s">
        <v>95</v>
      </c>
      <c r="E26" s="88" t="s">
        <v>145</v>
      </c>
      <c r="F26" s="92" t="s">
        <v>97</v>
      </c>
      <c r="G26" s="88">
        <v>20230630</v>
      </c>
      <c r="H26" s="88">
        <v>23060973</v>
      </c>
      <c r="I26" s="95" t="s">
        <v>98</v>
      </c>
      <c r="J26" s="88" t="s">
        <v>67</v>
      </c>
      <c r="K26" s="68" t="s">
        <v>99</v>
      </c>
      <c r="L26" s="70" t="s">
        <v>100</v>
      </c>
      <c r="M26" s="88" t="s">
        <v>101</v>
      </c>
      <c r="N26" s="88" t="s">
        <v>102</v>
      </c>
      <c r="O26" s="77">
        <v>1</v>
      </c>
      <c r="P26" s="90">
        <v>45108</v>
      </c>
      <c r="Q26" s="94">
        <f t="shared" si="19"/>
        <v>46203</v>
      </c>
      <c r="R26" s="79">
        <v>36</v>
      </c>
      <c r="S26" s="79">
        <f t="shared" si="0"/>
        <v>3</v>
      </c>
      <c r="T26" s="97">
        <v>153098669.03999999</v>
      </c>
      <c r="U26" s="81"/>
      <c r="V26" s="82">
        <f t="shared" si="20"/>
        <v>153098669.03999999</v>
      </c>
      <c r="W26" s="83">
        <f t="shared" si="21"/>
        <v>4252740.8066666666</v>
      </c>
      <c r="X26" s="83">
        <v>127582224.19999999</v>
      </c>
      <c r="Y26" s="82">
        <v>25516444.839999996</v>
      </c>
      <c r="Z26" s="85">
        <f t="shared" si="2"/>
        <v>4252740.8066666666</v>
      </c>
      <c r="AA26" s="84">
        <f t="shared" si="22"/>
        <v>21263704.033333339</v>
      </c>
      <c r="AB26" s="85">
        <f t="shared" si="3"/>
        <v>4252740.8066666666</v>
      </c>
      <c r="AC26" s="84">
        <f t="shared" si="4"/>
        <v>17010963.226666674</v>
      </c>
      <c r="AD26" s="85">
        <f t="shared" si="23"/>
        <v>4252740.8066666666</v>
      </c>
      <c r="AE26" s="84">
        <f t="shared" si="6"/>
        <v>12758222.420000007</v>
      </c>
      <c r="AF26" s="85">
        <f t="shared" si="24"/>
        <v>4252740.8066666666</v>
      </c>
      <c r="AG26" s="84">
        <f t="shared" si="7"/>
        <v>8505481.6133333407</v>
      </c>
      <c r="AH26" s="85"/>
      <c r="AI26" s="84">
        <f t="shared" si="8"/>
        <v>8505481.6133333407</v>
      </c>
      <c r="AJ26" s="85"/>
      <c r="AK26" s="84">
        <f t="shared" si="9"/>
        <v>8505481.6133333407</v>
      </c>
      <c r="AL26" s="85"/>
      <c r="AM26" s="84">
        <f t="shared" si="10"/>
        <v>8505481.6133333407</v>
      </c>
      <c r="AN26" s="85"/>
      <c r="AO26" s="84">
        <f t="shared" si="11"/>
        <v>8505481.6133333407</v>
      </c>
      <c r="AP26" s="85"/>
      <c r="AQ26" s="84">
        <f t="shared" si="12"/>
        <v>8505481.6133333407</v>
      </c>
      <c r="AR26" s="85"/>
      <c r="AS26" s="84">
        <f t="shared" si="13"/>
        <v>8505481.6133333407</v>
      </c>
      <c r="AT26" s="85"/>
      <c r="AU26" s="84">
        <f t="shared" si="14"/>
        <v>8505481.6133333407</v>
      </c>
      <c r="AV26" s="85"/>
      <c r="AW26" s="84">
        <f t="shared" si="15"/>
        <v>8505481.6133333407</v>
      </c>
      <c r="AX26" s="86">
        <f t="shared" si="16"/>
        <v>17010963.226666667</v>
      </c>
      <c r="AY26" s="87">
        <f t="shared" si="17"/>
        <v>8505481.613333337</v>
      </c>
      <c r="AZ26" s="65" t="b">
        <f t="shared" si="18"/>
        <v>1</v>
      </c>
    </row>
    <row r="27" spans="1:52" s="67" customFormat="1" ht="24.75" hidden="1" customHeight="1">
      <c r="A27" s="68">
        <v>22</v>
      </c>
      <c r="B27" s="69" t="s">
        <v>146</v>
      </c>
      <c r="C27" s="88" t="s">
        <v>81</v>
      </c>
      <c r="D27" s="71" t="s">
        <v>95</v>
      </c>
      <c r="E27" s="88" t="s">
        <v>147</v>
      </c>
      <c r="F27" s="92" t="s">
        <v>97</v>
      </c>
      <c r="G27" s="88">
        <v>20230630</v>
      </c>
      <c r="H27" s="88">
        <v>23060973</v>
      </c>
      <c r="I27" s="95" t="s">
        <v>98</v>
      </c>
      <c r="J27" s="88" t="s">
        <v>67</v>
      </c>
      <c r="K27" s="68" t="s">
        <v>99</v>
      </c>
      <c r="L27" s="70" t="s">
        <v>100</v>
      </c>
      <c r="M27" s="88" t="s">
        <v>101</v>
      </c>
      <c r="N27" s="88" t="s">
        <v>102</v>
      </c>
      <c r="O27" s="77">
        <v>1</v>
      </c>
      <c r="P27" s="90">
        <v>45108</v>
      </c>
      <c r="Q27" s="94">
        <f t="shared" si="19"/>
        <v>46203</v>
      </c>
      <c r="R27" s="79">
        <v>36</v>
      </c>
      <c r="S27" s="79">
        <f t="shared" si="0"/>
        <v>3</v>
      </c>
      <c r="T27" s="97">
        <v>118255537.84</v>
      </c>
      <c r="U27" s="81"/>
      <c r="V27" s="82">
        <f t="shared" si="20"/>
        <v>118255537.84</v>
      </c>
      <c r="W27" s="83">
        <f t="shared" si="21"/>
        <v>3284876.0511111114</v>
      </c>
      <c r="X27" s="83">
        <v>98546281.533333361</v>
      </c>
      <c r="Y27" s="82">
        <v>19709256.306666642</v>
      </c>
      <c r="Z27" s="85">
        <f t="shared" si="2"/>
        <v>3284876.0511111114</v>
      </c>
      <c r="AA27" s="84">
        <f t="shared" si="22"/>
        <v>16424380.255555531</v>
      </c>
      <c r="AB27" s="85">
        <f t="shared" si="3"/>
        <v>3284876.0511111114</v>
      </c>
      <c r="AC27" s="84">
        <f t="shared" si="4"/>
        <v>13139504.20444442</v>
      </c>
      <c r="AD27" s="85">
        <f t="shared" si="23"/>
        <v>3284876.0511111114</v>
      </c>
      <c r="AE27" s="84">
        <f t="shared" si="6"/>
        <v>9854628.1533333082</v>
      </c>
      <c r="AF27" s="85">
        <f t="shared" si="24"/>
        <v>3284876.0511111114</v>
      </c>
      <c r="AG27" s="84">
        <f t="shared" si="7"/>
        <v>6569752.1022221968</v>
      </c>
      <c r="AH27" s="85"/>
      <c r="AI27" s="84">
        <f t="shared" si="8"/>
        <v>6569752.1022221968</v>
      </c>
      <c r="AJ27" s="85"/>
      <c r="AK27" s="84">
        <f t="shared" si="9"/>
        <v>6569752.1022221968</v>
      </c>
      <c r="AL27" s="85"/>
      <c r="AM27" s="84">
        <f t="shared" si="10"/>
        <v>6569752.1022221968</v>
      </c>
      <c r="AN27" s="85"/>
      <c r="AO27" s="84">
        <f t="shared" si="11"/>
        <v>6569752.1022221968</v>
      </c>
      <c r="AP27" s="85"/>
      <c r="AQ27" s="84">
        <f t="shared" si="12"/>
        <v>6569752.1022221968</v>
      </c>
      <c r="AR27" s="85"/>
      <c r="AS27" s="84">
        <f t="shared" si="13"/>
        <v>6569752.1022221968</v>
      </c>
      <c r="AT27" s="85"/>
      <c r="AU27" s="84">
        <f t="shared" si="14"/>
        <v>6569752.1022221968</v>
      </c>
      <c r="AV27" s="85"/>
      <c r="AW27" s="84">
        <f t="shared" si="15"/>
        <v>6569752.1022221968</v>
      </c>
      <c r="AX27" s="86">
        <f t="shared" si="16"/>
        <v>13139504.204444446</v>
      </c>
      <c r="AY27" s="87">
        <f t="shared" si="17"/>
        <v>6569752.1022221968</v>
      </c>
      <c r="AZ27" s="65" t="b">
        <f t="shared" si="18"/>
        <v>1</v>
      </c>
    </row>
    <row r="28" spans="1:52" s="67" customFormat="1" ht="24.75" hidden="1" customHeight="1">
      <c r="A28" s="68">
        <v>23</v>
      </c>
      <c r="B28" s="69" t="s">
        <v>148</v>
      </c>
      <c r="C28" s="88" t="s">
        <v>81</v>
      </c>
      <c r="D28" s="71" t="s">
        <v>95</v>
      </c>
      <c r="E28" s="88" t="s">
        <v>149</v>
      </c>
      <c r="F28" s="92" t="s">
        <v>97</v>
      </c>
      <c r="G28" s="88">
        <v>20230630</v>
      </c>
      <c r="H28" s="88">
        <v>23060973</v>
      </c>
      <c r="I28" s="95" t="s">
        <v>98</v>
      </c>
      <c r="J28" s="88" t="s">
        <v>67</v>
      </c>
      <c r="K28" s="68" t="s">
        <v>99</v>
      </c>
      <c r="L28" s="70" t="s">
        <v>100</v>
      </c>
      <c r="M28" s="88" t="s">
        <v>101</v>
      </c>
      <c r="N28" s="88" t="s">
        <v>102</v>
      </c>
      <c r="O28" s="77">
        <v>1</v>
      </c>
      <c r="P28" s="90">
        <v>45108</v>
      </c>
      <c r="Q28" s="94">
        <f t="shared" si="19"/>
        <v>46203</v>
      </c>
      <c r="R28" s="79">
        <v>36</v>
      </c>
      <c r="S28" s="79">
        <f t="shared" si="0"/>
        <v>3</v>
      </c>
      <c r="T28" s="97">
        <v>93043223.040000007</v>
      </c>
      <c r="U28" s="81"/>
      <c r="V28" s="82">
        <f t="shared" si="20"/>
        <v>93043223.040000007</v>
      </c>
      <c r="W28" s="83">
        <f t="shared" si="21"/>
        <v>2584533.9733333336</v>
      </c>
      <c r="X28" s="83">
        <v>77536019.199999958</v>
      </c>
      <c r="Y28" s="82">
        <v>15507203.840000045</v>
      </c>
      <c r="Z28" s="85">
        <f t="shared" si="2"/>
        <v>2584533.9733333336</v>
      </c>
      <c r="AA28" s="84">
        <f t="shared" si="22"/>
        <v>12922669.866666716</v>
      </c>
      <c r="AB28" s="85">
        <f t="shared" si="3"/>
        <v>2584533.9733333336</v>
      </c>
      <c r="AC28" s="84">
        <f t="shared" si="4"/>
        <v>10338135.893333383</v>
      </c>
      <c r="AD28" s="85">
        <f t="shared" si="23"/>
        <v>2584533.9733333336</v>
      </c>
      <c r="AE28" s="84">
        <f t="shared" si="6"/>
        <v>7753601.9200000493</v>
      </c>
      <c r="AF28" s="85">
        <f t="shared" si="24"/>
        <v>2584533.9733333336</v>
      </c>
      <c r="AG28" s="84">
        <f t="shared" si="7"/>
        <v>5169067.9466667157</v>
      </c>
      <c r="AH28" s="85"/>
      <c r="AI28" s="84">
        <f t="shared" si="8"/>
        <v>5169067.9466667157</v>
      </c>
      <c r="AJ28" s="85"/>
      <c r="AK28" s="84">
        <f t="shared" si="9"/>
        <v>5169067.9466667157</v>
      </c>
      <c r="AL28" s="85"/>
      <c r="AM28" s="84">
        <f t="shared" si="10"/>
        <v>5169067.9466667157</v>
      </c>
      <c r="AN28" s="85"/>
      <c r="AO28" s="84">
        <f t="shared" si="11"/>
        <v>5169067.9466667157</v>
      </c>
      <c r="AP28" s="85"/>
      <c r="AQ28" s="84">
        <f t="shared" si="12"/>
        <v>5169067.9466667157</v>
      </c>
      <c r="AR28" s="85"/>
      <c r="AS28" s="84">
        <f t="shared" si="13"/>
        <v>5169067.9466667157</v>
      </c>
      <c r="AT28" s="85"/>
      <c r="AU28" s="84">
        <f t="shared" si="14"/>
        <v>5169067.9466667157</v>
      </c>
      <c r="AV28" s="85"/>
      <c r="AW28" s="84">
        <f t="shared" si="15"/>
        <v>5169067.9466667157</v>
      </c>
      <c r="AX28" s="86">
        <f t="shared" si="16"/>
        <v>10338135.893333334</v>
      </c>
      <c r="AY28" s="87">
        <f t="shared" si="17"/>
        <v>5169067.9466667138</v>
      </c>
      <c r="AZ28" s="65" t="b">
        <f t="shared" si="18"/>
        <v>1</v>
      </c>
    </row>
    <row r="29" spans="1:52" s="67" customFormat="1" ht="24.75" hidden="1" customHeight="1">
      <c r="A29" s="68">
        <v>24</v>
      </c>
      <c r="B29" s="69" t="s">
        <v>150</v>
      </c>
      <c r="C29" s="88" t="s">
        <v>81</v>
      </c>
      <c r="D29" s="71" t="s">
        <v>95</v>
      </c>
      <c r="E29" s="88" t="s">
        <v>151</v>
      </c>
      <c r="F29" s="92" t="s">
        <v>97</v>
      </c>
      <c r="G29" s="88">
        <v>20230630</v>
      </c>
      <c r="H29" s="88">
        <v>23060973</v>
      </c>
      <c r="I29" s="95" t="s">
        <v>98</v>
      </c>
      <c r="J29" s="88" t="s">
        <v>67</v>
      </c>
      <c r="K29" s="68" t="s">
        <v>99</v>
      </c>
      <c r="L29" s="70" t="s">
        <v>100</v>
      </c>
      <c r="M29" s="88" t="s">
        <v>101</v>
      </c>
      <c r="N29" s="88" t="s">
        <v>102</v>
      </c>
      <c r="O29" s="77">
        <v>1</v>
      </c>
      <c r="P29" s="90">
        <v>45108</v>
      </c>
      <c r="Q29" s="94">
        <f t="shared" si="19"/>
        <v>46203</v>
      </c>
      <c r="R29" s="79">
        <v>36</v>
      </c>
      <c r="S29" s="79">
        <f t="shared" si="0"/>
        <v>3</v>
      </c>
      <c r="T29" s="97">
        <v>17141229.670000002</v>
      </c>
      <c r="U29" s="81"/>
      <c r="V29" s="82">
        <f t="shared" si="20"/>
        <v>17141229.670000002</v>
      </c>
      <c r="W29" s="83">
        <f t="shared" si="21"/>
        <v>476145.26861111115</v>
      </c>
      <c r="X29" s="83">
        <v>14284358.05833333</v>
      </c>
      <c r="Y29" s="82">
        <v>2856871.6116666719</v>
      </c>
      <c r="Z29" s="85">
        <f t="shared" si="2"/>
        <v>476145.26861111115</v>
      </c>
      <c r="AA29" s="84">
        <f t="shared" si="22"/>
        <v>2380726.3430555607</v>
      </c>
      <c r="AB29" s="85">
        <f t="shared" si="3"/>
        <v>476145.26861111115</v>
      </c>
      <c r="AC29" s="84">
        <f t="shared" si="4"/>
        <v>1904581.0744444495</v>
      </c>
      <c r="AD29" s="85">
        <f t="shared" si="23"/>
        <v>476145.26861111115</v>
      </c>
      <c r="AE29" s="84">
        <f t="shared" si="6"/>
        <v>1428435.8058333383</v>
      </c>
      <c r="AF29" s="85">
        <f t="shared" si="24"/>
        <v>476145.26861111115</v>
      </c>
      <c r="AG29" s="84">
        <f t="shared" si="7"/>
        <v>952290.53722222708</v>
      </c>
      <c r="AH29" s="85"/>
      <c r="AI29" s="84">
        <f t="shared" si="8"/>
        <v>952290.53722222708</v>
      </c>
      <c r="AJ29" s="85"/>
      <c r="AK29" s="84">
        <f t="shared" si="9"/>
        <v>952290.53722222708</v>
      </c>
      <c r="AL29" s="85"/>
      <c r="AM29" s="84">
        <f t="shared" si="10"/>
        <v>952290.53722222708</v>
      </c>
      <c r="AN29" s="85"/>
      <c r="AO29" s="84">
        <f t="shared" si="11"/>
        <v>952290.53722222708</v>
      </c>
      <c r="AP29" s="85"/>
      <c r="AQ29" s="84">
        <f t="shared" si="12"/>
        <v>952290.53722222708</v>
      </c>
      <c r="AR29" s="85"/>
      <c r="AS29" s="84">
        <f t="shared" si="13"/>
        <v>952290.53722222708</v>
      </c>
      <c r="AT29" s="85"/>
      <c r="AU29" s="84">
        <f t="shared" si="14"/>
        <v>952290.53722222708</v>
      </c>
      <c r="AV29" s="85"/>
      <c r="AW29" s="84">
        <f t="shared" si="15"/>
        <v>952290.53722222708</v>
      </c>
      <c r="AX29" s="86">
        <f t="shared" si="16"/>
        <v>1904581.0744444446</v>
      </c>
      <c r="AY29" s="87">
        <f t="shared" si="17"/>
        <v>952290.53722222731</v>
      </c>
      <c r="AZ29" s="65" t="b">
        <f t="shared" si="18"/>
        <v>1</v>
      </c>
    </row>
    <row r="30" spans="1:52" s="67" customFormat="1" ht="24.75" hidden="1" customHeight="1">
      <c r="A30" s="68">
        <v>25</v>
      </c>
      <c r="B30" s="69" t="s">
        <v>152</v>
      </c>
      <c r="C30" s="88" t="s">
        <v>81</v>
      </c>
      <c r="D30" s="71" t="s">
        <v>95</v>
      </c>
      <c r="E30" s="88" t="s">
        <v>153</v>
      </c>
      <c r="F30" s="92" t="s">
        <v>97</v>
      </c>
      <c r="G30" s="88">
        <v>20230630</v>
      </c>
      <c r="H30" s="88">
        <v>23060973</v>
      </c>
      <c r="I30" s="95" t="s">
        <v>98</v>
      </c>
      <c r="J30" s="88" t="s">
        <v>67</v>
      </c>
      <c r="K30" s="68" t="s">
        <v>99</v>
      </c>
      <c r="L30" s="70" t="s">
        <v>100</v>
      </c>
      <c r="M30" s="88" t="s">
        <v>101</v>
      </c>
      <c r="N30" s="88" t="s">
        <v>102</v>
      </c>
      <c r="O30" s="77">
        <v>1</v>
      </c>
      <c r="P30" s="90">
        <v>45108</v>
      </c>
      <c r="Q30" s="94">
        <f t="shared" si="19"/>
        <v>46203</v>
      </c>
      <c r="R30" s="79">
        <v>36</v>
      </c>
      <c r="S30" s="79">
        <f t="shared" si="0"/>
        <v>3</v>
      </c>
      <c r="T30" s="97">
        <v>142656102.65000001</v>
      </c>
      <c r="U30" s="81"/>
      <c r="V30" s="82">
        <f t="shared" si="20"/>
        <v>142656102.65000001</v>
      </c>
      <c r="W30" s="83">
        <f t="shared" si="21"/>
        <v>3962669.5180555559</v>
      </c>
      <c r="X30" s="83">
        <v>118880085.54166669</v>
      </c>
      <c r="Y30" s="82">
        <v>23776017.108333312</v>
      </c>
      <c r="Z30" s="85">
        <f t="shared" si="2"/>
        <v>3962669.5180555559</v>
      </c>
      <c r="AA30" s="84">
        <f t="shared" si="22"/>
        <v>19813347.590277765</v>
      </c>
      <c r="AB30" s="85">
        <f t="shared" si="3"/>
        <v>3962669.5180555559</v>
      </c>
      <c r="AC30" s="84">
        <f t="shared" si="4"/>
        <v>15850678.072222209</v>
      </c>
      <c r="AD30" s="85">
        <f t="shared" si="23"/>
        <v>3962669.5180555559</v>
      </c>
      <c r="AE30" s="84">
        <f t="shared" si="6"/>
        <v>11888008.554166652</v>
      </c>
      <c r="AF30" s="85">
        <f t="shared" si="24"/>
        <v>3962669.5180555559</v>
      </c>
      <c r="AG30" s="84">
        <f t="shared" si="7"/>
        <v>7925339.0361110959</v>
      </c>
      <c r="AH30" s="85"/>
      <c r="AI30" s="84">
        <f t="shared" si="8"/>
        <v>7925339.0361110959</v>
      </c>
      <c r="AJ30" s="85"/>
      <c r="AK30" s="84">
        <f t="shared" si="9"/>
        <v>7925339.0361110959</v>
      </c>
      <c r="AL30" s="85"/>
      <c r="AM30" s="84">
        <f t="shared" si="10"/>
        <v>7925339.0361110959</v>
      </c>
      <c r="AN30" s="85"/>
      <c r="AO30" s="84">
        <f t="shared" si="11"/>
        <v>7925339.0361110959</v>
      </c>
      <c r="AP30" s="85"/>
      <c r="AQ30" s="84">
        <f t="shared" si="12"/>
        <v>7925339.0361110959</v>
      </c>
      <c r="AR30" s="85"/>
      <c r="AS30" s="84">
        <f t="shared" si="13"/>
        <v>7925339.0361110959</v>
      </c>
      <c r="AT30" s="85"/>
      <c r="AU30" s="84">
        <f t="shared" si="14"/>
        <v>7925339.0361110959</v>
      </c>
      <c r="AV30" s="85"/>
      <c r="AW30" s="84">
        <f t="shared" si="15"/>
        <v>7925339.0361110959</v>
      </c>
      <c r="AX30" s="86">
        <f t="shared" si="16"/>
        <v>15850678.072222224</v>
      </c>
      <c r="AY30" s="87">
        <f t="shared" si="17"/>
        <v>7925339.0361110959</v>
      </c>
      <c r="AZ30" s="65" t="b">
        <f t="shared" si="18"/>
        <v>1</v>
      </c>
    </row>
    <row r="31" spans="1:52" s="67" customFormat="1" ht="24.75" hidden="1" customHeight="1">
      <c r="A31" s="68">
        <v>26</v>
      </c>
      <c r="B31" s="69" t="s">
        <v>154</v>
      </c>
      <c r="C31" s="88" t="s">
        <v>81</v>
      </c>
      <c r="D31" s="71" t="s">
        <v>95</v>
      </c>
      <c r="E31" s="88" t="s">
        <v>155</v>
      </c>
      <c r="F31" s="92" t="s">
        <v>97</v>
      </c>
      <c r="G31" s="88">
        <v>20230630</v>
      </c>
      <c r="H31" s="88">
        <v>23060973</v>
      </c>
      <c r="I31" s="95" t="s">
        <v>98</v>
      </c>
      <c r="J31" s="88" t="s">
        <v>156</v>
      </c>
      <c r="K31" s="68" t="s">
        <v>99</v>
      </c>
      <c r="L31" s="70" t="s">
        <v>100</v>
      </c>
      <c r="M31" s="88" t="s">
        <v>101</v>
      </c>
      <c r="N31" s="88" t="s">
        <v>102</v>
      </c>
      <c r="O31" s="77">
        <v>1</v>
      </c>
      <c r="P31" s="90">
        <v>45108</v>
      </c>
      <c r="Q31" s="94">
        <f t="shared" si="19"/>
        <v>46203</v>
      </c>
      <c r="R31" s="79">
        <v>36</v>
      </c>
      <c r="S31" s="79">
        <f t="shared" si="0"/>
        <v>3</v>
      </c>
      <c r="T31" s="97">
        <v>18023431.77</v>
      </c>
      <c r="U31" s="81"/>
      <c r="V31" s="82">
        <f t="shared" si="20"/>
        <v>18023431.77</v>
      </c>
      <c r="W31" s="83">
        <f t="shared" si="21"/>
        <v>500650.88250000001</v>
      </c>
      <c r="X31" s="83">
        <v>15019526.475000001</v>
      </c>
      <c r="Y31" s="82">
        <v>3003905.2949999971</v>
      </c>
      <c r="Z31" s="85">
        <f t="shared" si="2"/>
        <v>500650.88250000001</v>
      </c>
      <c r="AA31" s="84">
        <f t="shared" si="22"/>
        <v>2503254.4124999982</v>
      </c>
      <c r="AB31" s="85">
        <f t="shared" si="3"/>
        <v>500650.88250000001</v>
      </c>
      <c r="AC31" s="84">
        <f t="shared" si="4"/>
        <v>2002603.5299999982</v>
      </c>
      <c r="AD31" s="85">
        <f t="shared" si="23"/>
        <v>500650.88250000001</v>
      </c>
      <c r="AE31" s="84">
        <f t="shared" si="6"/>
        <v>1501952.6474999981</v>
      </c>
      <c r="AF31" s="85">
        <f t="shared" si="24"/>
        <v>500650.88250000001</v>
      </c>
      <c r="AG31" s="84">
        <f t="shared" si="7"/>
        <v>1001301.764999998</v>
      </c>
      <c r="AH31" s="85"/>
      <c r="AI31" s="84">
        <f t="shared" si="8"/>
        <v>1001301.764999998</v>
      </c>
      <c r="AJ31" s="85"/>
      <c r="AK31" s="84">
        <f t="shared" si="9"/>
        <v>1001301.764999998</v>
      </c>
      <c r="AL31" s="85"/>
      <c r="AM31" s="84">
        <f t="shared" si="10"/>
        <v>1001301.764999998</v>
      </c>
      <c r="AN31" s="85"/>
      <c r="AO31" s="84">
        <f t="shared" si="11"/>
        <v>1001301.764999998</v>
      </c>
      <c r="AP31" s="85"/>
      <c r="AQ31" s="84">
        <f t="shared" si="12"/>
        <v>1001301.764999998</v>
      </c>
      <c r="AR31" s="85"/>
      <c r="AS31" s="84">
        <f t="shared" si="13"/>
        <v>1001301.764999998</v>
      </c>
      <c r="AT31" s="85"/>
      <c r="AU31" s="84">
        <f t="shared" si="14"/>
        <v>1001301.764999998</v>
      </c>
      <c r="AV31" s="85"/>
      <c r="AW31" s="84">
        <f t="shared" si="15"/>
        <v>1001301.764999998</v>
      </c>
      <c r="AX31" s="86">
        <f t="shared" si="16"/>
        <v>2002603.53</v>
      </c>
      <c r="AY31" s="87">
        <f t="shared" si="17"/>
        <v>1001301.764999998</v>
      </c>
      <c r="AZ31" s="65" t="b">
        <f t="shared" si="18"/>
        <v>1</v>
      </c>
    </row>
    <row r="32" spans="1:52" s="67" customFormat="1" ht="24.75" hidden="1" customHeight="1">
      <c r="A32" s="68">
        <v>27</v>
      </c>
      <c r="B32" s="69" t="s">
        <v>157</v>
      </c>
      <c r="C32" s="88" t="s">
        <v>81</v>
      </c>
      <c r="D32" s="71" t="s">
        <v>95</v>
      </c>
      <c r="E32" s="88" t="s">
        <v>158</v>
      </c>
      <c r="F32" s="92" t="s">
        <v>97</v>
      </c>
      <c r="G32" s="88">
        <v>20230630</v>
      </c>
      <c r="H32" s="88">
        <v>23060973</v>
      </c>
      <c r="I32" s="95" t="s">
        <v>98</v>
      </c>
      <c r="J32" s="88" t="s">
        <v>156</v>
      </c>
      <c r="K32" s="68" t="s">
        <v>99</v>
      </c>
      <c r="L32" s="70" t="s">
        <v>100</v>
      </c>
      <c r="M32" s="88" t="s">
        <v>101</v>
      </c>
      <c r="N32" s="88" t="s">
        <v>102</v>
      </c>
      <c r="O32" s="77">
        <v>1</v>
      </c>
      <c r="P32" s="90">
        <v>45108</v>
      </c>
      <c r="Q32" s="94">
        <f t="shared" si="19"/>
        <v>46203</v>
      </c>
      <c r="R32" s="79">
        <v>36</v>
      </c>
      <c r="S32" s="79">
        <f t="shared" si="0"/>
        <v>3</v>
      </c>
      <c r="T32" s="97">
        <v>116159552.81999999</v>
      </c>
      <c r="U32" s="81"/>
      <c r="V32" s="82">
        <f t="shared" si="20"/>
        <v>116159552.81999999</v>
      </c>
      <c r="W32" s="83">
        <f t="shared" si="21"/>
        <v>3226654.2449999996</v>
      </c>
      <c r="X32" s="83">
        <v>96799627.350000024</v>
      </c>
      <c r="Y32" s="82">
        <v>19359925.469999969</v>
      </c>
      <c r="Z32" s="85">
        <f t="shared" si="2"/>
        <v>3226654.2449999996</v>
      </c>
      <c r="AA32" s="84">
        <f t="shared" si="22"/>
        <v>16133271.22499997</v>
      </c>
      <c r="AB32" s="85">
        <f t="shared" si="3"/>
        <v>3226654.2449999996</v>
      </c>
      <c r="AC32" s="84">
        <f t="shared" si="4"/>
        <v>12906616.979999971</v>
      </c>
      <c r="AD32" s="85">
        <f t="shared" si="23"/>
        <v>3226654.2449999996</v>
      </c>
      <c r="AE32" s="84">
        <f t="shared" si="6"/>
        <v>9679962.7349999715</v>
      </c>
      <c r="AF32" s="85">
        <f t="shared" si="24"/>
        <v>3226654.2449999996</v>
      </c>
      <c r="AG32" s="84">
        <f t="shared" si="7"/>
        <v>6453308.4899999723</v>
      </c>
      <c r="AH32" s="85"/>
      <c r="AI32" s="84">
        <f t="shared" si="8"/>
        <v>6453308.4899999723</v>
      </c>
      <c r="AJ32" s="85"/>
      <c r="AK32" s="84">
        <f t="shared" si="9"/>
        <v>6453308.4899999723</v>
      </c>
      <c r="AL32" s="85"/>
      <c r="AM32" s="84">
        <f t="shared" si="10"/>
        <v>6453308.4899999723</v>
      </c>
      <c r="AN32" s="85"/>
      <c r="AO32" s="84">
        <f t="shared" si="11"/>
        <v>6453308.4899999723</v>
      </c>
      <c r="AP32" s="85"/>
      <c r="AQ32" s="84">
        <f t="shared" si="12"/>
        <v>6453308.4899999723</v>
      </c>
      <c r="AR32" s="85"/>
      <c r="AS32" s="84">
        <f t="shared" si="13"/>
        <v>6453308.4899999723</v>
      </c>
      <c r="AT32" s="85"/>
      <c r="AU32" s="84">
        <f t="shared" si="14"/>
        <v>6453308.4899999723</v>
      </c>
      <c r="AV32" s="85"/>
      <c r="AW32" s="84">
        <f t="shared" si="15"/>
        <v>6453308.4899999723</v>
      </c>
      <c r="AX32" s="86">
        <f t="shared" si="16"/>
        <v>12906616.979999999</v>
      </c>
      <c r="AY32" s="87">
        <f t="shared" si="17"/>
        <v>6453308.4899999704</v>
      </c>
      <c r="AZ32" s="65" t="b">
        <f t="shared" si="18"/>
        <v>1</v>
      </c>
    </row>
    <row r="33" spans="1:52" s="67" customFormat="1" ht="24.75" hidden="1" customHeight="1">
      <c r="A33" s="68">
        <v>28</v>
      </c>
      <c r="B33" s="69" t="s">
        <v>159</v>
      </c>
      <c r="C33" s="88" t="s">
        <v>81</v>
      </c>
      <c r="D33" s="71" t="s">
        <v>95</v>
      </c>
      <c r="E33" s="88" t="s">
        <v>160</v>
      </c>
      <c r="F33" s="92" t="s">
        <v>97</v>
      </c>
      <c r="G33" s="88">
        <v>20230630</v>
      </c>
      <c r="H33" s="88">
        <v>23060973</v>
      </c>
      <c r="I33" s="95" t="s">
        <v>98</v>
      </c>
      <c r="J33" s="88" t="s">
        <v>156</v>
      </c>
      <c r="K33" s="68" t="s">
        <v>99</v>
      </c>
      <c r="L33" s="70" t="s">
        <v>100</v>
      </c>
      <c r="M33" s="88" t="s">
        <v>101</v>
      </c>
      <c r="N33" s="88" t="s">
        <v>102</v>
      </c>
      <c r="O33" s="77">
        <v>1</v>
      </c>
      <c r="P33" s="90">
        <v>45108</v>
      </c>
      <c r="Q33" s="94">
        <f t="shared" si="19"/>
        <v>46203</v>
      </c>
      <c r="R33" s="79">
        <v>36</v>
      </c>
      <c r="S33" s="79">
        <f t="shared" si="0"/>
        <v>3</v>
      </c>
      <c r="T33" s="97">
        <v>194156941</v>
      </c>
      <c r="U33" s="81"/>
      <c r="V33" s="82">
        <f t="shared" si="20"/>
        <v>194156941</v>
      </c>
      <c r="W33" s="83">
        <f t="shared" si="21"/>
        <v>5393248.361111111</v>
      </c>
      <c r="X33" s="83">
        <v>161797450.83333331</v>
      </c>
      <c r="Y33" s="82">
        <v>32359490.166666694</v>
      </c>
      <c r="Z33" s="85">
        <f t="shared" si="2"/>
        <v>5393248.361111111</v>
      </c>
      <c r="AA33" s="84">
        <f t="shared" si="22"/>
        <v>26966241.805555575</v>
      </c>
      <c r="AB33" s="85">
        <f t="shared" si="3"/>
        <v>5393248.361111111</v>
      </c>
      <c r="AC33" s="84">
        <f t="shared" si="4"/>
        <v>21572993.444444463</v>
      </c>
      <c r="AD33" s="85">
        <f t="shared" si="23"/>
        <v>5393248.361111111</v>
      </c>
      <c r="AE33" s="84">
        <f t="shared" si="6"/>
        <v>16179745.083333351</v>
      </c>
      <c r="AF33" s="85">
        <f t="shared" si="24"/>
        <v>5393248.361111111</v>
      </c>
      <c r="AG33" s="84">
        <f t="shared" si="7"/>
        <v>10786496.722222239</v>
      </c>
      <c r="AH33" s="85"/>
      <c r="AI33" s="84">
        <f t="shared" si="8"/>
        <v>10786496.722222239</v>
      </c>
      <c r="AJ33" s="85"/>
      <c r="AK33" s="84">
        <f t="shared" si="9"/>
        <v>10786496.722222239</v>
      </c>
      <c r="AL33" s="85"/>
      <c r="AM33" s="84">
        <f t="shared" si="10"/>
        <v>10786496.722222239</v>
      </c>
      <c r="AN33" s="85"/>
      <c r="AO33" s="84">
        <f t="shared" si="11"/>
        <v>10786496.722222239</v>
      </c>
      <c r="AP33" s="85"/>
      <c r="AQ33" s="84">
        <f t="shared" si="12"/>
        <v>10786496.722222239</v>
      </c>
      <c r="AR33" s="85"/>
      <c r="AS33" s="84">
        <f t="shared" si="13"/>
        <v>10786496.722222239</v>
      </c>
      <c r="AT33" s="85"/>
      <c r="AU33" s="84">
        <f t="shared" si="14"/>
        <v>10786496.722222239</v>
      </c>
      <c r="AV33" s="85"/>
      <c r="AW33" s="84">
        <f t="shared" si="15"/>
        <v>10786496.722222239</v>
      </c>
      <c r="AX33" s="86">
        <f t="shared" si="16"/>
        <v>21572993.444444444</v>
      </c>
      <c r="AY33" s="87">
        <f t="shared" si="17"/>
        <v>10786496.722222243</v>
      </c>
      <c r="AZ33" s="65" t="b">
        <f t="shared" si="18"/>
        <v>1</v>
      </c>
    </row>
    <row r="34" spans="1:52" s="67" customFormat="1" ht="24.75" hidden="1" customHeight="1">
      <c r="A34" s="68">
        <v>29</v>
      </c>
      <c r="B34" s="69" t="s">
        <v>161</v>
      </c>
      <c r="C34" s="88" t="s">
        <v>81</v>
      </c>
      <c r="D34" s="71" t="s">
        <v>95</v>
      </c>
      <c r="E34" s="88" t="s">
        <v>162</v>
      </c>
      <c r="F34" s="92" t="s">
        <v>97</v>
      </c>
      <c r="G34" s="88">
        <v>20230630</v>
      </c>
      <c r="H34" s="88">
        <v>23060973</v>
      </c>
      <c r="I34" s="95" t="s">
        <v>98</v>
      </c>
      <c r="J34" s="88" t="s">
        <v>156</v>
      </c>
      <c r="K34" s="68" t="s">
        <v>99</v>
      </c>
      <c r="L34" s="70" t="s">
        <v>100</v>
      </c>
      <c r="M34" s="88" t="s">
        <v>101</v>
      </c>
      <c r="N34" s="88" t="s">
        <v>102</v>
      </c>
      <c r="O34" s="77">
        <v>1</v>
      </c>
      <c r="P34" s="90">
        <v>45108</v>
      </c>
      <c r="Q34" s="94">
        <f t="shared" si="19"/>
        <v>46203</v>
      </c>
      <c r="R34" s="79">
        <v>36</v>
      </c>
      <c r="S34" s="79">
        <f t="shared" si="0"/>
        <v>3</v>
      </c>
      <c r="T34" s="97">
        <v>21157997.420000002</v>
      </c>
      <c r="U34" s="81"/>
      <c r="V34" s="82">
        <f t="shared" si="20"/>
        <v>21157997.420000002</v>
      </c>
      <c r="W34" s="83">
        <f t="shared" si="21"/>
        <v>587722.15055555559</v>
      </c>
      <c r="X34" s="83">
        <v>17631664.516666666</v>
      </c>
      <c r="Y34" s="82">
        <v>3526332.903333337</v>
      </c>
      <c r="Z34" s="85">
        <f t="shared" si="2"/>
        <v>587722.15055555559</v>
      </c>
      <c r="AA34" s="84">
        <f t="shared" si="22"/>
        <v>2938610.7527777804</v>
      </c>
      <c r="AB34" s="85">
        <f t="shared" si="3"/>
        <v>587722.15055555559</v>
      </c>
      <c r="AC34" s="84">
        <f t="shared" si="4"/>
        <v>2350888.6022222247</v>
      </c>
      <c r="AD34" s="85">
        <f t="shared" si="23"/>
        <v>587722.15055555559</v>
      </c>
      <c r="AE34" s="84">
        <f t="shared" si="6"/>
        <v>1763166.451666669</v>
      </c>
      <c r="AF34" s="85">
        <f t="shared" si="24"/>
        <v>587722.15055555559</v>
      </c>
      <c r="AG34" s="84">
        <f t="shared" si="7"/>
        <v>1175444.3011111133</v>
      </c>
      <c r="AH34" s="85"/>
      <c r="AI34" s="84">
        <f t="shared" si="8"/>
        <v>1175444.3011111133</v>
      </c>
      <c r="AJ34" s="85"/>
      <c r="AK34" s="84">
        <f t="shared" si="9"/>
        <v>1175444.3011111133</v>
      </c>
      <c r="AL34" s="85"/>
      <c r="AM34" s="84">
        <f t="shared" si="10"/>
        <v>1175444.3011111133</v>
      </c>
      <c r="AN34" s="85"/>
      <c r="AO34" s="84">
        <f t="shared" si="11"/>
        <v>1175444.3011111133</v>
      </c>
      <c r="AP34" s="85"/>
      <c r="AQ34" s="84">
        <f t="shared" si="12"/>
        <v>1175444.3011111133</v>
      </c>
      <c r="AR34" s="85"/>
      <c r="AS34" s="84">
        <f t="shared" si="13"/>
        <v>1175444.3011111133</v>
      </c>
      <c r="AT34" s="85"/>
      <c r="AU34" s="84">
        <f t="shared" si="14"/>
        <v>1175444.3011111133</v>
      </c>
      <c r="AV34" s="85"/>
      <c r="AW34" s="84">
        <f t="shared" si="15"/>
        <v>1175444.3011111133</v>
      </c>
      <c r="AX34" s="86">
        <f t="shared" si="16"/>
        <v>2350888.6022222224</v>
      </c>
      <c r="AY34" s="87">
        <f t="shared" si="17"/>
        <v>1175444.3011111137</v>
      </c>
      <c r="AZ34" s="65" t="b">
        <f t="shared" si="18"/>
        <v>1</v>
      </c>
    </row>
    <row r="35" spans="1:52" s="67" customFormat="1" ht="24.75" hidden="1" customHeight="1">
      <c r="A35" s="68">
        <v>30</v>
      </c>
      <c r="B35" s="69" t="s">
        <v>163</v>
      </c>
      <c r="C35" s="88" t="s">
        <v>81</v>
      </c>
      <c r="D35" s="71" t="s">
        <v>95</v>
      </c>
      <c r="E35" s="88" t="s">
        <v>164</v>
      </c>
      <c r="F35" s="92" t="s">
        <v>97</v>
      </c>
      <c r="G35" s="88">
        <v>20230630</v>
      </c>
      <c r="H35" s="88">
        <v>23060973</v>
      </c>
      <c r="I35" s="95" t="s">
        <v>98</v>
      </c>
      <c r="J35" s="88" t="s">
        <v>156</v>
      </c>
      <c r="K35" s="68" t="s">
        <v>99</v>
      </c>
      <c r="L35" s="70" t="s">
        <v>100</v>
      </c>
      <c r="M35" s="88" t="s">
        <v>101</v>
      </c>
      <c r="N35" s="88" t="s">
        <v>102</v>
      </c>
      <c r="O35" s="77">
        <v>1</v>
      </c>
      <c r="P35" s="90">
        <v>45108</v>
      </c>
      <c r="Q35" s="94">
        <f t="shared" si="19"/>
        <v>46203</v>
      </c>
      <c r="R35" s="79">
        <v>36</v>
      </c>
      <c r="S35" s="79">
        <f t="shared" si="0"/>
        <v>3</v>
      </c>
      <c r="T35" s="97">
        <v>51564553.549999997</v>
      </c>
      <c r="U35" s="81"/>
      <c r="V35" s="82">
        <f t="shared" si="20"/>
        <v>51564553.549999997</v>
      </c>
      <c r="W35" s="83">
        <f t="shared" si="21"/>
        <v>1432348.7097222221</v>
      </c>
      <c r="X35" s="83">
        <v>42970461.291666664</v>
      </c>
      <c r="Y35" s="82">
        <v>8594092.2583333328</v>
      </c>
      <c r="Z35" s="85">
        <f t="shared" si="2"/>
        <v>1432348.7097222221</v>
      </c>
      <c r="AA35" s="84">
        <f t="shared" si="22"/>
        <v>7161743.548611111</v>
      </c>
      <c r="AB35" s="85">
        <f t="shared" si="3"/>
        <v>1432348.7097222221</v>
      </c>
      <c r="AC35" s="84">
        <f t="shared" si="4"/>
        <v>5729394.8388888892</v>
      </c>
      <c r="AD35" s="85">
        <f t="shared" si="23"/>
        <v>1432348.7097222221</v>
      </c>
      <c r="AE35" s="84">
        <f t="shared" si="6"/>
        <v>4297046.1291666673</v>
      </c>
      <c r="AF35" s="85">
        <f t="shared" si="24"/>
        <v>1432348.7097222221</v>
      </c>
      <c r="AG35" s="84">
        <f t="shared" si="7"/>
        <v>2864697.4194444455</v>
      </c>
      <c r="AH35" s="85"/>
      <c r="AI35" s="84">
        <f t="shared" si="8"/>
        <v>2864697.4194444455</v>
      </c>
      <c r="AJ35" s="85"/>
      <c r="AK35" s="84">
        <f t="shared" si="9"/>
        <v>2864697.4194444455</v>
      </c>
      <c r="AL35" s="85"/>
      <c r="AM35" s="84">
        <f t="shared" si="10"/>
        <v>2864697.4194444455</v>
      </c>
      <c r="AN35" s="85"/>
      <c r="AO35" s="84">
        <f t="shared" si="11"/>
        <v>2864697.4194444455</v>
      </c>
      <c r="AP35" s="85"/>
      <c r="AQ35" s="84">
        <f t="shared" si="12"/>
        <v>2864697.4194444455</v>
      </c>
      <c r="AR35" s="85"/>
      <c r="AS35" s="84">
        <f t="shared" si="13"/>
        <v>2864697.4194444455</v>
      </c>
      <c r="AT35" s="85"/>
      <c r="AU35" s="84">
        <f t="shared" si="14"/>
        <v>2864697.4194444455</v>
      </c>
      <c r="AV35" s="85"/>
      <c r="AW35" s="84">
        <f t="shared" si="15"/>
        <v>2864697.4194444455</v>
      </c>
      <c r="AX35" s="86">
        <f t="shared" si="16"/>
        <v>5729394.8388888882</v>
      </c>
      <c r="AY35" s="87">
        <f t="shared" si="17"/>
        <v>2864697.4194444446</v>
      </c>
      <c r="AZ35" s="65" t="b">
        <f t="shared" si="18"/>
        <v>1</v>
      </c>
    </row>
    <row r="36" spans="1:52" s="67" customFormat="1" ht="24.75" hidden="1" customHeight="1">
      <c r="A36" s="68">
        <v>31</v>
      </c>
      <c r="B36" s="69" t="s">
        <v>165</v>
      </c>
      <c r="C36" s="88" t="s">
        <v>81</v>
      </c>
      <c r="D36" s="71" t="s">
        <v>95</v>
      </c>
      <c r="E36" s="88" t="s">
        <v>166</v>
      </c>
      <c r="F36" s="92" t="s">
        <v>97</v>
      </c>
      <c r="G36" s="88">
        <v>20230630</v>
      </c>
      <c r="H36" s="88">
        <v>23060973</v>
      </c>
      <c r="I36" s="95" t="s">
        <v>98</v>
      </c>
      <c r="J36" s="88" t="s">
        <v>156</v>
      </c>
      <c r="K36" s="68" t="s">
        <v>99</v>
      </c>
      <c r="L36" s="70" t="s">
        <v>100</v>
      </c>
      <c r="M36" s="88" t="s">
        <v>101</v>
      </c>
      <c r="N36" s="88" t="s">
        <v>102</v>
      </c>
      <c r="O36" s="77">
        <v>1</v>
      </c>
      <c r="P36" s="90">
        <v>45108</v>
      </c>
      <c r="Q36" s="94">
        <f t="shared" si="19"/>
        <v>46203</v>
      </c>
      <c r="R36" s="79">
        <v>36</v>
      </c>
      <c r="S36" s="79">
        <f t="shared" si="0"/>
        <v>3</v>
      </c>
      <c r="T36" s="97">
        <v>119505886.55</v>
      </c>
      <c r="U36" s="81"/>
      <c r="V36" s="82">
        <f t="shared" si="20"/>
        <v>119505886.55</v>
      </c>
      <c r="W36" s="83">
        <f t="shared" si="21"/>
        <v>3319607.9597222223</v>
      </c>
      <c r="X36" s="83">
        <v>99588238.791666642</v>
      </c>
      <c r="Y36" s="82">
        <v>19917647.758333355</v>
      </c>
      <c r="Z36" s="85">
        <f t="shared" si="2"/>
        <v>3319607.9597222223</v>
      </c>
      <c r="AA36" s="84">
        <f t="shared" si="22"/>
        <v>16598039.798611132</v>
      </c>
      <c r="AB36" s="85">
        <f t="shared" si="3"/>
        <v>3319607.9597222223</v>
      </c>
      <c r="AC36" s="84">
        <f t="shared" si="4"/>
        <v>13278431.83888891</v>
      </c>
      <c r="AD36" s="85">
        <f t="shared" si="23"/>
        <v>3319607.9597222223</v>
      </c>
      <c r="AE36" s="84">
        <f t="shared" si="6"/>
        <v>9958823.8791666869</v>
      </c>
      <c r="AF36" s="85">
        <f t="shared" si="24"/>
        <v>3319607.9597222223</v>
      </c>
      <c r="AG36" s="84">
        <f t="shared" si="7"/>
        <v>6639215.9194444641</v>
      </c>
      <c r="AH36" s="85"/>
      <c r="AI36" s="84">
        <f t="shared" si="8"/>
        <v>6639215.9194444641</v>
      </c>
      <c r="AJ36" s="85"/>
      <c r="AK36" s="84">
        <f t="shared" si="9"/>
        <v>6639215.9194444641</v>
      </c>
      <c r="AL36" s="85"/>
      <c r="AM36" s="84">
        <f t="shared" si="10"/>
        <v>6639215.9194444641</v>
      </c>
      <c r="AN36" s="85"/>
      <c r="AO36" s="84">
        <f t="shared" si="11"/>
        <v>6639215.9194444641</v>
      </c>
      <c r="AP36" s="85"/>
      <c r="AQ36" s="84">
        <f t="shared" si="12"/>
        <v>6639215.9194444641</v>
      </c>
      <c r="AR36" s="85"/>
      <c r="AS36" s="84">
        <f t="shared" si="13"/>
        <v>6639215.9194444641</v>
      </c>
      <c r="AT36" s="85"/>
      <c r="AU36" s="84">
        <f t="shared" si="14"/>
        <v>6639215.9194444641</v>
      </c>
      <c r="AV36" s="85"/>
      <c r="AW36" s="84">
        <f t="shared" si="15"/>
        <v>6639215.9194444641</v>
      </c>
      <c r="AX36" s="86">
        <f t="shared" si="16"/>
        <v>13278431.838888889</v>
      </c>
      <c r="AY36" s="87">
        <f t="shared" si="17"/>
        <v>6639215.919444466</v>
      </c>
      <c r="AZ36" s="65" t="b">
        <f t="shared" si="18"/>
        <v>1</v>
      </c>
    </row>
    <row r="37" spans="1:52" s="67" customFormat="1" ht="24.75" hidden="1" customHeight="1">
      <c r="A37" s="68">
        <v>32</v>
      </c>
      <c r="B37" s="69" t="s">
        <v>167</v>
      </c>
      <c r="C37" s="88" t="s">
        <v>81</v>
      </c>
      <c r="D37" s="71" t="s">
        <v>95</v>
      </c>
      <c r="E37" s="88" t="s">
        <v>168</v>
      </c>
      <c r="F37" s="92" t="s">
        <v>97</v>
      </c>
      <c r="G37" s="88">
        <v>20230630</v>
      </c>
      <c r="H37" s="88">
        <v>23060973</v>
      </c>
      <c r="I37" s="95" t="s">
        <v>98</v>
      </c>
      <c r="J37" s="88" t="s">
        <v>156</v>
      </c>
      <c r="K37" s="68" t="s">
        <v>99</v>
      </c>
      <c r="L37" s="70" t="s">
        <v>100</v>
      </c>
      <c r="M37" s="88" t="s">
        <v>101</v>
      </c>
      <c r="N37" s="88" t="s">
        <v>102</v>
      </c>
      <c r="O37" s="77">
        <v>1</v>
      </c>
      <c r="P37" s="90">
        <v>45108</v>
      </c>
      <c r="Q37" s="94">
        <f t="shared" si="19"/>
        <v>46203</v>
      </c>
      <c r="R37" s="79">
        <v>36</v>
      </c>
      <c r="S37" s="79">
        <f t="shared" si="0"/>
        <v>3</v>
      </c>
      <c r="T37" s="97">
        <v>41493853.740000002</v>
      </c>
      <c r="U37" s="81"/>
      <c r="V37" s="82">
        <f t="shared" si="20"/>
        <v>41493853.740000002</v>
      </c>
      <c r="W37" s="83">
        <f t="shared" si="21"/>
        <v>1152607.0483333333</v>
      </c>
      <c r="X37" s="83">
        <v>34578211.450000003</v>
      </c>
      <c r="Y37" s="82">
        <v>6915642.290000001</v>
      </c>
      <c r="Z37" s="85">
        <f t="shared" si="2"/>
        <v>1152607.0483333333</v>
      </c>
      <c r="AA37" s="84">
        <f t="shared" si="22"/>
        <v>5763035.2416666653</v>
      </c>
      <c r="AB37" s="85">
        <f t="shared" si="3"/>
        <v>1152607.0483333333</v>
      </c>
      <c r="AC37" s="84">
        <f t="shared" si="4"/>
        <v>4610428.1933333315</v>
      </c>
      <c r="AD37" s="85">
        <f t="shared" si="23"/>
        <v>1152607.0483333333</v>
      </c>
      <c r="AE37" s="84">
        <f t="shared" si="6"/>
        <v>3457821.1449999982</v>
      </c>
      <c r="AF37" s="85">
        <f t="shared" si="24"/>
        <v>1152607.0483333333</v>
      </c>
      <c r="AG37" s="84">
        <f t="shared" si="7"/>
        <v>2305214.0966666648</v>
      </c>
      <c r="AH37" s="85"/>
      <c r="AI37" s="84">
        <f t="shared" si="8"/>
        <v>2305214.0966666648</v>
      </c>
      <c r="AJ37" s="85"/>
      <c r="AK37" s="84">
        <f t="shared" si="9"/>
        <v>2305214.0966666648</v>
      </c>
      <c r="AL37" s="85"/>
      <c r="AM37" s="84">
        <f t="shared" si="10"/>
        <v>2305214.0966666648</v>
      </c>
      <c r="AN37" s="85"/>
      <c r="AO37" s="84">
        <f t="shared" si="11"/>
        <v>2305214.0966666648</v>
      </c>
      <c r="AP37" s="85"/>
      <c r="AQ37" s="84">
        <f t="shared" si="12"/>
        <v>2305214.0966666648</v>
      </c>
      <c r="AR37" s="85"/>
      <c r="AS37" s="84">
        <f t="shared" si="13"/>
        <v>2305214.0966666648</v>
      </c>
      <c r="AT37" s="85"/>
      <c r="AU37" s="84">
        <f t="shared" si="14"/>
        <v>2305214.0966666648</v>
      </c>
      <c r="AV37" s="85"/>
      <c r="AW37" s="84">
        <f t="shared" si="15"/>
        <v>2305214.0966666648</v>
      </c>
      <c r="AX37" s="86">
        <f t="shared" si="16"/>
        <v>4610428.1933333334</v>
      </c>
      <c r="AY37" s="87">
        <f t="shared" si="17"/>
        <v>2305214.0966666657</v>
      </c>
      <c r="AZ37" s="65" t="b">
        <f t="shared" si="18"/>
        <v>1</v>
      </c>
    </row>
    <row r="38" spans="1:52" s="67" customFormat="1" ht="24.75" hidden="1" customHeight="1">
      <c r="A38" s="68">
        <v>33</v>
      </c>
      <c r="B38" s="69" t="s">
        <v>169</v>
      </c>
      <c r="C38" s="88" t="s">
        <v>73</v>
      </c>
      <c r="D38" s="71" t="s">
        <v>64</v>
      </c>
      <c r="E38" s="88" t="s">
        <v>170</v>
      </c>
      <c r="F38" s="89" t="s">
        <v>171</v>
      </c>
      <c r="G38" s="88">
        <v>20230628</v>
      </c>
      <c r="H38" s="88">
        <v>23060960</v>
      </c>
      <c r="I38" s="74" t="s">
        <v>66</v>
      </c>
      <c r="J38" s="88" t="s">
        <v>67</v>
      </c>
      <c r="K38" s="68" t="s">
        <v>68</v>
      </c>
      <c r="L38" s="70" t="s">
        <v>69</v>
      </c>
      <c r="M38" s="88" t="s">
        <v>130</v>
      </c>
      <c r="N38" s="88" t="s">
        <v>131</v>
      </c>
      <c r="O38" s="77">
        <v>1</v>
      </c>
      <c r="P38" s="90">
        <v>45108</v>
      </c>
      <c r="Q38" s="94">
        <f t="shared" si="19"/>
        <v>46934</v>
      </c>
      <c r="R38" s="79">
        <v>60</v>
      </c>
      <c r="S38" s="79">
        <f t="shared" si="0"/>
        <v>5</v>
      </c>
      <c r="T38" s="97">
        <v>1500000000</v>
      </c>
      <c r="U38" s="81"/>
      <c r="V38" s="82">
        <f t="shared" si="20"/>
        <v>1500000000</v>
      </c>
      <c r="W38" s="83">
        <f t="shared" si="21"/>
        <v>25000000</v>
      </c>
      <c r="X38" s="83">
        <v>750000000</v>
      </c>
      <c r="Y38" s="82">
        <v>750000000</v>
      </c>
      <c r="Z38" s="85">
        <f t="shared" si="2"/>
        <v>25000000</v>
      </c>
      <c r="AA38" s="84">
        <f t="shared" si="22"/>
        <v>725000000</v>
      </c>
      <c r="AB38" s="85">
        <f t="shared" si="3"/>
        <v>25000000</v>
      </c>
      <c r="AC38" s="84">
        <f t="shared" si="4"/>
        <v>700000000</v>
      </c>
      <c r="AD38" s="85">
        <f t="shared" si="23"/>
        <v>25000000</v>
      </c>
      <c r="AE38" s="84">
        <f t="shared" si="6"/>
        <v>675000000</v>
      </c>
      <c r="AF38" s="85">
        <f t="shared" si="24"/>
        <v>25000000</v>
      </c>
      <c r="AG38" s="84">
        <f t="shared" si="7"/>
        <v>650000000</v>
      </c>
      <c r="AH38" s="85"/>
      <c r="AI38" s="84">
        <f t="shared" si="8"/>
        <v>650000000</v>
      </c>
      <c r="AJ38" s="85"/>
      <c r="AK38" s="84">
        <f t="shared" si="9"/>
        <v>650000000</v>
      </c>
      <c r="AL38" s="85"/>
      <c r="AM38" s="84">
        <f t="shared" si="10"/>
        <v>650000000</v>
      </c>
      <c r="AN38" s="85"/>
      <c r="AO38" s="84">
        <f t="shared" si="11"/>
        <v>650000000</v>
      </c>
      <c r="AP38" s="85"/>
      <c r="AQ38" s="84">
        <f t="shared" si="12"/>
        <v>650000000</v>
      </c>
      <c r="AR38" s="85"/>
      <c r="AS38" s="84">
        <f t="shared" si="13"/>
        <v>650000000</v>
      </c>
      <c r="AT38" s="85"/>
      <c r="AU38" s="84">
        <f t="shared" si="14"/>
        <v>650000000</v>
      </c>
      <c r="AV38" s="85"/>
      <c r="AW38" s="84">
        <f t="shared" si="15"/>
        <v>650000000</v>
      </c>
      <c r="AX38" s="86">
        <f t="shared" si="16"/>
        <v>100000000</v>
      </c>
      <c r="AY38" s="87">
        <f t="shared" si="17"/>
        <v>650000000</v>
      </c>
      <c r="AZ38" s="65" t="b">
        <f t="shared" si="18"/>
        <v>1</v>
      </c>
    </row>
    <row r="39" spans="1:52" s="67" customFormat="1" ht="24.75" hidden="1" customHeight="1">
      <c r="A39" s="68">
        <v>34</v>
      </c>
      <c r="B39" s="69" t="s">
        <v>172</v>
      </c>
      <c r="C39" s="88" t="s">
        <v>173</v>
      </c>
      <c r="D39" s="71" t="s">
        <v>64</v>
      </c>
      <c r="E39" s="88" t="s">
        <v>174</v>
      </c>
      <c r="F39" s="89" t="s">
        <v>175</v>
      </c>
      <c r="G39" s="88">
        <v>20230629</v>
      </c>
      <c r="H39" s="88">
        <v>23060957</v>
      </c>
      <c r="I39" s="74" t="s">
        <v>66</v>
      </c>
      <c r="J39" s="88" t="s">
        <v>67</v>
      </c>
      <c r="K39" s="68" t="s">
        <v>68</v>
      </c>
      <c r="L39" s="70" t="s">
        <v>69</v>
      </c>
      <c r="M39" s="88" t="s">
        <v>130</v>
      </c>
      <c r="N39" s="88" t="s">
        <v>131</v>
      </c>
      <c r="O39" s="77">
        <v>1</v>
      </c>
      <c r="P39" s="90">
        <v>45108</v>
      </c>
      <c r="Q39" s="94">
        <f t="shared" si="19"/>
        <v>46203</v>
      </c>
      <c r="R39" s="79">
        <v>36</v>
      </c>
      <c r="S39" s="79">
        <f t="shared" si="0"/>
        <v>3</v>
      </c>
      <c r="T39" s="91">
        <v>25779100</v>
      </c>
      <c r="U39" s="81"/>
      <c r="V39" s="82">
        <f t="shared" si="20"/>
        <v>25779100</v>
      </c>
      <c r="W39" s="83">
        <f t="shared" si="21"/>
        <v>716086.11111111112</v>
      </c>
      <c r="X39" s="83">
        <v>21482583.33333334</v>
      </c>
      <c r="Y39" s="82">
        <v>4296516.6666666605</v>
      </c>
      <c r="Z39" s="85">
        <f t="shared" si="2"/>
        <v>716086.11111111112</v>
      </c>
      <c r="AA39" s="84">
        <f t="shared" si="22"/>
        <v>3580430.5555555495</v>
      </c>
      <c r="AB39" s="85">
        <f t="shared" si="3"/>
        <v>716086.11111111112</v>
      </c>
      <c r="AC39" s="84">
        <f t="shared" si="4"/>
        <v>2864344.4444444384</v>
      </c>
      <c r="AD39" s="85">
        <f t="shared" si="23"/>
        <v>716086.11111111112</v>
      </c>
      <c r="AE39" s="84">
        <f t="shared" si="6"/>
        <v>2148258.3333333274</v>
      </c>
      <c r="AF39" s="85">
        <f t="shared" si="24"/>
        <v>716086.11111111112</v>
      </c>
      <c r="AG39" s="84">
        <f t="shared" si="7"/>
        <v>1432172.2222222164</v>
      </c>
      <c r="AH39" s="85"/>
      <c r="AI39" s="84">
        <f t="shared" si="8"/>
        <v>1432172.2222222164</v>
      </c>
      <c r="AJ39" s="85"/>
      <c r="AK39" s="84">
        <f t="shared" si="9"/>
        <v>1432172.2222222164</v>
      </c>
      <c r="AL39" s="85"/>
      <c r="AM39" s="84">
        <f t="shared" si="10"/>
        <v>1432172.2222222164</v>
      </c>
      <c r="AN39" s="85"/>
      <c r="AO39" s="84">
        <f t="shared" si="11"/>
        <v>1432172.2222222164</v>
      </c>
      <c r="AP39" s="85"/>
      <c r="AQ39" s="84">
        <f t="shared" si="12"/>
        <v>1432172.2222222164</v>
      </c>
      <c r="AR39" s="85"/>
      <c r="AS39" s="84">
        <f t="shared" si="13"/>
        <v>1432172.2222222164</v>
      </c>
      <c r="AT39" s="85"/>
      <c r="AU39" s="84">
        <f t="shared" si="14"/>
        <v>1432172.2222222164</v>
      </c>
      <c r="AV39" s="85"/>
      <c r="AW39" s="84">
        <f t="shared" si="15"/>
        <v>1432172.2222222164</v>
      </c>
      <c r="AX39" s="86">
        <f t="shared" si="16"/>
        <v>2864344.4444444445</v>
      </c>
      <c r="AY39" s="87">
        <f t="shared" si="17"/>
        <v>1432172.222222216</v>
      </c>
      <c r="AZ39" s="65" t="b">
        <f t="shared" si="18"/>
        <v>1</v>
      </c>
    </row>
    <row r="40" spans="1:52" s="67" customFormat="1" ht="24.75" hidden="1" customHeight="1">
      <c r="A40" s="68">
        <v>35</v>
      </c>
      <c r="B40" s="69" t="s">
        <v>176</v>
      </c>
      <c r="C40" s="88" t="s">
        <v>177</v>
      </c>
      <c r="D40" s="71" t="s">
        <v>64</v>
      </c>
      <c r="E40" s="88" t="s">
        <v>178</v>
      </c>
      <c r="F40" s="89" t="s">
        <v>179</v>
      </c>
      <c r="G40" s="88">
        <v>20230630</v>
      </c>
      <c r="H40" s="88">
        <v>23060958</v>
      </c>
      <c r="I40" s="74" t="s">
        <v>66</v>
      </c>
      <c r="J40" s="88" t="s">
        <v>67</v>
      </c>
      <c r="K40" s="68" t="s">
        <v>68</v>
      </c>
      <c r="L40" s="70" t="s">
        <v>69</v>
      </c>
      <c r="M40" s="88" t="s">
        <v>130</v>
      </c>
      <c r="N40" s="88" t="s">
        <v>131</v>
      </c>
      <c r="O40" s="77">
        <v>1</v>
      </c>
      <c r="P40" s="90">
        <v>45108</v>
      </c>
      <c r="Q40" s="94">
        <f t="shared" si="19"/>
        <v>46203</v>
      </c>
      <c r="R40" s="79">
        <v>36</v>
      </c>
      <c r="S40" s="79">
        <f t="shared" si="0"/>
        <v>3</v>
      </c>
      <c r="T40" s="91">
        <v>64872000</v>
      </c>
      <c r="U40" s="81"/>
      <c r="V40" s="82">
        <f t="shared" si="20"/>
        <v>64872000</v>
      </c>
      <c r="W40" s="83">
        <f t="shared" si="21"/>
        <v>1802000</v>
      </c>
      <c r="X40" s="83">
        <v>54060000</v>
      </c>
      <c r="Y40" s="82">
        <v>10812000</v>
      </c>
      <c r="Z40" s="85">
        <f t="shared" si="2"/>
        <v>1802000</v>
      </c>
      <c r="AA40" s="84">
        <f t="shared" si="22"/>
        <v>9010000</v>
      </c>
      <c r="AB40" s="85">
        <f t="shared" si="3"/>
        <v>1802000</v>
      </c>
      <c r="AC40" s="84">
        <f t="shared" si="4"/>
        <v>7208000</v>
      </c>
      <c r="AD40" s="85">
        <f t="shared" si="23"/>
        <v>1802000</v>
      </c>
      <c r="AE40" s="84">
        <f t="shared" si="6"/>
        <v>5406000</v>
      </c>
      <c r="AF40" s="85">
        <f t="shared" si="24"/>
        <v>1802000</v>
      </c>
      <c r="AG40" s="84">
        <f t="shared" si="7"/>
        <v>3604000</v>
      </c>
      <c r="AH40" s="85"/>
      <c r="AI40" s="84">
        <f t="shared" si="8"/>
        <v>3604000</v>
      </c>
      <c r="AJ40" s="85"/>
      <c r="AK40" s="84">
        <f t="shared" si="9"/>
        <v>3604000</v>
      </c>
      <c r="AL40" s="85"/>
      <c r="AM40" s="84">
        <f t="shared" si="10"/>
        <v>3604000</v>
      </c>
      <c r="AN40" s="85"/>
      <c r="AO40" s="84">
        <f t="shared" si="11"/>
        <v>3604000</v>
      </c>
      <c r="AP40" s="85"/>
      <c r="AQ40" s="84">
        <f t="shared" si="12"/>
        <v>3604000</v>
      </c>
      <c r="AR40" s="85"/>
      <c r="AS40" s="84">
        <f t="shared" si="13"/>
        <v>3604000</v>
      </c>
      <c r="AT40" s="85"/>
      <c r="AU40" s="84">
        <f t="shared" si="14"/>
        <v>3604000</v>
      </c>
      <c r="AV40" s="85"/>
      <c r="AW40" s="84">
        <f t="shared" si="15"/>
        <v>3604000</v>
      </c>
      <c r="AX40" s="86">
        <f t="shared" si="16"/>
        <v>7208000</v>
      </c>
      <c r="AY40" s="87">
        <f t="shared" si="17"/>
        <v>3604000</v>
      </c>
      <c r="AZ40" s="65" t="b">
        <f t="shared" si="18"/>
        <v>1</v>
      </c>
    </row>
    <row r="41" spans="1:52" s="67" customFormat="1" ht="24.75" hidden="1" customHeight="1">
      <c r="A41" s="68">
        <v>36</v>
      </c>
      <c r="B41" s="69" t="s">
        <v>180</v>
      </c>
      <c r="C41" s="88" t="s">
        <v>177</v>
      </c>
      <c r="D41" s="71" t="s">
        <v>64</v>
      </c>
      <c r="E41" s="88" t="s">
        <v>181</v>
      </c>
      <c r="F41" s="89"/>
      <c r="G41" s="88">
        <v>20230719</v>
      </c>
      <c r="H41" s="88">
        <v>23070602</v>
      </c>
      <c r="I41" s="74" t="s">
        <v>66</v>
      </c>
      <c r="J41" s="88" t="s">
        <v>67</v>
      </c>
      <c r="K41" s="73" t="s">
        <v>68</v>
      </c>
      <c r="L41" s="70" t="s">
        <v>69</v>
      </c>
      <c r="M41" s="88" t="s">
        <v>130</v>
      </c>
      <c r="N41" s="88" t="s">
        <v>131</v>
      </c>
      <c r="O41" s="77"/>
      <c r="P41" s="90">
        <v>45139</v>
      </c>
      <c r="Q41" s="94">
        <f t="shared" si="19"/>
        <v>46234</v>
      </c>
      <c r="R41" s="79">
        <v>36</v>
      </c>
      <c r="S41" s="79">
        <f t="shared" si="0"/>
        <v>3</v>
      </c>
      <c r="T41" s="91">
        <v>14160000</v>
      </c>
      <c r="U41" s="81"/>
      <c r="V41" s="82">
        <f t="shared" si="20"/>
        <v>14160000</v>
      </c>
      <c r="W41" s="83">
        <f t="shared" si="21"/>
        <v>393333.33333333331</v>
      </c>
      <c r="X41" s="83">
        <v>11406666.66666667</v>
      </c>
      <c r="Y41" s="82">
        <v>2753333.3333333302</v>
      </c>
      <c r="Z41" s="85">
        <f t="shared" si="2"/>
        <v>393333.33333333331</v>
      </c>
      <c r="AA41" s="84">
        <f t="shared" si="22"/>
        <v>2359999.9999999967</v>
      </c>
      <c r="AB41" s="85">
        <f t="shared" si="3"/>
        <v>393333.33333333331</v>
      </c>
      <c r="AC41" s="84">
        <f t="shared" si="4"/>
        <v>1966666.6666666635</v>
      </c>
      <c r="AD41" s="85">
        <f t="shared" si="23"/>
        <v>393333.33333333331</v>
      </c>
      <c r="AE41" s="84">
        <f t="shared" si="6"/>
        <v>1573333.3333333302</v>
      </c>
      <c r="AF41" s="85">
        <f t="shared" si="24"/>
        <v>393333.33333333331</v>
      </c>
      <c r="AG41" s="84">
        <f t="shared" si="7"/>
        <v>1179999.999999997</v>
      </c>
      <c r="AH41" s="85"/>
      <c r="AI41" s="84">
        <f t="shared" si="8"/>
        <v>1179999.999999997</v>
      </c>
      <c r="AJ41" s="85"/>
      <c r="AK41" s="84">
        <f t="shared" si="9"/>
        <v>1179999.999999997</v>
      </c>
      <c r="AL41" s="85"/>
      <c r="AM41" s="84">
        <f t="shared" si="10"/>
        <v>1179999.999999997</v>
      </c>
      <c r="AN41" s="85"/>
      <c r="AO41" s="84">
        <f t="shared" si="11"/>
        <v>1179999.999999997</v>
      </c>
      <c r="AP41" s="85"/>
      <c r="AQ41" s="84">
        <f t="shared" si="12"/>
        <v>1179999.999999997</v>
      </c>
      <c r="AR41" s="85"/>
      <c r="AS41" s="84">
        <f t="shared" si="13"/>
        <v>1179999.999999997</v>
      </c>
      <c r="AT41" s="85"/>
      <c r="AU41" s="84">
        <f t="shared" si="14"/>
        <v>1179999.999999997</v>
      </c>
      <c r="AV41" s="85"/>
      <c r="AW41" s="84">
        <f t="shared" si="15"/>
        <v>1179999.999999997</v>
      </c>
      <c r="AX41" s="86">
        <f t="shared" si="16"/>
        <v>1573333.3333333333</v>
      </c>
      <c r="AY41" s="87">
        <f t="shared" si="17"/>
        <v>1179999.999999997</v>
      </c>
      <c r="AZ41" s="65" t="b">
        <f t="shared" si="18"/>
        <v>1</v>
      </c>
    </row>
    <row r="42" spans="1:52" s="67" customFormat="1" ht="24.75" hidden="1" customHeight="1">
      <c r="A42" s="68">
        <v>37</v>
      </c>
      <c r="B42" s="69" t="s">
        <v>182</v>
      </c>
      <c r="C42" s="88" t="s">
        <v>177</v>
      </c>
      <c r="D42" s="71" t="s">
        <v>64</v>
      </c>
      <c r="E42" s="88" t="s">
        <v>181</v>
      </c>
      <c r="F42" s="89"/>
      <c r="G42" s="88">
        <v>20230719</v>
      </c>
      <c r="H42" s="88">
        <v>23070868</v>
      </c>
      <c r="I42" s="74" t="s">
        <v>66</v>
      </c>
      <c r="J42" s="88" t="s">
        <v>67</v>
      </c>
      <c r="K42" s="68" t="s">
        <v>68</v>
      </c>
      <c r="L42" s="70" t="s">
        <v>69</v>
      </c>
      <c r="M42" s="88" t="s">
        <v>130</v>
      </c>
      <c r="N42" s="88" t="s">
        <v>131</v>
      </c>
      <c r="O42" s="77"/>
      <c r="P42" s="90">
        <v>45139</v>
      </c>
      <c r="Q42" s="94">
        <f t="shared" si="19"/>
        <v>46234</v>
      </c>
      <c r="R42" s="79">
        <v>36</v>
      </c>
      <c r="S42" s="79">
        <f t="shared" si="0"/>
        <v>3</v>
      </c>
      <c r="T42" s="91">
        <v>39820000</v>
      </c>
      <c r="U42" s="81"/>
      <c r="V42" s="82">
        <f t="shared" si="20"/>
        <v>39820000</v>
      </c>
      <c r="W42" s="83">
        <f t="shared" si="21"/>
        <v>1106111.111111111</v>
      </c>
      <c r="X42" s="83">
        <v>32077222.222222231</v>
      </c>
      <c r="Y42" s="82">
        <v>7742777.7777777687</v>
      </c>
      <c r="Z42" s="85">
        <f t="shared" si="2"/>
        <v>1106111.111111111</v>
      </c>
      <c r="AA42" s="84">
        <f t="shared" si="22"/>
        <v>6636666.6666666577</v>
      </c>
      <c r="AB42" s="85">
        <f t="shared" si="3"/>
        <v>1106111.111111111</v>
      </c>
      <c r="AC42" s="84">
        <f t="shared" si="4"/>
        <v>5530555.5555555467</v>
      </c>
      <c r="AD42" s="85">
        <f t="shared" si="23"/>
        <v>1106111.111111111</v>
      </c>
      <c r="AE42" s="84">
        <f t="shared" si="6"/>
        <v>4424444.4444444356</v>
      </c>
      <c r="AF42" s="85">
        <f t="shared" si="24"/>
        <v>1106111.111111111</v>
      </c>
      <c r="AG42" s="84">
        <f t="shared" si="7"/>
        <v>3318333.3333333246</v>
      </c>
      <c r="AH42" s="85"/>
      <c r="AI42" s="84">
        <f t="shared" si="8"/>
        <v>3318333.3333333246</v>
      </c>
      <c r="AJ42" s="85"/>
      <c r="AK42" s="84">
        <f t="shared" si="9"/>
        <v>3318333.3333333246</v>
      </c>
      <c r="AL42" s="85"/>
      <c r="AM42" s="84">
        <f t="shared" si="10"/>
        <v>3318333.3333333246</v>
      </c>
      <c r="AN42" s="85"/>
      <c r="AO42" s="84">
        <f t="shared" si="11"/>
        <v>3318333.3333333246</v>
      </c>
      <c r="AP42" s="85"/>
      <c r="AQ42" s="84">
        <f t="shared" si="12"/>
        <v>3318333.3333333246</v>
      </c>
      <c r="AR42" s="85"/>
      <c r="AS42" s="84">
        <f t="shared" si="13"/>
        <v>3318333.3333333246</v>
      </c>
      <c r="AT42" s="85"/>
      <c r="AU42" s="84">
        <f t="shared" si="14"/>
        <v>3318333.3333333246</v>
      </c>
      <c r="AV42" s="85"/>
      <c r="AW42" s="84">
        <f t="shared" si="15"/>
        <v>3318333.3333333246</v>
      </c>
      <c r="AX42" s="86">
        <f t="shared" si="16"/>
        <v>4424444.444444444</v>
      </c>
      <c r="AY42" s="87">
        <f t="shared" si="17"/>
        <v>3318333.3333333246</v>
      </c>
      <c r="AZ42" s="65" t="b">
        <f t="shared" si="18"/>
        <v>1</v>
      </c>
    </row>
    <row r="43" spans="1:52" s="67" customFormat="1" ht="24.75" hidden="1" customHeight="1">
      <c r="A43" s="68">
        <v>38</v>
      </c>
      <c r="B43" s="69" t="s">
        <v>183</v>
      </c>
      <c r="C43" s="88" t="s">
        <v>73</v>
      </c>
      <c r="D43" s="71" t="s">
        <v>114</v>
      </c>
      <c r="E43" s="88" t="s">
        <v>115</v>
      </c>
      <c r="F43" s="89" t="s">
        <v>184</v>
      </c>
      <c r="G43" s="88">
        <v>20230728</v>
      </c>
      <c r="H43" s="88">
        <v>23070599</v>
      </c>
      <c r="I43" s="74" t="s">
        <v>66</v>
      </c>
      <c r="J43" s="88" t="s">
        <v>67</v>
      </c>
      <c r="K43" s="68" t="s">
        <v>68</v>
      </c>
      <c r="L43" s="70" t="s">
        <v>69</v>
      </c>
      <c r="M43" s="88" t="s">
        <v>70</v>
      </c>
      <c r="N43" s="88" t="s">
        <v>71</v>
      </c>
      <c r="O43" s="77"/>
      <c r="P43" s="90">
        <v>45139</v>
      </c>
      <c r="Q43" s="94">
        <f t="shared" si="19"/>
        <v>46234</v>
      </c>
      <c r="R43" s="79">
        <v>36</v>
      </c>
      <c r="S43" s="79">
        <f t="shared" si="0"/>
        <v>3</v>
      </c>
      <c r="T43" s="91">
        <v>427036905</v>
      </c>
      <c r="U43" s="81"/>
      <c r="V43" s="82">
        <f t="shared" si="20"/>
        <v>427036905</v>
      </c>
      <c r="W43" s="83">
        <f t="shared" si="21"/>
        <v>11862136.25</v>
      </c>
      <c r="X43" s="83">
        <v>344001951.25</v>
      </c>
      <c r="Y43" s="82">
        <v>83034953.75</v>
      </c>
      <c r="Z43" s="85">
        <f t="shared" si="2"/>
        <v>11862136.25</v>
      </c>
      <c r="AA43" s="84">
        <f t="shared" si="22"/>
        <v>71172817.5</v>
      </c>
      <c r="AB43" s="85">
        <f t="shared" si="3"/>
        <v>11862136.25</v>
      </c>
      <c r="AC43" s="84">
        <f t="shared" si="4"/>
        <v>59310681.25</v>
      </c>
      <c r="AD43" s="85">
        <f t="shared" si="23"/>
        <v>11862136.25</v>
      </c>
      <c r="AE43" s="84">
        <f t="shared" si="6"/>
        <v>47448545</v>
      </c>
      <c r="AF43" s="85">
        <f t="shared" si="24"/>
        <v>11862136.25</v>
      </c>
      <c r="AG43" s="84">
        <f t="shared" si="7"/>
        <v>35586408.75</v>
      </c>
      <c r="AH43" s="85"/>
      <c r="AI43" s="84">
        <f t="shared" si="8"/>
        <v>35586408.75</v>
      </c>
      <c r="AJ43" s="85"/>
      <c r="AK43" s="84">
        <f t="shared" si="9"/>
        <v>35586408.75</v>
      </c>
      <c r="AL43" s="85"/>
      <c r="AM43" s="84">
        <f t="shared" si="10"/>
        <v>35586408.75</v>
      </c>
      <c r="AN43" s="85"/>
      <c r="AO43" s="84">
        <f t="shared" si="11"/>
        <v>35586408.75</v>
      </c>
      <c r="AP43" s="85"/>
      <c r="AQ43" s="84">
        <f t="shared" si="12"/>
        <v>35586408.75</v>
      </c>
      <c r="AR43" s="85"/>
      <c r="AS43" s="84">
        <f t="shared" si="13"/>
        <v>35586408.75</v>
      </c>
      <c r="AT43" s="85"/>
      <c r="AU43" s="84">
        <f t="shared" si="14"/>
        <v>35586408.75</v>
      </c>
      <c r="AV43" s="85"/>
      <c r="AW43" s="84">
        <f t="shared" si="15"/>
        <v>35586408.75</v>
      </c>
      <c r="AX43" s="86">
        <f t="shared" si="16"/>
        <v>47448545</v>
      </c>
      <c r="AY43" s="87">
        <f t="shared" si="17"/>
        <v>35586408.75</v>
      </c>
      <c r="AZ43" s="65" t="b">
        <f t="shared" si="18"/>
        <v>1</v>
      </c>
    </row>
    <row r="44" spans="1:52" s="67" customFormat="1" ht="24.75" hidden="1" customHeight="1">
      <c r="A44" s="68">
        <v>39</v>
      </c>
      <c r="B44" s="69" t="s">
        <v>185</v>
      </c>
      <c r="C44" s="88" t="s">
        <v>73</v>
      </c>
      <c r="D44" s="71" t="s">
        <v>114</v>
      </c>
      <c r="E44" s="88" t="s">
        <v>115</v>
      </c>
      <c r="F44" s="89" t="s">
        <v>186</v>
      </c>
      <c r="G44" s="88">
        <v>20230728</v>
      </c>
      <c r="H44" s="88">
        <v>23070632</v>
      </c>
      <c r="I44" s="74" t="s">
        <v>66</v>
      </c>
      <c r="J44" s="88" t="s">
        <v>67</v>
      </c>
      <c r="K44" s="73" t="s">
        <v>68</v>
      </c>
      <c r="L44" s="70" t="s">
        <v>69</v>
      </c>
      <c r="M44" s="88" t="s">
        <v>55</v>
      </c>
      <c r="N44" s="88" t="s">
        <v>56</v>
      </c>
      <c r="O44" s="77"/>
      <c r="P44" s="90">
        <v>45139</v>
      </c>
      <c r="Q44" s="94">
        <f t="shared" si="19"/>
        <v>46234</v>
      </c>
      <c r="R44" s="79">
        <v>36</v>
      </c>
      <c r="S44" s="79">
        <f t="shared" si="0"/>
        <v>3</v>
      </c>
      <c r="T44" s="91">
        <v>244400000</v>
      </c>
      <c r="U44" s="81"/>
      <c r="V44" s="82">
        <f t="shared" si="20"/>
        <v>244400000</v>
      </c>
      <c r="W44" s="83">
        <f t="shared" si="21"/>
        <v>6788888.888888889</v>
      </c>
      <c r="X44" s="83">
        <v>196877777.77777785</v>
      </c>
      <c r="Y44" s="82">
        <v>47522222.222222149</v>
      </c>
      <c r="Z44" s="85">
        <f t="shared" si="2"/>
        <v>6788888.888888889</v>
      </c>
      <c r="AA44" s="84">
        <f t="shared" si="22"/>
        <v>40733333.333333261</v>
      </c>
      <c r="AB44" s="85">
        <f t="shared" si="3"/>
        <v>6788888.888888889</v>
      </c>
      <c r="AC44" s="84">
        <f t="shared" si="4"/>
        <v>33944444.444444373</v>
      </c>
      <c r="AD44" s="85">
        <f t="shared" si="23"/>
        <v>6788888.888888889</v>
      </c>
      <c r="AE44" s="84">
        <f t="shared" si="6"/>
        <v>27155555.555555485</v>
      </c>
      <c r="AF44" s="85">
        <f t="shared" si="24"/>
        <v>6788888.888888889</v>
      </c>
      <c r="AG44" s="84">
        <f t="shared" si="7"/>
        <v>20366666.666666597</v>
      </c>
      <c r="AH44" s="85"/>
      <c r="AI44" s="84">
        <f t="shared" si="8"/>
        <v>20366666.666666597</v>
      </c>
      <c r="AJ44" s="85"/>
      <c r="AK44" s="84">
        <f t="shared" si="9"/>
        <v>20366666.666666597</v>
      </c>
      <c r="AL44" s="85"/>
      <c r="AM44" s="84">
        <f t="shared" si="10"/>
        <v>20366666.666666597</v>
      </c>
      <c r="AN44" s="85"/>
      <c r="AO44" s="84">
        <f t="shared" si="11"/>
        <v>20366666.666666597</v>
      </c>
      <c r="AP44" s="85"/>
      <c r="AQ44" s="84">
        <f t="shared" si="12"/>
        <v>20366666.666666597</v>
      </c>
      <c r="AR44" s="85"/>
      <c r="AS44" s="84">
        <f t="shared" si="13"/>
        <v>20366666.666666597</v>
      </c>
      <c r="AT44" s="85"/>
      <c r="AU44" s="84">
        <f t="shared" si="14"/>
        <v>20366666.666666597</v>
      </c>
      <c r="AV44" s="85"/>
      <c r="AW44" s="84">
        <f t="shared" si="15"/>
        <v>20366666.666666597</v>
      </c>
      <c r="AX44" s="86">
        <f t="shared" si="16"/>
        <v>27155555.555555556</v>
      </c>
      <c r="AY44" s="87">
        <f t="shared" si="17"/>
        <v>20366666.666666593</v>
      </c>
      <c r="AZ44" s="65" t="b">
        <f t="shared" si="18"/>
        <v>1</v>
      </c>
    </row>
    <row r="45" spans="1:52" s="67" customFormat="1" ht="24.75" hidden="1" customHeight="1">
      <c r="A45" s="68">
        <v>40</v>
      </c>
      <c r="B45" s="69" t="s">
        <v>187</v>
      </c>
      <c r="C45" s="88" t="s">
        <v>73</v>
      </c>
      <c r="D45" s="71" t="s">
        <v>64</v>
      </c>
      <c r="E45" s="88" t="s">
        <v>188</v>
      </c>
      <c r="F45" s="89"/>
      <c r="G45" s="88">
        <v>20230728</v>
      </c>
      <c r="H45" s="88">
        <v>23070633</v>
      </c>
      <c r="I45" s="74" t="s">
        <v>66</v>
      </c>
      <c r="J45" s="88" t="s">
        <v>67</v>
      </c>
      <c r="K45" s="73" t="s">
        <v>68</v>
      </c>
      <c r="L45" s="70" t="s">
        <v>69</v>
      </c>
      <c r="M45" s="88" t="s">
        <v>130</v>
      </c>
      <c r="N45" s="88" t="s">
        <v>131</v>
      </c>
      <c r="O45" s="77"/>
      <c r="P45" s="90">
        <v>45139</v>
      </c>
      <c r="Q45" s="94">
        <f t="shared" si="19"/>
        <v>46234</v>
      </c>
      <c r="R45" s="79">
        <v>36</v>
      </c>
      <c r="S45" s="79">
        <f t="shared" si="0"/>
        <v>3</v>
      </c>
      <c r="T45" s="91">
        <v>120700000</v>
      </c>
      <c r="U45" s="81"/>
      <c r="V45" s="82">
        <f t="shared" si="20"/>
        <v>120700000</v>
      </c>
      <c r="W45" s="83">
        <f t="shared" si="21"/>
        <v>3352777.777777778</v>
      </c>
      <c r="X45" s="83">
        <v>97230555.555555537</v>
      </c>
      <c r="Y45" s="82">
        <v>23469444.444444463</v>
      </c>
      <c r="Z45" s="85">
        <f t="shared" si="2"/>
        <v>3352777.777777778</v>
      </c>
      <c r="AA45" s="84">
        <f t="shared" si="22"/>
        <v>20116666.666666687</v>
      </c>
      <c r="AB45" s="85">
        <f t="shared" si="3"/>
        <v>3352777.777777778</v>
      </c>
      <c r="AC45" s="84">
        <f t="shared" si="4"/>
        <v>16763888.888888909</v>
      </c>
      <c r="AD45" s="85">
        <f t="shared" si="23"/>
        <v>3352777.777777778</v>
      </c>
      <c r="AE45" s="84">
        <f t="shared" si="6"/>
        <v>13411111.111111131</v>
      </c>
      <c r="AF45" s="85">
        <f t="shared" si="24"/>
        <v>3352777.777777778</v>
      </c>
      <c r="AG45" s="84">
        <f t="shared" si="7"/>
        <v>10058333.333333353</v>
      </c>
      <c r="AH45" s="85"/>
      <c r="AI45" s="84">
        <f t="shared" si="8"/>
        <v>10058333.333333353</v>
      </c>
      <c r="AJ45" s="85"/>
      <c r="AK45" s="84">
        <f t="shared" si="9"/>
        <v>10058333.333333353</v>
      </c>
      <c r="AL45" s="85"/>
      <c r="AM45" s="84">
        <f t="shared" si="10"/>
        <v>10058333.333333353</v>
      </c>
      <c r="AN45" s="85"/>
      <c r="AO45" s="84">
        <f t="shared" si="11"/>
        <v>10058333.333333353</v>
      </c>
      <c r="AP45" s="85"/>
      <c r="AQ45" s="84">
        <f t="shared" si="12"/>
        <v>10058333.333333353</v>
      </c>
      <c r="AR45" s="85"/>
      <c r="AS45" s="84">
        <f t="shared" si="13"/>
        <v>10058333.333333353</v>
      </c>
      <c r="AT45" s="85"/>
      <c r="AU45" s="84">
        <f t="shared" si="14"/>
        <v>10058333.333333353</v>
      </c>
      <c r="AV45" s="85"/>
      <c r="AW45" s="84">
        <f t="shared" si="15"/>
        <v>10058333.333333353</v>
      </c>
      <c r="AX45" s="86">
        <f t="shared" si="16"/>
        <v>13411111.111111112</v>
      </c>
      <c r="AY45" s="87">
        <f t="shared" si="17"/>
        <v>10058333.333333351</v>
      </c>
      <c r="AZ45" s="65" t="b">
        <f t="shared" si="18"/>
        <v>1</v>
      </c>
    </row>
    <row r="46" spans="1:52" s="67" customFormat="1" ht="24.75" hidden="1" customHeight="1">
      <c r="A46" s="68">
        <v>41</v>
      </c>
      <c r="B46" s="69" t="s">
        <v>189</v>
      </c>
      <c r="C46" s="88" t="s">
        <v>81</v>
      </c>
      <c r="D46" s="71" t="s">
        <v>95</v>
      </c>
      <c r="E46" s="88" t="s">
        <v>190</v>
      </c>
      <c r="F46" s="92" t="s">
        <v>97</v>
      </c>
      <c r="G46" s="88">
        <v>20230731</v>
      </c>
      <c r="H46" s="88">
        <v>23070943</v>
      </c>
      <c r="I46" s="95" t="s">
        <v>98</v>
      </c>
      <c r="J46" s="88" t="s">
        <v>156</v>
      </c>
      <c r="K46" s="73" t="s">
        <v>99</v>
      </c>
      <c r="L46" s="70" t="s">
        <v>100</v>
      </c>
      <c r="M46" s="88" t="s">
        <v>101</v>
      </c>
      <c r="N46" s="88" t="s">
        <v>102</v>
      </c>
      <c r="O46" s="77">
        <v>1</v>
      </c>
      <c r="P46" s="90">
        <v>45139</v>
      </c>
      <c r="Q46" s="94">
        <f t="shared" si="19"/>
        <v>46234</v>
      </c>
      <c r="R46" s="79">
        <v>36</v>
      </c>
      <c r="S46" s="79">
        <f t="shared" si="0"/>
        <v>3</v>
      </c>
      <c r="T46" s="91">
        <v>155012165.93000001</v>
      </c>
      <c r="U46" s="81"/>
      <c r="V46" s="82">
        <f t="shared" si="20"/>
        <v>155012165.93000001</v>
      </c>
      <c r="W46" s="83">
        <f t="shared" si="21"/>
        <v>4305893.4980555559</v>
      </c>
      <c r="X46" s="83">
        <v>124870911.44361109</v>
      </c>
      <c r="Y46" s="82">
        <v>30141254.486388914</v>
      </c>
      <c r="Z46" s="85">
        <f t="shared" si="2"/>
        <v>4305893.4980555559</v>
      </c>
      <c r="AA46" s="84">
        <f t="shared" si="22"/>
        <v>25835360.988333367</v>
      </c>
      <c r="AB46" s="85">
        <f t="shared" si="3"/>
        <v>4305893.4980555559</v>
      </c>
      <c r="AC46" s="84">
        <f t="shared" si="4"/>
        <v>21529467.490277812</v>
      </c>
      <c r="AD46" s="85">
        <f t="shared" si="23"/>
        <v>4305893.4980555559</v>
      </c>
      <c r="AE46" s="84">
        <f t="shared" si="6"/>
        <v>17223573.992222257</v>
      </c>
      <c r="AF46" s="85">
        <f t="shared" si="24"/>
        <v>4305893.4980555559</v>
      </c>
      <c r="AG46" s="84">
        <f t="shared" si="7"/>
        <v>12917680.494166702</v>
      </c>
      <c r="AH46" s="85"/>
      <c r="AI46" s="84">
        <f t="shared" si="8"/>
        <v>12917680.494166702</v>
      </c>
      <c r="AJ46" s="85"/>
      <c r="AK46" s="84">
        <f t="shared" si="9"/>
        <v>12917680.494166702</v>
      </c>
      <c r="AL46" s="85"/>
      <c r="AM46" s="84">
        <f t="shared" si="10"/>
        <v>12917680.494166702</v>
      </c>
      <c r="AN46" s="85"/>
      <c r="AO46" s="84">
        <f t="shared" si="11"/>
        <v>12917680.494166702</v>
      </c>
      <c r="AP46" s="85"/>
      <c r="AQ46" s="84">
        <f t="shared" si="12"/>
        <v>12917680.494166702</v>
      </c>
      <c r="AR46" s="85"/>
      <c r="AS46" s="84">
        <f t="shared" si="13"/>
        <v>12917680.494166702</v>
      </c>
      <c r="AT46" s="85"/>
      <c r="AU46" s="84">
        <f t="shared" si="14"/>
        <v>12917680.494166702</v>
      </c>
      <c r="AV46" s="85"/>
      <c r="AW46" s="84">
        <f t="shared" si="15"/>
        <v>12917680.494166702</v>
      </c>
      <c r="AX46" s="86">
        <f t="shared" si="16"/>
        <v>17223573.992222223</v>
      </c>
      <c r="AY46" s="87">
        <f t="shared" si="17"/>
        <v>12917680.494166698</v>
      </c>
      <c r="AZ46" s="65" t="b">
        <f t="shared" si="18"/>
        <v>1</v>
      </c>
    </row>
    <row r="47" spans="1:52" s="67" customFormat="1" ht="24.75" hidden="1" customHeight="1">
      <c r="A47" s="68">
        <v>42</v>
      </c>
      <c r="B47" s="69" t="s">
        <v>191</v>
      </c>
      <c r="C47" s="88" t="s">
        <v>81</v>
      </c>
      <c r="D47" s="71" t="s">
        <v>95</v>
      </c>
      <c r="E47" s="88" t="s">
        <v>192</v>
      </c>
      <c r="F47" s="92" t="s">
        <v>97</v>
      </c>
      <c r="G47" s="88">
        <v>20230731</v>
      </c>
      <c r="H47" s="88">
        <v>23070943</v>
      </c>
      <c r="I47" s="95" t="s">
        <v>98</v>
      </c>
      <c r="J47" s="88" t="s">
        <v>156</v>
      </c>
      <c r="K47" s="68" t="s">
        <v>99</v>
      </c>
      <c r="L47" s="70" t="s">
        <v>100</v>
      </c>
      <c r="M47" s="88" t="s">
        <v>101</v>
      </c>
      <c r="N47" s="88" t="s">
        <v>102</v>
      </c>
      <c r="O47" s="77">
        <v>1</v>
      </c>
      <c r="P47" s="90">
        <v>45139</v>
      </c>
      <c r="Q47" s="94">
        <f t="shared" si="19"/>
        <v>46234</v>
      </c>
      <c r="R47" s="79">
        <v>36</v>
      </c>
      <c r="S47" s="79">
        <f t="shared" si="0"/>
        <v>3</v>
      </c>
      <c r="T47" s="91">
        <v>155012165.93000001</v>
      </c>
      <c r="U47" s="81"/>
      <c r="V47" s="82">
        <f t="shared" si="20"/>
        <v>155012165.93000001</v>
      </c>
      <c r="W47" s="83">
        <f t="shared" si="21"/>
        <v>4305893.4980555559</v>
      </c>
      <c r="X47" s="83">
        <v>124870911.44361109</v>
      </c>
      <c r="Y47" s="82">
        <v>30141254.486388914</v>
      </c>
      <c r="Z47" s="85">
        <f t="shared" si="2"/>
        <v>4305893.4980555559</v>
      </c>
      <c r="AA47" s="84">
        <f t="shared" si="22"/>
        <v>25835360.988333367</v>
      </c>
      <c r="AB47" s="85">
        <f t="shared" si="3"/>
        <v>4305893.4980555559</v>
      </c>
      <c r="AC47" s="84">
        <f t="shared" si="4"/>
        <v>21529467.490277812</v>
      </c>
      <c r="AD47" s="85">
        <f t="shared" si="23"/>
        <v>4305893.4980555559</v>
      </c>
      <c r="AE47" s="84">
        <f t="shared" si="6"/>
        <v>17223573.992222257</v>
      </c>
      <c r="AF47" s="85">
        <f t="shared" si="24"/>
        <v>4305893.4980555559</v>
      </c>
      <c r="AG47" s="84">
        <f t="shared" si="7"/>
        <v>12917680.494166702</v>
      </c>
      <c r="AH47" s="85"/>
      <c r="AI47" s="84">
        <f t="shared" si="8"/>
        <v>12917680.494166702</v>
      </c>
      <c r="AJ47" s="85"/>
      <c r="AK47" s="84">
        <f t="shared" si="9"/>
        <v>12917680.494166702</v>
      </c>
      <c r="AL47" s="85"/>
      <c r="AM47" s="84">
        <f t="shared" si="10"/>
        <v>12917680.494166702</v>
      </c>
      <c r="AN47" s="85"/>
      <c r="AO47" s="84">
        <f t="shared" si="11"/>
        <v>12917680.494166702</v>
      </c>
      <c r="AP47" s="85"/>
      <c r="AQ47" s="84">
        <f t="shared" si="12"/>
        <v>12917680.494166702</v>
      </c>
      <c r="AR47" s="85"/>
      <c r="AS47" s="84">
        <f t="shared" si="13"/>
        <v>12917680.494166702</v>
      </c>
      <c r="AT47" s="85"/>
      <c r="AU47" s="84">
        <f t="shared" si="14"/>
        <v>12917680.494166702</v>
      </c>
      <c r="AV47" s="85"/>
      <c r="AW47" s="84">
        <f t="shared" si="15"/>
        <v>12917680.494166702</v>
      </c>
      <c r="AX47" s="86">
        <f t="shared" si="16"/>
        <v>17223573.992222223</v>
      </c>
      <c r="AY47" s="87">
        <f t="shared" si="17"/>
        <v>12917680.494166698</v>
      </c>
      <c r="AZ47" s="65" t="b">
        <f t="shared" si="18"/>
        <v>1</v>
      </c>
    </row>
    <row r="48" spans="1:52" s="67" customFormat="1" ht="24.75" hidden="1" customHeight="1">
      <c r="A48" s="68">
        <v>43</v>
      </c>
      <c r="B48" s="69" t="s">
        <v>193</v>
      </c>
      <c r="C48" s="88" t="s">
        <v>81</v>
      </c>
      <c r="D48" s="71" t="s">
        <v>95</v>
      </c>
      <c r="E48" s="88" t="s">
        <v>194</v>
      </c>
      <c r="F48" s="92" t="s">
        <v>97</v>
      </c>
      <c r="G48" s="88">
        <v>20230731</v>
      </c>
      <c r="H48" s="88">
        <v>23070943</v>
      </c>
      <c r="I48" s="95" t="s">
        <v>98</v>
      </c>
      <c r="J48" s="88" t="s">
        <v>156</v>
      </c>
      <c r="K48" s="68" t="s">
        <v>99</v>
      </c>
      <c r="L48" s="70" t="s">
        <v>100</v>
      </c>
      <c r="M48" s="88" t="s">
        <v>101</v>
      </c>
      <c r="N48" s="88" t="s">
        <v>102</v>
      </c>
      <c r="O48" s="77">
        <v>1</v>
      </c>
      <c r="P48" s="90">
        <v>45139</v>
      </c>
      <c r="Q48" s="94">
        <f t="shared" si="19"/>
        <v>46234</v>
      </c>
      <c r="R48" s="79">
        <v>36</v>
      </c>
      <c r="S48" s="79">
        <f t="shared" si="0"/>
        <v>3</v>
      </c>
      <c r="T48" s="91">
        <v>155012165.93000001</v>
      </c>
      <c r="U48" s="81"/>
      <c r="V48" s="82">
        <f t="shared" si="20"/>
        <v>155012165.93000001</v>
      </c>
      <c r="W48" s="83">
        <f t="shared" si="21"/>
        <v>4305893.4980555559</v>
      </c>
      <c r="X48" s="83">
        <v>124870911.44361109</v>
      </c>
      <c r="Y48" s="82">
        <v>30141254.486388914</v>
      </c>
      <c r="Z48" s="85">
        <f t="shared" si="2"/>
        <v>4305893.4980555559</v>
      </c>
      <c r="AA48" s="84">
        <f t="shared" si="22"/>
        <v>25835360.988333367</v>
      </c>
      <c r="AB48" s="85">
        <f t="shared" si="3"/>
        <v>4305893.4980555559</v>
      </c>
      <c r="AC48" s="84">
        <f t="shared" si="4"/>
        <v>21529467.490277812</v>
      </c>
      <c r="AD48" s="85">
        <f t="shared" si="23"/>
        <v>4305893.4980555559</v>
      </c>
      <c r="AE48" s="84">
        <f t="shared" si="6"/>
        <v>17223573.992222257</v>
      </c>
      <c r="AF48" s="85">
        <f t="shared" si="24"/>
        <v>4305893.4980555559</v>
      </c>
      <c r="AG48" s="84">
        <f t="shared" si="7"/>
        <v>12917680.494166702</v>
      </c>
      <c r="AH48" s="85"/>
      <c r="AI48" s="84">
        <f t="shared" si="8"/>
        <v>12917680.494166702</v>
      </c>
      <c r="AJ48" s="85"/>
      <c r="AK48" s="84">
        <f t="shared" si="9"/>
        <v>12917680.494166702</v>
      </c>
      <c r="AL48" s="85"/>
      <c r="AM48" s="84">
        <f t="shared" si="10"/>
        <v>12917680.494166702</v>
      </c>
      <c r="AN48" s="85"/>
      <c r="AO48" s="84">
        <f t="shared" si="11"/>
        <v>12917680.494166702</v>
      </c>
      <c r="AP48" s="85"/>
      <c r="AQ48" s="84">
        <f t="shared" si="12"/>
        <v>12917680.494166702</v>
      </c>
      <c r="AR48" s="85"/>
      <c r="AS48" s="84">
        <f t="shared" si="13"/>
        <v>12917680.494166702</v>
      </c>
      <c r="AT48" s="85"/>
      <c r="AU48" s="84">
        <f t="shared" si="14"/>
        <v>12917680.494166702</v>
      </c>
      <c r="AV48" s="85"/>
      <c r="AW48" s="84">
        <f t="shared" si="15"/>
        <v>12917680.494166702</v>
      </c>
      <c r="AX48" s="86">
        <f t="shared" si="16"/>
        <v>17223573.992222223</v>
      </c>
      <c r="AY48" s="87">
        <f t="shared" si="17"/>
        <v>12917680.494166698</v>
      </c>
      <c r="AZ48" s="65" t="b">
        <f t="shared" si="18"/>
        <v>1</v>
      </c>
    </row>
    <row r="49" spans="1:52" s="67" customFormat="1" ht="24.75" hidden="1" customHeight="1">
      <c r="A49" s="68">
        <v>44</v>
      </c>
      <c r="B49" s="69" t="s">
        <v>195</v>
      </c>
      <c r="C49" s="88" t="s">
        <v>81</v>
      </c>
      <c r="D49" s="71" t="s">
        <v>95</v>
      </c>
      <c r="E49" s="88" t="s">
        <v>196</v>
      </c>
      <c r="F49" s="92" t="s">
        <v>97</v>
      </c>
      <c r="G49" s="88">
        <v>20230731</v>
      </c>
      <c r="H49" s="88">
        <v>23070943</v>
      </c>
      <c r="I49" s="95" t="s">
        <v>98</v>
      </c>
      <c r="J49" s="88" t="s">
        <v>156</v>
      </c>
      <c r="K49" s="68" t="s">
        <v>99</v>
      </c>
      <c r="L49" s="70" t="s">
        <v>100</v>
      </c>
      <c r="M49" s="88" t="s">
        <v>101</v>
      </c>
      <c r="N49" s="88" t="s">
        <v>102</v>
      </c>
      <c r="O49" s="77">
        <v>1</v>
      </c>
      <c r="P49" s="90">
        <v>45139</v>
      </c>
      <c r="Q49" s="94">
        <f t="shared" si="19"/>
        <v>46234</v>
      </c>
      <c r="R49" s="79">
        <v>36</v>
      </c>
      <c r="S49" s="79">
        <f t="shared" si="0"/>
        <v>3</v>
      </c>
      <c r="T49" s="91">
        <v>155012165.93000001</v>
      </c>
      <c r="U49" s="81"/>
      <c r="V49" s="82">
        <f t="shared" si="20"/>
        <v>155012165.93000001</v>
      </c>
      <c r="W49" s="83">
        <f t="shared" si="21"/>
        <v>4305893.4980555559</v>
      </c>
      <c r="X49" s="83">
        <v>124870911.44361109</v>
      </c>
      <c r="Y49" s="82">
        <v>30141254.486388914</v>
      </c>
      <c r="Z49" s="85">
        <f t="shared" si="2"/>
        <v>4305893.4980555559</v>
      </c>
      <c r="AA49" s="84">
        <f t="shared" si="22"/>
        <v>25835360.988333367</v>
      </c>
      <c r="AB49" s="85">
        <f t="shared" si="3"/>
        <v>4305893.4980555559</v>
      </c>
      <c r="AC49" s="84">
        <f t="shared" si="4"/>
        <v>21529467.490277812</v>
      </c>
      <c r="AD49" s="85">
        <f t="shared" si="23"/>
        <v>4305893.4980555559</v>
      </c>
      <c r="AE49" s="84">
        <f t="shared" si="6"/>
        <v>17223573.992222257</v>
      </c>
      <c r="AF49" s="85">
        <f t="shared" si="24"/>
        <v>4305893.4980555559</v>
      </c>
      <c r="AG49" s="84">
        <f t="shared" si="7"/>
        <v>12917680.494166702</v>
      </c>
      <c r="AH49" s="85"/>
      <c r="AI49" s="84">
        <f t="shared" si="8"/>
        <v>12917680.494166702</v>
      </c>
      <c r="AJ49" s="85"/>
      <c r="AK49" s="84">
        <f t="shared" si="9"/>
        <v>12917680.494166702</v>
      </c>
      <c r="AL49" s="85"/>
      <c r="AM49" s="84">
        <f t="shared" si="10"/>
        <v>12917680.494166702</v>
      </c>
      <c r="AN49" s="85"/>
      <c r="AO49" s="84">
        <f t="shared" si="11"/>
        <v>12917680.494166702</v>
      </c>
      <c r="AP49" s="85"/>
      <c r="AQ49" s="84">
        <f t="shared" si="12"/>
        <v>12917680.494166702</v>
      </c>
      <c r="AR49" s="85"/>
      <c r="AS49" s="84">
        <f t="shared" si="13"/>
        <v>12917680.494166702</v>
      </c>
      <c r="AT49" s="85"/>
      <c r="AU49" s="84">
        <f t="shared" si="14"/>
        <v>12917680.494166702</v>
      </c>
      <c r="AV49" s="85"/>
      <c r="AW49" s="84">
        <f t="shared" si="15"/>
        <v>12917680.494166702</v>
      </c>
      <c r="AX49" s="86">
        <f t="shared" si="16"/>
        <v>17223573.992222223</v>
      </c>
      <c r="AY49" s="87">
        <f t="shared" si="17"/>
        <v>12917680.494166698</v>
      </c>
      <c r="AZ49" s="65" t="b">
        <f t="shared" si="18"/>
        <v>1</v>
      </c>
    </row>
    <row r="50" spans="1:52" s="67" customFormat="1" ht="24.75" hidden="1" customHeight="1">
      <c r="A50" s="68">
        <v>45</v>
      </c>
      <c r="B50" s="69" t="s">
        <v>197</v>
      </c>
      <c r="C50" s="88" t="s">
        <v>81</v>
      </c>
      <c r="D50" s="71" t="s">
        <v>95</v>
      </c>
      <c r="E50" s="88" t="s">
        <v>198</v>
      </c>
      <c r="F50" s="92" t="s">
        <v>97</v>
      </c>
      <c r="G50" s="88">
        <v>20230731</v>
      </c>
      <c r="H50" s="88">
        <v>23070943</v>
      </c>
      <c r="I50" s="95" t="s">
        <v>98</v>
      </c>
      <c r="J50" s="88" t="s">
        <v>156</v>
      </c>
      <c r="K50" s="68" t="s">
        <v>99</v>
      </c>
      <c r="L50" s="70" t="s">
        <v>100</v>
      </c>
      <c r="M50" s="88" t="s">
        <v>101</v>
      </c>
      <c r="N50" s="88" t="s">
        <v>102</v>
      </c>
      <c r="O50" s="77">
        <v>1</v>
      </c>
      <c r="P50" s="90">
        <v>45139</v>
      </c>
      <c r="Q50" s="94">
        <f t="shared" si="19"/>
        <v>46234</v>
      </c>
      <c r="R50" s="79">
        <v>36</v>
      </c>
      <c r="S50" s="79">
        <f t="shared" si="0"/>
        <v>3</v>
      </c>
      <c r="T50" s="91">
        <v>212694432.83000001</v>
      </c>
      <c r="U50" s="81"/>
      <c r="V50" s="82">
        <f t="shared" si="20"/>
        <v>212694432.83000001</v>
      </c>
      <c r="W50" s="83">
        <f t="shared" si="21"/>
        <v>5908178.6897222223</v>
      </c>
      <c r="X50" s="83">
        <v>171337182.00194442</v>
      </c>
      <c r="Y50" s="82">
        <v>41357250.82805559</v>
      </c>
      <c r="Z50" s="85">
        <f t="shared" si="2"/>
        <v>5908178.6897222223</v>
      </c>
      <c r="AA50" s="84">
        <f t="shared" si="22"/>
        <v>35449072.138333365</v>
      </c>
      <c r="AB50" s="85">
        <f t="shared" si="3"/>
        <v>5908178.6897222223</v>
      </c>
      <c r="AC50" s="84">
        <f t="shared" si="4"/>
        <v>29540893.448611144</v>
      </c>
      <c r="AD50" s="85">
        <f t="shared" si="23"/>
        <v>5908178.6897222223</v>
      </c>
      <c r="AE50" s="84">
        <f t="shared" si="6"/>
        <v>23632714.758888923</v>
      </c>
      <c r="AF50" s="85">
        <f t="shared" si="24"/>
        <v>5908178.6897222223</v>
      </c>
      <c r="AG50" s="84">
        <f t="shared" si="7"/>
        <v>17724536.069166701</v>
      </c>
      <c r="AH50" s="85"/>
      <c r="AI50" s="84">
        <f t="shared" si="8"/>
        <v>17724536.069166701</v>
      </c>
      <c r="AJ50" s="85"/>
      <c r="AK50" s="84">
        <f t="shared" si="9"/>
        <v>17724536.069166701</v>
      </c>
      <c r="AL50" s="85"/>
      <c r="AM50" s="84">
        <f t="shared" si="10"/>
        <v>17724536.069166701</v>
      </c>
      <c r="AN50" s="85"/>
      <c r="AO50" s="84">
        <f t="shared" si="11"/>
        <v>17724536.069166701</v>
      </c>
      <c r="AP50" s="85"/>
      <c r="AQ50" s="84">
        <f t="shared" si="12"/>
        <v>17724536.069166701</v>
      </c>
      <c r="AR50" s="85"/>
      <c r="AS50" s="84">
        <f t="shared" si="13"/>
        <v>17724536.069166701</v>
      </c>
      <c r="AT50" s="85"/>
      <c r="AU50" s="84">
        <f t="shared" si="14"/>
        <v>17724536.069166701</v>
      </c>
      <c r="AV50" s="85"/>
      <c r="AW50" s="84">
        <f t="shared" si="15"/>
        <v>17724536.069166701</v>
      </c>
      <c r="AX50" s="86">
        <f t="shared" si="16"/>
        <v>23632714.758888889</v>
      </c>
      <c r="AY50" s="87">
        <f t="shared" si="17"/>
        <v>17724536.069166701</v>
      </c>
      <c r="AZ50" s="65" t="b">
        <f t="shared" si="18"/>
        <v>1</v>
      </c>
    </row>
    <row r="51" spans="1:52" s="67" customFormat="1" ht="24.75" hidden="1" customHeight="1">
      <c r="A51" s="68">
        <v>46</v>
      </c>
      <c r="B51" s="69" t="s">
        <v>199</v>
      </c>
      <c r="C51" s="88" t="s">
        <v>81</v>
      </c>
      <c r="D51" s="71" t="s">
        <v>95</v>
      </c>
      <c r="E51" s="88" t="s">
        <v>200</v>
      </c>
      <c r="F51" s="92" t="s">
        <v>97</v>
      </c>
      <c r="G51" s="88">
        <v>20230731</v>
      </c>
      <c r="H51" s="88">
        <v>23070943</v>
      </c>
      <c r="I51" s="95" t="s">
        <v>98</v>
      </c>
      <c r="J51" s="88" t="s">
        <v>156</v>
      </c>
      <c r="K51" s="73" t="s">
        <v>99</v>
      </c>
      <c r="L51" s="70" t="s">
        <v>100</v>
      </c>
      <c r="M51" s="88" t="s">
        <v>101</v>
      </c>
      <c r="N51" s="88" t="s">
        <v>102</v>
      </c>
      <c r="O51" s="77">
        <v>1</v>
      </c>
      <c r="P51" s="90">
        <v>45139</v>
      </c>
      <c r="Q51" s="94">
        <f t="shared" si="19"/>
        <v>46234</v>
      </c>
      <c r="R51" s="79">
        <v>36</v>
      </c>
      <c r="S51" s="79">
        <f t="shared" si="0"/>
        <v>3</v>
      </c>
      <c r="T51" s="91">
        <v>214209804.50999999</v>
      </c>
      <c r="U51" s="81"/>
      <c r="V51" s="82">
        <f t="shared" si="20"/>
        <v>214209804.50999999</v>
      </c>
      <c r="W51" s="83">
        <f t="shared" si="21"/>
        <v>5950272.3475000001</v>
      </c>
      <c r="X51" s="83">
        <v>172557898.07749996</v>
      </c>
      <c r="Y51" s="82">
        <v>41651906.432500035</v>
      </c>
      <c r="Z51" s="85">
        <f t="shared" si="2"/>
        <v>5950272.3475000001</v>
      </c>
      <c r="AA51" s="84">
        <f t="shared" si="22"/>
        <v>35701634.085000038</v>
      </c>
      <c r="AB51" s="85">
        <f t="shared" si="3"/>
        <v>5950272.3475000001</v>
      </c>
      <c r="AC51" s="84">
        <f t="shared" si="4"/>
        <v>29751361.737500038</v>
      </c>
      <c r="AD51" s="85">
        <f t="shared" si="23"/>
        <v>5950272.3475000001</v>
      </c>
      <c r="AE51" s="84">
        <f t="shared" si="6"/>
        <v>23801089.390000038</v>
      </c>
      <c r="AF51" s="85">
        <f t="shared" si="24"/>
        <v>5950272.3475000001</v>
      </c>
      <c r="AG51" s="84">
        <f t="shared" si="7"/>
        <v>17850817.042500038</v>
      </c>
      <c r="AH51" s="85"/>
      <c r="AI51" s="84">
        <f t="shared" si="8"/>
        <v>17850817.042500038</v>
      </c>
      <c r="AJ51" s="85"/>
      <c r="AK51" s="84">
        <f t="shared" si="9"/>
        <v>17850817.042500038</v>
      </c>
      <c r="AL51" s="85"/>
      <c r="AM51" s="84">
        <f t="shared" si="10"/>
        <v>17850817.042500038</v>
      </c>
      <c r="AN51" s="85"/>
      <c r="AO51" s="84">
        <f t="shared" si="11"/>
        <v>17850817.042500038</v>
      </c>
      <c r="AP51" s="85"/>
      <c r="AQ51" s="84">
        <f t="shared" si="12"/>
        <v>17850817.042500038</v>
      </c>
      <c r="AR51" s="85"/>
      <c r="AS51" s="84">
        <f t="shared" si="13"/>
        <v>17850817.042500038</v>
      </c>
      <c r="AT51" s="85"/>
      <c r="AU51" s="84">
        <f t="shared" si="14"/>
        <v>17850817.042500038</v>
      </c>
      <c r="AV51" s="85"/>
      <c r="AW51" s="84">
        <f t="shared" si="15"/>
        <v>17850817.042500038</v>
      </c>
      <c r="AX51" s="86">
        <f t="shared" si="16"/>
        <v>23801089.390000001</v>
      </c>
      <c r="AY51" s="87">
        <f t="shared" si="17"/>
        <v>17850817.042500034</v>
      </c>
      <c r="AZ51" s="65" t="b">
        <f t="shared" si="18"/>
        <v>1</v>
      </c>
    </row>
    <row r="52" spans="1:52" s="67" customFormat="1" ht="24.75" hidden="1" customHeight="1">
      <c r="A52" s="68">
        <v>47</v>
      </c>
      <c r="B52" s="69" t="s">
        <v>201</v>
      </c>
      <c r="C52" s="88" t="s">
        <v>81</v>
      </c>
      <c r="D52" s="71" t="s">
        <v>95</v>
      </c>
      <c r="E52" s="88" t="s">
        <v>202</v>
      </c>
      <c r="F52" s="92" t="s">
        <v>97</v>
      </c>
      <c r="G52" s="88">
        <v>20230731</v>
      </c>
      <c r="H52" s="88">
        <v>23070943</v>
      </c>
      <c r="I52" s="95" t="s">
        <v>98</v>
      </c>
      <c r="J52" s="88" t="s">
        <v>156</v>
      </c>
      <c r="K52" s="73" t="s">
        <v>99</v>
      </c>
      <c r="L52" s="70" t="s">
        <v>100</v>
      </c>
      <c r="M52" s="88" t="s">
        <v>101</v>
      </c>
      <c r="N52" s="88" t="s">
        <v>102</v>
      </c>
      <c r="O52" s="77">
        <v>1</v>
      </c>
      <c r="P52" s="90">
        <v>45139</v>
      </c>
      <c r="Q52" s="94">
        <f t="shared" si="19"/>
        <v>46234</v>
      </c>
      <c r="R52" s="79">
        <v>36</v>
      </c>
      <c r="S52" s="79">
        <f t="shared" si="0"/>
        <v>3</v>
      </c>
      <c r="T52" s="91">
        <v>231934447.78</v>
      </c>
      <c r="U52" s="81"/>
      <c r="V52" s="82">
        <f t="shared" si="20"/>
        <v>231934447.78</v>
      </c>
      <c r="W52" s="83">
        <f t="shared" si="21"/>
        <v>6442623.5494444445</v>
      </c>
      <c r="X52" s="83">
        <v>186836082.93388885</v>
      </c>
      <c r="Y52" s="82">
        <v>45098364.846111149</v>
      </c>
      <c r="Z52" s="85">
        <f t="shared" si="2"/>
        <v>6442623.5494444445</v>
      </c>
      <c r="AA52" s="84">
        <f t="shared" si="22"/>
        <v>38655741.296666704</v>
      </c>
      <c r="AB52" s="85">
        <f t="shared" si="3"/>
        <v>6442623.5494444445</v>
      </c>
      <c r="AC52" s="84">
        <f t="shared" si="4"/>
        <v>32213117.74722226</v>
      </c>
      <c r="AD52" s="85">
        <f t="shared" si="23"/>
        <v>6442623.5494444445</v>
      </c>
      <c r="AE52" s="84">
        <f t="shared" si="6"/>
        <v>25770494.197777815</v>
      </c>
      <c r="AF52" s="85">
        <f t="shared" si="24"/>
        <v>6442623.5494444445</v>
      </c>
      <c r="AG52" s="84">
        <f t="shared" si="7"/>
        <v>19327870.648333371</v>
      </c>
      <c r="AH52" s="85"/>
      <c r="AI52" s="84">
        <f t="shared" si="8"/>
        <v>19327870.648333371</v>
      </c>
      <c r="AJ52" s="85"/>
      <c r="AK52" s="84">
        <f t="shared" si="9"/>
        <v>19327870.648333371</v>
      </c>
      <c r="AL52" s="85"/>
      <c r="AM52" s="84">
        <f t="shared" si="10"/>
        <v>19327870.648333371</v>
      </c>
      <c r="AN52" s="85"/>
      <c r="AO52" s="84">
        <f t="shared" si="11"/>
        <v>19327870.648333371</v>
      </c>
      <c r="AP52" s="85"/>
      <c r="AQ52" s="84">
        <f t="shared" si="12"/>
        <v>19327870.648333371</v>
      </c>
      <c r="AR52" s="85"/>
      <c r="AS52" s="84">
        <f t="shared" si="13"/>
        <v>19327870.648333371</v>
      </c>
      <c r="AT52" s="85"/>
      <c r="AU52" s="84">
        <f t="shared" si="14"/>
        <v>19327870.648333371</v>
      </c>
      <c r="AV52" s="85"/>
      <c r="AW52" s="84">
        <f t="shared" si="15"/>
        <v>19327870.648333371</v>
      </c>
      <c r="AX52" s="86">
        <f t="shared" si="16"/>
        <v>25770494.197777778</v>
      </c>
      <c r="AY52" s="87">
        <f t="shared" si="17"/>
        <v>19327870.648333371</v>
      </c>
      <c r="AZ52" s="65" t="b">
        <f t="shared" si="18"/>
        <v>1</v>
      </c>
    </row>
    <row r="53" spans="1:52" s="67" customFormat="1" ht="24.75" hidden="1" customHeight="1">
      <c r="A53" s="68">
        <v>48</v>
      </c>
      <c r="B53" s="69" t="s">
        <v>203</v>
      </c>
      <c r="C53" s="88" t="s">
        <v>81</v>
      </c>
      <c r="D53" s="71" t="s">
        <v>95</v>
      </c>
      <c r="E53" s="88" t="s">
        <v>204</v>
      </c>
      <c r="F53" s="92" t="s">
        <v>97</v>
      </c>
      <c r="G53" s="88">
        <v>20230731</v>
      </c>
      <c r="H53" s="88">
        <v>23070943</v>
      </c>
      <c r="I53" s="95" t="s">
        <v>98</v>
      </c>
      <c r="J53" s="88" t="s">
        <v>156</v>
      </c>
      <c r="K53" s="73" t="s">
        <v>99</v>
      </c>
      <c r="L53" s="70" t="s">
        <v>100</v>
      </c>
      <c r="M53" s="88" t="s">
        <v>101</v>
      </c>
      <c r="N53" s="88" t="s">
        <v>102</v>
      </c>
      <c r="O53" s="77">
        <v>1</v>
      </c>
      <c r="P53" s="90">
        <v>45139</v>
      </c>
      <c r="Q53" s="94">
        <f t="shared" si="19"/>
        <v>46234</v>
      </c>
      <c r="R53" s="79">
        <v>36</v>
      </c>
      <c r="S53" s="79">
        <f t="shared" si="0"/>
        <v>3</v>
      </c>
      <c r="T53" s="91">
        <v>132478254.56</v>
      </c>
      <c r="U53" s="81"/>
      <c r="V53" s="82">
        <f t="shared" si="20"/>
        <v>132478254.56</v>
      </c>
      <c r="W53" s="83">
        <f t="shared" si="21"/>
        <v>3679951.5155555555</v>
      </c>
      <c r="X53" s="83">
        <v>106718593.95111114</v>
      </c>
      <c r="Y53" s="82">
        <v>25759660.608888865</v>
      </c>
      <c r="Z53" s="85">
        <f t="shared" si="2"/>
        <v>3679951.5155555555</v>
      </c>
      <c r="AA53" s="84">
        <f t="shared" si="22"/>
        <v>22079709.093333308</v>
      </c>
      <c r="AB53" s="85">
        <f t="shared" si="3"/>
        <v>3679951.5155555555</v>
      </c>
      <c r="AC53" s="84">
        <f t="shared" si="4"/>
        <v>18399757.577777751</v>
      </c>
      <c r="AD53" s="85">
        <f t="shared" si="23"/>
        <v>3679951.5155555555</v>
      </c>
      <c r="AE53" s="84">
        <f t="shared" si="6"/>
        <v>14719806.062222196</v>
      </c>
      <c r="AF53" s="85">
        <f t="shared" si="24"/>
        <v>3679951.5155555555</v>
      </c>
      <c r="AG53" s="84">
        <f t="shared" si="7"/>
        <v>11039854.546666641</v>
      </c>
      <c r="AH53" s="85"/>
      <c r="AI53" s="84">
        <f t="shared" si="8"/>
        <v>11039854.546666641</v>
      </c>
      <c r="AJ53" s="85"/>
      <c r="AK53" s="84">
        <f t="shared" si="9"/>
        <v>11039854.546666641</v>
      </c>
      <c r="AL53" s="85"/>
      <c r="AM53" s="84">
        <f t="shared" si="10"/>
        <v>11039854.546666641</v>
      </c>
      <c r="AN53" s="85"/>
      <c r="AO53" s="84">
        <f t="shared" si="11"/>
        <v>11039854.546666641</v>
      </c>
      <c r="AP53" s="85"/>
      <c r="AQ53" s="84">
        <f t="shared" si="12"/>
        <v>11039854.546666641</v>
      </c>
      <c r="AR53" s="85"/>
      <c r="AS53" s="84">
        <f t="shared" si="13"/>
        <v>11039854.546666641</v>
      </c>
      <c r="AT53" s="85"/>
      <c r="AU53" s="84">
        <f t="shared" si="14"/>
        <v>11039854.546666641</v>
      </c>
      <c r="AV53" s="85"/>
      <c r="AW53" s="84">
        <f t="shared" si="15"/>
        <v>11039854.546666641</v>
      </c>
      <c r="AX53" s="86">
        <f t="shared" si="16"/>
        <v>14719806.062222222</v>
      </c>
      <c r="AY53" s="87">
        <f t="shared" si="17"/>
        <v>11039854.546666643</v>
      </c>
      <c r="AZ53" s="65" t="b">
        <f t="shared" si="18"/>
        <v>1</v>
      </c>
    </row>
    <row r="54" spans="1:52" s="67" customFormat="1" ht="24.75" hidden="1" customHeight="1">
      <c r="A54" s="68">
        <v>49</v>
      </c>
      <c r="B54" s="69" t="s">
        <v>205</v>
      </c>
      <c r="C54" s="88" t="s">
        <v>81</v>
      </c>
      <c r="D54" s="71" t="s">
        <v>95</v>
      </c>
      <c r="E54" s="88" t="s">
        <v>206</v>
      </c>
      <c r="F54" s="92" t="s">
        <v>97</v>
      </c>
      <c r="G54" s="88">
        <v>20230731</v>
      </c>
      <c r="H54" s="88">
        <v>23070943</v>
      </c>
      <c r="I54" s="95" t="s">
        <v>98</v>
      </c>
      <c r="J54" s="88" t="s">
        <v>156</v>
      </c>
      <c r="K54" s="68" t="s">
        <v>99</v>
      </c>
      <c r="L54" s="70" t="s">
        <v>100</v>
      </c>
      <c r="M54" s="88" t="s">
        <v>101</v>
      </c>
      <c r="N54" s="88" t="s">
        <v>102</v>
      </c>
      <c r="O54" s="77">
        <v>1</v>
      </c>
      <c r="P54" s="90">
        <v>45139</v>
      </c>
      <c r="Q54" s="94">
        <f t="shared" si="19"/>
        <v>46234</v>
      </c>
      <c r="R54" s="79">
        <v>36</v>
      </c>
      <c r="S54" s="79">
        <f t="shared" si="0"/>
        <v>3</v>
      </c>
      <c r="T54" s="91">
        <v>70202975.780000001</v>
      </c>
      <c r="U54" s="81"/>
      <c r="V54" s="82">
        <f t="shared" si="20"/>
        <v>70202975.780000001</v>
      </c>
      <c r="W54" s="83">
        <f t="shared" si="21"/>
        <v>1950082.6605555555</v>
      </c>
      <c r="X54" s="83">
        <v>56552397.156111129</v>
      </c>
      <c r="Y54" s="82">
        <v>13650578.623888869</v>
      </c>
      <c r="Z54" s="85">
        <f t="shared" si="2"/>
        <v>1950082.6605555555</v>
      </c>
      <c r="AA54" s="84">
        <f t="shared" si="22"/>
        <v>11700495.963333316</v>
      </c>
      <c r="AB54" s="85">
        <f t="shared" si="3"/>
        <v>1950082.6605555555</v>
      </c>
      <c r="AC54" s="84">
        <f t="shared" si="4"/>
        <v>9750413.3027777597</v>
      </c>
      <c r="AD54" s="85">
        <f t="shared" si="23"/>
        <v>1950082.6605555555</v>
      </c>
      <c r="AE54" s="84">
        <f t="shared" si="6"/>
        <v>7800330.6422222042</v>
      </c>
      <c r="AF54" s="85">
        <f t="shared" si="24"/>
        <v>1950082.6605555555</v>
      </c>
      <c r="AG54" s="84">
        <f t="shared" si="7"/>
        <v>5850247.9816666488</v>
      </c>
      <c r="AH54" s="85"/>
      <c r="AI54" s="84">
        <f t="shared" si="8"/>
        <v>5850247.9816666488</v>
      </c>
      <c r="AJ54" s="85"/>
      <c r="AK54" s="84">
        <f t="shared" si="9"/>
        <v>5850247.9816666488</v>
      </c>
      <c r="AL54" s="85"/>
      <c r="AM54" s="84">
        <f t="shared" si="10"/>
        <v>5850247.9816666488</v>
      </c>
      <c r="AN54" s="85"/>
      <c r="AO54" s="84">
        <f t="shared" si="11"/>
        <v>5850247.9816666488</v>
      </c>
      <c r="AP54" s="85"/>
      <c r="AQ54" s="84">
        <f t="shared" si="12"/>
        <v>5850247.9816666488</v>
      </c>
      <c r="AR54" s="85"/>
      <c r="AS54" s="84">
        <f t="shared" si="13"/>
        <v>5850247.9816666488</v>
      </c>
      <c r="AT54" s="85"/>
      <c r="AU54" s="84">
        <f t="shared" si="14"/>
        <v>5850247.9816666488</v>
      </c>
      <c r="AV54" s="85"/>
      <c r="AW54" s="84">
        <f t="shared" si="15"/>
        <v>5850247.9816666488</v>
      </c>
      <c r="AX54" s="86">
        <f t="shared" si="16"/>
        <v>7800330.6422222219</v>
      </c>
      <c r="AY54" s="87">
        <f t="shared" si="17"/>
        <v>5850247.9816666506</v>
      </c>
      <c r="AZ54" s="65" t="b">
        <f t="shared" si="18"/>
        <v>1</v>
      </c>
    </row>
    <row r="55" spans="1:52" s="67" customFormat="1" ht="24.75" hidden="1" customHeight="1">
      <c r="A55" s="68">
        <v>50</v>
      </c>
      <c r="B55" s="69" t="s">
        <v>207</v>
      </c>
      <c r="C55" s="88" t="s">
        <v>81</v>
      </c>
      <c r="D55" s="71" t="s">
        <v>95</v>
      </c>
      <c r="E55" s="88" t="s">
        <v>208</v>
      </c>
      <c r="F55" s="92" t="s">
        <v>97</v>
      </c>
      <c r="G55" s="88">
        <v>20230731</v>
      </c>
      <c r="H55" s="88">
        <v>23070943</v>
      </c>
      <c r="I55" s="95" t="s">
        <v>98</v>
      </c>
      <c r="J55" s="88" t="s">
        <v>156</v>
      </c>
      <c r="K55" s="68" t="s">
        <v>99</v>
      </c>
      <c r="L55" s="70" t="s">
        <v>100</v>
      </c>
      <c r="M55" s="88" t="s">
        <v>101</v>
      </c>
      <c r="N55" s="88" t="s">
        <v>102</v>
      </c>
      <c r="O55" s="77">
        <v>1</v>
      </c>
      <c r="P55" s="90">
        <v>45139</v>
      </c>
      <c r="Q55" s="94">
        <f t="shared" si="19"/>
        <v>46234</v>
      </c>
      <c r="R55" s="79">
        <v>36</v>
      </c>
      <c r="S55" s="79">
        <f t="shared" si="0"/>
        <v>3</v>
      </c>
      <c r="T55" s="91">
        <v>36833189.509999998</v>
      </c>
      <c r="U55" s="81"/>
      <c r="V55" s="82">
        <f t="shared" si="20"/>
        <v>36833189.509999998</v>
      </c>
      <c r="W55" s="83">
        <f t="shared" si="21"/>
        <v>1023144.1530555555</v>
      </c>
      <c r="X55" s="83">
        <v>29671180.438611113</v>
      </c>
      <c r="Y55" s="82">
        <v>7162009.0713888835</v>
      </c>
      <c r="Z55" s="85">
        <f t="shared" si="2"/>
        <v>1023144.1530555555</v>
      </c>
      <c r="AA55" s="84">
        <f t="shared" si="22"/>
        <v>6138864.9183333302</v>
      </c>
      <c r="AB55" s="85">
        <f t="shared" si="3"/>
        <v>1023144.1530555555</v>
      </c>
      <c r="AC55" s="84">
        <f t="shared" si="4"/>
        <v>5115720.765277775</v>
      </c>
      <c r="AD55" s="85">
        <f t="shared" si="23"/>
        <v>1023144.1530555555</v>
      </c>
      <c r="AE55" s="84">
        <f t="shared" si="6"/>
        <v>4092576.6122222194</v>
      </c>
      <c r="AF55" s="85">
        <f t="shared" si="24"/>
        <v>1023144.1530555555</v>
      </c>
      <c r="AG55" s="84">
        <f t="shared" si="7"/>
        <v>3069432.4591666637</v>
      </c>
      <c r="AH55" s="85"/>
      <c r="AI55" s="84">
        <f t="shared" si="8"/>
        <v>3069432.4591666637</v>
      </c>
      <c r="AJ55" s="85"/>
      <c r="AK55" s="84">
        <f t="shared" si="9"/>
        <v>3069432.4591666637</v>
      </c>
      <c r="AL55" s="85"/>
      <c r="AM55" s="84">
        <f t="shared" si="10"/>
        <v>3069432.4591666637</v>
      </c>
      <c r="AN55" s="85"/>
      <c r="AO55" s="84">
        <f t="shared" si="11"/>
        <v>3069432.4591666637</v>
      </c>
      <c r="AP55" s="85"/>
      <c r="AQ55" s="84">
        <f t="shared" si="12"/>
        <v>3069432.4591666637</v>
      </c>
      <c r="AR55" s="85"/>
      <c r="AS55" s="84">
        <f t="shared" si="13"/>
        <v>3069432.4591666637</v>
      </c>
      <c r="AT55" s="85"/>
      <c r="AU55" s="84">
        <f t="shared" si="14"/>
        <v>3069432.4591666637</v>
      </c>
      <c r="AV55" s="85"/>
      <c r="AW55" s="84">
        <f t="shared" si="15"/>
        <v>3069432.4591666637</v>
      </c>
      <c r="AX55" s="86">
        <f t="shared" si="16"/>
        <v>4092576.6122222221</v>
      </c>
      <c r="AY55" s="87">
        <f t="shared" si="17"/>
        <v>3069432.4591666632</v>
      </c>
      <c r="AZ55" s="65" t="b">
        <f t="shared" si="18"/>
        <v>1</v>
      </c>
    </row>
    <row r="56" spans="1:52" s="67" customFormat="1" ht="24.75" hidden="1" customHeight="1">
      <c r="A56" s="68">
        <v>51</v>
      </c>
      <c r="B56" s="69" t="s">
        <v>209</v>
      </c>
      <c r="C56" s="88" t="s">
        <v>81</v>
      </c>
      <c r="D56" s="71" t="s">
        <v>95</v>
      </c>
      <c r="E56" s="88" t="s">
        <v>210</v>
      </c>
      <c r="F56" s="92" t="s">
        <v>97</v>
      </c>
      <c r="G56" s="88">
        <v>20230731</v>
      </c>
      <c r="H56" s="88">
        <v>23070943</v>
      </c>
      <c r="I56" s="95" t="s">
        <v>98</v>
      </c>
      <c r="J56" s="88" t="s">
        <v>156</v>
      </c>
      <c r="K56" s="68" t="s">
        <v>99</v>
      </c>
      <c r="L56" s="70" t="s">
        <v>100</v>
      </c>
      <c r="M56" s="88" t="s">
        <v>101</v>
      </c>
      <c r="N56" s="88" t="s">
        <v>102</v>
      </c>
      <c r="O56" s="77">
        <v>1</v>
      </c>
      <c r="P56" s="90">
        <v>45139</v>
      </c>
      <c r="Q56" s="94">
        <f t="shared" si="19"/>
        <v>46234</v>
      </c>
      <c r="R56" s="79">
        <v>36</v>
      </c>
      <c r="S56" s="79">
        <f t="shared" si="0"/>
        <v>3</v>
      </c>
      <c r="T56" s="91">
        <v>39701183.780000001</v>
      </c>
      <c r="U56" s="81"/>
      <c r="V56" s="82">
        <f t="shared" si="20"/>
        <v>39701183.780000001</v>
      </c>
      <c r="W56" s="83">
        <f t="shared" si="21"/>
        <v>1102810.6605555555</v>
      </c>
      <c r="X56" s="83">
        <v>31981509.156111121</v>
      </c>
      <c r="Y56" s="82">
        <v>7719674.62388888</v>
      </c>
      <c r="Z56" s="85">
        <f t="shared" si="2"/>
        <v>1102810.6605555555</v>
      </c>
      <c r="AA56" s="84">
        <f t="shared" si="22"/>
        <v>6616863.9633333245</v>
      </c>
      <c r="AB56" s="85">
        <f t="shared" si="3"/>
        <v>1102810.6605555555</v>
      </c>
      <c r="AC56" s="84">
        <f t="shared" si="4"/>
        <v>5514053.302777769</v>
      </c>
      <c r="AD56" s="85">
        <f t="shared" si="23"/>
        <v>1102810.6605555555</v>
      </c>
      <c r="AE56" s="84">
        <f t="shared" si="6"/>
        <v>4411242.6422222136</v>
      </c>
      <c r="AF56" s="85">
        <f t="shared" si="24"/>
        <v>1102810.6605555555</v>
      </c>
      <c r="AG56" s="84">
        <f t="shared" si="7"/>
        <v>3308431.9816666581</v>
      </c>
      <c r="AH56" s="85"/>
      <c r="AI56" s="84">
        <f t="shared" si="8"/>
        <v>3308431.9816666581</v>
      </c>
      <c r="AJ56" s="85"/>
      <c r="AK56" s="84">
        <f t="shared" si="9"/>
        <v>3308431.9816666581</v>
      </c>
      <c r="AL56" s="85"/>
      <c r="AM56" s="84">
        <f t="shared" si="10"/>
        <v>3308431.9816666581</v>
      </c>
      <c r="AN56" s="85"/>
      <c r="AO56" s="84">
        <f t="shared" si="11"/>
        <v>3308431.9816666581</v>
      </c>
      <c r="AP56" s="85"/>
      <c r="AQ56" s="84">
        <f t="shared" si="12"/>
        <v>3308431.9816666581</v>
      </c>
      <c r="AR56" s="85"/>
      <c r="AS56" s="84">
        <f t="shared" si="13"/>
        <v>3308431.9816666581</v>
      </c>
      <c r="AT56" s="85"/>
      <c r="AU56" s="84">
        <f t="shared" si="14"/>
        <v>3308431.9816666581</v>
      </c>
      <c r="AV56" s="85"/>
      <c r="AW56" s="84">
        <f t="shared" si="15"/>
        <v>3308431.9816666581</v>
      </c>
      <c r="AX56" s="86">
        <f t="shared" si="16"/>
        <v>4411242.6422222219</v>
      </c>
      <c r="AY56" s="87">
        <f t="shared" si="17"/>
        <v>3308431.9816666581</v>
      </c>
      <c r="AZ56" s="65" t="b">
        <f t="shared" si="18"/>
        <v>1</v>
      </c>
    </row>
    <row r="57" spans="1:52" s="67" customFormat="1" ht="24.75" hidden="1" customHeight="1">
      <c r="A57" s="68">
        <v>52</v>
      </c>
      <c r="B57" s="69" t="s">
        <v>211</v>
      </c>
      <c r="C57" s="88" t="s">
        <v>81</v>
      </c>
      <c r="D57" s="71" t="s">
        <v>95</v>
      </c>
      <c r="E57" s="88" t="s">
        <v>212</v>
      </c>
      <c r="F57" s="92" t="s">
        <v>97</v>
      </c>
      <c r="G57" s="88">
        <v>20230731</v>
      </c>
      <c r="H57" s="88">
        <v>23070943</v>
      </c>
      <c r="I57" s="95" t="s">
        <v>98</v>
      </c>
      <c r="J57" s="88" t="s">
        <v>156</v>
      </c>
      <c r="K57" s="68" t="s">
        <v>99</v>
      </c>
      <c r="L57" s="70" t="s">
        <v>100</v>
      </c>
      <c r="M57" s="88" t="s">
        <v>101</v>
      </c>
      <c r="N57" s="88" t="s">
        <v>102</v>
      </c>
      <c r="O57" s="77">
        <v>1</v>
      </c>
      <c r="P57" s="90">
        <v>45139</v>
      </c>
      <c r="Q57" s="94">
        <f t="shared" si="19"/>
        <v>46234</v>
      </c>
      <c r="R57" s="79">
        <v>36</v>
      </c>
      <c r="S57" s="79">
        <f t="shared" si="0"/>
        <v>3</v>
      </c>
      <c r="T57" s="91">
        <v>36024603.810000002</v>
      </c>
      <c r="U57" s="81"/>
      <c r="V57" s="82">
        <f t="shared" si="20"/>
        <v>36024603.810000002</v>
      </c>
      <c r="W57" s="83">
        <f t="shared" si="21"/>
        <v>1000683.4391666667</v>
      </c>
      <c r="X57" s="83">
        <v>29019819.735833332</v>
      </c>
      <c r="Y57" s="82">
        <v>7004784.0741666723</v>
      </c>
      <c r="Z57" s="85">
        <f t="shared" si="2"/>
        <v>1000683.4391666667</v>
      </c>
      <c r="AA57" s="84">
        <f t="shared" si="22"/>
        <v>6004100.6350000035</v>
      </c>
      <c r="AB57" s="85">
        <f t="shared" si="3"/>
        <v>1000683.4391666667</v>
      </c>
      <c r="AC57" s="84">
        <f t="shared" si="4"/>
        <v>5003417.1958333366</v>
      </c>
      <c r="AD57" s="85">
        <f t="shared" si="23"/>
        <v>1000683.4391666667</v>
      </c>
      <c r="AE57" s="84">
        <f t="shared" si="6"/>
        <v>4002733.7566666696</v>
      </c>
      <c r="AF57" s="85">
        <f t="shared" si="24"/>
        <v>1000683.4391666667</v>
      </c>
      <c r="AG57" s="84">
        <f t="shared" si="7"/>
        <v>3002050.3175000027</v>
      </c>
      <c r="AH57" s="85"/>
      <c r="AI57" s="84">
        <f t="shared" si="8"/>
        <v>3002050.3175000027</v>
      </c>
      <c r="AJ57" s="85"/>
      <c r="AK57" s="84">
        <f t="shared" si="9"/>
        <v>3002050.3175000027</v>
      </c>
      <c r="AL57" s="85"/>
      <c r="AM57" s="84">
        <f t="shared" si="10"/>
        <v>3002050.3175000027</v>
      </c>
      <c r="AN57" s="85"/>
      <c r="AO57" s="84">
        <f t="shared" si="11"/>
        <v>3002050.3175000027</v>
      </c>
      <c r="AP57" s="85"/>
      <c r="AQ57" s="84">
        <f t="shared" si="12"/>
        <v>3002050.3175000027</v>
      </c>
      <c r="AR57" s="85"/>
      <c r="AS57" s="84">
        <f t="shared" si="13"/>
        <v>3002050.3175000027</v>
      </c>
      <c r="AT57" s="85"/>
      <c r="AU57" s="84">
        <f t="shared" si="14"/>
        <v>3002050.3175000027</v>
      </c>
      <c r="AV57" s="85"/>
      <c r="AW57" s="84">
        <f t="shared" si="15"/>
        <v>3002050.3175000027</v>
      </c>
      <c r="AX57" s="86">
        <f t="shared" si="16"/>
        <v>4002733.7566666668</v>
      </c>
      <c r="AY57" s="87">
        <f t="shared" si="17"/>
        <v>3002050.3175000036</v>
      </c>
      <c r="AZ57" s="65" t="b">
        <f t="shared" si="18"/>
        <v>1</v>
      </c>
    </row>
    <row r="58" spans="1:52" s="67" customFormat="1" ht="24.75" hidden="1" customHeight="1">
      <c r="A58" s="68">
        <v>53</v>
      </c>
      <c r="B58" s="69" t="s">
        <v>213</v>
      </c>
      <c r="C58" s="88" t="s">
        <v>81</v>
      </c>
      <c r="D58" s="71" t="s">
        <v>95</v>
      </c>
      <c r="E58" s="88" t="s">
        <v>214</v>
      </c>
      <c r="F58" s="92" t="s">
        <v>97</v>
      </c>
      <c r="G58" s="88">
        <v>20230731</v>
      </c>
      <c r="H58" s="88">
        <v>23070943</v>
      </c>
      <c r="I58" s="95" t="s">
        <v>98</v>
      </c>
      <c r="J58" s="88" t="s">
        <v>156</v>
      </c>
      <c r="K58" s="73" t="s">
        <v>99</v>
      </c>
      <c r="L58" s="70" t="s">
        <v>100</v>
      </c>
      <c r="M58" s="88" t="s">
        <v>101</v>
      </c>
      <c r="N58" s="88" t="s">
        <v>102</v>
      </c>
      <c r="O58" s="77">
        <v>1</v>
      </c>
      <c r="P58" s="90">
        <v>45139</v>
      </c>
      <c r="Q58" s="94">
        <f t="shared" si="19"/>
        <v>46234</v>
      </c>
      <c r="R58" s="79">
        <v>36</v>
      </c>
      <c r="S58" s="79">
        <f t="shared" si="0"/>
        <v>3</v>
      </c>
      <c r="T58" s="91">
        <v>30076924.550000001</v>
      </c>
      <c r="U58" s="81"/>
      <c r="V58" s="82">
        <f t="shared" si="20"/>
        <v>30076924.550000001</v>
      </c>
      <c r="W58" s="83">
        <f t="shared" si="21"/>
        <v>835470.12638888892</v>
      </c>
      <c r="X58" s="83">
        <v>24228633.665277779</v>
      </c>
      <c r="Y58" s="82">
        <v>5848290.8847222216</v>
      </c>
      <c r="Z58" s="85">
        <f t="shared" si="2"/>
        <v>835470.12638888892</v>
      </c>
      <c r="AA58" s="84">
        <f t="shared" si="22"/>
        <v>5012820.7583333328</v>
      </c>
      <c r="AB58" s="85">
        <f t="shared" si="3"/>
        <v>835470.12638888892</v>
      </c>
      <c r="AC58" s="84">
        <f t="shared" si="4"/>
        <v>4177350.631944444</v>
      </c>
      <c r="AD58" s="85">
        <f t="shared" si="23"/>
        <v>835470.12638888892</v>
      </c>
      <c r="AE58" s="84">
        <f t="shared" si="6"/>
        <v>3341880.5055555552</v>
      </c>
      <c r="AF58" s="85">
        <f t="shared" si="24"/>
        <v>835470.12638888892</v>
      </c>
      <c r="AG58" s="84">
        <f t="shared" si="7"/>
        <v>2506410.3791666664</v>
      </c>
      <c r="AH58" s="85"/>
      <c r="AI58" s="84">
        <f t="shared" si="8"/>
        <v>2506410.3791666664</v>
      </c>
      <c r="AJ58" s="85"/>
      <c r="AK58" s="84">
        <f t="shared" si="9"/>
        <v>2506410.3791666664</v>
      </c>
      <c r="AL58" s="85"/>
      <c r="AM58" s="84">
        <f t="shared" si="10"/>
        <v>2506410.3791666664</v>
      </c>
      <c r="AN58" s="85"/>
      <c r="AO58" s="84">
        <f t="shared" si="11"/>
        <v>2506410.3791666664</v>
      </c>
      <c r="AP58" s="85"/>
      <c r="AQ58" s="84">
        <f t="shared" si="12"/>
        <v>2506410.3791666664</v>
      </c>
      <c r="AR58" s="85"/>
      <c r="AS58" s="84">
        <f t="shared" si="13"/>
        <v>2506410.3791666664</v>
      </c>
      <c r="AT58" s="85"/>
      <c r="AU58" s="84">
        <f t="shared" si="14"/>
        <v>2506410.3791666664</v>
      </c>
      <c r="AV58" s="85"/>
      <c r="AW58" s="84">
        <f t="shared" si="15"/>
        <v>2506410.3791666664</v>
      </c>
      <c r="AX58" s="86">
        <f t="shared" si="16"/>
        <v>3341880.5055555557</v>
      </c>
      <c r="AY58" s="87">
        <f t="shared" si="17"/>
        <v>2506410.379166666</v>
      </c>
      <c r="AZ58" s="65" t="b">
        <f t="shared" si="18"/>
        <v>1</v>
      </c>
    </row>
    <row r="59" spans="1:52" s="67" customFormat="1" ht="24.75" hidden="1" customHeight="1">
      <c r="A59" s="68">
        <v>54</v>
      </c>
      <c r="B59" s="69" t="s">
        <v>215</v>
      </c>
      <c r="C59" s="88" t="s">
        <v>81</v>
      </c>
      <c r="D59" s="71" t="s">
        <v>95</v>
      </c>
      <c r="E59" s="88" t="s">
        <v>216</v>
      </c>
      <c r="F59" s="92" t="s">
        <v>97</v>
      </c>
      <c r="G59" s="88">
        <v>20230731</v>
      </c>
      <c r="H59" s="88">
        <v>23070943</v>
      </c>
      <c r="I59" s="95" t="s">
        <v>98</v>
      </c>
      <c r="J59" s="88" t="s">
        <v>156</v>
      </c>
      <c r="K59" s="73" t="s">
        <v>99</v>
      </c>
      <c r="L59" s="70" t="s">
        <v>100</v>
      </c>
      <c r="M59" s="88" t="s">
        <v>101</v>
      </c>
      <c r="N59" s="88" t="s">
        <v>102</v>
      </c>
      <c r="O59" s="77">
        <v>1</v>
      </c>
      <c r="P59" s="90">
        <v>45139</v>
      </c>
      <c r="Q59" s="94">
        <f t="shared" si="19"/>
        <v>46234</v>
      </c>
      <c r="R59" s="79">
        <v>36</v>
      </c>
      <c r="S59" s="79">
        <f t="shared" si="0"/>
        <v>3</v>
      </c>
      <c r="T59" s="91">
        <v>54093552.880000003</v>
      </c>
      <c r="U59" s="81"/>
      <c r="V59" s="82">
        <f t="shared" si="20"/>
        <v>54093552.880000003</v>
      </c>
      <c r="W59" s="83">
        <f t="shared" si="21"/>
        <v>1502598.6911111111</v>
      </c>
      <c r="X59" s="83">
        <v>43575362.042222209</v>
      </c>
      <c r="Y59" s="82">
        <v>10518190.837777793</v>
      </c>
      <c r="Z59" s="85">
        <f t="shared" si="2"/>
        <v>1502598.6911111111</v>
      </c>
      <c r="AA59" s="84">
        <f t="shared" si="22"/>
        <v>9015592.1466666833</v>
      </c>
      <c r="AB59" s="85">
        <f t="shared" si="3"/>
        <v>1502598.6911111111</v>
      </c>
      <c r="AC59" s="84">
        <f t="shared" si="4"/>
        <v>7512993.4555555722</v>
      </c>
      <c r="AD59" s="85">
        <f t="shared" si="23"/>
        <v>1502598.6911111111</v>
      </c>
      <c r="AE59" s="84">
        <f t="shared" si="6"/>
        <v>6010394.7644444611</v>
      </c>
      <c r="AF59" s="85">
        <f t="shared" si="24"/>
        <v>1502598.6911111111</v>
      </c>
      <c r="AG59" s="84">
        <f t="shared" si="7"/>
        <v>4507796.07333335</v>
      </c>
      <c r="AH59" s="85"/>
      <c r="AI59" s="84">
        <f t="shared" si="8"/>
        <v>4507796.07333335</v>
      </c>
      <c r="AJ59" s="85"/>
      <c r="AK59" s="84">
        <f t="shared" si="9"/>
        <v>4507796.07333335</v>
      </c>
      <c r="AL59" s="85"/>
      <c r="AM59" s="84">
        <f t="shared" si="10"/>
        <v>4507796.07333335</v>
      </c>
      <c r="AN59" s="85"/>
      <c r="AO59" s="84">
        <f t="shared" si="11"/>
        <v>4507796.07333335</v>
      </c>
      <c r="AP59" s="85"/>
      <c r="AQ59" s="84">
        <f t="shared" si="12"/>
        <v>4507796.07333335</v>
      </c>
      <c r="AR59" s="85"/>
      <c r="AS59" s="84">
        <f t="shared" si="13"/>
        <v>4507796.07333335</v>
      </c>
      <c r="AT59" s="85"/>
      <c r="AU59" s="84">
        <f t="shared" si="14"/>
        <v>4507796.07333335</v>
      </c>
      <c r="AV59" s="85"/>
      <c r="AW59" s="84">
        <f t="shared" si="15"/>
        <v>4507796.07333335</v>
      </c>
      <c r="AX59" s="86">
        <f t="shared" si="16"/>
        <v>6010394.7644444443</v>
      </c>
      <c r="AY59" s="87">
        <f t="shared" si="17"/>
        <v>4507796.0733333491</v>
      </c>
      <c r="AZ59" s="65" t="b">
        <f t="shared" si="18"/>
        <v>1</v>
      </c>
    </row>
    <row r="60" spans="1:52" s="67" customFormat="1" ht="24.75" hidden="1" customHeight="1">
      <c r="A60" s="68">
        <v>55</v>
      </c>
      <c r="B60" s="69" t="s">
        <v>217</v>
      </c>
      <c r="C60" s="88" t="s">
        <v>81</v>
      </c>
      <c r="D60" s="71" t="s">
        <v>95</v>
      </c>
      <c r="E60" s="88" t="s">
        <v>218</v>
      </c>
      <c r="F60" s="92" t="s">
        <v>97</v>
      </c>
      <c r="G60" s="88">
        <v>20230731</v>
      </c>
      <c r="H60" s="88">
        <v>23070943</v>
      </c>
      <c r="I60" s="95" t="s">
        <v>98</v>
      </c>
      <c r="J60" s="88" t="s">
        <v>156</v>
      </c>
      <c r="K60" s="73" t="s">
        <v>99</v>
      </c>
      <c r="L60" s="70" t="s">
        <v>100</v>
      </c>
      <c r="M60" s="88" t="s">
        <v>101</v>
      </c>
      <c r="N60" s="88" t="s">
        <v>102</v>
      </c>
      <c r="O60" s="77">
        <v>1</v>
      </c>
      <c r="P60" s="90">
        <v>45139</v>
      </c>
      <c r="Q60" s="94">
        <f t="shared" si="19"/>
        <v>46234</v>
      </c>
      <c r="R60" s="79">
        <v>36</v>
      </c>
      <c r="S60" s="79">
        <f t="shared" si="0"/>
        <v>3</v>
      </c>
      <c r="T60" s="91">
        <v>44712362.030000001</v>
      </c>
      <c r="U60" s="81"/>
      <c r="V60" s="82">
        <f t="shared" si="20"/>
        <v>44712362.030000001</v>
      </c>
      <c r="W60" s="83">
        <f t="shared" si="21"/>
        <v>1242010.056388889</v>
      </c>
      <c r="X60" s="83">
        <v>36018291.635277785</v>
      </c>
      <c r="Y60" s="82">
        <v>8694070.394722214</v>
      </c>
      <c r="Z60" s="85">
        <f t="shared" si="2"/>
        <v>1242010.056388889</v>
      </c>
      <c r="AA60" s="84">
        <f t="shared" si="22"/>
        <v>7452060.3383333273</v>
      </c>
      <c r="AB60" s="85">
        <f t="shared" si="3"/>
        <v>1242010.056388889</v>
      </c>
      <c r="AC60" s="84">
        <f t="shared" si="4"/>
        <v>6210050.2819444388</v>
      </c>
      <c r="AD60" s="85">
        <f t="shared" si="23"/>
        <v>1242010.056388889</v>
      </c>
      <c r="AE60" s="84">
        <f t="shared" si="6"/>
        <v>4968040.2255555503</v>
      </c>
      <c r="AF60" s="85">
        <f t="shared" si="24"/>
        <v>1242010.056388889</v>
      </c>
      <c r="AG60" s="84">
        <f t="shared" si="7"/>
        <v>3726030.1691666613</v>
      </c>
      <c r="AH60" s="85"/>
      <c r="AI60" s="84">
        <f t="shared" si="8"/>
        <v>3726030.1691666613</v>
      </c>
      <c r="AJ60" s="85"/>
      <c r="AK60" s="84">
        <f t="shared" si="9"/>
        <v>3726030.1691666613</v>
      </c>
      <c r="AL60" s="85"/>
      <c r="AM60" s="84">
        <f t="shared" si="10"/>
        <v>3726030.1691666613</v>
      </c>
      <c r="AN60" s="85"/>
      <c r="AO60" s="84">
        <f t="shared" si="11"/>
        <v>3726030.1691666613</v>
      </c>
      <c r="AP60" s="85"/>
      <c r="AQ60" s="84">
        <f t="shared" si="12"/>
        <v>3726030.1691666613</v>
      </c>
      <c r="AR60" s="85"/>
      <c r="AS60" s="84">
        <f t="shared" si="13"/>
        <v>3726030.1691666613</v>
      </c>
      <c r="AT60" s="85"/>
      <c r="AU60" s="84">
        <f t="shared" si="14"/>
        <v>3726030.1691666613</v>
      </c>
      <c r="AV60" s="85"/>
      <c r="AW60" s="84">
        <f t="shared" si="15"/>
        <v>3726030.1691666613</v>
      </c>
      <c r="AX60" s="86">
        <f t="shared" si="16"/>
        <v>4968040.2255555559</v>
      </c>
      <c r="AY60" s="87">
        <f t="shared" si="17"/>
        <v>3726030.1691666599</v>
      </c>
      <c r="AZ60" s="65" t="b">
        <f t="shared" si="18"/>
        <v>1</v>
      </c>
    </row>
    <row r="61" spans="1:52" s="67" customFormat="1" ht="24.75" hidden="1" customHeight="1">
      <c r="A61" s="68">
        <v>56</v>
      </c>
      <c r="B61" s="69" t="s">
        <v>219</v>
      </c>
      <c r="C61" s="88" t="s">
        <v>81</v>
      </c>
      <c r="D61" s="71" t="s">
        <v>95</v>
      </c>
      <c r="E61" s="88" t="s">
        <v>220</v>
      </c>
      <c r="F61" s="92" t="s">
        <v>97</v>
      </c>
      <c r="G61" s="88">
        <v>20230731</v>
      </c>
      <c r="H61" s="88">
        <v>23070943</v>
      </c>
      <c r="I61" s="95" t="s">
        <v>98</v>
      </c>
      <c r="J61" s="88" t="s">
        <v>156</v>
      </c>
      <c r="K61" s="68" t="s">
        <v>99</v>
      </c>
      <c r="L61" s="70" t="s">
        <v>100</v>
      </c>
      <c r="M61" s="88" t="s">
        <v>101</v>
      </c>
      <c r="N61" s="88" t="s">
        <v>102</v>
      </c>
      <c r="O61" s="77">
        <v>1</v>
      </c>
      <c r="P61" s="90">
        <v>45139</v>
      </c>
      <c r="Q61" s="94">
        <f t="shared" si="19"/>
        <v>46234</v>
      </c>
      <c r="R61" s="79">
        <v>36</v>
      </c>
      <c r="S61" s="79">
        <f t="shared" si="0"/>
        <v>3</v>
      </c>
      <c r="T61" s="91">
        <v>95056272.129999995</v>
      </c>
      <c r="U61" s="81"/>
      <c r="V61" s="82">
        <f t="shared" si="20"/>
        <v>95056272.129999995</v>
      </c>
      <c r="W61" s="83">
        <f t="shared" si="21"/>
        <v>2640452.0036111111</v>
      </c>
      <c r="X61" s="83">
        <v>76573108.104722232</v>
      </c>
      <c r="Y61" s="82">
        <v>18483164.02527776</v>
      </c>
      <c r="Z61" s="85">
        <f t="shared" si="2"/>
        <v>2640452.0036111111</v>
      </c>
      <c r="AA61" s="84">
        <f t="shared" si="22"/>
        <v>15842712.021666653</v>
      </c>
      <c r="AB61" s="85">
        <f t="shared" si="3"/>
        <v>2640452.0036111111</v>
      </c>
      <c r="AC61" s="84">
        <f t="shared" si="4"/>
        <v>13202260.018055543</v>
      </c>
      <c r="AD61" s="85">
        <f t="shared" si="23"/>
        <v>2640452.0036111111</v>
      </c>
      <c r="AE61" s="84">
        <f t="shared" si="6"/>
        <v>10561808.014444433</v>
      </c>
      <c r="AF61" s="85">
        <f t="shared" si="24"/>
        <v>2640452.0036111111</v>
      </c>
      <c r="AG61" s="84">
        <f t="shared" si="7"/>
        <v>7921356.0108333221</v>
      </c>
      <c r="AH61" s="85"/>
      <c r="AI61" s="84">
        <f t="shared" si="8"/>
        <v>7921356.0108333221</v>
      </c>
      <c r="AJ61" s="85"/>
      <c r="AK61" s="84">
        <f t="shared" si="9"/>
        <v>7921356.0108333221</v>
      </c>
      <c r="AL61" s="85"/>
      <c r="AM61" s="84">
        <f t="shared" si="10"/>
        <v>7921356.0108333221</v>
      </c>
      <c r="AN61" s="85"/>
      <c r="AO61" s="84">
        <f t="shared" si="11"/>
        <v>7921356.0108333221</v>
      </c>
      <c r="AP61" s="85"/>
      <c r="AQ61" s="84">
        <f t="shared" si="12"/>
        <v>7921356.0108333221</v>
      </c>
      <c r="AR61" s="85"/>
      <c r="AS61" s="84">
        <f t="shared" si="13"/>
        <v>7921356.0108333221</v>
      </c>
      <c r="AT61" s="85"/>
      <c r="AU61" s="84">
        <f t="shared" si="14"/>
        <v>7921356.0108333221</v>
      </c>
      <c r="AV61" s="85"/>
      <c r="AW61" s="84">
        <f t="shared" si="15"/>
        <v>7921356.0108333221</v>
      </c>
      <c r="AX61" s="86">
        <f t="shared" si="16"/>
        <v>10561808.014444444</v>
      </c>
      <c r="AY61" s="87">
        <f t="shared" si="17"/>
        <v>7921356.0108333193</v>
      </c>
      <c r="AZ61" s="65" t="b">
        <f t="shared" si="18"/>
        <v>1</v>
      </c>
    </row>
    <row r="62" spans="1:52" s="67" customFormat="1" ht="24.75" hidden="1" customHeight="1">
      <c r="A62" s="68">
        <v>57</v>
      </c>
      <c r="B62" s="69" t="s">
        <v>221</v>
      </c>
      <c r="C62" s="88" t="s">
        <v>81</v>
      </c>
      <c r="D62" s="71" t="s">
        <v>95</v>
      </c>
      <c r="E62" s="88" t="s">
        <v>222</v>
      </c>
      <c r="F62" s="92" t="s">
        <v>97</v>
      </c>
      <c r="G62" s="88">
        <v>20230731</v>
      </c>
      <c r="H62" s="88">
        <v>23070943</v>
      </c>
      <c r="I62" s="95" t="s">
        <v>98</v>
      </c>
      <c r="J62" s="88" t="s">
        <v>156</v>
      </c>
      <c r="K62" s="68" t="s">
        <v>99</v>
      </c>
      <c r="L62" s="70" t="s">
        <v>100</v>
      </c>
      <c r="M62" s="88" t="s">
        <v>101</v>
      </c>
      <c r="N62" s="88" t="s">
        <v>102</v>
      </c>
      <c r="O62" s="77">
        <v>1</v>
      </c>
      <c r="P62" s="90">
        <v>45139</v>
      </c>
      <c r="Q62" s="94">
        <f t="shared" si="19"/>
        <v>46234</v>
      </c>
      <c r="R62" s="79">
        <v>36</v>
      </c>
      <c r="S62" s="79">
        <f t="shared" si="0"/>
        <v>3</v>
      </c>
      <c r="T62" s="91">
        <v>21080550.760000002</v>
      </c>
      <c r="U62" s="81"/>
      <c r="V62" s="82">
        <f t="shared" si="20"/>
        <v>21080550.760000002</v>
      </c>
      <c r="W62" s="83">
        <f t="shared" si="21"/>
        <v>585570.85444444453</v>
      </c>
      <c r="X62" s="83">
        <v>16981554.778888889</v>
      </c>
      <c r="Y62" s="82">
        <v>4098995.9811111139</v>
      </c>
      <c r="Z62" s="85">
        <f t="shared" si="2"/>
        <v>585570.85444444453</v>
      </c>
      <c r="AA62" s="84">
        <f t="shared" si="22"/>
        <v>3513425.1266666683</v>
      </c>
      <c r="AB62" s="85">
        <f t="shared" si="3"/>
        <v>585570.85444444453</v>
      </c>
      <c r="AC62" s="84">
        <f t="shared" si="4"/>
        <v>2927854.2722222237</v>
      </c>
      <c r="AD62" s="85">
        <f t="shared" si="23"/>
        <v>585570.85444444453</v>
      </c>
      <c r="AE62" s="84">
        <f t="shared" si="6"/>
        <v>2342283.417777779</v>
      </c>
      <c r="AF62" s="85">
        <f t="shared" si="24"/>
        <v>585570.85444444453</v>
      </c>
      <c r="AG62" s="84">
        <f t="shared" si="7"/>
        <v>1756712.5633333344</v>
      </c>
      <c r="AH62" s="85"/>
      <c r="AI62" s="84">
        <f t="shared" si="8"/>
        <v>1756712.5633333344</v>
      </c>
      <c r="AJ62" s="85"/>
      <c r="AK62" s="84">
        <f t="shared" si="9"/>
        <v>1756712.5633333344</v>
      </c>
      <c r="AL62" s="85"/>
      <c r="AM62" s="84">
        <f t="shared" si="10"/>
        <v>1756712.5633333344</v>
      </c>
      <c r="AN62" s="85"/>
      <c r="AO62" s="84">
        <f t="shared" si="11"/>
        <v>1756712.5633333344</v>
      </c>
      <c r="AP62" s="85"/>
      <c r="AQ62" s="84">
        <f t="shared" si="12"/>
        <v>1756712.5633333344</v>
      </c>
      <c r="AR62" s="85"/>
      <c r="AS62" s="84">
        <f t="shared" si="13"/>
        <v>1756712.5633333344</v>
      </c>
      <c r="AT62" s="85"/>
      <c r="AU62" s="84">
        <f t="shared" si="14"/>
        <v>1756712.5633333344</v>
      </c>
      <c r="AV62" s="85"/>
      <c r="AW62" s="84">
        <f t="shared" si="15"/>
        <v>1756712.5633333344</v>
      </c>
      <c r="AX62" s="86">
        <f t="shared" si="16"/>
        <v>2342283.4177777781</v>
      </c>
      <c r="AY62" s="87">
        <f t="shared" si="17"/>
        <v>1756712.5633333349</v>
      </c>
      <c r="AZ62" s="65" t="b">
        <f t="shared" si="18"/>
        <v>1</v>
      </c>
    </row>
    <row r="63" spans="1:52" s="67" customFormat="1" ht="24.75" hidden="1" customHeight="1">
      <c r="A63" s="68">
        <v>58</v>
      </c>
      <c r="B63" s="69" t="s">
        <v>223</v>
      </c>
      <c r="C63" s="88" t="s">
        <v>81</v>
      </c>
      <c r="D63" s="71" t="s">
        <v>95</v>
      </c>
      <c r="E63" s="88" t="s">
        <v>224</v>
      </c>
      <c r="F63" s="92" t="s">
        <v>97</v>
      </c>
      <c r="G63" s="88">
        <v>20230731</v>
      </c>
      <c r="H63" s="88">
        <v>23070943</v>
      </c>
      <c r="I63" s="95" t="s">
        <v>98</v>
      </c>
      <c r="J63" s="88" t="s">
        <v>156</v>
      </c>
      <c r="K63" s="68" t="s">
        <v>99</v>
      </c>
      <c r="L63" s="70" t="s">
        <v>100</v>
      </c>
      <c r="M63" s="88" t="s">
        <v>101</v>
      </c>
      <c r="N63" s="88" t="s">
        <v>102</v>
      </c>
      <c r="O63" s="77">
        <v>1</v>
      </c>
      <c r="P63" s="90">
        <v>45139</v>
      </c>
      <c r="Q63" s="94">
        <f t="shared" si="19"/>
        <v>46234</v>
      </c>
      <c r="R63" s="79">
        <v>36</v>
      </c>
      <c r="S63" s="79">
        <f t="shared" si="0"/>
        <v>3</v>
      </c>
      <c r="T63" s="91">
        <v>405858145.39999998</v>
      </c>
      <c r="U63" s="81"/>
      <c r="V63" s="82">
        <f t="shared" si="20"/>
        <v>405858145.39999998</v>
      </c>
      <c r="W63" s="83">
        <f t="shared" si="21"/>
        <v>11273837.372222222</v>
      </c>
      <c r="X63" s="83">
        <v>326941283.7944445</v>
      </c>
      <c r="Y63" s="82">
        <v>78916861.605555475</v>
      </c>
      <c r="Z63" s="85">
        <f t="shared" si="2"/>
        <v>11273837.372222222</v>
      </c>
      <c r="AA63" s="84">
        <f t="shared" si="22"/>
        <v>67643024.23333326</v>
      </c>
      <c r="AB63" s="85">
        <f t="shared" si="3"/>
        <v>11273837.372222222</v>
      </c>
      <c r="AC63" s="84">
        <f t="shared" si="4"/>
        <v>56369186.861111037</v>
      </c>
      <c r="AD63" s="85">
        <f t="shared" si="23"/>
        <v>11273837.372222222</v>
      </c>
      <c r="AE63" s="84">
        <f t="shared" si="6"/>
        <v>45095349.488888815</v>
      </c>
      <c r="AF63" s="85">
        <f t="shared" si="24"/>
        <v>11273837.372222222</v>
      </c>
      <c r="AG63" s="84">
        <f t="shared" si="7"/>
        <v>33821512.116666593</v>
      </c>
      <c r="AH63" s="85"/>
      <c r="AI63" s="84">
        <f t="shared" si="8"/>
        <v>33821512.116666593</v>
      </c>
      <c r="AJ63" s="85"/>
      <c r="AK63" s="84">
        <f t="shared" si="9"/>
        <v>33821512.116666593</v>
      </c>
      <c r="AL63" s="85"/>
      <c r="AM63" s="84">
        <f t="shared" si="10"/>
        <v>33821512.116666593</v>
      </c>
      <c r="AN63" s="85"/>
      <c r="AO63" s="84">
        <f t="shared" si="11"/>
        <v>33821512.116666593</v>
      </c>
      <c r="AP63" s="85"/>
      <c r="AQ63" s="84">
        <f t="shared" si="12"/>
        <v>33821512.116666593</v>
      </c>
      <c r="AR63" s="85"/>
      <c r="AS63" s="84">
        <f t="shared" si="13"/>
        <v>33821512.116666593</v>
      </c>
      <c r="AT63" s="85"/>
      <c r="AU63" s="84">
        <f t="shared" si="14"/>
        <v>33821512.116666593</v>
      </c>
      <c r="AV63" s="85"/>
      <c r="AW63" s="84">
        <f t="shared" si="15"/>
        <v>33821512.116666593</v>
      </c>
      <c r="AX63" s="86">
        <f t="shared" si="16"/>
        <v>45095349.48888889</v>
      </c>
      <c r="AY63" s="87">
        <f t="shared" si="17"/>
        <v>33821512.116666585</v>
      </c>
      <c r="AZ63" s="65" t="b">
        <f t="shared" si="18"/>
        <v>1</v>
      </c>
    </row>
    <row r="64" spans="1:52" s="67" customFormat="1" ht="24.75" hidden="1" customHeight="1">
      <c r="A64" s="68">
        <v>59</v>
      </c>
      <c r="B64" s="69" t="s">
        <v>225</v>
      </c>
      <c r="C64" s="88" t="s">
        <v>81</v>
      </c>
      <c r="D64" s="71" t="s">
        <v>95</v>
      </c>
      <c r="E64" s="88" t="s">
        <v>226</v>
      </c>
      <c r="F64" s="92" t="s">
        <v>97</v>
      </c>
      <c r="G64" s="88">
        <v>20230731</v>
      </c>
      <c r="H64" s="88">
        <v>23070943</v>
      </c>
      <c r="I64" s="95" t="s">
        <v>98</v>
      </c>
      <c r="J64" s="88" t="s">
        <v>156</v>
      </c>
      <c r="K64" s="68" t="s">
        <v>99</v>
      </c>
      <c r="L64" s="70" t="s">
        <v>100</v>
      </c>
      <c r="M64" s="88" t="s">
        <v>101</v>
      </c>
      <c r="N64" s="88" t="s">
        <v>102</v>
      </c>
      <c r="O64" s="77">
        <v>1</v>
      </c>
      <c r="P64" s="90">
        <v>45139</v>
      </c>
      <c r="Q64" s="94">
        <f t="shared" si="19"/>
        <v>46234</v>
      </c>
      <c r="R64" s="79">
        <v>36</v>
      </c>
      <c r="S64" s="79">
        <f t="shared" si="0"/>
        <v>3</v>
      </c>
      <c r="T64" s="91">
        <v>102113072.13</v>
      </c>
      <c r="U64" s="81"/>
      <c r="V64" s="82">
        <f t="shared" si="20"/>
        <v>102113072.13</v>
      </c>
      <c r="W64" s="83">
        <f t="shared" si="21"/>
        <v>2836474.2258333331</v>
      </c>
      <c r="X64" s="83">
        <v>82257752.549166635</v>
      </c>
      <c r="Y64" s="82">
        <v>19855319.580833361</v>
      </c>
      <c r="Z64" s="85">
        <f t="shared" si="2"/>
        <v>2836474.2258333331</v>
      </c>
      <c r="AA64" s="84">
        <f t="shared" si="22"/>
        <v>17018845.355000027</v>
      </c>
      <c r="AB64" s="85">
        <f t="shared" si="3"/>
        <v>2836474.2258333331</v>
      </c>
      <c r="AC64" s="84">
        <f t="shared" si="4"/>
        <v>14182371.129166692</v>
      </c>
      <c r="AD64" s="85">
        <f t="shared" si="23"/>
        <v>2836474.2258333331</v>
      </c>
      <c r="AE64" s="84">
        <f t="shared" si="6"/>
        <v>11345896.903333358</v>
      </c>
      <c r="AF64" s="85">
        <f t="shared" si="24"/>
        <v>2836474.2258333331</v>
      </c>
      <c r="AG64" s="84">
        <f t="shared" si="7"/>
        <v>8509422.6775000244</v>
      </c>
      <c r="AH64" s="85"/>
      <c r="AI64" s="84">
        <f t="shared" si="8"/>
        <v>8509422.6775000244</v>
      </c>
      <c r="AJ64" s="85"/>
      <c r="AK64" s="84">
        <f t="shared" si="9"/>
        <v>8509422.6775000244</v>
      </c>
      <c r="AL64" s="85"/>
      <c r="AM64" s="84">
        <f t="shared" si="10"/>
        <v>8509422.6775000244</v>
      </c>
      <c r="AN64" s="85"/>
      <c r="AO64" s="84">
        <f t="shared" si="11"/>
        <v>8509422.6775000244</v>
      </c>
      <c r="AP64" s="85"/>
      <c r="AQ64" s="84">
        <f t="shared" si="12"/>
        <v>8509422.6775000244</v>
      </c>
      <c r="AR64" s="85"/>
      <c r="AS64" s="84">
        <f t="shared" si="13"/>
        <v>8509422.6775000244</v>
      </c>
      <c r="AT64" s="85"/>
      <c r="AU64" s="84">
        <f t="shared" si="14"/>
        <v>8509422.6775000244</v>
      </c>
      <c r="AV64" s="85"/>
      <c r="AW64" s="84">
        <f t="shared" si="15"/>
        <v>8509422.6775000244</v>
      </c>
      <c r="AX64" s="86">
        <f t="shared" si="16"/>
        <v>11345896.903333332</v>
      </c>
      <c r="AY64" s="87">
        <f t="shared" si="17"/>
        <v>8509422.6775000282</v>
      </c>
      <c r="AZ64" s="65" t="b">
        <f t="shared" si="18"/>
        <v>1</v>
      </c>
    </row>
    <row r="65" spans="1:52" s="67" customFormat="1" ht="24.75" hidden="1" customHeight="1">
      <c r="A65" s="68">
        <v>60</v>
      </c>
      <c r="B65" s="69" t="s">
        <v>227</v>
      </c>
      <c r="C65" s="88" t="s">
        <v>81</v>
      </c>
      <c r="D65" s="71" t="s">
        <v>95</v>
      </c>
      <c r="E65" s="88" t="s">
        <v>228</v>
      </c>
      <c r="F65" s="92" t="s">
        <v>97</v>
      </c>
      <c r="G65" s="88">
        <v>20230731</v>
      </c>
      <c r="H65" s="88">
        <v>23070943</v>
      </c>
      <c r="I65" s="95" t="s">
        <v>98</v>
      </c>
      <c r="J65" s="88" t="s">
        <v>156</v>
      </c>
      <c r="K65" s="73" t="s">
        <v>99</v>
      </c>
      <c r="L65" s="70" t="s">
        <v>100</v>
      </c>
      <c r="M65" s="88" t="s">
        <v>101</v>
      </c>
      <c r="N65" s="88" t="s">
        <v>102</v>
      </c>
      <c r="O65" s="77">
        <v>1</v>
      </c>
      <c r="P65" s="90">
        <v>45139</v>
      </c>
      <c r="Q65" s="94">
        <f t="shared" si="19"/>
        <v>46234</v>
      </c>
      <c r="R65" s="79">
        <v>36</v>
      </c>
      <c r="S65" s="79">
        <f t="shared" si="0"/>
        <v>3</v>
      </c>
      <c r="T65" s="91">
        <v>21100091.829999998</v>
      </c>
      <c r="U65" s="81"/>
      <c r="V65" s="82">
        <f t="shared" si="20"/>
        <v>21100091.829999998</v>
      </c>
      <c r="W65" s="83">
        <f t="shared" si="21"/>
        <v>586113.66194444441</v>
      </c>
      <c r="X65" s="83">
        <v>16997296.196388889</v>
      </c>
      <c r="Y65" s="82">
        <v>4102795.6336111082</v>
      </c>
      <c r="Z65" s="85">
        <f t="shared" si="2"/>
        <v>586113.66194444441</v>
      </c>
      <c r="AA65" s="84">
        <f t="shared" si="22"/>
        <v>3516681.9716666648</v>
      </c>
      <c r="AB65" s="85">
        <f t="shared" si="3"/>
        <v>586113.66194444441</v>
      </c>
      <c r="AC65" s="84">
        <f t="shared" si="4"/>
        <v>2930568.3097222205</v>
      </c>
      <c r="AD65" s="85">
        <f t="shared" si="23"/>
        <v>586113.66194444441</v>
      </c>
      <c r="AE65" s="84">
        <f t="shared" si="6"/>
        <v>2344454.6477777762</v>
      </c>
      <c r="AF65" s="85">
        <f t="shared" si="24"/>
        <v>586113.66194444441</v>
      </c>
      <c r="AG65" s="84">
        <f t="shared" si="7"/>
        <v>1758340.9858333319</v>
      </c>
      <c r="AH65" s="85"/>
      <c r="AI65" s="84">
        <f t="shared" si="8"/>
        <v>1758340.9858333319</v>
      </c>
      <c r="AJ65" s="85"/>
      <c r="AK65" s="84">
        <f t="shared" si="9"/>
        <v>1758340.9858333319</v>
      </c>
      <c r="AL65" s="85"/>
      <c r="AM65" s="84">
        <f t="shared" si="10"/>
        <v>1758340.9858333319</v>
      </c>
      <c r="AN65" s="85"/>
      <c r="AO65" s="84">
        <f t="shared" si="11"/>
        <v>1758340.9858333319</v>
      </c>
      <c r="AP65" s="85"/>
      <c r="AQ65" s="84">
        <f t="shared" si="12"/>
        <v>1758340.9858333319</v>
      </c>
      <c r="AR65" s="85"/>
      <c r="AS65" s="84">
        <f t="shared" si="13"/>
        <v>1758340.9858333319</v>
      </c>
      <c r="AT65" s="85"/>
      <c r="AU65" s="84">
        <f t="shared" si="14"/>
        <v>1758340.9858333319</v>
      </c>
      <c r="AV65" s="85"/>
      <c r="AW65" s="84">
        <f t="shared" si="15"/>
        <v>1758340.9858333319</v>
      </c>
      <c r="AX65" s="86">
        <f t="shared" si="16"/>
        <v>2344454.6477777776</v>
      </c>
      <c r="AY65" s="87">
        <f t="shared" si="17"/>
        <v>1758340.9858333315</v>
      </c>
      <c r="AZ65" s="65" t="b">
        <f t="shared" si="18"/>
        <v>1</v>
      </c>
    </row>
    <row r="66" spans="1:52" s="67" customFormat="1" ht="24.75" hidden="1" customHeight="1">
      <c r="A66" s="68">
        <v>61</v>
      </c>
      <c r="B66" s="69" t="s">
        <v>229</v>
      </c>
      <c r="C66" s="88" t="s">
        <v>81</v>
      </c>
      <c r="D66" s="71" t="s">
        <v>95</v>
      </c>
      <c r="E66" s="88" t="s">
        <v>230</v>
      </c>
      <c r="F66" s="92" t="s">
        <v>97</v>
      </c>
      <c r="G66" s="88">
        <v>20230731</v>
      </c>
      <c r="H66" s="88">
        <v>23070943</v>
      </c>
      <c r="I66" s="95" t="s">
        <v>98</v>
      </c>
      <c r="J66" s="88" t="s">
        <v>156</v>
      </c>
      <c r="K66" s="73" t="s">
        <v>99</v>
      </c>
      <c r="L66" s="70" t="s">
        <v>100</v>
      </c>
      <c r="M66" s="88" t="s">
        <v>101</v>
      </c>
      <c r="N66" s="88" t="s">
        <v>102</v>
      </c>
      <c r="O66" s="77">
        <v>1</v>
      </c>
      <c r="P66" s="90">
        <v>45139</v>
      </c>
      <c r="Q66" s="94">
        <f t="shared" si="19"/>
        <v>46234</v>
      </c>
      <c r="R66" s="79">
        <v>36</v>
      </c>
      <c r="S66" s="79">
        <f t="shared" si="0"/>
        <v>3</v>
      </c>
      <c r="T66" s="91">
        <v>20830171.940000001</v>
      </c>
      <c r="U66" s="81"/>
      <c r="V66" s="82">
        <f t="shared" si="20"/>
        <v>20830171.940000001</v>
      </c>
      <c r="W66" s="83">
        <f t="shared" si="21"/>
        <v>578615.88722222229</v>
      </c>
      <c r="X66" s="83">
        <v>16779860.729444444</v>
      </c>
      <c r="Y66" s="82">
        <v>4050311.2105555562</v>
      </c>
      <c r="Z66" s="85">
        <f t="shared" si="2"/>
        <v>578615.88722222229</v>
      </c>
      <c r="AA66" s="84">
        <f t="shared" si="22"/>
        <v>3471695.3233333351</v>
      </c>
      <c r="AB66" s="85">
        <f t="shared" si="3"/>
        <v>578615.88722222229</v>
      </c>
      <c r="AC66" s="84">
        <f t="shared" si="4"/>
        <v>2893079.4361111131</v>
      </c>
      <c r="AD66" s="85">
        <f t="shared" si="23"/>
        <v>578615.88722222229</v>
      </c>
      <c r="AE66" s="84">
        <f t="shared" si="6"/>
        <v>2314463.548888891</v>
      </c>
      <c r="AF66" s="85">
        <f t="shared" si="24"/>
        <v>578615.88722222229</v>
      </c>
      <c r="AG66" s="84">
        <f t="shared" si="7"/>
        <v>1735847.6616666687</v>
      </c>
      <c r="AH66" s="85"/>
      <c r="AI66" s="84">
        <f t="shared" si="8"/>
        <v>1735847.6616666687</v>
      </c>
      <c r="AJ66" s="85"/>
      <c r="AK66" s="84">
        <f t="shared" si="9"/>
        <v>1735847.6616666687</v>
      </c>
      <c r="AL66" s="85"/>
      <c r="AM66" s="84">
        <f t="shared" si="10"/>
        <v>1735847.6616666687</v>
      </c>
      <c r="AN66" s="85"/>
      <c r="AO66" s="84">
        <f t="shared" si="11"/>
        <v>1735847.6616666687</v>
      </c>
      <c r="AP66" s="85"/>
      <c r="AQ66" s="84">
        <f t="shared" si="12"/>
        <v>1735847.6616666687</v>
      </c>
      <c r="AR66" s="85"/>
      <c r="AS66" s="84">
        <f t="shared" si="13"/>
        <v>1735847.6616666687</v>
      </c>
      <c r="AT66" s="85"/>
      <c r="AU66" s="84">
        <f t="shared" si="14"/>
        <v>1735847.6616666687</v>
      </c>
      <c r="AV66" s="85"/>
      <c r="AW66" s="84">
        <f t="shared" si="15"/>
        <v>1735847.6616666687</v>
      </c>
      <c r="AX66" s="86">
        <f t="shared" si="16"/>
        <v>2314463.5488888891</v>
      </c>
      <c r="AY66" s="87">
        <f t="shared" si="17"/>
        <v>1735847.661666668</v>
      </c>
      <c r="AZ66" s="65" t="b">
        <f t="shared" si="18"/>
        <v>1</v>
      </c>
    </row>
    <row r="67" spans="1:52" s="67" customFormat="1" ht="24.75" hidden="1" customHeight="1">
      <c r="A67" s="68">
        <v>62</v>
      </c>
      <c r="B67" s="69" t="s">
        <v>231</v>
      </c>
      <c r="C67" s="88" t="s">
        <v>81</v>
      </c>
      <c r="D67" s="71" t="s">
        <v>95</v>
      </c>
      <c r="E67" s="88" t="s">
        <v>232</v>
      </c>
      <c r="F67" s="92" t="s">
        <v>97</v>
      </c>
      <c r="G67" s="88">
        <v>20230731</v>
      </c>
      <c r="H67" s="88">
        <v>23070943</v>
      </c>
      <c r="I67" s="95" t="s">
        <v>98</v>
      </c>
      <c r="J67" s="88" t="s">
        <v>156</v>
      </c>
      <c r="K67" s="73" t="s">
        <v>99</v>
      </c>
      <c r="L67" s="70" t="s">
        <v>100</v>
      </c>
      <c r="M67" s="88" t="s">
        <v>101</v>
      </c>
      <c r="N67" s="88" t="s">
        <v>102</v>
      </c>
      <c r="O67" s="77">
        <v>1</v>
      </c>
      <c r="P67" s="90">
        <v>45139</v>
      </c>
      <c r="Q67" s="94">
        <f t="shared" si="19"/>
        <v>46234</v>
      </c>
      <c r="R67" s="79">
        <v>36</v>
      </c>
      <c r="S67" s="79">
        <f t="shared" si="0"/>
        <v>3</v>
      </c>
      <c r="T67" s="91">
        <v>146958473.03999999</v>
      </c>
      <c r="U67" s="81"/>
      <c r="V67" s="82">
        <f t="shared" si="20"/>
        <v>146958473.03999999</v>
      </c>
      <c r="W67" s="83">
        <f t="shared" si="21"/>
        <v>4082179.8066666666</v>
      </c>
      <c r="X67" s="83">
        <v>118383214.39333332</v>
      </c>
      <c r="Y67" s="82">
        <v>28575258.646666668</v>
      </c>
      <c r="Z67" s="85">
        <f t="shared" si="2"/>
        <v>4082179.8066666666</v>
      </c>
      <c r="AA67" s="84">
        <f t="shared" si="22"/>
        <v>24493078.840000011</v>
      </c>
      <c r="AB67" s="85">
        <f t="shared" si="3"/>
        <v>4082179.8066666666</v>
      </c>
      <c r="AC67" s="84">
        <f t="shared" si="4"/>
        <v>20410899.033333346</v>
      </c>
      <c r="AD67" s="85">
        <f t="shared" si="23"/>
        <v>4082179.8066666666</v>
      </c>
      <c r="AE67" s="84">
        <f t="shared" si="6"/>
        <v>16328719.22666668</v>
      </c>
      <c r="AF67" s="85">
        <f t="shared" si="24"/>
        <v>4082179.8066666666</v>
      </c>
      <c r="AG67" s="84">
        <f t="shared" si="7"/>
        <v>12246539.420000013</v>
      </c>
      <c r="AH67" s="85"/>
      <c r="AI67" s="84">
        <f t="shared" si="8"/>
        <v>12246539.420000013</v>
      </c>
      <c r="AJ67" s="85"/>
      <c r="AK67" s="84">
        <f t="shared" si="9"/>
        <v>12246539.420000013</v>
      </c>
      <c r="AL67" s="85"/>
      <c r="AM67" s="84">
        <f t="shared" si="10"/>
        <v>12246539.420000013</v>
      </c>
      <c r="AN67" s="85"/>
      <c r="AO67" s="84">
        <f t="shared" si="11"/>
        <v>12246539.420000013</v>
      </c>
      <c r="AP67" s="85"/>
      <c r="AQ67" s="84">
        <f t="shared" si="12"/>
        <v>12246539.420000013</v>
      </c>
      <c r="AR67" s="85"/>
      <c r="AS67" s="84">
        <f t="shared" si="13"/>
        <v>12246539.420000013</v>
      </c>
      <c r="AT67" s="85"/>
      <c r="AU67" s="84">
        <f t="shared" si="14"/>
        <v>12246539.420000013</v>
      </c>
      <c r="AV67" s="85"/>
      <c r="AW67" s="84">
        <f t="shared" si="15"/>
        <v>12246539.420000013</v>
      </c>
      <c r="AX67" s="86">
        <f t="shared" si="16"/>
        <v>16328719.226666667</v>
      </c>
      <c r="AY67" s="87">
        <f t="shared" si="17"/>
        <v>12246539.420000009</v>
      </c>
      <c r="AZ67" s="65" t="b">
        <f t="shared" si="18"/>
        <v>1</v>
      </c>
    </row>
    <row r="68" spans="1:52" s="67" customFormat="1" ht="24.75" hidden="1" customHeight="1">
      <c r="A68" s="68">
        <v>63</v>
      </c>
      <c r="B68" s="69" t="s">
        <v>233</v>
      </c>
      <c r="C68" s="88" t="s">
        <v>81</v>
      </c>
      <c r="D68" s="71" t="s">
        <v>95</v>
      </c>
      <c r="E68" s="88" t="s">
        <v>234</v>
      </c>
      <c r="F68" s="92" t="s">
        <v>97</v>
      </c>
      <c r="G68" s="88">
        <v>20230731</v>
      </c>
      <c r="H68" s="88">
        <v>23070943</v>
      </c>
      <c r="I68" s="95" t="s">
        <v>98</v>
      </c>
      <c r="J68" s="88" t="s">
        <v>156</v>
      </c>
      <c r="K68" s="68" t="s">
        <v>99</v>
      </c>
      <c r="L68" s="70" t="s">
        <v>100</v>
      </c>
      <c r="M68" s="88" t="s">
        <v>101</v>
      </c>
      <c r="N68" s="88" t="s">
        <v>102</v>
      </c>
      <c r="O68" s="77">
        <v>1</v>
      </c>
      <c r="P68" s="90">
        <v>45139</v>
      </c>
      <c r="Q68" s="94">
        <f t="shared" si="19"/>
        <v>46234</v>
      </c>
      <c r="R68" s="79">
        <v>36</v>
      </c>
      <c r="S68" s="79">
        <f t="shared" si="0"/>
        <v>3</v>
      </c>
      <c r="T68" s="91">
        <v>28052927.510000002</v>
      </c>
      <c r="U68" s="81"/>
      <c r="V68" s="82">
        <f t="shared" si="20"/>
        <v>28052927.510000002</v>
      </c>
      <c r="W68" s="83">
        <f t="shared" si="21"/>
        <v>779247.98638888891</v>
      </c>
      <c r="X68" s="83">
        <v>22598191.605277777</v>
      </c>
      <c r="Y68" s="82">
        <v>5454735.9047222249</v>
      </c>
      <c r="Z68" s="85">
        <f t="shared" si="2"/>
        <v>779247.98638888891</v>
      </c>
      <c r="AA68" s="84">
        <f t="shared" si="22"/>
        <v>4675487.9183333358</v>
      </c>
      <c r="AB68" s="85">
        <f t="shared" si="3"/>
        <v>779247.98638888891</v>
      </c>
      <c r="AC68" s="84">
        <f t="shared" si="4"/>
        <v>3896239.9319444466</v>
      </c>
      <c r="AD68" s="85">
        <f t="shared" si="23"/>
        <v>779247.98638888891</v>
      </c>
      <c r="AE68" s="84">
        <f t="shared" si="6"/>
        <v>3116991.9455555575</v>
      </c>
      <c r="AF68" s="85">
        <f t="shared" si="24"/>
        <v>779247.98638888891</v>
      </c>
      <c r="AG68" s="84">
        <f t="shared" si="7"/>
        <v>2337743.9591666684</v>
      </c>
      <c r="AH68" s="85"/>
      <c r="AI68" s="84">
        <f t="shared" si="8"/>
        <v>2337743.9591666684</v>
      </c>
      <c r="AJ68" s="85"/>
      <c r="AK68" s="84">
        <f t="shared" si="9"/>
        <v>2337743.9591666684</v>
      </c>
      <c r="AL68" s="85"/>
      <c r="AM68" s="84">
        <f t="shared" si="10"/>
        <v>2337743.9591666684</v>
      </c>
      <c r="AN68" s="85"/>
      <c r="AO68" s="84">
        <f t="shared" si="11"/>
        <v>2337743.9591666684</v>
      </c>
      <c r="AP68" s="85"/>
      <c r="AQ68" s="84">
        <f t="shared" si="12"/>
        <v>2337743.9591666684</v>
      </c>
      <c r="AR68" s="85"/>
      <c r="AS68" s="84">
        <f t="shared" si="13"/>
        <v>2337743.9591666684</v>
      </c>
      <c r="AT68" s="85"/>
      <c r="AU68" s="84">
        <f t="shared" si="14"/>
        <v>2337743.9591666684</v>
      </c>
      <c r="AV68" s="85"/>
      <c r="AW68" s="84">
        <f t="shared" si="15"/>
        <v>2337743.9591666684</v>
      </c>
      <c r="AX68" s="86">
        <f t="shared" si="16"/>
        <v>3116991.9455555556</v>
      </c>
      <c r="AY68" s="87">
        <f t="shared" si="17"/>
        <v>2337743.9591666693</v>
      </c>
      <c r="AZ68" s="65" t="b">
        <f t="shared" si="18"/>
        <v>1</v>
      </c>
    </row>
    <row r="69" spans="1:52" s="67" customFormat="1" ht="24.75" hidden="1" customHeight="1">
      <c r="A69" s="68">
        <v>64</v>
      </c>
      <c r="B69" s="69" t="s">
        <v>235</v>
      </c>
      <c r="C69" s="88" t="s">
        <v>81</v>
      </c>
      <c r="D69" s="71" t="s">
        <v>95</v>
      </c>
      <c r="E69" s="88" t="s">
        <v>236</v>
      </c>
      <c r="F69" s="92" t="s">
        <v>97</v>
      </c>
      <c r="G69" s="88">
        <v>20230731</v>
      </c>
      <c r="H69" s="88">
        <v>23070943</v>
      </c>
      <c r="I69" s="95" t="s">
        <v>98</v>
      </c>
      <c r="J69" s="88" t="s">
        <v>156</v>
      </c>
      <c r="K69" s="68" t="s">
        <v>99</v>
      </c>
      <c r="L69" s="70" t="s">
        <v>100</v>
      </c>
      <c r="M69" s="88" t="s">
        <v>101</v>
      </c>
      <c r="N69" s="88" t="s">
        <v>102</v>
      </c>
      <c r="O69" s="77">
        <v>1</v>
      </c>
      <c r="P69" s="90">
        <v>45139</v>
      </c>
      <c r="Q69" s="94">
        <f t="shared" si="19"/>
        <v>46234</v>
      </c>
      <c r="R69" s="79">
        <v>36</v>
      </c>
      <c r="S69" s="79">
        <f t="shared" si="0"/>
        <v>3</v>
      </c>
      <c r="T69" s="91">
        <v>26312062.760000002</v>
      </c>
      <c r="U69" s="81"/>
      <c r="V69" s="82">
        <f t="shared" si="20"/>
        <v>26312062.760000002</v>
      </c>
      <c r="W69" s="83">
        <f t="shared" si="21"/>
        <v>730890.63222222228</v>
      </c>
      <c r="X69" s="83">
        <v>21195828.334444456</v>
      </c>
      <c r="Y69" s="82">
        <v>5116234.4255555458</v>
      </c>
      <c r="Z69" s="85">
        <f t="shared" si="2"/>
        <v>730890.63222222228</v>
      </c>
      <c r="AA69" s="84">
        <f t="shared" si="22"/>
        <v>4385343.7933333237</v>
      </c>
      <c r="AB69" s="85">
        <f t="shared" si="3"/>
        <v>730890.63222222228</v>
      </c>
      <c r="AC69" s="84">
        <f t="shared" si="4"/>
        <v>3654453.1611111015</v>
      </c>
      <c r="AD69" s="85">
        <f t="shared" si="23"/>
        <v>730890.63222222228</v>
      </c>
      <c r="AE69" s="84">
        <f t="shared" si="6"/>
        <v>2923562.5288888793</v>
      </c>
      <c r="AF69" s="85">
        <f t="shared" si="24"/>
        <v>730890.63222222228</v>
      </c>
      <c r="AG69" s="84">
        <f t="shared" si="7"/>
        <v>2192671.8966666572</v>
      </c>
      <c r="AH69" s="85"/>
      <c r="AI69" s="84">
        <f t="shared" si="8"/>
        <v>2192671.8966666572</v>
      </c>
      <c r="AJ69" s="85"/>
      <c r="AK69" s="84">
        <f t="shared" si="9"/>
        <v>2192671.8966666572</v>
      </c>
      <c r="AL69" s="85"/>
      <c r="AM69" s="84">
        <f t="shared" si="10"/>
        <v>2192671.8966666572</v>
      </c>
      <c r="AN69" s="85"/>
      <c r="AO69" s="84">
        <f t="shared" si="11"/>
        <v>2192671.8966666572</v>
      </c>
      <c r="AP69" s="85"/>
      <c r="AQ69" s="84">
        <f t="shared" si="12"/>
        <v>2192671.8966666572</v>
      </c>
      <c r="AR69" s="85"/>
      <c r="AS69" s="84">
        <f t="shared" si="13"/>
        <v>2192671.8966666572</v>
      </c>
      <c r="AT69" s="85"/>
      <c r="AU69" s="84">
        <f t="shared" si="14"/>
        <v>2192671.8966666572</v>
      </c>
      <c r="AV69" s="85"/>
      <c r="AW69" s="84">
        <f t="shared" si="15"/>
        <v>2192671.8966666572</v>
      </c>
      <c r="AX69" s="86">
        <f t="shared" si="16"/>
        <v>2923562.5288888891</v>
      </c>
      <c r="AY69" s="87">
        <f t="shared" si="17"/>
        <v>2192671.8966666567</v>
      </c>
      <c r="AZ69" s="65" t="b">
        <f t="shared" si="18"/>
        <v>1</v>
      </c>
    </row>
    <row r="70" spans="1:52" s="67" customFormat="1" ht="24.75" hidden="1" customHeight="1">
      <c r="A70" s="68">
        <v>65</v>
      </c>
      <c r="B70" s="69" t="s">
        <v>237</v>
      </c>
      <c r="C70" s="88" t="s">
        <v>81</v>
      </c>
      <c r="D70" s="71" t="s">
        <v>95</v>
      </c>
      <c r="E70" s="88" t="s">
        <v>238</v>
      </c>
      <c r="F70" s="92" t="s">
        <v>97</v>
      </c>
      <c r="G70" s="88">
        <v>20230731</v>
      </c>
      <c r="H70" s="88">
        <v>23070943</v>
      </c>
      <c r="I70" s="95" t="s">
        <v>98</v>
      </c>
      <c r="J70" s="88" t="s">
        <v>156</v>
      </c>
      <c r="K70" s="68" t="s">
        <v>99</v>
      </c>
      <c r="L70" s="70" t="s">
        <v>100</v>
      </c>
      <c r="M70" s="88" t="s">
        <v>101</v>
      </c>
      <c r="N70" s="88" t="s">
        <v>102</v>
      </c>
      <c r="O70" s="77">
        <v>1</v>
      </c>
      <c r="P70" s="90">
        <v>45139</v>
      </c>
      <c r="Q70" s="94">
        <f t="shared" si="19"/>
        <v>46234</v>
      </c>
      <c r="R70" s="79">
        <v>36</v>
      </c>
      <c r="S70" s="79">
        <f t="shared" ref="S70:S133" si="25">+R70/12</f>
        <v>3</v>
      </c>
      <c r="T70" s="91">
        <v>24016920.760000002</v>
      </c>
      <c r="U70" s="81"/>
      <c r="V70" s="82">
        <f t="shared" si="20"/>
        <v>24016920.760000002</v>
      </c>
      <c r="W70" s="83">
        <f t="shared" si="21"/>
        <v>667136.68777777778</v>
      </c>
      <c r="X70" s="83">
        <v>19346963.945555549</v>
      </c>
      <c r="Y70" s="82">
        <v>4669956.8144444516</v>
      </c>
      <c r="Z70" s="85">
        <f t="shared" ref="Z70:Z133" si="26">+IF(Y70&lt;&gt;0,$W70,0)</f>
        <v>667136.68777777778</v>
      </c>
      <c r="AA70" s="84">
        <f t="shared" si="22"/>
        <v>4002820.1266666749</v>
      </c>
      <c r="AB70" s="85">
        <f t="shared" ref="AB70:AB133" si="27">+IF(AA70&lt;&gt;0,$W70,0)</f>
        <v>667136.68777777778</v>
      </c>
      <c r="AC70" s="84">
        <f t="shared" ref="AC70:AC133" si="28">AA70-AB70</f>
        <v>3335683.4388888972</v>
      </c>
      <c r="AD70" s="85">
        <f t="shared" si="23"/>
        <v>667136.68777777778</v>
      </c>
      <c r="AE70" s="84">
        <f t="shared" ref="AE70:AE133" si="29">AC70-AD70</f>
        <v>2668546.7511111195</v>
      </c>
      <c r="AF70" s="85">
        <f t="shared" si="24"/>
        <v>667136.68777777778</v>
      </c>
      <c r="AG70" s="84">
        <f t="shared" ref="AG70:AG133" si="30">AE70-AF70</f>
        <v>2001410.0633333419</v>
      </c>
      <c r="AH70" s="85"/>
      <c r="AI70" s="84">
        <f t="shared" ref="AI70:AI133" si="31">AG70-AH70</f>
        <v>2001410.0633333419</v>
      </c>
      <c r="AJ70" s="85"/>
      <c r="AK70" s="84">
        <f t="shared" ref="AK70:AK133" si="32">AI70-AJ70</f>
        <v>2001410.0633333419</v>
      </c>
      <c r="AL70" s="85"/>
      <c r="AM70" s="84">
        <f t="shared" ref="AM70:AM133" si="33">AK70-AL70</f>
        <v>2001410.0633333419</v>
      </c>
      <c r="AN70" s="85"/>
      <c r="AO70" s="84">
        <f t="shared" ref="AO70:AO133" si="34">AM70-AN70</f>
        <v>2001410.0633333419</v>
      </c>
      <c r="AP70" s="85"/>
      <c r="AQ70" s="84">
        <f t="shared" ref="AQ70:AQ133" si="35">AO70-AP70</f>
        <v>2001410.0633333419</v>
      </c>
      <c r="AR70" s="85"/>
      <c r="AS70" s="84">
        <f t="shared" ref="AS70:AS133" si="36">AQ70-AR70</f>
        <v>2001410.0633333419</v>
      </c>
      <c r="AT70" s="85"/>
      <c r="AU70" s="84">
        <f t="shared" ref="AU70:AU133" si="37">AS70-AT70</f>
        <v>2001410.0633333419</v>
      </c>
      <c r="AV70" s="85"/>
      <c r="AW70" s="84">
        <f t="shared" ref="AW70:AW133" si="38">AU70-AV70</f>
        <v>2001410.0633333419</v>
      </c>
      <c r="AX70" s="86">
        <f t="shared" ref="AX70:AX133" si="39">SUMIF($Z$4:$AW$4,"Amortization",Z70:AW70)</f>
        <v>2668546.7511111111</v>
      </c>
      <c r="AY70" s="87">
        <f t="shared" ref="AY70:AY133" si="40">V70-X70-AX70</f>
        <v>2001410.0633333414</v>
      </c>
      <c r="AZ70" s="65" t="b">
        <f t="shared" ref="AZ70:AZ133" si="41">ROUND(AW70,0)=ROUND(AY70,0)</f>
        <v>1</v>
      </c>
    </row>
    <row r="71" spans="1:52" s="67" customFormat="1" ht="24.75" hidden="1" customHeight="1">
      <c r="A71" s="68">
        <v>66</v>
      </c>
      <c r="B71" s="69" t="s">
        <v>239</v>
      </c>
      <c r="C71" s="88" t="s">
        <v>81</v>
      </c>
      <c r="D71" s="71" t="s">
        <v>95</v>
      </c>
      <c r="E71" s="88" t="s">
        <v>240</v>
      </c>
      <c r="F71" s="92" t="s">
        <v>97</v>
      </c>
      <c r="G71" s="88">
        <v>20230731</v>
      </c>
      <c r="H71" s="88">
        <v>23070943</v>
      </c>
      <c r="I71" s="95" t="s">
        <v>98</v>
      </c>
      <c r="J71" s="88" t="s">
        <v>156</v>
      </c>
      <c r="K71" s="68" t="s">
        <v>99</v>
      </c>
      <c r="L71" s="70" t="s">
        <v>100</v>
      </c>
      <c r="M71" s="88" t="s">
        <v>101</v>
      </c>
      <c r="N71" s="88" t="s">
        <v>102</v>
      </c>
      <c r="O71" s="77">
        <v>1</v>
      </c>
      <c r="P71" s="90">
        <v>45139</v>
      </c>
      <c r="Q71" s="94">
        <f t="shared" si="19"/>
        <v>46234</v>
      </c>
      <c r="R71" s="79">
        <v>36</v>
      </c>
      <c r="S71" s="79">
        <f t="shared" si="25"/>
        <v>3</v>
      </c>
      <c r="T71" s="91">
        <v>20937074.760000002</v>
      </c>
      <c r="U71" s="81"/>
      <c r="V71" s="82">
        <f t="shared" si="20"/>
        <v>20937074.760000002</v>
      </c>
      <c r="W71" s="83">
        <f t="shared" si="21"/>
        <v>581585.41</v>
      </c>
      <c r="X71" s="83">
        <v>16865976.890000004</v>
      </c>
      <c r="Y71" s="82">
        <v>4071097.8699999982</v>
      </c>
      <c r="Z71" s="85">
        <f t="shared" si="26"/>
        <v>581585.41</v>
      </c>
      <c r="AA71" s="84">
        <f t="shared" si="22"/>
        <v>3489512.4599999972</v>
      </c>
      <c r="AB71" s="85">
        <f t="shared" si="27"/>
        <v>581585.41</v>
      </c>
      <c r="AC71" s="84">
        <f t="shared" si="28"/>
        <v>2907927.049999997</v>
      </c>
      <c r="AD71" s="85">
        <f t="shared" si="23"/>
        <v>581585.41</v>
      </c>
      <c r="AE71" s="84">
        <f t="shared" si="29"/>
        <v>2326341.6399999969</v>
      </c>
      <c r="AF71" s="85">
        <f t="shared" si="24"/>
        <v>581585.41</v>
      </c>
      <c r="AG71" s="84">
        <f t="shared" si="30"/>
        <v>1744756.2299999967</v>
      </c>
      <c r="AH71" s="85"/>
      <c r="AI71" s="84">
        <f t="shared" si="31"/>
        <v>1744756.2299999967</v>
      </c>
      <c r="AJ71" s="85"/>
      <c r="AK71" s="84">
        <f t="shared" si="32"/>
        <v>1744756.2299999967</v>
      </c>
      <c r="AL71" s="85"/>
      <c r="AM71" s="84">
        <f t="shared" si="33"/>
        <v>1744756.2299999967</v>
      </c>
      <c r="AN71" s="85"/>
      <c r="AO71" s="84">
        <f t="shared" si="34"/>
        <v>1744756.2299999967</v>
      </c>
      <c r="AP71" s="85"/>
      <c r="AQ71" s="84">
        <f t="shared" si="35"/>
        <v>1744756.2299999967</v>
      </c>
      <c r="AR71" s="85"/>
      <c r="AS71" s="84">
        <f t="shared" si="36"/>
        <v>1744756.2299999967</v>
      </c>
      <c r="AT71" s="85"/>
      <c r="AU71" s="84">
        <f t="shared" si="37"/>
        <v>1744756.2299999967</v>
      </c>
      <c r="AV71" s="85"/>
      <c r="AW71" s="84">
        <f t="shared" si="38"/>
        <v>1744756.2299999967</v>
      </c>
      <c r="AX71" s="86">
        <f t="shared" si="39"/>
        <v>2326341.64</v>
      </c>
      <c r="AY71" s="87">
        <f t="shared" si="40"/>
        <v>1744756.2299999972</v>
      </c>
      <c r="AZ71" s="65" t="b">
        <f t="shared" si="41"/>
        <v>1</v>
      </c>
    </row>
    <row r="72" spans="1:52" s="67" customFormat="1" ht="24.75" hidden="1" customHeight="1">
      <c r="A72" s="68">
        <v>67</v>
      </c>
      <c r="B72" s="69" t="s">
        <v>241</v>
      </c>
      <c r="C72" s="88" t="s">
        <v>81</v>
      </c>
      <c r="D72" s="71" t="s">
        <v>95</v>
      </c>
      <c r="E72" s="88" t="s">
        <v>242</v>
      </c>
      <c r="F72" s="92" t="s">
        <v>97</v>
      </c>
      <c r="G72" s="88">
        <v>20230731</v>
      </c>
      <c r="H72" s="88">
        <v>23070943</v>
      </c>
      <c r="I72" s="95" t="s">
        <v>98</v>
      </c>
      <c r="J72" s="88" t="s">
        <v>156</v>
      </c>
      <c r="K72" s="73" t="s">
        <v>99</v>
      </c>
      <c r="L72" s="70" t="s">
        <v>100</v>
      </c>
      <c r="M72" s="88" t="s">
        <v>101</v>
      </c>
      <c r="N72" s="88" t="s">
        <v>102</v>
      </c>
      <c r="O72" s="77">
        <v>1</v>
      </c>
      <c r="P72" s="90">
        <v>45139</v>
      </c>
      <c r="Q72" s="94">
        <f t="shared" si="19"/>
        <v>46234</v>
      </c>
      <c r="R72" s="79">
        <v>36</v>
      </c>
      <c r="S72" s="79">
        <f t="shared" si="25"/>
        <v>3</v>
      </c>
      <c r="T72" s="91">
        <v>1770674.76</v>
      </c>
      <c r="U72" s="81"/>
      <c r="V72" s="82">
        <f t="shared" si="20"/>
        <v>1770674.76</v>
      </c>
      <c r="W72" s="83">
        <f t="shared" si="21"/>
        <v>49185.41</v>
      </c>
      <c r="X72" s="83">
        <v>1426376.89</v>
      </c>
      <c r="Y72" s="82">
        <v>344297.87000000011</v>
      </c>
      <c r="Z72" s="85">
        <f t="shared" si="26"/>
        <v>49185.41</v>
      </c>
      <c r="AA72" s="84">
        <f t="shared" si="22"/>
        <v>295112.46000000008</v>
      </c>
      <c r="AB72" s="85">
        <f t="shared" si="27"/>
        <v>49185.41</v>
      </c>
      <c r="AC72" s="84">
        <f t="shared" si="28"/>
        <v>245927.05000000008</v>
      </c>
      <c r="AD72" s="85">
        <f t="shared" si="23"/>
        <v>49185.41</v>
      </c>
      <c r="AE72" s="84">
        <f t="shared" si="29"/>
        <v>196741.64000000007</v>
      </c>
      <c r="AF72" s="85">
        <f t="shared" si="24"/>
        <v>49185.41</v>
      </c>
      <c r="AG72" s="84">
        <f t="shared" si="30"/>
        <v>147556.23000000007</v>
      </c>
      <c r="AH72" s="85"/>
      <c r="AI72" s="84">
        <f t="shared" si="31"/>
        <v>147556.23000000007</v>
      </c>
      <c r="AJ72" s="85"/>
      <c r="AK72" s="84">
        <f t="shared" si="32"/>
        <v>147556.23000000007</v>
      </c>
      <c r="AL72" s="85"/>
      <c r="AM72" s="84">
        <f t="shared" si="33"/>
        <v>147556.23000000007</v>
      </c>
      <c r="AN72" s="85"/>
      <c r="AO72" s="84">
        <f t="shared" si="34"/>
        <v>147556.23000000007</v>
      </c>
      <c r="AP72" s="85"/>
      <c r="AQ72" s="84">
        <f t="shared" si="35"/>
        <v>147556.23000000007</v>
      </c>
      <c r="AR72" s="85"/>
      <c r="AS72" s="84">
        <f t="shared" si="36"/>
        <v>147556.23000000007</v>
      </c>
      <c r="AT72" s="85"/>
      <c r="AU72" s="84">
        <f t="shared" si="37"/>
        <v>147556.23000000007</v>
      </c>
      <c r="AV72" s="85"/>
      <c r="AW72" s="84">
        <f t="shared" si="38"/>
        <v>147556.23000000007</v>
      </c>
      <c r="AX72" s="86">
        <f t="shared" si="39"/>
        <v>196741.64</v>
      </c>
      <c r="AY72" s="87">
        <f t="shared" si="40"/>
        <v>147556.2300000001</v>
      </c>
      <c r="AZ72" s="65" t="b">
        <f t="shared" si="41"/>
        <v>1</v>
      </c>
    </row>
    <row r="73" spans="1:52" s="67" customFormat="1" ht="24.75" hidden="1" customHeight="1">
      <c r="A73" s="68">
        <v>68</v>
      </c>
      <c r="B73" s="69" t="s">
        <v>243</v>
      </c>
      <c r="C73" s="88" t="s">
        <v>81</v>
      </c>
      <c r="D73" s="71" t="s">
        <v>95</v>
      </c>
      <c r="E73" s="88" t="s">
        <v>244</v>
      </c>
      <c r="F73" s="92" t="s">
        <v>97</v>
      </c>
      <c r="G73" s="88">
        <v>20230731</v>
      </c>
      <c r="H73" s="88">
        <v>23070943</v>
      </c>
      <c r="I73" s="95" t="s">
        <v>98</v>
      </c>
      <c r="J73" s="88" t="s">
        <v>156</v>
      </c>
      <c r="K73" s="73" t="s">
        <v>99</v>
      </c>
      <c r="L73" s="70" t="s">
        <v>100</v>
      </c>
      <c r="M73" s="88" t="s">
        <v>101</v>
      </c>
      <c r="N73" s="88" t="s">
        <v>102</v>
      </c>
      <c r="O73" s="77">
        <v>1</v>
      </c>
      <c r="P73" s="90">
        <v>45139</v>
      </c>
      <c r="Q73" s="94">
        <f t="shared" si="19"/>
        <v>46234</v>
      </c>
      <c r="R73" s="79">
        <v>36</v>
      </c>
      <c r="S73" s="79">
        <f t="shared" si="25"/>
        <v>3</v>
      </c>
      <c r="T73" s="91">
        <v>93733492.239999995</v>
      </c>
      <c r="U73" s="81"/>
      <c r="V73" s="82">
        <f t="shared" si="20"/>
        <v>93733492.239999995</v>
      </c>
      <c r="W73" s="83">
        <f t="shared" si="21"/>
        <v>2603708.1177777778</v>
      </c>
      <c r="X73" s="83">
        <v>75507535.415555581</v>
      </c>
      <c r="Y73" s="82">
        <v>18225956.824444413</v>
      </c>
      <c r="Z73" s="85">
        <f t="shared" si="26"/>
        <v>2603708.1177777778</v>
      </c>
      <c r="AA73" s="84">
        <f t="shared" si="22"/>
        <v>15622248.706666635</v>
      </c>
      <c r="AB73" s="85">
        <f t="shared" si="27"/>
        <v>2603708.1177777778</v>
      </c>
      <c r="AC73" s="84">
        <f t="shared" si="28"/>
        <v>13018540.588888858</v>
      </c>
      <c r="AD73" s="85">
        <f t="shared" si="23"/>
        <v>2603708.1177777778</v>
      </c>
      <c r="AE73" s="84">
        <f t="shared" si="29"/>
        <v>10414832.47111108</v>
      </c>
      <c r="AF73" s="85">
        <f t="shared" si="24"/>
        <v>2603708.1177777778</v>
      </c>
      <c r="AG73" s="84">
        <f t="shared" si="30"/>
        <v>7811124.3533333018</v>
      </c>
      <c r="AH73" s="85"/>
      <c r="AI73" s="84">
        <f t="shared" si="31"/>
        <v>7811124.3533333018</v>
      </c>
      <c r="AJ73" s="85"/>
      <c r="AK73" s="84">
        <f t="shared" si="32"/>
        <v>7811124.3533333018</v>
      </c>
      <c r="AL73" s="85"/>
      <c r="AM73" s="84">
        <f t="shared" si="33"/>
        <v>7811124.3533333018</v>
      </c>
      <c r="AN73" s="85"/>
      <c r="AO73" s="84">
        <f t="shared" si="34"/>
        <v>7811124.3533333018</v>
      </c>
      <c r="AP73" s="85"/>
      <c r="AQ73" s="84">
        <f t="shared" si="35"/>
        <v>7811124.3533333018</v>
      </c>
      <c r="AR73" s="85"/>
      <c r="AS73" s="84">
        <f t="shared" si="36"/>
        <v>7811124.3533333018</v>
      </c>
      <c r="AT73" s="85"/>
      <c r="AU73" s="84">
        <f t="shared" si="37"/>
        <v>7811124.3533333018</v>
      </c>
      <c r="AV73" s="85"/>
      <c r="AW73" s="84">
        <f t="shared" si="38"/>
        <v>7811124.3533333018</v>
      </c>
      <c r="AX73" s="86">
        <f t="shared" si="39"/>
        <v>10414832.471111111</v>
      </c>
      <c r="AY73" s="87">
        <f t="shared" si="40"/>
        <v>7811124.3533333018</v>
      </c>
      <c r="AZ73" s="65" t="b">
        <f t="shared" si="41"/>
        <v>1</v>
      </c>
    </row>
    <row r="74" spans="1:52" s="67" customFormat="1" ht="24.75" hidden="1" customHeight="1">
      <c r="A74" s="68">
        <v>69</v>
      </c>
      <c r="B74" s="69" t="s">
        <v>245</v>
      </c>
      <c r="C74" s="88" t="s">
        <v>81</v>
      </c>
      <c r="D74" s="71" t="s">
        <v>95</v>
      </c>
      <c r="E74" s="88" t="s">
        <v>246</v>
      </c>
      <c r="F74" s="92" t="s">
        <v>97</v>
      </c>
      <c r="G74" s="88">
        <v>20230731</v>
      </c>
      <c r="H74" s="88">
        <v>23070943</v>
      </c>
      <c r="I74" s="95" t="s">
        <v>98</v>
      </c>
      <c r="J74" s="88" t="s">
        <v>156</v>
      </c>
      <c r="K74" s="73" t="s">
        <v>99</v>
      </c>
      <c r="L74" s="70" t="s">
        <v>100</v>
      </c>
      <c r="M74" s="88" t="s">
        <v>101</v>
      </c>
      <c r="N74" s="88" t="s">
        <v>102</v>
      </c>
      <c r="O74" s="77">
        <v>1</v>
      </c>
      <c r="P74" s="90">
        <v>45139</v>
      </c>
      <c r="Q74" s="94">
        <f t="shared" si="19"/>
        <v>46234</v>
      </c>
      <c r="R74" s="79">
        <v>36</v>
      </c>
      <c r="S74" s="79">
        <f t="shared" si="25"/>
        <v>3</v>
      </c>
      <c r="T74" s="91">
        <v>133433047.7</v>
      </c>
      <c r="U74" s="81"/>
      <c r="V74" s="82">
        <f t="shared" si="20"/>
        <v>133433047.7</v>
      </c>
      <c r="W74" s="83">
        <f t="shared" si="21"/>
        <v>3706473.5472222222</v>
      </c>
      <c r="X74" s="83">
        <v>107487732.86944446</v>
      </c>
      <c r="Y74" s="82">
        <v>25945314.830555543</v>
      </c>
      <c r="Z74" s="85">
        <f t="shared" si="26"/>
        <v>3706473.5472222222</v>
      </c>
      <c r="AA74" s="84">
        <f t="shared" si="22"/>
        <v>22238841.28333332</v>
      </c>
      <c r="AB74" s="85">
        <f t="shared" si="27"/>
        <v>3706473.5472222222</v>
      </c>
      <c r="AC74" s="84">
        <f t="shared" si="28"/>
        <v>18532367.736111097</v>
      </c>
      <c r="AD74" s="85">
        <f t="shared" si="23"/>
        <v>3706473.5472222222</v>
      </c>
      <c r="AE74" s="84">
        <f t="shared" si="29"/>
        <v>14825894.188888874</v>
      </c>
      <c r="AF74" s="85">
        <f t="shared" si="24"/>
        <v>3706473.5472222222</v>
      </c>
      <c r="AG74" s="84">
        <f t="shared" si="30"/>
        <v>11119420.641666651</v>
      </c>
      <c r="AH74" s="85"/>
      <c r="AI74" s="84">
        <f t="shared" si="31"/>
        <v>11119420.641666651</v>
      </c>
      <c r="AJ74" s="85"/>
      <c r="AK74" s="84">
        <f t="shared" si="32"/>
        <v>11119420.641666651</v>
      </c>
      <c r="AL74" s="85"/>
      <c r="AM74" s="84">
        <f t="shared" si="33"/>
        <v>11119420.641666651</v>
      </c>
      <c r="AN74" s="85"/>
      <c r="AO74" s="84">
        <f t="shared" si="34"/>
        <v>11119420.641666651</v>
      </c>
      <c r="AP74" s="85"/>
      <c r="AQ74" s="84">
        <f t="shared" si="35"/>
        <v>11119420.641666651</v>
      </c>
      <c r="AR74" s="85"/>
      <c r="AS74" s="84">
        <f t="shared" si="36"/>
        <v>11119420.641666651</v>
      </c>
      <c r="AT74" s="85"/>
      <c r="AU74" s="84">
        <f t="shared" si="37"/>
        <v>11119420.641666651</v>
      </c>
      <c r="AV74" s="85"/>
      <c r="AW74" s="84">
        <f t="shared" si="38"/>
        <v>11119420.641666651</v>
      </c>
      <c r="AX74" s="86">
        <f t="shared" si="39"/>
        <v>14825894.188888889</v>
      </c>
      <c r="AY74" s="87">
        <f t="shared" si="40"/>
        <v>11119420.641666654</v>
      </c>
      <c r="AZ74" s="65" t="b">
        <f t="shared" si="41"/>
        <v>1</v>
      </c>
    </row>
    <row r="75" spans="1:52" s="67" customFormat="1" ht="24.75" hidden="1" customHeight="1">
      <c r="A75" s="68">
        <v>70</v>
      </c>
      <c r="B75" s="69" t="s">
        <v>247</v>
      </c>
      <c r="C75" s="88" t="s">
        <v>81</v>
      </c>
      <c r="D75" s="71" t="s">
        <v>95</v>
      </c>
      <c r="E75" s="88" t="s">
        <v>248</v>
      </c>
      <c r="F75" s="92" t="s">
        <v>97</v>
      </c>
      <c r="G75" s="88">
        <v>20230731</v>
      </c>
      <c r="H75" s="88">
        <v>23070943</v>
      </c>
      <c r="I75" s="95" t="s">
        <v>98</v>
      </c>
      <c r="J75" s="88" t="s">
        <v>156</v>
      </c>
      <c r="K75" s="68" t="s">
        <v>99</v>
      </c>
      <c r="L75" s="70" t="s">
        <v>100</v>
      </c>
      <c r="M75" s="88" t="s">
        <v>101</v>
      </c>
      <c r="N75" s="88" t="s">
        <v>102</v>
      </c>
      <c r="O75" s="77">
        <v>1</v>
      </c>
      <c r="P75" s="90">
        <v>45139</v>
      </c>
      <c r="Q75" s="94">
        <f t="shared" si="19"/>
        <v>46234</v>
      </c>
      <c r="R75" s="79">
        <v>36</v>
      </c>
      <c r="S75" s="79">
        <f t="shared" si="25"/>
        <v>3</v>
      </c>
      <c r="T75" s="91">
        <v>54235499.899999999</v>
      </c>
      <c r="U75" s="81"/>
      <c r="V75" s="82">
        <f t="shared" si="20"/>
        <v>54235499.899999999</v>
      </c>
      <c r="W75" s="83">
        <f t="shared" si="21"/>
        <v>1506541.6638888889</v>
      </c>
      <c r="X75" s="83">
        <v>43689708.252777763</v>
      </c>
      <c r="Y75" s="82">
        <v>10545791.647222236</v>
      </c>
      <c r="Z75" s="85">
        <f t="shared" si="26"/>
        <v>1506541.6638888889</v>
      </c>
      <c r="AA75" s="84">
        <f t="shared" si="22"/>
        <v>9039249.9833333474</v>
      </c>
      <c r="AB75" s="85">
        <f t="shared" si="27"/>
        <v>1506541.6638888889</v>
      </c>
      <c r="AC75" s="84">
        <f t="shared" si="28"/>
        <v>7532708.3194444589</v>
      </c>
      <c r="AD75" s="85">
        <f t="shared" si="23"/>
        <v>1506541.6638888889</v>
      </c>
      <c r="AE75" s="84">
        <f t="shared" si="29"/>
        <v>6026166.6555555705</v>
      </c>
      <c r="AF75" s="85">
        <f t="shared" si="24"/>
        <v>1506541.6638888889</v>
      </c>
      <c r="AG75" s="84">
        <f t="shared" si="30"/>
        <v>4519624.9916666821</v>
      </c>
      <c r="AH75" s="85"/>
      <c r="AI75" s="84">
        <f t="shared" si="31"/>
        <v>4519624.9916666821</v>
      </c>
      <c r="AJ75" s="85"/>
      <c r="AK75" s="84">
        <f t="shared" si="32"/>
        <v>4519624.9916666821</v>
      </c>
      <c r="AL75" s="85"/>
      <c r="AM75" s="84">
        <f t="shared" si="33"/>
        <v>4519624.9916666821</v>
      </c>
      <c r="AN75" s="85"/>
      <c r="AO75" s="84">
        <f t="shared" si="34"/>
        <v>4519624.9916666821</v>
      </c>
      <c r="AP75" s="85"/>
      <c r="AQ75" s="84">
        <f t="shared" si="35"/>
        <v>4519624.9916666821</v>
      </c>
      <c r="AR75" s="85"/>
      <c r="AS75" s="84">
        <f t="shared" si="36"/>
        <v>4519624.9916666821</v>
      </c>
      <c r="AT75" s="85"/>
      <c r="AU75" s="84">
        <f t="shared" si="37"/>
        <v>4519624.9916666821</v>
      </c>
      <c r="AV75" s="85"/>
      <c r="AW75" s="84">
        <f t="shared" si="38"/>
        <v>4519624.9916666821</v>
      </c>
      <c r="AX75" s="86">
        <f t="shared" si="39"/>
        <v>6026166.6555555556</v>
      </c>
      <c r="AY75" s="87">
        <f t="shared" si="40"/>
        <v>4519624.9916666802</v>
      </c>
      <c r="AZ75" s="65" t="b">
        <f t="shared" si="41"/>
        <v>1</v>
      </c>
    </row>
    <row r="76" spans="1:52" s="67" customFormat="1" ht="24.75" hidden="1" customHeight="1">
      <c r="A76" s="68">
        <v>71</v>
      </c>
      <c r="B76" s="69" t="s">
        <v>249</v>
      </c>
      <c r="C76" s="88" t="s">
        <v>81</v>
      </c>
      <c r="D76" s="71" t="s">
        <v>95</v>
      </c>
      <c r="E76" s="88" t="s">
        <v>250</v>
      </c>
      <c r="F76" s="92" t="s">
        <v>97</v>
      </c>
      <c r="G76" s="88">
        <v>20230731</v>
      </c>
      <c r="H76" s="88">
        <v>23070943</v>
      </c>
      <c r="I76" s="95" t="s">
        <v>98</v>
      </c>
      <c r="J76" s="88" t="s">
        <v>156</v>
      </c>
      <c r="K76" s="68" t="s">
        <v>99</v>
      </c>
      <c r="L76" s="70" t="s">
        <v>100</v>
      </c>
      <c r="M76" s="88" t="s">
        <v>101</v>
      </c>
      <c r="N76" s="88" t="s">
        <v>102</v>
      </c>
      <c r="O76" s="77">
        <v>1</v>
      </c>
      <c r="P76" s="90">
        <v>45139</v>
      </c>
      <c r="Q76" s="94">
        <f t="shared" ref="Q76:Q139" si="42">+EDATE(P76,R76)-DAY(P76)</f>
        <v>46234</v>
      </c>
      <c r="R76" s="79">
        <v>36</v>
      </c>
      <c r="S76" s="79">
        <f t="shared" si="25"/>
        <v>3</v>
      </c>
      <c r="T76" s="91">
        <v>36408069.539999999</v>
      </c>
      <c r="U76" s="81"/>
      <c r="V76" s="82">
        <f t="shared" si="20"/>
        <v>36408069.539999999</v>
      </c>
      <c r="W76" s="83">
        <f t="shared" si="21"/>
        <v>1011335.265</v>
      </c>
      <c r="X76" s="83">
        <v>29328722.685000002</v>
      </c>
      <c r="Y76" s="82">
        <v>7079346.8549999949</v>
      </c>
      <c r="Z76" s="85">
        <f t="shared" si="26"/>
        <v>1011335.265</v>
      </c>
      <c r="AA76" s="84">
        <f t="shared" si="22"/>
        <v>6068011.5899999971</v>
      </c>
      <c r="AB76" s="85">
        <f t="shared" si="27"/>
        <v>1011335.265</v>
      </c>
      <c r="AC76" s="84">
        <f t="shared" si="28"/>
        <v>5056676.3249999974</v>
      </c>
      <c r="AD76" s="85">
        <f t="shared" si="23"/>
        <v>1011335.265</v>
      </c>
      <c r="AE76" s="84">
        <f t="shared" si="29"/>
        <v>4045341.0599999973</v>
      </c>
      <c r="AF76" s="85">
        <f t="shared" si="24"/>
        <v>1011335.265</v>
      </c>
      <c r="AG76" s="84">
        <f t="shared" si="30"/>
        <v>3034005.7949999971</v>
      </c>
      <c r="AH76" s="85"/>
      <c r="AI76" s="84">
        <f t="shared" si="31"/>
        <v>3034005.7949999971</v>
      </c>
      <c r="AJ76" s="85"/>
      <c r="AK76" s="84">
        <f t="shared" si="32"/>
        <v>3034005.7949999971</v>
      </c>
      <c r="AL76" s="85"/>
      <c r="AM76" s="84">
        <f t="shared" si="33"/>
        <v>3034005.7949999971</v>
      </c>
      <c r="AN76" s="85"/>
      <c r="AO76" s="84">
        <f t="shared" si="34"/>
        <v>3034005.7949999971</v>
      </c>
      <c r="AP76" s="85"/>
      <c r="AQ76" s="84">
        <f t="shared" si="35"/>
        <v>3034005.7949999971</v>
      </c>
      <c r="AR76" s="85"/>
      <c r="AS76" s="84">
        <f t="shared" si="36"/>
        <v>3034005.7949999971</v>
      </c>
      <c r="AT76" s="85"/>
      <c r="AU76" s="84">
        <f t="shared" si="37"/>
        <v>3034005.7949999971</v>
      </c>
      <c r="AV76" s="85"/>
      <c r="AW76" s="84">
        <f t="shared" si="38"/>
        <v>3034005.7949999971</v>
      </c>
      <c r="AX76" s="86">
        <f t="shared" si="39"/>
        <v>4045341.06</v>
      </c>
      <c r="AY76" s="87">
        <f t="shared" si="40"/>
        <v>3034005.7949999967</v>
      </c>
      <c r="AZ76" s="65" t="b">
        <f t="shared" si="41"/>
        <v>1</v>
      </c>
    </row>
    <row r="77" spans="1:52" s="67" customFormat="1" ht="24.75" hidden="1" customHeight="1">
      <c r="A77" s="68">
        <v>72</v>
      </c>
      <c r="B77" s="69" t="s">
        <v>251</v>
      </c>
      <c r="C77" s="88" t="s">
        <v>81</v>
      </c>
      <c r="D77" s="71" t="s">
        <v>95</v>
      </c>
      <c r="E77" s="88" t="s">
        <v>252</v>
      </c>
      <c r="F77" s="92" t="s">
        <v>97</v>
      </c>
      <c r="G77" s="88">
        <v>20230731</v>
      </c>
      <c r="H77" s="88">
        <v>23070943</v>
      </c>
      <c r="I77" s="95" t="s">
        <v>98</v>
      </c>
      <c r="J77" s="88" t="s">
        <v>156</v>
      </c>
      <c r="K77" s="68" t="s">
        <v>99</v>
      </c>
      <c r="L77" s="70" t="s">
        <v>100</v>
      </c>
      <c r="M77" s="88" t="s">
        <v>101</v>
      </c>
      <c r="N77" s="88" t="s">
        <v>102</v>
      </c>
      <c r="O77" s="77">
        <v>1</v>
      </c>
      <c r="P77" s="90">
        <v>45139</v>
      </c>
      <c r="Q77" s="94">
        <f t="shared" si="42"/>
        <v>46234</v>
      </c>
      <c r="R77" s="79">
        <v>36</v>
      </c>
      <c r="S77" s="79">
        <f t="shared" si="25"/>
        <v>3</v>
      </c>
      <c r="T77" s="91">
        <v>39784049.939999998</v>
      </c>
      <c r="U77" s="81"/>
      <c r="V77" s="82">
        <f t="shared" ref="V77:V139" si="43">T77</f>
        <v>39784049.939999998</v>
      </c>
      <c r="W77" s="83">
        <f t="shared" ref="W77:W140" si="44">V77/R77</f>
        <v>1105112.4983333333</v>
      </c>
      <c r="X77" s="83">
        <v>32048262.451666668</v>
      </c>
      <c r="Y77" s="82">
        <v>7735787.4883333277</v>
      </c>
      <c r="Z77" s="85">
        <f t="shared" si="26"/>
        <v>1105112.4983333333</v>
      </c>
      <c r="AA77" s="84">
        <f t="shared" ref="AA77:AA140" si="45">+V77-X77-Z77</f>
        <v>6630674.9899999965</v>
      </c>
      <c r="AB77" s="85">
        <f t="shared" si="27"/>
        <v>1105112.4983333333</v>
      </c>
      <c r="AC77" s="84">
        <f t="shared" si="28"/>
        <v>5525562.4916666634</v>
      </c>
      <c r="AD77" s="85">
        <f t="shared" si="23"/>
        <v>1105112.4983333333</v>
      </c>
      <c r="AE77" s="84">
        <f t="shared" si="29"/>
        <v>4420449.9933333304</v>
      </c>
      <c r="AF77" s="85">
        <f t="shared" si="24"/>
        <v>1105112.4983333333</v>
      </c>
      <c r="AG77" s="84">
        <f t="shared" si="30"/>
        <v>3315337.4949999973</v>
      </c>
      <c r="AH77" s="85"/>
      <c r="AI77" s="84">
        <f t="shared" si="31"/>
        <v>3315337.4949999973</v>
      </c>
      <c r="AJ77" s="85"/>
      <c r="AK77" s="84">
        <f t="shared" si="32"/>
        <v>3315337.4949999973</v>
      </c>
      <c r="AL77" s="85"/>
      <c r="AM77" s="84">
        <f t="shared" si="33"/>
        <v>3315337.4949999973</v>
      </c>
      <c r="AN77" s="85"/>
      <c r="AO77" s="84">
        <f t="shared" si="34"/>
        <v>3315337.4949999973</v>
      </c>
      <c r="AP77" s="85"/>
      <c r="AQ77" s="84">
        <f t="shared" si="35"/>
        <v>3315337.4949999973</v>
      </c>
      <c r="AR77" s="85"/>
      <c r="AS77" s="84">
        <f t="shared" si="36"/>
        <v>3315337.4949999973</v>
      </c>
      <c r="AT77" s="85"/>
      <c r="AU77" s="84">
        <f t="shared" si="37"/>
        <v>3315337.4949999973</v>
      </c>
      <c r="AV77" s="85"/>
      <c r="AW77" s="84">
        <f t="shared" si="38"/>
        <v>3315337.4949999973</v>
      </c>
      <c r="AX77" s="86">
        <f t="shared" si="39"/>
        <v>4420449.9933333332</v>
      </c>
      <c r="AY77" s="87">
        <f t="shared" si="40"/>
        <v>3315337.4949999964</v>
      </c>
      <c r="AZ77" s="65" t="b">
        <f t="shared" si="41"/>
        <v>1</v>
      </c>
    </row>
    <row r="78" spans="1:52" s="67" customFormat="1" ht="24.75" hidden="1" customHeight="1">
      <c r="A78" s="68">
        <v>73</v>
      </c>
      <c r="B78" s="69" t="s">
        <v>253</v>
      </c>
      <c r="C78" s="88" t="s">
        <v>81</v>
      </c>
      <c r="D78" s="71" t="s">
        <v>95</v>
      </c>
      <c r="E78" s="88" t="s">
        <v>254</v>
      </c>
      <c r="F78" s="92" t="s">
        <v>97</v>
      </c>
      <c r="G78" s="88">
        <v>20230731</v>
      </c>
      <c r="H78" s="88">
        <v>23070943</v>
      </c>
      <c r="I78" s="95" t="s">
        <v>98</v>
      </c>
      <c r="J78" s="88" t="s">
        <v>156</v>
      </c>
      <c r="K78" s="68" t="s">
        <v>99</v>
      </c>
      <c r="L78" s="70" t="s">
        <v>100</v>
      </c>
      <c r="M78" s="88" t="s">
        <v>101</v>
      </c>
      <c r="N78" s="88" t="s">
        <v>102</v>
      </c>
      <c r="O78" s="77">
        <v>1</v>
      </c>
      <c r="P78" s="90">
        <v>45139</v>
      </c>
      <c r="Q78" s="94">
        <f t="shared" si="42"/>
        <v>46234</v>
      </c>
      <c r="R78" s="79">
        <v>36</v>
      </c>
      <c r="S78" s="79">
        <f t="shared" si="25"/>
        <v>3</v>
      </c>
      <c r="T78" s="91">
        <v>127167490.11</v>
      </c>
      <c r="U78" s="81"/>
      <c r="V78" s="82">
        <f t="shared" si="43"/>
        <v>127167490.11</v>
      </c>
      <c r="W78" s="83">
        <f t="shared" si="44"/>
        <v>3532430.2808333333</v>
      </c>
      <c r="X78" s="83">
        <v>102440478.14416666</v>
      </c>
      <c r="Y78" s="82">
        <v>24727011.965833344</v>
      </c>
      <c r="Z78" s="85">
        <f t="shared" si="26"/>
        <v>3532430.2808333333</v>
      </c>
      <c r="AA78" s="84">
        <f t="shared" si="45"/>
        <v>21194581.685000002</v>
      </c>
      <c r="AB78" s="85">
        <f t="shared" si="27"/>
        <v>3532430.2808333333</v>
      </c>
      <c r="AC78" s="84">
        <f t="shared" si="28"/>
        <v>17662151.404166669</v>
      </c>
      <c r="AD78" s="85">
        <f t="shared" si="23"/>
        <v>3532430.2808333333</v>
      </c>
      <c r="AE78" s="84">
        <f t="shared" si="29"/>
        <v>14129721.123333335</v>
      </c>
      <c r="AF78" s="85">
        <f t="shared" si="24"/>
        <v>3532430.2808333333</v>
      </c>
      <c r="AG78" s="84">
        <f t="shared" si="30"/>
        <v>10597290.842500001</v>
      </c>
      <c r="AH78" s="85"/>
      <c r="AI78" s="84">
        <f t="shared" si="31"/>
        <v>10597290.842500001</v>
      </c>
      <c r="AJ78" s="85"/>
      <c r="AK78" s="84">
        <f t="shared" si="32"/>
        <v>10597290.842500001</v>
      </c>
      <c r="AL78" s="85"/>
      <c r="AM78" s="84">
        <f t="shared" si="33"/>
        <v>10597290.842500001</v>
      </c>
      <c r="AN78" s="85"/>
      <c r="AO78" s="84">
        <f t="shared" si="34"/>
        <v>10597290.842500001</v>
      </c>
      <c r="AP78" s="85"/>
      <c r="AQ78" s="84">
        <f t="shared" si="35"/>
        <v>10597290.842500001</v>
      </c>
      <c r="AR78" s="85"/>
      <c r="AS78" s="84">
        <f t="shared" si="36"/>
        <v>10597290.842500001</v>
      </c>
      <c r="AT78" s="85"/>
      <c r="AU78" s="84">
        <f t="shared" si="37"/>
        <v>10597290.842500001</v>
      </c>
      <c r="AV78" s="85"/>
      <c r="AW78" s="84">
        <f t="shared" si="38"/>
        <v>10597290.842500001</v>
      </c>
      <c r="AX78" s="86">
        <f t="shared" si="39"/>
        <v>14129721.123333333</v>
      </c>
      <c r="AY78" s="87">
        <f t="shared" si="40"/>
        <v>10597290.842500003</v>
      </c>
      <c r="AZ78" s="65" t="b">
        <f t="shared" si="41"/>
        <v>1</v>
      </c>
    </row>
    <row r="79" spans="1:52" s="67" customFormat="1" ht="24.75" hidden="1" customHeight="1">
      <c r="A79" s="68">
        <v>74</v>
      </c>
      <c r="B79" s="69" t="s">
        <v>255</v>
      </c>
      <c r="C79" s="88" t="s">
        <v>81</v>
      </c>
      <c r="D79" s="71" t="s">
        <v>95</v>
      </c>
      <c r="E79" s="88" t="s">
        <v>256</v>
      </c>
      <c r="F79" s="92" t="s">
        <v>97</v>
      </c>
      <c r="G79" s="88">
        <v>20230731</v>
      </c>
      <c r="H79" s="88">
        <v>23070943</v>
      </c>
      <c r="I79" s="95" t="s">
        <v>98</v>
      </c>
      <c r="J79" s="88" t="s">
        <v>156</v>
      </c>
      <c r="K79" s="73" t="s">
        <v>99</v>
      </c>
      <c r="L79" s="70" t="s">
        <v>100</v>
      </c>
      <c r="M79" s="88" t="s">
        <v>101</v>
      </c>
      <c r="N79" s="88" t="s">
        <v>102</v>
      </c>
      <c r="O79" s="77">
        <v>1</v>
      </c>
      <c r="P79" s="90">
        <v>45139</v>
      </c>
      <c r="Q79" s="94">
        <f t="shared" si="42"/>
        <v>46234</v>
      </c>
      <c r="R79" s="79">
        <v>36</v>
      </c>
      <c r="S79" s="79">
        <f t="shared" si="25"/>
        <v>3</v>
      </c>
      <c r="T79" s="91">
        <v>9962280.5099999998</v>
      </c>
      <c r="U79" s="81"/>
      <c r="V79" s="82">
        <f t="shared" si="43"/>
        <v>9962280.5099999998</v>
      </c>
      <c r="W79" s="83">
        <f t="shared" si="44"/>
        <v>276730.01416666666</v>
      </c>
      <c r="X79" s="83">
        <v>8025170.4108333308</v>
      </c>
      <c r="Y79" s="82">
        <v>1937110.099166669</v>
      </c>
      <c r="Z79" s="85">
        <f t="shared" si="26"/>
        <v>276730.01416666666</v>
      </c>
      <c r="AA79" s="84">
        <f t="shared" si="45"/>
        <v>1660380.0850000023</v>
      </c>
      <c r="AB79" s="85">
        <f t="shared" si="27"/>
        <v>276730.01416666666</v>
      </c>
      <c r="AC79" s="84">
        <f t="shared" si="28"/>
        <v>1383650.0708333356</v>
      </c>
      <c r="AD79" s="85">
        <f t="shared" si="23"/>
        <v>276730.01416666666</v>
      </c>
      <c r="AE79" s="84">
        <f t="shared" si="29"/>
        <v>1106920.056666669</v>
      </c>
      <c r="AF79" s="85">
        <f t="shared" si="24"/>
        <v>276730.01416666666</v>
      </c>
      <c r="AG79" s="84">
        <f t="shared" si="30"/>
        <v>830190.04250000231</v>
      </c>
      <c r="AH79" s="85"/>
      <c r="AI79" s="84">
        <f t="shared" si="31"/>
        <v>830190.04250000231</v>
      </c>
      <c r="AJ79" s="85"/>
      <c r="AK79" s="84">
        <f t="shared" si="32"/>
        <v>830190.04250000231</v>
      </c>
      <c r="AL79" s="85"/>
      <c r="AM79" s="84">
        <f t="shared" si="33"/>
        <v>830190.04250000231</v>
      </c>
      <c r="AN79" s="85"/>
      <c r="AO79" s="84">
        <f t="shared" si="34"/>
        <v>830190.04250000231</v>
      </c>
      <c r="AP79" s="85"/>
      <c r="AQ79" s="84">
        <f t="shared" si="35"/>
        <v>830190.04250000231</v>
      </c>
      <c r="AR79" s="85"/>
      <c r="AS79" s="84">
        <f t="shared" si="36"/>
        <v>830190.04250000231</v>
      </c>
      <c r="AT79" s="85"/>
      <c r="AU79" s="84">
        <f t="shared" si="37"/>
        <v>830190.04250000231</v>
      </c>
      <c r="AV79" s="85"/>
      <c r="AW79" s="84">
        <f t="shared" si="38"/>
        <v>830190.04250000231</v>
      </c>
      <c r="AX79" s="86">
        <f t="shared" si="39"/>
        <v>1106920.0566666666</v>
      </c>
      <c r="AY79" s="87">
        <f t="shared" si="40"/>
        <v>830190.04250000231</v>
      </c>
      <c r="AZ79" s="65" t="b">
        <f t="shared" si="41"/>
        <v>1</v>
      </c>
    </row>
    <row r="80" spans="1:52" s="67" customFormat="1" ht="24.75" hidden="1" customHeight="1">
      <c r="A80" s="68">
        <v>75</v>
      </c>
      <c r="B80" s="69" t="s">
        <v>257</v>
      </c>
      <c r="C80" s="88" t="s">
        <v>81</v>
      </c>
      <c r="D80" s="71" t="s">
        <v>95</v>
      </c>
      <c r="E80" s="88" t="s">
        <v>258</v>
      </c>
      <c r="F80" s="92" t="s">
        <v>97</v>
      </c>
      <c r="G80" s="88">
        <v>20230731</v>
      </c>
      <c r="H80" s="88">
        <v>23070943</v>
      </c>
      <c r="I80" s="95" t="s">
        <v>98</v>
      </c>
      <c r="J80" s="88" t="s">
        <v>156</v>
      </c>
      <c r="K80" s="73" t="s">
        <v>99</v>
      </c>
      <c r="L80" s="70" t="s">
        <v>100</v>
      </c>
      <c r="M80" s="88" t="s">
        <v>101</v>
      </c>
      <c r="N80" s="88" t="s">
        <v>102</v>
      </c>
      <c r="O80" s="77">
        <v>1</v>
      </c>
      <c r="P80" s="90">
        <v>45139</v>
      </c>
      <c r="Q80" s="94">
        <f t="shared" si="42"/>
        <v>46234</v>
      </c>
      <c r="R80" s="79">
        <v>36</v>
      </c>
      <c r="S80" s="79">
        <f t="shared" si="25"/>
        <v>3</v>
      </c>
      <c r="T80" s="91">
        <v>65705567.93</v>
      </c>
      <c r="U80" s="81"/>
      <c r="V80" s="82">
        <f t="shared" si="43"/>
        <v>65705567.93</v>
      </c>
      <c r="W80" s="83">
        <f t="shared" si="44"/>
        <v>1825154.6647222221</v>
      </c>
      <c r="X80" s="83">
        <v>52929485.276944436</v>
      </c>
      <c r="Y80" s="82">
        <v>12776082.653055567</v>
      </c>
      <c r="Z80" s="85">
        <f t="shared" si="26"/>
        <v>1825154.6647222221</v>
      </c>
      <c r="AA80" s="84">
        <f t="shared" si="45"/>
        <v>10950927.988333341</v>
      </c>
      <c r="AB80" s="85">
        <f t="shared" si="27"/>
        <v>1825154.6647222221</v>
      </c>
      <c r="AC80" s="84">
        <f t="shared" si="28"/>
        <v>9125773.3236111179</v>
      </c>
      <c r="AD80" s="85">
        <f t="shared" si="23"/>
        <v>1825154.6647222221</v>
      </c>
      <c r="AE80" s="84">
        <f t="shared" si="29"/>
        <v>7300618.658888896</v>
      </c>
      <c r="AF80" s="85">
        <f t="shared" si="24"/>
        <v>1825154.6647222221</v>
      </c>
      <c r="AG80" s="84">
        <f t="shared" si="30"/>
        <v>5475463.9941666741</v>
      </c>
      <c r="AH80" s="85"/>
      <c r="AI80" s="84">
        <f t="shared" si="31"/>
        <v>5475463.9941666741</v>
      </c>
      <c r="AJ80" s="85"/>
      <c r="AK80" s="84">
        <f t="shared" si="32"/>
        <v>5475463.9941666741</v>
      </c>
      <c r="AL80" s="85"/>
      <c r="AM80" s="84">
        <f t="shared" si="33"/>
        <v>5475463.9941666741</v>
      </c>
      <c r="AN80" s="85"/>
      <c r="AO80" s="84">
        <f t="shared" si="34"/>
        <v>5475463.9941666741</v>
      </c>
      <c r="AP80" s="85"/>
      <c r="AQ80" s="84">
        <f t="shared" si="35"/>
        <v>5475463.9941666741</v>
      </c>
      <c r="AR80" s="85"/>
      <c r="AS80" s="84">
        <f t="shared" si="36"/>
        <v>5475463.9941666741</v>
      </c>
      <c r="AT80" s="85"/>
      <c r="AU80" s="84">
        <f t="shared" si="37"/>
        <v>5475463.9941666741</v>
      </c>
      <c r="AV80" s="85"/>
      <c r="AW80" s="84">
        <f t="shared" si="38"/>
        <v>5475463.9941666741</v>
      </c>
      <c r="AX80" s="86">
        <f t="shared" si="39"/>
        <v>7300618.6588888885</v>
      </c>
      <c r="AY80" s="87">
        <f t="shared" si="40"/>
        <v>5475463.994166675</v>
      </c>
      <c r="AZ80" s="65" t="b">
        <f t="shared" si="41"/>
        <v>1</v>
      </c>
    </row>
    <row r="81" spans="1:52" s="67" customFormat="1" ht="24.75" hidden="1" customHeight="1">
      <c r="A81" s="68">
        <v>76</v>
      </c>
      <c r="B81" s="69" t="s">
        <v>259</v>
      </c>
      <c r="C81" s="88" t="s">
        <v>81</v>
      </c>
      <c r="D81" s="71" t="s">
        <v>95</v>
      </c>
      <c r="E81" s="88" t="s">
        <v>260</v>
      </c>
      <c r="F81" s="92" t="s">
        <v>97</v>
      </c>
      <c r="G81" s="88">
        <v>20230731</v>
      </c>
      <c r="H81" s="88">
        <v>23070943</v>
      </c>
      <c r="I81" s="95" t="s">
        <v>98</v>
      </c>
      <c r="J81" s="88" t="s">
        <v>156</v>
      </c>
      <c r="K81" s="73" t="s">
        <v>99</v>
      </c>
      <c r="L81" s="70" t="s">
        <v>100</v>
      </c>
      <c r="M81" s="88" t="s">
        <v>101</v>
      </c>
      <c r="N81" s="88" t="s">
        <v>102</v>
      </c>
      <c r="O81" s="77">
        <v>1</v>
      </c>
      <c r="P81" s="90">
        <v>45139</v>
      </c>
      <c r="Q81" s="94">
        <f t="shared" si="42"/>
        <v>46234</v>
      </c>
      <c r="R81" s="79">
        <v>36</v>
      </c>
      <c r="S81" s="79">
        <f t="shared" si="25"/>
        <v>3</v>
      </c>
      <c r="T81" s="91">
        <v>353291773.98000002</v>
      </c>
      <c r="U81" s="81"/>
      <c r="V81" s="82">
        <f t="shared" si="43"/>
        <v>353291773.98000002</v>
      </c>
      <c r="W81" s="83">
        <f t="shared" si="44"/>
        <v>9813660.3883333337</v>
      </c>
      <c r="X81" s="83">
        <v>284596151.26166666</v>
      </c>
      <c r="Y81" s="82">
        <v>68695622.718333378</v>
      </c>
      <c r="Z81" s="85">
        <f t="shared" si="26"/>
        <v>9813660.3883333337</v>
      </c>
      <c r="AA81" s="84">
        <f t="shared" si="45"/>
        <v>58881962.330000028</v>
      </c>
      <c r="AB81" s="85">
        <f t="shared" si="27"/>
        <v>9813660.3883333337</v>
      </c>
      <c r="AC81" s="84">
        <f t="shared" si="28"/>
        <v>49068301.941666692</v>
      </c>
      <c r="AD81" s="85">
        <f t="shared" ref="AD81:AD144" si="46">+IF(AC81&lt;&gt;0,$W81,0)</f>
        <v>9813660.3883333337</v>
      </c>
      <c r="AE81" s="84">
        <f t="shared" si="29"/>
        <v>39254641.553333357</v>
      </c>
      <c r="AF81" s="85">
        <f t="shared" si="24"/>
        <v>9813660.3883333337</v>
      </c>
      <c r="AG81" s="84">
        <f t="shared" si="30"/>
        <v>29440981.165000021</v>
      </c>
      <c r="AH81" s="85"/>
      <c r="AI81" s="84">
        <f t="shared" si="31"/>
        <v>29440981.165000021</v>
      </c>
      <c r="AJ81" s="85"/>
      <c r="AK81" s="84">
        <f t="shared" si="32"/>
        <v>29440981.165000021</v>
      </c>
      <c r="AL81" s="85"/>
      <c r="AM81" s="84">
        <f t="shared" si="33"/>
        <v>29440981.165000021</v>
      </c>
      <c r="AN81" s="85"/>
      <c r="AO81" s="84">
        <f t="shared" si="34"/>
        <v>29440981.165000021</v>
      </c>
      <c r="AP81" s="85"/>
      <c r="AQ81" s="84">
        <f t="shared" si="35"/>
        <v>29440981.165000021</v>
      </c>
      <c r="AR81" s="85"/>
      <c r="AS81" s="84">
        <f t="shared" si="36"/>
        <v>29440981.165000021</v>
      </c>
      <c r="AT81" s="85"/>
      <c r="AU81" s="84">
        <f t="shared" si="37"/>
        <v>29440981.165000021</v>
      </c>
      <c r="AV81" s="85"/>
      <c r="AW81" s="84">
        <f t="shared" si="38"/>
        <v>29440981.165000021</v>
      </c>
      <c r="AX81" s="86">
        <f t="shared" si="39"/>
        <v>39254641.553333335</v>
      </c>
      <c r="AY81" s="87">
        <f t="shared" si="40"/>
        <v>29440981.165000029</v>
      </c>
      <c r="AZ81" s="65" t="b">
        <f t="shared" si="41"/>
        <v>1</v>
      </c>
    </row>
    <row r="82" spans="1:52" s="67" customFormat="1" ht="24.75" hidden="1" customHeight="1">
      <c r="A82" s="68">
        <v>77</v>
      </c>
      <c r="B82" s="69" t="s">
        <v>261</v>
      </c>
      <c r="C82" s="88" t="s">
        <v>81</v>
      </c>
      <c r="D82" s="71" t="s">
        <v>95</v>
      </c>
      <c r="E82" s="88" t="s">
        <v>262</v>
      </c>
      <c r="F82" s="92" t="s">
        <v>97</v>
      </c>
      <c r="G82" s="88">
        <v>20230731</v>
      </c>
      <c r="H82" s="88">
        <v>23070943</v>
      </c>
      <c r="I82" s="95" t="s">
        <v>98</v>
      </c>
      <c r="J82" s="88" t="s">
        <v>156</v>
      </c>
      <c r="K82" s="68" t="s">
        <v>99</v>
      </c>
      <c r="L82" s="70" t="s">
        <v>100</v>
      </c>
      <c r="M82" s="88" t="s">
        <v>101</v>
      </c>
      <c r="N82" s="88" t="s">
        <v>102</v>
      </c>
      <c r="O82" s="77">
        <v>1</v>
      </c>
      <c r="P82" s="90">
        <v>45139</v>
      </c>
      <c r="Q82" s="94">
        <f t="shared" si="42"/>
        <v>46234</v>
      </c>
      <c r="R82" s="79">
        <v>36</v>
      </c>
      <c r="S82" s="79">
        <f t="shared" si="25"/>
        <v>3</v>
      </c>
      <c r="T82" s="91">
        <v>28189093.32</v>
      </c>
      <c r="U82" s="81"/>
      <c r="V82" s="82">
        <f t="shared" si="43"/>
        <v>28189093.32</v>
      </c>
      <c r="W82" s="83">
        <f t="shared" si="44"/>
        <v>783030.37</v>
      </c>
      <c r="X82" s="83">
        <v>22707880.730000004</v>
      </c>
      <c r="Y82" s="82">
        <v>5481212.5899999961</v>
      </c>
      <c r="Z82" s="85">
        <f t="shared" si="26"/>
        <v>783030.37</v>
      </c>
      <c r="AA82" s="84">
        <f t="shared" si="45"/>
        <v>4698182.219999996</v>
      </c>
      <c r="AB82" s="85">
        <f t="shared" si="27"/>
        <v>783030.37</v>
      </c>
      <c r="AC82" s="84">
        <f t="shared" si="28"/>
        <v>3915151.8499999959</v>
      </c>
      <c r="AD82" s="85">
        <f t="shared" si="46"/>
        <v>783030.37</v>
      </c>
      <c r="AE82" s="84">
        <f t="shared" si="29"/>
        <v>3132121.4799999958</v>
      </c>
      <c r="AF82" s="85">
        <f t="shared" si="24"/>
        <v>783030.37</v>
      </c>
      <c r="AG82" s="84">
        <f t="shared" si="30"/>
        <v>2349091.1099999957</v>
      </c>
      <c r="AH82" s="85"/>
      <c r="AI82" s="84">
        <f t="shared" si="31"/>
        <v>2349091.1099999957</v>
      </c>
      <c r="AJ82" s="85"/>
      <c r="AK82" s="84">
        <f t="shared" si="32"/>
        <v>2349091.1099999957</v>
      </c>
      <c r="AL82" s="85"/>
      <c r="AM82" s="84">
        <f t="shared" si="33"/>
        <v>2349091.1099999957</v>
      </c>
      <c r="AN82" s="85"/>
      <c r="AO82" s="84">
        <f t="shared" si="34"/>
        <v>2349091.1099999957</v>
      </c>
      <c r="AP82" s="85"/>
      <c r="AQ82" s="84">
        <f t="shared" si="35"/>
        <v>2349091.1099999957</v>
      </c>
      <c r="AR82" s="85"/>
      <c r="AS82" s="84">
        <f t="shared" si="36"/>
        <v>2349091.1099999957</v>
      </c>
      <c r="AT82" s="85"/>
      <c r="AU82" s="84">
        <f t="shared" si="37"/>
        <v>2349091.1099999957</v>
      </c>
      <c r="AV82" s="85"/>
      <c r="AW82" s="84">
        <f t="shared" si="38"/>
        <v>2349091.1099999957</v>
      </c>
      <c r="AX82" s="86">
        <f t="shared" si="39"/>
        <v>3132121.48</v>
      </c>
      <c r="AY82" s="87">
        <f t="shared" si="40"/>
        <v>2349091.1099999961</v>
      </c>
      <c r="AZ82" s="65" t="b">
        <f t="shared" si="41"/>
        <v>1</v>
      </c>
    </row>
    <row r="83" spans="1:52" s="67" customFormat="1" ht="24.75" hidden="1" customHeight="1">
      <c r="A83" s="68">
        <v>78</v>
      </c>
      <c r="B83" s="69" t="s">
        <v>263</v>
      </c>
      <c r="C83" s="88" t="s">
        <v>81</v>
      </c>
      <c r="D83" s="71" t="s">
        <v>95</v>
      </c>
      <c r="E83" s="88" t="s">
        <v>264</v>
      </c>
      <c r="F83" s="92" t="s">
        <v>97</v>
      </c>
      <c r="G83" s="88">
        <v>20230731</v>
      </c>
      <c r="H83" s="88">
        <v>23070943</v>
      </c>
      <c r="I83" s="95" t="s">
        <v>98</v>
      </c>
      <c r="J83" s="88" t="s">
        <v>156</v>
      </c>
      <c r="K83" s="68" t="s">
        <v>99</v>
      </c>
      <c r="L83" s="70" t="s">
        <v>100</v>
      </c>
      <c r="M83" s="88" t="s">
        <v>101</v>
      </c>
      <c r="N83" s="88" t="s">
        <v>102</v>
      </c>
      <c r="O83" s="77">
        <v>1</v>
      </c>
      <c r="P83" s="90">
        <v>45139</v>
      </c>
      <c r="Q83" s="94">
        <f t="shared" si="42"/>
        <v>46234</v>
      </c>
      <c r="R83" s="79">
        <v>36</v>
      </c>
      <c r="S83" s="79">
        <f t="shared" si="25"/>
        <v>3</v>
      </c>
      <c r="T83" s="91">
        <v>33860705.32</v>
      </c>
      <c r="U83" s="81"/>
      <c r="V83" s="82">
        <f t="shared" si="43"/>
        <v>33860705.32</v>
      </c>
      <c r="W83" s="83">
        <f t="shared" si="44"/>
        <v>940575.14777777775</v>
      </c>
      <c r="X83" s="83">
        <v>27276679.285555549</v>
      </c>
      <c r="Y83" s="82">
        <v>6584026.0344444532</v>
      </c>
      <c r="Z83" s="85">
        <f t="shared" si="26"/>
        <v>940575.14777777775</v>
      </c>
      <c r="AA83" s="84">
        <f t="shared" si="45"/>
        <v>5643450.8866666732</v>
      </c>
      <c r="AB83" s="85">
        <f t="shared" si="27"/>
        <v>940575.14777777775</v>
      </c>
      <c r="AC83" s="84">
        <f t="shared" si="28"/>
        <v>4702875.7388888951</v>
      </c>
      <c r="AD83" s="85">
        <f t="shared" si="46"/>
        <v>940575.14777777775</v>
      </c>
      <c r="AE83" s="84">
        <f t="shared" si="29"/>
        <v>3762300.5911111175</v>
      </c>
      <c r="AF83" s="85">
        <f t="shared" ref="AF83:AF146" si="47">+IF(AE83&lt;&gt;0,$W83,0)</f>
        <v>940575.14777777775</v>
      </c>
      <c r="AG83" s="84">
        <f t="shared" si="30"/>
        <v>2821725.4433333399</v>
      </c>
      <c r="AH83" s="85"/>
      <c r="AI83" s="84">
        <f t="shared" si="31"/>
        <v>2821725.4433333399</v>
      </c>
      <c r="AJ83" s="85"/>
      <c r="AK83" s="84">
        <f t="shared" si="32"/>
        <v>2821725.4433333399</v>
      </c>
      <c r="AL83" s="85"/>
      <c r="AM83" s="84">
        <f t="shared" si="33"/>
        <v>2821725.4433333399</v>
      </c>
      <c r="AN83" s="85"/>
      <c r="AO83" s="84">
        <f t="shared" si="34"/>
        <v>2821725.4433333399</v>
      </c>
      <c r="AP83" s="85"/>
      <c r="AQ83" s="84">
        <f t="shared" si="35"/>
        <v>2821725.4433333399</v>
      </c>
      <c r="AR83" s="85"/>
      <c r="AS83" s="84">
        <f t="shared" si="36"/>
        <v>2821725.4433333399</v>
      </c>
      <c r="AT83" s="85"/>
      <c r="AU83" s="84">
        <f t="shared" si="37"/>
        <v>2821725.4433333399</v>
      </c>
      <c r="AV83" s="85"/>
      <c r="AW83" s="84">
        <f t="shared" si="38"/>
        <v>2821725.4433333399</v>
      </c>
      <c r="AX83" s="86">
        <f t="shared" si="39"/>
        <v>3762300.591111111</v>
      </c>
      <c r="AY83" s="87">
        <f t="shared" si="40"/>
        <v>2821725.4433333403</v>
      </c>
      <c r="AZ83" s="65" t="b">
        <f t="shared" si="41"/>
        <v>1</v>
      </c>
    </row>
    <row r="84" spans="1:52" s="67" customFormat="1" ht="24.75" hidden="1" customHeight="1">
      <c r="A84" s="68">
        <v>79</v>
      </c>
      <c r="B84" s="69" t="s">
        <v>265</v>
      </c>
      <c r="C84" s="88" t="s">
        <v>81</v>
      </c>
      <c r="D84" s="71" t="s">
        <v>95</v>
      </c>
      <c r="E84" s="88" t="s">
        <v>266</v>
      </c>
      <c r="F84" s="92" t="s">
        <v>97</v>
      </c>
      <c r="G84" s="88">
        <v>20230731</v>
      </c>
      <c r="H84" s="88">
        <v>23070943</v>
      </c>
      <c r="I84" s="95" t="s">
        <v>98</v>
      </c>
      <c r="J84" s="88" t="s">
        <v>156</v>
      </c>
      <c r="K84" s="68" t="s">
        <v>99</v>
      </c>
      <c r="L84" s="70" t="s">
        <v>100</v>
      </c>
      <c r="M84" s="88" t="s">
        <v>101</v>
      </c>
      <c r="N84" s="88" t="s">
        <v>102</v>
      </c>
      <c r="O84" s="77">
        <v>1</v>
      </c>
      <c r="P84" s="90">
        <v>45139</v>
      </c>
      <c r="Q84" s="94">
        <f t="shared" si="42"/>
        <v>46234</v>
      </c>
      <c r="R84" s="79">
        <v>36</v>
      </c>
      <c r="S84" s="79">
        <f t="shared" si="25"/>
        <v>3</v>
      </c>
      <c r="T84" s="91">
        <v>43428446.280000001</v>
      </c>
      <c r="U84" s="81"/>
      <c r="V84" s="82">
        <f t="shared" si="43"/>
        <v>43428446.280000001</v>
      </c>
      <c r="W84" s="83">
        <f t="shared" si="44"/>
        <v>1206345.73</v>
      </c>
      <c r="X84" s="83">
        <v>34984026.169999994</v>
      </c>
      <c r="Y84" s="82">
        <v>8444420.1100000087</v>
      </c>
      <c r="Z84" s="85">
        <f t="shared" si="26"/>
        <v>1206345.73</v>
      </c>
      <c r="AA84" s="84">
        <f t="shared" si="45"/>
        <v>7238074.3800000064</v>
      </c>
      <c r="AB84" s="85">
        <f t="shared" si="27"/>
        <v>1206345.73</v>
      </c>
      <c r="AC84" s="84">
        <f t="shared" si="28"/>
        <v>6031728.650000006</v>
      </c>
      <c r="AD84" s="85">
        <f t="shared" si="46"/>
        <v>1206345.73</v>
      </c>
      <c r="AE84" s="84">
        <f t="shared" si="29"/>
        <v>4825382.9200000055</v>
      </c>
      <c r="AF84" s="85">
        <f t="shared" si="47"/>
        <v>1206345.73</v>
      </c>
      <c r="AG84" s="84">
        <f t="shared" si="30"/>
        <v>3619037.1900000055</v>
      </c>
      <c r="AH84" s="85"/>
      <c r="AI84" s="84">
        <f t="shared" si="31"/>
        <v>3619037.1900000055</v>
      </c>
      <c r="AJ84" s="85"/>
      <c r="AK84" s="84">
        <f t="shared" si="32"/>
        <v>3619037.1900000055</v>
      </c>
      <c r="AL84" s="85"/>
      <c r="AM84" s="84">
        <f t="shared" si="33"/>
        <v>3619037.1900000055</v>
      </c>
      <c r="AN84" s="85"/>
      <c r="AO84" s="84">
        <f t="shared" si="34"/>
        <v>3619037.1900000055</v>
      </c>
      <c r="AP84" s="85"/>
      <c r="AQ84" s="84">
        <f t="shared" si="35"/>
        <v>3619037.1900000055</v>
      </c>
      <c r="AR84" s="85"/>
      <c r="AS84" s="84">
        <f t="shared" si="36"/>
        <v>3619037.1900000055</v>
      </c>
      <c r="AT84" s="85"/>
      <c r="AU84" s="84">
        <f t="shared" si="37"/>
        <v>3619037.1900000055</v>
      </c>
      <c r="AV84" s="85"/>
      <c r="AW84" s="84">
        <f t="shared" si="38"/>
        <v>3619037.1900000055</v>
      </c>
      <c r="AX84" s="86">
        <f t="shared" si="39"/>
        <v>4825382.92</v>
      </c>
      <c r="AY84" s="87">
        <f t="shared" si="40"/>
        <v>3619037.1900000069</v>
      </c>
      <c r="AZ84" s="65" t="b">
        <f t="shared" si="41"/>
        <v>1</v>
      </c>
    </row>
    <row r="85" spans="1:52" s="67" customFormat="1" ht="24.75" hidden="1" customHeight="1">
      <c r="A85" s="68">
        <v>80</v>
      </c>
      <c r="B85" s="69" t="s">
        <v>267</v>
      </c>
      <c r="C85" s="88" t="s">
        <v>81</v>
      </c>
      <c r="D85" s="71" t="s">
        <v>95</v>
      </c>
      <c r="E85" s="88" t="s">
        <v>268</v>
      </c>
      <c r="F85" s="92" t="s">
        <v>97</v>
      </c>
      <c r="G85" s="88">
        <v>20230731</v>
      </c>
      <c r="H85" s="88">
        <v>23070943</v>
      </c>
      <c r="I85" s="95" t="s">
        <v>98</v>
      </c>
      <c r="J85" s="88" t="s">
        <v>156</v>
      </c>
      <c r="K85" s="68" t="s">
        <v>99</v>
      </c>
      <c r="L85" s="70" t="s">
        <v>100</v>
      </c>
      <c r="M85" s="88" t="s">
        <v>101</v>
      </c>
      <c r="N85" s="88" t="s">
        <v>102</v>
      </c>
      <c r="O85" s="77">
        <v>1</v>
      </c>
      <c r="P85" s="90">
        <v>45139</v>
      </c>
      <c r="Q85" s="94">
        <f t="shared" si="42"/>
        <v>46234</v>
      </c>
      <c r="R85" s="79">
        <v>36</v>
      </c>
      <c r="S85" s="79">
        <f t="shared" si="25"/>
        <v>3</v>
      </c>
      <c r="T85" s="91">
        <v>152335117.13</v>
      </c>
      <c r="U85" s="81"/>
      <c r="V85" s="82">
        <f t="shared" si="43"/>
        <v>152335117.13</v>
      </c>
      <c r="W85" s="83">
        <f t="shared" si="44"/>
        <v>4231531.0313888891</v>
      </c>
      <c r="X85" s="83">
        <v>122714399.91027772</v>
      </c>
      <c r="Y85" s="82">
        <v>29620717.219722278</v>
      </c>
      <c r="Z85" s="85">
        <f t="shared" si="26"/>
        <v>4231531.0313888891</v>
      </c>
      <c r="AA85" s="84">
        <f t="shared" si="45"/>
        <v>25389186.188333381</v>
      </c>
      <c r="AB85" s="85">
        <f t="shared" si="27"/>
        <v>4231531.0313888891</v>
      </c>
      <c r="AC85" s="84">
        <f t="shared" si="28"/>
        <v>21157655.156944491</v>
      </c>
      <c r="AD85" s="85">
        <f t="shared" si="46"/>
        <v>4231531.0313888891</v>
      </c>
      <c r="AE85" s="84">
        <f t="shared" si="29"/>
        <v>16926124.125555601</v>
      </c>
      <c r="AF85" s="85">
        <f t="shared" si="47"/>
        <v>4231531.0313888891</v>
      </c>
      <c r="AG85" s="84">
        <f t="shared" si="30"/>
        <v>12694593.094166711</v>
      </c>
      <c r="AH85" s="85"/>
      <c r="AI85" s="84">
        <f t="shared" si="31"/>
        <v>12694593.094166711</v>
      </c>
      <c r="AJ85" s="85"/>
      <c r="AK85" s="84">
        <f t="shared" si="32"/>
        <v>12694593.094166711</v>
      </c>
      <c r="AL85" s="85"/>
      <c r="AM85" s="84">
        <f t="shared" si="33"/>
        <v>12694593.094166711</v>
      </c>
      <c r="AN85" s="85"/>
      <c r="AO85" s="84">
        <f t="shared" si="34"/>
        <v>12694593.094166711</v>
      </c>
      <c r="AP85" s="85"/>
      <c r="AQ85" s="84">
        <f t="shared" si="35"/>
        <v>12694593.094166711</v>
      </c>
      <c r="AR85" s="85"/>
      <c r="AS85" s="84">
        <f t="shared" si="36"/>
        <v>12694593.094166711</v>
      </c>
      <c r="AT85" s="85"/>
      <c r="AU85" s="84">
        <f t="shared" si="37"/>
        <v>12694593.094166711</v>
      </c>
      <c r="AV85" s="85"/>
      <c r="AW85" s="84">
        <f t="shared" si="38"/>
        <v>12694593.094166711</v>
      </c>
      <c r="AX85" s="86">
        <f t="shared" si="39"/>
        <v>16926124.125555556</v>
      </c>
      <c r="AY85" s="87">
        <f t="shared" si="40"/>
        <v>12694593.094166715</v>
      </c>
      <c r="AZ85" s="65" t="b">
        <f t="shared" si="41"/>
        <v>1</v>
      </c>
    </row>
    <row r="86" spans="1:52" s="67" customFormat="1" ht="24.75" hidden="1" customHeight="1">
      <c r="A86" s="68">
        <v>81</v>
      </c>
      <c r="B86" s="69" t="s">
        <v>269</v>
      </c>
      <c r="C86" s="88" t="s">
        <v>81</v>
      </c>
      <c r="D86" s="71" t="s">
        <v>95</v>
      </c>
      <c r="E86" s="88" t="s">
        <v>270</v>
      </c>
      <c r="F86" s="92" t="s">
        <v>97</v>
      </c>
      <c r="G86" s="88">
        <v>20230731</v>
      </c>
      <c r="H86" s="88">
        <v>23070943</v>
      </c>
      <c r="I86" s="95" t="s">
        <v>98</v>
      </c>
      <c r="J86" s="88" t="s">
        <v>156</v>
      </c>
      <c r="K86" s="73" t="s">
        <v>99</v>
      </c>
      <c r="L86" s="70" t="s">
        <v>100</v>
      </c>
      <c r="M86" s="88" t="s">
        <v>101</v>
      </c>
      <c r="N86" s="88" t="s">
        <v>102</v>
      </c>
      <c r="O86" s="77">
        <v>1</v>
      </c>
      <c r="P86" s="90">
        <v>45139</v>
      </c>
      <c r="Q86" s="94">
        <f t="shared" si="42"/>
        <v>46234</v>
      </c>
      <c r="R86" s="79">
        <v>36</v>
      </c>
      <c r="S86" s="79">
        <f t="shared" si="25"/>
        <v>3</v>
      </c>
      <c r="T86" s="91">
        <v>32619592.280000001</v>
      </c>
      <c r="U86" s="81"/>
      <c r="V86" s="82">
        <f t="shared" si="43"/>
        <v>32619592.280000001</v>
      </c>
      <c r="W86" s="83">
        <f t="shared" si="44"/>
        <v>906099.7855555556</v>
      </c>
      <c r="X86" s="83">
        <v>26276893.781111121</v>
      </c>
      <c r="Y86" s="82">
        <v>6342698.49888888</v>
      </c>
      <c r="Z86" s="85">
        <f t="shared" si="26"/>
        <v>906099.7855555556</v>
      </c>
      <c r="AA86" s="84">
        <f t="shared" si="45"/>
        <v>5436598.7133333245</v>
      </c>
      <c r="AB86" s="85">
        <f t="shared" si="27"/>
        <v>906099.7855555556</v>
      </c>
      <c r="AC86" s="84">
        <f t="shared" si="28"/>
        <v>4530498.927777769</v>
      </c>
      <c r="AD86" s="85">
        <f t="shared" si="46"/>
        <v>906099.7855555556</v>
      </c>
      <c r="AE86" s="84">
        <f t="shared" si="29"/>
        <v>3624399.1422222136</v>
      </c>
      <c r="AF86" s="85">
        <f t="shared" si="47"/>
        <v>906099.7855555556</v>
      </c>
      <c r="AG86" s="84">
        <f t="shared" si="30"/>
        <v>2718299.3566666581</v>
      </c>
      <c r="AH86" s="85"/>
      <c r="AI86" s="84">
        <f t="shared" si="31"/>
        <v>2718299.3566666581</v>
      </c>
      <c r="AJ86" s="85"/>
      <c r="AK86" s="84">
        <f t="shared" si="32"/>
        <v>2718299.3566666581</v>
      </c>
      <c r="AL86" s="85"/>
      <c r="AM86" s="84">
        <f t="shared" si="33"/>
        <v>2718299.3566666581</v>
      </c>
      <c r="AN86" s="85"/>
      <c r="AO86" s="84">
        <f t="shared" si="34"/>
        <v>2718299.3566666581</v>
      </c>
      <c r="AP86" s="85"/>
      <c r="AQ86" s="84">
        <f t="shared" si="35"/>
        <v>2718299.3566666581</v>
      </c>
      <c r="AR86" s="85"/>
      <c r="AS86" s="84">
        <f t="shared" si="36"/>
        <v>2718299.3566666581</v>
      </c>
      <c r="AT86" s="85"/>
      <c r="AU86" s="84">
        <f t="shared" si="37"/>
        <v>2718299.3566666581</v>
      </c>
      <c r="AV86" s="85"/>
      <c r="AW86" s="84">
        <f t="shared" si="38"/>
        <v>2718299.3566666581</v>
      </c>
      <c r="AX86" s="86">
        <f t="shared" si="39"/>
        <v>3624399.1422222224</v>
      </c>
      <c r="AY86" s="87">
        <f t="shared" si="40"/>
        <v>2718299.3566666576</v>
      </c>
      <c r="AZ86" s="65" t="b">
        <f t="shared" si="41"/>
        <v>1</v>
      </c>
    </row>
    <row r="87" spans="1:52" s="67" customFormat="1" ht="24.75" hidden="1" customHeight="1">
      <c r="A87" s="68">
        <v>82</v>
      </c>
      <c r="B87" s="69" t="s">
        <v>271</v>
      </c>
      <c r="C87" s="88" t="s">
        <v>81</v>
      </c>
      <c r="D87" s="71" t="s">
        <v>95</v>
      </c>
      <c r="E87" s="88" t="s">
        <v>272</v>
      </c>
      <c r="F87" s="92" t="s">
        <v>97</v>
      </c>
      <c r="G87" s="88">
        <v>20230731</v>
      </c>
      <c r="H87" s="88">
        <v>23070943</v>
      </c>
      <c r="I87" s="95" t="s">
        <v>98</v>
      </c>
      <c r="J87" s="88" t="s">
        <v>156</v>
      </c>
      <c r="K87" s="73" t="s">
        <v>99</v>
      </c>
      <c r="L87" s="70" t="s">
        <v>100</v>
      </c>
      <c r="M87" s="88" t="s">
        <v>101</v>
      </c>
      <c r="N87" s="88" t="s">
        <v>102</v>
      </c>
      <c r="O87" s="77">
        <v>1</v>
      </c>
      <c r="P87" s="90">
        <v>45139</v>
      </c>
      <c r="Q87" s="94">
        <f t="shared" si="42"/>
        <v>46234</v>
      </c>
      <c r="R87" s="79">
        <v>36</v>
      </c>
      <c r="S87" s="79">
        <f t="shared" si="25"/>
        <v>3</v>
      </c>
      <c r="T87" s="91">
        <v>38416382.280000001</v>
      </c>
      <c r="U87" s="81"/>
      <c r="V87" s="82">
        <f t="shared" si="43"/>
        <v>38416382.280000001</v>
      </c>
      <c r="W87" s="83">
        <f t="shared" si="44"/>
        <v>1067121.73</v>
      </c>
      <c r="X87" s="83">
        <v>30946530.169999994</v>
      </c>
      <c r="Y87" s="82">
        <v>7469852.1100000087</v>
      </c>
      <c r="Z87" s="85">
        <f t="shared" si="26"/>
        <v>1067121.73</v>
      </c>
      <c r="AA87" s="84">
        <f t="shared" si="45"/>
        <v>6402730.3800000064</v>
      </c>
      <c r="AB87" s="85">
        <f t="shared" si="27"/>
        <v>1067121.73</v>
      </c>
      <c r="AC87" s="84">
        <f t="shared" si="28"/>
        <v>5335608.650000006</v>
      </c>
      <c r="AD87" s="85">
        <f t="shared" si="46"/>
        <v>1067121.73</v>
      </c>
      <c r="AE87" s="84">
        <f t="shared" si="29"/>
        <v>4268486.9200000055</v>
      </c>
      <c r="AF87" s="85">
        <f t="shared" si="47"/>
        <v>1067121.73</v>
      </c>
      <c r="AG87" s="84">
        <f t="shared" si="30"/>
        <v>3201365.1900000055</v>
      </c>
      <c r="AH87" s="85"/>
      <c r="AI87" s="84">
        <f t="shared" si="31"/>
        <v>3201365.1900000055</v>
      </c>
      <c r="AJ87" s="85"/>
      <c r="AK87" s="84">
        <f t="shared" si="32"/>
        <v>3201365.1900000055</v>
      </c>
      <c r="AL87" s="85"/>
      <c r="AM87" s="84">
        <f t="shared" si="33"/>
        <v>3201365.1900000055</v>
      </c>
      <c r="AN87" s="85"/>
      <c r="AO87" s="84">
        <f t="shared" si="34"/>
        <v>3201365.1900000055</v>
      </c>
      <c r="AP87" s="85"/>
      <c r="AQ87" s="84">
        <f t="shared" si="35"/>
        <v>3201365.1900000055</v>
      </c>
      <c r="AR87" s="85"/>
      <c r="AS87" s="84">
        <f t="shared" si="36"/>
        <v>3201365.1900000055</v>
      </c>
      <c r="AT87" s="85"/>
      <c r="AU87" s="84">
        <f t="shared" si="37"/>
        <v>3201365.1900000055</v>
      </c>
      <c r="AV87" s="85"/>
      <c r="AW87" s="84">
        <f t="shared" si="38"/>
        <v>3201365.1900000055</v>
      </c>
      <c r="AX87" s="86">
        <f t="shared" si="39"/>
        <v>4268486.92</v>
      </c>
      <c r="AY87" s="87">
        <f t="shared" si="40"/>
        <v>3201365.1900000069</v>
      </c>
      <c r="AZ87" s="65" t="b">
        <f t="shared" si="41"/>
        <v>1</v>
      </c>
    </row>
    <row r="88" spans="1:52" s="67" customFormat="1" ht="24.75" hidden="1" customHeight="1">
      <c r="A88" s="68">
        <v>83</v>
      </c>
      <c r="B88" s="69" t="s">
        <v>273</v>
      </c>
      <c r="C88" s="88" t="s">
        <v>81</v>
      </c>
      <c r="D88" s="71" t="s">
        <v>95</v>
      </c>
      <c r="E88" s="88" t="s">
        <v>274</v>
      </c>
      <c r="F88" s="92" t="s">
        <v>97</v>
      </c>
      <c r="G88" s="88">
        <v>20230731</v>
      </c>
      <c r="H88" s="88">
        <v>23070943</v>
      </c>
      <c r="I88" s="95" t="s">
        <v>98</v>
      </c>
      <c r="J88" s="88" t="s">
        <v>156</v>
      </c>
      <c r="K88" s="73" t="s">
        <v>99</v>
      </c>
      <c r="L88" s="70" t="s">
        <v>100</v>
      </c>
      <c r="M88" s="88" t="s">
        <v>101</v>
      </c>
      <c r="N88" s="88" t="s">
        <v>102</v>
      </c>
      <c r="O88" s="77">
        <v>1</v>
      </c>
      <c r="P88" s="90">
        <v>45139</v>
      </c>
      <c r="Q88" s="94">
        <f t="shared" si="42"/>
        <v>46234</v>
      </c>
      <c r="R88" s="79">
        <v>36</v>
      </c>
      <c r="S88" s="79">
        <f t="shared" si="25"/>
        <v>3</v>
      </c>
      <c r="T88" s="91">
        <v>52214751.310000002</v>
      </c>
      <c r="U88" s="81"/>
      <c r="V88" s="82">
        <f t="shared" si="43"/>
        <v>52214751.310000002</v>
      </c>
      <c r="W88" s="83">
        <f t="shared" si="44"/>
        <v>1450409.7586111112</v>
      </c>
      <c r="X88" s="83">
        <v>42061882.999722235</v>
      </c>
      <c r="Y88" s="82">
        <v>10152868.310277767</v>
      </c>
      <c r="Z88" s="85">
        <f t="shared" si="26"/>
        <v>1450409.7586111112</v>
      </c>
      <c r="AA88" s="84">
        <f t="shared" si="45"/>
        <v>8702458.5516666565</v>
      </c>
      <c r="AB88" s="85">
        <f t="shared" si="27"/>
        <v>1450409.7586111112</v>
      </c>
      <c r="AC88" s="84">
        <f t="shared" si="28"/>
        <v>7252048.7930555455</v>
      </c>
      <c r="AD88" s="85">
        <f t="shared" si="46"/>
        <v>1450409.7586111112</v>
      </c>
      <c r="AE88" s="84">
        <f t="shared" si="29"/>
        <v>5801639.0344444346</v>
      </c>
      <c r="AF88" s="85">
        <f t="shared" si="47"/>
        <v>1450409.7586111112</v>
      </c>
      <c r="AG88" s="84">
        <f t="shared" si="30"/>
        <v>4351229.2758333236</v>
      </c>
      <c r="AH88" s="85"/>
      <c r="AI88" s="84">
        <f t="shared" si="31"/>
        <v>4351229.2758333236</v>
      </c>
      <c r="AJ88" s="85"/>
      <c r="AK88" s="84">
        <f t="shared" si="32"/>
        <v>4351229.2758333236</v>
      </c>
      <c r="AL88" s="85"/>
      <c r="AM88" s="84">
        <f t="shared" si="33"/>
        <v>4351229.2758333236</v>
      </c>
      <c r="AN88" s="85"/>
      <c r="AO88" s="84">
        <f t="shared" si="34"/>
        <v>4351229.2758333236</v>
      </c>
      <c r="AP88" s="85"/>
      <c r="AQ88" s="84">
        <f t="shared" si="35"/>
        <v>4351229.2758333236</v>
      </c>
      <c r="AR88" s="85"/>
      <c r="AS88" s="84">
        <f t="shared" si="36"/>
        <v>4351229.2758333236</v>
      </c>
      <c r="AT88" s="85"/>
      <c r="AU88" s="84">
        <f t="shared" si="37"/>
        <v>4351229.2758333236</v>
      </c>
      <c r="AV88" s="85"/>
      <c r="AW88" s="84">
        <f t="shared" si="38"/>
        <v>4351229.2758333236</v>
      </c>
      <c r="AX88" s="86">
        <f t="shared" si="39"/>
        <v>5801639.0344444448</v>
      </c>
      <c r="AY88" s="87">
        <f t="shared" si="40"/>
        <v>4351229.2758333227</v>
      </c>
      <c r="AZ88" s="65" t="b">
        <f t="shared" si="41"/>
        <v>1</v>
      </c>
    </row>
    <row r="89" spans="1:52" s="67" customFormat="1" ht="24.75" hidden="1" customHeight="1">
      <c r="A89" s="68">
        <v>84</v>
      </c>
      <c r="B89" s="69" t="s">
        <v>275</v>
      </c>
      <c r="C89" s="88" t="s">
        <v>81</v>
      </c>
      <c r="D89" s="71" t="s">
        <v>95</v>
      </c>
      <c r="E89" s="88" t="s">
        <v>276</v>
      </c>
      <c r="F89" s="92" t="s">
        <v>97</v>
      </c>
      <c r="G89" s="88">
        <v>20230731</v>
      </c>
      <c r="H89" s="88">
        <v>23070943</v>
      </c>
      <c r="I89" s="95" t="s">
        <v>98</v>
      </c>
      <c r="J89" s="88" t="s">
        <v>156</v>
      </c>
      <c r="K89" s="68" t="s">
        <v>99</v>
      </c>
      <c r="L89" s="70" t="s">
        <v>100</v>
      </c>
      <c r="M89" s="88" t="s">
        <v>101</v>
      </c>
      <c r="N89" s="88" t="s">
        <v>102</v>
      </c>
      <c r="O89" s="77">
        <v>1</v>
      </c>
      <c r="P89" s="90">
        <v>45139</v>
      </c>
      <c r="Q89" s="94">
        <f t="shared" si="42"/>
        <v>46234</v>
      </c>
      <c r="R89" s="79">
        <v>36</v>
      </c>
      <c r="S89" s="79">
        <f t="shared" si="25"/>
        <v>3</v>
      </c>
      <c r="T89" s="91">
        <v>71309359.180000007</v>
      </c>
      <c r="U89" s="81"/>
      <c r="V89" s="82">
        <f t="shared" si="43"/>
        <v>71309359.180000007</v>
      </c>
      <c r="W89" s="83">
        <f t="shared" si="44"/>
        <v>1980815.5327777779</v>
      </c>
      <c r="X89" s="83">
        <v>57443650.450555563</v>
      </c>
      <c r="Y89" s="82">
        <v>13865708.729444448</v>
      </c>
      <c r="Z89" s="85">
        <f t="shared" si="26"/>
        <v>1980815.5327777779</v>
      </c>
      <c r="AA89" s="84">
        <f t="shared" si="45"/>
        <v>11884893.196666665</v>
      </c>
      <c r="AB89" s="85">
        <f t="shared" si="27"/>
        <v>1980815.5327777779</v>
      </c>
      <c r="AC89" s="84">
        <f t="shared" si="28"/>
        <v>9904077.6638888866</v>
      </c>
      <c r="AD89" s="85">
        <f t="shared" si="46"/>
        <v>1980815.5327777779</v>
      </c>
      <c r="AE89" s="84">
        <f t="shared" si="29"/>
        <v>7923262.1311111087</v>
      </c>
      <c r="AF89" s="85">
        <f t="shared" si="47"/>
        <v>1980815.5327777779</v>
      </c>
      <c r="AG89" s="84">
        <f t="shared" si="30"/>
        <v>5942446.5983333308</v>
      </c>
      <c r="AH89" s="85"/>
      <c r="AI89" s="84">
        <f t="shared" si="31"/>
        <v>5942446.5983333308</v>
      </c>
      <c r="AJ89" s="85"/>
      <c r="AK89" s="84">
        <f t="shared" si="32"/>
        <v>5942446.5983333308</v>
      </c>
      <c r="AL89" s="85"/>
      <c r="AM89" s="84">
        <f t="shared" si="33"/>
        <v>5942446.5983333308</v>
      </c>
      <c r="AN89" s="85"/>
      <c r="AO89" s="84">
        <f t="shared" si="34"/>
        <v>5942446.5983333308</v>
      </c>
      <c r="AP89" s="85"/>
      <c r="AQ89" s="84">
        <f t="shared" si="35"/>
        <v>5942446.5983333308</v>
      </c>
      <c r="AR89" s="85"/>
      <c r="AS89" s="84">
        <f t="shared" si="36"/>
        <v>5942446.5983333308</v>
      </c>
      <c r="AT89" s="85"/>
      <c r="AU89" s="84">
        <f t="shared" si="37"/>
        <v>5942446.5983333308</v>
      </c>
      <c r="AV89" s="85"/>
      <c r="AW89" s="84">
        <f t="shared" si="38"/>
        <v>5942446.5983333308</v>
      </c>
      <c r="AX89" s="86">
        <f t="shared" si="39"/>
        <v>7923262.1311111115</v>
      </c>
      <c r="AY89" s="87">
        <f t="shared" si="40"/>
        <v>5942446.5983333327</v>
      </c>
      <c r="AZ89" s="65" t="b">
        <f t="shared" si="41"/>
        <v>1</v>
      </c>
    </row>
    <row r="90" spans="1:52" s="67" customFormat="1" ht="24.75" hidden="1" customHeight="1">
      <c r="A90" s="68">
        <v>85</v>
      </c>
      <c r="B90" s="69" t="s">
        <v>277</v>
      </c>
      <c r="C90" s="88" t="s">
        <v>81</v>
      </c>
      <c r="D90" s="71" t="s">
        <v>95</v>
      </c>
      <c r="E90" s="88" t="s">
        <v>278</v>
      </c>
      <c r="F90" s="92" t="s">
        <v>97</v>
      </c>
      <c r="G90" s="88">
        <v>20230731</v>
      </c>
      <c r="H90" s="88">
        <v>23070943</v>
      </c>
      <c r="I90" s="95" t="s">
        <v>98</v>
      </c>
      <c r="J90" s="88" t="s">
        <v>156</v>
      </c>
      <c r="K90" s="68" t="s">
        <v>99</v>
      </c>
      <c r="L90" s="70" t="s">
        <v>100</v>
      </c>
      <c r="M90" s="88" t="s">
        <v>101</v>
      </c>
      <c r="N90" s="88" t="s">
        <v>102</v>
      </c>
      <c r="O90" s="77">
        <v>1</v>
      </c>
      <c r="P90" s="90">
        <v>45139</v>
      </c>
      <c r="Q90" s="94">
        <f t="shared" si="42"/>
        <v>46234</v>
      </c>
      <c r="R90" s="79">
        <v>36</v>
      </c>
      <c r="S90" s="79">
        <f t="shared" si="25"/>
        <v>3</v>
      </c>
      <c r="T90" s="91">
        <v>152801365.47999999</v>
      </c>
      <c r="U90" s="81"/>
      <c r="V90" s="82">
        <f t="shared" si="43"/>
        <v>152801365.47999999</v>
      </c>
      <c r="W90" s="83">
        <f t="shared" si="44"/>
        <v>4244482.3744444437</v>
      </c>
      <c r="X90" s="83">
        <v>123089988.85888888</v>
      </c>
      <c r="Y90" s="82">
        <v>29711376.62111111</v>
      </c>
      <c r="Z90" s="85">
        <f t="shared" si="26"/>
        <v>4244482.3744444437</v>
      </c>
      <c r="AA90" s="84">
        <f t="shared" si="45"/>
        <v>25466894.246666666</v>
      </c>
      <c r="AB90" s="85">
        <f t="shared" si="27"/>
        <v>4244482.3744444437</v>
      </c>
      <c r="AC90" s="84">
        <f t="shared" si="28"/>
        <v>21222411.872222222</v>
      </c>
      <c r="AD90" s="85">
        <f t="shared" si="46"/>
        <v>4244482.3744444437</v>
      </c>
      <c r="AE90" s="84">
        <f t="shared" si="29"/>
        <v>16977929.497777779</v>
      </c>
      <c r="AF90" s="85">
        <f t="shared" si="47"/>
        <v>4244482.3744444437</v>
      </c>
      <c r="AG90" s="84">
        <f t="shared" si="30"/>
        <v>12733447.123333335</v>
      </c>
      <c r="AH90" s="85"/>
      <c r="AI90" s="84">
        <f t="shared" si="31"/>
        <v>12733447.123333335</v>
      </c>
      <c r="AJ90" s="85"/>
      <c r="AK90" s="84">
        <f t="shared" si="32"/>
        <v>12733447.123333335</v>
      </c>
      <c r="AL90" s="85"/>
      <c r="AM90" s="84">
        <f t="shared" si="33"/>
        <v>12733447.123333335</v>
      </c>
      <c r="AN90" s="85"/>
      <c r="AO90" s="84">
        <f t="shared" si="34"/>
        <v>12733447.123333335</v>
      </c>
      <c r="AP90" s="85"/>
      <c r="AQ90" s="84">
        <f t="shared" si="35"/>
        <v>12733447.123333335</v>
      </c>
      <c r="AR90" s="85"/>
      <c r="AS90" s="84">
        <f t="shared" si="36"/>
        <v>12733447.123333335</v>
      </c>
      <c r="AT90" s="85"/>
      <c r="AU90" s="84">
        <f t="shared" si="37"/>
        <v>12733447.123333335</v>
      </c>
      <c r="AV90" s="85"/>
      <c r="AW90" s="84">
        <f t="shared" si="38"/>
        <v>12733447.123333335</v>
      </c>
      <c r="AX90" s="86">
        <f t="shared" si="39"/>
        <v>16977929.497777775</v>
      </c>
      <c r="AY90" s="87">
        <f t="shared" si="40"/>
        <v>12733447.123333335</v>
      </c>
      <c r="AZ90" s="65" t="b">
        <f t="shared" si="41"/>
        <v>1</v>
      </c>
    </row>
    <row r="91" spans="1:52" s="67" customFormat="1" ht="24.75" hidden="1" customHeight="1">
      <c r="A91" s="68">
        <v>86</v>
      </c>
      <c r="B91" s="69" t="s">
        <v>279</v>
      </c>
      <c r="C91" s="88" t="s">
        <v>81</v>
      </c>
      <c r="D91" s="71" t="s">
        <v>95</v>
      </c>
      <c r="E91" s="88" t="s">
        <v>280</v>
      </c>
      <c r="F91" s="92" t="s">
        <v>97</v>
      </c>
      <c r="G91" s="88">
        <v>20230731</v>
      </c>
      <c r="H91" s="88">
        <v>23070943</v>
      </c>
      <c r="I91" s="95" t="s">
        <v>98</v>
      </c>
      <c r="J91" s="88" t="s">
        <v>156</v>
      </c>
      <c r="K91" s="68" t="s">
        <v>99</v>
      </c>
      <c r="L91" s="70" t="s">
        <v>100</v>
      </c>
      <c r="M91" s="88" t="s">
        <v>101</v>
      </c>
      <c r="N91" s="88" t="s">
        <v>102</v>
      </c>
      <c r="O91" s="77">
        <v>1</v>
      </c>
      <c r="P91" s="90">
        <v>45139</v>
      </c>
      <c r="Q91" s="94">
        <f t="shared" si="42"/>
        <v>46234</v>
      </c>
      <c r="R91" s="79">
        <v>36</v>
      </c>
      <c r="S91" s="79">
        <f t="shared" si="25"/>
        <v>3</v>
      </c>
      <c r="T91" s="91">
        <v>122042750.01000001</v>
      </c>
      <c r="U91" s="81"/>
      <c r="V91" s="82">
        <f t="shared" si="43"/>
        <v>122042750.01000001</v>
      </c>
      <c r="W91" s="83">
        <f t="shared" si="44"/>
        <v>3390076.3891666667</v>
      </c>
      <c r="X91" s="83">
        <v>98312215.285833359</v>
      </c>
      <c r="Y91" s="82">
        <v>23730534.724166647</v>
      </c>
      <c r="Z91" s="85">
        <f t="shared" si="26"/>
        <v>3390076.3891666667</v>
      </c>
      <c r="AA91" s="84">
        <f t="shared" si="45"/>
        <v>20340458.334999979</v>
      </c>
      <c r="AB91" s="85">
        <f t="shared" si="27"/>
        <v>3390076.3891666667</v>
      </c>
      <c r="AC91" s="84">
        <f t="shared" si="28"/>
        <v>16950381.94583331</v>
      </c>
      <c r="AD91" s="85">
        <f t="shared" si="46"/>
        <v>3390076.3891666667</v>
      </c>
      <c r="AE91" s="84">
        <f t="shared" si="29"/>
        <v>13560305.556666644</v>
      </c>
      <c r="AF91" s="85">
        <f t="shared" si="47"/>
        <v>3390076.3891666667</v>
      </c>
      <c r="AG91" s="84">
        <f t="shared" si="30"/>
        <v>10170229.167499978</v>
      </c>
      <c r="AH91" s="85"/>
      <c r="AI91" s="84">
        <f t="shared" si="31"/>
        <v>10170229.167499978</v>
      </c>
      <c r="AJ91" s="85"/>
      <c r="AK91" s="84">
        <f t="shared" si="32"/>
        <v>10170229.167499978</v>
      </c>
      <c r="AL91" s="85"/>
      <c r="AM91" s="84">
        <f t="shared" si="33"/>
        <v>10170229.167499978</v>
      </c>
      <c r="AN91" s="85"/>
      <c r="AO91" s="84">
        <f t="shared" si="34"/>
        <v>10170229.167499978</v>
      </c>
      <c r="AP91" s="85"/>
      <c r="AQ91" s="84">
        <f t="shared" si="35"/>
        <v>10170229.167499978</v>
      </c>
      <c r="AR91" s="85"/>
      <c r="AS91" s="84">
        <f t="shared" si="36"/>
        <v>10170229.167499978</v>
      </c>
      <c r="AT91" s="85"/>
      <c r="AU91" s="84">
        <f t="shared" si="37"/>
        <v>10170229.167499978</v>
      </c>
      <c r="AV91" s="85"/>
      <c r="AW91" s="84">
        <f t="shared" si="38"/>
        <v>10170229.167499978</v>
      </c>
      <c r="AX91" s="86">
        <f t="shared" si="39"/>
        <v>13560305.556666667</v>
      </c>
      <c r="AY91" s="87">
        <f t="shared" si="40"/>
        <v>10170229.16749998</v>
      </c>
      <c r="AZ91" s="65" t="b">
        <f t="shared" si="41"/>
        <v>1</v>
      </c>
    </row>
    <row r="92" spans="1:52" s="67" customFormat="1" ht="24.75" hidden="1" customHeight="1">
      <c r="A92" s="68">
        <v>87</v>
      </c>
      <c r="B92" s="69" t="s">
        <v>281</v>
      </c>
      <c r="C92" s="88" t="s">
        <v>81</v>
      </c>
      <c r="D92" s="71" t="s">
        <v>95</v>
      </c>
      <c r="E92" s="88" t="s">
        <v>282</v>
      </c>
      <c r="F92" s="92" t="s">
        <v>97</v>
      </c>
      <c r="G92" s="88">
        <v>20230731</v>
      </c>
      <c r="H92" s="88">
        <v>23070943</v>
      </c>
      <c r="I92" s="95" t="s">
        <v>98</v>
      </c>
      <c r="J92" s="88" t="s">
        <v>156</v>
      </c>
      <c r="K92" s="68" t="s">
        <v>99</v>
      </c>
      <c r="L92" s="70" t="s">
        <v>100</v>
      </c>
      <c r="M92" s="88" t="s">
        <v>101</v>
      </c>
      <c r="N92" s="88" t="s">
        <v>102</v>
      </c>
      <c r="O92" s="77">
        <v>1</v>
      </c>
      <c r="P92" s="90">
        <v>45139</v>
      </c>
      <c r="Q92" s="94">
        <f t="shared" si="42"/>
        <v>46234</v>
      </c>
      <c r="R92" s="79">
        <v>36</v>
      </c>
      <c r="S92" s="79">
        <f t="shared" si="25"/>
        <v>3</v>
      </c>
      <c r="T92" s="91">
        <v>31977669.77</v>
      </c>
      <c r="U92" s="81"/>
      <c r="V92" s="82">
        <f t="shared" si="43"/>
        <v>31977669.77</v>
      </c>
      <c r="W92" s="83">
        <f t="shared" si="44"/>
        <v>888268.6047222222</v>
      </c>
      <c r="X92" s="83">
        <v>25759789.536944434</v>
      </c>
      <c r="Y92" s="82">
        <v>6217880.2330555636</v>
      </c>
      <c r="Z92" s="85">
        <f t="shared" si="26"/>
        <v>888268.6047222222</v>
      </c>
      <c r="AA92" s="84">
        <f t="shared" si="45"/>
        <v>5329611.6283333432</v>
      </c>
      <c r="AB92" s="85">
        <f t="shared" si="27"/>
        <v>888268.6047222222</v>
      </c>
      <c r="AC92" s="84">
        <f t="shared" si="28"/>
        <v>4441343.0236111209</v>
      </c>
      <c r="AD92" s="85">
        <f t="shared" si="46"/>
        <v>888268.6047222222</v>
      </c>
      <c r="AE92" s="84">
        <f t="shared" si="29"/>
        <v>3553074.4188888986</v>
      </c>
      <c r="AF92" s="85">
        <f t="shared" si="47"/>
        <v>888268.6047222222</v>
      </c>
      <c r="AG92" s="84">
        <f t="shared" si="30"/>
        <v>2664805.8141666763</v>
      </c>
      <c r="AH92" s="85"/>
      <c r="AI92" s="84">
        <f t="shared" si="31"/>
        <v>2664805.8141666763</v>
      </c>
      <c r="AJ92" s="85"/>
      <c r="AK92" s="84">
        <f t="shared" si="32"/>
        <v>2664805.8141666763</v>
      </c>
      <c r="AL92" s="85"/>
      <c r="AM92" s="84">
        <f t="shared" si="33"/>
        <v>2664805.8141666763</v>
      </c>
      <c r="AN92" s="85"/>
      <c r="AO92" s="84">
        <f t="shared" si="34"/>
        <v>2664805.8141666763</v>
      </c>
      <c r="AP92" s="85"/>
      <c r="AQ92" s="84">
        <f t="shared" si="35"/>
        <v>2664805.8141666763</v>
      </c>
      <c r="AR92" s="85"/>
      <c r="AS92" s="84">
        <f t="shared" si="36"/>
        <v>2664805.8141666763</v>
      </c>
      <c r="AT92" s="85"/>
      <c r="AU92" s="84">
        <f t="shared" si="37"/>
        <v>2664805.8141666763</v>
      </c>
      <c r="AV92" s="85"/>
      <c r="AW92" s="84">
        <f t="shared" si="38"/>
        <v>2664805.8141666763</v>
      </c>
      <c r="AX92" s="86">
        <f t="shared" si="39"/>
        <v>3553074.4188888888</v>
      </c>
      <c r="AY92" s="87">
        <f t="shared" si="40"/>
        <v>2664805.8141666767</v>
      </c>
      <c r="AZ92" s="65" t="b">
        <f t="shared" si="41"/>
        <v>1</v>
      </c>
    </row>
    <row r="93" spans="1:52" s="67" customFormat="1" ht="24.75" hidden="1" customHeight="1">
      <c r="A93" s="68">
        <v>88</v>
      </c>
      <c r="B93" s="69" t="s">
        <v>283</v>
      </c>
      <c r="C93" s="88" t="s">
        <v>81</v>
      </c>
      <c r="D93" s="71" t="s">
        <v>95</v>
      </c>
      <c r="E93" s="88" t="s">
        <v>284</v>
      </c>
      <c r="F93" s="92" t="s">
        <v>97</v>
      </c>
      <c r="G93" s="88">
        <v>20230731</v>
      </c>
      <c r="H93" s="88">
        <v>23070943</v>
      </c>
      <c r="I93" s="95" t="s">
        <v>98</v>
      </c>
      <c r="J93" s="88" t="s">
        <v>156</v>
      </c>
      <c r="K93" s="73" t="s">
        <v>99</v>
      </c>
      <c r="L93" s="70" t="s">
        <v>100</v>
      </c>
      <c r="M93" s="88" t="s">
        <v>101</v>
      </c>
      <c r="N93" s="88" t="s">
        <v>102</v>
      </c>
      <c r="O93" s="77">
        <v>1</v>
      </c>
      <c r="P93" s="90">
        <v>45139</v>
      </c>
      <c r="Q93" s="94">
        <f t="shared" si="42"/>
        <v>46234</v>
      </c>
      <c r="R93" s="79">
        <v>36</v>
      </c>
      <c r="S93" s="79">
        <f t="shared" si="25"/>
        <v>3</v>
      </c>
      <c r="T93" s="91">
        <v>32017849.77</v>
      </c>
      <c r="U93" s="81"/>
      <c r="V93" s="82">
        <f t="shared" si="43"/>
        <v>32017849.77</v>
      </c>
      <c r="W93" s="83">
        <f t="shared" si="44"/>
        <v>889384.71583333332</v>
      </c>
      <c r="X93" s="83">
        <v>25792156.759166662</v>
      </c>
      <c r="Y93" s="82">
        <v>6225693.0108333379</v>
      </c>
      <c r="Z93" s="85">
        <f t="shared" si="26"/>
        <v>889384.71583333332</v>
      </c>
      <c r="AA93" s="84">
        <f t="shared" si="45"/>
        <v>5336308.2950000046</v>
      </c>
      <c r="AB93" s="85">
        <f t="shared" si="27"/>
        <v>889384.71583333332</v>
      </c>
      <c r="AC93" s="84">
        <f t="shared" si="28"/>
        <v>4446923.5791666713</v>
      </c>
      <c r="AD93" s="85">
        <f t="shared" si="46"/>
        <v>889384.71583333332</v>
      </c>
      <c r="AE93" s="84">
        <f t="shared" si="29"/>
        <v>3557538.8633333379</v>
      </c>
      <c r="AF93" s="85">
        <f t="shared" si="47"/>
        <v>889384.71583333332</v>
      </c>
      <c r="AG93" s="84">
        <f t="shared" si="30"/>
        <v>2668154.1475000046</v>
      </c>
      <c r="AH93" s="85"/>
      <c r="AI93" s="84">
        <f t="shared" si="31"/>
        <v>2668154.1475000046</v>
      </c>
      <c r="AJ93" s="85"/>
      <c r="AK93" s="84">
        <f t="shared" si="32"/>
        <v>2668154.1475000046</v>
      </c>
      <c r="AL93" s="85"/>
      <c r="AM93" s="84">
        <f t="shared" si="33"/>
        <v>2668154.1475000046</v>
      </c>
      <c r="AN93" s="85"/>
      <c r="AO93" s="84">
        <f t="shared" si="34"/>
        <v>2668154.1475000046</v>
      </c>
      <c r="AP93" s="85"/>
      <c r="AQ93" s="84">
        <f t="shared" si="35"/>
        <v>2668154.1475000046</v>
      </c>
      <c r="AR93" s="85"/>
      <c r="AS93" s="84">
        <f t="shared" si="36"/>
        <v>2668154.1475000046</v>
      </c>
      <c r="AT93" s="85"/>
      <c r="AU93" s="84">
        <f t="shared" si="37"/>
        <v>2668154.1475000046</v>
      </c>
      <c r="AV93" s="85"/>
      <c r="AW93" s="84">
        <f t="shared" si="38"/>
        <v>2668154.1475000046</v>
      </c>
      <c r="AX93" s="86">
        <f t="shared" si="39"/>
        <v>3557538.8633333333</v>
      </c>
      <c r="AY93" s="87">
        <f t="shared" si="40"/>
        <v>2668154.1475000046</v>
      </c>
      <c r="AZ93" s="65" t="b">
        <f t="shared" si="41"/>
        <v>1</v>
      </c>
    </row>
    <row r="94" spans="1:52" s="67" customFormat="1" ht="24.75" hidden="1" customHeight="1">
      <c r="A94" s="68">
        <v>89</v>
      </c>
      <c r="B94" s="69" t="s">
        <v>285</v>
      </c>
      <c r="C94" s="88" t="s">
        <v>81</v>
      </c>
      <c r="D94" s="71" t="s">
        <v>95</v>
      </c>
      <c r="E94" s="88" t="s">
        <v>286</v>
      </c>
      <c r="F94" s="92" t="s">
        <v>97</v>
      </c>
      <c r="G94" s="88">
        <v>20230731</v>
      </c>
      <c r="H94" s="88">
        <v>23070943</v>
      </c>
      <c r="I94" s="95" t="s">
        <v>98</v>
      </c>
      <c r="J94" s="88" t="s">
        <v>156</v>
      </c>
      <c r="K94" s="73" t="s">
        <v>99</v>
      </c>
      <c r="L94" s="70" t="s">
        <v>100</v>
      </c>
      <c r="M94" s="88" t="s">
        <v>101</v>
      </c>
      <c r="N94" s="88" t="s">
        <v>102</v>
      </c>
      <c r="O94" s="77">
        <v>1</v>
      </c>
      <c r="P94" s="90">
        <v>45139</v>
      </c>
      <c r="Q94" s="94">
        <f t="shared" si="42"/>
        <v>46234</v>
      </c>
      <c r="R94" s="79">
        <v>36</v>
      </c>
      <c r="S94" s="79">
        <f t="shared" si="25"/>
        <v>3</v>
      </c>
      <c r="T94" s="91">
        <v>183445836.00999999</v>
      </c>
      <c r="U94" s="81"/>
      <c r="V94" s="82">
        <f t="shared" si="43"/>
        <v>183445836.00999999</v>
      </c>
      <c r="W94" s="83">
        <f t="shared" si="44"/>
        <v>5095717.6669444442</v>
      </c>
      <c r="X94" s="83">
        <v>147775812.34138888</v>
      </c>
      <c r="Y94" s="82">
        <v>35670023.668611109</v>
      </c>
      <c r="Z94" s="85">
        <f t="shared" si="26"/>
        <v>5095717.6669444442</v>
      </c>
      <c r="AA94" s="84">
        <f t="shared" si="45"/>
        <v>30574306.001666665</v>
      </c>
      <c r="AB94" s="85">
        <f t="shared" si="27"/>
        <v>5095717.6669444442</v>
      </c>
      <c r="AC94" s="84">
        <f t="shared" si="28"/>
        <v>25478588.334722221</v>
      </c>
      <c r="AD94" s="85">
        <f t="shared" si="46"/>
        <v>5095717.6669444442</v>
      </c>
      <c r="AE94" s="84">
        <f t="shared" si="29"/>
        <v>20382870.667777777</v>
      </c>
      <c r="AF94" s="85">
        <f t="shared" si="47"/>
        <v>5095717.6669444442</v>
      </c>
      <c r="AG94" s="84">
        <f t="shared" si="30"/>
        <v>15287153.000833333</v>
      </c>
      <c r="AH94" s="85"/>
      <c r="AI94" s="84">
        <f t="shared" si="31"/>
        <v>15287153.000833333</v>
      </c>
      <c r="AJ94" s="85"/>
      <c r="AK94" s="84">
        <f t="shared" si="32"/>
        <v>15287153.000833333</v>
      </c>
      <c r="AL94" s="85"/>
      <c r="AM94" s="84">
        <f t="shared" si="33"/>
        <v>15287153.000833333</v>
      </c>
      <c r="AN94" s="85"/>
      <c r="AO94" s="84">
        <f t="shared" si="34"/>
        <v>15287153.000833333</v>
      </c>
      <c r="AP94" s="85"/>
      <c r="AQ94" s="84">
        <f t="shared" si="35"/>
        <v>15287153.000833333</v>
      </c>
      <c r="AR94" s="85"/>
      <c r="AS94" s="84">
        <f t="shared" si="36"/>
        <v>15287153.000833333</v>
      </c>
      <c r="AT94" s="85"/>
      <c r="AU94" s="84">
        <f t="shared" si="37"/>
        <v>15287153.000833333</v>
      </c>
      <c r="AV94" s="85"/>
      <c r="AW94" s="84">
        <f t="shared" si="38"/>
        <v>15287153.000833333</v>
      </c>
      <c r="AX94" s="86">
        <f t="shared" si="39"/>
        <v>20382870.667777777</v>
      </c>
      <c r="AY94" s="87">
        <f t="shared" si="40"/>
        <v>15287153.000833333</v>
      </c>
      <c r="AZ94" s="65" t="b">
        <f t="shared" si="41"/>
        <v>1</v>
      </c>
    </row>
    <row r="95" spans="1:52" s="67" customFormat="1" ht="24.75" hidden="1" customHeight="1">
      <c r="A95" s="68">
        <v>90</v>
      </c>
      <c r="B95" s="69" t="s">
        <v>287</v>
      </c>
      <c r="C95" s="88" t="s">
        <v>81</v>
      </c>
      <c r="D95" s="71" t="s">
        <v>95</v>
      </c>
      <c r="E95" s="88" t="s">
        <v>288</v>
      </c>
      <c r="F95" s="92" t="s">
        <v>97</v>
      </c>
      <c r="G95" s="88">
        <v>20230731</v>
      </c>
      <c r="H95" s="88">
        <v>23070943</v>
      </c>
      <c r="I95" s="95" t="s">
        <v>98</v>
      </c>
      <c r="J95" s="88" t="s">
        <v>156</v>
      </c>
      <c r="K95" s="73" t="s">
        <v>99</v>
      </c>
      <c r="L95" s="70" t="s">
        <v>100</v>
      </c>
      <c r="M95" s="88" t="s">
        <v>101</v>
      </c>
      <c r="N95" s="88" t="s">
        <v>102</v>
      </c>
      <c r="O95" s="77">
        <v>1</v>
      </c>
      <c r="P95" s="90">
        <v>45139</v>
      </c>
      <c r="Q95" s="94">
        <f t="shared" si="42"/>
        <v>46234</v>
      </c>
      <c r="R95" s="79">
        <v>36</v>
      </c>
      <c r="S95" s="79">
        <f t="shared" si="25"/>
        <v>3</v>
      </c>
      <c r="T95" s="91">
        <v>176010901.72999999</v>
      </c>
      <c r="U95" s="81"/>
      <c r="V95" s="82">
        <f t="shared" si="43"/>
        <v>176010901.72999999</v>
      </c>
      <c r="W95" s="83">
        <f t="shared" si="44"/>
        <v>4889191.7147222217</v>
      </c>
      <c r="X95" s="83">
        <v>141786559.72694445</v>
      </c>
      <c r="Y95" s="82">
        <v>34224342.00305555</v>
      </c>
      <c r="Z95" s="85">
        <f t="shared" si="26"/>
        <v>4889191.7147222217</v>
      </c>
      <c r="AA95" s="84">
        <f t="shared" si="45"/>
        <v>29335150.288333319</v>
      </c>
      <c r="AB95" s="85">
        <f t="shared" si="27"/>
        <v>4889191.7147222217</v>
      </c>
      <c r="AC95" s="84">
        <f t="shared" si="28"/>
        <v>24445958.573611096</v>
      </c>
      <c r="AD95" s="85">
        <f t="shared" si="46"/>
        <v>4889191.7147222217</v>
      </c>
      <c r="AE95" s="84">
        <f t="shared" si="29"/>
        <v>19556766.858888872</v>
      </c>
      <c r="AF95" s="85">
        <f t="shared" si="47"/>
        <v>4889191.7147222217</v>
      </c>
      <c r="AG95" s="84">
        <f t="shared" si="30"/>
        <v>14667575.14416665</v>
      </c>
      <c r="AH95" s="85"/>
      <c r="AI95" s="84">
        <f t="shared" si="31"/>
        <v>14667575.14416665</v>
      </c>
      <c r="AJ95" s="85"/>
      <c r="AK95" s="84">
        <f t="shared" si="32"/>
        <v>14667575.14416665</v>
      </c>
      <c r="AL95" s="85"/>
      <c r="AM95" s="84">
        <f t="shared" si="33"/>
        <v>14667575.14416665</v>
      </c>
      <c r="AN95" s="85"/>
      <c r="AO95" s="84">
        <f t="shared" si="34"/>
        <v>14667575.14416665</v>
      </c>
      <c r="AP95" s="85"/>
      <c r="AQ95" s="84">
        <f t="shared" si="35"/>
        <v>14667575.14416665</v>
      </c>
      <c r="AR95" s="85"/>
      <c r="AS95" s="84">
        <f t="shared" si="36"/>
        <v>14667575.14416665</v>
      </c>
      <c r="AT95" s="85"/>
      <c r="AU95" s="84">
        <f t="shared" si="37"/>
        <v>14667575.14416665</v>
      </c>
      <c r="AV95" s="85"/>
      <c r="AW95" s="84">
        <f t="shared" si="38"/>
        <v>14667575.14416665</v>
      </c>
      <c r="AX95" s="86">
        <f t="shared" si="39"/>
        <v>19556766.858888887</v>
      </c>
      <c r="AY95" s="87">
        <f t="shared" si="40"/>
        <v>14667575.144166656</v>
      </c>
      <c r="AZ95" s="65" t="b">
        <f t="shared" si="41"/>
        <v>1</v>
      </c>
    </row>
    <row r="96" spans="1:52" s="67" customFormat="1" ht="24.75" hidden="1" customHeight="1">
      <c r="A96" s="68">
        <v>91</v>
      </c>
      <c r="B96" s="69" t="s">
        <v>289</v>
      </c>
      <c r="C96" s="88" t="s">
        <v>81</v>
      </c>
      <c r="D96" s="71" t="s">
        <v>95</v>
      </c>
      <c r="E96" s="88" t="s">
        <v>290</v>
      </c>
      <c r="F96" s="92" t="s">
        <v>97</v>
      </c>
      <c r="G96" s="88">
        <v>20230731</v>
      </c>
      <c r="H96" s="88">
        <v>23070943</v>
      </c>
      <c r="I96" s="95" t="s">
        <v>98</v>
      </c>
      <c r="J96" s="88" t="s">
        <v>156</v>
      </c>
      <c r="K96" s="68" t="s">
        <v>99</v>
      </c>
      <c r="L96" s="70" t="s">
        <v>100</v>
      </c>
      <c r="M96" s="88" t="s">
        <v>101</v>
      </c>
      <c r="N96" s="88" t="s">
        <v>102</v>
      </c>
      <c r="O96" s="77">
        <v>1</v>
      </c>
      <c r="P96" s="90">
        <v>45139</v>
      </c>
      <c r="Q96" s="94">
        <f t="shared" si="42"/>
        <v>46234</v>
      </c>
      <c r="R96" s="79">
        <v>36</v>
      </c>
      <c r="S96" s="79">
        <f t="shared" si="25"/>
        <v>3</v>
      </c>
      <c r="T96" s="91">
        <v>261525038.84999999</v>
      </c>
      <c r="U96" s="81"/>
      <c r="V96" s="82">
        <f t="shared" si="43"/>
        <v>261525038.84999999</v>
      </c>
      <c r="W96" s="83">
        <f t="shared" si="44"/>
        <v>7264584.4124999996</v>
      </c>
      <c r="X96" s="83">
        <v>210672947.96249995</v>
      </c>
      <c r="Y96" s="82">
        <v>50852090.887500048</v>
      </c>
      <c r="Z96" s="85">
        <f t="shared" si="26"/>
        <v>7264584.4124999996</v>
      </c>
      <c r="AA96" s="84">
        <f t="shared" si="45"/>
        <v>43587506.475000046</v>
      </c>
      <c r="AB96" s="85">
        <f t="shared" si="27"/>
        <v>7264584.4124999996</v>
      </c>
      <c r="AC96" s="84">
        <f t="shared" si="28"/>
        <v>36322922.062500045</v>
      </c>
      <c r="AD96" s="85">
        <f t="shared" si="46"/>
        <v>7264584.4124999996</v>
      </c>
      <c r="AE96" s="84">
        <f t="shared" si="29"/>
        <v>29058337.650000043</v>
      </c>
      <c r="AF96" s="85">
        <f t="shared" si="47"/>
        <v>7264584.4124999996</v>
      </c>
      <c r="AG96" s="84">
        <f t="shared" si="30"/>
        <v>21793753.237500042</v>
      </c>
      <c r="AH96" s="85"/>
      <c r="AI96" s="84">
        <f t="shared" si="31"/>
        <v>21793753.237500042</v>
      </c>
      <c r="AJ96" s="85"/>
      <c r="AK96" s="84">
        <f t="shared" si="32"/>
        <v>21793753.237500042</v>
      </c>
      <c r="AL96" s="85"/>
      <c r="AM96" s="84">
        <f t="shared" si="33"/>
        <v>21793753.237500042</v>
      </c>
      <c r="AN96" s="85"/>
      <c r="AO96" s="84">
        <f t="shared" si="34"/>
        <v>21793753.237500042</v>
      </c>
      <c r="AP96" s="85"/>
      <c r="AQ96" s="84">
        <f t="shared" si="35"/>
        <v>21793753.237500042</v>
      </c>
      <c r="AR96" s="85"/>
      <c r="AS96" s="84">
        <f t="shared" si="36"/>
        <v>21793753.237500042</v>
      </c>
      <c r="AT96" s="85"/>
      <c r="AU96" s="84">
        <f t="shared" si="37"/>
        <v>21793753.237500042</v>
      </c>
      <c r="AV96" s="85"/>
      <c r="AW96" s="84">
        <f t="shared" si="38"/>
        <v>21793753.237500042</v>
      </c>
      <c r="AX96" s="86">
        <f t="shared" si="39"/>
        <v>29058337.649999999</v>
      </c>
      <c r="AY96" s="87">
        <f t="shared" si="40"/>
        <v>21793753.237500049</v>
      </c>
      <c r="AZ96" s="65" t="b">
        <f t="shared" si="41"/>
        <v>1</v>
      </c>
    </row>
    <row r="97" spans="1:52" s="67" customFormat="1" ht="24.75" hidden="1" customHeight="1">
      <c r="A97" s="68">
        <v>92</v>
      </c>
      <c r="B97" s="69" t="s">
        <v>291</v>
      </c>
      <c r="C97" s="88" t="s">
        <v>81</v>
      </c>
      <c r="D97" s="71" t="s">
        <v>95</v>
      </c>
      <c r="E97" s="88" t="s">
        <v>292</v>
      </c>
      <c r="F97" s="92" t="s">
        <v>97</v>
      </c>
      <c r="G97" s="88">
        <v>20230731</v>
      </c>
      <c r="H97" s="88">
        <v>23070943</v>
      </c>
      <c r="I97" s="95" t="s">
        <v>98</v>
      </c>
      <c r="J97" s="88" t="s">
        <v>156</v>
      </c>
      <c r="K97" s="68" t="s">
        <v>99</v>
      </c>
      <c r="L97" s="70" t="s">
        <v>100</v>
      </c>
      <c r="M97" s="88" t="s">
        <v>101</v>
      </c>
      <c r="N97" s="88" t="s">
        <v>102</v>
      </c>
      <c r="O97" s="77">
        <v>1</v>
      </c>
      <c r="P97" s="90">
        <v>45139</v>
      </c>
      <c r="Q97" s="94">
        <f t="shared" si="42"/>
        <v>46234</v>
      </c>
      <c r="R97" s="79">
        <v>36</v>
      </c>
      <c r="S97" s="79">
        <f t="shared" si="25"/>
        <v>3</v>
      </c>
      <c r="T97" s="91">
        <v>248845177.25</v>
      </c>
      <c r="U97" s="81"/>
      <c r="V97" s="82">
        <f t="shared" si="43"/>
        <v>248845177.25</v>
      </c>
      <c r="W97" s="83">
        <f t="shared" si="44"/>
        <v>6912366.034722222</v>
      </c>
      <c r="X97" s="83">
        <v>200458615.00694439</v>
      </c>
      <c r="Y97" s="82">
        <v>48386562.243055612</v>
      </c>
      <c r="Z97" s="85">
        <f t="shared" si="26"/>
        <v>6912366.034722222</v>
      </c>
      <c r="AA97" s="84">
        <f t="shared" si="45"/>
        <v>41474196.208333388</v>
      </c>
      <c r="AB97" s="85">
        <f t="shared" si="27"/>
        <v>6912366.034722222</v>
      </c>
      <c r="AC97" s="84">
        <f t="shared" si="28"/>
        <v>34561830.173611164</v>
      </c>
      <c r="AD97" s="85">
        <f t="shared" si="46"/>
        <v>6912366.034722222</v>
      </c>
      <c r="AE97" s="84">
        <f t="shared" si="29"/>
        <v>27649464.13888894</v>
      </c>
      <c r="AF97" s="85">
        <f t="shared" si="47"/>
        <v>6912366.034722222</v>
      </c>
      <c r="AG97" s="84">
        <f t="shared" si="30"/>
        <v>20737098.104166716</v>
      </c>
      <c r="AH97" s="85"/>
      <c r="AI97" s="84">
        <f t="shared" si="31"/>
        <v>20737098.104166716</v>
      </c>
      <c r="AJ97" s="85"/>
      <c r="AK97" s="84">
        <f t="shared" si="32"/>
        <v>20737098.104166716</v>
      </c>
      <c r="AL97" s="85"/>
      <c r="AM97" s="84">
        <f t="shared" si="33"/>
        <v>20737098.104166716</v>
      </c>
      <c r="AN97" s="85"/>
      <c r="AO97" s="84">
        <f t="shared" si="34"/>
        <v>20737098.104166716</v>
      </c>
      <c r="AP97" s="85"/>
      <c r="AQ97" s="84">
        <f t="shared" si="35"/>
        <v>20737098.104166716</v>
      </c>
      <c r="AR97" s="85"/>
      <c r="AS97" s="84">
        <f t="shared" si="36"/>
        <v>20737098.104166716</v>
      </c>
      <c r="AT97" s="85"/>
      <c r="AU97" s="84">
        <f t="shared" si="37"/>
        <v>20737098.104166716</v>
      </c>
      <c r="AV97" s="85"/>
      <c r="AW97" s="84">
        <f t="shared" si="38"/>
        <v>20737098.104166716</v>
      </c>
      <c r="AX97" s="86">
        <f t="shared" si="39"/>
        <v>27649464.138888888</v>
      </c>
      <c r="AY97" s="87">
        <f t="shared" si="40"/>
        <v>20737098.104166724</v>
      </c>
      <c r="AZ97" s="65" t="b">
        <f t="shared" si="41"/>
        <v>1</v>
      </c>
    </row>
    <row r="98" spans="1:52" s="67" customFormat="1" ht="24.75" hidden="1" customHeight="1">
      <c r="A98" s="68">
        <v>93</v>
      </c>
      <c r="B98" s="69" t="s">
        <v>293</v>
      </c>
      <c r="C98" s="88" t="s">
        <v>81</v>
      </c>
      <c r="D98" s="71" t="s">
        <v>95</v>
      </c>
      <c r="E98" s="88" t="s">
        <v>294</v>
      </c>
      <c r="F98" s="92" t="s">
        <v>97</v>
      </c>
      <c r="G98" s="88">
        <v>20230731</v>
      </c>
      <c r="H98" s="88">
        <v>23070943</v>
      </c>
      <c r="I98" s="95" t="s">
        <v>98</v>
      </c>
      <c r="J98" s="88" t="s">
        <v>156</v>
      </c>
      <c r="K98" s="68" t="s">
        <v>99</v>
      </c>
      <c r="L98" s="70" t="s">
        <v>100</v>
      </c>
      <c r="M98" s="88" t="s">
        <v>101</v>
      </c>
      <c r="N98" s="88" t="s">
        <v>102</v>
      </c>
      <c r="O98" s="77">
        <v>1</v>
      </c>
      <c r="P98" s="90">
        <v>45139</v>
      </c>
      <c r="Q98" s="94">
        <f t="shared" si="42"/>
        <v>46234</v>
      </c>
      <c r="R98" s="79">
        <v>36</v>
      </c>
      <c r="S98" s="79">
        <f t="shared" si="25"/>
        <v>3</v>
      </c>
      <c r="T98" s="91">
        <v>249945747.25</v>
      </c>
      <c r="U98" s="81"/>
      <c r="V98" s="82">
        <f t="shared" si="43"/>
        <v>249945747.25</v>
      </c>
      <c r="W98" s="83">
        <f t="shared" si="44"/>
        <v>6942937.423611111</v>
      </c>
      <c r="X98" s="83">
        <v>201345185.28472215</v>
      </c>
      <c r="Y98" s="82">
        <v>48600561.965277851</v>
      </c>
      <c r="Z98" s="85">
        <f t="shared" si="26"/>
        <v>6942937.423611111</v>
      </c>
      <c r="AA98" s="84">
        <f t="shared" si="45"/>
        <v>41657624.541666739</v>
      </c>
      <c r="AB98" s="85">
        <f t="shared" si="27"/>
        <v>6942937.423611111</v>
      </c>
      <c r="AC98" s="84">
        <f t="shared" si="28"/>
        <v>34714687.118055627</v>
      </c>
      <c r="AD98" s="85">
        <f t="shared" si="46"/>
        <v>6942937.423611111</v>
      </c>
      <c r="AE98" s="84">
        <f t="shared" si="29"/>
        <v>27771749.694444515</v>
      </c>
      <c r="AF98" s="85">
        <f t="shared" si="47"/>
        <v>6942937.423611111</v>
      </c>
      <c r="AG98" s="84">
        <f t="shared" si="30"/>
        <v>20828812.270833403</v>
      </c>
      <c r="AH98" s="85"/>
      <c r="AI98" s="84">
        <f t="shared" si="31"/>
        <v>20828812.270833403</v>
      </c>
      <c r="AJ98" s="85"/>
      <c r="AK98" s="84">
        <f t="shared" si="32"/>
        <v>20828812.270833403</v>
      </c>
      <c r="AL98" s="85"/>
      <c r="AM98" s="84">
        <f t="shared" si="33"/>
        <v>20828812.270833403</v>
      </c>
      <c r="AN98" s="85"/>
      <c r="AO98" s="84">
        <f t="shared" si="34"/>
        <v>20828812.270833403</v>
      </c>
      <c r="AP98" s="85"/>
      <c r="AQ98" s="84">
        <f t="shared" si="35"/>
        <v>20828812.270833403</v>
      </c>
      <c r="AR98" s="85"/>
      <c r="AS98" s="84">
        <f t="shared" si="36"/>
        <v>20828812.270833403</v>
      </c>
      <c r="AT98" s="85"/>
      <c r="AU98" s="84">
        <f t="shared" si="37"/>
        <v>20828812.270833403</v>
      </c>
      <c r="AV98" s="85"/>
      <c r="AW98" s="84">
        <f t="shared" si="38"/>
        <v>20828812.270833403</v>
      </c>
      <c r="AX98" s="86">
        <f t="shared" si="39"/>
        <v>27771749.694444444</v>
      </c>
      <c r="AY98" s="87">
        <f t="shared" si="40"/>
        <v>20828812.270833407</v>
      </c>
      <c r="AZ98" s="65" t="b">
        <f t="shared" si="41"/>
        <v>1</v>
      </c>
    </row>
    <row r="99" spans="1:52" s="67" customFormat="1" ht="24.75" hidden="1" customHeight="1">
      <c r="A99" s="68">
        <v>94</v>
      </c>
      <c r="B99" s="69" t="s">
        <v>295</v>
      </c>
      <c r="C99" s="88" t="s">
        <v>81</v>
      </c>
      <c r="D99" s="71" t="s">
        <v>95</v>
      </c>
      <c r="E99" s="88" t="s">
        <v>296</v>
      </c>
      <c r="F99" s="92" t="s">
        <v>97</v>
      </c>
      <c r="G99" s="88">
        <v>20230731</v>
      </c>
      <c r="H99" s="88">
        <v>23070943</v>
      </c>
      <c r="I99" s="95" t="s">
        <v>98</v>
      </c>
      <c r="J99" s="88" t="s">
        <v>156</v>
      </c>
      <c r="K99" s="68" t="s">
        <v>99</v>
      </c>
      <c r="L99" s="70" t="s">
        <v>100</v>
      </c>
      <c r="M99" s="88" t="s">
        <v>101</v>
      </c>
      <c r="N99" s="88" t="s">
        <v>102</v>
      </c>
      <c r="O99" s="77">
        <v>1</v>
      </c>
      <c r="P99" s="90">
        <v>45139</v>
      </c>
      <c r="Q99" s="94">
        <f t="shared" si="42"/>
        <v>46234</v>
      </c>
      <c r="R99" s="79">
        <v>36</v>
      </c>
      <c r="S99" s="79">
        <f t="shared" si="25"/>
        <v>3</v>
      </c>
      <c r="T99" s="91">
        <v>49625970.960000001</v>
      </c>
      <c r="U99" s="81"/>
      <c r="V99" s="82">
        <f t="shared" si="43"/>
        <v>49625970.960000001</v>
      </c>
      <c r="W99" s="83">
        <f t="shared" si="44"/>
        <v>1378499.1933333334</v>
      </c>
      <c r="X99" s="83">
        <v>39976476.606666677</v>
      </c>
      <c r="Y99" s="82">
        <v>9649494.3533333242</v>
      </c>
      <c r="Z99" s="85">
        <f t="shared" si="26"/>
        <v>1378499.1933333334</v>
      </c>
      <c r="AA99" s="84">
        <f t="shared" si="45"/>
        <v>8270995.1599999908</v>
      </c>
      <c r="AB99" s="85">
        <f t="shared" si="27"/>
        <v>1378499.1933333334</v>
      </c>
      <c r="AC99" s="84">
        <f t="shared" si="28"/>
        <v>6892495.9666666575</v>
      </c>
      <c r="AD99" s="85">
        <f t="shared" si="46"/>
        <v>1378499.1933333334</v>
      </c>
      <c r="AE99" s="84">
        <f t="shared" si="29"/>
        <v>5513996.7733333241</v>
      </c>
      <c r="AF99" s="85">
        <f t="shared" si="47"/>
        <v>1378499.1933333334</v>
      </c>
      <c r="AG99" s="84">
        <f t="shared" si="30"/>
        <v>4135497.5799999908</v>
      </c>
      <c r="AH99" s="85"/>
      <c r="AI99" s="84">
        <f t="shared" si="31"/>
        <v>4135497.5799999908</v>
      </c>
      <c r="AJ99" s="85"/>
      <c r="AK99" s="84">
        <f t="shared" si="32"/>
        <v>4135497.5799999908</v>
      </c>
      <c r="AL99" s="85"/>
      <c r="AM99" s="84">
        <f t="shared" si="33"/>
        <v>4135497.5799999908</v>
      </c>
      <c r="AN99" s="85"/>
      <c r="AO99" s="84">
        <f t="shared" si="34"/>
        <v>4135497.5799999908</v>
      </c>
      <c r="AP99" s="85"/>
      <c r="AQ99" s="84">
        <f t="shared" si="35"/>
        <v>4135497.5799999908</v>
      </c>
      <c r="AR99" s="85"/>
      <c r="AS99" s="84">
        <f t="shared" si="36"/>
        <v>4135497.5799999908</v>
      </c>
      <c r="AT99" s="85"/>
      <c r="AU99" s="84">
        <f t="shared" si="37"/>
        <v>4135497.5799999908</v>
      </c>
      <c r="AV99" s="85"/>
      <c r="AW99" s="84">
        <f t="shared" si="38"/>
        <v>4135497.5799999908</v>
      </c>
      <c r="AX99" s="86">
        <f t="shared" si="39"/>
        <v>5513996.7733333334</v>
      </c>
      <c r="AY99" s="87">
        <f t="shared" si="40"/>
        <v>4135497.5799999908</v>
      </c>
      <c r="AZ99" s="65" t="b">
        <f t="shared" si="41"/>
        <v>1</v>
      </c>
    </row>
    <row r="100" spans="1:52" s="67" customFormat="1" ht="24.75" hidden="1" customHeight="1">
      <c r="A100" s="68">
        <v>95</v>
      </c>
      <c r="B100" s="69" t="s">
        <v>297</v>
      </c>
      <c r="C100" s="88" t="s">
        <v>81</v>
      </c>
      <c r="D100" s="71" t="s">
        <v>95</v>
      </c>
      <c r="E100" s="88" t="s">
        <v>298</v>
      </c>
      <c r="F100" s="92" t="s">
        <v>97</v>
      </c>
      <c r="G100" s="88">
        <v>20230731</v>
      </c>
      <c r="H100" s="88">
        <v>23070943</v>
      </c>
      <c r="I100" s="95" t="s">
        <v>98</v>
      </c>
      <c r="J100" s="88" t="s">
        <v>156</v>
      </c>
      <c r="K100" s="73" t="s">
        <v>99</v>
      </c>
      <c r="L100" s="70" t="s">
        <v>100</v>
      </c>
      <c r="M100" s="88" t="s">
        <v>101</v>
      </c>
      <c r="N100" s="88" t="s">
        <v>102</v>
      </c>
      <c r="O100" s="77">
        <v>1</v>
      </c>
      <c r="P100" s="90">
        <v>45139</v>
      </c>
      <c r="Q100" s="94">
        <f t="shared" si="42"/>
        <v>46234</v>
      </c>
      <c r="R100" s="79">
        <v>36</v>
      </c>
      <c r="S100" s="79">
        <f t="shared" si="25"/>
        <v>3</v>
      </c>
      <c r="T100" s="91">
        <v>60056481.619999997</v>
      </c>
      <c r="U100" s="81"/>
      <c r="V100" s="82">
        <f t="shared" si="43"/>
        <v>60056481.619999997</v>
      </c>
      <c r="W100" s="83">
        <f t="shared" si="44"/>
        <v>1668235.6005555554</v>
      </c>
      <c r="X100" s="83">
        <v>48378832.416111104</v>
      </c>
      <c r="Y100" s="82">
        <v>11677649.203888893</v>
      </c>
      <c r="Z100" s="85">
        <f t="shared" si="26"/>
        <v>1668235.6005555554</v>
      </c>
      <c r="AA100" s="84">
        <f t="shared" si="45"/>
        <v>10009413.603333337</v>
      </c>
      <c r="AB100" s="85">
        <f t="shared" si="27"/>
        <v>1668235.6005555554</v>
      </c>
      <c r="AC100" s="84">
        <f t="shared" si="28"/>
        <v>8341178.0027777813</v>
      </c>
      <c r="AD100" s="85">
        <f t="shared" si="46"/>
        <v>1668235.6005555554</v>
      </c>
      <c r="AE100" s="84">
        <f t="shared" si="29"/>
        <v>6672942.4022222254</v>
      </c>
      <c r="AF100" s="85">
        <f t="shared" si="47"/>
        <v>1668235.6005555554</v>
      </c>
      <c r="AG100" s="84">
        <f t="shared" si="30"/>
        <v>5004706.8016666695</v>
      </c>
      <c r="AH100" s="85"/>
      <c r="AI100" s="84">
        <f t="shared" si="31"/>
        <v>5004706.8016666695</v>
      </c>
      <c r="AJ100" s="85"/>
      <c r="AK100" s="84">
        <f t="shared" si="32"/>
        <v>5004706.8016666695</v>
      </c>
      <c r="AL100" s="85"/>
      <c r="AM100" s="84">
        <f t="shared" si="33"/>
        <v>5004706.8016666695</v>
      </c>
      <c r="AN100" s="85"/>
      <c r="AO100" s="84">
        <f t="shared" si="34"/>
        <v>5004706.8016666695</v>
      </c>
      <c r="AP100" s="85"/>
      <c r="AQ100" s="84">
        <f t="shared" si="35"/>
        <v>5004706.8016666695</v>
      </c>
      <c r="AR100" s="85"/>
      <c r="AS100" s="84">
        <f t="shared" si="36"/>
        <v>5004706.8016666695</v>
      </c>
      <c r="AT100" s="85"/>
      <c r="AU100" s="84">
        <f t="shared" si="37"/>
        <v>5004706.8016666695</v>
      </c>
      <c r="AV100" s="85"/>
      <c r="AW100" s="84">
        <f t="shared" si="38"/>
        <v>5004706.8016666695</v>
      </c>
      <c r="AX100" s="86">
        <f t="shared" si="39"/>
        <v>6672942.4022222217</v>
      </c>
      <c r="AY100" s="87">
        <f t="shared" si="40"/>
        <v>5004706.8016666714</v>
      </c>
      <c r="AZ100" s="65" t="b">
        <f t="shared" si="41"/>
        <v>1</v>
      </c>
    </row>
    <row r="101" spans="1:52" s="67" customFormat="1" ht="24.75" hidden="1" customHeight="1">
      <c r="A101" s="68">
        <v>96</v>
      </c>
      <c r="B101" s="69" t="s">
        <v>299</v>
      </c>
      <c r="C101" s="88" t="s">
        <v>81</v>
      </c>
      <c r="D101" s="71" t="s">
        <v>95</v>
      </c>
      <c r="E101" s="88" t="s">
        <v>300</v>
      </c>
      <c r="F101" s="92" t="s">
        <v>97</v>
      </c>
      <c r="G101" s="88">
        <v>20230731</v>
      </c>
      <c r="H101" s="88">
        <v>23070943</v>
      </c>
      <c r="I101" s="95" t="s">
        <v>98</v>
      </c>
      <c r="J101" s="88" t="s">
        <v>156</v>
      </c>
      <c r="K101" s="73" t="s">
        <v>99</v>
      </c>
      <c r="L101" s="70" t="s">
        <v>100</v>
      </c>
      <c r="M101" s="88" t="s">
        <v>101</v>
      </c>
      <c r="N101" s="88" t="s">
        <v>102</v>
      </c>
      <c r="O101" s="77">
        <v>1</v>
      </c>
      <c r="P101" s="90">
        <v>45139</v>
      </c>
      <c r="Q101" s="94">
        <f t="shared" si="42"/>
        <v>46234</v>
      </c>
      <c r="R101" s="79">
        <v>36</v>
      </c>
      <c r="S101" s="79">
        <f t="shared" si="25"/>
        <v>3</v>
      </c>
      <c r="T101" s="91">
        <v>60056481.619999997</v>
      </c>
      <c r="U101" s="81"/>
      <c r="V101" s="82">
        <f t="shared" si="43"/>
        <v>60056481.619999997</v>
      </c>
      <c r="W101" s="83">
        <f t="shared" si="44"/>
        <v>1668235.6005555554</v>
      </c>
      <c r="X101" s="83">
        <v>48378832.416111104</v>
      </c>
      <c r="Y101" s="82">
        <v>11677649.203888893</v>
      </c>
      <c r="Z101" s="85">
        <f t="shared" si="26"/>
        <v>1668235.6005555554</v>
      </c>
      <c r="AA101" s="84">
        <f t="shared" si="45"/>
        <v>10009413.603333337</v>
      </c>
      <c r="AB101" s="85">
        <f t="shared" si="27"/>
        <v>1668235.6005555554</v>
      </c>
      <c r="AC101" s="84">
        <f t="shared" si="28"/>
        <v>8341178.0027777813</v>
      </c>
      <c r="AD101" s="85">
        <f t="shared" si="46"/>
        <v>1668235.6005555554</v>
      </c>
      <c r="AE101" s="84">
        <f t="shared" si="29"/>
        <v>6672942.4022222254</v>
      </c>
      <c r="AF101" s="85">
        <f t="shared" si="47"/>
        <v>1668235.6005555554</v>
      </c>
      <c r="AG101" s="84">
        <f t="shared" si="30"/>
        <v>5004706.8016666695</v>
      </c>
      <c r="AH101" s="85"/>
      <c r="AI101" s="84">
        <f t="shared" si="31"/>
        <v>5004706.8016666695</v>
      </c>
      <c r="AJ101" s="85"/>
      <c r="AK101" s="84">
        <f t="shared" si="32"/>
        <v>5004706.8016666695</v>
      </c>
      <c r="AL101" s="85"/>
      <c r="AM101" s="84">
        <f t="shared" si="33"/>
        <v>5004706.8016666695</v>
      </c>
      <c r="AN101" s="85"/>
      <c r="AO101" s="84">
        <f t="shared" si="34"/>
        <v>5004706.8016666695</v>
      </c>
      <c r="AP101" s="85"/>
      <c r="AQ101" s="84">
        <f t="shared" si="35"/>
        <v>5004706.8016666695</v>
      </c>
      <c r="AR101" s="85"/>
      <c r="AS101" s="84">
        <f t="shared" si="36"/>
        <v>5004706.8016666695</v>
      </c>
      <c r="AT101" s="85"/>
      <c r="AU101" s="84">
        <f t="shared" si="37"/>
        <v>5004706.8016666695</v>
      </c>
      <c r="AV101" s="85"/>
      <c r="AW101" s="84">
        <f t="shared" si="38"/>
        <v>5004706.8016666695</v>
      </c>
      <c r="AX101" s="86">
        <f t="shared" si="39"/>
        <v>6672942.4022222217</v>
      </c>
      <c r="AY101" s="87">
        <f t="shared" si="40"/>
        <v>5004706.8016666714</v>
      </c>
      <c r="AZ101" s="65" t="b">
        <f t="shared" si="41"/>
        <v>1</v>
      </c>
    </row>
    <row r="102" spans="1:52" s="67" customFormat="1" ht="24.75" hidden="1" customHeight="1">
      <c r="A102" s="68">
        <v>97</v>
      </c>
      <c r="B102" s="69" t="s">
        <v>301</v>
      </c>
      <c r="C102" s="88" t="s">
        <v>81</v>
      </c>
      <c r="D102" s="71" t="s">
        <v>95</v>
      </c>
      <c r="E102" s="88" t="s">
        <v>302</v>
      </c>
      <c r="F102" s="92" t="s">
        <v>97</v>
      </c>
      <c r="G102" s="88">
        <v>20230731</v>
      </c>
      <c r="H102" s="88">
        <v>23070943</v>
      </c>
      <c r="I102" s="95" t="s">
        <v>98</v>
      </c>
      <c r="J102" s="88" t="s">
        <v>156</v>
      </c>
      <c r="K102" s="73" t="s">
        <v>99</v>
      </c>
      <c r="L102" s="70" t="s">
        <v>100</v>
      </c>
      <c r="M102" s="88" t="s">
        <v>101</v>
      </c>
      <c r="N102" s="88" t="s">
        <v>102</v>
      </c>
      <c r="O102" s="77">
        <v>1</v>
      </c>
      <c r="P102" s="90">
        <v>45139</v>
      </c>
      <c r="Q102" s="94">
        <f t="shared" si="42"/>
        <v>46234</v>
      </c>
      <c r="R102" s="79">
        <v>36</v>
      </c>
      <c r="S102" s="79">
        <f t="shared" si="25"/>
        <v>3</v>
      </c>
      <c r="T102" s="91">
        <v>77286455.430000007</v>
      </c>
      <c r="U102" s="81"/>
      <c r="V102" s="82">
        <f t="shared" si="43"/>
        <v>77286455.430000007</v>
      </c>
      <c r="W102" s="83">
        <f t="shared" si="44"/>
        <v>2146845.9841666669</v>
      </c>
      <c r="X102" s="83">
        <v>62258533.540833339</v>
      </c>
      <c r="Y102" s="82">
        <v>15027921.889166668</v>
      </c>
      <c r="Z102" s="85">
        <f t="shared" si="26"/>
        <v>2146845.9841666669</v>
      </c>
      <c r="AA102" s="84">
        <f t="shared" si="45"/>
        <v>12881075.905000001</v>
      </c>
      <c r="AB102" s="85">
        <f t="shared" si="27"/>
        <v>2146845.9841666669</v>
      </c>
      <c r="AC102" s="84">
        <f t="shared" si="28"/>
        <v>10734229.920833334</v>
      </c>
      <c r="AD102" s="85">
        <f t="shared" si="46"/>
        <v>2146845.9841666669</v>
      </c>
      <c r="AE102" s="84">
        <f t="shared" si="29"/>
        <v>8587383.9366666675</v>
      </c>
      <c r="AF102" s="85">
        <f t="shared" si="47"/>
        <v>2146845.9841666669</v>
      </c>
      <c r="AG102" s="84">
        <f t="shared" si="30"/>
        <v>6440537.9525000006</v>
      </c>
      <c r="AH102" s="85"/>
      <c r="AI102" s="84">
        <f t="shared" si="31"/>
        <v>6440537.9525000006</v>
      </c>
      <c r="AJ102" s="85"/>
      <c r="AK102" s="84">
        <f t="shared" si="32"/>
        <v>6440537.9525000006</v>
      </c>
      <c r="AL102" s="85"/>
      <c r="AM102" s="84">
        <f t="shared" si="33"/>
        <v>6440537.9525000006</v>
      </c>
      <c r="AN102" s="85"/>
      <c r="AO102" s="84">
        <f t="shared" si="34"/>
        <v>6440537.9525000006</v>
      </c>
      <c r="AP102" s="85"/>
      <c r="AQ102" s="84">
        <f t="shared" si="35"/>
        <v>6440537.9525000006</v>
      </c>
      <c r="AR102" s="85"/>
      <c r="AS102" s="84">
        <f t="shared" si="36"/>
        <v>6440537.9525000006</v>
      </c>
      <c r="AT102" s="85"/>
      <c r="AU102" s="84">
        <f t="shared" si="37"/>
        <v>6440537.9525000006</v>
      </c>
      <c r="AV102" s="85"/>
      <c r="AW102" s="84">
        <f t="shared" si="38"/>
        <v>6440537.9525000006</v>
      </c>
      <c r="AX102" s="86">
        <f t="shared" si="39"/>
        <v>8587383.9366666675</v>
      </c>
      <c r="AY102" s="87">
        <f t="shared" si="40"/>
        <v>6440537.9525000006</v>
      </c>
      <c r="AZ102" s="65" t="b">
        <f t="shared" si="41"/>
        <v>1</v>
      </c>
    </row>
    <row r="103" spans="1:52" s="67" customFormat="1" ht="24.75" hidden="1" customHeight="1">
      <c r="A103" s="68">
        <v>98</v>
      </c>
      <c r="B103" s="69" t="s">
        <v>303</v>
      </c>
      <c r="C103" s="88" t="s">
        <v>81</v>
      </c>
      <c r="D103" s="71" t="s">
        <v>95</v>
      </c>
      <c r="E103" s="88" t="s">
        <v>304</v>
      </c>
      <c r="F103" s="92" t="s">
        <v>97</v>
      </c>
      <c r="G103" s="88">
        <v>20230731</v>
      </c>
      <c r="H103" s="88">
        <v>23070943</v>
      </c>
      <c r="I103" s="95" t="s">
        <v>98</v>
      </c>
      <c r="J103" s="88" t="s">
        <v>156</v>
      </c>
      <c r="K103" s="68" t="s">
        <v>99</v>
      </c>
      <c r="L103" s="70" t="s">
        <v>100</v>
      </c>
      <c r="M103" s="88" t="s">
        <v>101</v>
      </c>
      <c r="N103" s="88" t="s">
        <v>102</v>
      </c>
      <c r="O103" s="77">
        <v>1</v>
      </c>
      <c r="P103" s="90">
        <v>45139</v>
      </c>
      <c r="Q103" s="94">
        <f t="shared" si="42"/>
        <v>46234</v>
      </c>
      <c r="R103" s="79">
        <v>36</v>
      </c>
      <c r="S103" s="79">
        <f t="shared" si="25"/>
        <v>3</v>
      </c>
      <c r="T103" s="91">
        <v>60056481.619999997</v>
      </c>
      <c r="U103" s="81"/>
      <c r="V103" s="82">
        <f t="shared" si="43"/>
        <v>60056481.619999997</v>
      </c>
      <c r="W103" s="83">
        <f t="shared" si="44"/>
        <v>1668235.6005555554</v>
      </c>
      <c r="X103" s="83">
        <v>48378832.416111104</v>
      </c>
      <c r="Y103" s="82">
        <v>11677649.203888893</v>
      </c>
      <c r="Z103" s="85">
        <f t="shared" si="26"/>
        <v>1668235.6005555554</v>
      </c>
      <c r="AA103" s="84">
        <f t="shared" si="45"/>
        <v>10009413.603333337</v>
      </c>
      <c r="AB103" s="85">
        <f t="shared" si="27"/>
        <v>1668235.6005555554</v>
      </c>
      <c r="AC103" s="84">
        <f t="shared" si="28"/>
        <v>8341178.0027777813</v>
      </c>
      <c r="AD103" s="85">
        <f t="shared" si="46"/>
        <v>1668235.6005555554</v>
      </c>
      <c r="AE103" s="84">
        <f t="shared" si="29"/>
        <v>6672942.4022222254</v>
      </c>
      <c r="AF103" s="85">
        <f t="shared" si="47"/>
        <v>1668235.6005555554</v>
      </c>
      <c r="AG103" s="84">
        <f t="shared" si="30"/>
        <v>5004706.8016666695</v>
      </c>
      <c r="AH103" s="85"/>
      <c r="AI103" s="84">
        <f t="shared" si="31"/>
        <v>5004706.8016666695</v>
      </c>
      <c r="AJ103" s="85"/>
      <c r="AK103" s="84">
        <f t="shared" si="32"/>
        <v>5004706.8016666695</v>
      </c>
      <c r="AL103" s="85"/>
      <c r="AM103" s="84">
        <f t="shared" si="33"/>
        <v>5004706.8016666695</v>
      </c>
      <c r="AN103" s="85"/>
      <c r="AO103" s="84">
        <f t="shared" si="34"/>
        <v>5004706.8016666695</v>
      </c>
      <c r="AP103" s="85"/>
      <c r="AQ103" s="84">
        <f t="shared" si="35"/>
        <v>5004706.8016666695</v>
      </c>
      <c r="AR103" s="85"/>
      <c r="AS103" s="84">
        <f t="shared" si="36"/>
        <v>5004706.8016666695</v>
      </c>
      <c r="AT103" s="85"/>
      <c r="AU103" s="84">
        <f t="shared" si="37"/>
        <v>5004706.8016666695</v>
      </c>
      <c r="AV103" s="85"/>
      <c r="AW103" s="84">
        <f t="shared" si="38"/>
        <v>5004706.8016666695</v>
      </c>
      <c r="AX103" s="86">
        <f t="shared" si="39"/>
        <v>6672942.4022222217</v>
      </c>
      <c r="AY103" s="87">
        <f t="shared" si="40"/>
        <v>5004706.8016666714</v>
      </c>
      <c r="AZ103" s="65" t="b">
        <f t="shared" si="41"/>
        <v>1</v>
      </c>
    </row>
    <row r="104" spans="1:52" s="67" customFormat="1" ht="24.75" hidden="1" customHeight="1">
      <c r="A104" s="68">
        <v>99</v>
      </c>
      <c r="B104" s="69" t="s">
        <v>305</v>
      </c>
      <c r="C104" s="88" t="s">
        <v>81</v>
      </c>
      <c r="D104" s="71" t="s">
        <v>95</v>
      </c>
      <c r="E104" s="88" t="s">
        <v>306</v>
      </c>
      <c r="F104" s="92" t="s">
        <v>97</v>
      </c>
      <c r="G104" s="88">
        <v>20230731</v>
      </c>
      <c r="H104" s="88">
        <v>23070943</v>
      </c>
      <c r="I104" s="95" t="s">
        <v>98</v>
      </c>
      <c r="J104" s="88" t="s">
        <v>156</v>
      </c>
      <c r="K104" s="68" t="s">
        <v>99</v>
      </c>
      <c r="L104" s="70" t="s">
        <v>100</v>
      </c>
      <c r="M104" s="88" t="s">
        <v>101</v>
      </c>
      <c r="N104" s="88" t="s">
        <v>102</v>
      </c>
      <c r="O104" s="77">
        <v>1</v>
      </c>
      <c r="P104" s="90">
        <v>45139</v>
      </c>
      <c r="Q104" s="94">
        <f t="shared" si="42"/>
        <v>46234</v>
      </c>
      <c r="R104" s="79">
        <v>36</v>
      </c>
      <c r="S104" s="79">
        <f t="shared" si="25"/>
        <v>3</v>
      </c>
      <c r="T104" s="91">
        <v>60056481.619999997</v>
      </c>
      <c r="U104" s="81"/>
      <c r="V104" s="82">
        <f t="shared" si="43"/>
        <v>60056481.619999997</v>
      </c>
      <c r="W104" s="83">
        <f t="shared" si="44"/>
        <v>1668235.6005555554</v>
      </c>
      <c r="X104" s="83">
        <v>48378832.416111104</v>
      </c>
      <c r="Y104" s="82">
        <v>11677649.203888893</v>
      </c>
      <c r="Z104" s="85">
        <f t="shared" si="26"/>
        <v>1668235.6005555554</v>
      </c>
      <c r="AA104" s="84">
        <f t="shared" si="45"/>
        <v>10009413.603333337</v>
      </c>
      <c r="AB104" s="85">
        <f t="shared" si="27"/>
        <v>1668235.6005555554</v>
      </c>
      <c r="AC104" s="84">
        <f t="shared" si="28"/>
        <v>8341178.0027777813</v>
      </c>
      <c r="AD104" s="85">
        <f t="shared" si="46"/>
        <v>1668235.6005555554</v>
      </c>
      <c r="AE104" s="84">
        <f t="shared" si="29"/>
        <v>6672942.4022222254</v>
      </c>
      <c r="AF104" s="85">
        <f t="shared" si="47"/>
        <v>1668235.6005555554</v>
      </c>
      <c r="AG104" s="84">
        <f t="shared" si="30"/>
        <v>5004706.8016666695</v>
      </c>
      <c r="AH104" s="85"/>
      <c r="AI104" s="84">
        <f t="shared" si="31"/>
        <v>5004706.8016666695</v>
      </c>
      <c r="AJ104" s="85"/>
      <c r="AK104" s="84">
        <f t="shared" si="32"/>
        <v>5004706.8016666695</v>
      </c>
      <c r="AL104" s="85"/>
      <c r="AM104" s="84">
        <f t="shared" si="33"/>
        <v>5004706.8016666695</v>
      </c>
      <c r="AN104" s="85"/>
      <c r="AO104" s="84">
        <f t="shared" si="34"/>
        <v>5004706.8016666695</v>
      </c>
      <c r="AP104" s="85"/>
      <c r="AQ104" s="84">
        <f t="shared" si="35"/>
        <v>5004706.8016666695</v>
      </c>
      <c r="AR104" s="85"/>
      <c r="AS104" s="84">
        <f t="shared" si="36"/>
        <v>5004706.8016666695</v>
      </c>
      <c r="AT104" s="85"/>
      <c r="AU104" s="84">
        <f t="shared" si="37"/>
        <v>5004706.8016666695</v>
      </c>
      <c r="AV104" s="85"/>
      <c r="AW104" s="84">
        <f t="shared" si="38"/>
        <v>5004706.8016666695</v>
      </c>
      <c r="AX104" s="86">
        <f t="shared" si="39"/>
        <v>6672942.4022222217</v>
      </c>
      <c r="AY104" s="87">
        <f t="shared" si="40"/>
        <v>5004706.8016666714</v>
      </c>
      <c r="AZ104" s="65" t="b">
        <f t="shared" si="41"/>
        <v>1</v>
      </c>
    </row>
    <row r="105" spans="1:52" s="67" customFormat="1" ht="24.75" hidden="1" customHeight="1">
      <c r="A105" s="68">
        <v>100</v>
      </c>
      <c r="B105" s="69" t="s">
        <v>307</v>
      </c>
      <c r="C105" s="88" t="s">
        <v>81</v>
      </c>
      <c r="D105" s="71" t="s">
        <v>95</v>
      </c>
      <c r="E105" s="88" t="s">
        <v>308</v>
      </c>
      <c r="F105" s="92" t="s">
        <v>97</v>
      </c>
      <c r="G105" s="88">
        <v>20230731</v>
      </c>
      <c r="H105" s="88">
        <v>23070943</v>
      </c>
      <c r="I105" s="95" t="s">
        <v>98</v>
      </c>
      <c r="J105" s="88" t="s">
        <v>156</v>
      </c>
      <c r="K105" s="68" t="s">
        <v>99</v>
      </c>
      <c r="L105" s="70" t="s">
        <v>100</v>
      </c>
      <c r="M105" s="88" t="s">
        <v>101</v>
      </c>
      <c r="N105" s="88" t="s">
        <v>102</v>
      </c>
      <c r="O105" s="77">
        <v>1</v>
      </c>
      <c r="P105" s="90">
        <v>45139</v>
      </c>
      <c r="Q105" s="94">
        <f t="shared" si="42"/>
        <v>46234</v>
      </c>
      <c r="R105" s="79">
        <v>36</v>
      </c>
      <c r="S105" s="79">
        <f t="shared" si="25"/>
        <v>3</v>
      </c>
      <c r="T105" s="91">
        <v>121619797.98</v>
      </c>
      <c r="U105" s="81"/>
      <c r="V105" s="82">
        <f t="shared" si="43"/>
        <v>121619797.98</v>
      </c>
      <c r="W105" s="83">
        <f t="shared" si="44"/>
        <v>3378327.7216666667</v>
      </c>
      <c r="X105" s="83">
        <v>97971503.928333312</v>
      </c>
      <c r="Y105" s="82">
        <v>23648294.051666692</v>
      </c>
      <c r="Z105" s="85">
        <f t="shared" si="26"/>
        <v>3378327.7216666667</v>
      </c>
      <c r="AA105" s="84">
        <f t="shared" si="45"/>
        <v>20269966.330000024</v>
      </c>
      <c r="AB105" s="85">
        <f t="shared" si="27"/>
        <v>3378327.7216666667</v>
      </c>
      <c r="AC105" s="84">
        <f t="shared" si="28"/>
        <v>16891638.608333357</v>
      </c>
      <c r="AD105" s="85">
        <f t="shared" si="46"/>
        <v>3378327.7216666667</v>
      </c>
      <c r="AE105" s="84">
        <f t="shared" si="29"/>
        <v>13513310.886666689</v>
      </c>
      <c r="AF105" s="85">
        <f t="shared" si="47"/>
        <v>3378327.7216666667</v>
      </c>
      <c r="AG105" s="84">
        <f t="shared" si="30"/>
        <v>10134983.165000021</v>
      </c>
      <c r="AH105" s="85"/>
      <c r="AI105" s="84">
        <f t="shared" si="31"/>
        <v>10134983.165000021</v>
      </c>
      <c r="AJ105" s="85"/>
      <c r="AK105" s="84">
        <f t="shared" si="32"/>
        <v>10134983.165000021</v>
      </c>
      <c r="AL105" s="85"/>
      <c r="AM105" s="84">
        <f t="shared" si="33"/>
        <v>10134983.165000021</v>
      </c>
      <c r="AN105" s="85"/>
      <c r="AO105" s="84">
        <f t="shared" si="34"/>
        <v>10134983.165000021</v>
      </c>
      <c r="AP105" s="85"/>
      <c r="AQ105" s="84">
        <f t="shared" si="35"/>
        <v>10134983.165000021</v>
      </c>
      <c r="AR105" s="85"/>
      <c r="AS105" s="84">
        <f t="shared" si="36"/>
        <v>10134983.165000021</v>
      </c>
      <c r="AT105" s="85"/>
      <c r="AU105" s="84">
        <f t="shared" si="37"/>
        <v>10134983.165000021</v>
      </c>
      <c r="AV105" s="85"/>
      <c r="AW105" s="84">
        <f t="shared" si="38"/>
        <v>10134983.165000021</v>
      </c>
      <c r="AX105" s="86">
        <f t="shared" si="39"/>
        <v>13513310.886666667</v>
      </c>
      <c r="AY105" s="87">
        <f t="shared" si="40"/>
        <v>10134983.165000025</v>
      </c>
      <c r="AZ105" s="65" t="b">
        <f t="shared" si="41"/>
        <v>1</v>
      </c>
    </row>
    <row r="106" spans="1:52" s="67" customFormat="1" ht="24.75" hidden="1" customHeight="1">
      <c r="A106" s="68">
        <v>101</v>
      </c>
      <c r="B106" s="69" t="s">
        <v>309</v>
      </c>
      <c r="C106" s="88" t="s">
        <v>81</v>
      </c>
      <c r="D106" s="71" t="s">
        <v>95</v>
      </c>
      <c r="E106" s="88" t="s">
        <v>310</v>
      </c>
      <c r="F106" s="92" t="s">
        <v>97</v>
      </c>
      <c r="G106" s="88">
        <v>20230731</v>
      </c>
      <c r="H106" s="88">
        <v>23070943</v>
      </c>
      <c r="I106" s="95" t="s">
        <v>98</v>
      </c>
      <c r="J106" s="88" t="s">
        <v>156</v>
      </c>
      <c r="K106" s="68" t="s">
        <v>99</v>
      </c>
      <c r="L106" s="70" t="s">
        <v>100</v>
      </c>
      <c r="M106" s="88" t="s">
        <v>101</v>
      </c>
      <c r="N106" s="88" t="s">
        <v>102</v>
      </c>
      <c r="O106" s="77">
        <v>1</v>
      </c>
      <c r="P106" s="90">
        <v>45139</v>
      </c>
      <c r="Q106" s="94">
        <f t="shared" si="42"/>
        <v>46234</v>
      </c>
      <c r="R106" s="79">
        <v>36</v>
      </c>
      <c r="S106" s="79">
        <f t="shared" si="25"/>
        <v>3</v>
      </c>
      <c r="T106" s="91">
        <v>160012165.93000001</v>
      </c>
      <c r="U106" s="81"/>
      <c r="V106" s="82">
        <f t="shared" si="43"/>
        <v>160012165.93000001</v>
      </c>
      <c r="W106" s="83">
        <f t="shared" si="44"/>
        <v>4444782.3869444449</v>
      </c>
      <c r="X106" s="83">
        <v>128898689.22138885</v>
      </c>
      <c r="Y106" s="82">
        <v>31113476.708611153</v>
      </c>
      <c r="Z106" s="85">
        <f t="shared" si="26"/>
        <v>4444782.3869444449</v>
      </c>
      <c r="AA106" s="84">
        <f t="shared" si="45"/>
        <v>26668694.321666718</v>
      </c>
      <c r="AB106" s="85">
        <f t="shared" si="27"/>
        <v>4444782.3869444449</v>
      </c>
      <c r="AC106" s="84">
        <f t="shared" si="28"/>
        <v>22223911.934722275</v>
      </c>
      <c r="AD106" s="85">
        <f t="shared" si="46"/>
        <v>4444782.3869444449</v>
      </c>
      <c r="AE106" s="84">
        <f t="shared" si="29"/>
        <v>17779129.547777832</v>
      </c>
      <c r="AF106" s="85">
        <f t="shared" si="47"/>
        <v>4444782.3869444449</v>
      </c>
      <c r="AG106" s="84">
        <f t="shared" si="30"/>
        <v>13334347.160833387</v>
      </c>
      <c r="AH106" s="85"/>
      <c r="AI106" s="84">
        <f t="shared" si="31"/>
        <v>13334347.160833387</v>
      </c>
      <c r="AJ106" s="85"/>
      <c r="AK106" s="84">
        <f t="shared" si="32"/>
        <v>13334347.160833387</v>
      </c>
      <c r="AL106" s="85"/>
      <c r="AM106" s="84">
        <f t="shared" si="33"/>
        <v>13334347.160833387</v>
      </c>
      <c r="AN106" s="85"/>
      <c r="AO106" s="84">
        <f t="shared" si="34"/>
        <v>13334347.160833387</v>
      </c>
      <c r="AP106" s="85"/>
      <c r="AQ106" s="84">
        <f t="shared" si="35"/>
        <v>13334347.160833387</v>
      </c>
      <c r="AR106" s="85"/>
      <c r="AS106" s="84">
        <f t="shared" si="36"/>
        <v>13334347.160833387</v>
      </c>
      <c r="AT106" s="85"/>
      <c r="AU106" s="84">
        <f t="shared" si="37"/>
        <v>13334347.160833387</v>
      </c>
      <c r="AV106" s="85"/>
      <c r="AW106" s="84">
        <f t="shared" si="38"/>
        <v>13334347.160833387</v>
      </c>
      <c r="AX106" s="86">
        <f t="shared" si="39"/>
        <v>17779129.547777779</v>
      </c>
      <c r="AY106" s="87">
        <f t="shared" si="40"/>
        <v>13334347.160833381</v>
      </c>
      <c r="AZ106" s="65" t="b">
        <f t="shared" si="41"/>
        <v>1</v>
      </c>
    </row>
    <row r="107" spans="1:52" s="67" customFormat="1" ht="24.75" hidden="1" customHeight="1">
      <c r="A107" s="68">
        <v>102</v>
      </c>
      <c r="B107" s="69" t="s">
        <v>311</v>
      </c>
      <c r="C107" s="88" t="s">
        <v>81</v>
      </c>
      <c r="D107" s="71" t="s">
        <v>95</v>
      </c>
      <c r="E107" s="88" t="s">
        <v>312</v>
      </c>
      <c r="F107" s="92" t="s">
        <v>97</v>
      </c>
      <c r="G107" s="88">
        <v>20230731</v>
      </c>
      <c r="H107" s="88">
        <v>23070943</v>
      </c>
      <c r="I107" s="95" t="s">
        <v>98</v>
      </c>
      <c r="J107" s="88" t="s">
        <v>156</v>
      </c>
      <c r="K107" s="73" t="s">
        <v>99</v>
      </c>
      <c r="L107" s="70" t="s">
        <v>100</v>
      </c>
      <c r="M107" s="88" t="s">
        <v>101</v>
      </c>
      <c r="N107" s="88" t="s">
        <v>102</v>
      </c>
      <c r="O107" s="77">
        <v>1</v>
      </c>
      <c r="P107" s="90">
        <v>45139</v>
      </c>
      <c r="Q107" s="94">
        <f t="shared" si="42"/>
        <v>46234</v>
      </c>
      <c r="R107" s="79">
        <v>36</v>
      </c>
      <c r="S107" s="79">
        <f t="shared" si="25"/>
        <v>3</v>
      </c>
      <c r="T107" s="91">
        <v>160012165.93000001</v>
      </c>
      <c r="U107" s="81"/>
      <c r="V107" s="82">
        <f t="shared" si="43"/>
        <v>160012165.93000001</v>
      </c>
      <c r="W107" s="83">
        <f t="shared" si="44"/>
        <v>4444782.3869444449</v>
      </c>
      <c r="X107" s="83">
        <v>128898689.22138885</v>
      </c>
      <c r="Y107" s="82">
        <v>31113476.708611153</v>
      </c>
      <c r="Z107" s="85">
        <f t="shared" si="26"/>
        <v>4444782.3869444449</v>
      </c>
      <c r="AA107" s="84">
        <f t="shared" si="45"/>
        <v>26668694.321666718</v>
      </c>
      <c r="AB107" s="85">
        <f t="shared" si="27"/>
        <v>4444782.3869444449</v>
      </c>
      <c r="AC107" s="84">
        <f t="shared" si="28"/>
        <v>22223911.934722275</v>
      </c>
      <c r="AD107" s="85">
        <f t="shared" si="46"/>
        <v>4444782.3869444449</v>
      </c>
      <c r="AE107" s="84">
        <f t="shared" si="29"/>
        <v>17779129.547777832</v>
      </c>
      <c r="AF107" s="85">
        <f t="shared" si="47"/>
        <v>4444782.3869444449</v>
      </c>
      <c r="AG107" s="84">
        <f t="shared" si="30"/>
        <v>13334347.160833387</v>
      </c>
      <c r="AH107" s="85"/>
      <c r="AI107" s="84">
        <f t="shared" si="31"/>
        <v>13334347.160833387</v>
      </c>
      <c r="AJ107" s="85"/>
      <c r="AK107" s="84">
        <f t="shared" si="32"/>
        <v>13334347.160833387</v>
      </c>
      <c r="AL107" s="85"/>
      <c r="AM107" s="84">
        <f t="shared" si="33"/>
        <v>13334347.160833387</v>
      </c>
      <c r="AN107" s="85"/>
      <c r="AO107" s="84">
        <f t="shared" si="34"/>
        <v>13334347.160833387</v>
      </c>
      <c r="AP107" s="85"/>
      <c r="AQ107" s="84">
        <f t="shared" si="35"/>
        <v>13334347.160833387</v>
      </c>
      <c r="AR107" s="85"/>
      <c r="AS107" s="84">
        <f t="shared" si="36"/>
        <v>13334347.160833387</v>
      </c>
      <c r="AT107" s="85"/>
      <c r="AU107" s="84">
        <f t="shared" si="37"/>
        <v>13334347.160833387</v>
      </c>
      <c r="AV107" s="85"/>
      <c r="AW107" s="84">
        <f t="shared" si="38"/>
        <v>13334347.160833387</v>
      </c>
      <c r="AX107" s="86">
        <f t="shared" si="39"/>
        <v>17779129.547777779</v>
      </c>
      <c r="AY107" s="87">
        <f t="shared" si="40"/>
        <v>13334347.160833381</v>
      </c>
      <c r="AZ107" s="65" t="b">
        <f t="shared" si="41"/>
        <v>1</v>
      </c>
    </row>
    <row r="108" spans="1:52" s="67" customFormat="1" ht="24.75" hidden="1" customHeight="1">
      <c r="A108" s="68">
        <v>103</v>
      </c>
      <c r="B108" s="69" t="s">
        <v>313</v>
      </c>
      <c r="C108" s="88" t="s">
        <v>81</v>
      </c>
      <c r="D108" s="71" t="s">
        <v>95</v>
      </c>
      <c r="E108" s="88" t="s">
        <v>314</v>
      </c>
      <c r="F108" s="92" t="s">
        <v>97</v>
      </c>
      <c r="G108" s="88">
        <v>20230731</v>
      </c>
      <c r="H108" s="88">
        <v>23070943</v>
      </c>
      <c r="I108" s="95" t="s">
        <v>98</v>
      </c>
      <c r="J108" s="88" t="s">
        <v>156</v>
      </c>
      <c r="K108" s="73" t="s">
        <v>99</v>
      </c>
      <c r="L108" s="70" t="s">
        <v>100</v>
      </c>
      <c r="M108" s="88" t="s">
        <v>101</v>
      </c>
      <c r="N108" s="88" t="s">
        <v>102</v>
      </c>
      <c r="O108" s="77">
        <v>1</v>
      </c>
      <c r="P108" s="90">
        <v>45139</v>
      </c>
      <c r="Q108" s="94">
        <f t="shared" si="42"/>
        <v>46234</v>
      </c>
      <c r="R108" s="79">
        <v>36</v>
      </c>
      <c r="S108" s="79">
        <f t="shared" si="25"/>
        <v>3</v>
      </c>
      <c r="T108" s="91">
        <v>160012165.93000001</v>
      </c>
      <c r="U108" s="81"/>
      <c r="V108" s="82">
        <f t="shared" si="43"/>
        <v>160012165.93000001</v>
      </c>
      <c r="W108" s="83">
        <f t="shared" si="44"/>
        <v>4444782.3869444449</v>
      </c>
      <c r="X108" s="83">
        <v>128898689.22138885</v>
      </c>
      <c r="Y108" s="82">
        <v>31113476.708611153</v>
      </c>
      <c r="Z108" s="85">
        <f t="shared" si="26"/>
        <v>4444782.3869444449</v>
      </c>
      <c r="AA108" s="84">
        <f t="shared" si="45"/>
        <v>26668694.321666718</v>
      </c>
      <c r="AB108" s="85">
        <f t="shared" si="27"/>
        <v>4444782.3869444449</v>
      </c>
      <c r="AC108" s="84">
        <f t="shared" si="28"/>
        <v>22223911.934722275</v>
      </c>
      <c r="AD108" s="85">
        <f t="shared" si="46"/>
        <v>4444782.3869444449</v>
      </c>
      <c r="AE108" s="84">
        <f t="shared" si="29"/>
        <v>17779129.547777832</v>
      </c>
      <c r="AF108" s="85">
        <f t="shared" si="47"/>
        <v>4444782.3869444449</v>
      </c>
      <c r="AG108" s="84">
        <f t="shared" si="30"/>
        <v>13334347.160833387</v>
      </c>
      <c r="AH108" s="85"/>
      <c r="AI108" s="84">
        <f t="shared" si="31"/>
        <v>13334347.160833387</v>
      </c>
      <c r="AJ108" s="85"/>
      <c r="AK108" s="84">
        <f t="shared" si="32"/>
        <v>13334347.160833387</v>
      </c>
      <c r="AL108" s="85"/>
      <c r="AM108" s="84">
        <f t="shared" si="33"/>
        <v>13334347.160833387</v>
      </c>
      <c r="AN108" s="85"/>
      <c r="AO108" s="84">
        <f t="shared" si="34"/>
        <v>13334347.160833387</v>
      </c>
      <c r="AP108" s="85"/>
      <c r="AQ108" s="84">
        <f t="shared" si="35"/>
        <v>13334347.160833387</v>
      </c>
      <c r="AR108" s="85"/>
      <c r="AS108" s="84">
        <f t="shared" si="36"/>
        <v>13334347.160833387</v>
      </c>
      <c r="AT108" s="85"/>
      <c r="AU108" s="84">
        <f t="shared" si="37"/>
        <v>13334347.160833387</v>
      </c>
      <c r="AV108" s="85"/>
      <c r="AW108" s="84">
        <f t="shared" si="38"/>
        <v>13334347.160833387</v>
      </c>
      <c r="AX108" s="86">
        <f t="shared" si="39"/>
        <v>17779129.547777779</v>
      </c>
      <c r="AY108" s="87">
        <f t="shared" si="40"/>
        <v>13334347.160833381</v>
      </c>
      <c r="AZ108" s="65" t="b">
        <f t="shared" si="41"/>
        <v>1</v>
      </c>
    </row>
    <row r="109" spans="1:52" s="67" customFormat="1" ht="24.75" hidden="1" customHeight="1">
      <c r="A109" s="68">
        <v>104</v>
      </c>
      <c r="B109" s="69" t="s">
        <v>315</v>
      </c>
      <c r="C109" s="88" t="s">
        <v>81</v>
      </c>
      <c r="D109" s="71" t="s">
        <v>95</v>
      </c>
      <c r="E109" s="88" t="s">
        <v>316</v>
      </c>
      <c r="F109" s="92" t="s">
        <v>97</v>
      </c>
      <c r="G109" s="88">
        <v>20230731</v>
      </c>
      <c r="H109" s="88">
        <v>23070943</v>
      </c>
      <c r="I109" s="95" t="s">
        <v>98</v>
      </c>
      <c r="J109" s="88" t="s">
        <v>156</v>
      </c>
      <c r="K109" s="73" t="s">
        <v>99</v>
      </c>
      <c r="L109" s="70" t="s">
        <v>100</v>
      </c>
      <c r="M109" s="88" t="s">
        <v>101</v>
      </c>
      <c r="N109" s="88" t="s">
        <v>102</v>
      </c>
      <c r="O109" s="77">
        <v>1</v>
      </c>
      <c r="P109" s="90">
        <v>45139</v>
      </c>
      <c r="Q109" s="94">
        <f t="shared" si="42"/>
        <v>46234</v>
      </c>
      <c r="R109" s="79">
        <v>36</v>
      </c>
      <c r="S109" s="79">
        <f t="shared" si="25"/>
        <v>3</v>
      </c>
      <c r="T109" s="91">
        <v>155012165.93000001</v>
      </c>
      <c r="U109" s="81"/>
      <c r="V109" s="82">
        <f t="shared" si="43"/>
        <v>155012165.93000001</v>
      </c>
      <c r="W109" s="83">
        <f t="shared" si="44"/>
        <v>4305893.4980555559</v>
      </c>
      <c r="X109" s="83">
        <v>124870911.44361109</v>
      </c>
      <c r="Y109" s="82">
        <v>30141254.486388914</v>
      </c>
      <c r="Z109" s="85">
        <f t="shared" si="26"/>
        <v>4305893.4980555559</v>
      </c>
      <c r="AA109" s="84">
        <f t="shared" si="45"/>
        <v>25835360.988333367</v>
      </c>
      <c r="AB109" s="85">
        <f t="shared" si="27"/>
        <v>4305893.4980555559</v>
      </c>
      <c r="AC109" s="84">
        <f t="shared" si="28"/>
        <v>21529467.490277812</v>
      </c>
      <c r="AD109" s="85">
        <f t="shared" si="46"/>
        <v>4305893.4980555559</v>
      </c>
      <c r="AE109" s="84">
        <f t="shared" si="29"/>
        <v>17223573.992222257</v>
      </c>
      <c r="AF109" s="85">
        <f t="shared" si="47"/>
        <v>4305893.4980555559</v>
      </c>
      <c r="AG109" s="84">
        <f t="shared" si="30"/>
        <v>12917680.494166702</v>
      </c>
      <c r="AH109" s="85"/>
      <c r="AI109" s="84">
        <f t="shared" si="31"/>
        <v>12917680.494166702</v>
      </c>
      <c r="AJ109" s="85"/>
      <c r="AK109" s="84">
        <f t="shared" si="32"/>
        <v>12917680.494166702</v>
      </c>
      <c r="AL109" s="85"/>
      <c r="AM109" s="84">
        <f t="shared" si="33"/>
        <v>12917680.494166702</v>
      </c>
      <c r="AN109" s="85"/>
      <c r="AO109" s="84">
        <f t="shared" si="34"/>
        <v>12917680.494166702</v>
      </c>
      <c r="AP109" s="85"/>
      <c r="AQ109" s="84">
        <f t="shared" si="35"/>
        <v>12917680.494166702</v>
      </c>
      <c r="AR109" s="85"/>
      <c r="AS109" s="84">
        <f t="shared" si="36"/>
        <v>12917680.494166702</v>
      </c>
      <c r="AT109" s="85"/>
      <c r="AU109" s="84">
        <f t="shared" si="37"/>
        <v>12917680.494166702</v>
      </c>
      <c r="AV109" s="85"/>
      <c r="AW109" s="84">
        <f t="shared" si="38"/>
        <v>12917680.494166702</v>
      </c>
      <c r="AX109" s="86">
        <f t="shared" si="39"/>
        <v>17223573.992222223</v>
      </c>
      <c r="AY109" s="87">
        <f t="shared" si="40"/>
        <v>12917680.494166698</v>
      </c>
      <c r="AZ109" s="65" t="b">
        <f t="shared" si="41"/>
        <v>1</v>
      </c>
    </row>
    <row r="110" spans="1:52" s="67" customFormat="1" ht="24.75" hidden="1" customHeight="1">
      <c r="A110" s="68">
        <v>105</v>
      </c>
      <c r="B110" s="69" t="s">
        <v>317</v>
      </c>
      <c r="C110" s="88" t="s">
        <v>81</v>
      </c>
      <c r="D110" s="71" t="s">
        <v>95</v>
      </c>
      <c r="E110" s="88" t="s">
        <v>318</v>
      </c>
      <c r="F110" s="92" t="s">
        <v>97</v>
      </c>
      <c r="G110" s="88">
        <v>20230731</v>
      </c>
      <c r="H110" s="88">
        <v>23070943</v>
      </c>
      <c r="I110" s="95" t="s">
        <v>98</v>
      </c>
      <c r="J110" s="88" t="s">
        <v>156</v>
      </c>
      <c r="K110" s="68" t="s">
        <v>99</v>
      </c>
      <c r="L110" s="70" t="s">
        <v>100</v>
      </c>
      <c r="M110" s="88" t="s">
        <v>101</v>
      </c>
      <c r="N110" s="88" t="s">
        <v>102</v>
      </c>
      <c r="O110" s="77">
        <v>1</v>
      </c>
      <c r="P110" s="90">
        <v>45139</v>
      </c>
      <c r="Q110" s="94">
        <f t="shared" si="42"/>
        <v>46234</v>
      </c>
      <c r="R110" s="79">
        <v>36</v>
      </c>
      <c r="S110" s="79">
        <f t="shared" si="25"/>
        <v>3</v>
      </c>
      <c r="T110" s="91">
        <v>155012165.93000001</v>
      </c>
      <c r="U110" s="81"/>
      <c r="V110" s="82">
        <f t="shared" si="43"/>
        <v>155012165.93000001</v>
      </c>
      <c r="W110" s="83">
        <f t="shared" si="44"/>
        <v>4305893.4980555559</v>
      </c>
      <c r="X110" s="83">
        <v>124870911.44361109</v>
      </c>
      <c r="Y110" s="82">
        <v>30141254.486388914</v>
      </c>
      <c r="Z110" s="85">
        <f t="shared" si="26"/>
        <v>4305893.4980555559</v>
      </c>
      <c r="AA110" s="84">
        <f t="shared" si="45"/>
        <v>25835360.988333367</v>
      </c>
      <c r="AB110" s="85">
        <f t="shared" si="27"/>
        <v>4305893.4980555559</v>
      </c>
      <c r="AC110" s="84">
        <f t="shared" si="28"/>
        <v>21529467.490277812</v>
      </c>
      <c r="AD110" s="85">
        <f t="shared" si="46"/>
        <v>4305893.4980555559</v>
      </c>
      <c r="AE110" s="84">
        <f t="shared" si="29"/>
        <v>17223573.992222257</v>
      </c>
      <c r="AF110" s="85">
        <f t="shared" si="47"/>
        <v>4305893.4980555559</v>
      </c>
      <c r="AG110" s="84">
        <f t="shared" si="30"/>
        <v>12917680.494166702</v>
      </c>
      <c r="AH110" s="85"/>
      <c r="AI110" s="84">
        <f t="shared" si="31"/>
        <v>12917680.494166702</v>
      </c>
      <c r="AJ110" s="85"/>
      <c r="AK110" s="84">
        <f t="shared" si="32"/>
        <v>12917680.494166702</v>
      </c>
      <c r="AL110" s="85"/>
      <c r="AM110" s="84">
        <f t="shared" si="33"/>
        <v>12917680.494166702</v>
      </c>
      <c r="AN110" s="85"/>
      <c r="AO110" s="84">
        <f t="shared" si="34"/>
        <v>12917680.494166702</v>
      </c>
      <c r="AP110" s="85"/>
      <c r="AQ110" s="84">
        <f t="shared" si="35"/>
        <v>12917680.494166702</v>
      </c>
      <c r="AR110" s="85"/>
      <c r="AS110" s="84">
        <f t="shared" si="36"/>
        <v>12917680.494166702</v>
      </c>
      <c r="AT110" s="85"/>
      <c r="AU110" s="84">
        <f t="shared" si="37"/>
        <v>12917680.494166702</v>
      </c>
      <c r="AV110" s="85"/>
      <c r="AW110" s="84">
        <f t="shared" si="38"/>
        <v>12917680.494166702</v>
      </c>
      <c r="AX110" s="86">
        <f t="shared" si="39"/>
        <v>17223573.992222223</v>
      </c>
      <c r="AY110" s="87">
        <f t="shared" si="40"/>
        <v>12917680.494166698</v>
      </c>
      <c r="AZ110" s="65" t="b">
        <f t="shared" si="41"/>
        <v>1</v>
      </c>
    </row>
    <row r="111" spans="1:52" s="67" customFormat="1" ht="24.75" hidden="1" customHeight="1">
      <c r="A111" s="68">
        <v>106</v>
      </c>
      <c r="B111" s="69" t="s">
        <v>319</v>
      </c>
      <c r="C111" s="88" t="s">
        <v>81</v>
      </c>
      <c r="D111" s="71" t="s">
        <v>95</v>
      </c>
      <c r="E111" s="88" t="s">
        <v>320</v>
      </c>
      <c r="F111" s="92" t="s">
        <v>97</v>
      </c>
      <c r="G111" s="88">
        <v>20230731</v>
      </c>
      <c r="H111" s="88">
        <v>23070943</v>
      </c>
      <c r="I111" s="95" t="s">
        <v>98</v>
      </c>
      <c r="J111" s="88" t="s">
        <v>156</v>
      </c>
      <c r="K111" s="68" t="s">
        <v>99</v>
      </c>
      <c r="L111" s="70" t="s">
        <v>100</v>
      </c>
      <c r="M111" s="88" t="s">
        <v>101</v>
      </c>
      <c r="N111" s="88" t="s">
        <v>102</v>
      </c>
      <c r="O111" s="77">
        <v>1</v>
      </c>
      <c r="P111" s="90">
        <v>45139</v>
      </c>
      <c r="Q111" s="94">
        <f t="shared" si="42"/>
        <v>46234</v>
      </c>
      <c r="R111" s="79">
        <v>36</v>
      </c>
      <c r="S111" s="79">
        <f t="shared" si="25"/>
        <v>3</v>
      </c>
      <c r="T111" s="91">
        <v>155012165.93000001</v>
      </c>
      <c r="U111" s="81"/>
      <c r="V111" s="82">
        <f t="shared" si="43"/>
        <v>155012165.93000001</v>
      </c>
      <c r="W111" s="83">
        <f t="shared" si="44"/>
        <v>4305893.4980555559</v>
      </c>
      <c r="X111" s="83">
        <v>124870911.44361109</v>
      </c>
      <c r="Y111" s="82">
        <v>30141254.486388914</v>
      </c>
      <c r="Z111" s="85">
        <f t="shared" si="26"/>
        <v>4305893.4980555559</v>
      </c>
      <c r="AA111" s="84">
        <f t="shared" si="45"/>
        <v>25835360.988333367</v>
      </c>
      <c r="AB111" s="85">
        <f t="shared" si="27"/>
        <v>4305893.4980555559</v>
      </c>
      <c r="AC111" s="84">
        <f t="shared" si="28"/>
        <v>21529467.490277812</v>
      </c>
      <c r="AD111" s="85">
        <f t="shared" si="46"/>
        <v>4305893.4980555559</v>
      </c>
      <c r="AE111" s="84">
        <f t="shared" si="29"/>
        <v>17223573.992222257</v>
      </c>
      <c r="AF111" s="85">
        <f t="shared" si="47"/>
        <v>4305893.4980555559</v>
      </c>
      <c r="AG111" s="84">
        <f t="shared" si="30"/>
        <v>12917680.494166702</v>
      </c>
      <c r="AH111" s="85"/>
      <c r="AI111" s="84">
        <f t="shared" si="31"/>
        <v>12917680.494166702</v>
      </c>
      <c r="AJ111" s="85"/>
      <c r="AK111" s="84">
        <f t="shared" si="32"/>
        <v>12917680.494166702</v>
      </c>
      <c r="AL111" s="85"/>
      <c r="AM111" s="84">
        <f t="shared" si="33"/>
        <v>12917680.494166702</v>
      </c>
      <c r="AN111" s="85"/>
      <c r="AO111" s="84">
        <f t="shared" si="34"/>
        <v>12917680.494166702</v>
      </c>
      <c r="AP111" s="85"/>
      <c r="AQ111" s="84">
        <f t="shared" si="35"/>
        <v>12917680.494166702</v>
      </c>
      <c r="AR111" s="85"/>
      <c r="AS111" s="84">
        <f t="shared" si="36"/>
        <v>12917680.494166702</v>
      </c>
      <c r="AT111" s="85"/>
      <c r="AU111" s="84">
        <f t="shared" si="37"/>
        <v>12917680.494166702</v>
      </c>
      <c r="AV111" s="85"/>
      <c r="AW111" s="84">
        <f t="shared" si="38"/>
        <v>12917680.494166702</v>
      </c>
      <c r="AX111" s="86">
        <f t="shared" si="39"/>
        <v>17223573.992222223</v>
      </c>
      <c r="AY111" s="87">
        <f t="shared" si="40"/>
        <v>12917680.494166698</v>
      </c>
      <c r="AZ111" s="65" t="b">
        <f t="shared" si="41"/>
        <v>1</v>
      </c>
    </row>
    <row r="112" spans="1:52" s="67" customFormat="1" ht="24.75" hidden="1" customHeight="1">
      <c r="A112" s="68">
        <v>107</v>
      </c>
      <c r="B112" s="69" t="s">
        <v>321</v>
      </c>
      <c r="C112" s="88" t="s">
        <v>81</v>
      </c>
      <c r="D112" s="71" t="s">
        <v>95</v>
      </c>
      <c r="E112" s="88" t="s">
        <v>322</v>
      </c>
      <c r="F112" s="92" t="s">
        <v>97</v>
      </c>
      <c r="G112" s="88">
        <v>20230731</v>
      </c>
      <c r="H112" s="88">
        <v>23070943</v>
      </c>
      <c r="I112" s="95" t="s">
        <v>98</v>
      </c>
      <c r="J112" s="88" t="s">
        <v>156</v>
      </c>
      <c r="K112" s="68" t="s">
        <v>99</v>
      </c>
      <c r="L112" s="70" t="s">
        <v>100</v>
      </c>
      <c r="M112" s="88" t="s">
        <v>101</v>
      </c>
      <c r="N112" s="88" t="s">
        <v>102</v>
      </c>
      <c r="O112" s="77">
        <v>1</v>
      </c>
      <c r="P112" s="90">
        <v>45139</v>
      </c>
      <c r="Q112" s="94">
        <f t="shared" si="42"/>
        <v>46234</v>
      </c>
      <c r="R112" s="79">
        <v>36</v>
      </c>
      <c r="S112" s="79">
        <f t="shared" si="25"/>
        <v>3</v>
      </c>
      <c r="T112" s="91">
        <v>155012165.93000001</v>
      </c>
      <c r="U112" s="81"/>
      <c r="V112" s="82">
        <f t="shared" si="43"/>
        <v>155012165.93000001</v>
      </c>
      <c r="W112" s="83">
        <f t="shared" si="44"/>
        <v>4305893.4980555559</v>
      </c>
      <c r="X112" s="83">
        <v>124870911.44361109</v>
      </c>
      <c r="Y112" s="82">
        <v>30141254.486388914</v>
      </c>
      <c r="Z112" s="85">
        <f t="shared" si="26"/>
        <v>4305893.4980555559</v>
      </c>
      <c r="AA112" s="84">
        <f t="shared" si="45"/>
        <v>25835360.988333367</v>
      </c>
      <c r="AB112" s="85">
        <f t="shared" si="27"/>
        <v>4305893.4980555559</v>
      </c>
      <c r="AC112" s="84">
        <f t="shared" si="28"/>
        <v>21529467.490277812</v>
      </c>
      <c r="AD112" s="85">
        <f t="shared" si="46"/>
        <v>4305893.4980555559</v>
      </c>
      <c r="AE112" s="84">
        <f t="shared" si="29"/>
        <v>17223573.992222257</v>
      </c>
      <c r="AF112" s="85">
        <f t="shared" si="47"/>
        <v>4305893.4980555559</v>
      </c>
      <c r="AG112" s="84">
        <f t="shared" si="30"/>
        <v>12917680.494166702</v>
      </c>
      <c r="AH112" s="85"/>
      <c r="AI112" s="84">
        <f t="shared" si="31"/>
        <v>12917680.494166702</v>
      </c>
      <c r="AJ112" s="85"/>
      <c r="AK112" s="84">
        <f t="shared" si="32"/>
        <v>12917680.494166702</v>
      </c>
      <c r="AL112" s="85"/>
      <c r="AM112" s="84">
        <f t="shared" si="33"/>
        <v>12917680.494166702</v>
      </c>
      <c r="AN112" s="85"/>
      <c r="AO112" s="84">
        <f t="shared" si="34"/>
        <v>12917680.494166702</v>
      </c>
      <c r="AP112" s="85"/>
      <c r="AQ112" s="84">
        <f t="shared" si="35"/>
        <v>12917680.494166702</v>
      </c>
      <c r="AR112" s="85"/>
      <c r="AS112" s="84">
        <f t="shared" si="36"/>
        <v>12917680.494166702</v>
      </c>
      <c r="AT112" s="85"/>
      <c r="AU112" s="84">
        <f t="shared" si="37"/>
        <v>12917680.494166702</v>
      </c>
      <c r="AV112" s="85"/>
      <c r="AW112" s="84">
        <f t="shared" si="38"/>
        <v>12917680.494166702</v>
      </c>
      <c r="AX112" s="86">
        <f t="shared" si="39"/>
        <v>17223573.992222223</v>
      </c>
      <c r="AY112" s="87">
        <f t="shared" si="40"/>
        <v>12917680.494166698</v>
      </c>
      <c r="AZ112" s="65" t="b">
        <f t="shared" si="41"/>
        <v>1</v>
      </c>
    </row>
    <row r="113" spans="1:52" s="67" customFormat="1" ht="24.75" hidden="1" customHeight="1">
      <c r="A113" s="68">
        <v>108</v>
      </c>
      <c r="B113" s="69" t="s">
        <v>323</v>
      </c>
      <c r="C113" s="88"/>
      <c r="D113" s="71" t="s">
        <v>82</v>
      </c>
      <c r="E113" s="88" t="s">
        <v>324</v>
      </c>
      <c r="F113" s="89" t="s">
        <v>97</v>
      </c>
      <c r="G113" s="88">
        <v>20230731</v>
      </c>
      <c r="H113" s="88">
        <v>23070561</v>
      </c>
      <c r="I113" s="74" t="s">
        <v>66</v>
      </c>
      <c r="J113" s="88" t="s">
        <v>67</v>
      </c>
      <c r="K113" s="68" t="s">
        <v>86</v>
      </c>
      <c r="L113" s="70" t="s">
        <v>87</v>
      </c>
      <c r="M113" s="88" t="s">
        <v>325</v>
      </c>
      <c r="N113" s="88" t="s">
        <v>326</v>
      </c>
      <c r="O113" s="77">
        <v>1</v>
      </c>
      <c r="P113" s="90">
        <v>45139</v>
      </c>
      <c r="Q113" s="94">
        <f t="shared" si="42"/>
        <v>46234</v>
      </c>
      <c r="R113" s="79">
        <v>36</v>
      </c>
      <c r="S113" s="79">
        <f t="shared" si="25"/>
        <v>3</v>
      </c>
      <c r="T113" s="91">
        <v>169905200</v>
      </c>
      <c r="U113" s="81"/>
      <c r="V113" s="82">
        <f t="shared" si="43"/>
        <v>169905200</v>
      </c>
      <c r="W113" s="83">
        <f t="shared" si="44"/>
        <v>4719588.888888889</v>
      </c>
      <c r="X113" s="83">
        <v>136868077.77777779</v>
      </c>
      <c r="Y113" s="82">
        <v>33037122.222222202</v>
      </c>
      <c r="Z113" s="85">
        <f t="shared" si="26"/>
        <v>4719588.888888889</v>
      </c>
      <c r="AA113" s="84">
        <f t="shared" si="45"/>
        <v>28317533.333333321</v>
      </c>
      <c r="AB113" s="85">
        <f t="shared" si="27"/>
        <v>4719588.888888889</v>
      </c>
      <c r="AC113" s="84">
        <f t="shared" si="28"/>
        <v>23597944.444444433</v>
      </c>
      <c r="AD113" s="85">
        <f t="shared" si="46"/>
        <v>4719588.888888889</v>
      </c>
      <c r="AE113" s="84">
        <f t="shared" si="29"/>
        <v>18878355.555555545</v>
      </c>
      <c r="AF113" s="85">
        <f t="shared" si="47"/>
        <v>4719588.888888889</v>
      </c>
      <c r="AG113" s="84">
        <f t="shared" si="30"/>
        <v>14158766.666666657</v>
      </c>
      <c r="AH113" s="85"/>
      <c r="AI113" s="84">
        <f t="shared" si="31"/>
        <v>14158766.666666657</v>
      </c>
      <c r="AJ113" s="85"/>
      <c r="AK113" s="84">
        <f t="shared" si="32"/>
        <v>14158766.666666657</v>
      </c>
      <c r="AL113" s="85"/>
      <c r="AM113" s="84">
        <f t="shared" si="33"/>
        <v>14158766.666666657</v>
      </c>
      <c r="AN113" s="85"/>
      <c r="AO113" s="84">
        <f t="shared" si="34"/>
        <v>14158766.666666657</v>
      </c>
      <c r="AP113" s="85"/>
      <c r="AQ113" s="84">
        <f t="shared" si="35"/>
        <v>14158766.666666657</v>
      </c>
      <c r="AR113" s="85"/>
      <c r="AS113" s="84">
        <f t="shared" si="36"/>
        <v>14158766.666666657</v>
      </c>
      <c r="AT113" s="85"/>
      <c r="AU113" s="84">
        <f t="shared" si="37"/>
        <v>14158766.666666657</v>
      </c>
      <c r="AV113" s="85"/>
      <c r="AW113" s="84">
        <f t="shared" si="38"/>
        <v>14158766.666666657</v>
      </c>
      <c r="AX113" s="86">
        <f t="shared" si="39"/>
        <v>18878355.555555556</v>
      </c>
      <c r="AY113" s="87">
        <f t="shared" si="40"/>
        <v>14158766.666666653</v>
      </c>
      <c r="AZ113" s="65" t="b">
        <f t="shared" si="41"/>
        <v>1</v>
      </c>
    </row>
    <row r="114" spans="1:52" s="67" customFormat="1" ht="24.75" hidden="1" customHeight="1">
      <c r="A114" s="68">
        <v>109</v>
      </c>
      <c r="B114" s="69" t="s">
        <v>327</v>
      </c>
      <c r="C114" s="88"/>
      <c r="D114" s="71" t="s">
        <v>82</v>
      </c>
      <c r="E114" s="88" t="s">
        <v>328</v>
      </c>
      <c r="F114" s="89" t="s">
        <v>97</v>
      </c>
      <c r="G114" s="88">
        <v>20230731</v>
      </c>
      <c r="H114" s="88">
        <v>23070561</v>
      </c>
      <c r="I114" s="74" t="s">
        <v>66</v>
      </c>
      <c r="J114" s="88" t="s">
        <v>67</v>
      </c>
      <c r="K114" s="73" t="s">
        <v>86</v>
      </c>
      <c r="L114" s="70" t="s">
        <v>87</v>
      </c>
      <c r="M114" s="88" t="s">
        <v>325</v>
      </c>
      <c r="N114" s="88" t="s">
        <v>326</v>
      </c>
      <c r="O114" s="77">
        <v>1</v>
      </c>
      <c r="P114" s="90">
        <v>45139</v>
      </c>
      <c r="Q114" s="94">
        <f t="shared" si="42"/>
        <v>46234</v>
      </c>
      <c r="R114" s="79">
        <v>36</v>
      </c>
      <c r="S114" s="79">
        <f t="shared" si="25"/>
        <v>3</v>
      </c>
      <c r="T114" s="91">
        <v>169905200</v>
      </c>
      <c r="U114" s="81"/>
      <c r="V114" s="82">
        <f t="shared" si="43"/>
        <v>169905200</v>
      </c>
      <c r="W114" s="83">
        <f t="shared" si="44"/>
        <v>4719588.888888889</v>
      </c>
      <c r="X114" s="83">
        <v>136868077.77777779</v>
      </c>
      <c r="Y114" s="82">
        <v>33037122.222222202</v>
      </c>
      <c r="Z114" s="85">
        <f t="shared" si="26"/>
        <v>4719588.888888889</v>
      </c>
      <c r="AA114" s="84">
        <f t="shared" si="45"/>
        <v>28317533.333333321</v>
      </c>
      <c r="AB114" s="85">
        <f t="shared" si="27"/>
        <v>4719588.888888889</v>
      </c>
      <c r="AC114" s="84">
        <f t="shared" si="28"/>
        <v>23597944.444444433</v>
      </c>
      <c r="AD114" s="85">
        <f t="shared" si="46"/>
        <v>4719588.888888889</v>
      </c>
      <c r="AE114" s="84">
        <f t="shared" si="29"/>
        <v>18878355.555555545</v>
      </c>
      <c r="AF114" s="85">
        <f t="shared" si="47"/>
        <v>4719588.888888889</v>
      </c>
      <c r="AG114" s="84">
        <f t="shared" si="30"/>
        <v>14158766.666666657</v>
      </c>
      <c r="AH114" s="85"/>
      <c r="AI114" s="84">
        <f t="shared" si="31"/>
        <v>14158766.666666657</v>
      </c>
      <c r="AJ114" s="85"/>
      <c r="AK114" s="84">
        <f t="shared" si="32"/>
        <v>14158766.666666657</v>
      </c>
      <c r="AL114" s="85"/>
      <c r="AM114" s="84">
        <f t="shared" si="33"/>
        <v>14158766.666666657</v>
      </c>
      <c r="AN114" s="85"/>
      <c r="AO114" s="84">
        <f t="shared" si="34"/>
        <v>14158766.666666657</v>
      </c>
      <c r="AP114" s="85"/>
      <c r="AQ114" s="84">
        <f t="shared" si="35"/>
        <v>14158766.666666657</v>
      </c>
      <c r="AR114" s="85"/>
      <c r="AS114" s="84">
        <f t="shared" si="36"/>
        <v>14158766.666666657</v>
      </c>
      <c r="AT114" s="85"/>
      <c r="AU114" s="84">
        <f t="shared" si="37"/>
        <v>14158766.666666657</v>
      </c>
      <c r="AV114" s="85"/>
      <c r="AW114" s="84">
        <f t="shared" si="38"/>
        <v>14158766.666666657</v>
      </c>
      <c r="AX114" s="86">
        <f t="shared" si="39"/>
        <v>18878355.555555556</v>
      </c>
      <c r="AY114" s="87">
        <f t="shared" si="40"/>
        <v>14158766.666666653</v>
      </c>
      <c r="AZ114" s="65" t="b">
        <f t="shared" si="41"/>
        <v>1</v>
      </c>
    </row>
    <row r="115" spans="1:52" s="67" customFormat="1" ht="24.75" hidden="1" customHeight="1">
      <c r="A115" s="68">
        <v>110</v>
      </c>
      <c r="B115" s="69" t="s">
        <v>329</v>
      </c>
      <c r="C115" s="88" t="s">
        <v>330</v>
      </c>
      <c r="D115" s="71" t="s">
        <v>114</v>
      </c>
      <c r="E115" s="88" t="s">
        <v>331</v>
      </c>
      <c r="F115" s="89" t="s">
        <v>332</v>
      </c>
      <c r="G115" s="88">
        <v>20230815</v>
      </c>
      <c r="H115" s="88">
        <v>23080751</v>
      </c>
      <c r="I115" s="74" t="s">
        <v>66</v>
      </c>
      <c r="J115" s="88" t="s">
        <v>67</v>
      </c>
      <c r="K115" s="73" t="s">
        <v>333</v>
      </c>
      <c r="L115" s="70" t="s">
        <v>334</v>
      </c>
      <c r="M115" s="88" t="s">
        <v>60</v>
      </c>
      <c r="N115" s="88" t="s">
        <v>61</v>
      </c>
      <c r="O115" s="77"/>
      <c r="P115" s="90">
        <v>45170</v>
      </c>
      <c r="Q115" s="94">
        <f t="shared" si="42"/>
        <v>46265</v>
      </c>
      <c r="R115" s="79">
        <v>36</v>
      </c>
      <c r="S115" s="79">
        <f t="shared" si="25"/>
        <v>3</v>
      </c>
      <c r="T115" s="91">
        <v>80000000</v>
      </c>
      <c r="U115" s="81"/>
      <c r="V115" s="82">
        <f t="shared" si="43"/>
        <v>80000000</v>
      </c>
      <c r="W115" s="83">
        <f t="shared" si="44"/>
        <v>2222222.222222222</v>
      </c>
      <c r="X115" s="83">
        <v>62222222.222222239</v>
      </c>
      <c r="Y115" s="82">
        <v>17777777.777777761</v>
      </c>
      <c r="Z115" s="85">
        <f t="shared" si="26"/>
        <v>2222222.222222222</v>
      </c>
      <c r="AA115" s="84">
        <f t="shared" si="45"/>
        <v>15555555.555555539</v>
      </c>
      <c r="AB115" s="85">
        <f t="shared" si="27"/>
        <v>2222222.222222222</v>
      </c>
      <c r="AC115" s="84">
        <f t="shared" si="28"/>
        <v>13333333.333333317</v>
      </c>
      <c r="AD115" s="85">
        <f t="shared" si="46"/>
        <v>2222222.222222222</v>
      </c>
      <c r="AE115" s="84">
        <f t="shared" si="29"/>
        <v>11111111.111111095</v>
      </c>
      <c r="AF115" s="85">
        <f t="shared" si="47"/>
        <v>2222222.222222222</v>
      </c>
      <c r="AG115" s="84">
        <f t="shared" si="30"/>
        <v>8888888.8888888732</v>
      </c>
      <c r="AH115" s="85"/>
      <c r="AI115" s="84">
        <f t="shared" si="31"/>
        <v>8888888.8888888732</v>
      </c>
      <c r="AJ115" s="85"/>
      <c r="AK115" s="84">
        <f t="shared" si="32"/>
        <v>8888888.8888888732</v>
      </c>
      <c r="AL115" s="85"/>
      <c r="AM115" s="84">
        <f t="shared" si="33"/>
        <v>8888888.8888888732</v>
      </c>
      <c r="AN115" s="85"/>
      <c r="AO115" s="84">
        <f t="shared" si="34"/>
        <v>8888888.8888888732</v>
      </c>
      <c r="AP115" s="85"/>
      <c r="AQ115" s="84">
        <f t="shared" si="35"/>
        <v>8888888.8888888732</v>
      </c>
      <c r="AR115" s="85"/>
      <c r="AS115" s="84">
        <f t="shared" si="36"/>
        <v>8888888.8888888732</v>
      </c>
      <c r="AT115" s="85"/>
      <c r="AU115" s="84">
        <f t="shared" si="37"/>
        <v>8888888.8888888732</v>
      </c>
      <c r="AV115" s="85"/>
      <c r="AW115" s="84">
        <f t="shared" si="38"/>
        <v>8888888.8888888732</v>
      </c>
      <c r="AX115" s="86">
        <f t="shared" si="39"/>
        <v>8888888.8888888881</v>
      </c>
      <c r="AY115" s="87">
        <f t="shared" si="40"/>
        <v>8888888.8888888732</v>
      </c>
      <c r="AZ115" s="65" t="b">
        <f t="shared" si="41"/>
        <v>1</v>
      </c>
    </row>
    <row r="116" spans="1:52" s="67" customFormat="1" ht="24.75" hidden="1" customHeight="1">
      <c r="A116" s="68">
        <v>111</v>
      </c>
      <c r="B116" s="69" t="s">
        <v>335</v>
      </c>
      <c r="C116" s="88" t="s">
        <v>73</v>
      </c>
      <c r="D116" s="71" t="s">
        <v>64</v>
      </c>
      <c r="E116" s="88" t="s">
        <v>336</v>
      </c>
      <c r="F116" s="89" t="s">
        <v>337</v>
      </c>
      <c r="G116" s="88">
        <v>20230828</v>
      </c>
      <c r="H116" s="88">
        <v>23080340</v>
      </c>
      <c r="I116" s="74" t="s">
        <v>66</v>
      </c>
      <c r="J116" s="88" t="s">
        <v>67</v>
      </c>
      <c r="K116" s="73" t="s">
        <v>68</v>
      </c>
      <c r="L116" s="70" t="s">
        <v>69</v>
      </c>
      <c r="M116" s="88" t="s">
        <v>130</v>
      </c>
      <c r="N116" s="88" t="s">
        <v>131</v>
      </c>
      <c r="O116" s="77"/>
      <c r="P116" s="90">
        <v>45170</v>
      </c>
      <c r="Q116" s="94">
        <f t="shared" si="42"/>
        <v>46265</v>
      </c>
      <c r="R116" s="79">
        <v>36</v>
      </c>
      <c r="S116" s="79">
        <f t="shared" si="25"/>
        <v>3</v>
      </c>
      <c r="T116" s="91">
        <v>1550000000</v>
      </c>
      <c r="U116" s="81"/>
      <c r="V116" s="82">
        <f t="shared" si="43"/>
        <v>1550000000</v>
      </c>
      <c r="W116" s="83">
        <f t="shared" si="44"/>
        <v>43055555.555555552</v>
      </c>
      <c r="X116" s="83">
        <v>1205555555.5555558</v>
      </c>
      <c r="Y116" s="82">
        <v>344444444.44444418</v>
      </c>
      <c r="Z116" s="85">
        <f t="shared" si="26"/>
        <v>43055555.555555552</v>
      </c>
      <c r="AA116" s="84">
        <f t="shared" si="45"/>
        <v>301388888.8888886</v>
      </c>
      <c r="AB116" s="85">
        <f t="shared" si="27"/>
        <v>43055555.555555552</v>
      </c>
      <c r="AC116" s="84">
        <f t="shared" si="28"/>
        <v>258333333.33333305</v>
      </c>
      <c r="AD116" s="85">
        <f t="shared" si="46"/>
        <v>43055555.555555552</v>
      </c>
      <c r="AE116" s="84">
        <f t="shared" si="29"/>
        <v>215277777.77777749</v>
      </c>
      <c r="AF116" s="85">
        <f t="shared" si="47"/>
        <v>43055555.555555552</v>
      </c>
      <c r="AG116" s="84">
        <f t="shared" si="30"/>
        <v>172222222.22222194</v>
      </c>
      <c r="AH116" s="85"/>
      <c r="AI116" s="84">
        <f t="shared" si="31"/>
        <v>172222222.22222194</v>
      </c>
      <c r="AJ116" s="85"/>
      <c r="AK116" s="84">
        <f t="shared" si="32"/>
        <v>172222222.22222194</v>
      </c>
      <c r="AL116" s="85"/>
      <c r="AM116" s="84">
        <f t="shared" si="33"/>
        <v>172222222.22222194</v>
      </c>
      <c r="AN116" s="85"/>
      <c r="AO116" s="84">
        <f t="shared" si="34"/>
        <v>172222222.22222194</v>
      </c>
      <c r="AP116" s="85"/>
      <c r="AQ116" s="84">
        <f t="shared" si="35"/>
        <v>172222222.22222194</v>
      </c>
      <c r="AR116" s="85"/>
      <c r="AS116" s="84">
        <f t="shared" si="36"/>
        <v>172222222.22222194</v>
      </c>
      <c r="AT116" s="85"/>
      <c r="AU116" s="84">
        <f t="shared" si="37"/>
        <v>172222222.22222194</v>
      </c>
      <c r="AV116" s="85"/>
      <c r="AW116" s="84">
        <f t="shared" si="38"/>
        <v>172222222.22222194</v>
      </c>
      <c r="AX116" s="86">
        <f t="shared" si="39"/>
        <v>172222222.22222221</v>
      </c>
      <c r="AY116" s="87">
        <f t="shared" si="40"/>
        <v>172222222.22222197</v>
      </c>
      <c r="AZ116" s="65" t="b">
        <f t="shared" si="41"/>
        <v>1</v>
      </c>
    </row>
    <row r="117" spans="1:52" s="67" customFormat="1" ht="24.75" hidden="1" customHeight="1">
      <c r="A117" s="68">
        <v>112</v>
      </c>
      <c r="B117" s="69" t="s">
        <v>338</v>
      </c>
      <c r="C117" s="88" t="s">
        <v>81</v>
      </c>
      <c r="D117" s="71" t="s">
        <v>95</v>
      </c>
      <c r="E117" s="88" t="s">
        <v>339</v>
      </c>
      <c r="F117" s="92" t="s">
        <v>97</v>
      </c>
      <c r="G117" s="88">
        <v>20230831</v>
      </c>
      <c r="H117" s="88">
        <v>23080921</v>
      </c>
      <c r="I117" s="95" t="s">
        <v>98</v>
      </c>
      <c r="J117" s="88" t="s">
        <v>156</v>
      </c>
      <c r="K117" s="68" t="s">
        <v>99</v>
      </c>
      <c r="L117" s="70" t="s">
        <v>100</v>
      </c>
      <c r="M117" s="88" t="s">
        <v>101</v>
      </c>
      <c r="N117" s="88" t="s">
        <v>102</v>
      </c>
      <c r="O117" s="77">
        <v>1</v>
      </c>
      <c r="P117" s="90">
        <v>45170</v>
      </c>
      <c r="Q117" s="94">
        <f t="shared" si="42"/>
        <v>46265</v>
      </c>
      <c r="R117" s="79">
        <v>36</v>
      </c>
      <c r="S117" s="79">
        <f t="shared" si="25"/>
        <v>3</v>
      </c>
      <c r="T117" s="91">
        <v>94206028.730000004</v>
      </c>
      <c r="U117" s="81"/>
      <c r="V117" s="82">
        <f t="shared" si="43"/>
        <v>94206028.730000004</v>
      </c>
      <c r="W117" s="83">
        <f t="shared" si="44"/>
        <v>2616834.1313888892</v>
      </c>
      <c r="X117" s="83">
        <v>73271355.678888887</v>
      </c>
      <c r="Y117" s="82">
        <v>20934673.051111121</v>
      </c>
      <c r="Z117" s="85">
        <f t="shared" si="26"/>
        <v>2616834.1313888892</v>
      </c>
      <c r="AA117" s="84">
        <f t="shared" si="45"/>
        <v>18317838.919722229</v>
      </c>
      <c r="AB117" s="85">
        <f t="shared" si="27"/>
        <v>2616834.1313888892</v>
      </c>
      <c r="AC117" s="84">
        <f t="shared" si="28"/>
        <v>15701004.78833334</v>
      </c>
      <c r="AD117" s="85">
        <f t="shared" si="46"/>
        <v>2616834.1313888892</v>
      </c>
      <c r="AE117" s="84">
        <f t="shared" si="29"/>
        <v>13084170.65694445</v>
      </c>
      <c r="AF117" s="85">
        <f t="shared" si="47"/>
        <v>2616834.1313888892</v>
      </c>
      <c r="AG117" s="84">
        <f t="shared" si="30"/>
        <v>10467336.52555556</v>
      </c>
      <c r="AH117" s="85"/>
      <c r="AI117" s="84">
        <f t="shared" si="31"/>
        <v>10467336.52555556</v>
      </c>
      <c r="AJ117" s="85"/>
      <c r="AK117" s="84">
        <f t="shared" si="32"/>
        <v>10467336.52555556</v>
      </c>
      <c r="AL117" s="85"/>
      <c r="AM117" s="84">
        <f t="shared" si="33"/>
        <v>10467336.52555556</v>
      </c>
      <c r="AN117" s="85"/>
      <c r="AO117" s="84">
        <f t="shared" si="34"/>
        <v>10467336.52555556</v>
      </c>
      <c r="AP117" s="85"/>
      <c r="AQ117" s="84">
        <f t="shared" si="35"/>
        <v>10467336.52555556</v>
      </c>
      <c r="AR117" s="85"/>
      <c r="AS117" s="84">
        <f t="shared" si="36"/>
        <v>10467336.52555556</v>
      </c>
      <c r="AT117" s="85"/>
      <c r="AU117" s="84">
        <f t="shared" si="37"/>
        <v>10467336.52555556</v>
      </c>
      <c r="AV117" s="85"/>
      <c r="AW117" s="84">
        <f t="shared" si="38"/>
        <v>10467336.52555556</v>
      </c>
      <c r="AX117" s="86">
        <f t="shared" si="39"/>
        <v>10467336.525555557</v>
      </c>
      <c r="AY117" s="87">
        <f t="shared" si="40"/>
        <v>10467336.52555556</v>
      </c>
      <c r="AZ117" s="65" t="b">
        <f t="shared" si="41"/>
        <v>1</v>
      </c>
    </row>
    <row r="118" spans="1:52" s="67" customFormat="1" ht="24.75" hidden="1" customHeight="1">
      <c r="A118" s="68">
        <v>113</v>
      </c>
      <c r="B118" s="69" t="s">
        <v>340</v>
      </c>
      <c r="C118" s="88" t="s">
        <v>81</v>
      </c>
      <c r="D118" s="71" t="s">
        <v>95</v>
      </c>
      <c r="E118" s="88" t="s">
        <v>341</v>
      </c>
      <c r="F118" s="92" t="s">
        <v>97</v>
      </c>
      <c r="G118" s="88">
        <v>20230831</v>
      </c>
      <c r="H118" s="88">
        <v>23080921</v>
      </c>
      <c r="I118" s="95" t="s">
        <v>98</v>
      </c>
      <c r="J118" s="88" t="s">
        <v>156</v>
      </c>
      <c r="K118" s="68" t="s">
        <v>99</v>
      </c>
      <c r="L118" s="70" t="s">
        <v>100</v>
      </c>
      <c r="M118" s="88" t="s">
        <v>101</v>
      </c>
      <c r="N118" s="88" t="s">
        <v>102</v>
      </c>
      <c r="O118" s="77">
        <v>1</v>
      </c>
      <c r="P118" s="90">
        <v>45170</v>
      </c>
      <c r="Q118" s="94">
        <f t="shared" si="42"/>
        <v>46265</v>
      </c>
      <c r="R118" s="79">
        <v>36</v>
      </c>
      <c r="S118" s="79">
        <f t="shared" si="25"/>
        <v>3</v>
      </c>
      <c r="T118" s="91">
        <v>22730194.550000001</v>
      </c>
      <c r="U118" s="81"/>
      <c r="V118" s="82">
        <f t="shared" si="43"/>
        <v>22730194.550000001</v>
      </c>
      <c r="W118" s="83">
        <f t="shared" si="44"/>
        <v>631394.29305555555</v>
      </c>
      <c r="X118" s="83">
        <v>17679040.205555566</v>
      </c>
      <c r="Y118" s="82">
        <v>5051154.344444436</v>
      </c>
      <c r="Z118" s="85">
        <f t="shared" si="26"/>
        <v>631394.29305555555</v>
      </c>
      <c r="AA118" s="84">
        <f t="shared" si="45"/>
        <v>4419760.0513888793</v>
      </c>
      <c r="AB118" s="85">
        <f t="shared" si="27"/>
        <v>631394.29305555555</v>
      </c>
      <c r="AC118" s="84">
        <f t="shared" si="28"/>
        <v>3788365.7583333235</v>
      </c>
      <c r="AD118" s="85">
        <f t="shared" si="46"/>
        <v>631394.29305555555</v>
      </c>
      <c r="AE118" s="84">
        <f t="shared" si="29"/>
        <v>3156971.4652777677</v>
      </c>
      <c r="AF118" s="85">
        <f t="shared" si="47"/>
        <v>631394.29305555555</v>
      </c>
      <c r="AG118" s="84">
        <f t="shared" si="30"/>
        <v>2525577.172222212</v>
      </c>
      <c r="AH118" s="85"/>
      <c r="AI118" s="84">
        <f t="shared" si="31"/>
        <v>2525577.172222212</v>
      </c>
      <c r="AJ118" s="85"/>
      <c r="AK118" s="84">
        <f t="shared" si="32"/>
        <v>2525577.172222212</v>
      </c>
      <c r="AL118" s="85"/>
      <c r="AM118" s="84">
        <f t="shared" si="33"/>
        <v>2525577.172222212</v>
      </c>
      <c r="AN118" s="85"/>
      <c r="AO118" s="84">
        <f t="shared" si="34"/>
        <v>2525577.172222212</v>
      </c>
      <c r="AP118" s="85"/>
      <c r="AQ118" s="84">
        <f t="shared" si="35"/>
        <v>2525577.172222212</v>
      </c>
      <c r="AR118" s="85"/>
      <c r="AS118" s="84">
        <f t="shared" si="36"/>
        <v>2525577.172222212</v>
      </c>
      <c r="AT118" s="85"/>
      <c r="AU118" s="84">
        <f t="shared" si="37"/>
        <v>2525577.172222212</v>
      </c>
      <c r="AV118" s="85"/>
      <c r="AW118" s="84">
        <f t="shared" si="38"/>
        <v>2525577.172222212</v>
      </c>
      <c r="AX118" s="86">
        <f t="shared" si="39"/>
        <v>2525577.1722222222</v>
      </c>
      <c r="AY118" s="87">
        <f t="shared" si="40"/>
        <v>2525577.1722222129</v>
      </c>
      <c r="AZ118" s="65" t="b">
        <f t="shared" si="41"/>
        <v>1</v>
      </c>
    </row>
    <row r="119" spans="1:52" s="67" customFormat="1" ht="24.75" hidden="1" customHeight="1">
      <c r="A119" s="68">
        <v>114</v>
      </c>
      <c r="B119" s="69" t="s">
        <v>342</v>
      </c>
      <c r="C119" s="88" t="s">
        <v>343</v>
      </c>
      <c r="D119" s="71" t="s">
        <v>106</v>
      </c>
      <c r="E119" s="88" t="s">
        <v>344</v>
      </c>
      <c r="F119" s="89" t="s">
        <v>345</v>
      </c>
      <c r="G119" s="88">
        <v>20231006</v>
      </c>
      <c r="H119" s="88">
        <v>23100178</v>
      </c>
      <c r="I119" s="74" t="s">
        <v>66</v>
      </c>
      <c r="J119" s="88" t="s">
        <v>67</v>
      </c>
      <c r="K119" s="68" t="s">
        <v>109</v>
      </c>
      <c r="L119" s="70" t="s">
        <v>110</v>
      </c>
      <c r="M119" s="88" t="s">
        <v>111</v>
      </c>
      <c r="N119" s="88" t="s">
        <v>112</v>
      </c>
      <c r="O119" s="77">
        <v>1</v>
      </c>
      <c r="P119" s="90">
        <v>45231</v>
      </c>
      <c r="Q119" s="94">
        <f t="shared" si="42"/>
        <v>46326</v>
      </c>
      <c r="R119" s="79">
        <v>36</v>
      </c>
      <c r="S119" s="79">
        <f t="shared" si="25"/>
        <v>3</v>
      </c>
      <c r="T119" s="91">
        <v>113000000</v>
      </c>
      <c r="U119" s="81"/>
      <c r="V119" s="82">
        <f t="shared" si="43"/>
        <v>113000000</v>
      </c>
      <c r="W119" s="83">
        <f t="shared" si="44"/>
        <v>3138888.888888889</v>
      </c>
      <c r="X119" s="83">
        <v>81611111.111111119</v>
      </c>
      <c r="Y119" s="82">
        <v>31388888.888888888</v>
      </c>
      <c r="Z119" s="85">
        <f t="shared" si="26"/>
        <v>3138888.888888889</v>
      </c>
      <c r="AA119" s="84">
        <f t="shared" si="45"/>
        <v>28249999.999999993</v>
      </c>
      <c r="AB119" s="85">
        <f t="shared" si="27"/>
        <v>3138888.888888889</v>
      </c>
      <c r="AC119" s="84">
        <f t="shared" si="28"/>
        <v>25111111.111111104</v>
      </c>
      <c r="AD119" s="85">
        <f t="shared" si="46"/>
        <v>3138888.888888889</v>
      </c>
      <c r="AE119" s="84">
        <f t="shared" si="29"/>
        <v>21972222.222222216</v>
      </c>
      <c r="AF119" s="85">
        <f t="shared" si="47"/>
        <v>3138888.888888889</v>
      </c>
      <c r="AG119" s="84">
        <f t="shared" si="30"/>
        <v>18833333.333333328</v>
      </c>
      <c r="AH119" s="85"/>
      <c r="AI119" s="84">
        <f t="shared" si="31"/>
        <v>18833333.333333328</v>
      </c>
      <c r="AJ119" s="85"/>
      <c r="AK119" s="84">
        <f t="shared" si="32"/>
        <v>18833333.333333328</v>
      </c>
      <c r="AL119" s="85"/>
      <c r="AM119" s="84">
        <f t="shared" si="33"/>
        <v>18833333.333333328</v>
      </c>
      <c r="AN119" s="85"/>
      <c r="AO119" s="84">
        <f t="shared" si="34"/>
        <v>18833333.333333328</v>
      </c>
      <c r="AP119" s="85"/>
      <c r="AQ119" s="84">
        <f t="shared" si="35"/>
        <v>18833333.333333328</v>
      </c>
      <c r="AR119" s="85"/>
      <c r="AS119" s="84">
        <f t="shared" si="36"/>
        <v>18833333.333333328</v>
      </c>
      <c r="AT119" s="85"/>
      <c r="AU119" s="84">
        <f t="shared" si="37"/>
        <v>18833333.333333328</v>
      </c>
      <c r="AV119" s="85"/>
      <c r="AW119" s="84">
        <f t="shared" si="38"/>
        <v>18833333.333333328</v>
      </c>
      <c r="AX119" s="86">
        <f t="shared" si="39"/>
        <v>12555555.555555556</v>
      </c>
      <c r="AY119" s="87">
        <f t="shared" si="40"/>
        <v>18833333.333333325</v>
      </c>
      <c r="AZ119" s="65" t="b">
        <f t="shared" si="41"/>
        <v>1</v>
      </c>
    </row>
    <row r="120" spans="1:52" s="67" customFormat="1" ht="24.75" hidden="1" customHeight="1">
      <c r="A120" s="68">
        <v>115</v>
      </c>
      <c r="B120" s="69" t="s">
        <v>346</v>
      </c>
      <c r="C120" s="88" t="s">
        <v>177</v>
      </c>
      <c r="D120" s="71" t="s">
        <v>64</v>
      </c>
      <c r="E120" s="88" t="s">
        <v>347</v>
      </c>
      <c r="F120" s="89" t="s">
        <v>348</v>
      </c>
      <c r="G120" s="88">
        <v>20231125</v>
      </c>
      <c r="H120" s="88">
        <v>23110646</v>
      </c>
      <c r="I120" s="74" t="s">
        <v>66</v>
      </c>
      <c r="J120" s="88" t="s">
        <v>67</v>
      </c>
      <c r="K120" s="68" t="s">
        <v>349</v>
      </c>
      <c r="L120" s="70" t="s">
        <v>350</v>
      </c>
      <c r="M120" s="88" t="s">
        <v>60</v>
      </c>
      <c r="N120" s="88" t="s">
        <v>61</v>
      </c>
      <c r="O120" s="77">
        <v>1</v>
      </c>
      <c r="P120" s="90">
        <v>45261</v>
      </c>
      <c r="Q120" s="94">
        <f t="shared" si="42"/>
        <v>46356</v>
      </c>
      <c r="R120" s="79">
        <v>36</v>
      </c>
      <c r="S120" s="79">
        <f t="shared" si="25"/>
        <v>3</v>
      </c>
      <c r="T120" s="91">
        <v>14450000</v>
      </c>
      <c r="U120" s="81"/>
      <c r="V120" s="82">
        <f t="shared" si="43"/>
        <v>14450000</v>
      </c>
      <c r="W120" s="83">
        <f t="shared" si="44"/>
        <v>401388.88888888888</v>
      </c>
      <c r="X120" s="83">
        <v>10034722.222222222</v>
      </c>
      <c r="Y120" s="82">
        <v>4415277.7777777771</v>
      </c>
      <c r="Z120" s="85">
        <f t="shared" si="26"/>
        <v>401388.88888888888</v>
      </c>
      <c r="AA120" s="84">
        <f t="shared" si="45"/>
        <v>4013888.888888889</v>
      </c>
      <c r="AB120" s="85">
        <f t="shared" si="27"/>
        <v>401388.88888888888</v>
      </c>
      <c r="AC120" s="84">
        <f t="shared" si="28"/>
        <v>3612500</v>
      </c>
      <c r="AD120" s="85">
        <f t="shared" si="46"/>
        <v>401388.88888888888</v>
      </c>
      <c r="AE120" s="84">
        <f t="shared" si="29"/>
        <v>3211111.111111111</v>
      </c>
      <c r="AF120" s="85">
        <f t="shared" si="47"/>
        <v>401388.88888888888</v>
      </c>
      <c r="AG120" s="84">
        <f t="shared" si="30"/>
        <v>2809722.222222222</v>
      </c>
      <c r="AH120" s="85"/>
      <c r="AI120" s="84">
        <f t="shared" si="31"/>
        <v>2809722.222222222</v>
      </c>
      <c r="AJ120" s="85"/>
      <c r="AK120" s="84">
        <f t="shared" si="32"/>
        <v>2809722.222222222</v>
      </c>
      <c r="AL120" s="85"/>
      <c r="AM120" s="84">
        <f t="shared" si="33"/>
        <v>2809722.222222222</v>
      </c>
      <c r="AN120" s="85"/>
      <c r="AO120" s="84">
        <f t="shared" si="34"/>
        <v>2809722.222222222</v>
      </c>
      <c r="AP120" s="85"/>
      <c r="AQ120" s="84">
        <f t="shared" si="35"/>
        <v>2809722.222222222</v>
      </c>
      <c r="AR120" s="85"/>
      <c r="AS120" s="84">
        <f t="shared" si="36"/>
        <v>2809722.222222222</v>
      </c>
      <c r="AT120" s="85"/>
      <c r="AU120" s="84">
        <f t="shared" si="37"/>
        <v>2809722.222222222</v>
      </c>
      <c r="AV120" s="85"/>
      <c r="AW120" s="84">
        <f t="shared" si="38"/>
        <v>2809722.222222222</v>
      </c>
      <c r="AX120" s="86">
        <f t="shared" si="39"/>
        <v>1605555.5555555555</v>
      </c>
      <c r="AY120" s="87">
        <f t="shared" si="40"/>
        <v>2809722.2222222225</v>
      </c>
      <c r="AZ120" s="65" t="b">
        <f t="shared" si="41"/>
        <v>1</v>
      </c>
    </row>
    <row r="121" spans="1:52" s="67" customFormat="1" ht="24.75" hidden="1" customHeight="1">
      <c r="A121" s="68">
        <v>116</v>
      </c>
      <c r="B121" s="69" t="s">
        <v>351</v>
      </c>
      <c r="C121" s="88" t="s">
        <v>177</v>
      </c>
      <c r="D121" s="71" t="s">
        <v>64</v>
      </c>
      <c r="E121" s="88" t="s">
        <v>352</v>
      </c>
      <c r="F121" s="89" t="s">
        <v>353</v>
      </c>
      <c r="G121" s="88">
        <v>20231125</v>
      </c>
      <c r="H121" s="88">
        <v>23110647</v>
      </c>
      <c r="I121" s="74" t="s">
        <v>66</v>
      </c>
      <c r="J121" s="88" t="s">
        <v>67</v>
      </c>
      <c r="K121" s="68" t="s">
        <v>349</v>
      </c>
      <c r="L121" s="70" t="s">
        <v>350</v>
      </c>
      <c r="M121" s="88" t="s">
        <v>60</v>
      </c>
      <c r="N121" s="88" t="s">
        <v>61</v>
      </c>
      <c r="O121" s="77">
        <v>1</v>
      </c>
      <c r="P121" s="90">
        <v>45261</v>
      </c>
      <c r="Q121" s="94">
        <f t="shared" si="42"/>
        <v>46356</v>
      </c>
      <c r="R121" s="79">
        <v>36</v>
      </c>
      <c r="S121" s="79">
        <f t="shared" si="25"/>
        <v>3</v>
      </c>
      <c r="T121" s="91">
        <v>103610000</v>
      </c>
      <c r="U121" s="81"/>
      <c r="V121" s="82">
        <f t="shared" si="43"/>
        <v>103610000</v>
      </c>
      <c r="W121" s="83">
        <f t="shared" si="44"/>
        <v>2878055.5555555555</v>
      </c>
      <c r="X121" s="83">
        <v>71951388.888888881</v>
      </c>
      <c r="Y121" s="82">
        <v>31658611.111111119</v>
      </c>
      <c r="Z121" s="85">
        <f t="shared" si="26"/>
        <v>2878055.5555555555</v>
      </c>
      <c r="AA121" s="84">
        <f t="shared" si="45"/>
        <v>28780555.555555563</v>
      </c>
      <c r="AB121" s="85">
        <f t="shared" si="27"/>
        <v>2878055.5555555555</v>
      </c>
      <c r="AC121" s="84">
        <f t="shared" si="28"/>
        <v>25902500.000000007</v>
      </c>
      <c r="AD121" s="85">
        <f t="shared" si="46"/>
        <v>2878055.5555555555</v>
      </c>
      <c r="AE121" s="84">
        <f t="shared" si="29"/>
        <v>23024444.444444451</v>
      </c>
      <c r="AF121" s="85">
        <f t="shared" si="47"/>
        <v>2878055.5555555555</v>
      </c>
      <c r="AG121" s="84">
        <f t="shared" si="30"/>
        <v>20146388.888888896</v>
      </c>
      <c r="AH121" s="85"/>
      <c r="AI121" s="84">
        <f t="shared" si="31"/>
        <v>20146388.888888896</v>
      </c>
      <c r="AJ121" s="85"/>
      <c r="AK121" s="84">
        <f t="shared" si="32"/>
        <v>20146388.888888896</v>
      </c>
      <c r="AL121" s="85"/>
      <c r="AM121" s="84">
        <f t="shared" si="33"/>
        <v>20146388.888888896</v>
      </c>
      <c r="AN121" s="85"/>
      <c r="AO121" s="84">
        <f t="shared" si="34"/>
        <v>20146388.888888896</v>
      </c>
      <c r="AP121" s="85"/>
      <c r="AQ121" s="84">
        <f t="shared" si="35"/>
        <v>20146388.888888896</v>
      </c>
      <c r="AR121" s="85"/>
      <c r="AS121" s="84">
        <f t="shared" si="36"/>
        <v>20146388.888888896</v>
      </c>
      <c r="AT121" s="85"/>
      <c r="AU121" s="84">
        <f t="shared" si="37"/>
        <v>20146388.888888896</v>
      </c>
      <c r="AV121" s="85"/>
      <c r="AW121" s="84">
        <f t="shared" si="38"/>
        <v>20146388.888888896</v>
      </c>
      <c r="AX121" s="86">
        <f t="shared" si="39"/>
        <v>11512222.222222222</v>
      </c>
      <c r="AY121" s="87">
        <f t="shared" si="40"/>
        <v>20146388.888888896</v>
      </c>
      <c r="AZ121" s="65" t="b">
        <f t="shared" si="41"/>
        <v>1</v>
      </c>
    </row>
    <row r="122" spans="1:52" s="67" customFormat="1" ht="28.5" hidden="1" customHeight="1">
      <c r="A122" s="68">
        <v>117</v>
      </c>
      <c r="B122" s="69" t="s">
        <v>354</v>
      </c>
      <c r="C122" s="88" t="s">
        <v>81</v>
      </c>
      <c r="D122" s="71" t="s">
        <v>95</v>
      </c>
      <c r="E122" s="88" t="s">
        <v>355</v>
      </c>
      <c r="F122" s="92" t="s">
        <v>97</v>
      </c>
      <c r="G122" s="88">
        <v>20231130</v>
      </c>
      <c r="H122" s="88">
        <v>23110888</v>
      </c>
      <c r="I122" s="95" t="s">
        <v>98</v>
      </c>
      <c r="J122" s="88" t="s">
        <v>156</v>
      </c>
      <c r="K122" s="68" t="s">
        <v>99</v>
      </c>
      <c r="L122" s="70" t="s">
        <v>100</v>
      </c>
      <c r="M122" s="98" t="s">
        <v>101</v>
      </c>
      <c r="N122" s="99" t="s">
        <v>102</v>
      </c>
      <c r="O122" s="77">
        <v>1</v>
      </c>
      <c r="P122" s="90">
        <v>45261</v>
      </c>
      <c r="Q122" s="94">
        <f t="shared" si="42"/>
        <v>46356</v>
      </c>
      <c r="R122" s="79">
        <v>36</v>
      </c>
      <c r="S122" s="79">
        <f t="shared" si="25"/>
        <v>3</v>
      </c>
      <c r="T122" s="91">
        <v>254444394.12</v>
      </c>
      <c r="U122" s="81"/>
      <c r="V122" s="82">
        <f t="shared" si="43"/>
        <v>254444394.12</v>
      </c>
      <c r="W122" s="83">
        <f t="shared" si="44"/>
        <v>7067899.8366666669</v>
      </c>
      <c r="X122" s="83">
        <v>176697495.91666672</v>
      </c>
      <c r="Y122" s="82">
        <v>77746898.203333288</v>
      </c>
      <c r="Z122" s="85">
        <f t="shared" si="26"/>
        <v>7067899.8366666669</v>
      </c>
      <c r="AA122" s="84">
        <f t="shared" si="45"/>
        <v>70678998.366666615</v>
      </c>
      <c r="AB122" s="85">
        <f t="shared" si="27"/>
        <v>7067899.8366666669</v>
      </c>
      <c r="AC122" s="84">
        <f t="shared" si="28"/>
        <v>63611098.529999949</v>
      </c>
      <c r="AD122" s="85">
        <f t="shared" si="46"/>
        <v>7067899.8366666669</v>
      </c>
      <c r="AE122" s="84">
        <f t="shared" si="29"/>
        <v>56543198.693333283</v>
      </c>
      <c r="AF122" s="85">
        <f t="shared" si="47"/>
        <v>7067899.8366666669</v>
      </c>
      <c r="AG122" s="84">
        <f t="shared" si="30"/>
        <v>49475298.856666617</v>
      </c>
      <c r="AH122" s="85"/>
      <c r="AI122" s="84">
        <f t="shared" si="31"/>
        <v>49475298.856666617</v>
      </c>
      <c r="AJ122" s="85"/>
      <c r="AK122" s="84">
        <f t="shared" si="32"/>
        <v>49475298.856666617</v>
      </c>
      <c r="AL122" s="85"/>
      <c r="AM122" s="84">
        <f t="shared" si="33"/>
        <v>49475298.856666617</v>
      </c>
      <c r="AN122" s="85"/>
      <c r="AO122" s="84">
        <f t="shared" si="34"/>
        <v>49475298.856666617</v>
      </c>
      <c r="AP122" s="85"/>
      <c r="AQ122" s="84">
        <f t="shared" si="35"/>
        <v>49475298.856666617</v>
      </c>
      <c r="AR122" s="85"/>
      <c r="AS122" s="84">
        <f t="shared" si="36"/>
        <v>49475298.856666617</v>
      </c>
      <c r="AT122" s="85"/>
      <c r="AU122" s="84">
        <f t="shared" si="37"/>
        <v>49475298.856666617</v>
      </c>
      <c r="AV122" s="85"/>
      <c r="AW122" s="84">
        <f t="shared" si="38"/>
        <v>49475298.856666617</v>
      </c>
      <c r="AX122" s="86">
        <f t="shared" si="39"/>
        <v>28271599.346666668</v>
      </c>
      <c r="AY122" s="87">
        <f t="shared" si="40"/>
        <v>49475298.856666625</v>
      </c>
      <c r="AZ122" s="65" t="b">
        <f t="shared" si="41"/>
        <v>1</v>
      </c>
    </row>
    <row r="123" spans="1:52" s="67" customFormat="1" ht="24.75" hidden="1" customHeight="1">
      <c r="A123" s="68">
        <v>118</v>
      </c>
      <c r="B123" s="69" t="s">
        <v>356</v>
      </c>
      <c r="C123" s="88" t="s">
        <v>81</v>
      </c>
      <c r="D123" s="71" t="s">
        <v>95</v>
      </c>
      <c r="E123" s="88" t="s">
        <v>357</v>
      </c>
      <c r="F123" s="92" t="s">
        <v>97</v>
      </c>
      <c r="G123" s="88">
        <v>20231130</v>
      </c>
      <c r="H123" s="88">
        <v>23110888</v>
      </c>
      <c r="I123" s="95" t="s">
        <v>98</v>
      </c>
      <c r="J123" s="88" t="s">
        <v>156</v>
      </c>
      <c r="K123" s="68" t="s">
        <v>99</v>
      </c>
      <c r="L123" s="70" t="s">
        <v>100</v>
      </c>
      <c r="M123" s="98" t="s">
        <v>101</v>
      </c>
      <c r="N123" s="99" t="s">
        <v>102</v>
      </c>
      <c r="O123" s="77">
        <v>1</v>
      </c>
      <c r="P123" s="90">
        <v>45261</v>
      </c>
      <c r="Q123" s="94">
        <f t="shared" si="42"/>
        <v>46356</v>
      </c>
      <c r="R123" s="79">
        <v>36</v>
      </c>
      <c r="S123" s="79">
        <f t="shared" si="25"/>
        <v>3</v>
      </c>
      <c r="T123" s="91">
        <v>46043918.409999996</v>
      </c>
      <c r="U123" s="81"/>
      <c r="V123" s="82">
        <f t="shared" si="43"/>
        <v>46043918.409999996</v>
      </c>
      <c r="W123" s="83">
        <f t="shared" si="44"/>
        <v>1278997.7336111111</v>
      </c>
      <c r="X123" s="83">
        <v>31974943.340277772</v>
      </c>
      <c r="Y123" s="82">
        <v>14068975.069722226</v>
      </c>
      <c r="Z123" s="85">
        <f t="shared" si="26"/>
        <v>1278997.7336111111</v>
      </c>
      <c r="AA123" s="84">
        <f t="shared" si="45"/>
        <v>12789977.336111113</v>
      </c>
      <c r="AB123" s="85">
        <f t="shared" si="27"/>
        <v>1278997.7336111111</v>
      </c>
      <c r="AC123" s="84">
        <f t="shared" si="28"/>
        <v>11510979.602500003</v>
      </c>
      <c r="AD123" s="85">
        <f t="shared" si="46"/>
        <v>1278997.7336111111</v>
      </c>
      <c r="AE123" s="84">
        <f t="shared" si="29"/>
        <v>10231981.868888892</v>
      </c>
      <c r="AF123" s="85">
        <f t="shared" si="47"/>
        <v>1278997.7336111111</v>
      </c>
      <c r="AG123" s="84">
        <f t="shared" si="30"/>
        <v>8952984.1352777816</v>
      </c>
      <c r="AH123" s="85"/>
      <c r="AI123" s="84">
        <f t="shared" si="31"/>
        <v>8952984.1352777816</v>
      </c>
      <c r="AJ123" s="85"/>
      <c r="AK123" s="84">
        <f t="shared" si="32"/>
        <v>8952984.1352777816</v>
      </c>
      <c r="AL123" s="85"/>
      <c r="AM123" s="84">
        <f t="shared" si="33"/>
        <v>8952984.1352777816</v>
      </c>
      <c r="AN123" s="85"/>
      <c r="AO123" s="84">
        <f t="shared" si="34"/>
        <v>8952984.1352777816</v>
      </c>
      <c r="AP123" s="85"/>
      <c r="AQ123" s="84">
        <f t="shared" si="35"/>
        <v>8952984.1352777816</v>
      </c>
      <c r="AR123" s="85"/>
      <c r="AS123" s="84">
        <f t="shared" si="36"/>
        <v>8952984.1352777816</v>
      </c>
      <c r="AT123" s="85"/>
      <c r="AU123" s="84">
        <f t="shared" si="37"/>
        <v>8952984.1352777816</v>
      </c>
      <c r="AV123" s="85"/>
      <c r="AW123" s="84">
        <f t="shared" si="38"/>
        <v>8952984.1352777816</v>
      </c>
      <c r="AX123" s="86">
        <f t="shared" si="39"/>
        <v>5115990.9344444443</v>
      </c>
      <c r="AY123" s="87">
        <f t="shared" si="40"/>
        <v>8952984.1352777798</v>
      </c>
      <c r="AZ123" s="65" t="b">
        <f t="shared" si="41"/>
        <v>1</v>
      </c>
    </row>
    <row r="124" spans="1:52" s="67" customFormat="1" ht="24.75" hidden="1" customHeight="1">
      <c r="A124" s="68">
        <v>119</v>
      </c>
      <c r="B124" s="69" t="s">
        <v>358</v>
      </c>
      <c r="C124" s="88" t="s">
        <v>73</v>
      </c>
      <c r="D124" s="71" t="s">
        <v>64</v>
      </c>
      <c r="E124" s="88" t="s">
        <v>359</v>
      </c>
      <c r="F124" s="89" t="s">
        <v>360</v>
      </c>
      <c r="G124" s="88">
        <v>20231212</v>
      </c>
      <c r="H124" s="88">
        <v>23121161</v>
      </c>
      <c r="I124" s="74" t="s">
        <v>66</v>
      </c>
      <c r="J124" s="88" t="s">
        <v>67</v>
      </c>
      <c r="K124" s="68" t="s">
        <v>68</v>
      </c>
      <c r="L124" s="70" t="s">
        <v>69</v>
      </c>
      <c r="M124" s="88" t="s">
        <v>55</v>
      </c>
      <c r="N124" s="88" t="s">
        <v>56</v>
      </c>
      <c r="O124" s="77">
        <v>1</v>
      </c>
      <c r="P124" s="90">
        <v>45292</v>
      </c>
      <c r="Q124" s="94">
        <f t="shared" si="42"/>
        <v>47118</v>
      </c>
      <c r="R124" s="79">
        <v>60</v>
      </c>
      <c r="S124" s="79">
        <f t="shared" si="25"/>
        <v>5</v>
      </c>
      <c r="T124" s="91">
        <v>3280000000</v>
      </c>
      <c r="U124" s="81"/>
      <c r="V124" s="82">
        <f t="shared" si="43"/>
        <v>3280000000</v>
      </c>
      <c r="W124" s="83">
        <f t="shared" si="44"/>
        <v>54666666.666666664</v>
      </c>
      <c r="X124" s="83">
        <v>1312000000</v>
      </c>
      <c r="Y124" s="82">
        <v>1968000000</v>
      </c>
      <c r="Z124" s="85">
        <f t="shared" si="26"/>
        <v>54666666.666666664</v>
      </c>
      <c r="AA124" s="84">
        <f t="shared" si="45"/>
        <v>1913333333.3333333</v>
      </c>
      <c r="AB124" s="85">
        <f t="shared" si="27"/>
        <v>54666666.666666664</v>
      </c>
      <c r="AC124" s="84">
        <f t="shared" si="28"/>
        <v>1858666666.6666665</v>
      </c>
      <c r="AD124" s="85">
        <f t="shared" si="46"/>
        <v>54666666.666666664</v>
      </c>
      <c r="AE124" s="84">
        <f t="shared" si="29"/>
        <v>1803999999.9999998</v>
      </c>
      <c r="AF124" s="85">
        <f t="shared" si="47"/>
        <v>54666666.666666664</v>
      </c>
      <c r="AG124" s="84">
        <f t="shared" si="30"/>
        <v>1749333333.333333</v>
      </c>
      <c r="AH124" s="85"/>
      <c r="AI124" s="84">
        <f t="shared" si="31"/>
        <v>1749333333.333333</v>
      </c>
      <c r="AJ124" s="85"/>
      <c r="AK124" s="84">
        <f t="shared" si="32"/>
        <v>1749333333.333333</v>
      </c>
      <c r="AL124" s="85"/>
      <c r="AM124" s="84">
        <f t="shared" si="33"/>
        <v>1749333333.333333</v>
      </c>
      <c r="AN124" s="85"/>
      <c r="AO124" s="84">
        <f t="shared" si="34"/>
        <v>1749333333.333333</v>
      </c>
      <c r="AP124" s="85"/>
      <c r="AQ124" s="84">
        <f t="shared" si="35"/>
        <v>1749333333.333333</v>
      </c>
      <c r="AR124" s="85"/>
      <c r="AS124" s="84">
        <f t="shared" si="36"/>
        <v>1749333333.333333</v>
      </c>
      <c r="AT124" s="85"/>
      <c r="AU124" s="84">
        <f t="shared" si="37"/>
        <v>1749333333.333333</v>
      </c>
      <c r="AV124" s="85"/>
      <c r="AW124" s="84">
        <f t="shared" si="38"/>
        <v>1749333333.333333</v>
      </c>
      <c r="AX124" s="86">
        <f t="shared" si="39"/>
        <v>218666666.66666666</v>
      </c>
      <c r="AY124" s="87">
        <f t="shared" si="40"/>
        <v>1749333333.3333333</v>
      </c>
      <c r="AZ124" s="65" t="b">
        <f t="shared" si="41"/>
        <v>1</v>
      </c>
    </row>
    <row r="125" spans="1:52" s="67" customFormat="1" ht="24.75" hidden="1" customHeight="1">
      <c r="A125" s="68">
        <v>120</v>
      </c>
      <c r="B125" s="69" t="s">
        <v>361</v>
      </c>
      <c r="C125" s="88" t="s">
        <v>81</v>
      </c>
      <c r="D125" s="71" t="s">
        <v>95</v>
      </c>
      <c r="E125" s="88" t="s">
        <v>362</v>
      </c>
      <c r="F125" s="92" t="s">
        <v>97</v>
      </c>
      <c r="G125" s="88">
        <v>20231231</v>
      </c>
      <c r="H125" s="88">
        <v>23121193</v>
      </c>
      <c r="I125" s="95" t="s">
        <v>98</v>
      </c>
      <c r="J125" s="88" t="s">
        <v>156</v>
      </c>
      <c r="K125" s="68" t="s">
        <v>99</v>
      </c>
      <c r="L125" s="70" t="s">
        <v>100</v>
      </c>
      <c r="M125" s="88" t="s">
        <v>101</v>
      </c>
      <c r="N125" s="88" t="s">
        <v>102</v>
      </c>
      <c r="O125" s="77">
        <v>1</v>
      </c>
      <c r="P125" s="90">
        <v>45292</v>
      </c>
      <c r="Q125" s="94">
        <f t="shared" si="42"/>
        <v>46387</v>
      </c>
      <c r="R125" s="79">
        <v>36</v>
      </c>
      <c r="S125" s="79">
        <f t="shared" si="25"/>
        <v>3</v>
      </c>
      <c r="T125" s="91">
        <v>137252222.78999999</v>
      </c>
      <c r="U125" s="81"/>
      <c r="V125" s="82">
        <f t="shared" si="43"/>
        <v>137252222.78999999</v>
      </c>
      <c r="W125" s="83">
        <f t="shared" si="44"/>
        <v>3812561.7441666666</v>
      </c>
      <c r="X125" s="83">
        <v>91501481.85999997</v>
      </c>
      <c r="Y125" s="82">
        <v>45750740.93000003</v>
      </c>
      <c r="Z125" s="85">
        <f t="shared" si="26"/>
        <v>3812561.7441666666</v>
      </c>
      <c r="AA125" s="84">
        <f t="shared" si="45"/>
        <v>41938179.185833357</v>
      </c>
      <c r="AB125" s="85">
        <f t="shared" si="27"/>
        <v>3812561.7441666666</v>
      </c>
      <c r="AC125" s="84">
        <f t="shared" si="28"/>
        <v>38125617.441666692</v>
      </c>
      <c r="AD125" s="85">
        <f t="shared" si="46"/>
        <v>3812561.7441666666</v>
      </c>
      <c r="AE125" s="84">
        <f t="shared" si="29"/>
        <v>34313055.697500028</v>
      </c>
      <c r="AF125" s="85">
        <f t="shared" si="47"/>
        <v>3812561.7441666666</v>
      </c>
      <c r="AG125" s="84">
        <f t="shared" si="30"/>
        <v>30500493.953333363</v>
      </c>
      <c r="AH125" s="85"/>
      <c r="AI125" s="84">
        <f t="shared" si="31"/>
        <v>30500493.953333363</v>
      </c>
      <c r="AJ125" s="85"/>
      <c r="AK125" s="84">
        <f t="shared" si="32"/>
        <v>30500493.953333363</v>
      </c>
      <c r="AL125" s="85"/>
      <c r="AM125" s="84">
        <f t="shared" si="33"/>
        <v>30500493.953333363</v>
      </c>
      <c r="AN125" s="85"/>
      <c r="AO125" s="84">
        <f t="shared" si="34"/>
        <v>30500493.953333363</v>
      </c>
      <c r="AP125" s="85"/>
      <c r="AQ125" s="84">
        <f t="shared" si="35"/>
        <v>30500493.953333363</v>
      </c>
      <c r="AR125" s="85"/>
      <c r="AS125" s="84">
        <f t="shared" si="36"/>
        <v>30500493.953333363</v>
      </c>
      <c r="AT125" s="85"/>
      <c r="AU125" s="84">
        <f t="shared" si="37"/>
        <v>30500493.953333363</v>
      </c>
      <c r="AV125" s="85"/>
      <c r="AW125" s="84">
        <f t="shared" si="38"/>
        <v>30500493.953333363</v>
      </c>
      <c r="AX125" s="86">
        <f t="shared" si="39"/>
        <v>15250246.976666667</v>
      </c>
      <c r="AY125" s="87">
        <f t="shared" si="40"/>
        <v>30500493.953333355</v>
      </c>
      <c r="AZ125" s="65" t="b">
        <f t="shared" si="41"/>
        <v>1</v>
      </c>
    </row>
    <row r="126" spans="1:52" s="67" customFormat="1" ht="24.75" hidden="1" customHeight="1">
      <c r="A126" s="68">
        <v>121</v>
      </c>
      <c r="B126" s="69" t="s">
        <v>363</v>
      </c>
      <c r="C126" s="88" t="s">
        <v>81</v>
      </c>
      <c r="D126" s="71" t="s">
        <v>95</v>
      </c>
      <c r="E126" s="88" t="s">
        <v>364</v>
      </c>
      <c r="F126" s="92" t="s">
        <v>97</v>
      </c>
      <c r="G126" s="88">
        <v>20231231</v>
      </c>
      <c r="H126" s="88">
        <v>23121193</v>
      </c>
      <c r="I126" s="95" t="s">
        <v>98</v>
      </c>
      <c r="J126" s="88" t="s">
        <v>156</v>
      </c>
      <c r="K126" s="68" t="s">
        <v>99</v>
      </c>
      <c r="L126" s="70" t="s">
        <v>100</v>
      </c>
      <c r="M126" s="88" t="s">
        <v>101</v>
      </c>
      <c r="N126" s="88" t="s">
        <v>102</v>
      </c>
      <c r="O126" s="77">
        <v>1</v>
      </c>
      <c r="P126" s="90">
        <v>45292</v>
      </c>
      <c r="Q126" s="94">
        <f t="shared" si="42"/>
        <v>46387</v>
      </c>
      <c r="R126" s="79">
        <v>36</v>
      </c>
      <c r="S126" s="79">
        <f t="shared" si="25"/>
        <v>3</v>
      </c>
      <c r="T126" s="91">
        <v>126982690.70999999</v>
      </c>
      <c r="U126" s="81"/>
      <c r="V126" s="82">
        <f t="shared" si="43"/>
        <v>126982690.70999999</v>
      </c>
      <c r="W126" s="83">
        <f t="shared" si="44"/>
        <v>3527296.9641666664</v>
      </c>
      <c r="X126" s="83">
        <v>84655127.139999986</v>
      </c>
      <c r="Y126" s="82">
        <v>42327563.570000008</v>
      </c>
      <c r="Z126" s="85">
        <f t="shared" si="26"/>
        <v>3527296.9641666664</v>
      </c>
      <c r="AA126" s="84">
        <f t="shared" si="45"/>
        <v>38800266.605833344</v>
      </c>
      <c r="AB126" s="85">
        <f t="shared" si="27"/>
        <v>3527296.9641666664</v>
      </c>
      <c r="AC126" s="84">
        <f t="shared" si="28"/>
        <v>35272969.641666681</v>
      </c>
      <c r="AD126" s="85">
        <f t="shared" si="46"/>
        <v>3527296.9641666664</v>
      </c>
      <c r="AE126" s="84">
        <f t="shared" si="29"/>
        <v>31745672.677500013</v>
      </c>
      <c r="AF126" s="85">
        <f t="shared" si="47"/>
        <v>3527296.9641666664</v>
      </c>
      <c r="AG126" s="84">
        <f t="shared" si="30"/>
        <v>28218375.713333346</v>
      </c>
      <c r="AH126" s="85"/>
      <c r="AI126" s="84">
        <f t="shared" si="31"/>
        <v>28218375.713333346</v>
      </c>
      <c r="AJ126" s="85"/>
      <c r="AK126" s="84">
        <f t="shared" si="32"/>
        <v>28218375.713333346</v>
      </c>
      <c r="AL126" s="85"/>
      <c r="AM126" s="84">
        <f t="shared" si="33"/>
        <v>28218375.713333346</v>
      </c>
      <c r="AN126" s="85"/>
      <c r="AO126" s="84">
        <f t="shared" si="34"/>
        <v>28218375.713333346</v>
      </c>
      <c r="AP126" s="85"/>
      <c r="AQ126" s="84">
        <f t="shared" si="35"/>
        <v>28218375.713333346</v>
      </c>
      <c r="AR126" s="85"/>
      <c r="AS126" s="84">
        <f t="shared" si="36"/>
        <v>28218375.713333346</v>
      </c>
      <c r="AT126" s="85"/>
      <c r="AU126" s="84">
        <f t="shared" si="37"/>
        <v>28218375.713333346</v>
      </c>
      <c r="AV126" s="85"/>
      <c r="AW126" s="84">
        <f t="shared" si="38"/>
        <v>28218375.713333346</v>
      </c>
      <c r="AX126" s="86">
        <f t="shared" si="39"/>
        <v>14109187.856666666</v>
      </c>
      <c r="AY126" s="87">
        <f t="shared" si="40"/>
        <v>28218375.713333342</v>
      </c>
      <c r="AZ126" s="65" t="b">
        <f t="shared" si="41"/>
        <v>1</v>
      </c>
    </row>
    <row r="127" spans="1:52" s="67" customFormat="1" ht="24.75" hidden="1" customHeight="1">
      <c r="A127" s="68">
        <v>122</v>
      </c>
      <c r="B127" s="69" t="s">
        <v>365</v>
      </c>
      <c r="C127" s="88" t="s">
        <v>81</v>
      </c>
      <c r="D127" s="71" t="s">
        <v>95</v>
      </c>
      <c r="E127" s="88" t="s">
        <v>366</v>
      </c>
      <c r="F127" s="92" t="s">
        <v>97</v>
      </c>
      <c r="G127" s="88">
        <v>20231231</v>
      </c>
      <c r="H127" s="88">
        <v>23121193</v>
      </c>
      <c r="I127" s="95" t="s">
        <v>98</v>
      </c>
      <c r="J127" s="88" t="s">
        <v>156</v>
      </c>
      <c r="K127" s="68" t="s">
        <v>99</v>
      </c>
      <c r="L127" s="70" t="s">
        <v>100</v>
      </c>
      <c r="M127" s="88" t="s">
        <v>101</v>
      </c>
      <c r="N127" s="88" t="s">
        <v>102</v>
      </c>
      <c r="O127" s="77">
        <v>1</v>
      </c>
      <c r="P127" s="90">
        <v>45292</v>
      </c>
      <c r="Q127" s="94">
        <f t="shared" si="42"/>
        <v>46387</v>
      </c>
      <c r="R127" s="79">
        <v>36</v>
      </c>
      <c r="S127" s="79">
        <f t="shared" si="25"/>
        <v>3</v>
      </c>
      <c r="T127" s="91">
        <v>108529053.98999999</v>
      </c>
      <c r="U127" s="81"/>
      <c r="V127" s="82">
        <f t="shared" si="43"/>
        <v>108529053.98999999</v>
      </c>
      <c r="W127" s="83">
        <f t="shared" si="44"/>
        <v>3014695.9441666664</v>
      </c>
      <c r="X127" s="83">
        <v>72352702.660000011</v>
      </c>
      <c r="Y127" s="82">
        <v>36176351.329999991</v>
      </c>
      <c r="Z127" s="85">
        <f t="shared" si="26"/>
        <v>3014695.9441666664</v>
      </c>
      <c r="AA127" s="84">
        <f t="shared" si="45"/>
        <v>33161655.385833316</v>
      </c>
      <c r="AB127" s="85">
        <f t="shared" si="27"/>
        <v>3014695.9441666664</v>
      </c>
      <c r="AC127" s="84">
        <f t="shared" si="28"/>
        <v>30146959.441666648</v>
      </c>
      <c r="AD127" s="85">
        <f t="shared" si="46"/>
        <v>3014695.9441666664</v>
      </c>
      <c r="AE127" s="84">
        <f t="shared" si="29"/>
        <v>27132263.49749998</v>
      </c>
      <c r="AF127" s="85">
        <f t="shared" si="47"/>
        <v>3014695.9441666664</v>
      </c>
      <c r="AG127" s="84">
        <f t="shared" si="30"/>
        <v>24117567.553333312</v>
      </c>
      <c r="AH127" s="85"/>
      <c r="AI127" s="84">
        <f t="shared" si="31"/>
        <v>24117567.553333312</v>
      </c>
      <c r="AJ127" s="85"/>
      <c r="AK127" s="84">
        <f t="shared" si="32"/>
        <v>24117567.553333312</v>
      </c>
      <c r="AL127" s="85"/>
      <c r="AM127" s="84">
        <f t="shared" si="33"/>
        <v>24117567.553333312</v>
      </c>
      <c r="AN127" s="85"/>
      <c r="AO127" s="84">
        <f t="shared" si="34"/>
        <v>24117567.553333312</v>
      </c>
      <c r="AP127" s="85"/>
      <c r="AQ127" s="84">
        <f t="shared" si="35"/>
        <v>24117567.553333312</v>
      </c>
      <c r="AR127" s="85"/>
      <c r="AS127" s="84">
        <f t="shared" si="36"/>
        <v>24117567.553333312</v>
      </c>
      <c r="AT127" s="85"/>
      <c r="AU127" s="84">
        <f t="shared" si="37"/>
        <v>24117567.553333312</v>
      </c>
      <c r="AV127" s="85"/>
      <c r="AW127" s="84">
        <f t="shared" si="38"/>
        <v>24117567.553333312</v>
      </c>
      <c r="AX127" s="86">
        <f t="shared" si="39"/>
        <v>12058783.776666665</v>
      </c>
      <c r="AY127" s="87">
        <f t="shared" si="40"/>
        <v>24117567.55333332</v>
      </c>
      <c r="AZ127" s="65" t="b">
        <f t="shared" si="41"/>
        <v>1</v>
      </c>
    </row>
    <row r="128" spans="1:52" s="67" customFormat="1" ht="24.75" hidden="1" customHeight="1">
      <c r="A128" s="68">
        <v>123</v>
      </c>
      <c r="B128" s="69" t="s">
        <v>367</v>
      </c>
      <c r="C128" s="88" t="s">
        <v>81</v>
      </c>
      <c r="D128" s="71" t="s">
        <v>95</v>
      </c>
      <c r="E128" s="88" t="s">
        <v>368</v>
      </c>
      <c r="F128" s="92" t="s">
        <v>97</v>
      </c>
      <c r="G128" s="88">
        <v>20231231</v>
      </c>
      <c r="H128" s="88">
        <v>23121193</v>
      </c>
      <c r="I128" s="95" t="s">
        <v>98</v>
      </c>
      <c r="J128" s="88" t="s">
        <v>156</v>
      </c>
      <c r="K128" s="68" t="s">
        <v>99</v>
      </c>
      <c r="L128" s="70" t="s">
        <v>100</v>
      </c>
      <c r="M128" s="88" t="s">
        <v>101</v>
      </c>
      <c r="N128" s="88" t="s">
        <v>102</v>
      </c>
      <c r="O128" s="77">
        <v>1</v>
      </c>
      <c r="P128" s="90">
        <v>45292</v>
      </c>
      <c r="Q128" s="94">
        <f t="shared" si="42"/>
        <v>46387</v>
      </c>
      <c r="R128" s="79">
        <v>36</v>
      </c>
      <c r="S128" s="79">
        <f t="shared" si="25"/>
        <v>3</v>
      </c>
      <c r="T128" s="91">
        <v>50881665.880000003</v>
      </c>
      <c r="U128" s="81"/>
      <c r="V128" s="82">
        <f t="shared" si="43"/>
        <v>50881665.880000003</v>
      </c>
      <c r="W128" s="83">
        <f t="shared" si="44"/>
        <v>1413379.6077777778</v>
      </c>
      <c r="X128" s="83">
        <v>33921110.586666666</v>
      </c>
      <c r="Y128" s="82">
        <v>16960555.29333334</v>
      </c>
      <c r="Z128" s="85">
        <f t="shared" si="26"/>
        <v>1413379.6077777778</v>
      </c>
      <c r="AA128" s="84">
        <f t="shared" si="45"/>
        <v>15547175.685555559</v>
      </c>
      <c r="AB128" s="85">
        <f t="shared" si="27"/>
        <v>1413379.6077777778</v>
      </c>
      <c r="AC128" s="84">
        <f t="shared" si="28"/>
        <v>14133796.077777781</v>
      </c>
      <c r="AD128" s="85">
        <f t="shared" si="46"/>
        <v>1413379.6077777778</v>
      </c>
      <c r="AE128" s="84">
        <f t="shared" si="29"/>
        <v>12720416.470000003</v>
      </c>
      <c r="AF128" s="85">
        <f t="shared" si="47"/>
        <v>1413379.6077777778</v>
      </c>
      <c r="AG128" s="84">
        <f t="shared" si="30"/>
        <v>11307036.862222224</v>
      </c>
      <c r="AH128" s="85"/>
      <c r="AI128" s="84">
        <f t="shared" si="31"/>
        <v>11307036.862222224</v>
      </c>
      <c r="AJ128" s="85"/>
      <c r="AK128" s="84">
        <f t="shared" si="32"/>
        <v>11307036.862222224</v>
      </c>
      <c r="AL128" s="85"/>
      <c r="AM128" s="84">
        <f t="shared" si="33"/>
        <v>11307036.862222224</v>
      </c>
      <c r="AN128" s="85"/>
      <c r="AO128" s="84">
        <f t="shared" si="34"/>
        <v>11307036.862222224</v>
      </c>
      <c r="AP128" s="85"/>
      <c r="AQ128" s="84">
        <f t="shared" si="35"/>
        <v>11307036.862222224</v>
      </c>
      <c r="AR128" s="85"/>
      <c r="AS128" s="84">
        <f t="shared" si="36"/>
        <v>11307036.862222224</v>
      </c>
      <c r="AT128" s="85"/>
      <c r="AU128" s="84">
        <f t="shared" si="37"/>
        <v>11307036.862222224</v>
      </c>
      <c r="AV128" s="85"/>
      <c r="AW128" s="84">
        <f t="shared" si="38"/>
        <v>11307036.862222224</v>
      </c>
      <c r="AX128" s="86">
        <f t="shared" si="39"/>
        <v>5653518.4311111113</v>
      </c>
      <c r="AY128" s="87">
        <f t="shared" si="40"/>
        <v>11307036.862222224</v>
      </c>
      <c r="AZ128" s="65" t="b">
        <f t="shared" si="41"/>
        <v>1</v>
      </c>
    </row>
    <row r="129" spans="1:52" s="67" customFormat="1" ht="24.75" hidden="1" customHeight="1">
      <c r="A129" s="68">
        <v>124</v>
      </c>
      <c r="B129" s="69" t="s">
        <v>369</v>
      </c>
      <c r="C129" s="88" t="s">
        <v>81</v>
      </c>
      <c r="D129" s="71" t="s">
        <v>95</v>
      </c>
      <c r="E129" s="88" t="s">
        <v>370</v>
      </c>
      <c r="F129" s="92" t="s">
        <v>97</v>
      </c>
      <c r="G129" s="88">
        <v>20231231</v>
      </c>
      <c r="H129" s="88">
        <v>23121193</v>
      </c>
      <c r="I129" s="95" t="s">
        <v>98</v>
      </c>
      <c r="J129" s="88" t="s">
        <v>156</v>
      </c>
      <c r="K129" s="68" t="s">
        <v>99</v>
      </c>
      <c r="L129" s="70" t="s">
        <v>100</v>
      </c>
      <c r="M129" s="88" t="s">
        <v>101</v>
      </c>
      <c r="N129" s="88" t="s">
        <v>102</v>
      </c>
      <c r="O129" s="77">
        <v>1</v>
      </c>
      <c r="P129" s="90">
        <v>45292</v>
      </c>
      <c r="Q129" s="94">
        <f t="shared" si="42"/>
        <v>46387</v>
      </c>
      <c r="R129" s="79">
        <v>36</v>
      </c>
      <c r="S129" s="79">
        <f t="shared" si="25"/>
        <v>3</v>
      </c>
      <c r="T129" s="91">
        <v>80337675.189999998</v>
      </c>
      <c r="U129" s="81"/>
      <c r="V129" s="82">
        <f t="shared" si="43"/>
        <v>80337675.189999998</v>
      </c>
      <c r="W129" s="83">
        <f t="shared" si="44"/>
        <v>2231602.088611111</v>
      </c>
      <c r="X129" s="83">
        <v>53558450.126666665</v>
      </c>
      <c r="Y129" s="82">
        <v>26779225.063333333</v>
      </c>
      <c r="Z129" s="85">
        <f t="shared" si="26"/>
        <v>2231602.088611111</v>
      </c>
      <c r="AA129" s="84">
        <f t="shared" si="45"/>
        <v>24547622.974722221</v>
      </c>
      <c r="AB129" s="85">
        <f t="shared" si="27"/>
        <v>2231602.088611111</v>
      </c>
      <c r="AC129" s="84">
        <f t="shared" si="28"/>
        <v>22316020.88611111</v>
      </c>
      <c r="AD129" s="85">
        <f t="shared" si="46"/>
        <v>2231602.088611111</v>
      </c>
      <c r="AE129" s="84">
        <f t="shared" si="29"/>
        <v>20084418.797499999</v>
      </c>
      <c r="AF129" s="85">
        <f t="shared" si="47"/>
        <v>2231602.088611111</v>
      </c>
      <c r="AG129" s="84">
        <f t="shared" si="30"/>
        <v>17852816.708888888</v>
      </c>
      <c r="AH129" s="85"/>
      <c r="AI129" s="84">
        <f t="shared" si="31"/>
        <v>17852816.708888888</v>
      </c>
      <c r="AJ129" s="85"/>
      <c r="AK129" s="84">
        <f t="shared" si="32"/>
        <v>17852816.708888888</v>
      </c>
      <c r="AL129" s="85"/>
      <c r="AM129" s="84">
        <f t="shared" si="33"/>
        <v>17852816.708888888</v>
      </c>
      <c r="AN129" s="85"/>
      <c r="AO129" s="84">
        <f t="shared" si="34"/>
        <v>17852816.708888888</v>
      </c>
      <c r="AP129" s="85"/>
      <c r="AQ129" s="84">
        <f t="shared" si="35"/>
        <v>17852816.708888888</v>
      </c>
      <c r="AR129" s="85"/>
      <c r="AS129" s="84">
        <f t="shared" si="36"/>
        <v>17852816.708888888</v>
      </c>
      <c r="AT129" s="85"/>
      <c r="AU129" s="84">
        <f t="shared" si="37"/>
        <v>17852816.708888888</v>
      </c>
      <c r="AV129" s="85"/>
      <c r="AW129" s="84">
        <f t="shared" si="38"/>
        <v>17852816.708888888</v>
      </c>
      <c r="AX129" s="86">
        <f t="shared" si="39"/>
        <v>8926408.3544444442</v>
      </c>
      <c r="AY129" s="87">
        <f t="shared" si="40"/>
        <v>17852816.708888888</v>
      </c>
      <c r="AZ129" s="65" t="b">
        <f t="shared" si="41"/>
        <v>1</v>
      </c>
    </row>
    <row r="130" spans="1:52" s="67" customFormat="1" ht="24.75" hidden="1" customHeight="1">
      <c r="A130" s="68">
        <v>125</v>
      </c>
      <c r="B130" s="69" t="s">
        <v>371</v>
      </c>
      <c r="C130" s="88" t="s">
        <v>81</v>
      </c>
      <c r="D130" s="71" t="s">
        <v>95</v>
      </c>
      <c r="E130" s="88" t="s">
        <v>372</v>
      </c>
      <c r="F130" s="92" t="s">
        <v>97</v>
      </c>
      <c r="G130" s="88">
        <v>20231231</v>
      </c>
      <c r="H130" s="88">
        <v>23121193</v>
      </c>
      <c r="I130" s="95" t="s">
        <v>98</v>
      </c>
      <c r="J130" s="88" t="s">
        <v>156</v>
      </c>
      <c r="K130" s="68" t="s">
        <v>99</v>
      </c>
      <c r="L130" s="70" t="s">
        <v>100</v>
      </c>
      <c r="M130" s="88" t="s">
        <v>101</v>
      </c>
      <c r="N130" s="88" t="s">
        <v>102</v>
      </c>
      <c r="O130" s="77">
        <v>1</v>
      </c>
      <c r="P130" s="90">
        <v>45292</v>
      </c>
      <c r="Q130" s="94">
        <f t="shared" si="42"/>
        <v>46387</v>
      </c>
      <c r="R130" s="79">
        <v>36</v>
      </c>
      <c r="S130" s="79">
        <f t="shared" si="25"/>
        <v>3</v>
      </c>
      <c r="T130" s="91">
        <v>56856859.560000002</v>
      </c>
      <c r="U130" s="81"/>
      <c r="V130" s="82">
        <f t="shared" si="43"/>
        <v>56856859.560000002</v>
      </c>
      <c r="W130" s="83">
        <f t="shared" si="44"/>
        <v>1579357.21</v>
      </c>
      <c r="X130" s="83">
        <v>37904573.040000007</v>
      </c>
      <c r="Y130" s="82">
        <v>18952286.519999996</v>
      </c>
      <c r="Z130" s="85">
        <f t="shared" si="26"/>
        <v>1579357.21</v>
      </c>
      <c r="AA130" s="84">
        <f t="shared" si="45"/>
        <v>17372929.309999995</v>
      </c>
      <c r="AB130" s="85">
        <f t="shared" si="27"/>
        <v>1579357.21</v>
      </c>
      <c r="AC130" s="84">
        <f t="shared" si="28"/>
        <v>15793572.099999994</v>
      </c>
      <c r="AD130" s="85">
        <f t="shared" si="46"/>
        <v>1579357.21</v>
      </c>
      <c r="AE130" s="84">
        <f t="shared" si="29"/>
        <v>14214214.889999993</v>
      </c>
      <c r="AF130" s="85">
        <f t="shared" si="47"/>
        <v>1579357.21</v>
      </c>
      <c r="AG130" s="84">
        <f t="shared" si="30"/>
        <v>12634857.679999992</v>
      </c>
      <c r="AH130" s="85"/>
      <c r="AI130" s="84">
        <f t="shared" si="31"/>
        <v>12634857.679999992</v>
      </c>
      <c r="AJ130" s="85"/>
      <c r="AK130" s="84">
        <f t="shared" si="32"/>
        <v>12634857.679999992</v>
      </c>
      <c r="AL130" s="85"/>
      <c r="AM130" s="84">
        <f t="shared" si="33"/>
        <v>12634857.679999992</v>
      </c>
      <c r="AN130" s="85"/>
      <c r="AO130" s="84">
        <f t="shared" si="34"/>
        <v>12634857.679999992</v>
      </c>
      <c r="AP130" s="85"/>
      <c r="AQ130" s="84">
        <f t="shared" si="35"/>
        <v>12634857.679999992</v>
      </c>
      <c r="AR130" s="85"/>
      <c r="AS130" s="84">
        <f t="shared" si="36"/>
        <v>12634857.679999992</v>
      </c>
      <c r="AT130" s="85"/>
      <c r="AU130" s="84">
        <f t="shared" si="37"/>
        <v>12634857.679999992</v>
      </c>
      <c r="AV130" s="85"/>
      <c r="AW130" s="84">
        <f t="shared" si="38"/>
        <v>12634857.679999992</v>
      </c>
      <c r="AX130" s="86">
        <f t="shared" si="39"/>
        <v>6317428.8399999999</v>
      </c>
      <c r="AY130" s="87">
        <f t="shared" si="40"/>
        <v>12634857.679999996</v>
      </c>
      <c r="AZ130" s="65" t="b">
        <f t="shared" si="41"/>
        <v>1</v>
      </c>
    </row>
    <row r="131" spans="1:52" s="67" customFormat="1" ht="24.75" hidden="1" customHeight="1">
      <c r="A131" s="68">
        <v>126</v>
      </c>
      <c r="B131" s="69" t="s">
        <v>373</v>
      </c>
      <c r="C131" s="88" t="s">
        <v>81</v>
      </c>
      <c r="D131" s="71" t="s">
        <v>95</v>
      </c>
      <c r="E131" s="88" t="s">
        <v>374</v>
      </c>
      <c r="F131" s="92" t="s">
        <v>97</v>
      </c>
      <c r="G131" s="88">
        <v>20231231</v>
      </c>
      <c r="H131" s="88">
        <v>23121193</v>
      </c>
      <c r="I131" s="95" t="s">
        <v>98</v>
      </c>
      <c r="J131" s="88" t="s">
        <v>156</v>
      </c>
      <c r="K131" s="68" t="s">
        <v>99</v>
      </c>
      <c r="L131" s="70" t="s">
        <v>100</v>
      </c>
      <c r="M131" s="88" t="s">
        <v>101</v>
      </c>
      <c r="N131" s="88" t="s">
        <v>102</v>
      </c>
      <c r="O131" s="77">
        <v>1</v>
      </c>
      <c r="P131" s="90">
        <v>45292</v>
      </c>
      <c r="Q131" s="94">
        <f t="shared" si="42"/>
        <v>46387</v>
      </c>
      <c r="R131" s="79">
        <v>36</v>
      </c>
      <c r="S131" s="79">
        <f t="shared" si="25"/>
        <v>3</v>
      </c>
      <c r="T131" s="91">
        <v>318032291.50999999</v>
      </c>
      <c r="U131" s="81"/>
      <c r="V131" s="82">
        <f t="shared" si="43"/>
        <v>318032291.50999999</v>
      </c>
      <c r="W131" s="83">
        <f t="shared" si="44"/>
        <v>8834230.3197222222</v>
      </c>
      <c r="X131" s="83">
        <v>212021527.67333332</v>
      </c>
      <c r="Y131" s="82">
        <v>106010763.83666669</v>
      </c>
      <c r="Z131" s="85">
        <f t="shared" si="26"/>
        <v>8834230.3197222222</v>
      </c>
      <c r="AA131" s="84">
        <f t="shared" si="45"/>
        <v>97176533.516944453</v>
      </c>
      <c r="AB131" s="85">
        <f t="shared" si="27"/>
        <v>8834230.3197222222</v>
      </c>
      <c r="AC131" s="84">
        <f t="shared" si="28"/>
        <v>88342303.197222233</v>
      </c>
      <c r="AD131" s="85">
        <f t="shared" si="46"/>
        <v>8834230.3197222222</v>
      </c>
      <c r="AE131" s="84">
        <f t="shared" si="29"/>
        <v>79508072.877500013</v>
      </c>
      <c r="AF131" s="85">
        <f t="shared" si="47"/>
        <v>8834230.3197222222</v>
      </c>
      <c r="AG131" s="84">
        <f t="shared" si="30"/>
        <v>70673842.557777792</v>
      </c>
      <c r="AH131" s="85"/>
      <c r="AI131" s="84">
        <f t="shared" si="31"/>
        <v>70673842.557777792</v>
      </c>
      <c r="AJ131" s="85"/>
      <c r="AK131" s="84">
        <f t="shared" si="32"/>
        <v>70673842.557777792</v>
      </c>
      <c r="AL131" s="85"/>
      <c r="AM131" s="84">
        <f t="shared" si="33"/>
        <v>70673842.557777792</v>
      </c>
      <c r="AN131" s="85"/>
      <c r="AO131" s="84">
        <f t="shared" si="34"/>
        <v>70673842.557777792</v>
      </c>
      <c r="AP131" s="85"/>
      <c r="AQ131" s="84">
        <f t="shared" si="35"/>
        <v>70673842.557777792</v>
      </c>
      <c r="AR131" s="85"/>
      <c r="AS131" s="84">
        <f t="shared" si="36"/>
        <v>70673842.557777792</v>
      </c>
      <c r="AT131" s="85"/>
      <c r="AU131" s="84">
        <f t="shared" si="37"/>
        <v>70673842.557777792</v>
      </c>
      <c r="AV131" s="85"/>
      <c r="AW131" s="84">
        <f t="shared" si="38"/>
        <v>70673842.557777792</v>
      </c>
      <c r="AX131" s="86">
        <f t="shared" si="39"/>
        <v>35336921.278888889</v>
      </c>
      <c r="AY131" s="87">
        <f t="shared" si="40"/>
        <v>70673842.557777792</v>
      </c>
      <c r="AZ131" s="65" t="b">
        <f t="shared" si="41"/>
        <v>1</v>
      </c>
    </row>
    <row r="132" spans="1:52" s="67" customFormat="1" ht="24.75" hidden="1" customHeight="1">
      <c r="A132" s="68">
        <v>127</v>
      </c>
      <c r="B132" s="69" t="s">
        <v>375</v>
      </c>
      <c r="C132" s="88" t="s">
        <v>81</v>
      </c>
      <c r="D132" s="71" t="s">
        <v>95</v>
      </c>
      <c r="E132" s="88" t="s">
        <v>376</v>
      </c>
      <c r="F132" s="92" t="s">
        <v>97</v>
      </c>
      <c r="G132" s="88">
        <v>20231231</v>
      </c>
      <c r="H132" s="88">
        <v>23121193</v>
      </c>
      <c r="I132" s="95" t="s">
        <v>98</v>
      </c>
      <c r="J132" s="88" t="s">
        <v>156</v>
      </c>
      <c r="K132" s="68" t="s">
        <v>99</v>
      </c>
      <c r="L132" s="70" t="s">
        <v>100</v>
      </c>
      <c r="M132" s="88" t="s">
        <v>101</v>
      </c>
      <c r="N132" s="88" t="s">
        <v>102</v>
      </c>
      <c r="O132" s="77">
        <v>1</v>
      </c>
      <c r="P132" s="90">
        <v>45292</v>
      </c>
      <c r="Q132" s="94">
        <f t="shared" si="42"/>
        <v>46387</v>
      </c>
      <c r="R132" s="79">
        <v>36</v>
      </c>
      <c r="S132" s="79">
        <f t="shared" si="25"/>
        <v>3</v>
      </c>
      <c r="T132" s="91">
        <v>566312490.74000001</v>
      </c>
      <c r="U132" s="81"/>
      <c r="V132" s="82">
        <f t="shared" si="43"/>
        <v>566312490.74000001</v>
      </c>
      <c r="W132" s="83">
        <f t="shared" si="44"/>
        <v>15730902.520555556</v>
      </c>
      <c r="X132" s="83">
        <v>377541660.49333334</v>
      </c>
      <c r="Y132" s="82">
        <v>188770830.24666667</v>
      </c>
      <c r="Z132" s="85">
        <f t="shared" si="26"/>
        <v>15730902.520555556</v>
      </c>
      <c r="AA132" s="84">
        <f t="shared" si="45"/>
        <v>173039927.72611111</v>
      </c>
      <c r="AB132" s="85">
        <f t="shared" si="27"/>
        <v>15730902.520555556</v>
      </c>
      <c r="AC132" s="84">
        <f t="shared" si="28"/>
        <v>157309025.20555556</v>
      </c>
      <c r="AD132" s="85">
        <f t="shared" si="46"/>
        <v>15730902.520555556</v>
      </c>
      <c r="AE132" s="84">
        <f t="shared" si="29"/>
        <v>141578122.685</v>
      </c>
      <c r="AF132" s="85">
        <f t="shared" si="47"/>
        <v>15730902.520555556</v>
      </c>
      <c r="AG132" s="84">
        <f t="shared" si="30"/>
        <v>125847220.16444445</v>
      </c>
      <c r="AH132" s="85"/>
      <c r="AI132" s="84">
        <f t="shared" si="31"/>
        <v>125847220.16444445</v>
      </c>
      <c r="AJ132" s="85"/>
      <c r="AK132" s="84">
        <f t="shared" si="32"/>
        <v>125847220.16444445</v>
      </c>
      <c r="AL132" s="85"/>
      <c r="AM132" s="84">
        <f t="shared" si="33"/>
        <v>125847220.16444445</v>
      </c>
      <c r="AN132" s="85"/>
      <c r="AO132" s="84">
        <f t="shared" si="34"/>
        <v>125847220.16444445</v>
      </c>
      <c r="AP132" s="85"/>
      <c r="AQ132" s="84">
        <f t="shared" si="35"/>
        <v>125847220.16444445</v>
      </c>
      <c r="AR132" s="85"/>
      <c r="AS132" s="84">
        <f t="shared" si="36"/>
        <v>125847220.16444445</v>
      </c>
      <c r="AT132" s="85"/>
      <c r="AU132" s="84">
        <f t="shared" si="37"/>
        <v>125847220.16444445</v>
      </c>
      <c r="AV132" s="85"/>
      <c r="AW132" s="84">
        <f t="shared" si="38"/>
        <v>125847220.16444445</v>
      </c>
      <c r="AX132" s="86">
        <f t="shared" si="39"/>
        <v>62923610.082222223</v>
      </c>
      <c r="AY132" s="87">
        <f t="shared" si="40"/>
        <v>125847220.16444445</v>
      </c>
      <c r="AZ132" s="65" t="b">
        <f t="shared" si="41"/>
        <v>1</v>
      </c>
    </row>
    <row r="133" spans="1:52" s="67" customFormat="1" ht="24.75" hidden="1" customHeight="1">
      <c r="A133" s="68">
        <v>128</v>
      </c>
      <c r="B133" s="69" t="s">
        <v>377</v>
      </c>
      <c r="C133" s="88" t="s">
        <v>81</v>
      </c>
      <c r="D133" s="71" t="s">
        <v>95</v>
      </c>
      <c r="E133" s="88" t="s">
        <v>378</v>
      </c>
      <c r="F133" s="92" t="s">
        <v>97</v>
      </c>
      <c r="G133" s="88">
        <v>20231231</v>
      </c>
      <c r="H133" s="88">
        <v>23121193</v>
      </c>
      <c r="I133" s="95" t="s">
        <v>98</v>
      </c>
      <c r="J133" s="88" t="s">
        <v>156</v>
      </c>
      <c r="K133" s="68" t="s">
        <v>99</v>
      </c>
      <c r="L133" s="70" t="s">
        <v>100</v>
      </c>
      <c r="M133" s="88" t="s">
        <v>101</v>
      </c>
      <c r="N133" s="88" t="s">
        <v>102</v>
      </c>
      <c r="O133" s="77">
        <v>1</v>
      </c>
      <c r="P133" s="90">
        <v>45292</v>
      </c>
      <c r="Q133" s="94">
        <f t="shared" si="42"/>
        <v>46387</v>
      </c>
      <c r="R133" s="79">
        <v>36</v>
      </c>
      <c r="S133" s="79">
        <f t="shared" si="25"/>
        <v>3</v>
      </c>
      <c r="T133" s="91">
        <v>563028294.69000006</v>
      </c>
      <c r="U133" s="81"/>
      <c r="V133" s="82">
        <f t="shared" si="43"/>
        <v>563028294.69000006</v>
      </c>
      <c r="W133" s="83">
        <f t="shared" si="44"/>
        <v>15639674.852500001</v>
      </c>
      <c r="X133" s="83">
        <v>375352196.45999998</v>
      </c>
      <c r="Y133" s="82">
        <v>187676098.23000005</v>
      </c>
      <c r="Z133" s="85">
        <f t="shared" si="26"/>
        <v>15639674.852500001</v>
      </c>
      <c r="AA133" s="84">
        <f t="shared" si="45"/>
        <v>172036423.37750009</v>
      </c>
      <c r="AB133" s="85">
        <f t="shared" si="27"/>
        <v>15639674.852500001</v>
      </c>
      <c r="AC133" s="84">
        <f t="shared" si="28"/>
        <v>156396748.5250001</v>
      </c>
      <c r="AD133" s="85">
        <f t="shared" si="46"/>
        <v>15639674.852500001</v>
      </c>
      <c r="AE133" s="84">
        <f t="shared" si="29"/>
        <v>140757073.6725001</v>
      </c>
      <c r="AF133" s="85">
        <f t="shared" si="47"/>
        <v>15639674.852500001</v>
      </c>
      <c r="AG133" s="84">
        <f t="shared" si="30"/>
        <v>125117398.8200001</v>
      </c>
      <c r="AH133" s="85"/>
      <c r="AI133" s="84">
        <f t="shared" si="31"/>
        <v>125117398.8200001</v>
      </c>
      <c r="AJ133" s="85"/>
      <c r="AK133" s="84">
        <f t="shared" si="32"/>
        <v>125117398.8200001</v>
      </c>
      <c r="AL133" s="85"/>
      <c r="AM133" s="84">
        <f t="shared" si="33"/>
        <v>125117398.8200001</v>
      </c>
      <c r="AN133" s="85"/>
      <c r="AO133" s="84">
        <f t="shared" si="34"/>
        <v>125117398.8200001</v>
      </c>
      <c r="AP133" s="85"/>
      <c r="AQ133" s="84">
        <f t="shared" si="35"/>
        <v>125117398.8200001</v>
      </c>
      <c r="AR133" s="85"/>
      <c r="AS133" s="84">
        <f t="shared" si="36"/>
        <v>125117398.8200001</v>
      </c>
      <c r="AT133" s="85"/>
      <c r="AU133" s="84">
        <f t="shared" si="37"/>
        <v>125117398.8200001</v>
      </c>
      <c r="AV133" s="85"/>
      <c r="AW133" s="84">
        <f t="shared" si="38"/>
        <v>125117398.8200001</v>
      </c>
      <c r="AX133" s="86">
        <f t="shared" si="39"/>
        <v>62558699.410000004</v>
      </c>
      <c r="AY133" s="87">
        <f t="shared" si="40"/>
        <v>125117398.82000008</v>
      </c>
      <c r="AZ133" s="65" t="b">
        <f t="shared" si="41"/>
        <v>1</v>
      </c>
    </row>
    <row r="134" spans="1:52" s="67" customFormat="1" ht="24.75" hidden="1" customHeight="1">
      <c r="A134" s="68">
        <v>129</v>
      </c>
      <c r="B134" s="69" t="s">
        <v>379</v>
      </c>
      <c r="C134" s="88" t="s">
        <v>81</v>
      </c>
      <c r="D134" s="71" t="s">
        <v>95</v>
      </c>
      <c r="E134" s="88" t="s">
        <v>380</v>
      </c>
      <c r="F134" s="92" t="s">
        <v>97</v>
      </c>
      <c r="G134" s="88">
        <v>20231231</v>
      </c>
      <c r="H134" s="88">
        <v>23121193</v>
      </c>
      <c r="I134" s="95" t="s">
        <v>98</v>
      </c>
      <c r="J134" s="88" t="s">
        <v>156</v>
      </c>
      <c r="K134" s="68" t="s">
        <v>99</v>
      </c>
      <c r="L134" s="70" t="s">
        <v>100</v>
      </c>
      <c r="M134" s="88" t="s">
        <v>101</v>
      </c>
      <c r="N134" s="88" t="s">
        <v>102</v>
      </c>
      <c r="O134" s="77">
        <v>1</v>
      </c>
      <c r="P134" s="90">
        <v>45292</v>
      </c>
      <c r="Q134" s="94">
        <f t="shared" si="42"/>
        <v>46387</v>
      </c>
      <c r="R134" s="79">
        <v>36</v>
      </c>
      <c r="S134" s="79">
        <f t="shared" ref="S134:S156" si="48">+R134/12</f>
        <v>3</v>
      </c>
      <c r="T134" s="91">
        <v>120254320.81999999</v>
      </c>
      <c r="U134" s="81"/>
      <c r="V134" s="82">
        <f t="shared" si="43"/>
        <v>120254320.81999999</v>
      </c>
      <c r="W134" s="83">
        <f t="shared" si="44"/>
        <v>3340397.8005555551</v>
      </c>
      <c r="X134" s="83">
        <v>80169547.213333338</v>
      </c>
      <c r="Y134" s="82">
        <v>40084773.606666654</v>
      </c>
      <c r="Z134" s="85">
        <f t="shared" ref="Z134:Z197" si="49">+IF(Y134&lt;&gt;0,$W134,0)</f>
        <v>3340397.8005555551</v>
      </c>
      <c r="AA134" s="84">
        <f t="shared" si="45"/>
        <v>36744375.806111097</v>
      </c>
      <c r="AB134" s="85">
        <f t="shared" ref="AB134:AB197" si="50">+IF(AA134&lt;&gt;0,$W134,0)</f>
        <v>3340397.8005555551</v>
      </c>
      <c r="AC134" s="84">
        <f t="shared" ref="AC134:AC197" si="51">AA134-AB134</f>
        <v>33403978.00555554</v>
      </c>
      <c r="AD134" s="85">
        <f t="shared" si="46"/>
        <v>3340397.8005555551</v>
      </c>
      <c r="AE134" s="84">
        <f t="shared" ref="AE134:AE197" si="52">AC134-AD134</f>
        <v>30063580.204999983</v>
      </c>
      <c r="AF134" s="85">
        <f t="shared" si="47"/>
        <v>3340397.8005555551</v>
      </c>
      <c r="AG134" s="84">
        <f t="shared" ref="AG134:AG197" si="53">AE134-AF134</f>
        <v>26723182.404444426</v>
      </c>
      <c r="AH134" s="85"/>
      <c r="AI134" s="84">
        <f t="shared" ref="AI134:AI197" si="54">AG134-AH134</f>
        <v>26723182.404444426</v>
      </c>
      <c r="AJ134" s="85"/>
      <c r="AK134" s="84">
        <f t="shared" ref="AK134:AK197" si="55">AI134-AJ134</f>
        <v>26723182.404444426</v>
      </c>
      <c r="AL134" s="85"/>
      <c r="AM134" s="84">
        <f t="shared" ref="AM134:AM197" si="56">AK134-AL134</f>
        <v>26723182.404444426</v>
      </c>
      <c r="AN134" s="85"/>
      <c r="AO134" s="84">
        <f t="shared" ref="AO134:AO197" si="57">AM134-AN134</f>
        <v>26723182.404444426</v>
      </c>
      <c r="AP134" s="85"/>
      <c r="AQ134" s="84">
        <f t="shared" ref="AQ134:AQ197" si="58">AO134-AP134</f>
        <v>26723182.404444426</v>
      </c>
      <c r="AR134" s="85"/>
      <c r="AS134" s="84">
        <f t="shared" ref="AS134:AS197" si="59">AQ134-AR134</f>
        <v>26723182.404444426</v>
      </c>
      <c r="AT134" s="85"/>
      <c r="AU134" s="84">
        <f t="shared" ref="AU134:AU197" si="60">AS134-AT134</f>
        <v>26723182.404444426</v>
      </c>
      <c r="AV134" s="85"/>
      <c r="AW134" s="84">
        <f t="shared" ref="AW134:AW197" si="61">AU134-AV134</f>
        <v>26723182.404444426</v>
      </c>
      <c r="AX134" s="86">
        <f t="shared" ref="AX134:AX197" si="62">SUMIF($Z$4:$AW$4,"Amortization",Z134:AW134)</f>
        <v>13361591.202222221</v>
      </c>
      <c r="AY134" s="87">
        <f t="shared" ref="AY134:AY197" si="63">V134-X134-AX134</f>
        <v>26723182.404444434</v>
      </c>
      <c r="AZ134" s="65" t="b">
        <f t="shared" ref="AZ134:AZ197" si="64">ROUND(AW134,0)=ROUND(AY134,0)</f>
        <v>1</v>
      </c>
    </row>
    <row r="135" spans="1:52" s="67" customFormat="1" ht="24.75" hidden="1" customHeight="1">
      <c r="A135" s="68">
        <v>130</v>
      </c>
      <c r="B135" s="69" t="s">
        <v>381</v>
      </c>
      <c r="C135" s="88" t="s">
        <v>81</v>
      </c>
      <c r="D135" s="71" t="s">
        <v>95</v>
      </c>
      <c r="E135" s="88" t="s">
        <v>382</v>
      </c>
      <c r="F135" s="92" t="s">
        <v>97</v>
      </c>
      <c r="G135" s="88">
        <v>20231231</v>
      </c>
      <c r="H135" s="88">
        <v>23121193</v>
      </c>
      <c r="I135" s="95" t="s">
        <v>98</v>
      </c>
      <c r="J135" s="88" t="s">
        <v>156</v>
      </c>
      <c r="K135" s="68" t="s">
        <v>99</v>
      </c>
      <c r="L135" s="70" t="s">
        <v>100</v>
      </c>
      <c r="M135" s="88" t="s">
        <v>101</v>
      </c>
      <c r="N135" s="88" t="s">
        <v>102</v>
      </c>
      <c r="O135" s="77">
        <v>1</v>
      </c>
      <c r="P135" s="90">
        <v>45292</v>
      </c>
      <c r="Q135" s="94">
        <f t="shared" si="42"/>
        <v>46387</v>
      </c>
      <c r="R135" s="79">
        <v>36</v>
      </c>
      <c r="S135" s="79">
        <f t="shared" si="48"/>
        <v>3</v>
      </c>
      <c r="T135" s="91">
        <v>150774909.25</v>
      </c>
      <c r="U135" s="81"/>
      <c r="V135" s="82">
        <f t="shared" si="43"/>
        <v>150774909.25</v>
      </c>
      <c r="W135" s="83">
        <f t="shared" si="44"/>
        <v>4188191.923611111</v>
      </c>
      <c r="X135" s="83">
        <v>100516606.16666667</v>
      </c>
      <c r="Y135" s="82">
        <v>50258303.083333321</v>
      </c>
      <c r="Z135" s="85">
        <f t="shared" si="49"/>
        <v>4188191.923611111</v>
      </c>
      <c r="AA135" s="84">
        <f t="shared" si="45"/>
        <v>46070111.159722216</v>
      </c>
      <c r="AB135" s="85">
        <f t="shared" si="50"/>
        <v>4188191.923611111</v>
      </c>
      <c r="AC135" s="84">
        <f t="shared" si="51"/>
        <v>41881919.236111104</v>
      </c>
      <c r="AD135" s="85">
        <f t="shared" si="46"/>
        <v>4188191.923611111</v>
      </c>
      <c r="AE135" s="84">
        <f t="shared" si="52"/>
        <v>37693727.312499993</v>
      </c>
      <c r="AF135" s="85">
        <f t="shared" si="47"/>
        <v>4188191.923611111</v>
      </c>
      <c r="AG135" s="84">
        <f t="shared" si="53"/>
        <v>33505535.388888881</v>
      </c>
      <c r="AH135" s="85"/>
      <c r="AI135" s="84">
        <f t="shared" si="54"/>
        <v>33505535.388888881</v>
      </c>
      <c r="AJ135" s="85"/>
      <c r="AK135" s="84">
        <f t="shared" si="55"/>
        <v>33505535.388888881</v>
      </c>
      <c r="AL135" s="85"/>
      <c r="AM135" s="84">
        <f t="shared" si="56"/>
        <v>33505535.388888881</v>
      </c>
      <c r="AN135" s="85"/>
      <c r="AO135" s="84">
        <f t="shared" si="57"/>
        <v>33505535.388888881</v>
      </c>
      <c r="AP135" s="85"/>
      <c r="AQ135" s="84">
        <f t="shared" si="58"/>
        <v>33505535.388888881</v>
      </c>
      <c r="AR135" s="85"/>
      <c r="AS135" s="84">
        <f t="shared" si="59"/>
        <v>33505535.388888881</v>
      </c>
      <c r="AT135" s="85"/>
      <c r="AU135" s="84">
        <f t="shared" si="60"/>
        <v>33505535.388888881</v>
      </c>
      <c r="AV135" s="85"/>
      <c r="AW135" s="84">
        <f t="shared" si="61"/>
        <v>33505535.388888881</v>
      </c>
      <c r="AX135" s="86">
        <f t="shared" si="62"/>
        <v>16752767.694444444</v>
      </c>
      <c r="AY135" s="87">
        <f t="shared" si="63"/>
        <v>33505535.388888884</v>
      </c>
      <c r="AZ135" s="65" t="b">
        <f t="shared" si="64"/>
        <v>1</v>
      </c>
    </row>
    <row r="136" spans="1:52" s="67" customFormat="1" ht="24.75" hidden="1" customHeight="1">
      <c r="A136" s="68">
        <v>131</v>
      </c>
      <c r="B136" s="69" t="s">
        <v>383</v>
      </c>
      <c r="C136" s="88" t="s">
        <v>81</v>
      </c>
      <c r="D136" s="71" t="s">
        <v>95</v>
      </c>
      <c r="E136" s="88" t="s">
        <v>384</v>
      </c>
      <c r="F136" s="92" t="s">
        <v>97</v>
      </c>
      <c r="G136" s="88">
        <v>20231231</v>
      </c>
      <c r="H136" s="88">
        <v>23121193</v>
      </c>
      <c r="I136" s="95" t="s">
        <v>98</v>
      </c>
      <c r="J136" s="88" t="s">
        <v>156</v>
      </c>
      <c r="K136" s="68" t="s">
        <v>99</v>
      </c>
      <c r="L136" s="70" t="s">
        <v>100</v>
      </c>
      <c r="M136" s="88" t="s">
        <v>101</v>
      </c>
      <c r="N136" s="88" t="s">
        <v>102</v>
      </c>
      <c r="O136" s="77">
        <v>1</v>
      </c>
      <c r="P136" s="90">
        <v>45292</v>
      </c>
      <c r="Q136" s="94">
        <f t="shared" si="42"/>
        <v>46387</v>
      </c>
      <c r="R136" s="79">
        <v>36</v>
      </c>
      <c r="S136" s="79">
        <f t="shared" si="48"/>
        <v>3</v>
      </c>
      <c r="T136" s="91">
        <v>53974527.990000002</v>
      </c>
      <c r="U136" s="81"/>
      <c r="V136" s="82">
        <f t="shared" si="43"/>
        <v>53974527.990000002</v>
      </c>
      <c r="W136" s="83">
        <f t="shared" si="44"/>
        <v>1499292.4441666668</v>
      </c>
      <c r="X136" s="83">
        <v>35983018.660000011</v>
      </c>
      <c r="Y136" s="82">
        <v>17991509.329999991</v>
      </c>
      <c r="Z136" s="85">
        <f t="shared" si="49"/>
        <v>1499292.4441666668</v>
      </c>
      <c r="AA136" s="84">
        <f t="shared" si="45"/>
        <v>16492216.885833323</v>
      </c>
      <c r="AB136" s="85">
        <f t="shared" si="50"/>
        <v>1499292.4441666668</v>
      </c>
      <c r="AC136" s="84">
        <f t="shared" si="51"/>
        <v>14992924.441666655</v>
      </c>
      <c r="AD136" s="85">
        <f t="shared" si="46"/>
        <v>1499292.4441666668</v>
      </c>
      <c r="AE136" s="84">
        <f t="shared" si="52"/>
        <v>13493631.997499987</v>
      </c>
      <c r="AF136" s="85">
        <f t="shared" si="47"/>
        <v>1499292.4441666668</v>
      </c>
      <c r="AG136" s="84">
        <f t="shared" si="53"/>
        <v>11994339.55333332</v>
      </c>
      <c r="AH136" s="85"/>
      <c r="AI136" s="84">
        <f t="shared" si="54"/>
        <v>11994339.55333332</v>
      </c>
      <c r="AJ136" s="85"/>
      <c r="AK136" s="84">
        <f t="shared" si="55"/>
        <v>11994339.55333332</v>
      </c>
      <c r="AL136" s="85"/>
      <c r="AM136" s="84">
        <f t="shared" si="56"/>
        <v>11994339.55333332</v>
      </c>
      <c r="AN136" s="85"/>
      <c r="AO136" s="84">
        <f t="shared" si="57"/>
        <v>11994339.55333332</v>
      </c>
      <c r="AP136" s="85"/>
      <c r="AQ136" s="84">
        <f t="shared" si="58"/>
        <v>11994339.55333332</v>
      </c>
      <c r="AR136" s="85"/>
      <c r="AS136" s="84">
        <f t="shared" si="59"/>
        <v>11994339.55333332</v>
      </c>
      <c r="AT136" s="85"/>
      <c r="AU136" s="84">
        <f t="shared" si="60"/>
        <v>11994339.55333332</v>
      </c>
      <c r="AV136" s="85"/>
      <c r="AW136" s="84">
        <f t="shared" si="61"/>
        <v>11994339.55333332</v>
      </c>
      <c r="AX136" s="86">
        <f t="shared" si="62"/>
        <v>5997169.7766666673</v>
      </c>
      <c r="AY136" s="87">
        <f t="shared" si="63"/>
        <v>11994339.553333323</v>
      </c>
      <c r="AZ136" s="65" t="b">
        <f t="shared" si="64"/>
        <v>1</v>
      </c>
    </row>
    <row r="137" spans="1:52" s="67" customFormat="1" ht="24.75" hidden="1" customHeight="1">
      <c r="A137" s="68">
        <v>132</v>
      </c>
      <c r="B137" s="69" t="s">
        <v>385</v>
      </c>
      <c r="C137" s="88" t="s">
        <v>81</v>
      </c>
      <c r="D137" s="71" t="s">
        <v>95</v>
      </c>
      <c r="E137" s="88" t="s">
        <v>386</v>
      </c>
      <c r="F137" s="92" t="s">
        <v>97</v>
      </c>
      <c r="G137" s="88">
        <v>20231231</v>
      </c>
      <c r="H137" s="88">
        <v>23121193</v>
      </c>
      <c r="I137" s="95" t="s">
        <v>98</v>
      </c>
      <c r="J137" s="88" t="s">
        <v>156</v>
      </c>
      <c r="K137" s="68" t="s">
        <v>99</v>
      </c>
      <c r="L137" s="70" t="s">
        <v>100</v>
      </c>
      <c r="M137" s="88" t="s">
        <v>101</v>
      </c>
      <c r="N137" s="88" t="s">
        <v>102</v>
      </c>
      <c r="O137" s="77">
        <v>1</v>
      </c>
      <c r="P137" s="90">
        <v>45292</v>
      </c>
      <c r="Q137" s="94">
        <f t="shared" si="42"/>
        <v>46387</v>
      </c>
      <c r="R137" s="79">
        <v>36</v>
      </c>
      <c r="S137" s="79">
        <f t="shared" si="48"/>
        <v>3</v>
      </c>
      <c r="T137" s="91">
        <v>53974527.990000002</v>
      </c>
      <c r="U137" s="81"/>
      <c r="V137" s="82">
        <f t="shared" si="43"/>
        <v>53974527.990000002</v>
      </c>
      <c r="W137" s="83">
        <f t="shared" si="44"/>
        <v>1499292.4441666668</v>
      </c>
      <c r="X137" s="83">
        <v>35983018.660000011</v>
      </c>
      <c r="Y137" s="82">
        <v>17991509.329999991</v>
      </c>
      <c r="Z137" s="85">
        <f t="shared" si="49"/>
        <v>1499292.4441666668</v>
      </c>
      <c r="AA137" s="84">
        <f t="shared" si="45"/>
        <v>16492216.885833323</v>
      </c>
      <c r="AB137" s="85">
        <f t="shared" si="50"/>
        <v>1499292.4441666668</v>
      </c>
      <c r="AC137" s="84">
        <f t="shared" si="51"/>
        <v>14992924.441666655</v>
      </c>
      <c r="AD137" s="85">
        <f t="shared" si="46"/>
        <v>1499292.4441666668</v>
      </c>
      <c r="AE137" s="84">
        <f t="shared" si="52"/>
        <v>13493631.997499987</v>
      </c>
      <c r="AF137" s="85">
        <f t="shared" si="47"/>
        <v>1499292.4441666668</v>
      </c>
      <c r="AG137" s="84">
        <f t="shared" si="53"/>
        <v>11994339.55333332</v>
      </c>
      <c r="AH137" s="85"/>
      <c r="AI137" s="84">
        <f t="shared" si="54"/>
        <v>11994339.55333332</v>
      </c>
      <c r="AJ137" s="85"/>
      <c r="AK137" s="84">
        <f t="shared" si="55"/>
        <v>11994339.55333332</v>
      </c>
      <c r="AL137" s="85"/>
      <c r="AM137" s="84">
        <f t="shared" si="56"/>
        <v>11994339.55333332</v>
      </c>
      <c r="AN137" s="85"/>
      <c r="AO137" s="84">
        <f t="shared" si="57"/>
        <v>11994339.55333332</v>
      </c>
      <c r="AP137" s="85"/>
      <c r="AQ137" s="84">
        <f t="shared" si="58"/>
        <v>11994339.55333332</v>
      </c>
      <c r="AR137" s="85"/>
      <c r="AS137" s="84">
        <f t="shared" si="59"/>
        <v>11994339.55333332</v>
      </c>
      <c r="AT137" s="85"/>
      <c r="AU137" s="84">
        <f t="shared" si="60"/>
        <v>11994339.55333332</v>
      </c>
      <c r="AV137" s="85"/>
      <c r="AW137" s="84">
        <f t="shared" si="61"/>
        <v>11994339.55333332</v>
      </c>
      <c r="AX137" s="86">
        <f t="shared" si="62"/>
        <v>5997169.7766666673</v>
      </c>
      <c r="AY137" s="87">
        <f t="shared" si="63"/>
        <v>11994339.553333323</v>
      </c>
      <c r="AZ137" s="65" t="b">
        <f t="shared" si="64"/>
        <v>1</v>
      </c>
    </row>
    <row r="138" spans="1:52" s="67" customFormat="1" ht="24.75" hidden="1" customHeight="1">
      <c r="A138" s="68">
        <v>133</v>
      </c>
      <c r="B138" s="69" t="s">
        <v>387</v>
      </c>
      <c r="C138" s="88" t="s">
        <v>81</v>
      </c>
      <c r="D138" s="71" t="s">
        <v>95</v>
      </c>
      <c r="E138" s="88" t="s">
        <v>388</v>
      </c>
      <c r="F138" s="92" t="s">
        <v>97</v>
      </c>
      <c r="G138" s="88">
        <v>20231231</v>
      </c>
      <c r="H138" s="88">
        <v>23121193</v>
      </c>
      <c r="I138" s="95" t="s">
        <v>98</v>
      </c>
      <c r="J138" s="88" t="s">
        <v>156</v>
      </c>
      <c r="K138" s="68" t="s">
        <v>99</v>
      </c>
      <c r="L138" s="70" t="s">
        <v>100</v>
      </c>
      <c r="M138" s="88" t="s">
        <v>101</v>
      </c>
      <c r="N138" s="88" t="s">
        <v>102</v>
      </c>
      <c r="O138" s="77">
        <v>1</v>
      </c>
      <c r="P138" s="90">
        <v>45292</v>
      </c>
      <c r="Q138" s="94">
        <f t="shared" si="42"/>
        <v>46387</v>
      </c>
      <c r="R138" s="79">
        <v>36</v>
      </c>
      <c r="S138" s="79">
        <f t="shared" si="48"/>
        <v>3</v>
      </c>
      <c r="T138" s="91">
        <v>53974527.990000002</v>
      </c>
      <c r="U138" s="81"/>
      <c r="V138" s="82">
        <f t="shared" si="43"/>
        <v>53974527.990000002</v>
      </c>
      <c r="W138" s="83">
        <f t="shared" si="44"/>
        <v>1499292.4441666668</v>
      </c>
      <c r="X138" s="83">
        <v>35983018.660000011</v>
      </c>
      <c r="Y138" s="82">
        <v>17991509.329999991</v>
      </c>
      <c r="Z138" s="85">
        <f t="shared" si="49"/>
        <v>1499292.4441666668</v>
      </c>
      <c r="AA138" s="84">
        <f t="shared" si="45"/>
        <v>16492216.885833323</v>
      </c>
      <c r="AB138" s="85">
        <f t="shared" si="50"/>
        <v>1499292.4441666668</v>
      </c>
      <c r="AC138" s="84">
        <f t="shared" si="51"/>
        <v>14992924.441666655</v>
      </c>
      <c r="AD138" s="85">
        <f t="shared" si="46"/>
        <v>1499292.4441666668</v>
      </c>
      <c r="AE138" s="84">
        <f t="shared" si="52"/>
        <v>13493631.997499987</v>
      </c>
      <c r="AF138" s="85">
        <f t="shared" si="47"/>
        <v>1499292.4441666668</v>
      </c>
      <c r="AG138" s="84">
        <f t="shared" si="53"/>
        <v>11994339.55333332</v>
      </c>
      <c r="AH138" s="85"/>
      <c r="AI138" s="84">
        <f t="shared" si="54"/>
        <v>11994339.55333332</v>
      </c>
      <c r="AJ138" s="85"/>
      <c r="AK138" s="84">
        <f t="shared" si="55"/>
        <v>11994339.55333332</v>
      </c>
      <c r="AL138" s="85"/>
      <c r="AM138" s="84">
        <f t="shared" si="56"/>
        <v>11994339.55333332</v>
      </c>
      <c r="AN138" s="85"/>
      <c r="AO138" s="84">
        <f t="shared" si="57"/>
        <v>11994339.55333332</v>
      </c>
      <c r="AP138" s="85"/>
      <c r="AQ138" s="84">
        <f t="shared" si="58"/>
        <v>11994339.55333332</v>
      </c>
      <c r="AR138" s="85"/>
      <c r="AS138" s="84">
        <f t="shared" si="59"/>
        <v>11994339.55333332</v>
      </c>
      <c r="AT138" s="85"/>
      <c r="AU138" s="84">
        <f t="shared" si="60"/>
        <v>11994339.55333332</v>
      </c>
      <c r="AV138" s="85"/>
      <c r="AW138" s="84">
        <f t="shared" si="61"/>
        <v>11994339.55333332</v>
      </c>
      <c r="AX138" s="86">
        <f t="shared" si="62"/>
        <v>5997169.7766666673</v>
      </c>
      <c r="AY138" s="87">
        <f t="shared" si="63"/>
        <v>11994339.553333323</v>
      </c>
      <c r="AZ138" s="65" t="b">
        <f t="shared" si="64"/>
        <v>1</v>
      </c>
    </row>
    <row r="139" spans="1:52" s="67" customFormat="1" ht="24.75" hidden="1" customHeight="1">
      <c r="A139" s="68">
        <v>134</v>
      </c>
      <c r="B139" s="69" t="s">
        <v>389</v>
      </c>
      <c r="C139" s="88" t="s">
        <v>81</v>
      </c>
      <c r="D139" s="71" t="s">
        <v>95</v>
      </c>
      <c r="E139" s="88" t="s">
        <v>390</v>
      </c>
      <c r="F139" s="92" t="s">
        <v>97</v>
      </c>
      <c r="G139" s="88">
        <v>20231231</v>
      </c>
      <c r="H139" s="88">
        <v>23121193</v>
      </c>
      <c r="I139" s="95" t="s">
        <v>98</v>
      </c>
      <c r="J139" s="88" t="s">
        <v>156</v>
      </c>
      <c r="K139" s="68" t="s">
        <v>99</v>
      </c>
      <c r="L139" s="70" t="s">
        <v>100</v>
      </c>
      <c r="M139" s="88" t="s">
        <v>101</v>
      </c>
      <c r="N139" s="88" t="s">
        <v>102</v>
      </c>
      <c r="O139" s="77">
        <v>1</v>
      </c>
      <c r="P139" s="90">
        <v>45292</v>
      </c>
      <c r="Q139" s="94">
        <f t="shared" si="42"/>
        <v>46387</v>
      </c>
      <c r="R139" s="79">
        <v>36</v>
      </c>
      <c r="S139" s="79">
        <f t="shared" si="48"/>
        <v>3</v>
      </c>
      <c r="T139" s="91">
        <v>124390527.98999999</v>
      </c>
      <c r="U139" s="81"/>
      <c r="V139" s="82">
        <f t="shared" si="43"/>
        <v>124390527.98999999</v>
      </c>
      <c r="W139" s="83">
        <f t="shared" si="44"/>
        <v>3455292.4441666664</v>
      </c>
      <c r="X139" s="83">
        <v>82927018.660000011</v>
      </c>
      <c r="Y139" s="82">
        <v>41463509.329999991</v>
      </c>
      <c r="Z139" s="85">
        <f t="shared" si="49"/>
        <v>3455292.4441666664</v>
      </c>
      <c r="AA139" s="84">
        <f t="shared" si="45"/>
        <v>38008216.885833316</v>
      </c>
      <c r="AB139" s="85">
        <f t="shared" si="50"/>
        <v>3455292.4441666664</v>
      </c>
      <c r="AC139" s="84">
        <f t="shared" si="51"/>
        <v>34552924.441666648</v>
      </c>
      <c r="AD139" s="85">
        <f t="shared" si="46"/>
        <v>3455292.4441666664</v>
      </c>
      <c r="AE139" s="84">
        <f t="shared" si="52"/>
        <v>31097631.99749998</v>
      </c>
      <c r="AF139" s="85">
        <f t="shared" si="47"/>
        <v>3455292.4441666664</v>
      </c>
      <c r="AG139" s="84">
        <f t="shared" si="53"/>
        <v>27642339.553333312</v>
      </c>
      <c r="AH139" s="85"/>
      <c r="AI139" s="84">
        <f t="shared" si="54"/>
        <v>27642339.553333312</v>
      </c>
      <c r="AJ139" s="85"/>
      <c r="AK139" s="84">
        <f t="shared" si="55"/>
        <v>27642339.553333312</v>
      </c>
      <c r="AL139" s="85"/>
      <c r="AM139" s="84">
        <f t="shared" si="56"/>
        <v>27642339.553333312</v>
      </c>
      <c r="AN139" s="85"/>
      <c r="AO139" s="84">
        <f t="shared" si="57"/>
        <v>27642339.553333312</v>
      </c>
      <c r="AP139" s="85"/>
      <c r="AQ139" s="84">
        <f t="shared" si="58"/>
        <v>27642339.553333312</v>
      </c>
      <c r="AR139" s="85"/>
      <c r="AS139" s="84">
        <f t="shared" si="59"/>
        <v>27642339.553333312</v>
      </c>
      <c r="AT139" s="85"/>
      <c r="AU139" s="84">
        <f t="shared" si="60"/>
        <v>27642339.553333312</v>
      </c>
      <c r="AV139" s="85"/>
      <c r="AW139" s="84">
        <f t="shared" si="61"/>
        <v>27642339.553333312</v>
      </c>
      <c r="AX139" s="86">
        <f t="shared" si="62"/>
        <v>13821169.776666665</v>
      </c>
      <c r="AY139" s="87">
        <f t="shared" si="63"/>
        <v>27642339.55333332</v>
      </c>
      <c r="AZ139" s="65" t="b">
        <f t="shared" si="64"/>
        <v>1</v>
      </c>
    </row>
    <row r="140" spans="1:52" s="67" customFormat="1" ht="24.75" hidden="1" customHeight="1">
      <c r="A140" s="68">
        <v>135</v>
      </c>
      <c r="B140" s="69" t="s">
        <v>391</v>
      </c>
      <c r="C140" s="88" t="s">
        <v>73</v>
      </c>
      <c r="D140" s="71" t="s">
        <v>64</v>
      </c>
      <c r="E140" s="88" t="s">
        <v>392</v>
      </c>
      <c r="F140" s="89" t="s">
        <v>393</v>
      </c>
      <c r="G140" s="88">
        <v>20240125</v>
      </c>
      <c r="H140" s="88">
        <v>24010627</v>
      </c>
      <c r="I140" s="74" t="s">
        <v>66</v>
      </c>
      <c r="J140" s="88" t="s">
        <v>67</v>
      </c>
      <c r="K140" s="68" t="s">
        <v>68</v>
      </c>
      <c r="L140" s="70" t="s">
        <v>69</v>
      </c>
      <c r="M140" s="88" t="s">
        <v>55</v>
      </c>
      <c r="N140" s="88" t="s">
        <v>56</v>
      </c>
      <c r="O140" s="77">
        <v>1</v>
      </c>
      <c r="P140" s="90">
        <v>45323</v>
      </c>
      <c r="Q140" s="94">
        <f t="shared" ref="Q140:Q203" si="65">+EDATE(P140,R140)-DAY(P140)</f>
        <v>46418</v>
      </c>
      <c r="R140" s="79">
        <v>36</v>
      </c>
      <c r="S140" s="79">
        <f t="shared" si="48"/>
        <v>3</v>
      </c>
      <c r="T140" s="91">
        <v>403400000</v>
      </c>
      <c r="U140" s="81"/>
      <c r="V140" s="82">
        <v>403400000</v>
      </c>
      <c r="W140" s="83">
        <f t="shared" si="44"/>
        <v>11205555.555555556</v>
      </c>
      <c r="X140" s="83">
        <v>257727777.77777773</v>
      </c>
      <c r="Y140" s="100">
        <v>145672222.22222224</v>
      </c>
      <c r="Z140" s="85">
        <f t="shared" si="49"/>
        <v>11205555.555555556</v>
      </c>
      <c r="AA140" s="84">
        <f t="shared" si="45"/>
        <v>134466666.66666672</v>
      </c>
      <c r="AB140" s="85">
        <f t="shared" si="50"/>
        <v>11205555.555555556</v>
      </c>
      <c r="AC140" s="84">
        <f t="shared" si="51"/>
        <v>123261111.11111116</v>
      </c>
      <c r="AD140" s="85">
        <f t="shared" si="46"/>
        <v>11205555.555555556</v>
      </c>
      <c r="AE140" s="84">
        <f t="shared" si="52"/>
        <v>112055555.55555561</v>
      </c>
      <c r="AF140" s="85">
        <f t="shared" si="47"/>
        <v>11205555.555555556</v>
      </c>
      <c r="AG140" s="84">
        <f t="shared" si="53"/>
        <v>100850000.00000006</v>
      </c>
      <c r="AH140" s="85"/>
      <c r="AI140" s="84">
        <f t="shared" si="54"/>
        <v>100850000.00000006</v>
      </c>
      <c r="AJ140" s="85"/>
      <c r="AK140" s="84">
        <f t="shared" si="55"/>
        <v>100850000.00000006</v>
      </c>
      <c r="AL140" s="85"/>
      <c r="AM140" s="84">
        <f t="shared" si="56"/>
        <v>100850000.00000006</v>
      </c>
      <c r="AN140" s="85"/>
      <c r="AO140" s="84">
        <f t="shared" si="57"/>
        <v>100850000.00000006</v>
      </c>
      <c r="AP140" s="85"/>
      <c r="AQ140" s="84">
        <f t="shared" si="58"/>
        <v>100850000.00000006</v>
      </c>
      <c r="AR140" s="85"/>
      <c r="AS140" s="84">
        <f t="shared" si="59"/>
        <v>100850000.00000006</v>
      </c>
      <c r="AT140" s="85"/>
      <c r="AU140" s="84">
        <f t="shared" si="60"/>
        <v>100850000.00000006</v>
      </c>
      <c r="AV140" s="85"/>
      <c r="AW140" s="84">
        <f t="shared" si="61"/>
        <v>100850000.00000006</v>
      </c>
      <c r="AX140" s="86">
        <f t="shared" si="62"/>
        <v>44822222.222222224</v>
      </c>
      <c r="AY140" s="87">
        <f t="shared" si="63"/>
        <v>100850000.00000004</v>
      </c>
      <c r="AZ140" s="65" t="b">
        <f t="shared" si="64"/>
        <v>1</v>
      </c>
    </row>
    <row r="141" spans="1:52" s="67" customFormat="1" ht="24.75" hidden="1" customHeight="1">
      <c r="A141" s="68">
        <v>136</v>
      </c>
      <c r="B141" s="69" t="s">
        <v>394</v>
      </c>
      <c r="C141" s="71" t="s">
        <v>395</v>
      </c>
      <c r="D141" s="71" t="s">
        <v>396</v>
      </c>
      <c r="E141" s="88" t="s">
        <v>397</v>
      </c>
      <c r="F141" s="89" t="s">
        <v>398</v>
      </c>
      <c r="G141" s="88">
        <v>20240129</v>
      </c>
      <c r="H141" s="88">
        <v>24010497</v>
      </c>
      <c r="I141" s="74" t="s">
        <v>399</v>
      </c>
      <c r="J141" s="88" t="s">
        <v>400</v>
      </c>
      <c r="K141" s="68" t="s">
        <v>401</v>
      </c>
      <c r="L141" s="70" t="s">
        <v>402</v>
      </c>
      <c r="M141" s="88" t="s">
        <v>403</v>
      </c>
      <c r="N141" s="88" t="s">
        <v>404</v>
      </c>
      <c r="O141" s="77">
        <v>1</v>
      </c>
      <c r="P141" s="90">
        <v>45323</v>
      </c>
      <c r="Q141" s="94">
        <f t="shared" si="65"/>
        <v>46418</v>
      </c>
      <c r="R141" s="79">
        <v>36</v>
      </c>
      <c r="S141" s="79">
        <f t="shared" si="48"/>
        <v>3</v>
      </c>
      <c r="T141" s="91">
        <v>35200000</v>
      </c>
      <c r="U141" s="81"/>
      <c r="V141" s="82">
        <v>35200000</v>
      </c>
      <c r="W141" s="83">
        <f t="shared" ref="W141:W204" si="66">V141/R141</f>
        <v>977777.77777777775</v>
      </c>
      <c r="X141" s="83">
        <v>22488888.888888888</v>
      </c>
      <c r="Y141" s="83">
        <v>12711111.11111111</v>
      </c>
      <c r="Z141" s="85">
        <f t="shared" si="49"/>
        <v>977777.77777777775</v>
      </c>
      <c r="AA141" s="84">
        <f t="shared" ref="AA141:AA204" si="67">+V141-X141-Z141</f>
        <v>11733333.333333334</v>
      </c>
      <c r="AB141" s="85">
        <f t="shared" si="50"/>
        <v>977777.77777777775</v>
      </c>
      <c r="AC141" s="84">
        <f t="shared" si="51"/>
        <v>10755555.555555556</v>
      </c>
      <c r="AD141" s="85">
        <f t="shared" si="46"/>
        <v>977777.77777777775</v>
      </c>
      <c r="AE141" s="84">
        <f t="shared" si="52"/>
        <v>9777777.777777778</v>
      </c>
      <c r="AF141" s="85">
        <f t="shared" si="47"/>
        <v>977777.77777777775</v>
      </c>
      <c r="AG141" s="84">
        <f t="shared" si="53"/>
        <v>8800000</v>
      </c>
      <c r="AH141" s="85"/>
      <c r="AI141" s="84">
        <f t="shared" si="54"/>
        <v>8800000</v>
      </c>
      <c r="AJ141" s="85"/>
      <c r="AK141" s="84">
        <f t="shared" si="55"/>
        <v>8800000</v>
      </c>
      <c r="AL141" s="85"/>
      <c r="AM141" s="84">
        <f t="shared" si="56"/>
        <v>8800000</v>
      </c>
      <c r="AN141" s="85"/>
      <c r="AO141" s="84">
        <f t="shared" si="57"/>
        <v>8800000</v>
      </c>
      <c r="AP141" s="85"/>
      <c r="AQ141" s="84">
        <f t="shared" si="58"/>
        <v>8800000</v>
      </c>
      <c r="AR141" s="85"/>
      <c r="AS141" s="84">
        <f t="shared" si="59"/>
        <v>8800000</v>
      </c>
      <c r="AT141" s="85"/>
      <c r="AU141" s="84">
        <f t="shared" si="60"/>
        <v>8800000</v>
      </c>
      <c r="AV141" s="85"/>
      <c r="AW141" s="84">
        <f t="shared" si="61"/>
        <v>8800000</v>
      </c>
      <c r="AX141" s="86">
        <f t="shared" si="62"/>
        <v>3911111.111111111</v>
      </c>
      <c r="AY141" s="87">
        <f t="shared" si="63"/>
        <v>8800000</v>
      </c>
      <c r="AZ141" s="65" t="b">
        <f t="shared" si="64"/>
        <v>1</v>
      </c>
    </row>
    <row r="142" spans="1:52" s="67" customFormat="1" ht="24.75" hidden="1" customHeight="1">
      <c r="A142" s="68">
        <v>137</v>
      </c>
      <c r="B142" s="69" t="s">
        <v>405</v>
      </c>
      <c r="C142" s="88" t="s">
        <v>81</v>
      </c>
      <c r="D142" s="71" t="s">
        <v>95</v>
      </c>
      <c r="E142" s="88" t="s">
        <v>406</v>
      </c>
      <c r="F142" s="92" t="s">
        <v>97</v>
      </c>
      <c r="G142" s="88">
        <v>20240131</v>
      </c>
      <c r="H142" s="88">
        <v>24010770</v>
      </c>
      <c r="I142" s="95" t="s">
        <v>98</v>
      </c>
      <c r="J142" s="88" t="s">
        <v>156</v>
      </c>
      <c r="K142" s="73" t="s">
        <v>99</v>
      </c>
      <c r="L142" s="70" t="s">
        <v>100</v>
      </c>
      <c r="M142" s="88" t="s">
        <v>101</v>
      </c>
      <c r="N142" s="88" t="s">
        <v>102</v>
      </c>
      <c r="O142" s="77">
        <v>1</v>
      </c>
      <c r="P142" s="90">
        <v>45323</v>
      </c>
      <c r="Q142" s="94">
        <f t="shared" si="65"/>
        <v>46418</v>
      </c>
      <c r="R142" s="79">
        <v>36</v>
      </c>
      <c r="S142" s="79">
        <f t="shared" si="48"/>
        <v>3</v>
      </c>
      <c r="T142" s="91">
        <v>300000000</v>
      </c>
      <c r="U142" s="81"/>
      <c r="V142" s="82">
        <v>300000000</v>
      </c>
      <c r="W142" s="83">
        <f t="shared" si="66"/>
        <v>8333333.333333333</v>
      </c>
      <c r="X142" s="83">
        <v>191666666.66666663</v>
      </c>
      <c r="Y142" s="83">
        <v>108333333.33333336</v>
      </c>
      <c r="Z142" s="85">
        <f t="shared" si="49"/>
        <v>8333333.333333333</v>
      </c>
      <c r="AA142" s="84">
        <f t="shared" si="67"/>
        <v>100000000.00000004</v>
      </c>
      <c r="AB142" s="85">
        <f t="shared" si="50"/>
        <v>8333333.333333333</v>
      </c>
      <c r="AC142" s="84">
        <f t="shared" si="51"/>
        <v>91666666.666666716</v>
      </c>
      <c r="AD142" s="85">
        <f t="shared" si="46"/>
        <v>8333333.333333333</v>
      </c>
      <c r="AE142" s="84">
        <f t="shared" si="52"/>
        <v>83333333.333333388</v>
      </c>
      <c r="AF142" s="85">
        <f t="shared" si="47"/>
        <v>8333333.333333333</v>
      </c>
      <c r="AG142" s="84">
        <f t="shared" si="53"/>
        <v>75000000.00000006</v>
      </c>
      <c r="AH142" s="85"/>
      <c r="AI142" s="84">
        <f t="shared" si="54"/>
        <v>75000000.00000006</v>
      </c>
      <c r="AJ142" s="85"/>
      <c r="AK142" s="84">
        <f t="shared" si="55"/>
        <v>75000000.00000006</v>
      </c>
      <c r="AL142" s="85"/>
      <c r="AM142" s="84">
        <f t="shared" si="56"/>
        <v>75000000.00000006</v>
      </c>
      <c r="AN142" s="85"/>
      <c r="AO142" s="84">
        <f t="shared" si="57"/>
        <v>75000000.00000006</v>
      </c>
      <c r="AP142" s="85"/>
      <c r="AQ142" s="84">
        <f t="shared" si="58"/>
        <v>75000000.00000006</v>
      </c>
      <c r="AR142" s="85"/>
      <c r="AS142" s="84">
        <f t="shared" si="59"/>
        <v>75000000.00000006</v>
      </c>
      <c r="AT142" s="85"/>
      <c r="AU142" s="84">
        <f t="shared" si="60"/>
        <v>75000000.00000006</v>
      </c>
      <c r="AV142" s="85"/>
      <c r="AW142" s="84">
        <f t="shared" si="61"/>
        <v>75000000.00000006</v>
      </c>
      <c r="AX142" s="86">
        <f t="shared" si="62"/>
        <v>33333333.333333332</v>
      </c>
      <c r="AY142" s="87">
        <f t="shared" si="63"/>
        <v>75000000.000000045</v>
      </c>
      <c r="AZ142" s="65" t="b">
        <f t="shared" si="64"/>
        <v>1</v>
      </c>
    </row>
    <row r="143" spans="1:52" s="67" customFormat="1" ht="24.75" hidden="1" customHeight="1">
      <c r="A143" s="68">
        <v>138</v>
      </c>
      <c r="B143" s="69" t="s">
        <v>407</v>
      </c>
      <c r="C143" s="88" t="s">
        <v>81</v>
      </c>
      <c r="D143" s="71" t="s">
        <v>95</v>
      </c>
      <c r="E143" s="88" t="s">
        <v>408</v>
      </c>
      <c r="F143" s="92" t="s">
        <v>97</v>
      </c>
      <c r="G143" s="88">
        <v>20240131</v>
      </c>
      <c r="H143" s="88">
        <v>24010770</v>
      </c>
      <c r="I143" s="95" t="s">
        <v>98</v>
      </c>
      <c r="J143" s="88" t="s">
        <v>156</v>
      </c>
      <c r="K143" s="73" t="s">
        <v>99</v>
      </c>
      <c r="L143" s="70" t="s">
        <v>100</v>
      </c>
      <c r="M143" s="88" t="s">
        <v>101</v>
      </c>
      <c r="N143" s="88" t="s">
        <v>102</v>
      </c>
      <c r="O143" s="77">
        <v>1</v>
      </c>
      <c r="P143" s="90">
        <v>45323</v>
      </c>
      <c r="Q143" s="94">
        <f t="shared" si="65"/>
        <v>46418</v>
      </c>
      <c r="R143" s="79">
        <v>36</v>
      </c>
      <c r="S143" s="79">
        <f t="shared" si="48"/>
        <v>3</v>
      </c>
      <c r="T143" s="91">
        <v>290000000</v>
      </c>
      <c r="U143" s="81"/>
      <c r="V143" s="82">
        <v>290000000</v>
      </c>
      <c r="W143" s="83">
        <f t="shared" si="66"/>
        <v>8055555.555555556</v>
      </c>
      <c r="X143" s="83">
        <v>185277777.77777773</v>
      </c>
      <c r="Y143" s="83">
        <v>104722222.22222225</v>
      </c>
      <c r="Z143" s="85">
        <f t="shared" si="49"/>
        <v>8055555.555555556</v>
      </c>
      <c r="AA143" s="84">
        <f t="shared" si="67"/>
        <v>96666666.666666716</v>
      </c>
      <c r="AB143" s="85">
        <f t="shared" si="50"/>
        <v>8055555.555555556</v>
      </c>
      <c r="AC143" s="84">
        <f t="shared" si="51"/>
        <v>88611111.111111164</v>
      </c>
      <c r="AD143" s="85">
        <f t="shared" si="46"/>
        <v>8055555.555555556</v>
      </c>
      <c r="AE143" s="84">
        <f t="shared" si="52"/>
        <v>80555555.555555612</v>
      </c>
      <c r="AF143" s="85">
        <f t="shared" si="47"/>
        <v>8055555.555555556</v>
      </c>
      <c r="AG143" s="84">
        <f t="shared" si="53"/>
        <v>72500000.00000006</v>
      </c>
      <c r="AH143" s="85"/>
      <c r="AI143" s="84">
        <f t="shared" si="54"/>
        <v>72500000.00000006</v>
      </c>
      <c r="AJ143" s="85"/>
      <c r="AK143" s="84">
        <f t="shared" si="55"/>
        <v>72500000.00000006</v>
      </c>
      <c r="AL143" s="85"/>
      <c r="AM143" s="84">
        <f t="shared" si="56"/>
        <v>72500000.00000006</v>
      </c>
      <c r="AN143" s="85"/>
      <c r="AO143" s="84">
        <f t="shared" si="57"/>
        <v>72500000.00000006</v>
      </c>
      <c r="AP143" s="85"/>
      <c r="AQ143" s="84">
        <f t="shared" si="58"/>
        <v>72500000.00000006</v>
      </c>
      <c r="AR143" s="85"/>
      <c r="AS143" s="84">
        <f t="shared" si="59"/>
        <v>72500000.00000006</v>
      </c>
      <c r="AT143" s="85"/>
      <c r="AU143" s="84">
        <f t="shared" si="60"/>
        <v>72500000.00000006</v>
      </c>
      <c r="AV143" s="85"/>
      <c r="AW143" s="84">
        <f t="shared" si="61"/>
        <v>72500000.00000006</v>
      </c>
      <c r="AX143" s="86">
        <f t="shared" si="62"/>
        <v>32222222.222222224</v>
      </c>
      <c r="AY143" s="87">
        <f t="shared" si="63"/>
        <v>72500000.000000045</v>
      </c>
      <c r="AZ143" s="65" t="b">
        <f t="shared" si="64"/>
        <v>1</v>
      </c>
    </row>
    <row r="144" spans="1:52" s="67" customFormat="1" ht="24.75" hidden="1" customHeight="1">
      <c r="A144" s="68">
        <v>139</v>
      </c>
      <c r="B144" s="69" t="s">
        <v>409</v>
      </c>
      <c r="C144" s="88" t="s">
        <v>81</v>
      </c>
      <c r="D144" s="71" t="s">
        <v>95</v>
      </c>
      <c r="E144" s="88" t="s">
        <v>410</v>
      </c>
      <c r="F144" s="92" t="s">
        <v>97</v>
      </c>
      <c r="G144" s="88">
        <v>20240131</v>
      </c>
      <c r="H144" s="88">
        <v>24010770</v>
      </c>
      <c r="I144" s="95" t="s">
        <v>98</v>
      </c>
      <c r="J144" s="88" t="s">
        <v>156</v>
      </c>
      <c r="K144" s="73" t="s">
        <v>99</v>
      </c>
      <c r="L144" s="70" t="s">
        <v>100</v>
      </c>
      <c r="M144" s="88" t="s">
        <v>101</v>
      </c>
      <c r="N144" s="88" t="s">
        <v>102</v>
      </c>
      <c r="O144" s="77">
        <v>1</v>
      </c>
      <c r="P144" s="90">
        <v>45323</v>
      </c>
      <c r="Q144" s="94">
        <f t="shared" si="65"/>
        <v>46418</v>
      </c>
      <c r="R144" s="79">
        <v>36</v>
      </c>
      <c r="S144" s="79">
        <f t="shared" si="48"/>
        <v>3</v>
      </c>
      <c r="T144" s="91">
        <v>100000000</v>
      </c>
      <c r="U144" s="81"/>
      <c r="V144" s="82">
        <v>100000000</v>
      </c>
      <c r="W144" s="83">
        <f t="shared" si="66"/>
        <v>2777777.777777778</v>
      </c>
      <c r="X144" s="83">
        <v>63888888.888888881</v>
      </c>
      <c r="Y144" s="83">
        <v>36111111.111111119</v>
      </c>
      <c r="Z144" s="85">
        <f t="shared" si="49"/>
        <v>2777777.777777778</v>
      </c>
      <c r="AA144" s="84">
        <f t="shared" si="67"/>
        <v>33333333.333333343</v>
      </c>
      <c r="AB144" s="85">
        <f t="shared" si="50"/>
        <v>2777777.777777778</v>
      </c>
      <c r="AC144" s="84">
        <f t="shared" si="51"/>
        <v>30555555.555555567</v>
      </c>
      <c r="AD144" s="85">
        <f t="shared" si="46"/>
        <v>2777777.777777778</v>
      </c>
      <c r="AE144" s="84">
        <f t="shared" si="52"/>
        <v>27777777.777777791</v>
      </c>
      <c r="AF144" s="85">
        <f t="shared" si="47"/>
        <v>2777777.777777778</v>
      </c>
      <c r="AG144" s="84">
        <f t="shared" si="53"/>
        <v>25000000.000000015</v>
      </c>
      <c r="AH144" s="85"/>
      <c r="AI144" s="84">
        <f t="shared" si="54"/>
        <v>25000000.000000015</v>
      </c>
      <c r="AJ144" s="85"/>
      <c r="AK144" s="84">
        <f t="shared" si="55"/>
        <v>25000000.000000015</v>
      </c>
      <c r="AL144" s="85"/>
      <c r="AM144" s="84">
        <f t="shared" si="56"/>
        <v>25000000.000000015</v>
      </c>
      <c r="AN144" s="85"/>
      <c r="AO144" s="84">
        <f t="shared" si="57"/>
        <v>25000000.000000015</v>
      </c>
      <c r="AP144" s="85"/>
      <c r="AQ144" s="84">
        <f t="shared" si="58"/>
        <v>25000000.000000015</v>
      </c>
      <c r="AR144" s="85"/>
      <c r="AS144" s="84">
        <f t="shared" si="59"/>
        <v>25000000.000000015</v>
      </c>
      <c r="AT144" s="85"/>
      <c r="AU144" s="84">
        <f t="shared" si="60"/>
        <v>25000000.000000015</v>
      </c>
      <c r="AV144" s="85"/>
      <c r="AW144" s="84">
        <f t="shared" si="61"/>
        <v>25000000.000000015</v>
      </c>
      <c r="AX144" s="86">
        <f t="shared" si="62"/>
        <v>11111111.111111112</v>
      </c>
      <c r="AY144" s="87">
        <f t="shared" si="63"/>
        <v>25000000.000000007</v>
      </c>
      <c r="AZ144" s="65" t="b">
        <f t="shared" si="64"/>
        <v>1</v>
      </c>
    </row>
    <row r="145" spans="1:52" s="67" customFormat="1" ht="24.75" hidden="1" customHeight="1">
      <c r="A145" s="68">
        <v>140</v>
      </c>
      <c r="B145" s="69" t="s">
        <v>411</v>
      </c>
      <c r="C145" s="88" t="s">
        <v>81</v>
      </c>
      <c r="D145" s="71" t="s">
        <v>95</v>
      </c>
      <c r="E145" s="88" t="s">
        <v>412</v>
      </c>
      <c r="F145" s="92" t="s">
        <v>97</v>
      </c>
      <c r="G145" s="88">
        <v>20240131</v>
      </c>
      <c r="H145" s="88">
        <v>24010770</v>
      </c>
      <c r="I145" s="95" t="s">
        <v>98</v>
      </c>
      <c r="J145" s="88" t="s">
        <v>156</v>
      </c>
      <c r="K145" s="68" t="s">
        <v>99</v>
      </c>
      <c r="L145" s="70" t="s">
        <v>100</v>
      </c>
      <c r="M145" s="88" t="s">
        <v>101</v>
      </c>
      <c r="N145" s="88" t="s">
        <v>102</v>
      </c>
      <c r="O145" s="77">
        <v>1</v>
      </c>
      <c r="P145" s="90">
        <v>45323</v>
      </c>
      <c r="Q145" s="94">
        <f t="shared" si="65"/>
        <v>46418</v>
      </c>
      <c r="R145" s="79">
        <v>36</v>
      </c>
      <c r="S145" s="79">
        <f t="shared" si="48"/>
        <v>3</v>
      </c>
      <c r="T145" s="91">
        <v>92000000</v>
      </c>
      <c r="U145" s="81"/>
      <c r="V145" s="82">
        <v>92000000</v>
      </c>
      <c r="W145" s="83">
        <f t="shared" si="66"/>
        <v>2555555.5555555555</v>
      </c>
      <c r="X145" s="83">
        <v>58777777.777777776</v>
      </c>
      <c r="Y145" s="83">
        <v>33222222.22222222</v>
      </c>
      <c r="Z145" s="85">
        <f t="shared" si="49"/>
        <v>2555555.5555555555</v>
      </c>
      <c r="AA145" s="84">
        <f t="shared" si="67"/>
        <v>30666666.666666668</v>
      </c>
      <c r="AB145" s="85">
        <f t="shared" si="50"/>
        <v>2555555.5555555555</v>
      </c>
      <c r="AC145" s="84">
        <f t="shared" si="51"/>
        <v>28111111.111111112</v>
      </c>
      <c r="AD145" s="85">
        <f t="shared" ref="AD145:AD208" si="68">+IF(AC145&lt;&gt;0,$W145,0)</f>
        <v>2555555.5555555555</v>
      </c>
      <c r="AE145" s="84">
        <f t="shared" si="52"/>
        <v>25555555.555555556</v>
      </c>
      <c r="AF145" s="85">
        <f t="shared" si="47"/>
        <v>2555555.5555555555</v>
      </c>
      <c r="AG145" s="84">
        <f t="shared" si="53"/>
        <v>23000000</v>
      </c>
      <c r="AH145" s="85"/>
      <c r="AI145" s="84">
        <f t="shared" si="54"/>
        <v>23000000</v>
      </c>
      <c r="AJ145" s="85"/>
      <c r="AK145" s="84">
        <f t="shared" si="55"/>
        <v>23000000</v>
      </c>
      <c r="AL145" s="85"/>
      <c r="AM145" s="84">
        <f t="shared" si="56"/>
        <v>23000000</v>
      </c>
      <c r="AN145" s="85"/>
      <c r="AO145" s="84">
        <f t="shared" si="57"/>
        <v>23000000</v>
      </c>
      <c r="AP145" s="85"/>
      <c r="AQ145" s="84">
        <f t="shared" si="58"/>
        <v>23000000</v>
      </c>
      <c r="AR145" s="85"/>
      <c r="AS145" s="84">
        <f t="shared" si="59"/>
        <v>23000000</v>
      </c>
      <c r="AT145" s="85"/>
      <c r="AU145" s="84">
        <f t="shared" si="60"/>
        <v>23000000</v>
      </c>
      <c r="AV145" s="85"/>
      <c r="AW145" s="84">
        <f t="shared" si="61"/>
        <v>23000000</v>
      </c>
      <c r="AX145" s="86">
        <f t="shared" si="62"/>
        <v>10222222.222222222</v>
      </c>
      <c r="AY145" s="87">
        <f t="shared" si="63"/>
        <v>23000000</v>
      </c>
      <c r="AZ145" s="65" t="b">
        <f t="shared" si="64"/>
        <v>1</v>
      </c>
    </row>
    <row r="146" spans="1:52" s="67" customFormat="1" ht="24.75" hidden="1" customHeight="1">
      <c r="A146" s="68">
        <v>141</v>
      </c>
      <c r="B146" s="69" t="s">
        <v>413</v>
      </c>
      <c r="C146" s="88" t="s">
        <v>81</v>
      </c>
      <c r="D146" s="71" t="s">
        <v>95</v>
      </c>
      <c r="E146" s="88" t="s">
        <v>414</v>
      </c>
      <c r="F146" s="92" t="s">
        <v>97</v>
      </c>
      <c r="G146" s="88">
        <v>20240131</v>
      </c>
      <c r="H146" s="88">
        <v>24010770</v>
      </c>
      <c r="I146" s="95" t="s">
        <v>98</v>
      </c>
      <c r="J146" s="88" t="s">
        <v>156</v>
      </c>
      <c r="K146" s="68" t="s">
        <v>99</v>
      </c>
      <c r="L146" s="70" t="s">
        <v>100</v>
      </c>
      <c r="M146" s="88" t="s">
        <v>101</v>
      </c>
      <c r="N146" s="88" t="s">
        <v>102</v>
      </c>
      <c r="O146" s="77">
        <v>1</v>
      </c>
      <c r="P146" s="90">
        <v>45323</v>
      </c>
      <c r="Q146" s="94">
        <f t="shared" si="65"/>
        <v>46418</v>
      </c>
      <c r="R146" s="79">
        <v>36</v>
      </c>
      <c r="S146" s="79">
        <f t="shared" si="48"/>
        <v>3</v>
      </c>
      <c r="T146" s="91">
        <v>417000000</v>
      </c>
      <c r="U146" s="81"/>
      <c r="V146" s="82">
        <v>417000000</v>
      </c>
      <c r="W146" s="83">
        <f t="shared" si="66"/>
        <v>11583333.333333334</v>
      </c>
      <c r="X146" s="83">
        <v>266416666.66666663</v>
      </c>
      <c r="Y146" s="83">
        <v>150583333.3333334</v>
      </c>
      <c r="Z146" s="85">
        <f t="shared" si="49"/>
        <v>11583333.333333334</v>
      </c>
      <c r="AA146" s="84">
        <f t="shared" si="67"/>
        <v>139000000.00000003</v>
      </c>
      <c r="AB146" s="85">
        <f t="shared" si="50"/>
        <v>11583333.333333334</v>
      </c>
      <c r="AC146" s="84">
        <f t="shared" si="51"/>
        <v>127416666.6666667</v>
      </c>
      <c r="AD146" s="85">
        <f t="shared" si="68"/>
        <v>11583333.333333334</v>
      </c>
      <c r="AE146" s="84">
        <f t="shared" si="52"/>
        <v>115833333.33333337</v>
      </c>
      <c r="AF146" s="85">
        <f t="shared" si="47"/>
        <v>11583333.333333334</v>
      </c>
      <c r="AG146" s="84">
        <f t="shared" si="53"/>
        <v>104250000.00000004</v>
      </c>
      <c r="AH146" s="85"/>
      <c r="AI146" s="84">
        <f t="shared" si="54"/>
        <v>104250000.00000004</v>
      </c>
      <c r="AJ146" s="85"/>
      <c r="AK146" s="84">
        <f t="shared" si="55"/>
        <v>104250000.00000004</v>
      </c>
      <c r="AL146" s="85"/>
      <c r="AM146" s="84">
        <f t="shared" si="56"/>
        <v>104250000.00000004</v>
      </c>
      <c r="AN146" s="85"/>
      <c r="AO146" s="84">
        <f t="shared" si="57"/>
        <v>104250000.00000004</v>
      </c>
      <c r="AP146" s="85"/>
      <c r="AQ146" s="84">
        <f t="shared" si="58"/>
        <v>104250000.00000004</v>
      </c>
      <c r="AR146" s="85"/>
      <c r="AS146" s="84">
        <f t="shared" si="59"/>
        <v>104250000.00000004</v>
      </c>
      <c r="AT146" s="85"/>
      <c r="AU146" s="84">
        <f t="shared" si="60"/>
        <v>104250000.00000004</v>
      </c>
      <c r="AV146" s="85"/>
      <c r="AW146" s="84">
        <f t="shared" si="61"/>
        <v>104250000.00000004</v>
      </c>
      <c r="AX146" s="86">
        <f t="shared" si="62"/>
        <v>46333333.333333336</v>
      </c>
      <c r="AY146" s="87">
        <f t="shared" si="63"/>
        <v>104250000.00000003</v>
      </c>
      <c r="AZ146" s="65" t="b">
        <f t="shared" si="64"/>
        <v>1</v>
      </c>
    </row>
    <row r="147" spans="1:52" s="67" customFormat="1" ht="24.75" hidden="1" customHeight="1">
      <c r="A147" s="68">
        <v>142</v>
      </c>
      <c r="B147" s="69" t="s">
        <v>415</v>
      </c>
      <c r="C147" s="88" t="s">
        <v>81</v>
      </c>
      <c r="D147" s="71" t="s">
        <v>95</v>
      </c>
      <c r="E147" s="88" t="s">
        <v>416</v>
      </c>
      <c r="F147" s="92" t="s">
        <v>97</v>
      </c>
      <c r="G147" s="88">
        <v>20240131</v>
      </c>
      <c r="H147" s="88">
        <v>24010770</v>
      </c>
      <c r="I147" s="95" t="s">
        <v>98</v>
      </c>
      <c r="J147" s="88" t="s">
        <v>156</v>
      </c>
      <c r="K147" s="68" t="s">
        <v>99</v>
      </c>
      <c r="L147" s="70" t="s">
        <v>100</v>
      </c>
      <c r="M147" s="88" t="s">
        <v>101</v>
      </c>
      <c r="N147" s="88" t="s">
        <v>102</v>
      </c>
      <c r="O147" s="77">
        <v>1</v>
      </c>
      <c r="P147" s="90">
        <v>45323</v>
      </c>
      <c r="Q147" s="94">
        <f t="shared" si="65"/>
        <v>46418</v>
      </c>
      <c r="R147" s="79">
        <v>36</v>
      </c>
      <c r="S147" s="79">
        <f t="shared" si="48"/>
        <v>3</v>
      </c>
      <c r="T147" s="91">
        <v>447000000</v>
      </c>
      <c r="U147" s="81"/>
      <c r="V147" s="82">
        <v>447000000</v>
      </c>
      <c r="W147" s="83">
        <f t="shared" si="66"/>
        <v>12416666.666666666</v>
      </c>
      <c r="X147" s="83">
        <v>285583333.33333337</v>
      </c>
      <c r="Y147" s="83">
        <v>161416666.66666663</v>
      </c>
      <c r="Z147" s="85">
        <f t="shared" si="49"/>
        <v>12416666.666666666</v>
      </c>
      <c r="AA147" s="84">
        <f t="shared" si="67"/>
        <v>148999999.99999997</v>
      </c>
      <c r="AB147" s="85">
        <f t="shared" si="50"/>
        <v>12416666.666666666</v>
      </c>
      <c r="AC147" s="84">
        <f t="shared" si="51"/>
        <v>136583333.33333331</v>
      </c>
      <c r="AD147" s="85">
        <f t="shared" si="68"/>
        <v>12416666.666666666</v>
      </c>
      <c r="AE147" s="84">
        <f t="shared" si="52"/>
        <v>124166666.66666664</v>
      </c>
      <c r="AF147" s="85">
        <f t="shared" ref="AF147:AF163" si="69">+IF(AE147&lt;&gt;0,$W147,0)</f>
        <v>12416666.666666666</v>
      </c>
      <c r="AG147" s="84">
        <f t="shared" si="53"/>
        <v>111749999.99999997</v>
      </c>
      <c r="AH147" s="85"/>
      <c r="AI147" s="84">
        <f t="shared" si="54"/>
        <v>111749999.99999997</v>
      </c>
      <c r="AJ147" s="85"/>
      <c r="AK147" s="84">
        <f t="shared" si="55"/>
        <v>111749999.99999997</v>
      </c>
      <c r="AL147" s="85"/>
      <c r="AM147" s="84">
        <f t="shared" si="56"/>
        <v>111749999.99999997</v>
      </c>
      <c r="AN147" s="85"/>
      <c r="AO147" s="84">
        <f t="shared" si="57"/>
        <v>111749999.99999997</v>
      </c>
      <c r="AP147" s="85"/>
      <c r="AQ147" s="84">
        <f t="shared" si="58"/>
        <v>111749999.99999997</v>
      </c>
      <c r="AR147" s="85"/>
      <c r="AS147" s="84">
        <f t="shared" si="59"/>
        <v>111749999.99999997</v>
      </c>
      <c r="AT147" s="85"/>
      <c r="AU147" s="84">
        <f t="shared" si="60"/>
        <v>111749999.99999997</v>
      </c>
      <c r="AV147" s="85"/>
      <c r="AW147" s="84">
        <f t="shared" si="61"/>
        <v>111749999.99999997</v>
      </c>
      <c r="AX147" s="86">
        <f t="shared" si="62"/>
        <v>49666666.666666664</v>
      </c>
      <c r="AY147" s="87">
        <f t="shared" si="63"/>
        <v>111749999.99999997</v>
      </c>
      <c r="AZ147" s="65" t="b">
        <f t="shared" si="64"/>
        <v>1</v>
      </c>
    </row>
    <row r="148" spans="1:52" s="67" customFormat="1" ht="24.75" hidden="1" customHeight="1">
      <c r="A148" s="68">
        <v>143</v>
      </c>
      <c r="B148" s="69" t="s">
        <v>417</v>
      </c>
      <c r="C148" s="88" t="s">
        <v>81</v>
      </c>
      <c r="D148" s="71" t="s">
        <v>95</v>
      </c>
      <c r="E148" s="88" t="s">
        <v>418</v>
      </c>
      <c r="F148" s="92" t="s">
        <v>97</v>
      </c>
      <c r="G148" s="88">
        <v>20240131</v>
      </c>
      <c r="H148" s="88">
        <v>24010770</v>
      </c>
      <c r="I148" s="95" t="s">
        <v>98</v>
      </c>
      <c r="J148" s="88" t="s">
        <v>156</v>
      </c>
      <c r="K148" s="68" t="s">
        <v>99</v>
      </c>
      <c r="L148" s="70" t="s">
        <v>100</v>
      </c>
      <c r="M148" s="88" t="s">
        <v>101</v>
      </c>
      <c r="N148" s="88" t="s">
        <v>102</v>
      </c>
      <c r="O148" s="77">
        <v>1</v>
      </c>
      <c r="P148" s="90">
        <v>45323</v>
      </c>
      <c r="Q148" s="94">
        <f t="shared" si="65"/>
        <v>46418</v>
      </c>
      <c r="R148" s="79">
        <v>36</v>
      </c>
      <c r="S148" s="79">
        <f t="shared" si="48"/>
        <v>3</v>
      </c>
      <c r="T148" s="91">
        <v>297000000</v>
      </c>
      <c r="U148" s="81"/>
      <c r="V148" s="82">
        <v>297000000</v>
      </c>
      <c r="W148" s="83">
        <f t="shared" si="66"/>
        <v>8250000</v>
      </c>
      <c r="X148" s="83">
        <v>189750000</v>
      </c>
      <c r="Y148" s="83">
        <v>107250000</v>
      </c>
      <c r="Z148" s="85">
        <f t="shared" si="49"/>
        <v>8250000</v>
      </c>
      <c r="AA148" s="84">
        <f t="shared" si="67"/>
        <v>99000000</v>
      </c>
      <c r="AB148" s="85">
        <f t="shared" si="50"/>
        <v>8250000</v>
      </c>
      <c r="AC148" s="84">
        <f t="shared" si="51"/>
        <v>90750000</v>
      </c>
      <c r="AD148" s="85">
        <f t="shared" si="68"/>
        <v>8250000</v>
      </c>
      <c r="AE148" s="84">
        <f t="shared" si="52"/>
        <v>82500000</v>
      </c>
      <c r="AF148" s="85">
        <f t="shared" si="69"/>
        <v>8250000</v>
      </c>
      <c r="AG148" s="84">
        <f t="shared" si="53"/>
        <v>74250000</v>
      </c>
      <c r="AH148" s="85"/>
      <c r="AI148" s="84">
        <f t="shared" si="54"/>
        <v>74250000</v>
      </c>
      <c r="AJ148" s="85"/>
      <c r="AK148" s="84">
        <f t="shared" si="55"/>
        <v>74250000</v>
      </c>
      <c r="AL148" s="85"/>
      <c r="AM148" s="84">
        <f t="shared" si="56"/>
        <v>74250000</v>
      </c>
      <c r="AN148" s="85"/>
      <c r="AO148" s="84">
        <f t="shared" si="57"/>
        <v>74250000</v>
      </c>
      <c r="AP148" s="85"/>
      <c r="AQ148" s="84">
        <f t="shared" si="58"/>
        <v>74250000</v>
      </c>
      <c r="AR148" s="85"/>
      <c r="AS148" s="84">
        <f t="shared" si="59"/>
        <v>74250000</v>
      </c>
      <c r="AT148" s="85"/>
      <c r="AU148" s="84">
        <f t="shared" si="60"/>
        <v>74250000</v>
      </c>
      <c r="AV148" s="85"/>
      <c r="AW148" s="84">
        <f t="shared" si="61"/>
        <v>74250000</v>
      </c>
      <c r="AX148" s="86">
        <f t="shared" si="62"/>
        <v>33000000</v>
      </c>
      <c r="AY148" s="87">
        <f t="shared" si="63"/>
        <v>74250000</v>
      </c>
      <c r="AZ148" s="65" t="b">
        <f t="shared" si="64"/>
        <v>1</v>
      </c>
    </row>
    <row r="149" spans="1:52" s="67" customFormat="1" ht="24.75" hidden="1" customHeight="1">
      <c r="A149" s="68">
        <v>144</v>
      </c>
      <c r="B149" s="69" t="s">
        <v>419</v>
      </c>
      <c r="C149" s="88" t="s">
        <v>81</v>
      </c>
      <c r="D149" s="71" t="s">
        <v>95</v>
      </c>
      <c r="E149" s="88" t="s">
        <v>420</v>
      </c>
      <c r="F149" s="92" t="s">
        <v>97</v>
      </c>
      <c r="G149" s="88">
        <v>20240131</v>
      </c>
      <c r="H149" s="88">
        <v>24010770</v>
      </c>
      <c r="I149" s="95" t="s">
        <v>98</v>
      </c>
      <c r="J149" s="88" t="s">
        <v>156</v>
      </c>
      <c r="K149" s="73" t="s">
        <v>99</v>
      </c>
      <c r="L149" s="70" t="s">
        <v>100</v>
      </c>
      <c r="M149" s="88" t="s">
        <v>101</v>
      </c>
      <c r="N149" s="88" t="s">
        <v>102</v>
      </c>
      <c r="O149" s="77">
        <v>1</v>
      </c>
      <c r="P149" s="90">
        <v>45323</v>
      </c>
      <c r="Q149" s="94">
        <f t="shared" si="65"/>
        <v>46418</v>
      </c>
      <c r="R149" s="79">
        <v>36</v>
      </c>
      <c r="S149" s="79">
        <f t="shared" si="48"/>
        <v>3</v>
      </c>
      <c r="T149" s="91">
        <v>96000000</v>
      </c>
      <c r="U149" s="81"/>
      <c r="V149" s="82">
        <v>96000000</v>
      </c>
      <c r="W149" s="83">
        <f t="shared" si="66"/>
        <v>2666666.6666666665</v>
      </c>
      <c r="X149" s="83">
        <v>61333333.333333343</v>
      </c>
      <c r="Y149" s="83">
        <v>34666666.666666657</v>
      </c>
      <c r="Z149" s="85">
        <f t="shared" si="49"/>
        <v>2666666.6666666665</v>
      </c>
      <c r="AA149" s="84">
        <f t="shared" si="67"/>
        <v>31999999.999999989</v>
      </c>
      <c r="AB149" s="85">
        <f t="shared" si="50"/>
        <v>2666666.6666666665</v>
      </c>
      <c r="AC149" s="84">
        <f t="shared" si="51"/>
        <v>29333333.333333321</v>
      </c>
      <c r="AD149" s="85">
        <f t="shared" si="68"/>
        <v>2666666.6666666665</v>
      </c>
      <c r="AE149" s="84">
        <f t="shared" si="52"/>
        <v>26666666.666666653</v>
      </c>
      <c r="AF149" s="85">
        <f t="shared" si="69"/>
        <v>2666666.6666666665</v>
      </c>
      <c r="AG149" s="84">
        <f t="shared" si="53"/>
        <v>23999999.999999985</v>
      </c>
      <c r="AH149" s="85"/>
      <c r="AI149" s="84">
        <f t="shared" si="54"/>
        <v>23999999.999999985</v>
      </c>
      <c r="AJ149" s="85"/>
      <c r="AK149" s="84">
        <f t="shared" si="55"/>
        <v>23999999.999999985</v>
      </c>
      <c r="AL149" s="85"/>
      <c r="AM149" s="84">
        <f t="shared" si="56"/>
        <v>23999999.999999985</v>
      </c>
      <c r="AN149" s="85"/>
      <c r="AO149" s="84">
        <f t="shared" si="57"/>
        <v>23999999.999999985</v>
      </c>
      <c r="AP149" s="85"/>
      <c r="AQ149" s="84">
        <f t="shared" si="58"/>
        <v>23999999.999999985</v>
      </c>
      <c r="AR149" s="85"/>
      <c r="AS149" s="84">
        <f t="shared" si="59"/>
        <v>23999999.999999985</v>
      </c>
      <c r="AT149" s="85"/>
      <c r="AU149" s="84">
        <f t="shared" si="60"/>
        <v>23999999.999999985</v>
      </c>
      <c r="AV149" s="85"/>
      <c r="AW149" s="84">
        <f t="shared" si="61"/>
        <v>23999999.999999985</v>
      </c>
      <c r="AX149" s="86">
        <f t="shared" si="62"/>
        <v>10666666.666666666</v>
      </c>
      <c r="AY149" s="87">
        <f t="shared" si="63"/>
        <v>23999999.999999993</v>
      </c>
      <c r="AZ149" s="65" t="b">
        <f t="shared" si="64"/>
        <v>1</v>
      </c>
    </row>
    <row r="150" spans="1:52" s="67" customFormat="1" ht="24.75" hidden="1" customHeight="1">
      <c r="A150" s="68">
        <v>145</v>
      </c>
      <c r="B150" s="69" t="s">
        <v>421</v>
      </c>
      <c r="C150" s="88" t="s">
        <v>81</v>
      </c>
      <c r="D150" s="71" t="s">
        <v>95</v>
      </c>
      <c r="E150" s="88" t="s">
        <v>422</v>
      </c>
      <c r="F150" s="92" t="s">
        <v>97</v>
      </c>
      <c r="G150" s="88">
        <v>20240131</v>
      </c>
      <c r="H150" s="88">
        <v>24010770</v>
      </c>
      <c r="I150" s="95" t="s">
        <v>98</v>
      </c>
      <c r="J150" s="88" t="s">
        <v>156</v>
      </c>
      <c r="K150" s="73" t="s">
        <v>99</v>
      </c>
      <c r="L150" s="70" t="s">
        <v>100</v>
      </c>
      <c r="M150" s="88" t="s">
        <v>101</v>
      </c>
      <c r="N150" s="88" t="s">
        <v>102</v>
      </c>
      <c r="O150" s="77">
        <v>1</v>
      </c>
      <c r="P150" s="90">
        <v>45323</v>
      </c>
      <c r="Q150" s="94">
        <f t="shared" si="65"/>
        <v>46418</v>
      </c>
      <c r="R150" s="79">
        <v>36</v>
      </c>
      <c r="S150" s="79">
        <f t="shared" si="48"/>
        <v>3</v>
      </c>
      <c r="T150" s="91">
        <v>176000000</v>
      </c>
      <c r="U150" s="81"/>
      <c r="V150" s="82">
        <v>176000000</v>
      </c>
      <c r="W150" s="83">
        <f t="shared" si="66"/>
        <v>4888888.888888889</v>
      </c>
      <c r="X150" s="83">
        <v>112444444.44444445</v>
      </c>
      <c r="Y150" s="83">
        <v>63555555.55555556</v>
      </c>
      <c r="Z150" s="85">
        <f t="shared" si="49"/>
        <v>4888888.888888889</v>
      </c>
      <c r="AA150" s="84">
        <f t="shared" si="67"/>
        <v>58666666.666666664</v>
      </c>
      <c r="AB150" s="85">
        <f t="shared" si="50"/>
        <v>4888888.888888889</v>
      </c>
      <c r="AC150" s="84">
        <f t="shared" si="51"/>
        <v>53777777.777777776</v>
      </c>
      <c r="AD150" s="85">
        <f t="shared" si="68"/>
        <v>4888888.888888889</v>
      </c>
      <c r="AE150" s="84">
        <f t="shared" si="52"/>
        <v>48888888.888888888</v>
      </c>
      <c r="AF150" s="85">
        <f t="shared" si="69"/>
        <v>4888888.888888889</v>
      </c>
      <c r="AG150" s="84">
        <f t="shared" si="53"/>
        <v>44000000</v>
      </c>
      <c r="AH150" s="85"/>
      <c r="AI150" s="84">
        <f t="shared" si="54"/>
        <v>44000000</v>
      </c>
      <c r="AJ150" s="85"/>
      <c r="AK150" s="84">
        <f t="shared" si="55"/>
        <v>44000000</v>
      </c>
      <c r="AL150" s="85"/>
      <c r="AM150" s="84">
        <f t="shared" si="56"/>
        <v>44000000</v>
      </c>
      <c r="AN150" s="85"/>
      <c r="AO150" s="84">
        <f t="shared" si="57"/>
        <v>44000000</v>
      </c>
      <c r="AP150" s="85"/>
      <c r="AQ150" s="84">
        <f t="shared" si="58"/>
        <v>44000000</v>
      </c>
      <c r="AR150" s="85"/>
      <c r="AS150" s="84">
        <f t="shared" si="59"/>
        <v>44000000</v>
      </c>
      <c r="AT150" s="85"/>
      <c r="AU150" s="84">
        <f t="shared" si="60"/>
        <v>44000000</v>
      </c>
      <c r="AV150" s="85"/>
      <c r="AW150" s="84">
        <f t="shared" si="61"/>
        <v>44000000</v>
      </c>
      <c r="AX150" s="86">
        <f t="shared" si="62"/>
        <v>19555555.555555556</v>
      </c>
      <c r="AY150" s="87">
        <f t="shared" si="63"/>
        <v>44000000</v>
      </c>
      <c r="AZ150" s="65" t="b">
        <f t="shared" si="64"/>
        <v>1</v>
      </c>
    </row>
    <row r="151" spans="1:52" s="67" customFormat="1" ht="24.75" hidden="1" customHeight="1">
      <c r="A151" s="68">
        <v>146</v>
      </c>
      <c r="B151" s="69" t="s">
        <v>423</v>
      </c>
      <c r="C151" s="88" t="s">
        <v>81</v>
      </c>
      <c r="D151" s="71" t="s">
        <v>95</v>
      </c>
      <c r="E151" s="88" t="s">
        <v>424</v>
      </c>
      <c r="F151" s="92" t="s">
        <v>97</v>
      </c>
      <c r="G151" s="88">
        <v>20240131</v>
      </c>
      <c r="H151" s="88">
        <v>24010770</v>
      </c>
      <c r="I151" s="95" t="s">
        <v>98</v>
      </c>
      <c r="J151" s="88" t="s">
        <v>156</v>
      </c>
      <c r="K151" s="73" t="s">
        <v>99</v>
      </c>
      <c r="L151" s="70" t="s">
        <v>100</v>
      </c>
      <c r="M151" s="88" t="s">
        <v>101</v>
      </c>
      <c r="N151" s="88" t="s">
        <v>102</v>
      </c>
      <c r="O151" s="77">
        <v>1</v>
      </c>
      <c r="P151" s="90">
        <v>45323</v>
      </c>
      <c r="Q151" s="94">
        <f t="shared" si="65"/>
        <v>46418</v>
      </c>
      <c r="R151" s="79">
        <v>36</v>
      </c>
      <c r="S151" s="79">
        <f t="shared" si="48"/>
        <v>3</v>
      </c>
      <c r="T151" s="91">
        <v>40000000</v>
      </c>
      <c r="U151" s="81"/>
      <c r="V151" s="82">
        <v>40000000</v>
      </c>
      <c r="W151" s="83">
        <f t="shared" si="66"/>
        <v>1111111.111111111</v>
      </c>
      <c r="X151" s="83">
        <v>25555555.55555556</v>
      </c>
      <c r="Y151" s="83">
        <v>14444444.44444444</v>
      </c>
      <c r="Z151" s="85">
        <f t="shared" si="49"/>
        <v>1111111.111111111</v>
      </c>
      <c r="AA151" s="84">
        <f t="shared" si="67"/>
        <v>13333333.333333328</v>
      </c>
      <c r="AB151" s="85">
        <f t="shared" si="50"/>
        <v>1111111.111111111</v>
      </c>
      <c r="AC151" s="84">
        <f t="shared" si="51"/>
        <v>12222222.222222216</v>
      </c>
      <c r="AD151" s="85">
        <f t="shared" si="68"/>
        <v>1111111.111111111</v>
      </c>
      <c r="AE151" s="84">
        <f t="shared" si="52"/>
        <v>11111111.111111104</v>
      </c>
      <c r="AF151" s="85">
        <f t="shared" si="69"/>
        <v>1111111.111111111</v>
      </c>
      <c r="AG151" s="84">
        <f t="shared" si="53"/>
        <v>9999999.9999999925</v>
      </c>
      <c r="AH151" s="85"/>
      <c r="AI151" s="84">
        <f t="shared" si="54"/>
        <v>9999999.9999999925</v>
      </c>
      <c r="AJ151" s="85"/>
      <c r="AK151" s="84">
        <f t="shared" si="55"/>
        <v>9999999.9999999925</v>
      </c>
      <c r="AL151" s="85"/>
      <c r="AM151" s="84">
        <f t="shared" si="56"/>
        <v>9999999.9999999925</v>
      </c>
      <c r="AN151" s="85"/>
      <c r="AO151" s="84">
        <f t="shared" si="57"/>
        <v>9999999.9999999925</v>
      </c>
      <c r="AP151" s="85"/>
      <c r="AQ151" s="84">
        <f t="shared" si="58"/>
        <v>9999999.9999999925</v>
      </c>
      <c r="AR151" s="85"/>
      <c r="AS151" s="84">
        <f t="shared" si="59"/>
        <v>9999999.9999999925</v>
      </c>
      <c r="AT151" s="85"/>
      <c r="AU151" s="84">
        <f t="shared" si="60"/>
        <v>9999999.9999999925</v>
      </c>
      <c r="AV151" s="85"/>
      <c r="AW151" s="84">
        <f t="shared" si="61"/>
        <v>9999999.9999999925</v>
      </c>
      <c r="AX151" s="86">
        <f t="shared" si="62"/>
        <v>4444444.444444444</v>
      </c>
      <c r="AY151" s="87">
        <f t="shared" si="63"/>
        <v>9999999.9999999963</v>
      </c>
      <c r="AZ151" s="65" t="b">
        <f t="shared" si="64"/>
        <v>1</v>
      </c>
    </row>
    <row r="152" spans="1:52" s="67" customFormat="1" ht="24.75" hidden="1" customHeight="1">
      <c r="A152" s="68">
        <v>147</v>
      </c>
      <c r="B152" s="69" t="s">
        <v>425</v>
      </c>
      <c r="C152" s="88" t="s">
        <v>81</v>
      </c>
      <c r="D152" s="71" t="s">
        <v>95</v>
      </c>
      <c r="E152" s="88" t="s">
        <v>426</v>
      </c>
      <c r="F152" s="92" t="s">
        <v>97</v>
      </c>
      <c r="G152" s="88">
        <v>20240131</v>
      </c>
      <c r="H152" s="88">
        <v>24010770</v>
      </c>
      <c r="I152" s="95" t="s">
        <v>98</v>
      </c>
      <c r="J152" s="88" t="s">
        <v>156</v>
      </c>
      <c r="K152" s="68" t="s">
        <v>99</v>
      </c>
      <c r="L152" s="70" t="s">
        <v>100</v>
      </c>
      <c r="M152" s="88" t="s">
        <v>101</v>
      </c>
      <c r="N152" s="88" t="s">
        <v>102</v>
      </c>
      <c r="O152" s="77">
        <v>1</v>
      </c>
      <c r="P152" s="90">
        <v>45323</v>
      </c>
      <c r="Q152" s="94">
        <f t="shared" si="65"/>
        <v>46418</v>
      </c>
      <c r="R152" s="79">
        <v>36</v>
      </c>
      <c r="S152" s="79">
        <f t="shared" si="48"/>
        <v>3</v>
      </c>
      <c r="T152" s="91">
        <v>48000000</v>
      </c>
      <c r="U152" s="81"/>
      <c r="V152" s="82">
        <v>48000000</v>
      </c>
      <c r="W152" s="83">
        <f t="shared" si="66"/>
        <v>1333333.3333333333</v>
      </c>
      <c r="X152" s="83">
        <v>30666666.666666672</v>
      </c>
      <c r="Y152" s="83">
        <v>17333333.333333328</v>
      </c>
      <c r="Z152" s="85">
        <f t="shared" si="49"/>
        <v>1333333.3333333333</v>
      </c>
      <c r="AA152" s="84">
        <f t="shared" si="67"/>
        <v>15999999.999999994</v>
      </c>
      <c r="AB152" s="85">
        <f t="shared" si="50"/>
        <v>1333333.3333333333</v>
      </c>
      <c r="AC152" s="84">
        <f t="shared" si="51"/>
        <v>14666666.66666666</v>
      </c>
      <c r="AD152" s="85">
        <f t="shared" si="68"/>
        <v>1333333.3333333333</v>
      </c>
      <c r="AE152" s="84">
        <f t="shared" si="52"/>
        <v>13333333.333333327</v>
      </c>
      <c r="AF152" s="85">
        <f t="shared" si="69"/>
        <v>1333333.3333333333</v>
      </c>
      <c r="AG152" s="84">
        <f t="shared" si="53"/>
        <v>11999999.999999993</v>
      </c>
      <c r="AH152" s="85"/>
      <c r="AI152" s="84">
        <f t="shared" si="54"/>
        <v>11999999.999999993</v>
      </c>
      <c r="AJ152" s="85"/>
      <c r="AK152" s="84">
        <f t="shared" si="55"/>
        <v>11999999.999999993</v>
      </c>
      <c r="AL152" s="85"/>
      <c r="AM152" s="84">
        <f t="shared" si="56"/>
        <v>11999999.999999993</v>
      </c>
      <c r="AN152" s="85"/>
      <c r="AO152" s="84">
        <f t="shared" si="57"/>
        <v>11999999.999999993</v>
      </c>
      <c r="AP152" s="85"/>
      <c r="AQ152" s="84">
        <f t="shared" si="58"/>
        <v>11999999.999999993</v>
      </c>
      <c r="AR152" s="85"/>
      <c r="AS152" s="84">
        <f t="shared" si="59"/>
        <v>11999999.999999993</v>
      </c>
      <c r="AT152" s="85"/>
      <c r="AU152" s="84">
        <f t="shared" si="60"/>
        <v>11999999.999999993</v>
      </c>
      <c r="AV152" s="85"/>
      <c r="AW152" s="84">
        <f t="shared" si="61"/>
        <v>11999999.999999993</v>
      </c>
      <c r="AX152" s="86">
        <f t="shared" si="62"/>
        <v>5333333.333333333</v>
      </c>
      <c r="AY152" s="87">
        <f t="shared" si="63"/>
        <v>11999999.999999996</v>
      </c>
      <c r="AZ152" s="65" t="b">
        <f t="shared" si="64"/>
        <v>1</v>
      </c>
    </row>
    <row r="153" spans="1:52" s="67" customFormat="1" ht="24.75" hidden="1" customHeight="1">
      <c r="A153" s="68">
        <v>148</v>
      </c>
      <c r="B153" s="69" t="s">
        <v>427</v>
      </c>
      <c r="C153" s="71" t="s">
        <v>395</v>
      </c>
      <c r="D153" s="71" t="s">
        <v>396</v>
      </c>
      <c r="E153" s="88" t="s">
        <v>428</v>
      </c>
      <c r="F153" s="89" t="s">
        <v>429</v>
      </c>
      <c r="G153" s="88">
        <v>20240203</v>
      </c>
      <c r="H153" s="88">
        <v>24020062</v>
      </c>
      <c r="I153" s="74" t="s">
        <v>399</v>
      </c>
      <c r="J153" s="88" t="s">
        <v>400</v>
      </c>
      <c r="K153" s="68" t="s">
        <v>401</v>
      </c>
      <c r="L153" s="70" t="s">
        <v>402</v>
      </c>
      <c r="M153" s="88" t="s">
        <v>403</v>
      </c>
      <c r="N153" s="88" t="s">
        <v>404</v>
      </c>
      <c r="O153" s="77">
        <v>1</v>
      </c>
      <c r="P153" s="90">
        <v>45352</v>
      </c>
      <c r="Q153" s="94">
        <f t="shared" si="65"/>
        <v>46446</v>
      </c>
      <c r="R153" s="79">
        <v>36</v>
      </c>
      <c r="S153" s="79">
        <f t="shared" si="48"/>
        <v>3</v>
      </c>
      <c r="T153" s="91">
        <v>11298000</v>
      </c>
      <c r="U153" s="81"/>
      <c r="V153" s="82">
        <v>11298000</v>
      </c>
      <c r="W153" s="83">
        <f t="shared" si="66"/>
        <v>313833.33333333331</v>
      </c>
      <c r="X153" s="83">
        <v>6904333.333333334</v>
      </c>
      <c r="Y153" s="83">
        <v>4393666.666666666</v>
      </c>
      <c r="Z153" s="85">
        <f t="shared" si="49"/>
        <v>313833.33333333331</v>
      </c>
      <c r="AA153" s="84">
        <f t="shared" si="67"/>
        <v>4079833.3333333326</v>
      </c>
      <c r="AB153" s="85">
        <f t="shared" si="50"/>
        <v>313833.33333333331</v>
      </c>
      <c r="AC153" s="84">
        <f t="shared" si="51"/>
        <v>3765999.9999999991</v>
      </c>
      <c r="AD153" s="85">
        <f t="shared" si="68"/>
        <v>313833.33333333331</v>
      </c>
      <c r="AE153" s="84">
        <f t="shared" si="52"/>
        <v>3452166.6666666656</v>
      </c>
      <c r="AF153" s="85">
        <f t="shared" si="69"/>
        <v>313833.33333333331</v>
      </c>
      <c r="AG153" s="84">
        <f t="shared" si="53"/>
        <v>3138333.3333333321</v>
      </c>
      <c r="AH153" s="85"/>
      <c r="AI153" s="84">
        <f t="shared" si="54"/>
        <v>3138333.3333333321</v>
      </c>
      <c r="AJ153" s="85"/>
      <c r="AK153" s="84">
        <f t="shared" si="55"/>
        <v>3138333.3333333321</v>
      </c>
      <c r="AL153" s="85"/>
      <c r="AM153" s="84">
        <f t="shared" si="56"/>
        <v>3138333.3333333321</v>
      </c>
      <c r="AN153" s="85"/>
      <c r="AO153" s="84">
        <f t="shared" si="57"/>
        <v>3138333.3333333321</v>
      </c>
      <c r="AP153" s="85"/>
      <c r="AQ153" s="84">
        <f t="shared" si="58"/>
        <v>3138333.3333333321</v>
      </c>
      <c r="AR153" s="85"/>
      <c r="AS153" s="84">
        <f t="shared" si="59"/>
        <v>3138333.3333333321</v>
      </c>
      <c r="AT153" s="85"/>
      <c r="AU153" s="84">
        <f t="shared" si="60"/>
        <v>3138333.3333333321</v>
      </c>
      <c r="AV153" s="85"/>
      <c r="AW153" s="84">
        <f t="shared" si="61"/>
        <v>3138333.3333333321</v>
      </c>
      <c r="AX153" s="86">
        <f t="shared" si="62"/>
        <v>1255333.3333333333</v>
      </c>
      <c r="AY153" s="87">
        <f t="shared" si="63"/>
        <v>3138333.333333333</v>
      </c>
      <c r="AZ153" s="65" t="b">
        <f t="shared" si="64"/>
        <v>1</v>
      </c>
    </row>
    <row r="154" spans="1:52" s="67" customFormat="1" ht="24.75" hidden="1" customHeight="1">
      <c r="A154" s="68">
        <v>149</v>
      </c>
      <c r="B154" s="69" t="s">
        <v>430</v>
      </c>
      <c r="C154" s="71" t="s">
        <v>431</v>
      </c>
      <c r="D154" s="71" t="s">
        <v>64</v>
      </c>
      <c r="E154" s="88" t="s">
        <v>432</v>
      </c>
      <c r="F154" s="89" t="s">
        <v>433</v>
      </c>
      <c r="G154" s="88">
        <v>20240228</v>
      </c>
      <c r="H154" s="88">
        <v>24020385</v>
      </c>
      <c r="I154" s="74" t="s">
        <v>66</v>
      </c>
      <c r="J154" s="88" t="s">
        <v>67</v>
      </c>
      <c r="K154" s="68" t="s">
        <v>434</v>
      </c>
      <c r="L154" s="70" t="s">
        <v>69</v>
      </c>
      <c r="M154" s="88" t="s">
        <v>435</v>
      </c>
      <c r="N154" s="88" t="s">
        <v>436</v>
      </c>
      <c r="O154" s="77">
        <v>1</v>
      </c>
      <c r="P154" s="90">
        <v>45352</v>
      </c>
      <c r="Q154" s="94">
        <f t="shared" si="65"/>
        <v>46446</v>
      </c>
      <c r="R154" s="79">
        <v>36</v>
      </c>
      <c r="S154" s="79">
        <f t="shared" si="48"/>
        <v>3</v>
      </c>
      <c r="T154" s="91">
        <v>84832000</v>
      </c>
      <c r="U154" s="81"/>
      <c r="V154" s="82">
        <v>84832000</v>
      </c>
      <c r="W154" s="83">
        <f t="shared" si="66"/>
        <v>2356444.4444444445</v>
      </c>
      <c r="X154" s="83">
        <v>51841777.777777776</v>
      </c>
      <c r="Y154" s="83">
        <v>32990222.22222222</v>
      </c>
      <c r="Z154" s="85">
        <f t="shared" si="49"/>
        <v>2356444.4444444445</v>
      </c>
      <c r="AA154" s="84">
        <f t="shared" si="67"/>
        <v>30633777.77777778</v>
      </c>
      <c r="AB154" s="85">
        <f t="shared" si="50"/>
        <v>2356444.4444444445</v>
      </c>
      <c r="AC154" s="84">
        <f t="shared" si="51"/>
        <v>28277333.333333336</v>
      </c>
      <c r="AD154" s="85">
        <f t="shared" si="68"/>
        <v>2356444.4444444445</v>
      </c>
      <c r="AE154" s="84">
        <f t="shared" si="52"/>
        <v>25920888.888888892</v>
      </c>
      <c r="AF154" s="85">
        <f t="shared" si="69"/>
        <v>2356444.4444444445</v>
      </c>
      <c r="AG154" s="84">
        <f t="shared" si="53"/>
        <v>23564444.444444448</v>
      </c>
      <c r="AH154" s="85"/>
      <c r="AI154" s="84">
        <f t="shared" si="54"/>
        <v>23564444.444444448</v>
      </c>
      <c r="AJ154" s="85"/>
      <c r="AK154" s="84">
        <f t="shared" si="55"/>
        <v>23564444.444444448</v>
      </c>
      <c r="AL154" s="85"/>
      <c r="AM154" s="84">
        <f t="shared" si="56"/>
        <v>23564444.444444448</v>
      </c>
      <c r="AN154" s="85"/>
      <c r="AO154" s="84">
        <f t="shared" si="57"/>
        <v>23564444.444444448</v>
      </c>
      <c r="AP154" s="85"/>
      <c r="AQ154" s="84">
        <f t="shared" si="58"/>
        <v>23564444.444444448</v>
      </c>
      <c r="AR154" s="85"/>
      <c r="AS154" s="84">
        <f t="shared" si="59"/>
        <v>23564444.444444448</v>
      </c>
      <c r="AT154" s="85"/>
      <c r="AU154" s="84">
        <f t="shared" si="60"/>
        <v>23564444.444444448</v>
      </c>
      <c r="AV154" s="85"/>
      <c r="AW154" s="84">
        <f t="shared" si="61"/>
        <v>23564444.444444448</v>
      </c>
      <c r="AX154" s="86">
        <f t="shared" si="62"/>
        <v>9425777.777777778</v>
      </c>
      <c r="AY154" s="87">
        <f t="shared" si="63"/>
        <v>23564444.444444448</v>
      </c>
      <c r="AZ154" s="65" t="b">
        <f t="shared" si="64"/>
        <v>1</v>
      </c>
    </row>
    <row r="155" spans="1:52" s="67" customFormat="1" ht="24.75" hidden="1" customHeight="1">
      <c r="A155" s="68">
        <v>150</v>
      </c>
      <c r="B155" s="69" t="s">
        <v>437</v>
      </c>
      <c r="C155" s="71" t="s">
        <v>395</v>
      </c>
      <c r="D155" s="71" t="s">
        <v>396</v>
      </c>
      <c r="E155" s="88" t="s">
        <v>438</v>
      </c>
      <c r="F155" s="89" t="s">
        <v>439</v>
      </c>
      <c r="G155" s="88">
        <v>20240330</v>
      </c>
      <c r="H155" s="88">
        <v>24030758</v>
      </c>
      <c r="I155" s="74" t="s">
        <v>399</v>
      </c>
      <c r="J155" s="88" t="s">
        <v>400</v>
      </c>
      <c r="K155" s="68" t="s">
        <v>401</v>
      </c>
      <c r="L155" s="70" t="s">
        <v>402</v>
      </c>
      <c r="M155" s="88" t="s">
        <v>111</v>
      </c>
      <c r="N155" s="88" t="s">
        <v>112</v>
      </c>
      <c r="O155" s="77">
        <v>1</v>
      </c>
      <c r="P155" s="90">
        <v>45383</v>
      </c>
      <c r="Q155" s="94">
        <f t="shared" si="65"/>
        <v>46112</v>
      </c>
      <c r="R155" s="79">
        <v>24</v>
      </c>
      <c r="S155" s="79">
        <f t="shared" si="48"/>
        <v>2</v>
      </c>
      <c r="T155" s="91">
        <v>9580000</v>
      </c>
      <c r="U155" s="81"/>
      <c r="V155" s="82">
        <v>9580000</v>
      </c>
      <c r="W155" s="83">
        <f t="shared" si="66"/>
        <v>399166.66666666669</v>
      </c>
      <c r="X155" s="83">
        <v>8382500</v>
      </c>
      <c r="Y155" s="83">
        <v>1197500</v>
      </c>
      <c r="Z155" s="85">
        <f t="shared" si="49"/>
        <v>399166.66666666669</v>
      </c>
      <c r="AA155" s="84">
        <f t="shared" si="67"/>
        <v>798333.33333333326</v>
      </c>
      <c r="AB155" s="85">
        <f t="shared" si="50"/>
        <v>399166.66666666669</v>
      </c>
      <c r="AC155" s="84">
        <f t="shared" si="51"/>
        <v>399166.66666666657</v>
      </c>
      <c r="AD155" s="85">
        <f t="shared" si="68"/>
        <v>399166.66666666669</v>
      </c>
      <c r="AE155" s="84">
        <f t="shared" si="52"/>
        <v>0</v>
      </c>
      <c r="AF155" s="85">
        <f t="shared" si="69"/>
        <v>0</v>
      </c>
      <c r="AG155" s="84">
        <f t="shared" si="53"/>
        <v>0</v>
      </c>
      <c r="AH155" s="85"/>
      <c r="AI155" s="84">
        <f t="shared" si="54"/>
        <v>0</v>
      </c>
      <c r="AJ155" s="85"/>
      <c r="AK155" s="84">
        <f t="shared" si="55"/>
        <v>0</v>
      </c>
      <c r="AL155" s="85"/>
      <c r="AM155" s="84">
        <f t="shared" si="56"/>
        <v>0</v>
      </c>
      <c r="AN155" s="85"/>
      <c r="AO155" s="84">
        <f t="shared" si="57"/>
        <v>0</v>
      </c>
      <c r="AP155" s="85"/>
      <c r="AQ155" s="84">
        <f t="shared" si="58"/>
        <v>0</v>
      </c>
      <c r="AR155" s="85"/>
      <c r="AS155" s="84">
        <f t="shared" si="59"/>
        <v>0</v>
      </c>
      <c r="AT155" s="85"/>
      <c r="AU155" s="84">
        <f t="shared" si="60"/>
        <v>0</v>
      </c>
      <c r="AV155" s="85"/>
      <c r="AW155" s="84">
        <f t="shared" si="61"/>
        <v>0</v>
      </c>
      <c r="AX155" s="86">
        <f t="shared" si="62"/>
        <v>1197500</v>
      </c>
      <c r="AY155" s="87">
        <f t="shared" si="63"/>
        <v>0</v>
      </c>
      <c r="AZ155" s="65" t="b">
        <f t="shared" si="64"/>
        <v>1</v>
      </c>
    </row>
    <row r="156" spans="1:52" s="67" customFormat="1" ht="24.75" hidden="1" customHeight="1">
      <c r="A156" s="68">
        <v>151</v>
      </c>
      <c r="B156" s="69" t="s">
        <v>440</v>
      </c>
      <c r="C156" s="71" t="s">
        <v>395</v>
      </c>
      <c r="D156" s="71" t="s">
        <v>396</v>
      </c>
      <c r="E156" s="88" t="s">
        <v>441</v>
      </c>
      <c r="F156" s="89" t="s">
        <v>439</v>
      </c>
      <c r="G156" s="88">
        <v>20240330</v>
      </c>
      <c r="H156" s="88">
        <v>24030758</v>
      </c>
      <c r="I156" s="74" t="s">
        <v>399</v>
      </c>
      <c r="J156" s="88" t="s">
        <v>400</v>
      </c>
      <c r="K156" s="68" t="s">
        <v>442</v>
      </c>
      <c r="L156" s="70" t="s">
        <v>443</v>
      </c>
      <c r="M156" s="88" t="s">
        <v>444</v>
      </c>
      <c r="N156" s="88" t="s">
        <v>445</v>
      </c>
      <c r="O156" s="77">
        <v>1</v>
      </c>
      <c r="P156" s="90">
        <v>45383</v>
      </c>
      <c r="Q156" s="94">
        <f t="shared" si="65"/>
        <v>46112</v>
      </c>
      <c r="R156" s="79">
        <v>24</v>
      </c>
      <c r="S156" s="79">
        <f t="shared" si="48"/>
        <v>2</v>
      </c>
      <c r="T156" s="91">
        <v>9580000</v>
      </c>
      <c r="U156" s="81"/>
      <c r="V156" s="82">
        <v>9580000</v>
      </c>
      <c r="W156" s="83">
        <f t="shared" si="66"/>
        <v>399166.66666666669</v>
      </c>
      <c r="X156" s="83">
        <v>8382500</v>
      </c>
      <c r="Y156" s="83">
        <v>1197500</v>
      </c>
      <c r="Z156" s="85">
        <f t="shared" si="49"/>
        <v>399166.66666666669</v>
      </c>
      <c r="AA156" s="84">
        <f t="shared" si="67"/>
        <v>798333.33333333326</v>
      </c>
      <c r="AB156" s="85">
        <f t="shared" si="50"/>
        <v>399166.66666666669</v>
      </c>
      <c r="AC156" s="84">
        <f t="shared" si="51"/>
        <v>399166.66666666657</v>
      </c>
      <c r="AD156" s="85">
        <f t="shared" si="68"/>
        <v>399166.66666666669</v>
      </c>
      <c r="AE156" s="84">
        <f t="shared" si="52"/>
        <v>0</v>
      </c>
      <c r="AF156" s="85">
        <f t="shared" si="69"/>
        <v>0</v>
      </c>
      <c r="AG156" s="84">
        <f t="shared" si="53"/>
        <v>0</v>
      </c>
      <c r="AH156" s="85"/>
      <c r="AI156" s="84">
        <f t="shared" si="54"/>
        <v>0</v>
      </c>
      <c r="AJ156" s="85"/>
      <c r="AK156" s="84">
        <f t="shared" si="55"/>
        <v>0</v>
      </c>
      <c r="AL156" s="85"/>
      <c r="AM156" s="84">
        <f t="shared" si="56"/>
        <v>0</v>
      </c>
      <c r="AN156" s="85"/>
      <c r="AO156" s="84">
        <f t="shared" si="57"/>
        <v>0</v>
      </c>
      <c r="AP156" s="85"/>
      <c r="AQ156" s="84">
        <f t="shared" si="58"/>
        <v>0</v>
      </c>
      <c r="AR156" s="85"/>
      <c r="AS156" s="84">
        <f t="shared" si="59"/>
        <v>0</v>
      </c>
      <c r="AT156" s="85"/>
      <c r="AU156" s="84">
        <f t="shared" si="60"/>
        <v>0</v>
      </c>
      <c r="AV156" s="85"/>
      <c r="AW156" s="84">
        <f t="shared" si="61"/>
        <v>0</v>
      </c>
      <c r="AX156" s="86">
        <f t="shared" si="62"/>
        <v>1197500</v>
      </c>
      <c r="AY156" s="87">
        <f t="shared" si="63"/>
        <v>0</v>
      </c>
      <c r="AZ156" s="65" t="b">
        <f t="shared" si="64"/>
        <v>1</v>
      </c>
    </row>
    <row r="157" spans="1:52" s="67" customFormat="1" ht="24.75" hidden="1" customHeight="1">
      <c r="A157" s="68">
        <v>152</v>
      </c>
      <c r="B157" s="69" t="s">
        <v>446</v>
      </c>
      <c r="C157" s="71" t="s">
        <v>395</v>
      </c>
      <c r="D157" s="71" t="s">
        <v>396</v>
      </c>
      <c r="E157" s="88" t="s">
        <v>447</v>
      </c>
      <c r="F157" s="89" t="s">
        <v>439</v>
      </c>
      <c r="G157" s="88">
        <v>20240330</v>
      </c>
      <c r="H157" s="88">
        <v>24030758</v>
      </c>
      <c r="I157" s="74" t="s">
        <v>399</v>
      </c>
      <c r="J157" s="88" t="s">
        <v>400</v>
      </c>
      <c r="K157" s="68" t="s">
        <v>448</v>
      </c>
      <c r="L157" s="70" t="s">
        <v>449</v>
      </c>
      <c r="M157" s="88" t="s">
        <v>125</v>
      </c>
      <c r="N157" s="88" t="s">
        <v>126</v>
      </c>
      <c r="O157" s="77">
        <v>5</v>
      </c>
      <c r="P157" s="90">
        <v>45383</v>
      </c>
      <c r="Q157" s="94">
        <f t="shared" si="65"/>
        <v>46112</v>
      </c>
      <c r="R157" s="79">
        <v>24</v>
      </c>
      <c r="S157" s="79">
        <v>2</v>
      </c>
      <c r="T157" s="91">
        <v>55160000</v>
      </c>
      <c r="U157" s="81"/>
      <c r="V157" s="82">
        <v>55160000</v>
      </c>
      <c r="W157" s="83">
        <f t="shared" si="66"/>
        <v>2298333.3333333335</v>
      </c>
      <c r="X157" s="83">
        <v>48265000</v>
      </c>
      <c r="Y157" s="83">
        <v>6895000.0000000037</v>
      </c>
      <c r="Z157" s="85">
        <f t="shared" si="49"/>
        <v>2298333.3333333335</v>
      </c>
      <c r="AA157" s="84">
        <f t="shared" si="67"/>
        <v>4596666.666666666</v>
      </c>
      <c r="AB157" s="85">
        <f t="shared" si="50"/>
        <v>2298333.3333333335</v>
      </c>
      <c r="AC157" s="84">
        <f t="shared" si="51"/>
        <v>2298333.3333333326</v>
      </c>
      <c r="AD157" s="85">
        <f t="shared" si="68"/>
        <v>2298333.3333333335</v>
      </c>
      <c r="AE157" s="84">
        <f t="shared" si="52"/>
        <v>0</v>
      </c>
      <c r="AF157" s="85">
        <f t="shared" si="69"/>
        <v>0</v>
      </c>
      <c r="AG157" s="84">
        <f t="shared" si="53"/>
        <v>0</v>
      </c>
      <c r="AH157" s="85"/>
      <c r="AI157" s="84">
        <f t="shared" si="54"/>
        <v>0</v>
      </c>
      <c r="AJ157" s="85"/>
      <c r="AK157" s="84">
        <f t="shared" si="55"/>
        <v>0</v>
      </c>
      <c r="AL157" s="85"/>
      <c r="AM157" s="84">
        <f t="shared" si="56"/>
        <v>0</v>
      </c>
      <c r="AN157" s="85"/>
      <c r="AO157" s="84">
        <f t="shared" si="57"/>
        <v>0</v>
      </c>
      <c r="AP157" s="85"/>
      <c r="AQ157" s="84">
        <f t="shared" si="58"/>
        <v>0</v>
      </c>
      <c r="AR157" s="85"/>
      <c r="AS157" s="84">
        <f t="shared" si="59"/>
        <v>0</v>
      </c>
      <c r="AT157" s="85"/>
      <c r="AU157" s="84">
        <f t="shared" si="60"/>
        <v>0</v>
      </c>
      <c r="AV157" s="85"/>
      <c r="AW157" s="84">
        <f t="shared" si="61"/>
        <v>0</v>
      </c>
      <c r="AX157" s="86">
        <f t="shared" si="62"/>
        <v>6895000</v>
      </c>
      <c r="AY157" s="87">
        <f t="shared" si="63"/>
        <v>0</v>
      </c>
      <c r="AZ157" s="65" t="b">
        <f t="shared" si="64"/>
        <v>1</v>
      </c>
    </row>
    <row r="158" spans="1:52" s="67" customFormat="1" ht="24.75" hidden="1" customHeight="1">
      <c r="A158" s="68">
        <v>153</v>
      </c>
      <c r="B158" s="69" t="s">
        <v>450</v>
      </c>
      <c r="C158" s="71" t="s">
        <v>451</v>
      </c>
      <c r="D158" s="71" t="s">
        <v>396</v>
      </c>
      <c r="E158" s="88" t="s">
        <v>452</v>
      </c>
      <c r="F158" s="89" t="s">
        <v>453</v>
      </c>
      <c r="G158" s="88">
        <v>20240415</v>
      </c>
      <c r="H158" s="88">
        <v>24040657</v>
      </c>
      <c r="I158" s="74" t="s">
        <v>399</v>
      </c>
      <c r="J158" s="88" t="s">
        <v>400</v>
      </c>
      <c r="K158" s="68" t="s">
        <v>349</v>
      </c>
      <c r="L158" s="70" t="s">
        <v>454</v>
      </c>
      <c r="M158" s="88" t="s">
        <v>60</v>
      </c>
      <c r="N158" s="88" t="s">
        <v>61</v>
      </c>
      <c r="O158" s="77">
        <v>1</v>
      </c>
      <c r="P158" s="90">
        <v>45413</v>
      </c>
      <c r="Q158" s="94">
        <f t="shared" si="65"/>
        <v>46142</v>
      </c>
      <c r="R158" s="79">
        <v>24</v>
      </c>
      <c r="S158" s="79">
        <v>2</v>
      </c>
      <c r="T158" s="91">
        <v>12145444.333333334</v>
      </c>
      <c r="U158" s="81"/>
      <c r="V158" s="82">
        <f t="shared" ref="V158:V214" si="70">T158</f>
        <v>12145444.333333334</v>
      </c>
      <c r="W158" s="83">
        <f t="shared" si="66"/>
        <v>506060.18055555556</v>
      </c>
      <c r="X158" s="83">
        <v>10121203.611111112</v>
      </c>
      <c r="Y158" s="83">
        <v>2024240.722222222</v>
      </c>
      <c r="Z158" s="85">
        <f t="shared" si="49"/>
        <v>506060.18055555556</v>
      </c>
      <c r="AA158" s="84">
        <f t="shared" si="67"/>
        <v>1518180.5416666665</v>
      </c>
      <c r="AB158" s="85">
        <f t="shared" si="50"/>
        <v>506060.18055555556</v>
      </c>
      <c r="AC158" s="84">
        <f t="shared" si="51"/>
        <v>1012120.361111111</v>
      </c>
      <c r="AD158" s="85">
        <f t="shared" si="68"/>
        <v>506060.18055555556</v>
      </c>
      <c r="AE158" s="84">
        <f t="shared" si="52"/>
        <v>506060.18055555545</v>
      </c>
      <c r="AF158" s="85">
        <f t="shared" si="69"/>
        <v>506060.18055555556</v>
      </c>
      <c r="AG158" s="84">
        <f t="shared" si="53"/>
        <v>0</v>
      </c>
      <c r="AH158" s="85"/>
      <c r="AI158" s="84">
        <f t="shared" si="54"/>
        <v>0</v>
      </c>
      <c r="AJ158" s="85"/>
      <c r="AK158" s="84">
        <f t="shared" si="55"/>
        <v>0</v>
      </c>
      <c r="AL158" s="85"/>
      <c r="AM158" s="84">
        <f t="shared" si="56"/>
        <v>0</v>
      </c>
      <c r="AN158" s="85"/>
      <c r="AO158" s="84">
        <f t="shared" si="57"/>
        <v>0</v>
      </c>
      <c r="AP158" s="85"/>
      <c r="AQ158" s="84">
        <f t="shared" si="58"/>
        <v>0</v>
      </c>
      <c r="AR158" s="85"/>
      <c r="AS158" s="84">
        <f t="shared" si="59"/>
        <v>0</v>
      </c>
      <c r="AT158" s="85"/>
      <c r="AU158" s="84">
        <f t="shared" si="60"/>
        <v>0</v>
      </c>
      <c r="AV158" s="85"/>
      <c r="AW158" s="84">
        <f t="shared" si="61"/>
        <v>0</v>
      </c>
      <c r="AX158" s="86">
        <f t="shared" si="62"/>
        <v>2024240.7222222222</v>
      </c>
      <c r="AY158" s="87">
        <f t="shared" si="63"/>
        <v>0</v>
      </c>
      <c r="AZ158" s="65" t="b">
        <f t="shared" si="64"/>
        <v>1</v>
      </c>
    </row>
    <row r="159" spans="1:52" s="67" customFormat="1" ht="24.75" hidden="1" customHeight="1">
      <c r="A159" s="68">
        <v>154</v>
      </c>
      <c r="B159" s="69" t="s">
        <v>455</v>
      </c>
      <c r="C159" s="71" t="s">
        <v>451</v>
      </c>
      <c r="D159" s="71" t="s">
        <v>396</v>
      </c>
      <c r="E159" s="88" t="s">
        <v>452</v>
      </c>
      <c r="F159" s="89" t="s">
        <v>453</v>
      </c>
      <c r="G159" s="88">
        <v>20240415</v>
      </c>
      <c r="H159" s="88">
        <v>24040657</v>
      </c>
      <c r="I159" s="74" t="s">
        <v>399</v>
      </c>
      <c r="J159" s="88" t="s">
        <v>400</v>
      </c>
      <c r="K159" s="68" t="s">
        <v>68</v>
      </c>
      <c r="L159" s="70" t="s">
        <v>69</v>
      </c>
      <c r="M159" s="88" t="s">
        <v>55</v>
      </c>
      <c r="N159" s="88" t="s">
        <v>56</v>
      </c>
      <c r="O159" s="77">
        <v>8</v>
      </c>
      <c r="P159" s="90">
        <v>45413</v>
      </c>
      <c r="Q159" s="94">
        <f t="shared" si="65"/>
        <v>46142</v>
      </c>
      <c r="R159" s="79">
        <v>24</v>
      </c>
      <c r="S159" s="79">
        <v>2</v>
      </c>
      <c r="T159" s="91">
        <v>97163554.666666672</v>
      </c>
      <c r="U159" s="81"/>
      <c r="V159" s="82">
        <f t="shared" si="70"/>
        <v>97163554.666666672</v>
      </c>
      <c r="W159" s="83">
        <f t="shared" si="66"/>
        <v>4048481.4444444445</v>
      </c>
      <c r="X159" s="83">
        <v>80969628.888888896</v>
      </c>
      <c r="Y159" s="83">
        <v>16193925.777777776</v>
      </c>
      <c r="Z159" s="85">
        <f t="shared" si="49"/>
        <v>4048481.4444444445</v>
      </c>
      <c r="AA159" s="84">
        <f t="shared" si="67"/>
        <v>12145444.333333332</v>
      </c>
      <c r="AB159" s="85">
        <f t="shared" si="50"/>
        <v>4048481.4444444445</v>
      </c>
      <c r="AC159" s="84">
        <f t="shared" si="51"/>
        <v>8096962.8888888881</v>
      </c>
      <c r="AD159" s="85">
        <f t="shared" si="68"/>
        <v>4048481.4444444445</v>
      </c>
      <c r="AE159" s="84">
        <f t="shared" si="52"/>
        <v>4048481.4444444436</v>
      </c>
      <c r="AF159" s="85">
        <f t="shared" si="69"/>
        <v>4048481.4444444445</v>
      </c>
      <c r="AG159" s="84">
        <f t="shared" si="53"/>
        <v>0</v>
      </c>
      <c r="AH159" s="85"/>
      <c r="AI159" s="84">
        <f t="shared" si="54"/>
        <v>0</v>
      </c>
      <c r="AJ159" s="85"/>
      <c r="AK159" s="84">
        <f t="shared" si="55"/>
        <v>0</v>
      </c>
      <c r="AL159" s="85"/>
      <c r="AM159" s="84">
        <f t="shared" si="56"/>
        <v>0</v>
      </c>
      <c r="AN159" s="85"/>
      <c r="AO159" s="84">
        <f t="shared" si="57"/>
        <v>0</v>
      </c>
      <c r="AP159" s="85"/>
      <c r="AQ159" s="84">
        <f t="shared" si="58"/>
        <v>0</v>
      </c>
      <c r="AR159" s="85"/>
      <c r="AS159" s="84">
        <f t="shared" si="59"/>
        <v>0</v>
      </c>
      <c r="AT159" s="85"/>
      <c r="AU159" s="84">
        <f t="shared" si="60"/>
        <v>0</v>
      </c>
      <c r="AV159" s="85"/>
      <c r="AW159" s="84">
        <f t="shared" si="61"/>
        <v>0</v>
      </c>
      <c r="AX159" s="86">
        <f t="shared" si="62"/>
        <v>16193925.777777778</v>
      </c>
      <c r="AY159" s="87">
        <f t="shared" si="63"/>
        <v>0</v>
      </c>
      <c r="AZ159" s="65" t="b">
        <f t="shared" si="64"/>
        <v>1</v>
      </c>
    </row>
    <row r="160" spans="1:52" s="67" customFormat="1" ht="24.75" hidden="1" customHeight="1">
      <c r="A160" s="68">
        <v>155</v>
      </c>
      <c r="B160" s="69" t="s">
        <v>456</v>
      </c>
      <c r="C160" s="71" t="s">
        <v>395</v>
      </c>
      <c r="D160" s="71" t="s">
        <v>396</v>
      </c>
      <c r="E160" s="88" t="s">
        <v>457</v>
      </c>
      <c r="F160" s="89" t="s">
        <v>458</v>
      </c>
      <c r="G160" s="88">
        <v>20240427</v>
      </c>
      <c r="H160" s="88">
        <v>24040721</v>
      </c>
      <c r="I160" s="74" t="s">
        <v>399</v>
      </c>
      <c r="J160" s="88" t="s">
        <v>400</v>
      </c>
      <c r="K160" s="68" t="s">
        <v>349</v>
      </c>
      <c r="L160" s="70" t="s">
        <v>454</v>
      </c>
      <c r="M160" s="88" t="s">
        <v>60</v>
      </c>
      <c r="N160" s="88" t="s">
        <v>61</v>
      </c>
      <c r="O160" s="77">
        <v>1</v>
      </c>
      <c r="P160" s="90">
        <v>45413</v>
      </c>
      <c r="Q160" s="94">
        <f t="shared" si="65"/>
        <v>46142</v>
      </c>
      <c r="R160" s="79">
        <v>24</v>
      </c>
      <c r="S160" s="79">
        <v>2</v>
      </c>
      <c r="T160" s="91">
        <v>12900000</v>
      </c>
      <c r="U160" s="81"/>
      <c r="V160" s="82">
        <f t="shared" si="70"/>
        <v>12900000</v>
      </c>
      <c r="W160" s="83">
        <f t="shared" si="66"/>
        <v>537500</v>
      </c>
      <c r="X160" s="83">
        <v>10750000</v>
      </c>
      <c r="Y160" s="83">
        <v>2150000</v>
      </c>
      <c r="Z160" s="85">
        <f t="shared" si="49"/>
        <v>537500</v>
      </c>
      <c r="AA160" s="84">
        <f t="shared" si="67"/>
        <v>1612500</v>
      </c>
      <c r="AB160" s="85">
        <f t="shared" si="50"/>
        <v>537500</v>
      </c>
      <c r="AC160" s="84">
        <f t="shared" si="51"/>
        <v>1075000</v>
      </c>
      <c r="AD160" s="85">
        <f t="shared" si="68"/>
        <v>537500</v>
      </c>
      <c r="AE160" s="84">
        <f t="shared" si="52"/>
        <v>537500</v>
      </c>
      <c r="AF160" s="85">
        <f t="shared" si="69"/>
        <v>537500</v>
      </c>
      <c r="AG160" s="84">
        <f t="shared" si="53"/>
        <v>0</v>
      </c>
      <c r="AH160" s="85"/>
      <c r="AI160" s="84">
        <f t="shared" si="54"/>
        <v>0</v>
      </c>
      <c r="AJ160" s="85"/>
      <c r="AK160" s="84">
        <f t="shared" si="55"/>
        <v>0</v>
      </c>
      <c r="AL160" s="85"/>
      <c r="AM160" s="84">
        <f t="shared" si="56"/>
        <v>0</v>
      </c>
      <c r="AN160" s="85"/>
      <c r="AO160" s="84">
        <f t="shared" si="57"/>
        <v>0</v>
      </c>
      <c r="AP160" s="85"/>
      <c r="AQ160" s="84">
        <f t="shared" si="58"/>
        <v>0</v>
      </c>
      <c r="AR160" s="85"/>
      <c r="AS160" s="84">
        <f t="shared" si="59"/>
        <v>0</v>
      </c>
      <c r="AT160" s="85"/>
      <c r="AU160" s="84">
        <f t="shared" si="60"/>
        <v>0</v>
      </c>
      <c r="AV160" s="85"/>
      <c r="AW160" s="84">
        <f t="shared" si="61"/>
        <v>0</v>
      </c>
      <c r="AX160" s="86">
        <f t="shared" si="62"/>
        <v>2150000</v>
      </c>
      <c r="AY160" s="87">
        <f t="shared" si="63"/>
        <v>0</v>
      </c>
      <c r="AZ160" s="65" t="b">
        <f t="shared" si="64"/>
        <v>1</v>
      </c>
    </row>
    <row r="161" spans="1:52" s="67" customFormat="1" ht="24.75" hidden="1" customHeight="1">
      <c r="A161" s="68">
        <v>156</v>
      </c>
      <c r="B161" s="69" t="s">
        <v>459</v>
      </c>
      <c r="C161" s="71" t="s">
        <v>395</v>
      </c>
      <c r="D161" s="71" t="s">
        <v>396</v>
      </c>
      <c r="E161" s="88" t="s">
        <v>460</v>
      </c>
      <c r="F161" s="89" t="s">
        <v>458</v>
      </c>
      <c r="G161" s="88">
        <v>20240427</v>
      </c>
      <c r="H161" s="88">
        <v>24040721</v>
      </c>
      <c r="I161" s="74" t="s">
        <v>399</v>
      </c>
      <c r="J161" s="88" t="s">
        <v>400</v>
      </c>
      <c r="K161" s="68" t="s">
        <v>349</v>
      </c>
      <c r="L161" s="70" t="s">
        <v>454</v>
      </c>
      <c r="M161" s="88" t="s">
        <v>111</v>
      </c>
      <c r="N161" s="88" t="s">
        <v>112</v>
      </c>
      <c r="O161" s="77">
        <v>1</v>
      </c>
      <c r="P161" s="90">
        <v>45413</v>
      </c>
      <c r="Q161" s="94">
        <f t="shared" si="65"/>
        <v>46142</v>
      </c>
      <c r="R161" s="79">
        <v>24</v>
      </c>
      <c r="S161" s="79">
        <v>2</v>
      </c>
      <c r="T161" s="91">
        <v>35200000</v>
      </c>
      <c r="U161" s="81"/>
      <c r="V161" s="82">
        <f t="shared" si="70"/>
        <v>35200000</v>
      </c>
      <c r="W161" s="83">
        <f t="shared" si="66"/>
        <v>1466666.6666666667</v>
      </c>
      <c r="X161" s="83">
        <v>29333333.333333328</v>
      </c>
      <c r="Y161" s="83">
        <v>5866666.6666666716</v>
      </c>
      <c r="Z161" s="85">
        <f t="shared" si="49"/>
        <v>1466666.6666666667</v>
      </c>
      <c r="AA161" s="84">
        <f t="shared" si="67"/>
        <v>4400000.0000000047</v>
      </c>
      <c r="AB161" s="85">
        <f t="shared" si="50"/>
        <v>1466666.6666666667</v>
      </c>
      <c r="AC161" s="84">
        <f t="shared" si="51"/>
        <v>2933333.3333333377</v>
      </c>
      <c r="AD161" s="85">
        <f t="shared" si="68"/>
        <v>1466666.6666666667</v>
      </c>
      <c r="AE161" s="84">
        <f t="shared" si="52"/>
        <v>1466666.6666666709</v>
      </c>
      <c r="AF161" s="85">
        <v>1466666.6666666709</v>
      </c>
      <c r="AG161" s="84">
        <f t="shared" si="53"/>
        <v>0</v>
      </c>
      <c r="AH161" s="85"/>
      <c r="AI161" s="84">
        <f t="shared" si="54"/>
        <v>0</v>
      </c>
      <c r="AJ161" s="85"/>
      <c r="AK161" s="84">
        <f t="shared" si="55"/>
        <v>0</v>
      </c>
      <c r="AL161" s="85"/>
      <c r="AM161" s="84">
        <f t="shared" si="56"/>
        <v>0</v>
      </c>
      <c r="AN161" s="85"/>
      <c r="AO161" s="84">
        <f t="shared" si="57"/>
        <v>0</v>
      </c>
      <c r="AP161" s="85"/>
      <c r="AQ161" s="84">
        <f t="shared" si="58"/>
        <v>0</v>
      </c>
      <c r="AR161" s="85"/>
      <c r="AS161" s="84">
        <f t="shared" si="59"/>
        <v>0</v>
      </c>
      <c r="AT161" s="85"/>
      <c r="AU161" s="84">
        <f t="shared" si="60"/>
        <v>0</v>
      </c>
      <c r="AV161" s="85"/>
      <c r="AW161" s="84">
        <f t="shared" si="61"/>
        <v>0</v>
      </c>
      <c r="AX161" s="86">
        <f t="shared" si="62"/>
        <v>5866666.6666666707</v>
      </c>
      <c r="AY161" s="87">
        <f t="shared" si="63"/>
        <v>0</v>
      </c>
      <c r="AZ161" s="65" t="b">
        <f t="shared" si="64"/>
        <v>1</v>
      </c>
    </row>
    <row r="162" spans="1:52" s="67" customFormat="1" ht="24.75" hidden="1" customHeight="1">
      <c r="A162" s="68">
        <v>157</v>
      </c>
      <c r="B162" s="69" t="s">
        <v>461</v>
      </c>
      <c r="C162" s="88" t="s">
        <v>81</v>
      </c>
      <c r="D162" s="71" t="s">
        <v>95</v>
      </c>
      <c r="E162" s="88" t="s">
        <v>462</v>
      </c>
      <c r="F162" s="89"/>
      <c r="G162" s="88">
        <v>20240430</v>
      </c>
      <c r="H162" s="88">
        <v>24040794</v>
      </c>
      <c r="I162" s="95" t="s">
        <v>98</v>
      </c>
      <c r="J162" s="88" t="s">
        <v>156</v>
      </c>
      <c r="K162" s="68" t="s">
        <v>99</v>
      </c>
      <c r="L162" s="70" t="s">
        <v>100</v>
      </c>
      <c r="M162" s="88" t="s">
        <v>101</v>
      </c>
      <c r="N162" s="88" t="s">
        <v>102</v>
      </c>
      <c r="O162" s="77">
        <v>1</v>
      </c>
      <c r="P162" s="90">
        <v>45413</v>
      </c>
      <c r="Q162" s="94">
        <f t="shared" si="65"/>
        <v>46142</v>
      </c>
      <c r="R162" s="79">
        <v>24</v>
      </c>
      <c r="S162" s="79">
        <v>2</v>
      </c>
      <c r="T162" s="91">
        <v>90000000</v>
      </c>
      <c r="U162" s="81"/>
      <c r="V162" s="82">
        <f t="shared" si="70"/>
        <v>90000000</v>
      </c>
      <c r="W162" s="83">
        <f t="shared" si="66"/>
        <v>3750000</v>
      </c>
      <c r="X162" s="83">
        <v>75000000</v>
      </c>
      <c r="Y162" s="83">
        <v>15000000</v>
      </c>
      <c r="Z162" s="85">
        <f t="shared" si="49"/>
        <v>3750000</v>
      </c>
      <c r="AA162" s="84">
        <f t="shared" si="67"/>
        <v>11250000</v>
      </c>
      <c r="AB162" s="85">
        <f t="shared" si="50"/>
        <v>3750000</v>
      </c>
      <c r="AC162" s="84">
        <f t="shared" si="51"/>
        <v>7500000</v>
      </c>
      <c r="AD162" s="85">
        <f t="shared" si="68"/>
        <v>3750000</v>
      </c>
      <c r="AE162" s="84">
        <f t="shared" si="52"/>
        <v>3750000</v>
      </c>
      <c r="AF162" s="85">
        <f t="shared" si="69"/>
        <v>3750000</v>
      </c>
      <c r="AG162" s="84">
        <f t="shared" si="53"/>
        <v>0</v>
      </c>
      <c r="AH162" s="85"/>
      <c r="AI162" s="84">
        <f t="shared" si="54"/>
        <v>0</v>
      </c>
      <c r="AJ162" s="85"/>
      <c r="AK162" s="84">
        <f t="shared" si="55"/>
        <v>0</v>
      </c>
      <c r="AL162" s="85"/>
      <c r="AM162" s="84">
        <f t="shared" si="56"/>
        <v>0</v>
      </c>
      <c r="AN162" s="85"/>
      <c r="AO162" s="84">
        <f t="shared" si="57"/>
        <v>0</v>
      </c>
      <c r="AP162" s="85"/>
      <c r="AQ162" s="84">
        <f t="shared" si="58"/>
        <v>0</v>
      </c>
      <c r="AR162" s="85"/>
      <c r="AS162" s="84">
        <f t="shared" si="59"/>
        <v>0</v>
      </c>
      <c r="AT162" s="85"/>
      <c r="AU162" s="84">
        <f t="shared" si="60"/>
        <v>0</v>
      </c>
      <c r="AV162" s="85"/>
      <c r="AW162" s="84">
        <f t="shared" si="61"/>
        <v>0</v>
      </c>
      <c r="AX162" s="86">
        <f t="shared" si="62"/>
        <v>15000000</v>
      </c>
      <c r="AY162" s="87">
        <f t="shared" si="63"/>
        <v>0</v>
      </c>
      <c r="AZ162" s="65" t="b">
        <f t="shared" si="64"/>
        <v>1</v>
      </c>
    </row>
    <row r="163" spans="1:52" s="67" customFormat="1" ht="24.75" hidden="1" customHeight="1">
      <c r="A163" s="68">
        <v>158</v>
      </c>
      <c r="B163" s="69" t="s">
        <v>463</v>
      </c>
      <c r="C163" s="88" t="s">
        <v>81</v>
      </c>
      <c r="D163" s="71" t="s">
        <v>95</v>
      </c>
      <c r="E163" s="88" t="s">
        <v>464</v>
      </c>
      <c r="F163" s="89"/>
      <c r="G163" s="88">
        <v>20240430</v>
      </c>
      <c r="H163" s="88">
        <v>24040794</v>
      </c>
      <c r="I163" s="95" t="s">
        <v>98</v>
      </c>
      <c r="J163" s="88" t="s">
        <v>156</v>
      </c>
      <c r="K163" s="68" t="s">
        <v>99</v>
      </c>
      <c r="L163" s="70" t="s">
        <v>100</v>
      </c>
      <c r="M163" s="88" t="s">
        <v>101</v>
      </c>
      <c r="N163" s="88" t="s">
        <v>102</v>
      </c>
      <c r="O163" s="77">
        <v>1</v>
      </c>
      <c r="P163" s="90">
        <v>45413</v>
      </c>
      <c r="Q163" s="94">
        <f t="shared" si="65"/>
        <v>46142</v>
      </c>
      <c r="R163" s="79">
        <v>24</v>
      </c>
      <c r="S163" s="79">
        <v>2</v>
      </c>
      <c r="T163" s="91">
        <v>30000000</v>
      </c>
      <c r="U163" s="81"/>
      <c r="V163" s="82">
        <f t="shared" si="70"/>
        <v>30000000</v>
      </c>
      <c r="W163" s="83">
        <f t="shared" si="66"/>
        <v>1250000</v>
      </c>
      <c r="X163" s="83">
        <v>25000000</v>
      </c>
      <c r="Y163" s="83">
        <v>5000000</v>
      </c>
      <c r="Z163" s="85">
        <f t="shared" si="49"/>
        <v>1250000</v>
      </c>
      <c r="AA163" s="84">
        <f t="shared" si="67"/>
        <v>3750000</v>
      </c>
      <c r="AB163" s="85">
        <f t="shared" si="50"/>
        <v>1250000</v>
      </c>
      <c r="AC163" s="84">
        <f t="shared" si="51"/>
        <v>2500000</v>
      </c>
      <c r="AD163" s="85">
        <f t="shared" si="68"/>
        <v>1250000</v>
      </c>
      <c r="AE163" s="84">
        <f t="shared" si="52"/>
        <v>1250000</v>
      </c>
      <c r="AF163" s="85">
        <f t="shared" si="69"/>
        <v>1250000</v>
      </c>
      <c r="AG163" s="84">
        <f t="shared" si="53"/>
        <v>0</v>
      </c>
      <c r="AH163" s="85"/>
      <c r="AI163" s="84">
        <f t="shared" si="54"/>
        <v>0</v>
      </c>
      <c r="AJ163" s="85"/>
      <c r="AK163" s="84">
        <f t="shared" si="55"/>
        <v>0</v>
      </c>
      <c r="AL163" s="85"/>
      <c r="AM163" s="84">
        <f t="shared" si="56"/>
        <v>0</v>
      </c>
      <c r="AN163" s="85"/>
      <c r="AO163" s="84">
        <f t="shared" si="57"/>
        <v>0</v>
      </c>
      <c r="AP163" s="85"/>
      <c r="AQ163" s="84">
        <f t="shared" si="58"/>
        <v>0</v>
      </c>
      <c r="AR163" s="85"/>
      <c r="AS163" s="84">
        <f t="shared" si="59"/>
        <v>0</v>
      </c>
      <c r="AT163" s="85"/>
      <c r="AU163" s="84">
        <f t="shared" si="60"/>
        <v>0</v>
      </c>
      <c r="AV163" s="85"/>
      <c r="AW163" s="84">
        <f t="shared" si="61"/>
        <v>0</v>
      </c>
      <c r="AX163" s="86">
        <f t="shared" si="62"/>
        <v>5000000</v>
      </c>
      <c r="AY163" s="87">
        <f t="shared" si="63"/>
        <v>0</v>
      </c>
      <c r="AZ163" s="65" t="b">
        <f t="shared" si="64"/>
        <v>1</v>
      </c>
    </row>
    <row r="164" spans="1:52" s="67" customFormat="1" ht="24.75" hidden="1" customHeight="1">
      <c r="A164" s="68">
        <v>159</v>
      </c>
      <c r="B164" s="69" t="s">
        <v>465</v>
      </c>
      <c r="C164" s="88" t="s">
        <v>81</v>
      </c>
      <c r="D164" s="71" t="s">
        <v>95</v>
      </c>
      <c r="E164" s="88" t="s">
        <v>466</v>
      </c>
      <c r="F164" s="89"/>
      <c r="G164" s="88">
        <v>20240430</v>
      </c>
      <c r="H164" s="88">
        <v>24040794</v>
      </c>
      <c r="I164" s="95" t="s">
        <v>98</v>
      </c>
      <c r="J164" s="88" t="s">
        <v>156</v>
      </c>
      <c r="K164" s="68" t="s">
        <v>99</v>
      </c>
      <c r="L164" s="70" t="s">
        <v>100</v>
      </c>
      <c r="M164" s="88" t="s">
        <v>101</v>
      </c>
      <c r="N164" s="88" t="s">
        <v>102</v>
      </c>
      <c r="O164" s="77">
        <v>1</v>
      </c>
      <c r="P164" s="90">
        <v>45413</v>
      </c>
      <c r="Q164" s="94">
        <f t="shared" si="65"/>
        <v>46142</v>
      </c>
      <c r="R164" s="79">
        <v>24</v>
      </c>
      <c r="S164" s="79">
        <v>2</v>
      </c>
      <c r="T164" s="91">
        <v>47272727.270000003</v>
      </c>
      <c r="U164" s="81"/>
      <c r="V164" s="82">
        <f t="shared" si="70"/>
        <v>47272727.270000003</v>
      </c>
      <c r="W164" s="83">
        <f t="shared" si="66"/>
        <v>1969696.9695833335</v>
      </c>
      <c r="X164" s="83">
        <v>39393939.391666658</v>
      </c>
      <c r="Y164" s="83">
        <v>7878787.8783333451</v>
      </c>
      <c r="Z164" s="85">
        <f t="shared" si="49"/>
        <v>1969696.9695833335</v>
      </c>
      <c r="AA164" s="84">
        <f t="shared" si="67"/>
        <v>5909090.9087500116</v>
      </c>
      <c r="AB164" s="85">
        <f t="shared" si="50"/>
        <v>1969696.9695833335</v>
      </c>
      <c r="AC164" s="84">
        <f t="shared" si="51"/>
        <v>3939393.9391666781</v>
      </c>
      <c r="AD164" s="85">
        <f t="shared" si="68"/>
        <v>1969696.9695833335</v>
      </c>
      <c r="AE164" s="84">
        <f t="shared" si="52"/>
        <v>1969696.9695833446</v>
      </c>
      <c r="AF164" s="85">
        <v>1969696.9695833446</v>
      </c>
      <c r="AG164" s="84">
        <f t="shared" si="53"/>
        <v>0</v>
      </c>
      <c r="AH164" s="85"/>
      <c r="AI164" s="84">
        <f t="shared" si="54"/>
        <v>0</v>
      </c>
      <c r="AJ164" s="85"/>
      <c r="AK164" s="84">
        <f t="shared" si="55"/>
        <v>0</v>
      </c>
      <c r="AL164" s="85"/>
      <c r="AM164" s="84">
        <f t="shared" si="56"/>
        <v>0</v>
      </c>
      <c r="AN164" s="85"/>
      <c r="AO164" s="84">
        <f t="shared" si="57"/>
        <v>0</v>
      </c>
      <c r="AP164" s="85"/>
      <c r="AQ164" s="84">
        <f t="shared" si="58"/>
        <v>0</v>
      </c>
      <c r="AR164" s="85"/>
      <c r="AS164" s="84">
        <f t="shared" si="59"/>
        <v>0</v>
      </c>
      <c r="AT164" s="85"/>
      <c r="AU164" s="84">
        <f t="shared" si="60"/>
        <v>0</v>
      </c>
      <c r="AV164" s="85"/>
      <c r="AW164" s="84">
        <f t="shared" si="61"/>
        <v>0</v>
      </c>
      <c r="AX164" s="86">
        <f t="shared" si="62"/>
        <v>7878787.8783333451</v>
      </c>
      <c r="AY164" s="87">
        <f t="shared" si="63"/>
        <v>0</v>
      </c>
      <c r="AZ164" s="65" t="b">
        <f t="shared" si="64"/>
        <v>1</v>
      </c>
    </row>
    <row r="165" spans="1:52" s="67" customFormat="1" ht="24.75" hidden="1" customHeight="1">
      <c r="A165" s="68">
        <v>160</v>
      </c>
      <c r="B165" s="69" t="s">
        <v>467</v>
      </c>
      <c r="C165" s="88" t="s">
        <v>81</v>
      </c>
      <c r="D165" s="71" t="s">
        <v>95</v>
      </c>
      <c r="E165" s="88" t="s">
        <v>468</v>
      </c>
      <c r="F165" s="89"/>
      <c r="G165" s="88">
        <v>20240430</v>
      </c>
      <c r="H165" s="88">
        <v>24040794</v>
      </c>
      <c r="I165" s="95" t="s">
        <v>98</v>
      </c>
      <c r="J165" s="88" t="s">
        <v>156</v>
      </c>
      <c r="K165" s="68" t="s">
        <v>99</v>
      </c>
      <c r="L165" s="70" t="s">
        <v>100</v>
      </c>
      <c r="M165" s="88" t="s">
        <v>101</v>
      </c>
      <c r="N165" s="88" t="s">
        <v>102</v>
      </c>
      <c r="O165" s="77">
        <v>1</v>
      </c>
      <c r="P165" s="90">
        <v>45413</v>
      </c>
      <c r="Q165" s="94">
        <f t="shared" si="65"/>
        <v>46142</v>
      </c>
      <c r="R165" s="79">
        <v>24</v>
      </c>
      <c r="S165" s="79">
        <v>2</v>
      </c>
      <c r="T165" s="91">
        <v>36363636.359999999</v>
      </c>
      <c r="U165" s="81"/>
      <c r="V165" s="82">
        <f t="shared" si="70"/>
        <v>36363636.359999999</v>
      </c>
      <c r="W165" s="83">
        <f t="shared" si="66"/>
        <v>1515151.5149999999</v>
      </c>
      <c r="X165" s="83">
        <v>30303030.300000004</v>
      </c>
      <c r="Y165" s="83">
        <v>6060606.0599999949</v>
      </c>
      <c r="Z165" s="85">
        <f t="shared" si="49"/>
        <v>1515151.5149999999</v>
      </c>
      <c r="AA165" s="84">
        <f t="shared" si="67"/>
        <v>4545454.5449999953</v>
      </c>
      <c r="AB165" s="85">
        <f t="shared" si="50"/>
        <v>1515151.5149999999</v>
      </c>
      <c r="AC165" s="84">
        <f t="shared" si="51"/>
        <v>3030303.0299999956</v>
      </c>
      <c r="AD165" s="85">
        <f t="shared" si="68"/>
        <v>1515151.5149999999</v>
      </c>
      <c r="AE165" s="84">
        <f t="shared" si="52"/>
        <v>1515151.5149999957</v>
      </c>
      <c r="AF165" s="85">
        <v>1515151.5149999957</v>
      </c>
      <c r="AG165" s="84">
        <f t="shared" si="53"/>
        <v>0</v>
      </c>
      <c r="AH165" s="85"/>
      <c r="AI165" s="84">
        <f t="shared" si="54"/>
        <v>0</v>
      </c>
      <c r="AJ165" s="85"/>
      <c r="AK165" s="84">
        <f t="shared" si="55"/>
        <v>0</v>
      </c>
      <c r="AL165" s="85"/>
      <c r="AM165" s="84">
        <f t="shared" si="56"/>
        <v>0</v>
      </c>
      <c r="AN165" s="85"/>
      <c r="AO165" s="84">
        <f t="shared" si="57"/>
        <v>0</v>
      </c>
      <c r="AP165" s="85"/>
      <c r="AQ165" s="84">
        <f t="shared" si="58"/>
        <v>0</v>
      </c>
      <c r="AR165" s="85"/>
      <c r="AS165" s="84">
        <f t="shared" si="59"/>
        <v>0</v>
      </c>
      <c r="AT165" s="85"/>
      <c r="AU165" s="84">
        <f t="shared" si="60"/>
        <v>0</v>
      </c>
      <c r="AV165" s="85"/>
      <c r="AW165" s="84">
        <f t="shared" si="61"/>
        <v>0</v>
      </c>
      <c r="AX165" s="86">
        <f t="shared" si="62"/>
        <v>6060606.0599999959</v>
      </c>
      <c r="AY165" s="87">
        <f t="shared" si="63"/>
        <v>0</v>
      </c>
      <c r="AZ165" s="65" t="b">
        <f t="shared" si="64"/>
        <v>1</v>
      </c>
    </row>
    <row r="166" spans="1:52" s="67" customFormat="1" ht="24.75" hidden="1" customHeight="1">
      <c r="A166" s="68">
        <v>161</v>
      </c>
      <c r="B166" s="69" t="s">
        <v>469</v>
      </c>
      <c r="C166" s="88" t="s">
        <v>81</v>
      </c>
      <c r="D166" s="71" t="s">
        <v>95</v>
      </c>
      <c r="E166" s="88" t="s">
        <v>470</v>
      </c>
      <c r="F166" s="89"/>
      <c r="G166" s="88">
        <v>20240430</v>
      </c>
      <c r="H166" s="88">
        <v>24040794</v>
      </c>
      <c r="I166" s="95" t="s">
        <v>98</v>
      </c>
      <c r="J166" s="88" t="s">
        <v>156</v>
      </c>
      <c r="K166" s="68" t="s">
        <v>99</v>
      </c>
      <c r="L166" s="70" t="s">
        <v>100</v>
      </c>
      <c r="M166" s="88" t="s">
        <v>101</v>
      </c>
      <c r="N166" s="88" t="s">
        <v>102</v>
      </c>
      <c r="O166" s="77">
        <v>1</v>
      </c>
      <c r="P166" s="90">
        <v>45413</v>
      </c>
      <c r="Q166" s="94">
        <f t="shared" si="65"/>
        <v>46142</v>
      </c>
      <c r="R166" s="79">
        <v>24</v>
      </c>
      <c r="S166" s="79">
        <v>2</v>
      </c>
      <c r="T166" s="91">
        <v>89800000</v>
      </c>
      <c r="U166" s="81"/>
      <c r="V166" s="82">
        <f t="shared" si="70"/>
        <v>89800000</v>
      </c>
      <c r="W166" s="83">
        <f t="shared" si="66"/>
        <v>3741666.6666666665</v>
      </c>
      <c r="X166" s="83">
        <v>74833333.333333328</v>
      </c>
      <c r="Y166" s="83">
        <v>14966666.666666672</v>
      </c>
      <c r="Z166" s="85">
        <f t="shared" si="49"/>
        <v>3741666.6666666665</v>
      </c>
      <c r="AA166" s="84">
        <f t="shared" si="67"/>
        <v>11225000.000000006</v>
      </c>
      <c r="AB166" s="85">
        <f t="shared" si="50"/>
        <v>3741666.6666666665</v>
      </c>
      <c r="AC166" s="84">
        <f t="shared" si="51"/>
        <v>7483333.3333333395</v>
      </c>
      <c r="AD166" s="85">
        <f t="shared" si="68"/>
        <v>3741666.6666666665</v>
      </c>
      <c r="AE166" s="84">
        <f t="shared" si="52"/>
        <v>3741666.666666673</v>
      </c>
      <c r="AF166" s="85">
        <v>3741666.666666673</v>
      </c>
      <c r="AG166" s="84">
        <f t="shared" si="53"/>
        <v>0</v>
      </c>
      <c r="AH166" s="85"/>
      <c r="AI166" s="84">
        <f t="shared" si="54"/>
        <v>0</v>
      </c>
      <c r="AJ166" s="85"/>
      <c r="AK166" s="84">
        <f t="shared" si="55"/>
        <v>0</v>
      </c>
      <c r="AL166" s="85"/>
      <c r="AM166" s="84">
        <f t="shared" si="56"/>
        <v>0</v>
      </c>
      <c r="AN166" s="85"/>
      <c r="AO166" s="84">
        <f t="shared" si="57"/>
        <v>0</v>
      </c>
      <c r="AP166" s="85"/>
      <c r="AQ166" s="84">
        <f t="shared" si="58"/>
        <v>0</v>
      </c>
      <c r="AR166" s="85"/>
      <c r="AS166" s="84">
        <f t="shared" si="59"/>
        <v>0</v>
      </c>
      <c r="AT166" s="85"/>
      <c r="AU166" s="84">
        <f t="shared" si="60"/>
        <v>0</v>
      </c>
      <c r="AV166" s="85"/>
      <c r="AW166" s="84">
        <f t="shared" si="61"/>
        <v>0</v>
      </c>
      <c r="AX166" s="86">
        <f t="shared" si="62"/>
        <v>14966666.666666673</v>
      </c>
      <c r="AY166" s="87">
        <f t="shared" si="63"/>
        <v>0</v>
      </c>
      <c r="AZ166" s="65" t="b">
        <f t="shared" si="64"/>
        <v>1</v>
      </c>
    </row>
    <row r="167" spans="1:52" s="67" customFormat="1" ht="24.75" hidden="1" customHeight="1">
      <c r="A167" s="68">
        <v>162</v>
      </c>
      <c r="B167" s="69" t="s">
        <v>471</v>
      </c>
      <c r="C167" s="88" t="s">
        <v>73</v>
      </c>
      <c r="D167" s="71" t="s">
        <v>64</v>
      </c>
      <c r="E167" s="88" t="s">
        <v>472</v>
      </c>
      <c r="F167" s="89" t="s">
        <v>473</v>
      </c>
      <c r="G167" s="88">
        <v>20240528</v>
      </c>
      <c r="H167" s="88">
        <v>24050544</v>
      </c>
      <c r="I167" s="74" t="s">
        <v>474</v>
      </c>
      <c r="J167" s="88" t="s">
        <v>475</v>
      </c>
      <c r="K167" s="68" t="s">
        <v>476</v>
      </c>
      <c r="L167" s="70" t="s">
        <v>477</v>
      </c>
      <c r="M167" s="88" t="s">
        <v>478</v>
      </c>
      <c r="N167" s="88" t="s">
        <v>479</v>
      </c>
      <c r="O167" s="77">
        <v>1</v>
      </c>
      <c r="P167" s="90">
        <v>45444</v>
      </c>
      <c r="Q167" s="94">
        <f t="shared" si="65"/>
        <v>46538</v>
      </c>
      <c r="R167" s="79">
        <v>36</v>
      </c>
      <c r="S167" s="79">
        <v>3</v>
      </c>
      <c r="T167" s="91">
        <v>1500000000</v>
      </c>
      <c r="U167" s="81"/>
      <c r="V167" s="82">
        <f t="shared" si="70"/>
        <v>1500000000</v>
      </c>
      <c r="W167" s="83">
        <f t="shared" si="66"/>
        <v>41666666.666666664</v>
      </c>
      <c r="X167" s="83">
        <v>791666666.66666675</v>
      </c>
      <c r="Y167" s="83">
        <v>708333333.33333349</v>
      </c>
      <c r="Z167" s="85">
        <f t="shared" si="49"/>
        <v>41666666.666666664</v>
      </c>
      <c r="AA167" s="84">
        <f t="shared" si="67"/>
        <v>666666666.66666663</v>
      </c>
      <c r="AB167" s="85">
        <f t="shared" si="50"/>
        <v>41666666.666666664</v>
      </c>
      <c r="AC167" s="84">
        <f t="shared" si="51"/>
        <v>625000000</v>
      </c>
      <c r="AD167" s="85">
        <f t="shared" si="68"/>
        <v>41666666.666666664</v>
      </c>
      <c r="AE167" s="84">
        <f t="shared" si="52"/>
        <v>583333333.33333337</v>
      </c>
      <c r="AF167" s="85">
        <f t="shared" ref="AF167:AF230" si="71">+IF(AE167&lt;&gt;0,$W167,0)</f>
        <v>41666666.666666664</v>
      </c>
      <c r="AG167" s="84">
        <f t="shared" si="53"/>
        <v>541666666.66666675</v>
      </c>
      <c r="AH167" s="85"/>
      <c r="AI167" s="84">
        <f t="shared" si="54"/>
        <v>541666666.66666675</v>
      </c>
      <c r="AJ167" s="85"/>
      <c r="AK167" s="84">
        <f t="shared" si="55"/>
        <v>541666666.66666675</v>
      </c>
      <c r="AL167" s="85"/>
      <c r="AM167" s="84">
        <f t="shared" si="56"/>
        <v>541666666.66666675</v>
      </c>
      <c r="AN167" s="85"/>
      <c r="AO167" s="84">
        <f t="shared" si="57"/>
        <v>541666666.66666675</v>
      </c>
      <c r="AP167" s="85"/>
      <c r="AQ167" s="84">
        <f t="shared" si="58"/>
        <v>541666666.66666675</v>
      </c>
      <c r="AR167" s="85"/>
      <c r="AS167" s="84">
        <f t="shared" si="59"/>
        <v>541666666.66666675</v>
      </c>
      <c r="AT167" s="85"/>
      <c r="AU167" s="84">
        <f t="shared" si="60"/>
        <v>541666666.66666675</v>
      </c>
      <c r="AV167" s="85"/>
      <c r="AW167" s="84">
        <f t="shared" si="61"/>
        <v>541666666.66666675</v>
      </c>
      <c r="AX167" s="86">
        <f t="shared" si="62"/>
        <v>166666666.66666666</v>
      </c>
      <c r="AY167" s="87">
        <f t="shared" si="63"/>
        <v>541666666.66666663</v>
      </c>
      <c r="AZ167" s="65" t="b">
        <f t="shared" si="64"/>
        <v>1</v>
      </c>
    </row>
    <row r="168" spans="1:52" s="67" customFormat="1" ht="24.75" hidden="1" customHeight="1">
      <c r="A168" s="68">
        <v>163</v>
      </c>
      <c r="B168" s="69" t="s">
        <v>480</v>
      </c>
      <c r="C168" s="88" t="s">
        <v>481</v>
      </c>
      <c r="D168" s="71" t="s">
        <v>82</v>
      </c>
      <c r="E168" s="88" t="s">
        <v>482</v>
      </c>
      <c r="F168" s="89" t="s">
        <v>483</v>
      </c>
      <c r="G168" s="88">
        <v>20240530</v>
      </c>
      <c r="H168" s="88">
        <v>24050728</v>
      </c>
      <c r="I168" s="74" t="s">
        <v>84</v>
      </c>
      <c r="J168" s="88" t="s">
        <v>85</v>
      </c>
      <c r="K168" s="68" t="s">
        <v>86</v>
      </c>
      <c r="L168" s="70" t="s">
        <v>87</v>
      </c>
      <c r="M168" s="88" t="s">
        <v>55</v>
      </c>
      <c r="N168" s="88" t="s">
        <v>56</v>
      </c>
      <c r="O168" s="77">
        <v>1</v>
      </c>
      <c r="P168" s="90">
        <v>45444</v>
      </c>
      <c r="Q168" s="94">
        <f t="shared" si="65"/>
        <v>46538</v>
      </c>
      <c r="R168" s="79">
        <v>36</v>
      </c>
      <c r="S168" s="79">
        <v>3</v>
      </c>
      <c r="T168" s="91">
        <v>127730000</v>
      </c>
      <c r="U168" s="81"/>
      <c r="V168" s="82">
        <f t="shared" si="70"/>
        <v>127730000</v>
      </c>
      <c r="W168" s="83">
        <f t="shared" si="66"/>
        <v>3548055.5555555555</v>
      </c>
      <c r="X168" s="83">
        <v>67413055.555555552</v>
      </c>
      <c r="Y168" s="83">
        <v>60316944.444444448</v>
      </c>
      <c r="Z168" s="85">
        <f t="shared" si="49"/>
        <v>3548055.5555555555</v>
      </c>
      <c r="AA168" s="84">
        <f t="shared" si="67"/>
        <v>56768888.888888896</v>
      </c>
      <c r="AB168" s="85">
        <f t="shared" si="50"/>
        <v>3548055.5555555555</v>
      </c>
      <c r="AC168" s="84">
        <f t="shared" si="51"/>
        <v>53220833.333333343</v>
      </c>
      <c r="AD168" s="85">
        <f t="shared" si="68"/>
        <v>3548055.5555555555</v>
      </c>
      <c r="AE168" s="84">
        <f t="shared" si="52"/>
        <v>49672777.777777791</v>
      </c>
      <c r="AF168" s="85">
        <f t="shared" si="71"/>
        <v>3548055.5555555555</v>
      </c>
      <c r="AG168" s="84">
        <f t="shared" si="53"/>
        <v>46124722.222222239</v>
      </c>
      <c r="AH168" s="85"/>
      <c r="AI168" s="84">
        <f t="shared" si="54"/>
        <v>46124722.222222239</v>
      </c>
      <c r="AJ168" s="85"/>
      <c r="AK168" s="84">
        <f t="shared" si="55"/>
        <v>46124722.222222239</v>
      </c>
      <c r="AL168" s="85"/>
      <c r="AM168" s="84">
        <f t="shared" si="56"/>
        <v>46124722.222222239</v>
      </c>
      <c r="AN168" s="85"/>
      <c r="AO168" s="84">
        <f t="shared" si="57"/>
        <v>46124722.222222239</v>
      </c>
      <c r="AP168" s="85"/>
      <c r="AQ168" s="84">
        <f t="shared" si="58"/>
        <v>46124722.222222239</v>
      </c>
      <c r="AR168" s="85"/>
      <c r="AS168" s="84">
        <f t="shared" si="59"/>
        <v>46124722.222222239</v>
      </c>
      <c r="AT168" s="85"/>
      <c r="AU168" s="84">
        <f t="shared" si="60"/>
        <v>46124722.222222239</v>
      </c>
      <c r="AV168" s="85"/>
      <c r="AW168" s="84">
        <f t="shared" si="61"/>
        <v>46124722.222222239</v>
      </c>
      <c r="AX168" s="86">
        <f t="shared" si="62"/>
        <v>14192222.222222222</v>
      </c>
      <c r="AY168" s="87">
        <f t="shared" si="63"/>
        <v>46124722.222222224</v>
      </c>
      <c r="AZ168" s="65" t="b">
        <f t="shared" si="64"/>
        <v>1</v>
      </c>
    </row>
    <row r="169" spans="1:52" s="67" customFormat="1" ht="24.75" hidden="1" customHeight="1">
      <c r="A169" s="68">
        <v>164</v>
      </c>
      <c r="B169" s="69" t="s">
        <v>484</v>
      </c>
      <c r="C169" s="88" t="s">
        <v>81</v>
      </c>
      <c r="D169" s="71" t="s">
        <v>95</v>
      </c>
      <c r="E169" s="88" t="s">
        <v>485</v>
      </c>
      <c r="F169" s="89"/>
      <c r="G169" s="88">
        <v>20240531</v>
      </c>
      <c r="H169" s="88">
        <v>24050888</v>
      </c>
      <c r="I169" s="95" t="s">
        <v>98</v>
      </c>
      <c r="J169" s="88" t="s">
        <v>156</v>
      </c>
      <c r="K169" s="68" t="s">
        <v>99</v>
      </c>
      <c r="L169" s="70" t="s">
        <v>100</v>
      </c>
      <c r="M169" s="88" t="s">
        <v>101</v>
      </c>
      <c r="N169" s="88" t="s">
        <v>102</v>
      </c>
      <c r="O169" s="77">
        <v>1</v>
      </c>
      <c r="P169" s="90">
        <v>45444</v>
      </c>
      <c r="Q169" s="94">
        <f t="shared" si="65"/>
        <v>46173</v>
      </c>
      <c r="R169" s="79">
        <v>24</v>
      </c>
      <c r="S169" s="79">
        <v>2</v>
      </c>
      <c r="T169" s="91">
        <v>83300000</v>
      </c>
      <c r="U169" s="81"/>
      <c r="V169" s="82">
        <f t="shared" si="70"/>
        <v>83300000</v>
      </c>
      <c r="W169" s="83">
        <f t="shared" si="66"/>
        <v>3470833.3333333335</v>
      </c>
      <c r="X169" s="83">
        <v>65945833.333333328</v>
      </c>
      <c r="Y169" s="83">
        <v>17354166.666666672</v>
      </c>
      <c r="Z169" s="85">
        <f t="shared" si="49"/>
        <v>3470833.3333333335</v>
      </c>
      <c r="AA169" s="84">
        <f t="shared" si="67"/>
        <v>13883333.333333338</v>
      </c>
      <c r="AB169" s="85">
        <f t="shared" si="50"/>
        <v>3470833.3333333335</v>
      </c>
      <c r="AC169" s="84">
        <f t="shared" si="51"/>
        <v>10412500.000000004</v>
      </c>
      <c r="AD169" s="85">
        <f t="shared" si="68"/>
        <v>3470833.3333333335</v>
      </c>
      <c r="AE169" s="84">
        <f t="shared" si="52"/>
        <v>6941666.6666666698</v>
      </c>
      <c r="AF169" s="85">
        <f t="shared" si="71"/>
        <v>3470833.3333333335</v>
      </c>
      <c r="AG169" s="84">
        <f t="shared" si="53"/>
        <v>3470833.3333333363</v>
      </c>
      <c r="AH169" s="85"/>
      <c r="AI169" s="84">
        <f t="shared" si="54"/>
        <v>3470833.3333333363</v>
      </c>
      <c r="AJ169" s="85"/>
      <c r="AK169" s="84">
        <f t="shared" si="55"/>
        <v>3470833.3333333363</v>
      </c>
      <c r="AL169" s="85"/>
      <c r="AM169" s="84">
        <f t="shared" si="56"/>
        <v>3470833.3333333363</v>
      </c>
      <c r="AN169" s="85"/>
      <c r="AO169" s="84">
        <f t="shared" si="57"/>
        <v>3470833.3333333363</v>
      </c>
      <c r="AP169" s="85"/>
      <c r="AQ169" s="84">
        <f t="shared" si="58"/>
        <v>3470833.3333333363</v>
      </c>
      <c r="AR169" s="85"/>
      <c r="AS169" s="84">
        <f t="shared" si="59"/>
        <v>3470833.3333333363</v>
      </c>
      <c r="AT169" s="85"/>
      <c r="AU169" s="84">
        <f t="shared" si="60"/>
        <v>3470833.3333333363</v>
      </c>
      <c r="AV169" s="85"/>
      <c r="AW169" s="84">
        <f t="shared" si="61"/>
        <v>3470833.3333333363</v>
      </c>
      <c r="AX169" s="86">
        <f t="shared" si="62"/>
        <v>13883333.333333334</v>
      </c>
      <c r="AY169" s="87">
        <f t="shared" si="63"/>
        <v>3470833.3333333377</v>
      </c>
      <c r="AZ169" s="65" t="b">
        <f t="shared" si="64"/>
        <v>1</v>
      </c>
    </row>
    <row r="170" spans="1:52" s="67" customFormat="1" ht="24.75" hidden="1" customHeight="1">
      <c r="A170" s="68">
        <v>165</v>
      </c>
      <c r="B170" s="69" t="s">
        <v>486</v>
      </c>
      <c r="C170" s="88" t="s">
        <v>81</v>
      </c>
      <c r="D170" s="71" t="s">
        <v>95</v>
      </c>
      <c r="E170" s="88" t="s">
        <v>487</v>
      </c>
      <c r="F170" s="89"/>
      <c r="G170" s="88">
        <v>20240531</v>
      </c>
      <c r="H170" s="88">
        <v>24050888</v>
      </c>
      <c r="I170" s="95" t="s">
        <v>98</v>
      </c>
      <c r="J170" s="88" t="s">
        <v>156</v>
      </c>
      <c r="K170" s="68" t="s">
        <v>99</v>
      </c>
      <c r="L170" s="70" t="s">
        <v>100</v>
      </c>
      <c r="M170" s="88" t="s">
        <v>101</v>
      </c>
      <c r="N170" s="88" t="s">
        <v>102</v>
      </c>
      <c r="O170" s="77">
        <v>1</v>
      </c>
      <c r="P170" s="90">
        <v>45444</v>
      </c>
      <c r="Q170" s="94">
        <f t="shared" si="65"/>
        <v>46173</v>
      </c>
      <c r="R170" s="79">
        <v>24</v>
      </c>
      <c r="S170" s="79">
        <v>2</v>
      </c>
      <c r="T170" s="91">
        <v>110233643.64</v>
      </c>
      <c r="U170" s="81"/>
      <c r="V170" s="82">
        <f t="shared" si="70"/>
        <v>110233643.64</v>
      </c>
      <c r="W170" s="83">
        <f t="shared" si="66"/>
        <v>4593068.4850000003</v>
      </c>
      <c r="X170" s="83">
        <v>87268301.215000004</v>
      </c>
      <c r="Y170" s="83">
        <v>22965342.425000004</v>
      </c>
      <c r="Z170" s="85">
        <f t="shared" si="49"/>
        <v>4593068.4850000003</v>
      </c>
      <c r="AA170" s="84">
        <f t="shared" si="67"/>
        <v>18372273.939999998</v>
      </c>
      <c r="AB170" s="85">
        <f t="shared" si="50"/>
        <v>4593068.4850000003</v>
      </c>
      <c r="AC170" s="84">
        <f t="shared" si="51"/>
        <v>13779205.454999998</v>
      </c>
      <c r="AD170" s="85">
        <f t="shared" si="68"/>
        <v>4593068.4850000003</v>
      </c>
      <c r="AE170" s="84">
        <f t="shared" si="52"/>
        <v>9186136.9699999988</v>
      </c>
      <c r="AF170" s="85">
        <f t="shared" si="71"/>
        <v>4593068.4850000003</v>
      </c>
      <c r="AG170" s="84">
        <f t="shared" si="53"/>
        <v>4593068.4849999985</v>
      </c>
      <c r="AH170" s="85"/>
      <c r="AI170" s="84">
        <f t="shared" si="54"/>
        <v>4593068.4849999985</v>
      </c>
      <c r="AJ170" s="85"/>
      <c r="AK170" s="84">
        <f t="shared" si="55"/>
        <v>4593068.4849999985</v>
      </c>
      <c r="AL170" s="85"/>
      <c r="AM170" s="84">
        <f t="shared" si="56"/>
        <v>4593068.4849999985</v>
      </c>
      <c r="AN170" s="85"/>
      <c r="AO170" s="84">
        <f t="shared" si="57"/>
        <v>4593068.4849999985</v>
      </c>
      <c r="AP170" s="85"/>
      <c r="AQ170" s="84">
        <f t="shared" si="58"/>
        <v>4593068.4849999985</v>
      </c>
      <c r="AR170" s="85"/>
      <c r="AS170" s="84">
        <f t="shared" si="59"/>
        <v>4593068.4849999985</v>
      </c>
      <c r="AT170" s="85"/>
      <c r="AU170" s="84">
        <f t="shared" si="60"/>
        <v>4593068.4849999985</v>
      </c>
      <c r="AV170" s="85"/>
      <c r="AW170" s="84">
        <f t="shared" si="61"/>
        <v>4593068.4849999985</v>
      </c>
      <c r="AX170" s="86">
        <f t="shared" si="62"/>
        <v>18372273.940000001</v>
      </c>
      <c r="AY170" s="87">
        <f t="shared" si="63"/>
        <v>4593068.4849999957</v>
      </c>
      <c r="AZ170" s="65" t="b">
        <f t="shared" si="64"/>
        <v>1</v>
      </c>
    </row>
    <row r="171" spans="1:52" s="67" customFormat="1" ht="24.75" hidden="1" customHeight="1">
      <c r="A171" s="68">
        <v>166</v>
      </c>
      <c r="B171" s="69" t="s">
        <v>488</v>
      </c>
      <c r="C171" s="88" t="s">
        <v>81</v>
      </c>
      <c r="D171" s="71" t="s">
        <v>95</v>
      </c>
      <c r="E171" s="88" t="s">
        <v>489</v>
      </c>
      <c r="F171" s="89"/>
      <c r="G171" s="88">
        <v>20240531</v>
      </c>
      <c r="H171" s="88">
        <v>24050888</v>
      </c>
      <c r="I171" s="95" t="s">
        <v>98</v>
      </c>
      <c r="J171" s="88" t="s">
        <v>156</v>
      </c>
      <c r="K171" s="68" t="s">
        <v>99</v>
      </c>
      <c r="L171" s="70" t="s">
        <v>100</v>
      </c>
      <c r="M171" s="88" t="s">
        <v>101</v>
      </c>
      <c r="N171" s="88" t="s">
        <v>102</v>
      </c>
      <c r="O171" s="77">
        <v>1</v>
      </c>
      <c r="P171" s="90">
        <v>45444</v>
      </c>
      <c r="Q171" s="94">
        <f t="shared" si="65"/>
        <v>46173</v>
      </c>
      <c r="R171" s="79">
        <v>24</v>
      </c>
      <c r="S171" s="79">
        <v>2</v>
      </c>
      <c r="T171" s="91">
        <v>60000000</v>
      </c>
      <c r="U171" s="81"/>
      <c r="V171" s="82">
        <f t="shared" si="70"/>
        <v>60000000</v>
      </c>
      <c r="W171" s="83">
        <f t="shared" si="66"/>
        <v>2500000</v>
      </c>
      <c r="X171" s="83">
        <v>47500000</v>
      </c>
      <c r="Y171" s="83">
        <v>12500000</v>
      </c>
      <c r="Z171" s="85">
        <f t="shared" si="49"/>
        <v>2500000</v>
      </c>
      <c r="AA171" s="84">
        <f t="shared" si="67"/>
        <v>10000000</v>
      </c>
      <c r="AB171" s="85">
        <f t="shared" si="50"/>
        <v>2500000</v>
      </c>
      <c r="AC171" s="84">
        <f t="shared" si="51"/>
        <v>7500000</v>
      </c>
      <c r="AD171" s="85">
        <f t="shared" si="68"/>
        <v>2500000</v>
      </c>
      <c r="AE171" s="84">
        <f t="shared" si="52"/>
        <v>5000000</v>
      </c>
      <c r="AF171" s="85">
        <f t="shared" si="71"/>
        <v>2500000</v>
      </c>
      <c r="AG171" s="84">
        <f t="shared" si="53"/>
        <v>2500000</v>
      </c>
      <c r="AH171" s="85"/>
      <c r="AI171" s="84">
        <f t="shared" si="54"/>
        <v>2500000</v>
      </c>
      <c r="AJ171" s="85"/>
      <c r="AK171" s="84">
        <f t="shared" si="55"/>
        <v>2500000</v>
      </c>
      <c r="AL171" s="85"/>
      <c r="AM171" s="84">
        <f t="shared" si="56"/>
        <v>2500000</v>
      </c>
      <c r="AN171" s="85"/>
      <c r="AO171" s="84">
        <f t="shared" si="57"/>
        <v>2500000</v>
      </c>
      <c r="AP171" s="85"/>
      <c r="AQ171" s="84">
        <f t="shared" si="58"/>
        <v>2500000</v>
      </c>
      <c r="AR171" s="85"/>
      <c r="AS171" s="84">
        <f t="shared" si="59"/>
        <v>2500000</v>
      </c>
      <c r="AT171" s="85"/>
      <c r="AU171" s="84">
        <f t="shared" si="60"/>
        <v>2500000</v>
      </c>
      <c r="AV171" s="85"/>
      <c r="AW171" s="84">
        <f t="shared" si="61"/>
        <v>2500000</v>
      </c>
      <c r="AX171" s="86">
        <f t="shared" si="62"/>
        <v>10000000</v>
      </c>
      <c r="AY171" s="87">
        <f t="shared" si="63"/>
        <v>2500000</v>
      </c>
      <c r="AZ171" s="65" t="b">
        <f t="shared" si="64"/>
        <v>1</v>
      </c>
    </row>
    <row r="172" spans="1:52" s="67" customFormat="1" ht="24.75" hidden="1" customHeight="1">
      <c r="A172" s="68">
        <v>167</v>
      </c>
      <c r="B172" s="69" t="s">
        <v>490</v>
      </c>
      <c r="C172" s="88" t="s">
        <v>81</v>
      </c>
      <c r="D172" s="71" t="s">
        <v>95</v>
      </c>
      <c r="E172" s="88" t="s">
        <v>491</v>
      </c>
      <c r="F172" s="89"/>
      <c r="G172" s="88">
        <v>20240531</v>
      </c>
      <c r="H172" s="88">
        <v>24050888</v>
      </c>
      <c r="I172" s="95" t="s">
        <v>98</v>
      </c>
      <c r="J172" s="88" t="s">
        <v>156</v>
      </c>
      <c r="K172" s="68" t="s">
        <v>99</v>
      </c>
      <c r="L172" s="70" t="s">
        <v>100</v>
      </c>
      <c r="M172" s="88" t="s">
        <v>101</v>
      </c>
      <c r="N172" s="88" t="s">
        <v>102</v>
      </c>
      <c r="O172" s="77">
        <v>1</v>
      </c>
      <c r="P172" s="90">
        <v>45444</v>
      </c>
      <c r="Q172" s="94">
        <f t="shared" si="65"/>
        <v>46173</v>
      </c>
      <c r="R172" s="79">
        <v>24</v>
      </c>
      <c r="S172" s="79">
        <v>2</v>
      </c>
      <c r="T172" s="91">
        <v>55000000</v>
      </c>
      <c r="U172" s="81"/>
      <c r="V172" s="82">
        <f t="shared" si="70"/>
        <v>55000000</v>
      </c>
      <c r="W172" s="83">
        <f t="shared" si="66"/>
        <v>2291666.6666666665</v>
      </c>
      <c r="X172" s="83">
        <v>43541666.666666672</v>
      </c>
      <c r="Y172" s="83">
        <v>11458333.333333332</v>
      </c>
      <c r="Z172" s="85">
        <f t="shared" si="49"/>
        <v>2291666.6666666665</v>
      </c>
      <c r="AA172" s="84">
        <f t="shared" si="67"/>
        <v>9166666.6666666623</v>
      </c>
      <c r="AB172" s="85">
        <f t="shared" si="50"/>
        <v>2291666.6666666665</v>
      </c>
      <c r="AC172" s="84">
        <f t="shared" si="51"/>
        <v>6874999.9999999963</v>
      </c>
      <c r="AD172" s="85">
        <f t="shared" si="68"/>
        <v>2291666.6666666665</v>
      </c>
      <c r="AE172" s="84">
        <f t="shared" si="52"/>
        <v>4583333.3333333302</v>
      </c>
      <c r="AF172" s="85">
        <f t="shared" si="71"/>
        <v>2291666.6666666665</v>
      </c>
      <c r="AG172" s="84">
        <f t="shared" si="53"/>
        <v>2291666.6666666637</v>
      </c>
      <c r="AH172" s="85"/>
      <c r="AI172" s="84">
        <f t="shared" si="54"/>
        <v>2291666.6666666637</v>
      </c>
      <c r="AJ172" s="85"/>
      <c r="AK172" s="84">
        <f t="shared" si="55"/>
        <v>2291666.6666666637</v>
      </c>
      <c r="AL172" s="85"/>
      <c r="AM172" s="84">
        <f t="shared" si="56"/>
        <v>2291666.6666666637</v>
      </c>
      <c r="AN172" s="85"/>
      <c r="AO172" s="84">
        <f t="shared" si="57"/>
        <v>2291666.6666666637</v>
      </c>
      <c r="AP172" s="85"/>
      <c r="AQ172" s="84">
        <f t="shared" si="58"/>
        <v>2291666.6666666637</v>
      </c>
      <c r="AR172" s="85"/>
      <c r="AS172" s="84">
        <f t="shared" si="59"/>
        <v>2291666.6666666637</v>
      </c>
      <c r="AT172" s="85"/>
      <c r="AU172" s="84">
        <f t="shared" si="60"/>
        <v>2291666.6666666637</v>
      </c>
      <c r="AV172" s="85"/>
      <c r="AW172" s="84">
        <f t="shared" si="61"/>
        <v>2291666.6666666637</v>
      </c>
      <c r="AX172" s="86">
        <f t="shared" si="62"/>
        <v>9166666.666666666</v>
      </c>
      <c r="AY172" s="87">
        <f t="shared" si="63"/>
        <v>2291666.6666666623</v>
      </c>
      <c r="AZ172" s="65" t="b">
        <f t="shared" si="64"/>
        <v>1</v>
      </c>
    </row>
    <row r="173" spans="1:52" s="67" customFormat="1" ht="24.75" hidden="1" customHeight="1">
      <c r="A173" s="68">
        <v>168</v>
      </c>
      <c r="B173" s="69" t="s">
        <v>492</v>
      </c>
      <c r="C173" s="88" t="s">
        <v>81</v>
      </c>
      <c r="D173" s="71" t="s">
        <v>95</v>
      </c>
      <c r="E173" s="88" t="s">
        <v>493</v>
      </c>
      <c r="F173" s="89"/>
      <c r="G173" s="88">
        <v>20240531</v>
      </c>
      <c r="H173" s="88">
        <v>24050888</v>
      </c>
      <c r="I173" s="95" t="s">
        <v>98</v>
      </c>
      <c r="J173" s="88" t="s">
        <v>156</v>
      </c>
      <c r="K173" s="68" t="s">
        <v>99</v>
      </c>
      <c r="L173" s="70" t="s">
        <v>100</v>
      </c>
      <c r="M173" s="88" t="s">
        <v>101</v>
      </c>
      <c r="N173" s="88" t="s">
        <v>102</v>
      </c>
      <c r="O173" s="77">
        <v>1</v>
      </c>
      <c r="P173" s="90">
        <v>45444</v>
      </c>
      <c r="Q173" s="94">
        <f t="shared" si="65"/>
        <v>46173</v>
      </c>
      <c r="R173" s="79">
        <v>24</v>
      </c>
      <c r="S173" s="79">
        <v>2</v>
      </c>
      <c r="T173" s="91">
        <v>55000000</v>
      </c>
      <c r="U173" s="81"/>
      <c r="V173" s="82">
        <f t="shared" si="70"/>
        <v>55000000</v>
      </c>
      <c r="W173" s="83">
        <f t="shared" si="66"/>
        <v>2291666.6666666665</v>
      </c>
      <c r="X173" s="83">
        <v>43541666.666666672</v>
      </c>
      <c r="Y173" s="83">
        <v>11458333.333333332</v>
      </c>
      <c r="Z173" s="85">
        <f t="shared" si="49"/>
        <v>2291666.6666666665</v>
      </c>
      <c r="AA173" s="84">
        <f t="shared" si="67"/>
        <v>9166666.6666666623</v>
      </c>
      <c r="AB173" s="85">
        <f t="shared" si="50"/>
        <v>2291666.6666666665</v>
      </c>
      <c r="AC173" s="84">
        <f t="shared" si="51"/>
        <v>6874999.9999999963</v>
      </c>
      <c r="AD173" s="85">
        <f t="shared" si="68"/>
        <v>2291666.6666666665</v>
      </c>
      <c r="AE173" s="84">
        <f t="shared" si="52"/>
        <v>4583333.3333333302</v>
      </c>
      <c r="AF173" s="85">
        <f t="shared" si="71"/>
        <v>2291666.6666666665</v>
      </c>
      <c r="AG173" s="84">
        <f t="shared" si="53"/>
        <v>2291666.6666666637</v>
      </c>
      <c r="AH173" s="85"/>
      <c r="AI173" s="84">
        <f t="shared" si="54"/>
        <v>2291666.6666666637</v>
      </c>
      <c r="AJ173" s="85"/>
      <c r="AK173" s="84">
        <f t="shared" si="55"/>
        <v>2291666.6666666637</v>
      </c>
      <c r="AL173" s="85"/>
      <c r="AM173" s="84">
        <f t="shared" si="56"/>
        <v>2291666.6666666637</v>
      </c>
      <c r="AN173" s="85"/>
      <c r="AO173" s="84">
        <f t="shared" si="57"/>
        <v>2291666.6666666637</v>
      </c>
      <c r="AP173" s="85"/>
      <c r="AQ173" s="84">
        <f t="shared" si="58"/>
        <v>2291666.6666666637</v>
      </c>
      <c r="AR173" s="85"/>
      <c r="AS173" s="84">
        <f t="shared" si="59"/>
        <v>2291666.6666666637</v>
      </c>
      <c r="AT173" s="85"/>
      <c r="AU173" s="84">
        <f t="shared" si="60"/>
        <v>2291666.6666666637</v>
      </c>
      <c r="AV173" s="85"/>
      <c r="AW173" s="84">
        <f t="shared" si="61"/>
        <v>2291666.6666666637</v>
      </c>
      <c r="AX173" s="86">
        <f t="shared" si="62"/>
        <v>9166666.666666666</v>
      </c>
      <c r="AY173" s="87">
        <f t="shared" si="63"/>
        <v>2291666.6666666623</v>
      </c>
      <c r="AZ173" s="65" t="b">
        <f t="shared" si="64"/>
        <v>1</v>
      </c>
    </row>
    <row r="174" spans="1:52" s="67" customFormat="1" ht="24.75" hidden="1" customHeight="1">
      <c r="A174" s="68">
        <v>169</v>
      </c>
      <c r="B174" s="69" t="s">
        <v>494</v>
      </c>
      <c r="C174" s="88" t="s">
        <v>81</v>
      </c>
      <c r="D174" s="71" t="s">
        <v>95</v>
      </c>
      <c r="E174" s="88" t="s">
        <v>495</v>
      </c>
      <c r="F174" s="89"/>
      <c r="G174" s="88">
        <v>20240531</v>
      </c>
      <c r="H174" s="88">
        <v>24050888</v>
      </c>
      <c r="I174" s="95" t="s">
        <v>98</v>
      </c>
      <c r="J174" s="88" t="s">
        <v>156</v>
      </c>
      <c r="K174" s="68" t="s">
        <v>99</v>
      </c>
      <c r="L174" s="70" t="s">
        <v>100</v>
      </c>
      <c r="M174" s="88" t="s">
        <v>101</v>
      </c>
      <c r="N174" s="88" t="s">
        <v>102</v>
      </c>
      <c r="O174" s="77">
        <v>1</v>
      </c>
      <c r="P174" s="90">
        <v>45444</v>
      </c>
      <c r="Q174" s="94">
        <f t="shared" si="65"/>
        <v>46173</v>
      </c>
      <c r="R174" s="79">
        <v>24</v>
      </c>
      <c r="S174" s="79">
        <v>2</v>
      </c>
      <c r="T174" s="91">
        <v>60000000</v>
      </c>
      <c r="U174" s="81"/>
      <c r="V174" s="82">
        <f t="shared" si="70"/>
        <v>60000000</v>
      </c>
      <c r="W174" s="83">
        <f t="shared" si="66"/>
        <v>2500000</v>
      </c>
      <c r="X174" s="83">
        <v>47500000</v>
      </c>
      <c r="Y174" s="83">
        <v>12500000</v>
      </c>
      <c r="Z174" s="85">
        <f t="shared" si="49"/>
        <v>2500000</v>
      </c>
      <c r="AA174" s="84">
        <f t="shared" si="67"/>
        <v>10000000</v>
      </c>
      <c r="AB174" s="85">
        <f t="shared" si="50"/>
        <v>2500000</v>
      </c>
      <c r="AC174" s="84">
        <f t="shared" si="51"/>
        <v>7500000</v>
      </c>
      <c r="AD174" s="85">
        <f t="shared" si="68"/>
        <v>2500000</v>
      </c>
      <c r="AE174" s="84">
        <f t="shared" si="52"/>
        <v>5000000</v>
      </c>
      <c r="AF174" s="85">
        <f t="shared" si="71"/>
        <v>2500000</v>
      </c>
      <c r="AG174" s="84">
        <f t="shared" si="53"/>
        <v>2500000</v>
      </c>
      <c r="AH174" s="85"/>
      <c r="AI174" s="84">
        <f t="shared" si="54"/>
        <v>2500000</v>
      </c>
      <c r="AJ174" s="85"/>
      <c r="AK174" s="84">
        <f t="shared" si="55"/>
        <v>2500000</v>
      </c>
      <c r="AL174" s="85"/>
      <c r="AM174" s="84">
        <f t="shared" si="56"/>
        <v>2500000</v>
      </c>
      <c r="AN174" s="85"/>
      <c r="AO174" s="84">
        <f t="shared" si="57"/>
        <v>2500000</v>
      </c>
      <c r="AP174" s="85"/>
      <c r="AQ174" s="84">
        <f t="shared" si="58"/>
        <v>2500000</v>
      </c>
      <c r="AR174" s="85"/>
      <c r="AS174" s="84">
        <f t="shared" si="59"/>
        <v>2500000</v>
      </c>
      <c r="AT174" s="85"/>
      <c r="AU174" s="84">
        <f t="shared" si="60"/>
        <v>2500000</v>
      </c>
      <c r="AV174" s="85"/>
      <c r="AW174" s="84">
        <f t="shared" si="61"/>
        <v>2500000</v>
      </c>
      <c r="AX174" s="86">
        <f t="shared" si="62"/>
        <v>10000000</v>
      </c>
      <c r="AY174" s="87">
        <f t="shared" si="63"/>
        <v>2500000</v>
      </c>
      <c r="AZ174" s="65" t="b">
        <f t="shared" si="64"/>
        <v>1</v>
      </c>
    </row>
    <row r="175" spans="1:52" s="67" customFormat="1" ht="24.75" hidden="1" customHeight="1">
      <c r="A175" s="68">
        <v>170</v>
      </c>
      <c r="B175" s="69" t="s">
        <v>496</v>
      </c>
      <c r="C175" s="88" t="s">
        <v>81</v>
      </c>
      <c r="D175" s="71" t="s">
        <v>95</v>
      </c>
      <c r="E175" s="88" t="s">
        <v>497</v>
      </c>
      <c r="F175" s="89"/>
      <c r="G175" s="88">
        <v>20240531</v>
      </c>
      <c r="H175" s="88">
        <v>24050888</v>
      </c>
      <c r="I175" s="95" t="s">
        <v>98</v>
      </c>
      <c r="J175" s="88" t="s">
        <v>156</v>
      </c>
      <c r="K175" s="68" t="s">
        <v>99</v>
      </c>
      <c r="L175" s="70" t="s">
        <v>100</v>
      </c>
      <c r="M175" s="88" t="s">
        <v>101</v>
      </c>
      <c r="N175" s="88" t="s">
        <v>102</v>
      </c>
      <c r="O175" s="77">
        <v>1</v>
      </c>
      <c r="P175" s="90">
        <v>45444</v>
      </c>
      <c r="Q175" s="94">
        <f t="shared" si="65"/>
        <v>46173</v>
      </c>
      <c r="R175" s="79">
        <v>24</v>
      </c>
      <c r="S175" s="79">
        <v>2</v>
      </c>
      <c r="T175" s="91">
        <v>60000000</v>
      </c>
      <c r="U175" s="81"/>
      <c r="V175" s="82">
        <f t="shared" si="70"/>
        <v>60000000</v>
      </c>
      <c r="W175" s="83">
        <f t="shared" si="66"/>
        <v>2500000</v>
      </c>
      <c r="X175" s="83">
        <v>47500000</v>
      </c>
      <c r="Y175" s="83">
        <v>12500000</v>
      </c>
      <c r="Z175" s="85">
        <f t="shared" si="49"/>
        <v>2500000</v>
      </c>
      <c r="AA175" s="84">
        <f t="shared" si="67"/>
        <v>10000000</v>
      </c>
      <c r="AB175" s="85">
        <f t="shared" si="50"/>
        <v>2500000</v>
      </c>
      <c r="AC175" s="84">
        <f t="shared" si="51"/>
        <v>7500000</v>
      </c>
      <c r="AD175" s="85">
        <f t="shared" si="68"/>
        <v>2500000</v>
      </c>
      <c r="AE175" s="84">
        <f t="shared" si="52"/>
        <v>5000000</v>
      </c>
      <c r="AF175" s="85">
        <f t="shared" si="71"/>
        <v>2500000</v>
      </c>
      <c r="AG175" s="84">
        <f t="shared" si="53"/>
        <v>2500000</v>
      </c>
      <c r="AH175" s="85"/>
      <c r="AI175" s="84">
        <f t="shared" si="54"/>
        <v>2500000</v>
      </c>
      <c r="AJ175" s="85"/>
      <c r="AK175" s="84">
        <f t="shared" si="55"/>
        <v>2500000</v>
      </c>
      <c r="AL175" s="85"/>
      <c r="AM175" s="84">
        <f t="shared" si="56"/>
        <v>2500000</v>
      </c>
      <c r="AN175" s="85"/>
      <c r="AO175" s="84">
        <f t="shared" si="57"/>
        <v>2500000</v>
      </c>
      <c r="AP175" s="85"/>
      <c r="AQ175" s="84">
        <f t="shared" si="58"/>
        <v>2500000</v>
      </c>
      <c r="AR175" s="85"/>
      <c r="AS175" s="84">
        <f t="shared" si="59"/>
        <v>2500000</v>
      </c>
      <c r="AT175" s="85"/>
      <c r="AU175" s="84">
        <f t="shared" si="60"/>
        <v>2500000</v>
      </c>
      <c r="AV175" s="85"/>
      <c r="AW175" s="84">
        <f t="shared" si="61"/>
        <v>2500000</v>
      </c>
      <c r="AX175" s="86">
        <f t="shared" si="62"/>
        <v>10000000</v>
      </c>
      <c r="AY175" s="87">
        <f t="shared" si="63"/>
        <v>2500000</v>
      </c>
      <c r="AZ175" s="65" t="b">
        <f t="shared" si="64"/>
        <v>1</v>
      </c>
    </row>
    <row r="176" spans="1:52" s="67" customFormat="1" ht="24.75" hidden="1" customHeight="1">
      <c r="A176" s="68">
        <v>171</v>
      </c>
      <c r="B176" s="69" t="s">
        <v>498</v>
      </c>
      <c r="C176" s="88" t="s">
        <v>81</v>
      </c>
      <c r="D176" s="71" t="s">
        <v>95</v>
      </c>
      <c r="E176" s="88" t="s">
        <v>499</v>
      </c>
      <c r="F176" s="89"/>
      <c r="G176" s="88">
        <v>20240531</v>
      </c>
      <c r="H176" s="88">
        <v>24050888</v>
      </c>
      <c r="I176" s="95" t="s">
        <v>98</v>
      </c>
      <c r="J176" s="88" t="s">
        <v>156</v>
      </c>
      <c r="K176" s="68" t="s">
        <v>99</v>
      </c>
      <c r="L176" s="70" t="s">
        <v>100</v>
      </c>
      <c r="M176" s="88" t="s">
        <v>101</v>
      </c>
      <c r="N176" s="88" t="s">
        <v>102</v>
      </c>
      <c r="O176" s="77">
        <v>1</v>
      </c>
      <c r="P176" s="90">
        <v>45444</v>
      </c>
      <c r="Q176" s="94">
        <f t="shared" si="65"/>
        <v>46173</v>
      </c>
      <c r="R176" s="79">
        <v>24</v>
      </c>
      <c r="S176" s="79">
        <v>2</v>
      </c>
      <c r="T176" s="91">
        <v>60000000</v>
      </c>
      <c r="U176" s="81"/>
      <c r="V176" s="82">
        <f t="shared" si="70"/>
        <v>60000000</v>
      </c>
      <c r="W176" s="83">
        <f t="shared" si="66"/>
        <v>2500000</v>
      </c>
      <c r="X176" s="83">
        <v>47500000</v>
      </c>
      <c r="Y176" s="83">
        <v>12500000</v>
      </c>
      <c r="Z176" s="85">
        <f t="shared" si="49"/>
        <v>2500000</v>
      </c>
      <c r="AA176" s="84">
        <f t="shared" si="67"/>
        <v>10000000</v>
      </c>
      <c r="AB176" s="85">
        <f t="shared" si="50"/>
        <v>2500000</v>
      </c>
      <c r="AC176" s="84">
        <f t="shared" si="51"/>
        <v>7500000</v>
      </c>
      <c r="AD176" s="85">
        <f t="shared" si="68"/>
        <v>2500000</v>
      </c>
      <c r="AE176" s="84">
        <f t="shared" si="52"/>
        <v>5000000</v>
      </c>
      <c r="AF176" s="85">
        <f t="shared" si="71"/>
        <v>2500000</v>
      </c>
      <c r="AG176" s="84">
        <f t="shared" si="53"/>
        <v>2500000</v>
      </c>
      <c r="AH176" s="85"/>
      <c r="AI176" s="84">
        <f t="shared" si="54"/>
        <v>2500000</v>
      </c>
      <c r="AJ176" s="85"/>
      <c r="AK176" s="84">
        <f t="shared" si="55"/>
        <v>2500000</v>
      </c>
      <c r="AL176" s="85"/>
      <c r="AM176" s="84">
        <f t="shared" si="56"/>
        <v>2500000</v>
      </c>
      <c r="AN176" s="85"/>
      <c r="AO176" s="84">
        <f t="shared" si="57"/>
        <v>2500000</v>
      </c>
      <c r="AP176" s="85"/>
      <c r="AQ176" s="84">
        <f t="shared" si="58"/>
        <v>2500000</v>
      </c>
      <c r="AR176" s="85"/>
      <c r="AS176" s="84">
        <f t="shared" si="59"/>
        <v>2500000</v>
      </c>
      <c r="AT176" s="85"/>
      <c r="AU176" s="84">
        <f t="shared" si="60"/>
        <v>2500000</v>
      </c>
      <c r="AV176" s="85"/>
      <c r="AW176" s="84">
        <f t="shared" si="61"/>
        <v>2500000</v>
      </c>
      <c r="AX176" s="86">
        <f t="shared" si="62"/>
        <v>10000000</v>
      </c>
      <c r="AY176" s="87">
        <f t="shared" si="63"/>
        <v>2500000</v>
      </c>
      <c r="AZ176" s="65" t="b">
        <f t="shared" si="64"/>
        <v>1</v>
      </c>
    </row>
    <row r="177" spans="1:52" s="67" customFormat="1" ht="24.75" hidden="1" customHeight="1">
      <c r="A177" s="68">
        <v>172</v>
      </c>
      <c r="B177" s="69" t="s">
        <v>500</v>
      </c>
      <c r="C177" s="88" t="s">
        <v>81</v>
      </c>
      <c r="D177" s="71" t="s">
        <v>95</v>
      </c>
      <c r="E177" s="88" t="s">
        <v>501</v>
      </c>
      <c r="F177" s="89"/>
      <c r="G177" s="88">
        <v>20240531</v>
      </c>
      <c r="H177" s="88">
        <v>24050888</v>
      </c>
      <c r="I177" s="95" t="s">
        <v>98</v>
      </c>
      <c r="J177" s="88" t="s">
        <v>156</v>
      </c>
      <c r="K177" s="68" t="s">
        <v>99</v>
      </c>
      <c r="L177" s="70" t="s">
        <v>100</v>
      </c>
      <c r="M177" s="88" t="s">
        <v>101</v>
      </c>
      <c r="N177" s="88" t="s">
        <v>102</v>
      </c>
      <c r="O177" s="77">
        <v>1</v>
      </c>
      <c r="P177" s="90">
        <v>45444</v>
      </c>
      <c r="Q177" s="94">
        <f t="shared" si="65"/>
        <v>46173</v>
      </c>
      <c r="R177" s="79">
        <v>24</v>
      </c>
      <c r="S177" s="79">
        <v>2</v>
      </c>
      <c r="T177" s="91">
        <v>60000000</v>
      </c>
      <c r="U177" s="81"/>
      <c r="V177" s="82">
        <f t="shared" si="70"/>
        <v>60000000</v>
      </c>
      <c r="W177" s="83">
        <f t="shared" si="66"/>
        <v>2500000</v>
      </c>
      <c r="X177" s="83">
        <v>47500000</v>
      </c>
      <c r="Y177" s="83">
        <v>12500000</v>
      </c>
      <c r="Z177" s="85">
        <f t="shared" si="49"/>
        <v>2500000</v>
      </c>
      <c r="AA177" s="84">
        <f t="shared" si="67"/>
        <v>10000000</v>
      </c>
      <c r="AB177" s="85">
        <f t="shared" si="50"/>
        <v>2500000</v>
      </c>
      <c r="AC177" s="84">
        <f t="shared" si="51"/>
        <v>7500000</v>
      </c>
      <c r="AD177" s="85">
        <f t="shared" si="68"/>
        <v>2500000</v>
      </c>
      <c r="AE177" s="84">
        <f t="shared" si="52"/>
        <v>5000000</v>
      </c>
      <c r="AF177" s="85">
        <f t="shared" si="71"/>
        <v>2500000</v>
      </c>
      <c r="AG177" s="84">
        <f t="shared" si="53"/>
        <v>2500000</v>
      </c>
      <c r="AH177" s="85"/>
      <c r="AI177" s="84">
        <f t="shared" si="54"/>
        <v>2500000</v>
      </c>
      <c r="AJ177" s="85"/>
      <c r="AK177" s="84">
        <f t="shared" si="55"/>
        <v>2500000</v>
      </c>
      <c r="AL177" s="85"/>
      <c r="AM177" s="84">
        <f t="shared" si="56"/>
        <v>2500000</v>
      </c>
      <c r="AN177" s="85"/>
      <c r="AO177" s="84">
        <f t="shared" si="57"/>
        <v>2500000</v>
      </c>
      <c r="AP177" s="85"/>
      <c r="AQ177" s="84">
        <f t="shared" si="58"/>
        <v>2500000</v>
      </c>
      <c r="AR177" s="85"/>
      <c r="AS177" s="84">
        <f t="shared" si="59"/>
        <v>2500000</v>
      </c>
      <c r="AT177" s="85"/>
      <c r="AU177" s="84">
        <f t="shared" si="60"/>
        <v>2500000</v>
      </c>
      <c r="AV177" s="85"/>
      <c r="AW177" s="84">
        <f t="shared" si="61"/>
        <v>2500000</v>
      </c>
      <c r="AX177" s="86">
        <f t="shared" si="62"/>
        <v>10000000</v>
      </c>
      <c r="AY177" s="87">
        <f t="shared" si="63"/>
        <v>2500000</v>
      </c>
      <c r="AZ177" s="65" t="b">
        <f t="shared" si="64"/>
        <v>1</v>
      </c>
    </row>
    <row r="178" spans="1:52" s="67" customFormat="1" ht="24.75" hidden="1" customHeight="1">
      <c r="A178" s="68">
        <v>173</v>
      </c>
      <c r="B178" s="69" t="s">
        <v>502</v>
      </c>
      <c r="C178" s="88" t="s">
        <v>81</v>
      </c>
      <c r="D178" s="71" t="s">
        <v>95</v>
      </c>
      <c r="E178" s="88" t="s">
        <v>503</v>
      </c>
      <c r="F178" s="89"/>
      <c r="G178" s="88">
        <v>20240531</v>
      </c>
      <c r="H178" s="88">
        <v>24050888</v>
      </c>
      <c r="I178" s="95" t="s">
        <v>98</v>
      </c>
      <c r="J178" s="88" t="s">
        <v>156</v>
      </c>
      <c r="K178" s="68" t="s">
        <v>99</v>
      </c>
      <c r="L178" s="70" t="s">
        <v>100</v>
      </c>
      <c r="M178" s="88" t="s">
        <v>101</v>
      </c>
      <c r="N178" s="88" t="s">
        <v>102</v>
      </c>
      <c r="O178" s="77">
        <v>1</v>
      </c>
      <c r="P178" s="90">
        <v>45444</v>
      </c>
      <c r="Q178" s="94">
        <f t="shared" si="65"/>
        <v>46173</v>
      </c>
      <c r="R178" s="79">
        <v>24</v>
      </c>
      <c r="S178" s="79">
        <v>2</v>
      </c>
      <c r="T178" s="91">
        <v>60000000</v>
      </c>
      <c r="U178" s="81"/>
      <c r="V178" s="82">
        <f t="shared" si="70"/>
        <v>60000000</v>
      </c>
      <c r="W178" s="83">
        <f t="shared" si="66"/>
        <v>2500000</v>
      </c>
      <c r="X178" s="83">
        <v>47500000</v>
      </c>
      <c r="Y178" s="83">
        <v>12500000</v>
      </c>
      <c r="Z178" s="85">
        <f t="shared" si="49"/>
        <v>2500000</v>
      </c>
      <c r="AA178" s="84">
        <f t="shared" si="67"/>
        <v>10000000</v>
      </c>
      <c r="AB178" s="85">
        <f t="shared" si="50"/>
        <v>2500000</v>
      </c>
      <c r="AC178" s="84">
        <f t="shared" si="51"/>
        <v>7500000</v>
      </c>
      <c r="AD178" s="85">
        <f t="shared" si="68"/>
        <v>2500000</v>
      </c>
      <c r="AE178" s="84">
        <f t="shared" si="52"/>
        <v>5000000</v>
      </c>
      <c r="AF178" s="85">
        <f t="shared" si="71"/>
        <v>2500000</v>
      </c>
      <c r="AG178" s="84">
        <f t="shared" si="53"/>
        <v>2500000</v>
      </c>
      <c r="AH178" s="85"/>
      <c r="AI178" s="84">
        <f t="shared" si="54"/>
        <v>2500000</v>
      </c>
      <c r="AJ178" s="85"/>
      <c r="AK178" s="84">
        <f t="shared" si="55"/>
        <v>2500000</v>
      </c>
      <c r="AL178" s="85"/>
      <c r="AM178" s="84">
        <f t="shared" si="56"/>
        <v>2500000</v>
      </c>
      <c r="AN178" s="85"/>
      <c r="AO178" s="84">
        <f t="shared" si="57"/>
        <v>2500000</v>
      </c>
      <c r="AP178" s="85"/>
      <c r="AQ178" s="84">
        <f t="shared" si="58"/>
        <v>2500000</v>
      </c>
      <c r="AR178" s="85"/>
      <c r="AS178" s="84">
        <f t="shared" si="59"/>
        <v>2500000</v>
      </c>
      <c r="AT178" s="85"/>
      <c r="AU178" s="84">
        <f t="shared" si="60"/>
        <v>2500000</v>
      </c>
      <c r="AV178" s="85"/>
      <c r="AW178" s="84">
        <f t="shared" si="61"/>
        <v>2500000</v>
      </c>
      <c r="AX178" s="86">
        <f t="shared" si="62"/>
        <v>10000000</v>
      </c>
      <c r="AY178" s="87">
        <f t="shared" si="63"/>
        <v>2500000</v>
      </c>
      <c r="AZ178" s="65" t="b">
        <f t="shared" si="64"/>
        <v>1</v>
      </c>
    </row>
    <row r="179" spans="1:52" s="67" customFormat="1" ht="24.75" hidden="1" customHeight="1">
      <c r="A179" s="68">
        <v>174</v>
      </c>
      <c r="B179" s="69" t="s">
        <v>504</v>
      </c>
      <c r="C179" s="88" t="s">
        <v>81</v>
      </c>
      <c r="D179" s="71" t="s">
        <v>95</v>
      </c>
      <c r="E179" s="88" t="s">
        <v>505</v>
      </c>
      <c r="F179" s="89"/>
      <c r="G179" s="88">
        <v>20240531</v>
      </c>
      <c r="H179" s="88">
        <v>24050888</v>
      </c>
      <c r="I179" s="95" t="s">
        <v>98</v>
      </c>
      <c r="J179" s="88" t="s">
        <v>156</v>
      </c>
      <c r="K179" s="68" t="s">
        <v>99</v>
      </c>
      <c r="L179" s="70" t="s">
        <v>100</v>
      </c>
      <c r="M179" s="88" t="s">
        <v>101</v>
      </c>
      <c r="N179" s="88" t="s">
        <v>102</v>
      </c>
      <c r="O179" s="77">
        <v>1</v>
      </c>
      <c r="P179" s="90">
        <v>45444</v>
      </c>
      <c r="Q179" s="94">
        <f t="shared" si="65"/>
        <v>46173</v>
      </c>
      <c r="R179" s="79">
        <v>24</v>
      </c>
      <c r="S179" s="79">
        <v>2</v>
      </c>
      <c r="T179" s="91">
        <v>80000000</v>
      </c>
      <c r="U179" s="81"/>
      <c r="V179" s="82">
        <f t="shared" si="70"/>
        <v>80000000</v>
      </c>
      <c r="W179" s="83">
        <f t="shared" si="66"/>
        <v>3333333.3333333335</v>
      </c>
      <c r="X179" s="83">
        <v>63333333.333333328</v>
      </c>
      <c r="Y179" s="83">
        <v>16666666.666666672</v>
      </c>
      <c r="Z179" s="85">
        <f t="shared" si="49"/>
        <v>3333333.3333333335</v>
      </c>
      <c r="AA179" s="84">
        <f t="shared" si="67"/>
        <v>13333333.333333338</v>
      </c>
      <c r="AB179" s="85">
        <f t="shared" si="50"/>
        <v>3333333.3333333335</v>
      </c>
      <c r="AC179" s="84">
        <f t="shared" si="51"/>
        <v>10000000.000000004</v>
      </c>
      <c r="AD179" s="85">
        <f t="shared" si="68"/>
        <v>3333333.3333333335</v>
      </c>
      <c r="AE179" s="84">
        <f t="shared" si="52"/>
        <v>6666666.6666666698</v>
      </c>
      <c r="AF179" s="85">
        <f t="shared" si="71"/>
        <v>3333333.3333333335</v>
      </c>
      <c r="AG179" s="84">
        <f t="shared" si="53"/>
        <v>3333333.3333333363</v>
      </c>
      <c r="AH179" s="85"/>
      <c r="AI179" s="84">
        <f t="shared" si="54"/>
        <v>3333333.3333333363</v>
      </c>
      <c r="AJ179" s="85"/>
      <c r="AK179" s="84">
        <f t="shared" si="55"/>
        <v>3333333.3333333363</v>
      </c>
      <c r="AL179" s="85"/>
      <c r="AM179" s="84">
        <f t="shared" si="56"/>
        <v>3333333.3333333363</v>
      </c>
      <c r="AN179" s="85"/>
      <c r="AO179" s="84">
        <f t="shared" si="57"/>
        <v>3333333.3333333363</v>
      </c>
      <c r="AP179" s="85"/>
      <c r="AQ179" s="84">
        <f t="shared" si="58"/>
        <v>3333333.3333333363</v>
      </c>
      <c r="AR179" s="85"/>
      <c r="AS179" s="84">
        <f t="shared" si="59"/>
        <v>3333333.3333333363</v>
      </c>
      <c r="AT179" s="85"/>
      <c r="AU179" s="84">
        <f t="shared" si="60"/>
        <v>3333333.3333333363</v>
      </c>
      <c r="AV179" s="85"/>
      <c r="AW179" s="84">
        <f t="shared" si="61"/>
        <v>3333333.3333333363</v>
      </c>
      <c r="AX179" s="86">
        <f t="shared" si="62"/>
        <v>13333333.333333334</v>
      </c>
      <c r="AY179" s="87">
        <f t="shared" si="63"/>
        <v>3333333.3333333377</v>
      </c>
      <c r="AZ179" s="65" t="b">
        <f t="shared" si="64"/>
        <v>1</v>
      </c>
    </row>
    <row r="180" spans="1:52" s="67" customFormat="1" ht="24.75" hidden="1" customHeight="1">
      <c r="A180" s="68">
        <v>175</v>
      </c>
      <c r="B180" s="69" t="s">
        <v>506</v>
      </c>
      <c r="C180" s="88" t="s">
        <v>81</v>
      </c>
      <c r="D180" s="71" t="s">
        <v>95</v>
      </c>
      <c r="E180" s="88" t="s">
        <v>507</v>
      </c>
      <c r="F180" s="89"/>
      <c r="G180" s="88">
        <v>20240531</v>
      </c>
      <c r="H180" s="88">
        <v>24050888</v>
      </c>
      <c r="I180" s="95" t="s">
        <v>98</v>
      </c>
      <c r="J180" s="88" t="s">
        <v>156</v>
      </c>
      <c r="K180" s="68" t="s">
        <v>99</v>
      </c>
      <c r="L180" s="70" t="s">
        <v>100</v>
      </c>
      <c r="M180" s="88" t="s">
        <v>101</v>
      </c>
      <c r="N180" s="88" t="s">
        <v>102</v>
      </c>
      <c r="O180" s="77">
        <v>1</v>
      </c>
      <c r="P180" s="90">
        <v>45444</v>
      </c>
      <c r="Q180" s="94">
        <f t="shared" si="65"/>
        <v>46173</v>
      </c>
      <c r="R180" s="79">
        <v>24</v>
      </c>
      <c r="S180" s="79">
        <v>2</v>
      </c>
      <c r="T180" s="91">
        <v>80000000</v>
      </c>
      <c r="U180" s="81"/>
      <c r="V180" s="82">
        <f t="shared" si="70"/>
        <v>80000000</v>
      </c>
      <c r="W180" s="83">
        <f t="shared" si="66"/>
        <v>3333333.3333333335</v>
      </c>
      <c r="X180" s="83">
        <v>63333333.333333328</v>
      </c>
      <c r="Y180" s="83">
        <v>16666666.666666672</v>
      </c>
      <c r="Z180" s="85">
        <f t="shared" si="49"/>
        <v>3333333.3333333335</v>
      </c>
      <c r="AA180" s="84">
        <f t="shared" si="67"/>
        <v>13333333.333333338</v>
      </c>
      <c r="AB180" s="85">
        <f t="shared" si="50"/>
        <v>3333333.3333333335</v>
      </c>
      <c r="AC180" s="84">
        <f t="shared" si="51"/>
        <v>10000000.000000004</v>
      </c>
      <c r="AD180" s="85">
        <f t="shared" si="68"/>
        <v>3333333.3333333335</v>
      </c>
      <c r="AE180" s="84">
        <f t="shared" si="52"/>
        <v>6666666.6666666698</v>
      </c>
      <c r="AF180" s="85">
        <f t="shared" si="71"/>
        <v>3333333.3333333335</v>
      </c>
      <c r="AG180" s="84">
        <f t="shared" si="53"/>
        <v>3333333.3333333363</v>
      </c>
      <c r="AH180" s="85"/>
      <c r="AI180" s="84">
        <f t="shared" si="54"/>
        <v>3333333.3333333363</v>
      </c>
      <c r="AJ180" s="85"/>
      <c r="AK180" s="84">
        <f t="shared" si="55"/>
        <v>3333333.3333333363</v>
      </c>
      <c r="AL180" s="85"/>
      <c r="AM180" s="84">
        <f t="shared" si="56"/>
        <v>3333333.3333333363</v>
      </c>
      <c r="AN180" s="85"/>
      <c r="AO180" s="84">
        <f t="shared" si="57"/>
        <v>3333333.3333333363</v>
      </c>
      <c r="AP180" s="85"/>
      <c r="AQ180" s="84">
        <f t="shared" si="58"/>
        <v>3333333.3333333363</v>
      </c>
      <c r="AR180" s="85"/>
      <c r="AS180" s="84">
        <f t="shared" si="59"/>
        <v>3333333.3333333363</v>
      </c>
      <c r="AT180" s="85"/>
      <c r="AU180" s="84">
        <f t="shared" si="60"/>
        <v>3333333.3333333363</v>
      </c>
      <c r="AV180" s="85"/>
      <c r="AW180" s="84">
        <f t="shared" si="61"/>
        <v>3333333.3333333363</v>
      </c>
      <c r="AX180" s="86">
        <f t="shared" si="62"/>
        <v>13333333.333333334</v>
      </c>
      <c r="AY180" s="87">
        <f t="shared" si="63"/>
        <v>3333333.3333333377</v>
      </c>
      <c r="AZ180" s="65" t="b">
        <f t="shared" si="64"/>
        <v>1</v>
      </c>
    </row>
    <row r="181" spans="1:52" s="67" customFormat="1" ht="24.75" hidden="1" customHeight="1">
      <c r="A181" s="68">
        <v>176</v>
      </c>
      <c r="B181" s="69" t="s">
        <v>508</v>
      </c>
      <c r="C181" s="88" t="s">
        <v>81</v>
      </c>
      <c r="D181" s="71" t="s">
        <v>95</v>
      </c>
      <c r="E181" s="88" t="s">
        <v>509</v>
      </c>
      <c r="F181" s="89"/>
      <c r="G181" s="88">
        <v>20240531</v>
      </c>
      <c r="H181" s="88">
        <v>24050888</v>
      </c>
      <c r="I181" s="95" t="s">
        <v>98</v>
      </c>
      <c r="J181" s="88" t="s">
        <v>156</v>
      </c>
      <c r="K181" s="68" t="s">
        <v>99</v>
      </c>
      <c r="L181" s="70" t="s">
        <v>100</v>
      </c>
      <c r="M181" s="88" t="s">
        <v>101</v>
      </c>
      <c r="N181" s="88" t="s">
        <v>102</v>
      </c>
      <c r="O181" s="77">
        <v>1</v>
      </c>
      <c r="P181" s="90">
        <v>45444</v>
      </c>
      <c r="Q181" s="94">
        <f t="shared" si="65"/>
        <v>46173</v>
      </c>
      <c r="R181" s="79">
        <v>24</v>
      </c>
      <c r="S181" s="79">
        <v>2</v>
      </c>
      <c r="T181" s="91">
        <v>55000000</v>
      </c>
      <c r="U181" s="81"/>
      <c r="V181" s="82">
        <f t="shared" si="70"/>
        <v>55000000</v>
      </c>
      <c r="W181" s="83">
        <f t="shared" si="66"/>
        <v>2291666.6666666665</v>
      </c>
      <c r="X181" s="83">
        <v>43541666.666666672</v>
      </c>
      <c r="Y181" s="83">
        <v>11458333.333333332</v>
      </c>
      <c r="Z181" s="85">
        <f t="shared" si="49"/>
        <v>2291666.6666666665</v>
      </c>
      <c r="AA181" s="84">
        <f t="shared" si="67"/>
        <v>9166666.6666666623</v>
      </c>
      <c r="AB181" s="85">
        <f t="shared" si="50"/>
        <v>2291666.6666666665</v>
      </c>
      <c r="AC181" s="84">
        <f t="shared" si="51"/>
        <v>6874999.9999999963</v>
      </c>
      <c r="AD181" s="85">
        <f t="shared" si="68"/>
        <v>2291666.6666666665</v>
      </c>
      <c r="AE181" s="84">
        <f t="shared" si="52"/>
        <v>4583333.3333333302</v>
      </c>
      <c r="AF181" s="85">
        <f t="shared" si="71"/>
        <v>2291666.6666666665</v>
      </c>
      <c r="AG181" s="84">
        <f t="shared" si="53"/>
        <v>2291666.6666666637</v>
      </c>
      <c r="AH181" s="85"/>
      <c r="AI181" s="84">
        <f t="shared" si="54"/>
        <v>2291666.6666666637</v>
      </c>
      <c r="AJ181" s="85"/>
      <c r="AK181" s="84">
        <f t="shared" si="55"/>
        <v>2291666.6666666637</v>
      </c>
      <c r="AL181" s="85"/>
      <c r="AM181" s="84">
        <f t="shared" si="56"/>
        <v>2291666.6666666637</v>
      </c>
      <c r="AN181" s="85"/>
      <c r="AO181" s="84">
        <f t="shared" si="57"/>
        <v>2291666.6666666637</v>
      </c>
      <c r="AP181" s="85"/>
      <c r="AQ181" s="84">
        <f t="shared" si="58"/>
        <v>2291666.6666666637</v>
      </c>
      <c r="AR181" s="85"/>
      <c r="AS181" s="84">
        <f t="shared" si="59"/>
        <v>2291666.6666666637</v>
      </c>
      <c r="AT181" s="85"/>
      <c r="AU181" s="84">
        <f t="shared" si="60"/>
        <v>2291666.6666666637</v>
      </c>
      <c r="AV181" s="85"/>
      <c r="AW181" s="84">
        <f t="shared" si="61"/>
        <v>2291666.6666666637</v>
      </c>
      <c r="AX181" s="86">
        <f t="shared" si="62"/>
        <v>9166666.666666666</v>
      </c>
      <c r="AY181" s="87">
        <f t="shared" si="63"/>
        <v>2291666.6666666623</v>
      </c>
      <c r="AZ181" s="65" t="b">
        <f t="shared" si="64"/>
        <v>1</v>
      </c>
    </row>
    <row r="182" spans="1:52" s="67" customFormat="1" ht="24.75" hidden="1" customHeight="1">
      <c r="A182" s="68">
        <v>177</v>
      </c>
      <c r="B182" s="69" t="s">
        <v>510</v>
      </c>
      <c r="C182" s="88" t="s">
        <v>81</v>
      </c>
      <c r="D182" s="71" t="s">
        <v>511</v>
      </c>
      <c r="E182" s="88" t="s">
        <v>512</v>
      </c>
      <c r="F182" s="89"/>
      <c r="G182" s="88">
        <v>20240531</v>
      </c>
      <c r="H182" s="88">
        <v>24050888</v>
      </c>
      <c r="I182" s="74" t="s">
        <v>513</v>
      </c>
      <c r="J182" s="88" t="s">
        <v>514</v>
      </c>
      <c r="K182" s="68" t="s">
        <v>86</v>
      </c>
      <c r="L182" s="70" t="s">
        <v>87</v>
      </c>
      <c r="M182" s="88" t="s">
        <v>125</v>
      </c>
      <c r="N182" s="88" t="s">
        <v>126</v>
      </c>
      <c r="O182" s="77">
        <v>1</v>
      </c>
      <c r="P182" s="90">
        <v>45444</v>
      </c>
      <c r="Q182" s="94">
        <f t="shared" si="65"/>
        <v>46173</v>
      </c>
      <c r="R182" s="79">
        <v>24</v>
      </c>
      <c r="S182" s="79">
        <v>2</v>
      </c>
      <c r="T182" s="91">
        <v>20800000</v>
      </c>
      <c r="U182" s="81"/>
      <c r="V182" s="82">
        <f t="shared" si="70"/>
        <v>20800000</v>
      </c>
      <c r="W182" s="83">
        <f t="shared" si="66"/>
        <v>866666.66666666663</v>
      </c>
      <c r="X182" s="83">
        <v>16466666.666666668</v>
      </c>
      <c r="Y182" s="83">
        <v>4333333.3333333321</v>
      </c>
      <c r="Z182" s="85">
        <f t="shared" si="49"/>
        <v>866666.66666666663</v>
      </c>
      <c r="AA182" s="84">
        <f t="shared" si="67"/>
        <v>3466666.6666666656</v>
      </c>
      <c r="AB182" s="85">
        <f t="shared" si="50"/>
        <v>866666.66666666663</v>
      </c>
      <c r="AC182" s="84">
        <f t="shared" si="51"/>
        <v>2599999.9999999991</v>
      </c>
      <c r="AD182" s="85">
        <f t="shared" si="68"/>
        <v>866666.66666666663</v>
      </c>
      <c r="AE182" s="84">
        <f t="shared" si="52"/>
        <v>1733333.3333333326</v>
      </c>
      <c r="AF182" s="85">
        <f t="shared" si="71"/>
        <v>866666.66666666663</v>
      </c>
      <c r="AG182" s="84">
        <f t="shared" si="53"/>
        <v>866666.66666666593</v>
      </c>
      <c r="AH182" s="85"/>
      <c r="AI182" s="84">
        <f t="shared" si="54"/>
        <v>866666.66666666593</v>
      </c>
      <c r="AJ182" s="85"/>
      <c r="AK182" s="84">
        <f t="shared" si="55"/>
        <v>866666.66666666593</v>
      </c>
      <c r="AL182" s="85"/>
      <c r="AM182" s="84">
        <f t="shared" si="56"/>
        <v>866666.66666666593</v>
      </c>
      <c r="AN182" s="85"/>
      <c r="AO182" s="84">
        <f t="shared" si="57"/>
        <v>866666.66666666593</v>
      </c>
      <c r="AP182" s="85"/>
      <c r="AQ182" s="84">
        <f t="shared" si="58"/>
        <v>866666.66666666593</v>
      </c>
      <c r="AR182" s="85"/>
      <c r="AS182" s="84">
        <f t="shared" si="59"/>
        <v>866666.66666666593</v>
      </c>
      <c r="AT182" s="85"/>
      <c r="AU182" s="84">
        <f t="shared" si="60"/>
        <v>866666.66666666593</v>
      </c>
      <c r="AV182" s="85"/>
      <c r="AW182" s="84">
        <f t="shared" si="61"/>
        <v>866666.66666666593</v>
      </c>
      <c r="AX182" s="86">
        <f t="shared" si="62"/>
        <v>3466666.6666666665</v>
      </c>
      <c r="AY182" s="87">
        <f t="shared" si="63"/>
        <v>866666.66666666558</v>
      </c>
      <c r="AZ182" s="65" t="b">
        <f t="shared" si="64"/>
        <v>1</v>
      </c>
    </row>
    <row r="183" spans="1:52" s="67" customFormat="1" ht="24.75" hidden="1" customHeight="1">
      <c r="A183" s="68">
        <v>178</v>
      </c>
      <c r="B183" s="69" t="s">
        <v>515</v>
      </c>
      <c r="C183" s="88" t="s">
        <v>516</v>
      </c>
      <c r="D183" s="71" t="s">
        <v>517</v>
      </c>
      <c r="E183" s="88" t="s">
        <v>518</v>
      </c>
      <c r="F183" s="89" t="s">
        <v>519</v>
      </c>
      <c r="G183" s="88">
        <v>20240620</v>
      </c>
      <c r="H183" s="88">
        <v>24060597</v>
      </c>
      <c r="I183" s="74" t="s">
        <v>520</v>
      </c>
      <c r="J183" s="88" t="s">
        <v>521</v>
      </c>
      <c r="K183" s="68" t="s">
        <v>522</v>
      </c>
      <c r="L183" s="70" t="s">
        <v>523</v>
      </c>
      <c r="M183" s="88" t="s">
        <v>55</v>
      </c>
      <c r="N183" s="88" t="s">
        <v>56</v>
      </c>
      <c r="O183" s="77"/>
      <c r="P183" s="90">
        <v>45474</v>
      </c>
      <c r="Q183" s="94">
        <f t="shared" si="65"/>
        <v>46934</v>
      </c>
      <c r="R183" s="79">
        <v>48</v>
      </c>
      <c r="S183" s="79">
        <v>4</v>
      </c>
      <c r="T183" s="91">
        <v>141947487</v>
      </c>
      <c r="U183" s="81"/>
      <c r="V183" s="82">
        <f t="shared" si="70"/>
        <v>141947487</v>
      </c>
      <c r="W183" s="83">
        <f t="shared" si="66"/>
        <v>2957239.3125</v>
      </c>
      <c r="X183" s="83">
        <v>53230307.625</v>
      </c>
      <c r="Y183" s="83">
        <v>88717179.375</v>
      </c>
      <c r="Z183" s="85">
        <f t="shared" si="49"/>
        <v>2957239.3125</v>
      </c>
      <c r="AA183" s="84">
        <f t="shared" si="67"/>
        <v>85759940.0625</v>
      </c>
      <c r="AB183" s="85">
        <f t="shared" si="50"/>
        <v>2957239.3125</v>
      </c>
      <c r="AC183" s="84">
        <f t="shared" si="51"/>
        <v>82802700.75</v>
      </c>
      <c r="AD183" s="85">
        <f t="shared" si="68"/>
        <v>2957239.3125</v>
      </c>
      <c r="AE183" s="84">
        <f t="shared" si="52"/>
        <v>79845461.4375</v>
      </c>
      <c r="AF183" s="85">
        <f t="shared" si="71"/>
        <v>2957239.3125</v>
      </c>
      <c r="AG183" s="84">
        <f t="shared" si="53"/>
        <v>76888222.125</v>
      </c>
      <c r="AH183" s="85"/>
      <c r="AI183" s="84">
        <f t="shared" si="54"/>
        <v>76888222.125</v>
      </c>
      <c r="AJ183" s="85"/>
      <c r="AK183" s="84">
        <f t="shared" si="55"/>
        <v>76888222.125</v>
      </c>
      <c r="AL183" s="85"/>
      <c r="AM183" s="84">
        <f t="shared" si="56"/>
        <v>76888222.125</v>
      </c>
      <c r="AN183" s="85"/>
      <c r="AO183" s="84">
        <f t="shared" si="57"/>
        <v>76888222.125</v>
      </c>
      <c r="AP183" s="85"/>
      <c r="AQ183" s="84">
        <f t="shared" si="58"/>
        <v>76888222.125</v>
      </c>
      <c r="AR183" s="85"/>
      <c r="AS183" s="84">
        <f t="shared" si="59"/>
        <v>76888222.125</v>
      </c>
      <c r="AT183" s="85"/>
      <c r="AU183" s="84">
        <f t="shared" si="60"/>
        <v>76888222.125</v>
      </c>
      <c r="AV183" s="85"/>
      <c r="AW183" s="84">
        <f t="shared" si="61"/>
        <v>76888222.125</v>
      </c>
      <c r="AX183" s="86">
        <f t="shared" si="62"/>
        <v>11828957.25</v>
      </c>
      <c r="AY183" s="87">
        <f t="shared" si="63"/>
        <v>76888222.125</v>
      </c>
      <c r="AZ183" s="65" t="b">
        <f t="shared" si="64"/>
        <v>1</v>
      </c>
    </row>
    <row r="184" spans="1:52" s="67" customFormat="1" ht="24.75" hidden="1" customHeight="1">
      <c r="A184" s="68">
        <v>179</v>
      </c>
      <c r="B184" s="69" t="s">
        <v>524</v>
      </c>
      <c r="C184" s="88" t="s">
        <v>525</v>
      </c>
      <c r="D184" s="71" t="s">
        <v>526</v>
      </c>
      <c r="E184" s="88" t="s">
        <v>527</v>
      </c>
      <c r="F184" s="89" t="s">
        <v>528</v>
      </c>
      <c r="G184" s="88">
        <v>20240624</v>
      </c>
      <c r="H184" s="88">
        <v>24060605</v>
      </c>
      <c r="I184" s="74" t="s">
        <v>520</v>
      </c>
      <c r="J184" s="88" t="s">
        <v>521</v>
      </c>
      <c r="K184" s="68" t="s">
        <v>529</v>
      </c>
      <c r="L184" s="70" t="s">
        <v>530</v>
      </c>
      <c r="M184" s="88" t="s">
        <v>531</v>
      </c>
      <c r="N184" s="88" t="s">
        <v>532</v>
      </c>
      <c r="O184" s="77"/>
      <c r="P184" s="90">
        <v>45474</v>
      </c>
      <c r="Q184" s="94">
        <f t="shared" si="65"/>
        <v>46203</v>
      </c>
      <c r="R184" s="79">
        <v>24</v>
      </c>
      <c r="S184" s="79">
        <v>2</v>
      </c>
      <c r="T184" s="91">
        <v>200000000</v>
      </c>
      <c r="U184" s="81"/>
      <c r="V184" s="82">
        <f t="shared" si="70"/>
        <v>200000000</v>
      </c>
      <c r="W184" s="83">
        <f t="shared" si="66"/>
        <v>8333333.333333333</v>
      </c>
      <c r="X184" s="83">
        <v>150000000</v>
      </c>
      <c r="Y184" s="83">
        <v>50000000.000000015</v>
      </c>
      <c r="Z184" s="85">
        <f t="shared" si="49"/>
        <v>8333333.333333333</v>
      </c>
      <c r="AA184" s="84">
        <f t="shared" si="67"/>
        <v>41666666.666666664</v>
      </c>
      <c r="AB184" s="85">
        <f t="shared" si="50"/>
        <v>8333333.333333333</v>
      </c>
      <c r="AC184" s="84">
        <f t="shared" si="51"/>
        <v>33333333.333333332</v>
      </c>
      <c r="AD184" s="85">
        <f t="shared" si="68"/>
        <v>8333333.333333333</v>
      </c>
      <c r="AE184" s="84">
        <f t="shared" si="52"/>
        <v>25000000</v>
      </c>
      <c r="AF184" s="85">
        <f t="shared" si="71"/>
        <v>8333333.333333333</v>
      </c>
      <c r="AG184" s="84">
        <f t="shared" si="53"/>
        <v>16666666.666666668</v>
      </c>
      <c r="AH184" s="85"/>
      <c r="AI184" s="84">
        <f t="shared" si="54"/>
        <v>16666666.666666668</v>
      </c>
      <c r="AJ184" s="85"/>
      <c r="AK184" s="84">
        <f t="shared" si="55"/>
        <v>16666666.666666668</v>
      </c>
      <c r="AL184" s="85"/>
      <c r="AM184" s="84">
        <f t="shared" si="56"/>
        <v>16666666.666666668</v>
      </c>
      <c r="AN184" s="85"/>
      <c r="AO184" s="84">
        <f t="shared" si="57"/>
        <v>16666666.666666668</v>
      </c>
      <c r="AP184" s="85"/>
      <c r="AQ184" s="84">
        <f t="shared" si="58"/>
        <v>16666666.666666668</v>
      </c>
      <c r="AR184" s="85"/>
      <c r="AS184" s="84">
        <f t="shared" si="59"/>
        <v>16666666.666666668</v>
      </c>
      <c r="AT184" s="85"/>
      <c r="AU184" s="84">
        <f t="shared" si="60"/>
        <v>16666666.666666668</v>
      </c>
      <c r="AV184" s="85"/>
      <c r="AW184" s="84">
        <f t="shared" si="61"/>
        <v>16666666.666666668</v>
      </c>
      <c r="AX184" s="86">
        <f t="shared" si="62"/>
        <v>33333333.333333332</v>
      </c>
      <c r="AY184" s="87">
        <f t="shared" si="63"/>
        <v>16666666.666666668</v>
      </c>
      <c r="AZ184" s="65" t="b">
        <f t="shared" si="64"/>
        <v>1</v>
      </c>
    </row>
    <row r="185" spans="1:52" s="67" customFormat="1" ht="24.75" hidden="1" customHeight="1">
      <c r="A185" s="68">
        <v>180</v>
      </c>
      <c r="B185" s="69" t="s">
        <v>533</v>
      </c>
      <c r="C185" s="88" t="s">
        <v>395</v>
      </c>
      <c r="D185" s="71" t="s">
        <v>396</v>
      </c>
      <c r="E185" s="88" t="s">
        <v>534</v>
      </c>
      <c r="F185" s="89" t="s">
        <v>535</v>
      </c>
      <c r="G185" s="88">
        <v>20240629</v>
      </c>
      <c r="H185" s="88">
        <v>24060554</v>
      </c>
      <c r="I185" s="74" t="s">
        <v>399</v>
      </c>
      <c r="J185" s="88" t="s">
        <v>400</v>
      </c>
      <c r="K185" s="68" t="s">
        <v>448</v>
      </c>
      <c r="L185" s="70" t="s">
        <v>449</v>
      </c>
      <c r="M185" s="88" t="s">
        <v>70</v>
      </c>
      <c r="N185" s="88" t="s">
        <v>71</v>
      </c>
      <c r="O185" s="77">
        <v>2</v>
      </c>
      <c r="P185" s="90">
        <v>45474</v>
      </c>
      <c r="Q185" s="94">
        <f t="shared" si="65"/>
        <v>46203</v>
      </c>
      <c r="R185" s="79">
        <v>24</v>
      </c>
      <c r="S185" s="79">
        <v>2</v>
      </c>
      <c r="T185" s="91">
        <v>19080000</v>
      </c>
      <c r="U185" s="81"/>
      <c r="V185" s="82">
        <f t="shared" si="70"/>
        <v>19080000</v>
      </c>
      <c r="W185" s="83">
        <f t="shared" si="66"/>
        <v>795000</v>
      </c>
      <c r="X185" s="83">
        <v>14310000</v>
      </c>
      <c r="Y185" s="83">
        <v>4770000</v>
      </c>
      <c r="Z185" s="85">
        <f t="shared" si="49"/>
        <v>795000</v>
      </c>
      <c r="AA185" s="84">
        <f t="shared" si="67"/>
        <v>3975000</v>
      </c>
      <c r="AB185" s="85">
        <f t="shared" si="50"/>
        <v>795000</v>
      </c>
      <c r="AC185" s="84">
        <f t="shared" si="51"/>
        <v>3180000</v>
      </c>
      <c r="AD185" s="85">
        <f t="shared" si="68"/>
        <v>795000</v>
      </c>
      <c r="AE185" s="84">
        <f t="shared" si="52"/>
        <v>2385000</v>
      </c>
      <c r="AF185" s="85">
        <f t="shared" si="71"/>
        <v>795000</v>
      </c>
      <c r="AG185" s="84">
        <f t="shared" si="53"/>
        <v>1590000</v>
      </c>
      <c r="AH185" s="85"/>
      <c r="AI185" s="84">
        <f t="shared" si="54"/>
        <v>1590000</v>
      </c>
      <c r="AJ185" s="85"/>
      <c r="AK185" s="84">
        <f t="shared" si="55"/>
        <v>1590000</v>
      </c>
      <c r="AL185" s="85"/>
      <c r="AM185" s="84">
        <f t="shared" si="56"/>
        <v>1590000</v>
      </c>
      <c r="AN185" s="85"/>
      <c r="AO185" s="84">
        <f t="shared" si="57"/>
        <v>1590000</v>
      </c>
      <c r="AP185" s="85"/>
      <c r="AQ185" s="84">
        <f t="shared" si="58"/>
        <v>1590000</v>
      </c>
      <c r="AR185" s="85"/>
      <c r="AS185" s="84">
        <f t="shared" si="59"/>
        <v>1590000</v>
      </c>
      <c r="AT185" s="85"/>
      <c r="AU185" s="84">
        <f t="shared" si="60"/>
        <v>1590000</v>
      </c>
      <c r="AV185" s="85"/>
      <c r="AW185" s="84">
        <f t="shared" si="61"/>
        <v>1590000</v>
      </c>
      <c r="AX185" s="86">
        <f t="shared" si="62"/>
        <v>3180000</v>
      </c>
      <c r="AY185" s="87">
        <f t="shared" si="63"/>
        <v>1590000</v>
      </c>
      <c r="AZ185" s="65" t="b">
        <f t="shared" si="64"/>
        <v>1</v>
      </c>
    </row>
    <row r="186" spans="1:52" s="67" customFormat="1" ht="24.75" hidden="1" customHeight="1">
      <c r="A186" s="68">
        <v>181</v>
      </c>
      <c r="B186" s="69" t="s">
        <v>536</v>
      </c>
      <c r="C186" s="88" t="s">
        <v>81</v>
      </c>
      <c r="D186" s="71" t="s">
        <v>95</v>
      </c>
      <c r="E186" s="88" t="s">
        <v>537</v>
      </c>
      <c r="F186" s="89"/>
      <c r="G186" s="88">
        <v>20240430</v>
      </c>
      <c r="H186" s="88">
        <v>24040792</v>
      </c>
      <c r="I186" s="95" t="s">
        <v>98</v>
      </c>
      <c r="J186" s="88" t="s">
        <v>156</v>
      </c>
      <c r="K186" s="68" t="s">
        <v>99</v>
      </c>
      <c r="L186" s="70" t="s">
        <v>100</v>
      </c>
      <c r="M186" s="88" t="s">
        <v>101</v>
      </c>
      <c r="N186" s="88" t="s">
        <v>102</v>
      </c>
      <c r="O186" s="77"/>
      <c r="P186" s="90">
        <v>45474</v>
      </c>
      <c r="Q186" s="94">
        <f t="shared" si="65"/>
        <v>46203</v>
      </c>
      <c r="R186" s="79">
        <v>24</v>
      </c>
      <c r="S186" s="79">
        <v>2</v>
      </c>
      <c r="T186" s="91">
        <v>141666666.66666669</v>
      </c>
      <c r="U186" s="81"/>
      <c r="V186" s="82">
        <f t="shared" si="70"/>
        <v>141666666.66666669</v>
      </c>
      <c r="W186" s="83">
        <f t="shared" si="66"/>
        <v>5902777.7777777789</v>
      </c>
      <c r="X186" s="83">
        <v>106250000</v>
      </c>
      <c r="Y186" s="83">
        <v>35416666.666666687</v>
      </c>
      <c r="Z186" s="85">
        <f t="shared" si="49"/>
        <v>5902777.7777777789</v>
      </c>
      <c r="AA186" s="84">
        <f t="shared" si="67"/>
        <v>29513888.888888907</v>
      </c>
      <c r="AB186" s="85">
        <f t="shared" si="50"/>
        <v>5902777.7777777789</v>
      </c>
      <c r="AC186" s="84">
        <f t="shared" si="51"/>
        <v>23611111.111111127</v>
      </c>
      <c r="AD186" s="85">
        <f t="shared" si="68"/>
        <v>5902777.7777777789</v>
      </c>
      <c r="AE186" s="84">
        <f t="shared" si="52"/>
        <v>17708333.333333347</v>
      </c>
      <c r="AF186" s="85">
        <f t="shared" si="71"/>
        <v>5902777.7777777789</v>
      </c>
      <c r="AG186" s="84">
        <f t="shared" si="53"/>
        <v>11805555.555555567</v>
      </c>
      <c r="AH186" s="85"/>
      <c r="AI186" s="84">
        <f t="shared" si="54"/>
        <v>11805555.555555567</v>
      </c>
      <c r="AJ186" s="85"/>
      <c r="AK186" s="84">
        <f t="shared" si="55"/>
        <v>11805555.555555567</v>
      </c>
      <c r="AL186" s="85"/>
      <c r="AM186" s="84">
        <f t="shared" si="56"/>
        <v>11805555.555555567</v>
      </c>
      <c r="AN186" s="85"/>
      <c r="AO186" s="84">
        <f t="shared" si="57"/>
        <v>11805555.555555567</v>
      </c>
      <c r="AP186" s="85"/>
      <c r="AQ186" s="84">
        <f t="shared" si="58"/>
        <v>11805555.555555567</v>
      </c>
      <c r="AR186" s="85"/>
      <c r="AS186" s="84">
        <f t="shared" si="59"/>
        <v>11805555.555555567</v>
      </c>
      <c r="AT186" s="85"/>
      <c r="AU186" s="84">
        <f t="shared" si="60"/>
        <v>11805555.555555567</v>
      </c>
      <c r="AV186" s="85"/>
      <c r="AW186" s="84">
        <f t="shared" si="61"/>
        <v>11805555.555555567</v>
      </c>
      <c r="AX186" s="86">
        <f t="shared" si="62"/>
        <v>23611111.111111116</v>
      </c>
      <c r="AY186" s="87">
        <f t="shared" si="63"/>
        <v>11805555.555555571</v>
      </c>
      <c r="AZ186" s="65" t="b">
        <f t="shared" si="64"/>
        <v>1</v>
      </c>
    </row>
    <row r="187" spans="1:52" s="67" customFormat="1" ht="24.75" hidden="1" customHeight="1">
      <c r="A187" s="68">
        <v>182</v>
      </c>
      <c r="B187" s="69" t="s">
        <v>538</v>
      </c>
      <c r="C187" s="88" t="s">
        <v>81</v>
      </c>
      <c r="D187" s="71" t="s">
        <v>95</v>
      </c>
      <c r="E187" s="88" t="s">
        <v>539</v>
      </c>
      <c r="F187" s="89"/>
      <c r="G187" s="88">
        <v>20240430</v>
      </c>
      <c r="H187" s="88">
        <v>24040792</v>
      </c>
      <c r="I187" s="95" t="s">
        <v>98</v>
      </c>
      <c r="J187" s="88" t="s">
        <v>156</v>
      </c>
      <c r="K187" s="68" t="s">
        <v>99</v>
      </c>
      <c r="L187" s="70" t="s">
        <v>100</v>
      </c>
      <c r="M187" s="88" t="s">
        <v>101</v>
      </c>
      <c r="N187" s="88" t="s">
        <v>102</v>
      </c>
      <c r="O187" s="77"/>
      <c r="P187" s="90">
        <v>45474</v>
      </c>
      <c r="Q187" s="94">
        <f t="shared" si="65"/>
        <v>46203</v>
      </c>
      <c r="R187" s="79">
        <v>24</v>
      </c>
      <c r="S187" s="79">
        <v>2</v>
      </c>
      <c r="T187" s="91">
        <v>294166666.66666663</v>
      </c>
      <c r="U187" s="81"/>
      <c r="V187" s="82">
        <f t="shared" si="70"/>
        <v>294166666.66666663</v>
      </c>
      <c r="W187" s="83">
        <f t="shared" si="66"/>
        <v>12256944.444444442</v>
      </c>
      <c r="X187" s="83">
        <v>220625000</v>
      </c>
      <c r="Y187" s="83">
        <v>73541666.666666627</v>
      </c>
      <c r="Z187" s="85">
        <f t="shared" si="49"/>
        <v>12256944.444444442</v>
      </c>
      <c r="AA187" s="84">
        <f t="shared" si="67"/>
        <v>61284722.222222187</v>
      </c>
      <c r="AB187" s="85">
        <f t="shared" si="50"/>
        <v>12256944.444444442</v>
      </c>
      <c r="AC187" s="84">
        <f t="shared" si="51"/>
        <v>49027777.777777746</v>
      </c>
      <c r="AD187" s="85">
        <f t="shared" si="68"/>
        <v>12256944.444444442</v>
      </c>
      <c r="AE187" s="84">
        <f t="shared" si="52"/>
        <v>36770833.333333306</v>
      </c>
      <c r="AF187" s="85">
        <f t="shared" si="71"/>
        <v>12256944.444444442</v>
      </c>
      <c r="AG187" s="84">
        <f t="shared" si="53"/>
        <v>24513888.888888866</v>
      </c>
      <c r="AH187" s="85"/>
      <c r="AI187" s="84">
        <f t="shared" si="54"/>
        <v>24513888.888888866</v>
      </c>
      <c r="AJ187" s="85"/>
      <c r="AK187" s="84">
        <f t="shared" si="55"/>
        <v>24513888.888888866</v>
      </c>
      <c r="AL187" s="85"/>
      <c r="AM187" s="84">
        <f t="shared" si="56"/>
        <v>24513888.888888866</v>
      </c>
      <c r="AN187" s="85"/>
      <c r="AO187" s="84">
        <f t="shared" si="57"/>
        <v>24513888.888888866</v>
      </c>
      <c r="AP187" s="85"/>
      <c r="AQ187" s="84">
        <f t="shared" si="58"/>
        <v>24513888.888888866</v>
      </c>
      <c r="AR187" s="85"/>
      <c r="AS187" s="84">
        <f t="shared" si="59"/>
        <v>24513888.888888866</v>
      </c>
      <c r="AT187" s="85"/>
      <c r="AU187" s="84">
        <f t="shared" si="60"/>
        <v>24513888.888888866</v>
      </c>
      <c r="AV187" s="85"/>
      <c r="AW187" s="84">
        <f t="shared" si="61"/>
        <v>24513888.888888866</v>
      </c>
      <c r="AX187" s="86">
        <f t="shared" si="62"/>
        <v>49027777.777777769</v>
      </c>
      <c r="AY187" s="87">
        <f t="shared" si="63"/>
        <v>24513888.888888858</v>
      </c>
      <c r="AZ187" s="65" t="b">
        <f t="shared" si="64"/>
        <v>1</v>
      </c>
    </row>
    <row r="188" spans="1:52" s="67" customFormat="1" ht="24.75" hidden="1" customHeight="1">
      <c r="A188" s="68">
        <v>183</v>
      </c>
      <c r="B188" s="69" t="s">
        <v>540</v>
      </c>
      <c r="C188" s="88" t="s">
        <v>81</v>
      </c>
      <c r="D188" s="71" t="s">
        <v>95</v>
      </c>
      <c r="E188" s="88" t="s">
        <v>541</v>
      </c>
      <c r="F188" s="89"/>
      <c r="G188" s="88">
        <v>20240531</v>
      </c>
      <c r="H188" s="88">
        <v>24050890</v>
      </c>
      <c r="I188" s="95" t="s">
        <v>98</v>
      </c>
      <c r="J188" s="88" t="s">
        <v>156</v>
      </c>
      <c r="K188" s="68" t="s">
        <v>99</v>
      </c>
      <c r="L188" s="70" t="s">
        <v>100</v>
      </c>
      <c r="M188" s="88" t="s">
        <v>101</v>
      </c>
      <c r="N188" s="88" t="s">
        <v>102</v>
      </c>
      <c r="O188" s="77"/>
      <c r="P188" s="90">
        <v>45474</v>
      </c>
      <c r="Q188" s="94">
        <f t="shared" si="65"/>
        <v>46203</v>
      </c>
      <c r="R188" s="79">
        <v>24</v>
      </c>
      <c r="S188" s="79">
        <v>2</v>
      </c>
      <c r="T188" s="91">
        <v>212500000</v>
      </c>
      <c r="U188" s="81"/>
      <c r="V188" s="82">
        <f t="shared" si="70"/>
        <v>212500000</v>
      </c>
      <c r="W188" s="83">
        <f t="shared" si="66"/>
        <v>8854166.666666666</v>
      </c>
      <c r="X188" s="83">
        <v>159375000</v>
      </c>
      <c r="Y188" s="83">
        <v>53124999.999999985</v>
      </c>
      <c r="Z188" s="85">
        <f t="shared" si="49"/>
        <v>8854166.666666666</v>
      </c>
      <c r="AA188" s="84">
        <f t="shared" si="67"/>
        <v>44270833.333333336</v>
      </c>
      <c r="AB188" s="85">
        <f t="shared" si="50"/>
        <v>8854166.666666666</v>
      </c>
      <c r="AC188" s="84">
        <f t="shared" si="51"/>
        <v>35416666.666666672</v>
      </c>
      <c r="AD188" s="85">
        <f t="shared" si="68"/>
        <v>8854166.666666666</v>
      </c>
      <c r="AE188" s="84">
        <f t="shared" si="52"/>
        <v>26562500.000000007</v>
      </c>
      <c r="AF188" s="85">
        <f t="shared" si="71"/>
        <v>8854166.666666666</v>
      </c>
      <c r="AG188" s="84">
        <f t="shared" si="53"/>
        <v>17708333.333333343</v>
      </c>
      <c r="AH188" s="85"/>
      <c r="AI188" s="84">
        <f t="shared" si="54"/>
        <v>17708333.333333343</v>
      </c>
      <c r="AJ188" s="85"/>
      <c r="AK188" s="84">
        <f t="shared" si="55"/>
        <v>17708333.333333343</v>
      </c>
      <c r="AL188" s="85"/>
      <c r="AM188" s="84">
        <f t="shared" si="56"/>
        <v>17708333.333333343</v>
      </c>
      <c r="AN188" s="85"/>
      <c r="AO188" s="84">
        <f t="shared" si="57"/>
        <v>17708333.333333343</v>
      </c>
      <c r="AP188" s="85"/>
      <c r="AQ188" s="84">
        <f t="shared" si="58"/>
        <v>17708333.333333343</v>
      </c>
      <c r="AR188" s="85"/>
      <c r="AS188" s="84">
        <f t="shared" si="59"/>
        <v>17708333.333333343</v>
      </c>
      <c r="AT188" s="85"/>
      <c r="AU188" s="84">
        <f t="shared" si="60"/>
        <v>17708333.333333343</v>
      </c>
      <c r="AV188" s="85"/>
      <c r="AW188" s="84">
        <f t="shared" si="61"/>
        <v>17708333.333333343</v>
      </c>
      <c r="AX188" s="86">
        <f t="shared" si="62"/>
        <v>35416666.666666664</v>
      </c>
      <c r="AY188" s="87">
        <f t="shared" si="63"/>
        <v>17708333.333333336</v>
      </c>
      <c r="AZ188" s="65" t="b">
        <f t="shared" si="64"/>
        <v>1</v>
      </c>
    </row>
    <row r="189" spans="1:52" s="67" customFormat="1" ht="24.75" hidden="1" customHeight="1">
      <c r="A189" s="68">
        <v>184</v>
      </c>
      <c r="B189" s="69" t="s">
        <v>542</v>
      </c>
      <c r="C189" s="88" t="s">
        <v>81</v>
      </c>
      <c r="D189" s="71" t="s">
        <v>95</v>
      </c>
      <c r="E189" s="88" t="s">
        <v>543</v>
      </c>
      <c r="F189" s="89"/>
      <c r="G189" s="88">
        <v>20240531</v>
      </c>
      <c r="H189" s="88">
        <v>24050890</v>
      </c>
      <c r="I189" s="95" t="s">
        <v>98</v>
      </c>
      <c r="J189" s="88" t="s">
        <v>156</v>
      </c>
      <c r="K189" s="68" t="s">
        <v>99</v>
      </c>
      <c r="L189" s="70" t="s">
        <v>100</v>
      </c>
      <c r="M189" s="88" t="s">
        <v>101</v>
      </c>
      <c r="N189" s="88" t="s">
        <v>102</v>
      </c>
      <c r="O189" s="77"/>
      <c r="P189" s="90">
        <v>45474</v>
      </c>
      <c r="Q189" s="94">
        <f t="shared" si="65"/>
        <v>46203</v>
      </c>
      <c r="R189" s="79">
        <v>24</v>
      </c>
      <c r="S189" s="79">
        <v>2</v>
      </c>
      <c r="T189" s="91">
        <v>193333333.33333334</v>
      </c>
      <c r="U189" s="81"/>
      <c r="V189" s="82">
        <f t="shared" si="70"/>
        <v>193333333.33333334</v>
      </c>
      <c r="W189" s="83">
        <f t="shared" si="66"/>
        <v>8055555.555555556</v>
      </c>
      <c r="X189" s="83">
        <v>144999999.99999997</v>
      </c>
      <c r="Y189" s="83">
        <v>48333333.333333358</v>
      </c>
      <c r="Z189" s="85">
        <f t="shared" si="49"/>
        <v>8055555.555555556</v>
      </c>
      <c r="AA189" s="84">
        <f t="shared" si="67"/>
        <v>40277777.777777821</v>
      </c>
      <c r="AB189" s="85">
        <f t="shared" si="50"/>
        <v>8055555.555555556</v>
      </c>
      <c r="AC189" s="84">
        <f t="shared" si="51"/>
        <v>32222222.222222265</v>
      </c>
      <c r="AD189" s="85">
        <f t="shared" si="68"/>
        <v>8055555.555555556</v>
      </c>
      <c r="AE189" s="84">
        <f t="shared" si="52"/>
        <v>24166666.666666709</v>
      </c>
      <c r="AF189" s="85">
        <f t="shared" si="71"/>
        <v>8055555.555555556</v>
      </c>
      <c r="AG189" s="84">
        <f t="shared" si="53"/>
        <v>16111111.111111153</v>
      </c>
      <c r="AH189" s="85"/>
      <c r="AI189" s="84">
        <f t="shared" si="54"/>
        <v>16111111.111111153</v>
      </c>
      <c r="AJ189" s="85"/>
      <c r="AK189" s="84">
        <f t="shared" si="55"/>
        <v>16111111.111111153</v>
      </c>
      <c r="AL189" s="85"/>
      <c r="AM189" s="84">
        <f t="shared" si="56"/>
        <v>16111111.111111153</v>
      </c>
      <c r="AN189" s="85"/>
      <c r="AO189" s="84">
        <f t="shared" si="57"/>
        <v>16111111.111111153</v>
      </c>
      <c r="AP189" s="85"/>
      <c r="AQ189" s="84">
        <f t="shared" si="58"/>
        <v>16111111.111111153</v>
      </c>
      <c r="AR189" s="85"/>
      <c r="AS189" s="84">
        <f t="shared" si="59"/>
        <v>16111111.111111153</v>
      </c>
      <c r="AT189" s="85"/>
      <c r="AU189" s="84">
        <f t="shared" si="60"/>
        <v>16111111.111111153</v>
      </c>
      <c r="AV189" s="85"/>
      <c r="AW189" s="84">
        <f t="shared" si="61"/>
        <v>16111111.111111153</v>
      </c>
      <c r="AX189" s="86">
        <f t="shared" si="62"/>
        <v>32222222.222222224</v>
      </c>
      <c r="AY189" s="87">
        <f t="shared" si="63"/>
        <v>16111111.111111149</v>
      </c>
      <c r="AZ189" s="65" t="b">
        <f t="shared" si="64"/>
        <v>1</v>
      </c>
    </row>
    <row r="190" spans="1:52" s="67" customFormat="1" ht="24.75" hidden="1" customHeight="1">
      <c r="A190" s="68">
        <v>185</v>
      </c>
      <c r="B190" s="69" t="s">
        <v>544</v>
      </c>
      <c r="C190" s="88" t="s">
        <v>81</v>
      </c>
      <c r="D190" s="71" t="s">
        <v>95</v>
      </c>
      <c r="E190" s="88" t="s">
        <v>545</v>
      </c>
      <c r="F190" s="89"/>
      <c r="G190" s="88">
        <v>20240531</v>
      </c>
      <c r="H190" s="88">
        <v>24050890</v>
      </c>
      <c r="I190" s="95" t="s">
        <v>98</v>
      </c>
      <c r="J190" s="88" t="s">
        <v>156</v>
      </c>
      <c r="K190" s="68" t="s">
        <v>99</v>
      </c>
      <c r="L190" s="70" t="s">
        <v>100</v>
      </c>
      <c r="M190" s="88" t="s">
        <v>101</v>
      </c>
      <c r="N190" s="88" t="s">
        <v>102</v>
      </c>
      <c r="O190" s="77"/>
      <c r="P190" s="90">
        <v>45474</v>
      </c>
      <c r="Q190" s="94">
        <f t="shared" si="65"/>
        <v>46203</v>
      </c>
      <c r="R190" s="79">
        <v>24</v>
      </c>
      <c r="S190" s="79">
        <v>2</v>
      </c>
      <c r="T190" s="91">
        <v>58333333.333333336</v>
      </c>
      <c r="U190" s="81"/>
      <c r="V190" s="82">
        <f t="shared" si="70"/>
        <v>58333333.333333336</v>
      </c>
      <c r="W190" s="83">
        <f t="shared" si="66"/>
        <v>2430555.5555555555</v>
      </c>
      <c r="X190" s="83">
        <v>43750000</v>
      </c>
      <c r="Y190" s="83">
        <v>14583333.333333332</v>
      </c>
      <c r="Z190" s="85">
        <f t="shared" si="49"/>
        <v>2430555.5555555555</v>
      </c>
      <c r="AA190" s="84">
        <f t="shared" si="67"/>
        <v>12152777.77777778</v>
      </c>
      <c r="AB190" s="85">
        <f t="shared" si="50"/>
        <v>2430555.5555555555</v>
      </c>
      <c r="AC190" s="84">
        <f t="shared" si="51"/>
        <v>9722222.2222222239</v>
      </c>
      <c r="AD190" s="85">
        <f t="shared" si="68"/>
        <v>2430555.5555555555</v>
      </c>
      <c r="AE190" s="84">
        <f t="shared" si="52"/>
        <v>7291666.6666666679</v>
      </c>
      <c r="AF190" s="85">
        <f t="shared" si="71"/>
        <v>2430555.5555555555</v>
      </c>
      <c r="AG190" s="84">
        <f t="shared" si="53"/>
        <v>4861111.1111111119</v>
      </c>
      <c r="AH190" s="85"/>
      <c r="AI190" s="84">
        <f t="shared" si="54"/>
        <v>4861111.1111111119</v>
      </c>
      <c r="AJ190" s="85"/>
      <c r="AK190" s="84">
        <f t="shared" si="55"/>
        <v>4861111.1111111119</v>
      </c>
      <c r="AL190" s="85"/>
      <c r="AM190" s="84">
        <f t="shared" si="56"/>
        <v>4861111.1111111119</v>
      </c>
      <c r="AN190" s="85"/>
      <c r="AO190" s="84">
        <f t="shared" si="57"/>
        <v>4861111.1111111119</v>
      </c>
      <c r="AP190" s="85"/>
      <c r="AQ190" s="84">
        <f t="shared" si="58"/>
        <v>4861111.1111111119</v>
      </c>
      <c r="AR190" s="85"/>
      <c r="AS190" s="84">
        <f t="shared" si="59"/>
        <v>4861111.1111111119</v>
      </c>
      <c r="AT190" s="85"/>
      <c r="AU190" s="84">
        <f t="shared" si="60"/>
        <v>4861111.1111111119</v>
      </c>
      <c r="AV190" s="85"/>
      <c r="AW190" s="84">
        <f t="shared" si="61"/>
        <v>4861111.1111111119</v>
      </c>
      <c r="AX190" s="86">
        <f t="shared" si="62"/>
        <v>9722222.222222222</v>
      </c>
      <c r="AY190" s="87">
        <f t="shared" si="63"/>
        <v>4861111.1111111138</v>
      </c>
      <c r="AZ190" s="65" t="b">
        <f t="shared" si="64"/>
        <v>1</v>
      </c>
    </row>
    <row r="191" spans="1:52" s="67" customFormat="1" ht="24.75" hidden="1" customHeight="1">
      <c r="A191" s="68">
        <v>186</v>
      </c>
      <c r="B191" s="69" t="s">
        <v>546</v>
      </c>
      <c r="C191" s="88" t="s">
        <v>81</v>
      </c>
      <c r="D191" s="71" t="s">
        <v>95</v>
      </c>
      <c r="E191" s="88" t="s">
        <v>547</v>
      </c>
      <c r="F191" s="89"/>
      <c r="G191" s="88">
        <v>20240531</v>
      </c>
      <c r="H191" s="88">
        <v>24050890</v>
      </c>
      <c r="I191" s="95" t="s">
        <v>98</v>
      </c>
      <c r="J191" s="88" t="s">
        <v>156</v>
      </c>
      <c r="K191" s="68" t="s">
        <v>99</v>
      </c>
      <c r="L191" s="70" t="s">
        <v>100</v>
      </c>
      <c r="M191" s="88" t="s">
        <v>101</v>
      </c>
      <c r="N191" s="88" t="s">
        <v>102</v>
      </c>
      <c r="O191" s="77"/>
      <c r="P191" s="90">
        <v>45474</v>
      </c>
      <c r="Q191" s="94">
        <f t="shared" si="65"/>
        <v>46203</v>
      </c>
      <c r="R191" s="79">
        <v>24</v>
      </c>
      <c r="S191" s="79">
        <v>2</v>
      </c>
      <c r="T191" s="91">
        <v>169166666.66666666</v>
      </c>
      <c r="U191" s="81"/>
      <c r="V191" s="82">
        <f t="shared" si="70"/>
        <v>169166666.66666666</v>
      </c>
      <c r="W191" s="83">
        <f t="shared" si="66"/>
        <v>7048611.111111111</v>
      </c>
      <c r="X191" s="83">
        <v>126874999.99999997</v>
      </c>
      <c r="Y191" s="83">
        <v>42291666.666666687</v>
      </c>
      <c r="Z191" s="85">
        <f t="shared" si="49"/>
        <v>7048611.111111111</v>
      </c>
      <c r="AA191" s="84">
        <f t="shared" si="67"/>
        <v>35243055.555555575</v>
      </c>
      <c r="AB191" s="85">
        <f t="shared" si="50"/>
        <v>7048611.111111111</v>
      </c>
      <c r="AC191" s="84">
        <f t="shared" si="51"/>
        <v>28194444.444444463</v>
      </c>
      <c r="AD191" s="85">
        <f t="shared" si="68"/>
        <v>7048611.111111111</v>
      </c>
      <c r="AE191" s="84">
        <f t="shared" si="52"/>
        <v>21145833.333333351</v>
      </c>
      <c r="AF191" s="85">
        <f t="shared" si="71"/>
        <v>7048611.111111111</v>
      </c>
      <c r="AG191" s="84">
        <f t="shared" si="53"/>
        <v>14097222.222222239</v>
      </c>
      <c r="AH191" s="85"/>
      <c r="AI191" s="84">
        <f t="shared" si="54"/>
        <v>14097222.222222239</v>
      </c>
      <c r="AJ191" s="85"/>
      <c r="AK191" s="84">
        <f t="shared" si="55"/>
        <v>14097222.222222239</v>
      </c>
      <c r="AL191" s="85"/>
      <c r="AM191" s="84">
        <f t="shared" si="56"/>
        <v>14097222.222222239</v>
      </c>
      <c r="AN191" s="85"/>
      <c r="AO191" s="84">
        <f t="shared" si="57"/>
        <v>14097222.222222239</v>
      </c>
      <c r="AP191" s="85"/>
      <c r="AQ191" s="84">
        <f t="shared" si="58"/>
        <v>14097222.222222239</v>
      </c>
      <c r="AR191" s="85"/>
      <c r="AS191" s="84">
        <f t="shared" si="59"/>
        <v>14097222.222222239</v>
      </c>
      <c r="AT191" s="85"/>
      <c r="AU191" s="84">
        <f t="shared" si="60"/>
        <v>14097222.222222239</v>
      </c>
      <c r="AV191" s="85"/>
      <c r="AW191" s="84">
        <f t="shared" si="61"/>
        <v>14097222.222222239</v>
      </c>
      <c r="AX191" s="86">
        <f t="shared" si="62"/>
        <v>28194444.444444444</v>
      </c>
      <c r="AY191" s="87">
        <f t="shared" si="63"/>
        <v>14097222.222222243</v>
      </c>
      <c r="AZ191" s="65" t="b">
        <f t="shared" si="64"/>
        <v>1</v>
      </c>
    </row>
    <row r="192" spans="1:52" s="67" customFormat="1" ht="24.75" hidden="1" customHeight="1">
      <c r="A192" s="68">
        <v>187</v>
      </c>
      <c r="B192" s="69" t="s">
        <v>548</v>
      </c>
      <c r="C192" s="88" t="s">
        <v>81</v>
      </c>
      <c r="D192" s="71" t="s">
        <v>95</v>
      </c>
      <c r="E192" s="88" t="s">
        <v>549</v>
      </c>
      <c r="F192" s="89"/>
      <c r="G192" s="88">
        <v>20240531</v>
      </c>
      <c r="H192" s="88">
        <v>24050890</v>
      </c>
      <c r="I192" s="95" t="s">
        <v>98</v>
      </c>
      <c r="J192" s="88" t="s">
        <v>156</v>
      </c>
      <c r="K192" s="68" t="s">
        <v>99</v>
      </c>
      <c r="L192" s="70" t="s">
        <v>100</v>
      </c>
      <c r="M192" s="88" t="s">
        <v>101</v>
      </c>
      <c r="N192" s="88" t="s">
        <v>102</v>
      </c>
      <c r="O192" s="77"/>
      <c r="P192" s="90">
        <v>45474</v>
      </c>
      <c r="Q192" s="94">
        <f t="shared" si="65"/>
        <v>46203</v>
      </c>
      <c r="R192" s="79">
        <v>24</v>
      </c>
      <c r="S192" s="79">
        <v>2</v>
      </c>
      <c r="T192" s="91">
        <v>134166666.66666667</v>
      </c>
      <c r="U192" s="81"/>
      <c r="V192" s="82">
        <f t="shared" si="70"/>
        <v>134166666.66666667</v>
      </c>
      <c r="W192" s="83">
        <f t="shared" si="66"/>
        <v>5590277.777777778</v>
      </c>
      <c r="X192" s="83">
        <v>100624999.99999999</v>
      </c>
      <c r="Y192" s="83">
        <v>33541666.666666679</v>
      </c>
      <c r="Z192" s="85">
        <f t="shared" si="49"/>
        <v>5590277.777777778</v>
      </c>
      <c r="AA192" s="84">
        <f t="shared" si="67"/>
        <v>27951388.88888891</v>
      </c>
      <c r="AB192" s="85">
        <f t="shared" si="50"/>
        <v>5590277.777777778</v>
      </c>
      <c r="AC192" s="84">
        <f t="shared" si="51"/>
        <v>22361111.111111134</v>
      </c>
      <c r="AD192" s="85">
        <f t="shared" si="68"/>
        <v>5590277.777777778</v>
      </c>
      <c r="AE192" s="84">
        <f t="shared" si="52"/>
        <v>16770833.333333356</v>
      </c>
      <c r="AF192" s="85">
        <f t="shared" si="71"/>
        <v>5590277.777777778</v>
      </c>
      <c r="AG192" s="84">
        <f t="shared" si="53"/>
        <v>11180555.555555578</v>
      </c>
      <c r="AH192" s="85"/>
      <c r="AI192" s="84">
        <f t="shared" si="54"/>
        <v>11180555.555555578</v>
      </c>
      <c r="AJ192" s="85"/>
      <c r="AK192" s="84">
        <f t="shared" si="55"/>
        <v>11180555.555555578</v>
      </c>
      <c r="AL192" s="85"/>
      <c r="AM192" s="84">
        <f t="shared" si="56"/>
        <v>11180555.555555578</v>
      </c>
      <c r="AN192" s="85"/>
      <c r="AO192" s="84">
        <f t="shared" si="57"/>
        <v>11180555.555555578</v>
      </c>
      <c r="AP192" s="85"/>
      <c r="AQ192" s="84">
        <f t="shared" si="58"/>
        <v>11180555.555555578</v>
      </c>
      <c r="AR192" s="85"/>
      <c r="AS192" s="84">
        <f t="shared" si="59"/>
        <v>11180555.555555578</v>
      </c>
      <c r="AT192" s="85"/>
      <c r="AU192" s="84">
        <f t="shared" si="60"/>
        <v>11180555.555555578</v>
      </c>
      <c r="AV192" s="85"/>
      <c r="AW192" s="84">
        <f t="shared" si="61"/>
        <v>11180555.555555578</v>
      </c>
      <c r="AX192" s="86">
        <f t="shared" si="62"/>
        <v>22361111.111111112</v>
      </c>
      <c r="AY192" s="87">
        <f t="shared" si="63"/>
        <v>11180555.555555575</v>
      </c>
      <c r="AZ192" s="65" t="b">
        <f t="shared" si="64"/>
        <v>1</v>
      </c>
    </row>
    <row r="193" spans="1:52" s="67" customFormat="1" ht="24.75" hidden="1" customHeight="1">
      <c r="A193" s="68">
        <v>188</v>
      </c>
      <c r="B193" s="69" t="s">
        <v>550</v>
      </c>
      <c r="C193" s="88" t="s">
        <v>81</v>
      </c>
      <c r="D193" s="71" t="s">
        <v>95</v>
      </c>
      <c r="E193" s="88" t="s">
        <v>551</v>
      </c>
      <c r="F193" s="89"/>
      <c r="G193" s="88">
        <v>20240531</v>
      </c>
      <c r="H193" s="88">
        <v>24050890</v>
      </c>
      <c r="I193" s="95" t="s">
        <v>98</v>
      </c>
      <c r="J193" s="88" t="s">
        <v>156</v>
      </c>
      <c r="K193" s="68" t="s">
        <v>99</v>
      </c>
      <c r="L193" s="70" t="s">
        <v>100</v>
      </c>
      <c r="M193" s="88" t="s">
        <v>101</v>
      </c>
      <c r="N193" s="88" t="s">
        <v>102</v>
      </c>
      <c r="O193" s="77"/>
      <c r="P193" s="90">
        <v>45474</v>
      </c>
      <c r="Q193" s="94">
        <f t="shared" si="65"/>
        <v>46203</v>
      </c>
      <c r="R193" s="79">
        <v>24</v>
      </c>
      <c r="S193" s="79">
        <v>2</v>
      </c>
      <c r="T193" s="91">
        <v>155000000</v>
      </c>
      <c r="U193" s="81"/>
      <c r="V193" s="82">
        <f t="shared" si="70"/>
        <v>155000000</v>
      </c>
      <c r="W193" s="83">
        <f t="shared" si="66"/>
        <v>6458333.333333333</v>
      </c>
      <c r="X193" s="83">
        <v>116250000</v>
      </c>
      <c r="Y193" s="83">
        <v>38750000</v>
      </c>
      <c r="Z193" s="85">
        <f t="shared" si="49"/>
        <v>6458333.333333333</v>
      </c>
      <c r="AA193" s="84">
        <f t="shared" si="67"/>
        <v>32291666.666666668</v>
      </c>
      <c r="AB193" s="85">
        <f t="shared" si="50"/>
        <v>6458333.333333333</v>
      </c>
      <c r="AC193" s="84">
        <f t="shared" si="51"/>
        <v>25833333.333333336</v>
      </c>
      <c r="AD193" s="85">
        <f t="shared" si="68"/>
        <v>6458333.333333333</v>
      </c>
      <c r="AE193" s="84">
        <f t="shared" si="52"/>
        <v>19375000.000000004</v>
      </c>
      <c r="AF193" s="85">
        <f t="shared" si="71"/>
        <v>6458333.333333333</v>
      </c>
      <c r="AG193" s="84">
        <f t="shared" si="53"/>
        <v>12916666.666666672</v>
      </c>
      <c r="AH193" s="85"/>
      <c r="AI193" s="84">
        <f t="shared" si="54"/>
        <v>12916666.666666672</v>
      </c>
      <c r="AJ193" s="85"/>
      <c r="AK193" s="84">
        <f t="shared" si="55"/>
        <v>12916666.666666672</v>
      </c>
      <c r="AL193" s="85"/>
      <c r="AM193" s="84">
        <f t="shared" si="56"/>
        <v>12916666.666666672</v>
      </c>
      <c r="AN193" s="85"/>
      <c r="AO193" s="84">
        <f t="shared" si="57"/>
        <v>12916666.666666672</v>
      </c>
      <c r="AP193" s="85"/>
      <c r="AQ193" s="84">
        <f t="shared" si="58"/>
        <v>12916666.666666672</v>
      </c>
      <c r="AR193" s="85"/>
      <c r="AS193" s="84">
        <f t="shared" si="59"/>
        <v>12916666.666666672</v>
      </c>
      <c r="AT193" s="85"/>
      <c r="AU193" s="84">
        <f t="shared" si="60"/>
        <v>12916666.666666672</v>
      </c>
      <c r="AV193" s="85"/>
      <c r="AW193" s="84">
        <f t="shared" si="61"/>
        <v>12916666.666666672</v>
      </c>
      <c r="AX193" s="86">
        <f t="shared" si="62"/>
        <v>25833333.333333332</v>
      </c>
      <c r="AY193" s="87">
        <f t="shared" si="63"/>
        <v>12916666.666666668</v>
      </c>
      <c r="AZ193" s="65" t="b">
        <f t="shared" si="64"/>
        <v>1</v>
      </c>
    </row>
    <row r="194" spans="1:52" s="67" customFormat="1" ht="24.75" hidden="1" customHeight="1">
      <c r="A194" s="68">
        <v>189</v>
      </c>
      <c r="B194" s="69" t="s">
        <v>552</v>
      </c>
      <c r="C194" s="88" t="s">
        <v>81</v>
      </c>
      <c r="D194" s="71" t="s">
        <v>95</v>
      </c>
      <c r="E194" s="88" t="s">
        <v>553</v>
      </c>
      <c r="F194" s="89"/>
      <c r="G194" s="88">
        <v>20240531</v>
      </c>
      <c r="H194" s="88">
        <v>24050890</v>
      </c>
      <c r="I194" s="95" t="s">
        <v>98</v>
      </c>
      <c r="J194" s="88" t="s">
        <v>156</v>
      </c>
      <c r="K194" s="68" t="s">
        <v>99</v>
      </c>
      <c r="L194" s="70" t="s">
        <v>100</v>
      </c>
      <c r="M194" s="88" t="s">
        <v>101</v>
      </c>
      <c r="N194" s="88" t="s">
        <v>102</v>
      </c>
      <c r="O194" s="77"/>
      <c r="P194" s="90">
        <v>45474</v>
      </c>
      <c r="Q194" s="94">
        <f t="shared" si="65"/>
        <v>46203</v>
      </c>
      <c r="R194" s="79">
        <v>24</v>
      </c>
      <c r="S194" s="79">
        <v>2</v>
      </c>
      <c r="T194" s="91">
        <v>54166666.666666664</v>
      </c>
      <c r="U194" s="81"/>
      <c r="V194" s="82">
        <f t="shared" si="70"/>
        <v>54166666.666666664</v>
      </c>
      <c r="W194" s="83">
        <f t="shared" si="66"/>
        <v>2256944.4444444445</v>
      </c>
      <c r="X194" s="83">
        <v>40625000</v>
      </c>
      <c r="Y194" s="83">
        <v>13541666.666666668</v>
      </c>
      <c r="Z194" s="85">
        <f t="shared" si="49"/>
        <v>2256944.4444444445</v>
      </c>
      <c r="AA194" s="84">
        <f t="shared" si="67"/>
        <v>11284722.22222222</v>
      </c>
      <c r="AB194" s="85">
        <f t="shared" si="50"/>
        <v>2256944.4444444445</v>
      </c>
      <c r="AC194" s="84">
        <f t="shared" si="51"/>
        <v>9027777.7777777761</v>
      </c>
      <c r="AD194" s="85">
        <f t="shared" si="68"/>
        <v>2256944.4444444445</v>
      </c>
      <c r="AE194" s="84">
        <f t="shared" si="52"/>
        <v>6770833.3333333321</v>
      </c>
      <c r="AF194" s="85">
        <f t="shared" si="71"/>
        <v>2256944.4444444445</v>
      </c>
      <c r="AG194" s="84">
        <f t="shared" si="53"/>
        <v>4513888.8888888881</v>
      </c>
      <c r="AH194" s="85"/>
      <c r="AI194" s="84">
        <f t="shared" si="54"/>
        <v>4513888.8888888881</v>
      </c>
      <c r="AJ194" s="85"/>
      <c r="AK194" s="84">
        <f t="shared" si="55"/>
        <v>4513888.8888888881</v>
      </c>
      <c r="AL194" s="85"/>
      <c r="AM194" s="84">
        <f t="shared" si="56"/>
        <v>4513888.8888888881</v>
      </c>
      <c r="AN194" s="85"/>
      <c r="AO194" s="84">
        <f t="shared" si="57"/>
        <v>4513888.8888888881</v>
      </c>
      <c r="AP194" s="85"/>
      <c r="AQ194" s="84">
        <f t="shared" si="58"/>
        <v>4513888.8888888881</v>
      </c>
      <c r="AR194" s="85"/>
      <c r="AS194" s="84">
        <f t="shared" si="59"/>
        <v>4513888.8888888881</v>
      </c>
      <c r="AT194" s="85"/>
      <c r="AU194" s="84">
        <f t="shared" si="60"/>
        <v>4513888.8888888881</v>
      </c>
      <c r="AV194" s="85"/>
      <c r="AW194" s="84">
        <f t="shared" si="61"/>
        <v>4513888.8888888881</v>
      </c>
      <c r="AX194" s="86">
        <f t="shared" si="62"/>
        <v>9027777.777777778</v>
      </c>
      <c r="AY194" s="87">
        <f t="shared" si="63"/>
        <v>4513888.8888888862</v>
      </c>
      <c r="AZ194" s="65" t="b">
        <f t="shared" si="64"/>
        <v>1</v>
      </c>
    </row>
    <row r="195" spans="1:52" s="67" customFormat="1" ht="24.75" hidden="1" customHeight="1">
      <c r="A195" s="68">
        <v>190</v>
      </c>
      <c r="B195" s="69" t="s">
        <v>554</v>
      </c>
      <c r="C195" s="88" t="s">
        <v>81</v>
      </c>
      <c r="D195" s="71" t="s">
        <v>95</v>
      </c>
      <c r="E195" s="88" t="s">
        <v>555</v>
      </c>
      <c r="F195" s="89"/>
      <c r="G195" s="88">
        <v>20240630</v>
      </c>
      <c r="H195" s="88">
        <v>24060859</v>
      </c>
      <c r="I195" s="95" t="s">
        <v>98</v>
      </c>
      <c r="J195" s="88" t="s">
        <v>156</v>
      </c>
      <c r="K195" s="68" t="s">
        <v>99</v>
      </c>
      <c r="L195" s="70" t="s">
        <v>100</v>
      </c>
      <c r="M195" s="88" t="s">
        <v>101</v>
      </c>
      <c r="N195" s="88" t="s">
        <v>102</v>
      </c>
      <c r="O195" s="77"/>
      <c r="P195" s="90">
        <v>45474</v>
      </c>
      <c r="Q195" s="94">
        <f t="shared" si="65"/>
        <v>46203</v>
      </c>
      <c r="R195" s="79">
        <v>24</v>
      </c>
      <c r="S195" s="79">
        <v>2</v>
      </c>
      <c r="T195" s="91">
        <v>440000000</v>
      </c>
      <c r="U195" s="81"/>
      <c r="V195" s="82">
        <f t="shared" si="70"/>
        <v>440000000</v>
      </c>
      <c r="W195" s="83">
        <f t="shared" si="66"/>
        <v>18333333.333333332</v>
      </c>
      <c r="X195" s="83">
        <v>330000000</v>
      </c>
      <c r="Y195" s="83">
        <v>109999999.99999997</v>
      </c>
      <c r="Z195" s="85">
        <f t="shared" si="49"/>
        <v>18333333.333333332</v>
      </c>
      <c r="AA195" s="84">
        <f t="shared" si="67"/>
        <v>91666666.666666672</v>
      </c>
      <c r="AB195" s="85">
        <f t="shared" si="50"/>
        <v>18333333.333333332</v>
      </c>
      <c r="AC195" s="84">
        <f t="shared" si="51"/>
        <v>73333333.333333343</v>
      </c>
      <c r="AD195" s="85">
        <f t="shared" si="68"/>
        <v>18333333.333333332</v>
      </c>
      <c r="AE195" s="84">
        <f t="shared" si="52"/>
        <v>55000000.000000015</v>
      </c>
      <c r="AF195" s="85">
        <f t="shared" si="71"/>
        <v>18333333.333333332</v>
      </c>
      <c r="AG195" s="84">
        <f t="shared" si="53"/>
        <v>36666666.666666687</v>
      </c>
      <c r="AH195" s="85"/>
      <c r="AI195" s="84">
        <f t="shared" si="54"/>
        <v>36666666.666666687</v>
      </c>
      <c r="AJ195" s="85"/>
      <c r="AK195" s="84">
        <f t="shared" si="55"/>
        <v>36666666.666666687</v>
      </c>
      <c r="AL195" s="85"/>
      <c r="AM195" s="84">
        <f t="shared" si="56"/>
        <v>36666666.666666687</v>
      </c>
      <c r="AN195" s="85"/>
      <c r="AO195" s="84">
        <f t="shared" si="57"/>
        <v>36666666.666666687</v>
      </c>
      <c r="AP195" s="85"/>
      <c r="AQ195" s="84">
        <f t="shared" si="58"/>
        <v>36666666.666666687</v>
      </c>
      <c r="AR195" s="85"/>
      <c r="AS195" s="84">
        <f t="shared" si="59"/>
        <v>36666666.666666687</v>
      </c>
      <c r="AT195" s="85"/>
      <c r="AU195" s="84">
        <f t="shared" si="60"/>
        <v>36666666.666666687</v>
      </c>
      <c r="AV195" s="85"/>
      <c r="AW195" s="84">
        <f t="shared" si="61"/>
        <v>36666666.666666687</v>
      </c>
      <c r="AX195" s="86">
        <f t="shared" si="62"/>
        <v>73333333.333333328</v>
      </c>
      <c r="AY195" s="87">
        <f t="shared" si="63"/>
        <v>36666666.666666672</v>
      </c>
      <c r="AZ195" s="65" t="b">
        <f t="shared" si="64"/>
        <v>1</v>
      </c>
    </row>
    <row r="196" spans="1:52" s="67" customFormat="1" ht="24.75" hidden="1" customHeight="1">
      <c r="A196" s="68">
        <v>191</v>
      </c>
      <c r="B196" s="69" t="s">
        <v>556</v>
      </c>
      <c r="C196" s="88" t="s">
        <v>81</v>
      </c>
      <c r="D196" s="71" t="s">
        <v>95</v>
      </c>
      <c r="E196" s="88" t="s">
        <v>557</v>
      </c>
      <c r="F196" s="89"/>
      <c r="G196" s="88">
        <v>20240630</v>
      </c>
      <c r="H196" s="88">
        <v>24060859</v>
      </c>
      <c r="I196" s="95" t="s">
        <v>98</v>
      </c>
      <c r="J196" s="88" t="s">
        <v>156</v>
      </c>
      <c r="K196" s="68" t="s">
        <v>99</v>
      </c>
      <c r="L196" s="70" t="s">
        <v>100</v>
      </c>
      <c r="M196" s="88" t="s">
        <v>101</v>
      </c>
      <c r="N196" s="88" t="s">
        <v>102</v>
      </c>
      <c r="O196" s="77"/>
      <c r="P196" s="90">
        <v>45474</v>
      </c>
      <c r="Q196" s="94">
        <f t="shared" si="65"/>
        <v>46203</v>
      </c>
      <c r="R196" s="79">
        <v>24</v>
      </c>
      <c r="S196" s="79">
        <v>2</v>
      </c>
      <c r="T196" s="91">
        <v>320800000</v>
      </c>
      <c r="U196" s="81"/>
      <c r="V196" s="82">
        <f t="shared" si="70"/>
        <v>320800000</v>
      </c>
      <c r="W196" s="83">
        <f t="shared" si="66"/>
        <v>13366666.666666666</v>
      </c>
      <c r="X196" s="83">
        <v>240600000</v>
      </c>
      <c r="Y196" s="83">
        <v>80200000</v>
      </c>
      <c r="Z196" s="85">
        <f t="shared" si="49"/>
        <v>13366666.666666666</v>
      </c>
      <c r="AA196" s="84">
        <f t="shared" si="67"/>
        <v>66833333.333333336</v>
      </c>
      <c r="AB196" s="85">
        <f t="shared" si="50"/>
        <v>13366666.666666666</v>
      </c>
      <c r="AC196" s="84">
        <f t="shared" si="51"/>
        <v>53466666.666666672</v>
      </c>
      <c r="AD196" s="85">
        <f t="shared" si="68"/>
        <v>13366666.666666666</v>
      </c>
      <c r="AE196" s="84">
        <f t="shared" si="52"/>
        <v>40100000.000000007</v>
      </c>
      <c r="AF196" s="85">
        <f t="shared" si="71"/>
        <v>13366666.666666666</v>
      </c>
      <c r="AG196" s="84">
        <f t="shared" si="53"/>
        <v>26733333.333333343</v>
      </c>
      <c r="AH196" s="85"/>
      <c r="AI196" s="84">
        <f t="shared" si="54"/>
        <v>26733333.333333343</v>
      </c>
      <c r="AJ196" s="85"/>
      <c r="AK196" s="84">
        <f t="shared" si="55"/>
        <v>26733333.333333343</v>
      </c>
      <c r="AL196" s="85"/>
      <c r="AM196" s="84">
        <f t="shared" si="56"/>
        <v>26733333.333333343</v>
      </c>
      <c r="AN196" s="85"/>
      <c r="AO196" s="84">
        <f t="shared" si="57"/>
        <v>26733333.333333343</v>
      </c>
      <c r="AP196" s="85"/>
      <c r="AQ196" s="84">
        <f t="shared" si="58"/>
        <v>26733333.333333343</v>
      </c>
      <c r="AR196" s="85"/>
      <c r="AS196" s="84">
        <f t="shared" si="59"/>
        <v>26733333.333333343</v>
      </c>
      <c r="AT196" s="85"/>
      <c r="AU196" s="84">
        <f t="shared" si="60"/>
        <v>26733333.333333343</v>
      </c>
      <c r="AV196" s="85"/>
      <c r="AW196" s="84">
        <f t="shared" si="61"/>
        <v>26733333.333333343</v>
      </c>
      <c r="AX196" s="86">
        <f t="shared" si="62"/>
        <v>53466666.666666664</v>
      </c>
      <c r="AY196" s="87">
        <f t="shared" si="63"/>
        <v>26733333.333333336</v>
      </c>
      <c r="AZ196" s="65" t="b">
        <f t="shared" si="64"/>
        <v>1</v>
      </c>
    </row>
    <row r="197" spans="1:52" s="67" customFormat="1" ht="24.75" hidden="1" customHeight="1">
      <c r="A197" s="68">
        <v>192</v>
      </c>
      <c r="B197" s="69" t="s">
        <v>558</v>
      </c>
      <c r="C197" s="88" t="s">
        <v>81</v>
      </c>
      <c r="D197" s="71" t="s">
        <v>95</v>
      </c>
      <c r="E197" s="88" t="s">
        <v>559</v>
      </c>
      <c r="F197" s="89"/>
      <c r="G197" s="88">
        <v>20240630</v>
      </c>
      <c r="H197" s="88">
        <v>24060859</v>
      </c>
      <c r="I197" s="95" t="s">
        <v>98</v>
      </c>
      <c r="J197" s="88" t="s">
        <v>156</v>
      </c>
      <c r="K197" s="68" t="s">
        <v>99</v>
      </c>
      <c r="L197" s="70" t="s">
        <v>100</v>
      </c>
      <c r="M197" s="88" t="s">
        <v>101</v>
      </c>
      <c r="N197" s="88" t="s">
        <v>102</v>
      </c>
      <c r="O197" s="77"/>
      <c r="P197" s="90">
        <v>45474</v>
      </c>
      <c r="Q197" s="94">
        <f t="shared" si="65"/>
        <v>46203</v>
      </c>
      <c r="R197" s="79">
        <v>24</v>
      </c>
      <c r="S197" s="79">
        <v>2</v>
      </c>
      <c r="T197" s="91">
        <v>500000000</v>
      </c>
      <c r="U197" s="81"/>
      <c r="V197" s="82">
        <f t="shared" si="70"/>
        <v>500000000</v>
      </c>
      <c r="W197" s="83">
        <f t="shared" si="66"/>
        <v>20833333.333333332</v>
      </c>
      <c r="X197" s="83">
        <v>375000000</v>
      </c>
      <c r="Y197" s="83">
        <v>124999999.99999997</v>
      </c>
      <c r="Z197" s="85">
        <f t="shared" si="49"/>
        <v>20833333.333333332</v>
      </c>
      <c r="AA197" s="84">
        <f t="shared" si="67"/>
        <v>104166666.66666667</v>
      </c>
      <c r="AB197" s="85">
        <f t="shared" si="50"/>
        <v>20833333.333333332</v>
      </c>
      <c r="AC197" s="84">
        <f t="shared" si="51"/>
        <v>83333333.333333343</v>
      </c>
      <c r="AD197" s="85">
        <f t="shared" si="68"/>
        <v>20833333.333333332</v>
      </c>
      <c r="AE197" s="84">
        <f t="shared" si="52"/>
        <v>62500000.000000015</v>
      </c>
      <c r="AF197" s="85">
        <f t="shared" si="71"/>
        <v>20833333.333333332</v>
      </c>
      <c r="AG197" s="84">
        <f t="shared" si="53"/>
        <v>41666666.666666687</v>
      </c>
      <c r="AH197" s="85"/>
      <c r="AI197" s="84">
        <f t="shared" si="54"/>
        <v>41666666.666666687</v>
      </c>
      <c r="AJ197" s="85"/>
      <c r="AK197" s="84">
        <f t="shared" si="55"/>
        <v>41666666.666666687</v>
      </c>
      <c r="AL197" s="85"/>
      <c r="AM197" s="84">
        <f t="shared" si="56"/>
        <v>41666666.666666687</v>
      </c>
      <c r="AN197" s="85"/>
      <c r="AO197" s="84">
        <f t="shared" si="57"/>
        <v>41666666.666666687</v>
      </c>
      <c r="AP197" s="85"/>
      <c r="AQ197" s="84">
        <f t="shared" si="58"/>
        <v>41666666.666666687</v>
      </c>
      <c r="AR197" s="85"/>
      <c r="AS197" s="84">
        <f t="shared" si="59"/>
        <v>41666666.666666687</v>
      </c>
      <c r="AT197" s="85"/>
      <c r="AU197" s="84">
        <f t="shared" si="60"/>
        <v>41666666.666666687</v>
      </c>
      <c r="AV197" s="85"/>
      <c r="AW197" s="84">
        <f t="shared" si="61"/>
        <v>41666666.666666687</v>
      </c>
      <c r="AX197" s="86">
        <f t="shared" si="62"/>
        <v>83333333.333333328</v>
      </c>
      <c r="AY197" s="87">
        <f t="shared" si="63"/>
        <v>41666666.666666672</v>
      </c>
      <c r="AZ197" s="65" t="b">
        <f t="shared" si="64"/>
        <v>1</v>
      </c>
    </row>
    <row r="198" spans="1:52" s="67" customFormat="1" ht="24.75" hidden="1" customHeight="1">
      <c r="A198" s="68">
        <v>193</v>
      </c>
      <c r="B198" s="69" t="s">
        <v>560</v>
      </c>
      <c r="C198" s="88" t="s">
        <v>81</v>
      </c>
      <c r="D198" s="71" t="s">
        <v>95</v>
      </c>
      <c r="E198" s="88" t="s">
        <v>561</v>
      </c>
      <c r="F198" s="89"/>
      <c r="G198" s="88">
        <v>20240630</v>
      </c>
      <c r="H198" s="88">
        <v>24060859</v>
      </c>
      <c r="I198" s="95" t="s">
        <v>98</v>
      </c>
      <c r="J198" s="88" t="s">
        <v>156</v>
      </c>
      <c r="K198" s="68" t="s">
        <v>99</v>
      </c>
      <c r="L198" s="70" t="s">
        <v>100</v>
      </c>
      <c r="M198" s="88" t="s">
        <v>101</v>
      </c>
      <c r="N198" s="88" t="s">
        <v>102</v>
      </c>
      <c r="O198" s="77"/>
      <c r="P198" s="90">
        <v>45474</v>
      </c>
      <c r="Q198" s="94">
        <f t="shared" si="65"/>
        <v>46203</v>
      </c>
      <c r="R198" s="79">
        <v>24</v>
      </c>
      <c r="S198" s="79">
        <v>2</v>
      </c>
      <c r="T198" s="91">
        <v>317000000</v>
      </c>
      <c r="U198" s="81"/>
      <c r="V198" s="82">
        <f t="shared" si="70"/>
        <v>317000000</v>
      </c>
      <c r="W198" s="83">
        <f t="shared" si="66"/>
        <v>13208333.333333334</v>
      </c>
      <c r="X198" s="83">
        <v>237750000</v>
      </c>
      <c r="Y198" s="83">
        <v>79250000</v>
      </c>
      <c r="Z198" s="85">
        <f t="shared" ref="Z198:Z261" si="72">+IF(Y198&lt;&gt;0,$W198,0)</f>
        <v>13208333.333333334</v>
      </c>
      <c r="AA198" s="84">
        <f t="shared" si="67"/>
        <v>66041666.666666664</v>
      </c>
      <c r="AB198" s="85">
        <f t="shared" ref="AB198:AB261" si="73">+IF(AA198&lt;&gt;0,$W198,0)</f>
        <v>13208333.333333334</v>
      </c>
      <c r="AC198" s="84">
        <f t="shared" ref="AC198:AC261" si="74">AA198-AB198</f>
        <v>52833333.333333328</v>
      </c>
      <c r="AD198" s="85">
        <f t="shared" si="68"/>
        <v>13208333.333333334</v>
      </c>
      <c r="AE198" s="84">
        <f t="shared" ref="AE198:AE261" si="75">AC198-AD198</f>
        <v>39624999.999999993</v>
      </c>
      <c r="AF198" s="85">
        <f t="shared" si="71"/>
        <v>13208333.333333334</v>
      </c>
      <c r="AG198" s="84">
        <f t="shared" ref="AG198:AG261" si="76">AE198-AF198</f>
        <v>26416666.666666657</v>
      </c>
      <c r="AH198" s="85"/>
      <c r="AI198" s="84">
        <f t="shared" ref="AI198:AI261" si="77">AG198-AH198</f>
        <v>26416666.666666657</v>
      </c>
      <c r="AJ198" s="85"/>
      <c r="AK198" s="84">
        <f t="shared" ref="AK198:AK261" si="78">AI198-AJ198</f>
        <v>26416666.666666657</v>
      </c>
      <c r="AL198" s="85"/>
      <c r="AM198" s="84">
        <f t="shared" ref="AM198:AM261" si="79">AK198-AL198</f>
        <v>26416666.666666657</v>
      </c>
      <c r="AN198" s="85"/>
      <c r="AO198" s="84">
        <f t="shared" ref="AO198:AO261" si="80">AM198-AN198</f>
        <v>26416666.666666657</v>
      </c>
      <c r="AP198" s="85"/>
      <c r="AQ198" s="84">
        <f t="shared" ref="AQ198:AQ261" si="81">AO198-AP198</f>
        <v>26416666.666666657</v>
      </c>
      <c r="AR198" s="85"/>
      <c r="AS198" s="84">
        <f t="shared" ref="AS198:AS261" si="82">AQ198-AR198</f>
        <v>26416666.666666657</v>
      </c>
      <c r="AT198" s="85"/>
      <c r="AU198" s="84">
        <f t="shared" ref="AU198:AU261" si="83">AS198-AT198</f>
        <v>26416666.666666657</v>
      </c>
      <c r="AV198" s="85"/>
      <c r="AW198" s="84">
        <f t="shared" ref="AW198:AW261" si="84">AU198-AV198</f>
        <v>26416666.666666657</v>
      </c>
      <c r="AX198" s="86">
        <f t="shared" ref="AX198:AX261" si="85">SUMIF($Z$4:$AW$4,"Amortization",Z198:AW198)</f>
        <v>52833333.333333336</v>
      </c>
      <c r="AY198" s="87">
        <f t="shared" ref="AY198:AY261" si="86">V198-X198-AX198</f>
        <v>26416666.666666664</v>
      </c>
      <c r="AZ198" s="65" t="b">
        <f t="shared" ref="AZ198:AZ261" si="87">ROUND(AW198,0)=ROUND(AY198,0)</f>
        <v>1</v>
      </c>
    </row>
    <row r="199" spans="1:52" s="67" customFormat="1" ht="24.75" hidden="1" customHeight="1">
      <c r="A199" s="68">
        <v>194</v>
      </c>
      <c r="B199" s="69" t="s">
        <v>562</v>
      </c>
      <c r="C199" s="88" t="s">
        <v>81</v>
      </c>
      <c r="D199" s="71" t="s">
        <v>95</v>
      </c>
      <c r="E199" s="88" t="s">
        <v>563</v>
      </c>
      <c r="F199" s="89"/>
      <c r="G199" s="88">
        <v>20240630</v>
      </c>
      <c r="H199" s="88">
        <v>24060859</v>
      </c>
      <c r="I199" s="95" t="s">
        <v>98</v>
      </c>
      <c r="J199" s="88" t="s">
        <v>156</v>
      </c>
      <c r="K199" s="68" t="s">
        <v>99</v>
      </c>
      <c r="L199" s="70" t="s">
        <v>100</v>
      </c>
      <c r="M199" s="88" t="s">
        <v>101</v>
      </c>
      <c r="N199" s="88" t="s">
        <v>102</v>
      </c>
      <c r="O199" s="77"/>
      <c r="P199" s="90">
        <v>45474</v>
      </c>
      <c r="Q199" s="94">
        <f t="shared" si="65"/>
        <v>46203</v>
      </c>
      <c r="R199" s="79">
        <v>24</v>
      </c>
      <c r="S199" s="79">
        <v>2</v>
      </c>
      <c r="T199" s="91">
        <v>254000000</v>
      </c>
      <c r="U199" s="81"/>
      <c r="V199" s="82">
        <f t="shared" si="70"/>
        <v>254000000</v>
      </c>
      <c r="W199" s="83">
        <f t="shared" si="66"/>
        <v>10583333.333333334</v>
      </c>
      <c r="X199" s="83">
        <v>190500000</v>
      </c>
      <c r="Y199" s="83">
        <v>63500000.000000015</v>
      </c>
      <c r="Z199" s="85">
        <f t="shared" si="72"/>
        <v>10583333.333333334</v>
      </c>
      <c r="AA199" s="84">
        <f t="shared" si="67"/>
        <v>52916666.666666664</v>
      </c>
      <c r="AB199" s="85">
        <f t="shared" si="73"/>
        <v>10583333.333333334</v>
      </c>
      <c r="AC199" s="84">
        <f t="shared" si="74"/>
        <v>42333333.333333328</v>
      </c>
      <c r="AD199" s="85">
        <f t="shared" si="68"/>
        <v>10583333.333333334</v>
      </c>
      <c r="AE199" s="84">
        <f t="shared" si="75"/>
        <v>31749999.999999993</v>
      </c>
      <c r="AF199" s="85">
        <f t="shared" si="71"/>
        <v>10583333.333333334</v>
      </c>
      <c r="AG199" s="84">
        <f t="shared" si="76"/>
        <v>21166666.666666657</v>
      </c>
      <c r="AH199" s="85"/>
      <c r="AI199" s="84">
        <f t="shared" si="77"/>
        <v>21166666.666666657</v>
      </c>
      <c r="AJ199" s="85"/>
      <c r="AK199" s="84">
        <f t="shared" si="78"/>
        <v>21166666.666666657</v>
      </c>
      <c r="AL199" s="85"/>
      <c r="AM199" s="84">
        <f t="shared" si="79"/>
        <v>21166666.666666657</v>
      </c>
      <c r="AN199" s="85"/>
      <c r="AO199" s="84">
        <f t="shared" si="80"/>
        <v>21166666.666666657</v>
      </c>
      <c r="AP199" s="85"/>
      <c r="AQ199" s="84">
        <f t="shared" si="81"/>
        <v>21166666.666666657</v>
      </c>
      <c r="AR199" s="85"/>
      <c r="AS199" s="84">
        <f t="shared" si="82"/>
        <v>21166666.666666657</v>
      </c>
      <c r="AT199" s="85"/>
      <c r="AU199" s="84">
        <f t="shared" si="83"/>
        <v>21166666.666666657</v>
      </c>
      <c r="AV199" s="85"/>
      <c r="AW199" s="84">
        <f t="shared" si="84"/>
        <v>21166666.666666657</v>
      </c>
      <c r="AX199" s="86">
        <f t="shared" si="85"/>
        <v>42333333.333333336</v>
      </c>
      <c r="AY199" s="87">
        <f t="shared" si="86"/>
        <v>21166666.666666664</v>
      </c>
      <c r="AZ199" s="65" t="b">
        <f t="shared" si="87"/>
        <v>1</v>
      </c>
    </row>
    <row r="200" spans="1:52" s="67" customFormat="1" ht="24.75" hidden="1" customHeight="1">
      <c r="A200" s="68">
        <v>195</v>
      </c>
      <c r="B200" s="69" t="s">
        <v>564</v>
      </c>
      <c r="C200" s="88" t="s">
        <v>81</v>
      </c>
      <c r="D200" s="71" t="s">
        <v>95</v>
      </c>
      <c r="E200" s="88" t="s">
        <v>565</v>
      </c>
      <c r="F200" s="89"/>
      <c r="G200" s="88">
        <v>20240630</v>
      </c>
      <c r="H200" s="88">
        <v>24060859</v>
      </c>
      <c r="I200" s="95" t="s">
        <v>98</v>
      </c>
      <c r="J200" s="88" t="s">
        <v>156</v>
      </c>
      <c r="K200" s="68" t="s">
        <v>99</v>
      </c>
      <c r="L200" s="70" t="s">
        <v>100</v>
      </c>
      <c r="M200" s="88" t="s">
        <v>101</v>
      </c>
      <c r="N200" s="88" t="s">
        <v>102</v>
      </c>
      <c r="O200" s="77"/>
      <c r="P200" s="90">
        <v>45474</v>
      </c>
      <c r="Q200" s="94">
        <f t="shared" si="65"/>
        <v>46203</v>
      </c>
      <c r="R200" s="79">
        <v>24</v>
      </c>
      <c r="S200" s="79">
        <v>2</v>
      </c>
      <c r="T200" s="91">
        <v>467000000</v>
      </c>
      <c r="U200" s="81"/>
      <c r="V200" s="82">
        <f t="shared" si="70"/>
        <v>467000000</v>
      </c>
      <c r="W200" s="83">
        <f t="shared" si="66"/>
        <v>19458333.333333332</v>
      </c>
      <c r="X200" s="83">
        <v>350250000</v>
      </c>
      <c r="Y200" s="83">
        <v>116749999.99999997</v>
      </c>
      <c r="Z200" s="85">
        <f t="shared" si="72"/>
        <v>19458333.333333332</v>
      </c>
      <c r="AA200" s="84">
        <f t="shared" si="67"/>
        <v>97291666.666666672</v>
      </c>
      <c r="AB200" s="85">
        <f t="shared" si="73"/>
        <v>19458333.333333332</v>
      </c>
      <c r="AC200" s="84">
        <f t="shared" si="74"/>
        <v>77833333.333333343</v>
      </c>
      <c r="AD200" s="85">
        <f t="shared" si="68"/>
        <v>19458333.333333332</v>
      </c>
      <c r="AE200" s="84">
        <f t="shared" si="75"/>
        <v>58375000.000000015</v>
      </c>
      <c r="AF200" s="85">
        <f t="shared" si="71"/>
        <v>19458333.333333332</v>
      </c>
      <c r="AG200" s="84">
        <f t="shared" si="76"/>
        <v>38916666.666666687</v>
      </c>
      <c r="AH200" s="85"/>
      <c r="AI200" s="84">
        <f t="shared" si="77"/>
        <v>38916666.666666687</v>
      </c>
      <c r="AJ200" s="85"/>
      <c r="AK200" s="84">
        <f t="shared" si="78"/>
        <v>38916666.666666687</v>
      </c>
      <c r="AL200" s="85"/>
      <c r="AM200" s="84">
        <f t="shared" si="79"/>
        <v>38916666.666666687</v>
      </c>
      <c r="AN200" s="85"/>
      <c r="AO200" s="84">
        <f t="shared" si="80"/>
        <v>38916666.666666687</v>
      </c>
      <c r="AP200" s="85"/>
      <c r="AQ200" s="84">
        <f t="shared" si="81"/>
        <v>38916666.666666687</v>
      </c>
      <c r="AR200" s="85"/>
      <c r="AS200" s="84">
        <f t="shared" si="82"/>
        <v>38916666.666666687</v>
      </c>
      <c r="AT200" s="85"/>
      <c r="AU200" s="84">
        <f t="shared" si="83"/>
        <v>38916666.666666687</v>
      </c>
      <c r="AV200" s="85"/>
      <c r="AW200" s="84">
        <f t="shared" si="84"/>
        <v>38916666.666666687</v>
      </c>
      <c r="AX200" s="86">
        <f t="shared" si="85"/>
        <v>77833333.333333328</v>
      </c>
      <c r="AY200" s="87">
        <f t="shared" si="86"/>
        <v>38916666.666666672</v>
      </c>
      <c r="AZ200" s="65" t="b">
        <f t="shared" si="87"/>
        <v>1</v>
      </c>
    </row>
    <row r="201" spans="1:52" s="67" customFormat="1" ht="24.75" hidden="1" customHeight="1">
      <c r="A201" s="68">
        <v>196</v>
      </c>
      <c r="B201" s="69" t="s">
        <v>566</v>
      </c>
      <c r="C201" s="88" t="s">
        <v>81</v>
      </c>
      <c r="D201" s="71" t="s">
        <v>95</v>
      </c>
      <c r="E201" s="88" t="s">
        <v>567</v>
      </c>
      <c r="F201" s="89"/>
      <c r="G201" s="88">
        <v>20240630</v>
      </c>
      <c r="H201" s="88">
        <v>24060859</v>
      </c>
      <c r="I201" s="95" t="s">
        <v>98</v>
      </c>
      <c r="J201" s="88" t="s">
        <v>156</v>
      </c>
      <c r="K201" s="68" t="s">
        <v>99</v>
      </c>
      <c r="L201" s="70" t="s">
        <v>100</v>
      </c>
      <c r="M201" s="88" t="s">
        <v>101</v>
      </c>
      <c r="N201" s="88" t="s">
        <v>102</v>
      </c>
      <c r="O201" s="77"/>
      <c r="P201" s="90">
        <v>45474</v>
      </c>
      <c r="Q201" s="94">
        <f t="shared" si="65"/>
        <v>46203</v>
      </c>
      <c r="R201" s="79">
        <v>24</v>
      </c>
      <c r="S201" s="79">
        <v>2</v>
      </c>
      <c r="T201" s="91">
        <v>297000000</v>
      </c>
      <c r="U201" s="81"/>
      <c r="V201" s="82">
        <f t="shared" si="70"/>
        <v>297000000</v>
      </c>
      <c r="W201" s="83">
        <f t="shared" si="66"/>
        <v>12375000</v>
      </c>
      <c r="X201" s="83">
        <v>222750000</v>
      </c>
      <c r="Y201" s="83">
        <v>74250000</v>
      </c>
      <c r="Z201" s="85">
        <f t="shared" si="72"/>
        <v>12375000</v>
      </c>
      <c r="AA201" s="84">
        <f t="shared" si="67"/>
        <v>61875000</v>
      </c>
      <c r="AB201" s="85">
        <f t="shared" si="73"/>
        <v>12375000</v>
      </c>
      <c r="AC201" s="84">
        <f t="shared" si="74"/>
        <v>49500000</v>
      </c>
      <c r="AD201" s="85">
        <f t="shared" si="68"/>
        <v>12375000</v>
      </c>
      <c r="AE201" s="84">
        <f t="shared" si="75"/>
        <v>37125000</v>
      </c>
      <c r="AF201" s="85">
        <f t="shared" si="71"/>
        <v>12375000</v>
      </c>
      <c r="AG201" s="84">
        <f t="shared" si="76"/>
        <v>24750000</v>
      </c>
      <c r="AH201" s="85"/>
      <c r="AI201" s="84">
        <f t="shared" si="77"/>
        <v>24750000</v>
      </c>
      <c r="AJ201" s="85"/>
      <c r="AK201" s="84">
        <f t="shared" si="78"/>
        <v>24750000</v>
      </c>
      <c r="AL201" s="85"/>
      <c r="AM201" s="84">
        <f t="shared" si="79"/>
        <v>24750000</v>
      </c>
      <c r="AN201" s="85"/>
      <c r="AO201" s="84">
        <f t="shared" si="80"/>
        <v>24750000</v>
      </c>
      <c r="AP201" s="85"/>
      <c r="AQ201" s="84">
        <f t="shared" si="81"/>
        <v>24750000</v>
      </c>
      <c r="AR201" s="85"/>
      <c r="AS201" s="84">
        <f t="shared" si="82"/>
        <v>24750000</v>
      </c>
      <c r="AT201" s="85"/>
      <c r="AU201" s="84">
        <f t="shared" si="83"/>
        <v>24750000</v>
      </c>
      <c r="AV201" s="85"/>
      <c r="AW201" s="84">
        <f t="shared" si="84"/>
        <v>24750000</v>
      </c>
      <c r="AX201" s="86">
        <f t="shared" si="85"/>
        <v>49500000</v>
      </c>
      <c r="AY201" s="87">
        <f t="shared" si="86"/>
        <v>24750000</v>
      </c>
      <c r="AZ201" s="65" t="b">
        <f>ROUND(AW201,0)=ROUND(AY201,0)</f>
        <v>1</v>
      </c>
    </row>
    <row r="202" spans="1:52" s="67" customFormat="1" ht="24.75" hidden="1" customHeight="1">
      <c r="A202" s="68">
        <v>197</v>
      </c>
      <c r="B202" s="69" t="s">
        <v>568</v>
      </c>
      <c r="C202" s="88" t="s">
        <v>81</v>
      </c>
      <c r="D202" s="71" t="s">
        <v>95</v>
      </c>
      <c r="E202" s="88" t="s">
        <v>569</v>
      </c>
      <c r="F202" s="89"/>
      <c r="G202" s="88">
        <v>20240630</v>
      </c>
      <c r="H202" s="88">
        <v>24060859</v>
      </c>
      <c r="I202" s="95" t="s">
        <v>98</v>
      </c>
      <c r="J202" s="88" t="s">
        <v>156</v>
      </c>
      <c r="K202" s="68" t="s">
        <v>99</v>
      </c>
      <c r="L202" s="70" t="s">
        <v>100</v>
      </c>
      <c r="M202" s="88" t="s">
        <v>101</v>
      </c>
      <c r="N202" s="88" t="s">
        <v>102</v>
      </c>
      <c r="O202" s="77"/>
      <c r="P202" s="90">
        <v>45474</v>
      </c>
      <c r="Q202" s="94">
        <f t="shared" si="65"/>
        <v>46203</v>
      </c>
      <c r="R202" s="79">
        <v>24</v>
      </c>
      <c r="S202" s="79">
        <v>2</v>
      </c>
      <c r="T202" s="91">
        <v>222000000</v>
      </c>
      <c r="U202" s="81"/>
      <c r="V202" s="82">
        <f t="shared" si="70"/>
        <v>222000000</v>
      </c>
      <c r="W202" s="83">
        <f t="shared" si="66"/>
        <v>9250000</v>
      </c>
      <c r="X202" s="83">
        <v>166500000</v>
      </c>
      <c r="Y202" s="83">
        <v>55500000</v>
      </c>
      <c r="Z202" s="85">
        <f t="shared" si="72"/>
        <v>9250000</v>
      </c>
      <c r="AA202" s="84">
        <f t="shared" si="67"/>
        <v>46250000</v>
      </c>
      <c r="AB202" s="85">
        <f t="shared" si="73"/>
        <v>9250000</v>
      </c>
      <c r="AC202" s="84">
        <f t="shared" si="74"/>
        <v>37000000</v>
      </c>
      <c r="AD202" s="85">
        <f t="shared" si="68"/>
        <v>9250000</v>
      </c>
      <c r="AE202" s="84">
        <f t="shared" si="75"/>
        <v>27750000</v>
      </c>
      <c r="AF202" s="85">
        <f t="shared" si="71"/>
        <v>9250000</v>
      </c>
      <c r="AG202" s="84">
        <f t="shared" si="76"/>
        <v>18500000</v>
      </c>
      <c r="AH202" s="85"/>
      <c r="AI202" s="84">
        <f t="shared" si="77"/>
        <v>18500000</v>
      </c>
      <c r="AJ202" s="85"/>
      <c r="AK202" s="84">
        <f t="shared" si="78"/>
        <v>18500000</v>
      </c>
      <c r="AL202" s="85"/>
      <c r="AM202" s="84">
        <f t="shared" si="79"/>
        <v>18500000</v>
      </c>
      <c r="AN202" s="85"/>
      <c r="AO202" s="84">
        <f t="shared" si="80"/>
        <v>18500000</v>
      </c>
      <c r="AP202" s="85"/>
      <c r="AQ202" s="84">
        <f t="shared" si="81"/>
        <v>18500000</v>
      </c>
      <c r="AR202" s="85"/>
      <c r="AS202" s="84">
        <f t="shared" si="82"/>
        <v>18500000</v>
      </c>
      <c r="AT202" s="85"/>
      <c r="AU202" s="84">
        <f t="shared" si="83"/>
        <v>18500000</v>
      </c>
      <c r="AV202" s="85"/>
      <c r="AW202" s="84">
        <f t="shared" si="84"/>
        <v>18500000</v>
      </c>
      <c r="AX202" s="86">
        <f t="shared" si="85"/>
        <v>37000000</v>
      </c>
      <c r="AY202" s="87">
        <f t="shared" si="86"/>
        <v>18500000</v>
      </c>
      <c r="AZ202" s="65" t="b">
        <f t="shared" si="87"/>
        <v>1</v>
      </c>
    </row>
    <row r="203" spans="1:52" s="67" customFormat="1" ht="24.75" hidden="1" customHeight="1">
      <c r="A203" s="68">
        <v>198</v>
      </c>
      <c r="B203" s="69" t="s">
        <v>570</v>
      </c>
      <c r="C203" s="88" t="s">
        <v>516</v>
      </c>
      <c r="D203" s="71" t="s">
        <v>517</v>
      </c>
      <c r="E203" s="88" t="s">
        <v>571</v>
      </c>
      <c r="F203" s="89"/>
      <c r="G203" s="88">
        <v>20240715</v>
      </c>
      <c r="H203" s="88" t="s">
        <v>572</v>
      </c>
      <c r="I203" s="74" t="s">
        <v>520</v>
      </c>
      <c r="J203" s="88" t="s">
        <v>521</v>
      </c>
      <c r="K203" s="68" t="s">
        <v>522</v>
      </c>
      <c r="L203" s="70" t="s">
        <v>523</v>
      </c>
      <c r="M203" s="88" t="s">
        <v>55</v>
      </c>
      <c r="N203" s="88" t="s">
        <v>56</v>
      </c>
      <c r="O203" s="77"/>
      <c r="P203" s="90">
        <v>45505</v>
      </c>
      <c r="Q203" s="94">
        <f t="shared" si="65"/>
        <v>47330</v>
      </c>
      <c r="R203" s="79">
        <v>60</v>
      </c>
      <c r="S203" s="79">
        <v>5</v>
      </c>
      <c r="T203" s="91">
        <v>118394895</v>
      </c>
      <c r="U203" s="81"/>
      <c r="V203" s="82">
        <f t="shared" si="70"/>
        <v>118394895</v>
      </c>
      <c r="W203" s="83">
        <f t="shared" si="66"/>
        <v>1973248.25</v>
      </c>
      <c r="X203" s="83">
        <v>33545220.25</v>
      </c>
      <c r="Y203" s="83">
        <v>84849674.75</v>
      </c>
      <c r="Z203" s="85">
        <f t="shared" si="72"/>
        <v>1973248.25</v>
      </c>
      <c r="AA203" s="84">
        <f t="shared" si="67"/>
        <v>82876426.5</v>
      </c>
      <c r="AB203" s="85">
        <f t="shared" si="73"/>
        <v>1973248.25</v>
      </c>
      <c r="AC203" s="84">
        <f t="shared" si="74"/>
        <v>80903178.25</v>
      </c>
      <c r="AD203" s="85">
        <f t="shared" si="68"/>
        <v>1973248.25</v>
      </c>
      <c r="AE203" s="84">
        <f t="shared" si="75"/>
        <v>78929930</v>
      </c>
      <c r="AF203" s="85">
        <f t="shared" si="71"/>
        <v>1973248.25</v>
      </c>
      <c r="AG203" s="84">
        <f t="shared" si="76"/>
        <v>76956681.75</v>
      </c>
      <c r="AH203" s="85"/>
      <c r="AI203" s="84">
        <f t="shared" si="77"/>
        <v>76956681.75</v>
      </c>
      <c r="AJ203" s="85"/>
      <c r="AK203" s="84">
        <f t="shared" si="78"/>
        <v>76956681.75</v>
      </c>
      <c r="AL203" s="85"/>
      <c r="AM203" s="84">
        <f t="shared" si="79"/>
        <v>76956681.75</v>
      </c>
      <c r="AN203" s="85"/>
      <c r="AO203" s="84">
        <f t="shared" si="80"/>
        <v>76956681.75</v>
      </c>
      <c r="AP203" s="85"/>
      <c r="AQ203" s="84">
        <f t="shared" si="81"/>
        <v>76956681.75</v>
      </c>
      <c r="AR203" s="85"/>
      <c r="AS203" s="84">
        <f t="shared" si="82"/>
        <v>76956681.75</v>
      </c>
      <c r="AT203" s="85"/>
      <c r="AU203" s="84">
        <f t="shared" si="83"/>
        <v>76956681.75</v>
      </c>
      <c r="AV203" s="85"/>
      <c r="AW203" s="84">
        <f t="shared" si="84"/>
        <v>76956681.75</v>
      </c>
      <c r="AX203" s="86">
        <f t="shared" si="85"/>
        <v>7892993</v>
      </c>
      <c r="AY203" s="87">
        <f t="shared" si="86"/>
        <v>76956681.75</v>
      </c>
      <c r="AZ203" s="65" t="b">
        <f t="shared" si="87"/>
        <v>1</v>
      </c>
    </row>
    <row r="204" spans="1:52" s="67" customFormat="1" ht="24.75" hidden="1" customHeight="1">
      <c r="A204" s="68">
        <v>199</v>
      </c>
      <c r="B204" s="69" t="s">
        <v>573</v>
      </c>
      <c r="C204" s="88" t="s">
        <v>395</v>
      </c>
      <c r="D204" s="71" t="s">
        <v>396</v>
      </c>
      <c r="E204" s="88" t="s">
        <v>574</v>
      </c>
      <c r="F204" s="89"/>
      <c r="G204" s="88">
        <v>20240731</v>
      </c>
      <c r="H204" s="88" t="s">
        <v>575</v>
      </c>
      <c r="I204" s="74" t="s">
        <v>399</v>
      </c>
      <c r="J204" s="88" t="s">
        <v>400</v>
      </c>
      <c r="K204" s="68" t="s">
        <v>68</v>
      </c>
      <c r="L204" s="70" t="s">
        <v>69</v>
      </c>
      <c r="M204" s="88" t="s">
        <v>125</v>
      </c>
      <c r="N204" s="88" t="s">
        <v>126</v>
      </c>
      <c r="O204" s="77"/>
      <c r="P204" s="90">
        <v>45505</v>
      </c>
      <c r="Q204" s="94">
        <f t="shared" ref="Q204:Q267" si="88">+EDATE(P204,R204)-DAY(P204)</f>
        <v>46234</v>
      </c>
      <c r="R204" s="79">
        <v>24</v>
      </c>
      <c r="S204" s="79">
        <v>2</v>
      </c>
      <c r="T204" s="91">
        <v>13100000</v>
      </c>
      <c r="U204" s="81"/>
      <c r="V204" s="82">
        <f t="shared" si="70"/>
        <v>13100000</v>
      </c>
      <c r="W204" s="83">
        <f t="shared" si="66"/>
        <v>545833.33333333337</v>
      </c>
      <c r="X204" s="83">
        <v>9279166.666666666</v>
      </c>
      <c r="Y204" s="83">
        <v>3820833.333333333</v>
      </c>
      <c r="Z204" s="85">
        <f t="shared" si="72"/>
        <v>545833.33333333337</v>
      </c>
      <c r="AA204" s="84">
        <f t="shared" si="67"/>
        <v>3275000.0000000005</v>
      </c>
      <c r="AB204" s="85">
        <f t="shared" si="73"/>
        <v>545833.33333333337</v>
      </c>
      <c r="AC204" s="84">
        <f t="shared" si="74"/>
        <v>2729166.666666667</v>
      </c>
      <c r="AD204" s="85">
        <f t="shared" si="68"/>
        <v>545833.33333333337</v>
      </c>
      <c r="AE204" s="84">
        <f t="shared" si="75"/>
        <v>2183333.3333333335</v>
      </c>
      <c r="AF204" s="85">
        <f t="shared" si="71"/>
        <v>545833.33333333337</v>
      </c>
      <c r="AG204" s="84">
        <f t="shared" si="76"/>
        <v>1637500</v>
      </c>
      <c r="AH204" s="85"/>
      <c r="AI204" s="84">
        <f t="shared" si="77"/>
        <v>1637500</v>
      </c>
      <c r="AJ204" s="85"/>
      <c r="AK204" s="84">
        <f t="shared" si="78"/>
        <v>1637500</v>
      </c>
      <c r="AL204" s="85"/>
      <c r="AM204" s="84">
        <f t="shared" si="79"/>
        <v>1637500</v>
      </c>
      <c r="AN204" s="85"/>
      <c r="AO204" s="84">
        <f t="shared" si="80"/>
        <v>1637500</v>
      </c>
      <c r="AP204" s="85"/>
      <c r="AQ204" s="84">
        <f t="shared" si="81"/>
        <v>1637500</v>
      </c>
      <c r="AR204" s="85"/>
      <c r="AS204" s="84">
        <f t="shared" si="82"/>
        <v>1637500</v>
      </c>
      <c r="AT204" s="85"/>
      <c r="AU204" s="84">
        <f t="shared" si="83"/>
        <v>1637500</v>
      </c>
      <c r="AV204" s="85"/>
      <c r="AW204" s="84">
        <f t="shared" si="84"/>
        <v>1637500</v>
      </c>
      <c r="AX204" s="86">
        <f t="shared" si="85"/>
        <v>2183333.3333333335</v>
      </c>
      <c r="AY204" s="87">
        <f t="shared" si="86"/>
        <v>1637500.0000000005</v>
      </c>
      <c r="AZ204" s="65" t="b">
        <f t="shared" si="87"/>
        <v>1</v>
      </c>
    </row>
    <row r="205" spans="1:52" s="67" customFormat="1" ht="24.75" hidden="1" customHeight="1">
      <c r="A205" s="68">
        <v>200</v>
      </c>
      <c r="B205" s="69" t="s">
        <v>576</v>
      </c>
      <c r="C205" s="88" t="s">
        <v>81</v>
      </c>
      <c r="D205" s="71" t="s">
        <v>396</v>
      </c>
      <c r="E205" s="88" t="s">
        <v>577</v>
      </c>
      <c r="F205" s="89"/>
      <c r="G205" s="101">
        <v>45534</v>
      </c>
      <c r="H205" s="88" t="s">
        <v>578</v>
      </c>
      <c r="I205" s="74" t="s">
        <v>399</v>
      </c>
      <c r="J205" s="88" t="s">
        <v>400</v>
      </c>
      <c r="K205" s="68" t="s">
        <v>68</v>
      </c>
      <c r="L205" s="70" t="s">
        <v>69</v>
      </c>
      <c r="M205" s="88" t="s">
        <v>125</v>
      </c>
      <c r="N205" s="88" t="s">
        <v>126</v>
      </c>
      <c r="O205" s="77"/>
      <c r="P205" s="90">
        <v>45536</v>
      </c>
      <c r="Q205" s="94">
        <f t="shared" si="88"/>
        <v>46265</v>
      </c>
      <c r="R205" s="79">
        <v>24</v>
      </c>
      <c r="S205" s="79">
        <v>2</v>
      </c>
      <c r="T205" s="91">
        <v>20900000</v>
      </c>
      <c r="U205" s="81"/>
      <c r="V205" s="82">
        <f t="shared" si="70"/>
        <v>20900000</v>
      </c>
      <c r="W205" s="83">
        <f t="shared" ref="W205:W268" si="89">V205/R205</f>
        <v>870833.33333333337</v>
      </c>
      <c r="X205" s="83">
        <v>13933333.333333334</v>
      </c>
      <c r="Y205" s="83">
        <v>6966666.6666666679</v>
      </c>
      <c r="Z205" s="85">
        <f t="shared" si="72"/>
        <v>870833.33333333337</v>
      </c>
      <c r="AA205" s="84">
        <f t="shared" ref="AA205:AA253" si="90">+V205-X205-Z205</f>
        <v>6095833.333333333</v>
      </c>
      <c r="AB205" s="85">
        <f t="shared" si="73"/>
        <v>870833.33333333337</v>
      </c>
      <c r="AC205" s="84">
        <f t="shared" si="74"/>
        <v>5225000</v>
      </c>
      <c r="AD205" s="85">
        <f t="shared" si="68"/>
        <v>870833.33333333337</v>
      </c>
      <c r="AE205" s="84">
        <f t="shared" si="75"/>
        <v>4354166.666666667</v>
      </c>
      <c r="AF205" s="85">
        <f t="shared" si="71"/>
        <v>870833.33333333337</v>
      </c>
      <c r="AG205" s="84">
        <f t="shared" si="76"/>
        <v>3483333.3333333335</v>
      </c>
      <c r="AH205" s="85"/>
      <c r="AI205" s="84">
        <f t="shared" si="77"/>
        <v>3483333.3333333335</v>
      </c>
      <c r="AJ205" s="85"/>
      <c r="AK205" s="84">
        <f t="shared" si="78"/>
        <v>3483333.3333333335</v>
      </c>
      <c r="AL205" s="85"/>
      <c r="AM205" s="84">
        <f t="shared" si="79"/>
        <v>3483333.3333333335</v>
      </c>
      <c r="AN205" s="85"/>
      <c r="AO205" s="84">
        <f t="shared" si="80"/>
        <v>3483333.3333333335</v>
      </c>
      <c r="AP205" s="85"/>
      <c r="AQ205" s="84">
        <f t="shared" si="81"/>
        <v>3483333.3333333335</v>
      </c>
      <c r="AR205" s="85"/>
      <c r="AS205" s="84">
        <f t="shared" si="82"/>
        <v>3483333.3333333335</v>
      </c>
      <c r="AT205" s="85"/>
      <c r="AU205" s="84">
        <f t="shared" si="83"/>
        <v>3483333.3333333335</v>
      </c>
      <c r="AV205" s="85"/>
      <c r="AW205" s="84">
        <f t="shared" si="84"/>
        <v>3483333.3333333335</v>
      </c>
      <c r="AX205" s="86">
        <f t="shared" si="85"/>
        <v>3483333.3333333335</v>
      </c>
      <c r="AY205" s="87">
        <f t="shared" si="86"/>
        <v>3483333.3333333326</v>
      </c>
      <c r="AZ205" s="65" t="b">
        <f t="shared" si="87"/>
        <v>1</v>
      </c>
    </row>
    <row r="206" spans="1:52" s="119" customFormat="1" ht="24.75" hidden="1" customHeight="1">
      <c r="A206" s="68">
        <v>201</v>
      </c>
      <c r="B206" s="69" t="s">
        <v>579</v>
      </c>
      <c r="C206" s="102" t="s">
        <v>81</v>
      </c>
      <c r="D206" s="103" t="s">
        <v>95</v>
      </c>
      <c r="E206" s="102" t="s">
        <v>580</v>
      </c>
      <c r="F206" s="104"/>
      <c r="G206" s="105">
        <v>45534</v>
      </c>
      <c r="H206" s="102" t="s">
        <v>581</v>
      </c>
      <c r="I206" s="95" t="s">
        <v>98</v>
      </c>
      <c r="J206" s="102" t="s">
        <v>156</v>
      </c>
      <c r="K206" s="106" t="s">
        <v>99</v>
      </c>
      <c r="L206" s="107" t="s">
        <v>100</v>
      </c>
      <c r="M206" s="102" t="s">
        <v>101</v>
      </c>
      <c r="N206" s="102" t="s">
        <v>102</v>
      </c>
      <c r="O206" s="108"/>
      <c r="P206" s="109">
        <v>45536</v>
      </c>
      <c r="Q206" s="110">
        <f t="shared" si="88"/>
        <v>46265</v>
      </c>
      <c r="R206" s="111">
        <v>24</v>
      </c>
      <c r="S206" s="111">
        <v>2</v>
      </c>
      <c r="T206" s="112">
        <v>55000000</v>
      </c>
      <c r="U206" s="113"/>
      <c r="V206" s="114">
        <f t="shared" si="70"/>
        <v>55000000</v>
      </c>
      <c r="W206" s="115">
        <f t="shared" si="89"/>
        <v>2291666.6666666665</v>
      </c>
      <c r="X206" s="100">
        <v>36666666.666666672</v>
      </c>
      <c r="Y206" s="100">
        <v>18333333.333333332</v>
      </c>
      <c r="Z206" s="116">
        <f t="shared" si="72"/>
        <v>2291666.6666666665</v>
      </c>
      <c r="AA206" s="117">
        <f t="shared" si="90"/>
        <v>16041666.666666662</v>
      </c>
      <c r="AB206" s="85">
        <f t="shared" si="73"/>
        <v>2291666.6666666665</v>
      </c>
      <c r="AC206" s="84">
        <f t="shared" si="74"/>
        <v>13749999.999999996</v>
      </c>
      <c r="AD206" s="85">
        <f t="shared" si="68"/>
        <v>2291666.6666666665</v>
      </c>
      <c r="AE206" s="118">
        <f t="shared" si="75"/>
        <v>11458333.33333333</v>
      </c>
      <c r="AF206" s="85">
        <f t="shared" si="71"/>
        <v>2291666.6666666665</v>
      </c>
      <c r="AG206" s="84">
        <f t="shared" si="76"/>
        <v>9166666.6666666642</v>
      </c>
      <c r="AH206" s="85"/>
      <c r="AI206" s="84">
        <f t="shared" si="77"/>
        <v>9166666.6666666642</v>
      </c>
      <c r="AJ206" s="85"/>
      <c r="AK206" s="84">
        <f t="shared" si="78"/>
        <v>9166666.6666666642</v>
      </c>
      <c r="AL206" s="85"/>
      <c r="AM206" s="84">
        <f t="shared" si="79"/>
        <v>9166666.6666666642</v>
      </c>
      <c r="AN206" s="85"/>
      <c r="AO206" s="84">
        <f t="shared" si="80"/>
        <v>9166666.6666666642</v>
      </c>
      <c r="AP206" s="85"/>
      <c r="AQ206" s="84">
        <f t="shared" si="81"/>
        <v>9166666.6666666642</v>
      </c>
      <c r="AR206" s="85"/>
      <c r="AS206" s="84">
        <f t="shared" si="82"/>
        <v>9166666.6666666642</v>
      </c>
      <c r="AT206" s="85"/>
      <c r="AU206" s="84">
        <f t="shared" si="83"/>
        <v>9166666.6666666642</v>
      </c>
      <c r="AV206" s="85"/>
      <c r="AW206" s="84">
        <f t="shared" si="84"/>
        <v>9166666.6666666642</v>
      </c>
      <c r="AX206" s="86">
        <f t="shared" si="85"/>
        <v>9166666.666666666</v>
      </c>
      <c r="AY206" s="87">
        <f t="shared" si="86"/>
        <v>9166666.6666666623</v>
      </c>
      <c r="AZ206" s="65" t="b">
        <f t="shared" si="87"/>
        <v>1</v>
      </c>
    </row>
    <row r="207" spans="1:52" s="119" customFormat="1" ht="24.75" hidden="1" customHeight="1">
      <c r="A207" s="68">
        <v>202</v>
      </c>
      <c r="B207" s="69" t="s">
        <v>582</v>
      </c>
      <c r="C207" s="102" t="s">
        <v>81</v>
      </c>
      <c r="D207" s="103" t="s">
        <v>95</v>
      </c>
      <c r="E207" s="102" t="s">
        <v>583</v>
      </c>
      <c r="F207" s="104"/>
      <c r="G207" s="105">
        <v>45534</v>
      </c>
      <c r="H207" s="102" t="s">
        <v>581</v>
      </c>
      <c r="I207" s="95" t="s">
        <v>98</v>
      </c>
      <c r="J207" s="102" t="s">
        <v>156</v>
      </c>
      <c r="K207" s="106" t="s">
        <v>99</v>
      </c>
      <c r="L207" s="107" t="s">
        <v>100</v>
      </c>
      <c r="M207" s="102" t="s">
        <v>101</v>
      </c>
      <c r="N207" s="102" t="s">
        <v>102</v>
      </c>
      <c r="O207" s="108"/>
      <c r="P207" s="109">
        <v>45536</v>
      </c>
      <c r="Q207" s="110">
        <f t="shared" si="88"/>
        <v>46265</v>
      </c>
      <c r="R207" s="111">
        <v>24</v>
      </c>
      <c r="S207" s="111">
        <v>2</v>
      </c>
      <c r="T207" s="112">
        <v>240000000</v>
      </c>
      <c r="U207" s="113"/>
      <c r="V207" s="114">
        <f t="shared" si="70"/>
        <v>240000000</v>
      </c>
      <c r="W207" s="115">
        <f t="shared" si="89"/>
        <v>10000000</v>
      </c>
      <c r="X207" s="100">
        <v>160000000</v>
      </c>
      <c r="Y207" s="100">
        <v>80000000</v>
      </c>
      <c r="Z207" s="116">
        <f t="shared" si="72"/>
        <v>10000000</v>
      </c>
      <c r="AA207" s="117">
        <f t="shared" si="90"/>
        <v>70000000</v>
      </c>
      <c r="AB207" s="85">
        <f t="shared" si="73"/>
        <v>10000000</v>
      </c>
      <c r="AC207" s="84">
        <f t="shared" si="74"/>
        <v>60000000</v>
      </c>
      <c r="AD207" s="85">
        <f t="shared" si="68"/>
        <v>10000000</v>
      </c>
      <c r="AE207" s="118">
        <f t="shared" si="75"/>
        <v>50000000</v>
      </c>
      <c r="AF207" s="85">
        <f t="shared" si="71"/>
        <v>10000000</v>
      </c>
      <c r="AG207" s="84">
        <f t="shared" si="76"/>
        <v>40000000</v>
      </c>
      <c r="AH207" s="85"/>
      <c r="AI207" s="84">
        <f t="shared" si="77"/>
        <v>40000000</v>
      </c>
      <c r="AJ207" s="85"/>
      <c r="AK207" s="84">
        <f t="shared" si="78"/>
        <v>40000000</v>
      </c>
      <c r="AL207" s="85"/>
      <c r="AM207" s="84">
        <f t="shared" si="79"/>
        <v>40000000</v>
      </c>
      <c r="AN207" s="85"/>
      <c r="AO207" s="84">
        <f t="shared" si="80"/>
        <v>40000000</v>
      </c>
      <c r="AP207" s="85"/>
      <c r="AQ207" s="84">
        <f t="shared" si="81"/>
        <v>40000000</v>
      </c>
      <c r="AR207" s="85"/>
      <c r="AS207" s="84">
        <f t="shared" si="82"/>
        <v>40000000</v>
      </c>
      <c r="AT207" s="85"/>
      <c r="AU207" s="84">
        <f t="shared" si="83"/>
        <v>40000000</v>
      </c>
      <c r="AV207" s="85"/>
      <c r="AW207" s="84">
        <f t="shared" si="84"/>
        <v>40000000</v>
      </c>
      <c r="AX207" s="86">
        <f t="shared" si="85"/>
        <v>40000000</v>
      </c>
      <c r="AY207" s="87">
        <f t="shared" si="86"/>
        <v>40000000</v>
      </c>
      <c r="AZ207" s="65" t="b">
        <f t="shared" si="87"/>
        <v>1</v>
      </c>
    </row>
    <row r="208" spans="1:52" s="119" customFormat="1" ht="24.75" hidden="1" customHeight="1">
      <c r="A208" s="68">
        <v>203</v>
      </c>
      <c r="B208" s="69" t="s">
        <v>584</v>
      </c>
      <c r="C208" s="102" t="s">
        <v>81</v>
      </c>
      <c r="D208" s="103" t="s">
        <v>95</v>
      </c>
      <c r="E208" s="102" t="s">
        <v>585</v>
      </c>
      <c r="F208" s="104"/>
      <c r="G208" s="105">
        <v>45534</v>
      </c>
      <c r="H208" s="102" t="s">
        <v>581</v>
      </c>
      <c r="I208" s="95" t="s">
        <v>98</v>
      </c>
      <c r="J208" s="102" t="s">
        <v>156</v>
      </c>
      <c r="K208" s="106" t="s">
        <v>99</v>
      </c>
      <c r="L208" s="107" t="s">
        <v>100</v>
      </c>
      <c r="M208" s="102" t="s">
        <v>101</v>
      </c>
      <c r="N208" s="102" t="s">
        <v>102</v>
      </c>
      <c r="O208" s="108"/>
      <c r="P208" s="109">
        <v>45536</v>
      </c>
      <c r="Q208" s="110">
        <f t="shared" si="88"/>
        <v>46265</v>
      </c>
      <c r="R208" s="111">
        <v>24</v>
      </c>
      <c r="S208" s="111">
        <v>2</v>
      </c>
      <c r="T208" s="112">
        <v>280000000</v>
      </c>
      <c r="U208" s="113"/>
      <c r="V208" s="114">
        <f t="shared" si="70"/>
        <v>280000000</v>
      </c>
      <c r="W208" s="115">
        <f t="shared" si="89"/>
        <v>11666666.666666666</v>
      </c>
      <c r="X208" s="100">
        <v>186666666.66666669</v>
      </c>
      <c r="Y208" s="100">
        <v>93333333.333333313</v>
      </c>
      <c r="Z208" s="116">
        <f t="shared" si="72"/>
        <v>11666666.666666666</v>
      </c>
      <c r="AA208" s="117">
        <f t="shared" si="90"/>
        <v>81666666.666666642</v>
      </c>
      <c r="AB208" s="85">
        <f t="shared" si="73"/>
        <v>11666666.666666666</v>
      </c>
      <c r="AC208" s="84">
        <f t="shared" si="74"/>
        <v>69999999.99999997</v>
      </c>
      <c r="AD208" s="85">
        <f t="shared" si="68"/>
        <v>11666666.666666666</v>
      </c>
      <c r="AE208" s="118">
        <f t="shared" si="75"/>
        <v>58333333.333333306</v>
      </c>
      <c r="AF208" s="85">
        <f t="shared" si="71"/>
        <v>11666666.666666666</v>
      </c>
      <c r="AG208" s="84">
        <f t="shared" si="76"/>
        <v>46666666.666666642</v>
      </c>
      <c r="AH208" s="85"/>
      <c r="AI208" s="84">
        <f t="shared" si="77"/>
        <v>46666666.666666642</v>
      </c>
      <c r="AJ208" s="85"/>
      <c r="AK208" s="84">
        <f t="shared" si="78"/>
        <v>46666666.666666642</v>
      </c>
      <c r="AL208" s="85"/>
      <c r="AM208" s="84">
        <f t="shared" si="79"/>
        <v>46666666.666666642</v>
      </c>
      <c r="AN208" s="85"/>
      <c r="AO208" s="84">
        <f t="shared" si="80"/>
        <v>46666666.666666642</v>
      </c>
      <c r="AP208" s="85"/>
      <c r="AQ208" s="84">
        <f t="shared" si="81"/>
        <v>46666666.666666642</v>
      </c>
      <c r="AR208" s="85"/>
      <c r="AS208" s="84">
        <f t="shared" si="82"/>
        <v>46666666.666666642</v>
      </c>
      <c r="AT208" s="85"/>
      <c r="AU208" s="84">
        <f t="shared" si="83"/>
        <v>46666666.666666642</v>
      </c>
      <c r="AV208" s="85"/>
      <c r="AW208" s="84">
        <f t="shared" si="84"/>
        <v>46666666.666666642</v>
      </c>
      <c r="AX208" s="86">
        <f t="shared" si="85"/>
        <v>46666666.666666664</v>
      </c>
      <c r="AY208" s="87">
        <f t="shared" si="86"/>
        <v>46666666.666666649</v>
      </c>
      <c r="AZ208" s="65" t="b">
        <f t="shared" si="87"/>
        <v>1</v>
      </c>
    </row>
    <row r="209" spans="1:52" s="119" customFormat="1" ht="24.75" hidden="1" customHeight="1">
      <c r="A209" s="68">
        <v>204</v>
      </c>
      <c r="B209" s="69" t="s">
        <v>586</v>
      </c>
      <c r="C209" s="102" t="s">
        <v>81</v>
      </c>
      <c r="D209" s="103" t="s">
        <v>95</v>
      </c>
      <c r="E209" s="102" t="s">
        <v>587</v>
      </c>
      <c r="F209" s="104"/>
      <c r="G209" s="105">
        <v>45534</v>
      </c>
      <c r="H209" s="102" t="s">
        <v>581</v>
      </c>
      <c r="I209" s="95" t="s">
        <v>98</v>
      </c>
      <c r="J209" s="102" t="s">
        <v>156</v>
      </c>
      <c r="K209" s="106" t="s">
        <v>99</v>
      </c>
      <c r="L209" s="107" t="s">
        <v>100</v>
      </c>
      <c r="M209" s="102" t="s">
        <v>101</v>
      </c>
      <c r="N209" s="102" t="s">
        <v>102</v>
      </c>
      <c r="O209" s="108"/>
      <c r="P209" s="109">
        <v>45536</v>
      </c>
      <c r="Q209" s="110">
        <f t="shared" si="88"/>
        <v>46265</v>
      </c>
      <c r="R209" s="111">
        <v>24</v>
      </c>
      <c r="S209" s="111">
        <v>2</v>
      </c>
      <c r="T209" s="112">
        <v>263000000</v>
      </c>
      <c r="U209" s="113"/>
      <c r="V209" s="114">
        <f t="shared" si="70"/>
        <v>263000000</v>
      </c>
      <c r="W209" s="115">
        <f t="shared" si="89"/>
        <v>10958333.333333334</v>
      </c>
      <c r="X209" s="100">
        <v>175333333.33333331</v>
      </c>
      <c r="Y209" s="100">
        <v>87666666.666666672</v>
      </c>
      <c r="Z209" s="116">
        <f t="shared" si="72"/>
        <v>10958333.333333334</v>
      </c>
      <c r="AA209" s="117">
        <f t="shared" si="90"/>
        <v>76708333.333333358</v>
      </c>
      <c r="AB209" s="85">
        <f t="shared" si="73"/>
        <v>10958333.333333334</v>
      </c>
      <c r="AC209" s="84">
        <f t="shared" si="74"/>
        <v>65750000.000000022</v>
      </c>
      <c r="AD209" s="85">
        <f t="shared" ref="AD209:AD242" si="91">+IF(AC209&lt;&gt;0,$W209,0)</f>
        <v>10958333.333333334</v>
      </c>
      <c r="AE209" s="118">
        <f t="shared" si="75"/>
        <v>54791666.666666687</v>
      </c>
      <c r="AF209" s="85">
        <f t="shared" si="71"/>
        <v>10958333.333333334</v>
      </c>
      <c r="AG209" s="84">
        <f t="shared" si="76"/>
        <v>43833333.333333351</v>
      </c>
      <c r="AH209" s="85"/>
      <c r="AI209" s="84">
        <f t="shared" si="77"/>
        <v>43833333.333333351</v>
      </c>
      <c r="AJ209" s="85"/>
      <c r="AK209" s="84">
        <f t="shared" si="78"/>
        <v>43833333.333333351</v>
      </c>
      <c r="AL209" s="85"/>
      <c r="AM209" s="84">
        <f t="shared" si="79"/>
        <v>43833333.333333351</v>
      </c>
      <c r="AN209" s="85"/>
      <c r="AO209" s="84">
        <f t="shared" si="80"/>
        <v>43833333.333333351</v>
      </c>
      <c r="AP209" s="85"/>
      <c r="AQ209" s="84">
        <f t="shared" si="81"/>
        <v>43833333.333333351</v>
      </c>
      <c r="AR209" s="85"/>
      <c r="AS209" s="84">
        <f t="shared" si="82"/>
        <v>43833333.333333351</v>
      </c>
      <c r="AT209" s="85"/>
      <c r="AU209" s="84">
        <f t="shared" si="83"/>
        <v>43833333.333333351</v>
      </c>
      <c r="AV209" s="85"/>
      <c r="AW209" s="84">
        <f t="shared" si="84"/>
        <v>43833333.333333351</v>
      </c>
      <c r="AX209" s="86">
        <f t="shared" si="85"/>
        <v>43833333.333333336</v>
      </c>
      <c r="AY209" s="87">
        <f t="shared" si="86"/>
        <v>43833333.333333351</v>
      </c>
      <c r="AZ209" s="65" t="b">
        <f t="shared" si="87"/>
        <v>1</v>
      </c>
    </row>
    <row r="210" spans="1:52" s="119" customFormat="1" ht="24.75" hidden="1" customHeight="1">
      <c r="A210" s="68">
        <v>205</v>
      </c>
      <c r="B210" s="69" t="s">
        <v>588</v>
      </c>
      <c r="C210" s="102" t="s">
        <v>81</v>
      </c>
      <c r="D210" s="103" t="s">
        <v>95</v>
      </c>
      <c r="E210" s="102" t="s">
        <v>589</v>
      </c>
      <c r="F210" s="104"/>
      <c r="G210" s="105">
        <v>45534</v>
      </c>
      <c r="H210" s="102" t="s">
        <v>581</v>
      </c>
      <c r="I210" s="95" t="s">
        <v>98</v>
      </c>
      <c r="J210" s="102" t="s">
        <v>156</v>
      </c>
      <c r="K210" s="106" t="s">
        <v>99</v>
      </c>
      <c r="L210" s="107" t="s">
        <v>100</v>
      </c>
      <c r="M210" s="102" t="s">
        <v>101</v>
      </c>
      <c r="N210" s="102" t="s">
        <v>102</v>
      </c>
      <c r="O210" s="108"/>
      <c r="P210" s="109">
        <v>45536</v>
      </c>
      <c r="Q210" s="110">
        <f t="shared" si="88"/>
        <v>46265</v>
      </c>
      <c r="R210" s="111">
        <v>24</v>
      </c>
      <c r="S210" s="111">
        <v>2</v>
      </c>
      <c r="T210" s="112">
        <v>213000000</v>
      </c>
      <c r="U210" s="113"/>
      <c r="V210" s="114">
        <f t="shared" si="70"/>
        <v>213000000</v>
      </c>
      <c r="W210" s="115">
        <f t="shared" si="89"/>
        <v>8875000</v>
      </c>
      <c r="X210" s="100">
        <v>142000000</v>
      </c>
      <c r="Y210" s="100">
        <v>71000000</v>
      </c>
      <c r="Z210" s="116">
        <f t="shared" si="72"/>
        <v>8875000</v>
      </c>
      <c r="AA210" s="117">
        <f t="shared" si="90"/>
        <v>62125000</v>
      </c>
      <c r="AB210" s="85">
        <f t="shared" si="73"/>
        <v>8875000</v>
      </c>
      <c r="AC210" s="84">
        <f t="shared" si="74"/>
        <v>53250000</v>
      </c>
      <c r="AD210" s="85">
        <f t="shared" si="91"/>
        <v>8875000</v>
      </c>
      <c r="AE210" s="118">
        <f t="shared" si="75"/>
        <v>44375000</v>
      </c>
      <c r="AF210" s="85">
        <f t="shared" si="71"/>
        <v>8875000</v>
      </c>
      <c r="AG210" s="84">
        <f t="shared" si="76"/>
        <v>35500000</v>
      </c>
      <c r="AH210" s="85"/>
      <c r="AI210" s="84">
        <f t="shared" si="77"/>
        <v>35500000</v>
      </c>
      <c r="AJ210" s="85"/>
      <c r="AK210" s="84">
        <f t="shared" si="78"/>
        <v>35500000</v>
      </c>
      <c r="AL210" s="85"/>
      <c r="AM210" s="84">
        <f t="shared" si="79"/>
        <v>35500000</v>
      </c>
      <c r="AN210" s="85"/>
      <c r="AO210" s="84">
        <f t="shared" si="80"/>
        <v>35500000</v>
      </c>
      <c r="AP210" s="85"/>
      <c r="AQ210" s="84">
        <f t="shared" si="81"/>
        <v>35500000</v>
      </c>
      <c r="AR210" s="85"/>
      <c r="AS210" s="84">
        <f t="shared" si="82"/>
        <v>35500000</v>
      </c>
      <c r="AT210" s="85"/>
      <c r="AU210" s="84">
        <f t="shared" si="83"/>
        <v>35500000</v>
      </c>
      <c r="AV210" s="85"/>
      <c r="AW210" s="84">
        <f t="shared" si="84"/>
        <v>35500000</v>
      </c>
      <c r="AX210" s="86">
        <f t="shared" si="85"/>
        <v>35500000</v>
      </c>
      <c r="AY210" s="87">
        <f t="shared" si="86"/>
        <v>35500000</v>
      </c>
      <c r="AZ210" s="65" t="b">
        <f t="shared" si="87"/>
        <v>1</v>
      </c>
    </row>
    <row r="211" spans="1:52" s="119" customFormat="1" ht="24.75" hidden="1" customHeight="1">
      <c r="A211" s="68">
        <v>206</v>
      </c>
      <c r="B211" s="69" t="s">
        <v>590</v>
      </c>
      <c r="C211" s="102" t="s">
        <v>81</v>
      </c>
      <c r="D211" s="103" t="s">
        <v>95</v>
      </c>
      <c r="E211" s="102" t="s">
        <v>591</v>
      </c>
      <c r="F211" s="104"/>
      <c r="G211" s="105">
        <v>45534</v>
      </c>
      <c r="H211" s="102" t="s">
        <v>581</v>
      </c>
      <c r="I211" s="95" t="s">
        <v>98</v>
      </c>
      <c r="J211" s="102" t="s">
        <v>156</v>
      </c>
      <c r="K211" s="106" t="s">
        <v>99</v>
      </c>
      <c r="L211" s="107" t="s">
        <v>100</v>
      </c>
      <c r="M211" s="102" t="s">
        <v>101</v>
      </c>
      <c r="N211" s="102" t="s">
        <v>102</v>
      </c>
      <c r="O211" s="108"/>
      <c r="P211" s="109">
        <v>45536</v>
      </c>
      <c r="Q211" s="110">
        <f t="shared" si="88"/>
        <v>46265</v>
      </c>
      <c r="R211" s="111">
        <v>24</v>
      </c>
      <c r="S211" s="111">
        <v>2</v>
      </c>
      <c r="T211" s="112">
        <v>76000000</v>
      </c>
      <c r="U211" s="113"/>
      <c r="V211" s="114">
        <f t="shared" si="70"/>
        <v>76000000</v>
      </c>
      <c r="W211" s="115">
        <f t="shared" si="89"/>
        <v>3166666.6666666665</v>
      </c>
      <c r="X211" s="100">
        <v>50666666.666666664</v>
      </c>
      <c r="Y211" s="100">
        <v>25333333.333333336</v>
      </c>
      <c r="Z211" s="116">
        <f t="shared" si="72"/>
        <v>3166666.6666666665</v>
      </c>
      <c r="AA211" s="117">
        <f t="shared" si="90"/>
        <v>22166666.666666668</v>
      </c>
      <c r="AB211" s="85">
        <f t="shared" si="73"/>
        <v>3166666.6666666665</v>
      </c>
      <c r="AC211" s="84">
        <f t="shared" si="74"/>
        <v>19000000</v>
      </c>
      <c r="AD211" s="85">
        <f t="shared" si="91"/>
        <v>3166666.6666666665</v>
      </c>
      <c r="AE211" s="118">
        <f t="shared" si="75"/>
        <v>15833333.333333334</v>
      </c>
      <c r="AF211" s="85">
        <f t="shared" si="71"/>
        <v>3166666.6666666665</v>
      </c>
      <c r="AG211" s="84">
        <f t="shared" si="76"/>
        <v>12666666.666666668</v>
      </c>
      <c r="AH211" s="85"/>
      <c r="AI211" s="84">
        <f t="shared" si="77"/>
        <v>12666666.666666668</v>
      </c>
      <c r="AJ211" s="85"/>
      <c r="AK211" s="84">
        <f t="shared" si="78"/>
        <v>12666666.666666668</v>
      </c>
      <c r="AL211" s="85"/>
      <c r="AM211" s="84">
        <f t="shared" si="79"/>
        <v>12666666.666666668</v>
      </c>
      <c r="AN211" s="85"/>
      <c r="AO211" s="84">
        <f t="shared" si="80"/>
        <v>12666666.666666668</v>
      </c>
      <c r="AP211" s="85"/>
      <c r="AQ211" s="84">
        <f t="shared" si="81"/>
        <v>12666666.666666668</v>
      </c>
      <c r="AR211" s="85"/>
      <c r="AS211" s="84">
        <f t="shared" si="82"/>
        <v>12666666.666666668</v>
      </c>
      <c r="AT211" s="85"/>
      <c r="AU211" s="84">
        <f t="shared" si="83"/>
        <v>12666666.666666668</v>
      </c>
      <c r="AV211" s="85"/>
      <c r="AW211" s="84">
        <f t="shared" si="84"/>
        <v>12666666.666666668</v>
      </c>
      <c r="AX211" s="86">
        <f t="shared" si="85"/>
        <v>12666666.666666666</v>
      </c>
      <c r="AY211" s="87">
        <f t="shared" si="86"/>
        <v>12666666.66666667</v>
      </c>
      <c r="AZ211" s="65" t="b">
        <f t="shared" si="87"/>
        <v>1</v>
      </c>
    </row>
    <row r="212" spans="1:52" s="119" customFormat="1" ht="24.75" hidden="1" customHeight="1">
      <c r="A212" s="68">
        <v>207</v>
      </c>
      <c r="B212" s="69" t="s">
        <v>592</v>
      </c>
      <c r="C212" s="102" t="s">
        <v>81</v>
      </c>
      <c r="D212" s="103" t="s">
        <v>95</v>
      </c>
      <c r="E212" s="102" t="s">
        <v>593</v>
      </c>
      <c r="F212" s="104"/>
      <c r="G212" s="105">
        <v>45534</v>
      </c>
      <c r="H212" s="102" t="s">
        <v>581</v>
      </c>
      <c r="I212" s="95" t="s">
        <v>98</v>
      </c>
      <c r="J212" s="102" t="s">
        <v>156</v>
      </c>
      <c r="K212" s="106" t="s">
        <v>99</v>
      </c>
      <c r="L212" s="107" t="s">
        <v>100</v>
      </c>
      <c r="M212" s="102" t="s">
        <v>101</v>
      </c>
      <c r="N212" s="102" t="s">
        <v>102</v>
      </c>
      <c r="O212" s="108"/>
      <c r="P212" s="109">
        <v>45536</v>
      </c>
      <c r="Q212" s="110">
        <f t="shared" si="88"/>
        <v>46265</v>
      </c>
      <c r="R212" s="111">
        <v>24</v>
      </c>
      <c r="S212" s="111">
        <v>2</v>
      </c>
      <c r="T212" s="112">
        <v>80000000</v>
      </c>
      <c r="U212" s="113"/>
      <c r="V212" s="114">
        <f t="shared" si="70"/>
        <v>80000000</v>
      </c>
      <c r="W212" s="115">
        <f t="shared" si="89"/>
        <v>3333333.3333333335</v>
      </c>
      <c r="X212" s="100">
        <v>53333333.333333336</v>
      </c>
      <c r="Y212" s="100">
        <v>26666666.666666664</v>
      </c>
      <c r="Z212" s="116">
        <f t="shared" si="72"/>
        <v>3333333.3333333335</v>
      </c>
      <c r="AA212" s="117">
        <f t="shared" si="90"/>
        <v>23333333.333333332</v>
      </c>
      <c r="AB212" s="85">
        <f t="shared" si="73"/>
        <v>3333333.3333333335</v>
      </c>
      <c r="AC212" s="84">
        <f t="shared" si="74"/>
        <v>20000000</v>
      </c>
      <c r="AD212" s="85">
        <f t="shared" si="91"/>
        <v>3333333.3333333335</v>
      </c>
      <c r="AE212" s="118">
        <f t="shared" si="75"/>
        <v>16666666.666666666</v>
      </c>
      <c r="AF212" s="85">
        <f t="shared" si="71"/>
        <v>3333333.3333333335</v>
      </c>
      <c r="AG212" s="84">
        <f t="shared" si="76"/>
        <v>13333333.333333332</v>
      </c>
      <c r="AH212" s="85"/>
      <c r="AI212" s="84">
        <f t="shared" si="77"/>
        <v>13333333.333333332</v>
      </c>
      <c r="AJ212" s="85"/>
      <c r="AK212" s="84">
        <f t="shared" si="78"/>
        <v>13333333.333333332</v>
      </c>
      <c r="AL212" s="85"/>
      <c r="AM212" s="84">
        <f t="shared" si="79"/>
        <v>13333333.333333332</v>
      </c>
      <c r="AN212" s="85"/>
      <c r="AO212" s="84">
        <f t="shared" si="80"/>
        <v>13333333.333333332</v>
      </c>
      <c r="AP212" s="85"/>
      <c r="AQ212" s="84">
        <f t="shared" si="81"/>
        <v>13333333.333333332</v>
      </c>
      <c r="AR212" s="85"/>
      <c r="AS212" s="84">
        <f t="shared" si="82"/>
        <v>13333333.333333332</v>
      </c>
      <c r="AT212" s="85"/>
      <c r="AU212" s="84">
        <f t="shared" si="83"/>
        <v>13333333.333333332</v>
      </c>
      <c r="AV212" s="85"/>
      <c r="AW212" s="84">
        <f t="shared" si="84"/>
        <v>13333333.333333332</v>
      </c>
      <c r="AX212" s="86">
        <f t="shared" si="85"/>
        <v>13333333.333333334</v>
      </c>
      <c r="AY212" s="87">
        <f t="shared" si="86"/>
        <v>13333333.33333333</v>
      </c>
      <c r="AZ212" s="65" t="b">
        <f t="shared" si="87"/>
        <v>1</v>
      </c>
    </row>
    <row r="213" spans="1:52" s="119" customFormat="1" ht="24.75" hidden="1" customHeight="1">
      <c r="A213" s="68">
        <v>208</v>
      </c>
      <c r="B213" s="69" t="s">
        <v>594</v>
      </c>
      <c r="C213" s="102" t="s">
        <v>81</v>
      </c>
      <c r="D213" s="103" t="s">
        <v>95</v>
      </c>
      <c r="E213" s="102" t="s">
        <v>595</v>
      </c>
      <c r="F213" s="104"/>
      <c r="G213" s="105">
        <v>45534</v>
      </c>
      <c r="H213" s="102" t="s">
        <v>581</v>
      </c>
      <c r="I213" s="95" t="s">
        <v>98</v>
      </c>
      <c r="J213" s="102" t="s">
        <v>156</v>
      </c>
      <c r="K213" s="106" t="s">
        <v>99</v>
      </c>
      <c r="L213" s="107" t="s">
        <v>100</v>
      </c>
      <c r="M213" s="102" t="s">
        <v>101</v>
      </c>
      <c r="N213" s="102" t="s">
        <v>102</v>
      </c>
      <c r="O213" s="108"/>
      <c r="P213" s="109">
        <v>45536</v>
      </c>
      <c r="Q213" s="110">
        <f t="shared" si="88"/>
        <v>46265</v>
      </c>
      <c r="R213" s="111">
        <v>24</v>
      </c>
      <c r="S213" s="111">
        <v>2</v>
      </c>
      <c r="T213" s="112">
        <v>357000000</v>
      </c>
      <c r="U213" s="113"/>
      <c r="V213" s="114">
        <f t="shared" si="70"/>
        <v>357000000</v>
      </c>
      <c r="W213" s="115">
        <f t="shared" si="89"/>
        <v>14875000</v>
      </c>
      <c r="X213" s="100">
        <v>238000000</v>
      </c>
      <c r="Y213" s="100">
        <v>119000000</v>
      </c>
      <c r="Z213" s="116">
        <f t="shared" si="72"/>
        <v>14875000</v>
      </c>
      <c r="AA213" s="117">
        <f t="shared" si="90"/>
        <v>104125000</v>
      </c>
      <c r="AB213" s="85">
        <f t="shared" si="73"/>
        <v>14875000</v>
      </c>
      <c r="AC213" s="84">
        <f t="shared" si="74"/>
        <v>89250000</v>
      </c>
      <c r="AD213" s="85">
        <f t="shared" si="91"/>
        <v>14875000</v>
      </c>
      <c r="AE213" s="118">
        <f t="shared" si="75"/>
        <v>74375000</v>
      </c>
      <c r="AF213" s="85">
        <f t="shared" si="71"/>
        <v>14875000</v>
      </c>
      <c r="AG213" s="84">
        <f t="shared" si="76"/>
        <v>59500000</v>
      </c>
      <c r="AH213" s="85"/>
      <c r="AI213" s="84">
        <f t="shared" si="77"/>
        <v>59500000</v>
      </c>
      <c r="AJ213" s="85"/>
      <c r="AK213" s="84">
        <f t="shared" si="78"/>
        <v>59500000</v>
      </c>
      <c r="AL213" s="85"/>
      <c r="AM213" s="84">
        <f t="shared" si="79"/>
        <v>59500000</v>
      </c>
      <c r="AN213" s="85"/>
      <c r="AO213" s="84">
        <f t="shared" si="80"/>
        <v>59500000</v>
      </c>
      <c r="AP213" s="85"/>
      <c r="AQ213" s="84">
        <f t="shared" si="81"/>
        <v>59500000</v>
      </c>
      <c r="AR213" s="85"/>
      <c r="AS213" s="84">
        <f t="shared" si="82"/>
        <v>59500000</v>
      </c>
      <c r="AT213" s="85"/>
      <c r="AU213" s="84">
        <f t="shared" si="83"/>
        <v>59500000</v>
      </c>
      <c r="AV213" s="85"/>
      <c r="AW213" s="84">
        <f t="shared" si="84"/>
        <v>59500000</v>
      </c>
      <c r="AX213" s="86">
        <f t="shared" si="85"/>
        <v>59500000</v>
      </c>
      <c r="AY213" s="87">
        <f t="shared" si="86"/>
        <v>59500000</v>
      </c>
      <c r="AZ213" s="65" t="b">
        <f t="shared" si="87"/>
        <v>1</v>
      </c>
    </row>
    <row r="214" spans="1:52" s="119" customFormat="1" ht="24.75" hidden="1" customHeight="1">
      <c r="A214" s="68">
        <v>209</v>
      </c>
      <c r="B214" s="69" t="s">
        <v>596</v>
      </c>
      <c r="C214" s="102" t="s">
        <v>81</v>
      </c>
      <c r="D214" s="103" t="s">
        <v>95</v>
      </c>
      <c r="E214" s="102" t="s">
        <v>597</v>
      </c>
      <c r="F214" s="104"/>
      <c r="G214" s="105">
        <v>45534</v>
      </c>
      <c r="H214" s="102" t="s">
        <v>581</v>
      </c>
      <c r="I214" s="95" t="s">
        <v>98</v>
      </c>
      <c r="J214" s="102" t="s">
        <v>156</v>
      </c>
      <c r="K214" s="106" t="s">
        <v>99</v>
      </c>
      <c r="L214" s="107" t="s">
        <v>100</v>
      </c>
      <c r="M214" s="102" t="s">
        <v>101</v>
      </c>
      <c r="N214" s="102" t="s">
        <v>102</v>
      </c>
      <c r="O214" s="108"/>
      <c r="P214" s="109">
        <v>45536</v>
      </c>
      <c r="Q214" s="110">
        <f t="shared" si="88"/>
        <v>46265</v>
      </c>
      <c r="R214" s="111">
        <v>24</v>
      </c>
      <c r="S214" s="111">
        <v>2</v>
      </c>
      <c r="T214" s="112">
        <v>33000000</v>
      </c>
      <c r="U214" s="113"/>
      <c r="V214" s="114">
        <f t="shared" si="70"/>
        <v>33000000</v>
      </c>
      <c r="W214" s="115">
        <f t="shared" si="89"/>
        <v>1375000</v>
      </c>
      <c r="X214" s="100">
        <v>22000000</v>
      </c>
      <c r="Y214" s="100">
        <v>11000000</v>
      </c>
      <c r="Z214" s="116">
        <f t="shared" si="72"/>
        <v>1375000</v>
      </c>
      <c r="AA214" s="117">
        <f t="shared" si="90"/>
        <v>9625000</v>
      </c>
      <c r="AB214" s="85">
        <f t="shared" si="73"/>
        <v>1375000</v>
      </c>
      <c r="AC214" s="84">
        <f t="shared" si="74"/>
        <v>8250000</v>
      </c>
      <c r="AD214" s="85">
        <f t="shared" si="91"/>
        <v>1375000</v>
      </c>
      <c r="AE214" s="118">
        <f t="shared" si="75"/>
        <v>6875000</v>
      </c>
      <c r="AF214" s="85">
        <f t="shared" si="71"/>
        <v>1375000</v>
      </c>
      <c r="AG214" s="84">
        <f t="shared" si="76"/>
        <v>5500000</v>
      </c>
      <c r="AH214" s="85"/>
      <c r="AI214" s="84">
        <f t="shared" si="77"/>
        <v>5500000</v>
      </c>
      <c r="AJ214" s="85"/>
      <c r="AK214" s="84">
        <f t="shared" si="78"/>
        <v>5500000</v>
      </c>
      <c r="AL214" s="85"/>
      <c r="AM214" s="84">
        <f t="shared" si="79"/>
        <v>5500000</v>
      </c>
      <c r="AN214" s="85"/>
      <c r="AO214" s="84">
        <f t="shared" si="80"/>
        <v>5500000</v>
      </c>
      <c r="AP214" s="85"/>
      <c r="AQ214" s="84">
        <f t="shared" si="81"/>
        <v>5500000</v>
      </c>
      <c r="AR214" s="85"/>
      <c r="AS214" s="84">
        <f t="shared" si="82"/>
        <v>5500000</v>
      </c>
      <c r="AT214" s="85"/>
      <c r="AU214" s="84">
        <f t="shared" si="83"/>
        <v>5500000</v>
      </c>
      <c r="AV214" s="85"/>
      <c r="AW214" s="84">
        <f t="shared" si="84"/>
        <v>5500000</v>
      </c>
      <c r="AX214" s="86">
        <f t="shared" si="85"/>
        <v>5500000</v>
      </c>
      <c r="AY214" s="87">
        <f t="shared" si="86"/>
        <v>5500000</v>
      </c>
      <c r="AZ214" s="65" t="b">
        <f t="shared" si="87"/>
        <v>1</v>
      </c>
    </row>
    <row r="215" spans="1:52" s="67" customFormat="1" ht="24.75" hidden="1" customHeight="1">
      <c r="A215" s="68">
        <v>210</v>
      </c>
      <c r="B215" s="69" t="s">
        <v>598</v>
      </c>
      <c r="C215" s="88" t="s">
        <v>516</v>
      </c>
      <c r="D215" s="71" t="s">
        <v>526</v>
      </c>
      <c r="E215" s="88" t="s">
        <v>599</v>
      </c>
      <c r="F215" s="89"/>
      <c r="G215" s="101">
        <v>45547</v>
      </c>
      <c r="H215" s="88" t="s">
        <v>600</v>
      </c>
      <c r="I215" s="120" t="s">
        <v>520</v>
      </c>
      <c r="J215" s="88" t="s">
        <v>521</v>
      </c>
      <c r="K215" s="68" t="s">
        <v>529</v>
      </c>
      <c r="L215" s="70" t="s">
        <v>530</v>
      </c>
      <c r="M215" s="88" t="s">
        <v>531</v>
      </c>
      <c r="N215" s="88" t="s">
        <v>532</v>
      </c>
      <c r="O215" s="77"/>
      <c r="P215" s="90">
        <v>45566</v>
      </c>
      <c r="Q215" s="94">
        <f t="shared" si="88"/>
        <v>47391</v>
      </c>
      <c r="R215" s="79">
        <f>+S215*12</f>
        <v>60</v>
      </c>
      <c r="S215" s="79">
        <v>5</v>
      </c>
      <c r="T215" s="91">
        <v>140000000</v>
      </c>
      <c r="U215" s="81"/>
      <c r="V215" s="82">
        <v>140000000</v>
      </c>
      <c r="W215" s="83">
        <f t="shared" si="89"/>
        <v>2333333.3333333335</v>
      </c>
      <c r="X215" s="83">
        <v>35000000</v>
      </c>
      <c r="Y215" s="83">
        <v>105000000</v>
      </c>
      <c r="Z215" s="85">
        <f t="shared" si="72"/>
        <v>2333333.3333333335</v>
      </c>
      <c r="AA215" s="84">
        <f t="shared" si="90"/>
        <v>102666666.66666667</v>
      </c>
      <c r="AB215" s="85">
        <f t="shared" si="73"/>
        <v>2333333.3333333335</v>
      </c>
      <c r="AC215" s="84">
        <f t="shared" si="74"/>
        <v>100333333.33333334</v>
      </c>
      <c r="AD215" s="85">
        <f t="shared" si="91"/>
        <v>2333333.3333333335</v>
      </c>
      <c r="AE215" s="118">
        <f t="shared" si="75"/>
        <v>98000000.000000015</v>
      </c>
      <c r="AF215" s="85">
        <f t="shared" si="71"/>
        <v>2333333.3333333335</v>
      </c>
      <c r="AG215" s="84">
        <f t="shared" si="76"/>
        <v>95666666.666666687</v>
      </c>
      <c r="AH215" s="85"/>
      <c r="AI215" s="84">
        <f t="shared" si="77"/>
        <v>95666666.666666687</v>
      </c>
      <c r="AJ215" s="85"/>
      <c r="AK215" s="84">
        <f t="shared" si="78"/>
        <v>95666666.666666687</v>
      </c>
      <c r="AL215" s="85"/>
      <c r="AM215" s="84">
        <f t="shared" si="79"/>
        <v>95666666.666666687</v>
      </c>
      <c r="AN215" s="85"/>
      <c r="AO215" s="84">
        <f t="shared" si="80"/>
        <v>95666666.666666687</v>
      </c>
      <c r="AP215" s="85"/>
      <c r="AQ215" s="84">
        <f t="shared" si="81"/>
        <v>95666666.666666687</v>
      </c>
      <c r="AR215" s="85"/>
      <c r="AS215" s="84">
        <f t="shared" si="82"/>
        <v>95666666.666666687</v>
      </c>
      <c r="AT215" s="85"/>
      <c r="AU215" s="84">
        <f t="shared" si="83"/>
        <v>95666666.666666687</v>
      </c>
      <c r="AV215" s="85"/>
      <c r="AW215" s="84">
        <f t="shared" si="84"/>
        <v>95666666.666666687</v>
      </c>
      <c r="AX215" s="86">
        <f t="shared" si="85"/>
        <v>9333333.333333334</v>
      </c>
      <c r="AY215" s="87">
        <f t="shared" si="86"/>
        <v>95666666.666666672</v>
      </c>
      <c r="AZ215" s="65" t="b">
        <f t="shared" si="87"/>
        <v>1</v>
      </c>
    </row>
    <row r="216" spans="1:52" s="67" customFormat="1" ht="24.75" hidden="1" customHeight="1">
      <c r="A216" s="68">
        <v>211</v>
      </c>
      <c r="B216" s="69" t="s">
        <v>601</v>
      </c>
      <c r="C216" s="88" t="s">
        <v>73</v>
      </c>
      <c r="D216" s="71" t="s">
        <v>64</v>
      </c>
      <c r="E216" s="88" t="s">
        <v>602</v>
      </c>
      <c r="F216" s="89"/>
      <c r="G216" s="101">
        <v>45565</v>
      </c>
      <c r="H216" s="88" t="s">
        <v>603</v>
      </c>
      <c r="I216" s="120" t="s">
        <v>66</v>
      </c>
      <c r="J216" s="88" t="s">
        <v>67</v>
      </c>
      <c r="K216" s="68" t="s">
        <v>68</v>
      </c>
      <c r="L216" s="70" t="s">
        <v>69</v>
      </c>
      <c r="M216" s="88" t="s">
        <v>130</v>
      </c>
      <c r="N216" s="88" t="s">
        <v>131</v>
      </c>
      <c r="O216" s="77"/>
      <c r="P216" s="90">
        <v>45566</v>
      </c>
      <c r="Q216" s="94">
        <f t="shared" si="88"/>
        <v>46660</v>
      </c>
      <c r="R216" s="79">
        <f>+S216*12</f>
        <v>36</v>
      </c>
      <c r="S216" s="79">
        <v>3</v>
      </c>
      <c r="T216" s="91">
        <v>175908739</v>
      </c>
      <c r="U216" s="81"/>
      <c r="V216" s="82">
        <v>175908739</v>
      </c>
      <c r="W216" s="83">
        <f t="shared" si="89"/>
        <v>4886353.861111111</v>
      </c>
      <c r="X216" s="83">
        <v>73295307.916666672</v>
      </c>
      <c r="Y216" s="83">
        <v>102613431.08333331</v>
      </c>
      <c r="Z216" s="85">
        <f t="shared" si="72"/>
        <v>4886353.861111111</v>
      </c>
      <c r="AA216" s="84">
        <f t="shared" si="90"/>
        <v>97727077.222222224</v>
      </c>
      <c r="AB216" s="85">
        <f t="shared" si="73"/>
        <v>4886353.861111111</v>
      </c>
      <c r="AC216" s="84">
        <f t="shared" si="74"/>
        <v>92840723.361111119</v>
      </c>
      <c r="AD216" s="85">
        <f t="shared" si="91"/>
        <v>4886353.861111111</v>
      </c>
      <c r="AE216" s="118">
        <f t="shared" si="75"/>
        <v>87954369.500000015</v>
      </c>
      <c r="AF216" s="85">
        <f t="shared" si="71"/>
        <v>4886353.861111111</v>
      </c>
      <c r="AG216" s="84">
        <f t="shared" si="76"/>
        <v>83068015.63888891</v>
      </c>
      <c r="AH216" s="85"/>
      <c r="AI216" s="84">
        <f t="shared" si="77"/>
        <v>83068015.63888891</v>
      </c>
      <c r="AJ216" s="85"/>
      <c r="AK216" s="84">
        <f t="shared" si="78"/>
        <v>83068015.63888891</v>
      </c>
      <c r="AL216" s="85"/>
      <c r="AM216" s="84">
        <f t="shared" si="79"/>
        <v>83068015.63888891</v>
      </c>
      <c r="AN216" s="85"/>
      <c r="AO216" s="84">
        <f t="shared" si="80"/>
        <v>83068015.63888891</v>
      </c>
      <c r="AP216" s="85"/>
      <c r="AQ216" s="84">
        <f t="shared" si="81"/>
        <v>83068015.63888891</v>
      </c>
      <c r="AR216" s="85"/>
      <c r="AS216" s="84">
        <f t="shared" si="82"/>
        <v>83068015.63888891</v>
      </c>
      <c r="AT216" s="85"/>
      <c r="AU216" s="84">
        <f t="shared" si="83"/>
        <v>83068015.63888891</v>
      </c>
      <c r="AV216" s="85"/>
      <c r="AW216" s="84">
        <f t="shared" si="84"/>
        <v>83068015.63888891</v>
      </c>
      <c r="AX216" s="86">
        <f t="shared" si="85"/>
        <v>19545415.444444444</v>
      </c>
      <c r="AY216" s="87">
        <f t="shared" si="86"/>
        <v>83068015.638888881</v>
      </c>
      <c r="AZ216" s="65" t="b">
        <f t="shared" si="87"/>
        <v>1</v>
      </c>
    </row>
    <row r="217" spans="1:52" s="67" customFormat="1" ht="24.75" hidden="1" customHeight="1">
      <c r="A217" s="68">
        <v>212</v>
      </c>
      <c r="B217" s="69" t="s">
        <v>604</v>
      </c>
      <c r="C217" s="88" t="s">
        <v>73</v>
      </c>
      <c r="D217" s="71" t="s">
        <v>64</v>
      </c>
      <c r="E217" s="88" t="s">
        <v>605</v>
      </c>
      <c r="F217" s="89"/>
      <c r="G217" s="101">
        <v>45565</v>
      </c>
      <c r="H217" s="88" t="s">
        <v>606</v>
      </c>
      <c r="I217" s="120" t="s">
        <v>66</v>
      </c>
      <c r="J217" s="88" t="s">
        <v>67</v>
      </c>
      <c r="K217" s="68" t="s">
        <v>68</v>
      </c>
      <c r="L217" s="70" t="s">
        <v>69</v>
      </c>
      <c r="M217" s="88" t="s">
        <v>70</v>
      </c>
      <c r="N217" s="88" t="s">
        <v>71</v>
      </c>
      <c r="O217" s="77"/>
      <c r="P217" s="90">
        <v>45566</v>
      </c>
      <c r="Q217" s="94">
        <f t="shared" si="88"/>
        <v>46660</v>
      </c>
      <c r="R217" s="79">
        <f>+S217*12</f>
        <v>36</v>
      </c>
      <c r="S217" s="79">
        <v>3</v>
      </c>
      <c r="T217" s="91">
        <v>106600000</v>
      </c>
      <c r="U217" s="81"/>
      <c r="V217" s="82">
        <v>106600000</v>
      </c>
      <c r="W217" s="83">
        <f t="shared" si="89"/>
        <v>2961111.111111111</v>
      </c>
      <c r="X217" s="83">
        <v>44416666.666666672</v>
      </c>
      <c r="Y217" s="83">
        <v>62183333.333333336</v>
      </c>
      <c r="Z217" s="85">
        <f t="shared" si="72"/>
        <v>2961111.111111111</v>
      </c>
      <c r="AA217" s="84">
        <f t="shared" si="90"/>
        <v>59222222.222222216</v>
      </c>
      <c r="AB217" s="85">
        <f t="shared" si="73"/>
        <v>2961111.111111111</v>
      </c>
      <c r="AC217" s="84">
        <f t="shared" si="74"/>
        <v>56261111.111111104</v>
      </c>
      <c r="AD217" s="85">
        <f t="shared" si="91"/>
        <v>2961111.111111111</v>
      </c>
      <c r="AE217" s="84">
        <f t="shared" si="75"/>
        <v>53299999.999999993</v>
      </c>
      <c r="AF217" s="85">
        <f t="shared" si="71"/>
        <v>2961111.111111111</v>
      </c>
      <c r="AG217" s="84">
        <f t="shared" si="76"/>
        <v>50338888.888888881</v>
      </c>
      <c r="AH217" s="85"/>
      <c r="AI217" s="84">
        <f t="shared" si="77"/>
        <v>50338888.888888881</v>
      </c>
      <c r="AJ217" s="85"/>
      <c r="AK217" s="84">
        <f t="shared" si="78"/>
        <v>50338888.888888881</v>
      </c>
      <c r="AL217" s="85"/>
      <c r="AM217" s="84">
        <f t="shared" si="79"/>
        <v>50338888.888888881</v>
      </c>
      <c r="AN217" s="85"/>
      <c r="AO217" s="84">
        <f t="shared" si="80"/>
        <v>50338888.888888881</v>
      </c>
      <c r="AP217" s="85"/>
      <c r="AQ217" s="84">
        <f t="shared" si="81"/>
        <v>50338888.888888881</v>
      </c>
      <c r="AR217" s="85"/>
      <c r="AS217" s="84">
        <f t="shared" si="82"/>
        <v>50338888.888888881</v>
      </c>
      <c r="AT217" s="85"/>
      <c r="AU217" s="84">
        <f t="shared" si="83"/>
        <v>50338888.888888881</v>
      </c>
      <c r="AV217" s="85"/>
      <c r="AW217" s="84">
        <f t="shared" si="84"/>
        <v>50338888.888888881</v>
      </c>
      <c r="AX217" s="86">
        <f t="shared" si="85"/>
        <v>11844444.444444444</v>
      </c>
      <c r="AY217" s="87">
        <f t="shared" si="86"/>
        <v>50338888.888888881</v>
      </c>
      <c r="AZ217" s="65" t="b">
        <f t="shared" si="87"/>
        <v>1</v>
      </c>
    </row>
    <row r="218" spans="1:52" s="67" customFormat="1" ht="24.75" hidden="1" customHeight="1">
      <c r="A218" s="68">
        <v>213</v>
      </c>
      <c r="B218" s="69" t="s">
        <v>607</v>
      </c>
      <c r="C218" s="88" t="s">
        <v>73</v>
      </c>
      <c r="D218" s="71" t="s">
        <v>64</v>
      </c>
      <c r="E218" s="88" t="s">
        <v>605</v>
      </c>
      <c r="F218" s="89"/>
      <c r="G218" s="101">
        <v>45565</v>
      </c>
      <c r="H218" s="88" t="s">
        <v>606</v>
      </c>
      <c r="I218" s="120" t="s">
        <v>66</v>
      </c>
      <c r="J218" s="88" t="s">
        <v>67</v>
      </c>
      <c r="K218" s="68" t="s">
        <v>68</v>
      </c>
      <c r="L218" s="70" t="s">
        <v>69</v>
      </c>
      <c r="M218" s="88" t="s">
        <v>70</v>
      </c>
      <c r="N218" s="88" t="s">
        <v>71</v>
      </c>
      <c r="O218" s="77"/>
      <c r="P218" s="90">
        <v>45566</v>
      </c>
      <c r="Q218" s="94">
        <f t="shared" si="88"/>
        <v>46660</v>
      </c>
      <c r="R218" s="79">
        <f>+S218*12</f>
        <v>36</v>
      </c>
      <c r="S218" s="79">
        <v>3</v>
      </c>
      <c r="T218" s="91">
        <v>171400000</v>
      </c>
      <c r="U218" s="81"/>
      <c r="V218" s="82">
        <v>171400000</v>
      </c>
      <c r="W218" s="83">
        <f t="shared" si="89"/>
        <v>4761111.111111111</v>
      </c>
      <c r="X218" s="83">
        <v>71416666.666666672</v>
      </c>
      <c r="Y218" s="83">
        <v>99983333.333333313</v>
      </c>
      <c r="Z218" s="85">
        <f t="shared" si="72"/>
        <v>4761111.111111111</v>
      </c>
      <c r="AA218" s="84">
        <f t="shared" si="90"/>
        <v>95222222.222222224</v>
      </c>
      <c r="AB218" s="85">
        <f t="shared" si="73"/>
        <v>4761111.111111111</v>
      </c>
      <c r="AC218" s="84">
        <f t="shared" si="74"/>
        <v>90461111.111111119</v>
      </c>
      <c r="AD218" s="85">
        <f t="shared" si="91"/>
        <v>4761111.111111111</v>
      </c>
      <c r="AE218" s="84">
        <f t="shared" si="75"/>
        <v>85700000.000000015</v>
      </c>
      <c r="AF218" s="85">
        <f t="shared" si="71"/>
        <v>4761111.111111111</v>
      </c>
      <c r="AG218" s="84">
        <f t="shared" si="76"/>
        <v>80938888.88888891</v>
      </c>
      <c r="AH218" s="85"/>
      <c r="AI218" s="84">
        <f t="shared" si="77"/>
        <v>80938888.88888891</v>
      </c>
      <c r="AJ218" s="85"/>
      <c r="AK218" s="84">
        <f t="shared" si="78"/>
        <v>80938888.88888891</v>
      </c>
      <c r="AL218" s="85"/>
      <c r="AM218" s="84">
        <f t="shared" si="79"/>
        <v>80938888.88888891</v>
      </c>
      <c r="AN218" s="85"/>
      <c r="AO218" s="84">
        <f t="shared" si="80"/>
        <v>80938888.88888891</v>
      </c>
      <c r="AP218" s="85"/>
      <c r="AQ218" s="84">
        <f t="shared" si="81"/>
        <v>80938888.88888891</v>
      </c>
      <c r="AR218" s="85"/>
      <c r="AS218" s="84">
        <f t="shared" si="82"/>
        <v>80938888.88888891</v>
      </c>
      <c r="AT218" s="85"/>
      <c r="AU218" s="84">
        <f t="shared" si="83"/>
        <v>80938888.88888891</v>
      </c>
      <c r="AV218" s="85"/>
      <c r="AW218" s="84">
        <f t="shared" si="84"/>
        <v>80938888.88888891</v>
      </c>
      <c r="AX218" s="86">
        <f t="shared" si="85"/>
        <v>19044444.444444444</v>
      </c>
      <c r="AY218" s="87">
        <f t="shared" si="86"/>
        <v>80938888.888888881</v>
      </c>
      <c r="AZ218" s="65" t="b">
        <f t="shared" si="87"/>
        <v>1</v>
      </c>
    </row>
    <row r="219" spans="1:52" s="67" customFormat="1" ht="24.75" hidden="1" customHeight="1">
      <c r="A219" s="68">
        <v>214</v>
      </c>
      <c r="B219" s="69" t="s">
        <v>608</v>
      </c>
      <c r="C219" s="88" t="s">
        <v>73</v>
      </c>
      <c r="D219" s="71" t="s">
        <v>64</v>
      </c>
      <c r="E219" s="88" t="s">
        <v>609</v>
      </c>
      <c r="F219" s="89"/>
      <c r="G219" s="101">
        <v>45565</v>
      </c>
      <c r="H219" s="88" t="s">
        <v>610</v>
      </c>
      <c r="I219" s="120" t="s">
        <v>66</v>
      </c>
      <c r="J219" s="88" t="s">
        <v>67</v>
      </c>
      <c r="K219" s="68" t="s">
        <v>68</v>
      </c>
      <c r="L219" s="70" t="s">
        <v>69</v>
      </c>
      <c r="M219" s="88" t="s">
        <v>70</v>
      </c>
      <c r="N219" s="88" t="s">
        <v>71</v>
      </c>
      <c r="O219" s="77"/>
      <c r="P219" s="90">
        <v>45566</v>
      </c>
      <c r="Q219" s="94">
        <f t="shared" si="88"/>
        <v>46660</v>
      </c>
      <c r="R219" s="79">
        <f>+S219*12</f>
        <v>36</v>
      </c>
      <c r="S219" s="79">
        <v>3</v>
      </c>
      <c r="T219" s="91">
        <v>557000000</v>
      </c>
      <c r="U219" s="81"/>
      <c r="V219" s="82">
        <v>557000000</v>
      </c>
      <c r="W219" s="83">
        <f t="shared" si="89"/>
        <v>15472222.222222222</v>
      </c>
      <c r="X219" s="83">
        <v>232083333.33333328</v>
      </c>
      <c r="Y219" s="83">
        <v>324916666.66666669</v>
      </c>
      <c r="Z219" s="85">
        <f t="shared" si="72"/>
        <v>15472222.222222222</v>
      </c>
      <c r="AA219" s="84">
        <f t="shared" si="90"/>
        <v>309444444.44444454</v>
      </c>
      <c r="AB219" s="85">
        <f t="shared" si="73"/>
        <v>15472222.222222222</v>
      </c>
      <c r="AC219" s="84">
        <f t="shared" si="74"/>
        <v>293972222.22222233</v>
      </c>
      <c r="AD219" s="85">
        <f t="shared" si="91"/>
        <v>15472222.222222222</v>
      </c>
      <c r="AE219" s="84">
        <f t="shared" si="75"/>
        <v>278500000.00000012</v>
      </c>
      <c r="AF219" s="85">
        <f t="shared" si="71"/>
        <v>15472222.222222222</v>
      </c>
      <c r="AG219" s="84">
        <f t="shared" si="76"/>
        <v>263027777.77777791</v>
      </c>
      <c r="AH219" s="85"/>
      <c r="AI219" s="84">
        <f t="shared" si="77"/>
        <v>263027777.77777791</v>
      </c>
      <c r="AJ219" s="85"/>
      <c r="AK219" s="84">
        <f t="shared" si="78"/>
        <v>263027777.77777791</v>
      </c>
      <c r="AL219" s="85"/>
      <c r="AM219" s="84">
        <f t="shared" si="79"/>
        <v>263027777.77777791</v>
      </c>
      <c r="AN219" s="85"/>
      <c r="AO219" s="84">
        <f t="shared" si="80"/>
        <v>263027777.77777791</v>
      </c>
      <c r="AP219" s="85"/>
      <c r="AQ219" s="84">
        <f t="shared" si="81"/>
        <v>263027777.77777791</v>
      </c>
      <c r="AR219" s="85"/>
      <c r="AS219" s="84">
        <f t="shared" si="82"/>
        <v>263027777.77777791</v>
      </c>
      <c r="AT219" s="85"/>
      <c r="AU219" s="84">
        <f t="shared" si="83"/>
        <v>263027777.77777791</v>
      </c>
      <c r="AV219" s="85"/>
      <c r="AW219" s="84">
        <f t="shared" si="84"/>
        <v>263027777.77777791</v>
      </c>
      <c r="AX219" s="86">
        <f t="shared" si="85"/>
        <v>61888888.888888888</v>
      </c>
      <c r="AY219" s="87">
        <f t="shared" si="86"/>
        <v>263027777.77777785</v>
      </c>
      <c r="AZ219" s="65" t="b">
        <f t="shared" si="87"/>
        <v>1</v>
      </c>
    </row>
    <row r="220" spans="1:52" s="67" customFormat="1" ht="24.75" hidden="1" customHeight="1">
      <c r="A220" s="68">
        <v>215</v>
      </c>
      <c r="B220" s="69" t="s">
        <v>611</v>
      </c>
      <c r="C220" s="88" t="s">
        <v>81</v>
      </c>
      <c r="D220" s="71" t="s">
        <v>82</v>
      </c>
      <c r="E220" s="88" t="s">
        <v>612</v>
      </c>
      <c r="F220" s="89"/>
      <c r="G220" s="101">
        <v>45565</v>
      </c>
      <c r="H220" s="88" t="s">
        <v>613</v>
      </c>
      <c r="I220" s="120" t="s">
        <v>513</v>
      </c>
      <c r="J220" s="88" t="s">
        <v>514</v>
      </c>
      <c r="K220" s="68" t="s">
        <v>86</v>
      </c>
      <c r="L220" s="70" t="s">
        <v>87</v>
      </c>
      <c r="M220" s="88" t="s">
        <v>125</v>
      </c>
      <c r="N220" s="88" t="s">
        <v>614</v>
      </c>
      <c r="O220" s="77"/>
      <c r="P220" s="90">
        <v>45597</v>
      </c>
      <c r="Q220" s="94">
        <f t="shared" si="88"/>
        <v>46326</v>
      </c>
      <c r="R220" s="79">
        <v>24</v>
      </c>
      <c r="S220" s="79">
        <v>2</v>
      </c>
      <c r="T220" s="91">
        <v>150714200</v>
      </c>
      <c r="U220" s="81"/>
      <c r="V220" s="82">
        <v>150714200</v>
      </c>
      <c r="W220" s="83">
        <f t="shared" si="89"/>
        <v>6279758.333333333</v>
      </c>
      <c r="X220" s="83">
        <v>87916616.666666672</v>
      </c>
      <c r="Y220" s="83">
        <v>62797583.333333343</v>
      </c>
      <c r="Z220" s="85">
        <f t="shared" si="72"/>
        <v>6279758.333333333</v>
      </c>
      <c r="AA220" s="84">
        <f t="shared" si="90"/>
        <v>56517824.999999993</v>
      </c>
      <c r="AB220" s="85">
        <f t="shared" si="73"/>
        <v>6279758.333333333</v>
      </c>
      <c r="AC220" s="84">
        <f t="shared" si="74"/>
        <v>50238066.666666657</v>
      </c>
      <c r="AD220" s="85">
        <f t="shared" si="91"/>
        <v>6279758.333333333</v>
      </c>
      <c r="AE220" s="84">
        <f t="shared" si="75"/>
        <v>43958308.333333321</v>
      </c>
      <c r="AF220" s="85">
        <f t="shared" si="71"/>
        <v>6279758.333333333</v>
      </c>
      <c r="AG220" s="84">
        <f t="shared" si="76"/>
        <v>37678549.999999985</v>
      </c>
      <c r="AH220" s="85"/>
      <c r="AI220" s="84">
        <f t="shared" si="77"/>
        <v>37678549.999999985</v>
      </c>
      <c r="AJ220" s="85"/>
      <c r="AK220" s="84">
        <f t="shared" si="78"/>
        <v>37678549.999999985</v>
      </c>
      <c r="AL220" s="85"/>
      <c r="AM220" s="84">
        <f t="shared" si="79"/>
        <v>37678549.999999985</v>
      </c>
      <c r="AN220" s="85"/>
      <c r="AO220" s="84">
        <f t="shared" si="80"/>
        <v>37678549.999999985</v>
      </c>
      <c r="AP220" s="85"/>
      <c r="AQ220" s="84">
        <f t="shared" si="81"/>
        <v>37678549.999999985</v>
      </c>
      <c r="AR220" s="85"/>
      <c r="AS220" s="84">
        <f t="shared" si="82"/>
        <v>37678549.999999985</v>
      </c>
      <c r="AT220" s="85"/>
      <c r="AU220" s="84">
        <f t="shared" si="83"/>
        <v>37678549.999999985</v>
      </c>
      <c r="AV220" s="85"/>
      <c r="AW220" s="84">
        <f t="shared" si="84"/>
        <v>37678549.999999985</v>
      </c>
      <c r="AX220" s="86">
        <f t="shared" si="85"/>
        <v>25119033.333333332</v>
      </c>
      <c r="AY220" s="87">
        <f t="shared" si="86"/>
        <v>37678550</v>
      </c>
      <c r="AZ220" s="65" t="b">
        <f t="shared" si="87"/>
        <v>1</v>
      </c>
    </row>
    <row r="221" spans="1:52" s="67" customFormat="1" ht="24.75" hidden="1" customHeight="1">
      <c r="A221" s="68">
        <v>216</v>
      </c>
      <c r="B221" s="69" t="s">
        <v>615</v>
      </c>
      <c r="C221" s="88" t="s">
        <v>81</v>
      </c>
      <c r="D221" s="71" t="s">
        <v>95</v>
      </c>
      <c r="E221" s="88" t="s">
        <v>616</v>
      </c>
      <c r="F221" s="89"/>
      <c r="G221" s="101">
        <v>45565</v>
      </c>
      <c r="H221" s="88" t="s">
        <v>613</v>
      </c>
      <c r="I221" s="95" t="s">
        <v>98</v>
      </c>
      <c r="J221" s="88" t="s">
        <v>617</v>
      </c>
      <c r="K221" s="68" t="s">
        <v>99</v>
      </c>
      <c r="L221" s="70" t="s">
        <v>100</v>
      </c>
      <c r="M221" s="88" t="s">
        <v>101</v>
      </c>
      <c r="N221" s="102" t="s">
        <v>102</v>
      </c>
      <c r="O221" s="77"/>
      <c r="P221" s="90">
        <v>45597</v>
      </c>
      <c r="Q221" s="94">
        <f t="shared" si="88"/>
        <v>46326</v>
      </c>
      <c r="R221" s="79">
        <v>24</v>
      </c>
      <c r="S221" s="79">
        <v>2</v>
      </c>
      <c r="T221" s="91">
        <v>175000000</v>
      </c>
      <c r="U221" s="81"/>
      <c r="V221" s="82">
        <v>175000000</v>
      </c>
      <c r="W221" s="83">
        <f t="shared" si="89"/>
        <v>7291666.666666667</v>
      </c>
      <c r="X221" s="83">
        <v>102083333.33333333</v>
      </c>
      <c r="Y221" s="83">
        <v>72916666.666666657</v>
      </c>
      <c r="Z221" s="85">
        <f t="shared" si="72"/>
        <v>7291666.666666667</v>
      </c>
      <c r="AA221" s="84">
        <f t="shared" si="90"/>
        <v>65625000.000000007</v>
      </c>
      <c r="AB221" s="85">
        <f t="shared" si="73"/>
        <v>7291666.666666667</v>
      </c>
      <c r="AC221" s="84">
        <f t="shared" si="74"/>
        <v>58333333.333333343</v>
      </c>
      <c r="AD221" s="85">
        <f t="shared" si="91"/>
        <v>7291666.666666667</v>
      </c>
      <c r="AE221" s="84">
        <f t="shared" si="75"/>
        <v>51041666.666666679</v>
      </c>
      <c r="AF221" s="85">
        <f t="shared" si="71"/>
        <v>7291666.666666667</v>
      </c>
      <c r="AG221" s="84">
        <f t="shared" si="76"/>
        <v>43750000.000000015</v>
      </c>
      <c r="AH221" s="85"/>
      <c r="AI221" s="84">
        <f t="shared" si="77"/>
        <v>43750000.000000015</v>
      </c>
      <c r="AJ221" s="85"/>
      <c r="AK221" s="84">
        <f t="shared" si="78"/>
        <v>43750000.000000015</v>
      </c>
      <c r="AL221" s="85"/>
      <c r="AM221" s="84">
        <f t="shared" si="79"/>
        <v>43750000.000000015</v>
      </c>
      <c r="AN221" s="85"/>
      <c r="AO221" s="84">
        <f t="shared" si="80"/>
        <v>43750000.000000015</v>
      </c>
      <c r="AP221" s="85"/>
      <c r="AQ221" s="84">
        <f t="shared" si="81"/>
        <v>43750000.000000015</v>
      </c>
      <c r="AR221" s="85"/>
      <c r="AS221" s="84">
        <f t="shared" si="82"/>
        <v>43750000.000000015</v>
      </c>
      <c r="AT221" s="85"/>
      <c r="AU221" s="84">
        <f t="shared" si="83"/>
        <v>43750000.000000015</v>
      </c>
      <c r="AV221" s="85"/>
      <c r="AW221" s="84">
        <f t="shared" si="84"/>
        <v>43750000.000000015</v>
      </c>
      <c r="AX221" s="86">
        <f t="shared" si="85"/>
        <v>29166666.666666668</v>
      </c>
      <c r="AY221" s="87">
        <f t="shared" si="86"/>
        <v>43750000</v>
      </c>
      <c r="AZ221" s="65" t="b">
        <f t="shared" si="87"/>
        <v>1</v>
      </c>
    </row>
    <row r="222" spans="1:52" s="67" customFormat="1" ht="24.75" hidden="1" customHeight="1">
      <c r="A222" s="68">
        <v>217</v>
      </c>
      <c r="B222" s="69" t="s">
        <v>618</v>
      </c>
      <c r="C222" s="88" t="s">
        <v>81</v>
      </c>
      <c r="D222" s="71" t="s">
        <v>95</v>
      </c>
      <c r="E222" s="88" t="s">
        <v>619</v>
      </c>
      <c r="F222" s="89"/>
      <c r="G222" s="101">
        <v>45596</v>
      </c>
      <c r="H222" s="88" t="s">
        <v>620</v>
      </c>
      <c r="I222" s="95" t="s">
        <v>98</v>
      </c>
      <c r="J222" s="88" t="s">
        <v>156</v>
      </c>
      <c r="K222" s="68" t="s">
        <v>99</v>
      </c>
      <c r="L222" s="70" t="s">
        <v>100</v>
      </c>
      <c r="M222" s="88" t="s">
        <v>101</v>
      </c>
      <c r="N222" s="88" t="s">
        <v>102</v>
      </c>
      <c r="O222" s="77"/>
      <c r="P222" s="90">
        <v>45597</v>
      </c>
      <c r="Q222" s="94">
        <f t="shared" si="88"/>
        <v>46326</v>
      </c>
      <c r="R222" s="79">
        <v>24</v>
      </c>
      <c r="S222" s="79">
        <v>2</v>
      </c>
      <c r="T222" s="91">
        <v>310000000</v>
      </c>
      <c r="U222" s="81"/>
      <c r="V222" s="121">
        <v>310000000</v>
      </c>
      <c r="W222" s="83">
        <f t="shared" si="89"/>
        <v>12916666.666666666</v>
      </c>
      <c r="X222" s="83">
        <v>180833333.33333334</v>
      </c>
      <c r="Y222" s="83">
        <v>129166666.66666669</v>
      </c>
      <c r="Z222" s="85">
        <f t="shared" si="72"/>
        <v>12916666.666666666</v>
      </c>
      <c r="AA222" s="84">
        <f t="shared" si="90"/>
        <v>116249999.99999999</v>
      </c>
      <c r="AB222" s="85">
        <f t="shared" si="73"/>
        <v>12916666.666666666</v>
      </c>
      <c r="AC222" s="84">
        <f t="shared" si="74"/>
        <v>103333333.33333331</v>
      </c>
      <c r="AD222" s="85">
        <f t="shared" si="91"/>
        <v>12916666.666666666</v>
      </c>
      <c r="AE222" s="84">
        <f t="shared" si="75"/>
        <v>90416666.666666642</v>
      </c>
      <c r="AF222" s="85">
        <f t="shared" si="71"/>
        <v>12916666.666666666</v>
      </c>
      <c r="AG222" s="84">
        <f t="shared" si="76"/>
        <v>77499999.99999997</v>
      </c>
      <c r="AH222" s="85"/>
      <c r="AI222" s="84">
        <f t="shared" si="77"/>
        <v>77499999.99999997</v>
      </c>
      <c r="AJ222" s="85"/>
      <c r="AK222" s="84">
        <f t="shared" si="78"/>
        <v>77499999.99999997</v>
      </c>
      <c r="AL222" s="85"/>
      <c r="AM222" s="84">
        <f t="shared" si="79"/>
        <v>77499999.99999997</v>
      </c>
      <c r="AN222" s="85"/>
      <c r="AO222" s="84">
        <f t="shared" si="80"/>
        <v>77499999.99999997</v>
      </c>
      <c r="AP222" s="85"/>
      <c r="AQ222" s="84">
        <f t="shared" si="81"/>
        <v>77499999.99999997</v>
      </c>
      <c r="AR222" s="85"/>
      <c r="AS222" s="84">
        <f t="shared" si="82"/>
        <v>77499999.99999997</v>
      </c>
      <c r="AT222" s="85"/>
      <c r="AU222" s="84">
        <f t="shared" si="83"/>
        <v>77499999.99999997</v>
      </c>
      <c r="AV222" s="85"/>
      <c r="AW222" s="84">
        <f t="shared" si="84"/>
        <v>77499999.99999997</v>
      </c>
      <c r="AX222" s="86">
        <f t="shared" si="85"/>
        <v>51666666.666666664</v>
      </c>
      <c r="AY222" s="87">
        <f t="shared" si="86"/>
        <v>77500000</v>
      </c>
      <c r="AZ222" s="65" t="b">
        <f t="shared" si="87"/>
        <v>1</v>
      </c>
    </row>
    <row r="223" spans="1:52" s="67" customFormat="1" ht="24.75" hidden="1" customHeight="1">
      <c r="A223" s="68">
        <v>218</v>
      </c>
      <c r="B223" s="69" t="s">
        <v>621</v>
      </c>
      <c r="C223" s="88" t="s">
        <v>81</v>
      </c>
      <c r="D223" s="71" t="s">
        <v>95</v>
      </c>
      <c r="E223" s="88" t="s">
        <v>622</v>
      </c>
      <c r="F223" s="89"/>
      <c r="G223" s="101">
        <v>45596</v>
      </c>
      <c r="H223" s="88" t="s">
        <v>620</v>
      </c>
      <c r="I223" s="95" t="s">
        <v>98</v>
      </c>
      <c r="J223" s="88" t="s">
        <v>156</v>
      </c>
      <c r="K223" s="68" t="s">
        <v>99</v>
      </c>
      <c r="L223" s="70" t="s">
        <v>100</v>
      </c>
      <c r="M223" s="88" t="s">
        <v>101</v>
      </c>
      <c r="N223" s="88" t="s">
        <v>102</v>
      </c>
      <c r="O223" s="77"/>
      <c r="P223" s="90">
        <v>45597</v>
      </c>
      <c r="Q223" s="94">
        <f t="shared" si="88"/>
        <v>46691</v>
      </c>
      <c r="R223" s="122">
        <v>36</v>
      </c>
      <c r="S223" s="122">
        <v>3</v>
      </c>
      <c r="T223" s="91">
        <v>494954797.60000002</v>
      </c>
      <c r="U223" s="81"/>
      <c r="V223" s="121">
        <v>494954797.60000002</v>
      </c>
      <c r="W223" s="83">
        <f t="shared" si="89"/>
        <v>13748744.377777778</v>
      </c>
      <c r="X223" s="83">
        <v>192482421.28888893</v>
      </c>
      <c r="Y223" s="83">
        <v>302472376.31111109</v>
      </c>
      <c r="Z223" s="85">
        <f t="shared" si="72"/>
        <v>13748744.377777778</v>
      </c>
      <c r="AA223" s="84">
        <f t="shared" si="90"/>
        <v>288723631.93333334</v>
      </c>
      <c r="AB223" s="85">
        <f t="shared" si="73"/>
        <v>13748744.377777778</v>
      </c>
      <c r="AC223" s="84">
        <f t="shared" si="74"/>
        <v>274974887.55555558</v>
      </c>
      <c r="AD223" s="85">
        <f t="shared" si="91"/>
        <v>13748744.377777778</v>
      </c>
      <c r="AE223" s="84">
        <f t="shared" si="75"/>
        <v>261226143.1777778</v>
      </c>
      <c r="AF223" s="85">
        <f t="shared" si="71"/>
        <v>13748744.377777778</v>
      </c>
      <c r="AG223" s="84">
        <f t="shared" si="76"/>
        <v>247477398.80000001</v>
      </c>
      <c r="AH223" s="85"/>
      <c r="AI223" s="84">
        <f t="shared" si="77"/>
        <v>247477398.80000001</v>
      </c>
      <c r="AJ223" s="85"/>
      <c r="AK223" s="84">
        <f t="shared" si="78"/>
        <v>247477398.80000001</v>
      </c>
      <c r="AL223" s="85"/>
      <c r="AM223" s="84">
        <f t="shared" si="79"/>
        <v>247477398.80000001</v>
      </c>
      <c r="AN223" s="85"/>
      <c r="AO223" s="84">
        <f t="shared" si="80"/>
        <v>247477398.80000001</v>
      </c>
      <c r="AP223" s="85"/>
      <c r="AQ223" s="84">
        <f t="shared" si="81"/>
        <v>247477398.80000001</v>
      </c>
      <c r="AR223" s="85"/>
      <c r="AS223" s="84">
        <f t="shared" si="82"/>
        <v>247477398.80000001</v>
      </c>
      <c r="AT223" s="85"/>
      <c r="AU223" s="84">
        <f t="shared" si="83"/>
        <v>247477398.80000001</v>
      </c>
      <c r="AV223" s="85"/>
      <c r="AW223" s="84">
        <f t="shared" si="84"/>
        <v>247477398.80000001</v>
      </c>
      <c r="AX223" s="86">
        <f t="shared" si="85"/>
        <v>54994977.51111111</v>
      </c>
      <c r="AY223" s="87">
        <f t="shared" si="86"/>
        <v>247477398.79999998</v>
      </c>
      <c r="AZ223" s="65" t="b">
        <f t="shared" si="87"/>
        <v>1</v>
      </c>
    </row>
    <row r="224" spans="1:52" s="67" customFormat="1" ht="24.75" hidden="1" customHeight="1">
      <c r="A224" s="68">
        <v>219</v>
      </c>
      <c r="B224" s="69" t="s">
        <v>623</v>
      </c>
      <c r="C224" s="88" t="s">
        <v>81</v>
      </c>
      <c r="D224" s="71" t="s">
        <v>95</v>
      </c>
      <c r="E224" s="88" t="s">
        <v>624</v>
      </c>
      <c r="F224" s="89"/>
      <c r="G224" s="101">
        <v>45596</v>
      </c>
      <c r="H224" s="88" t="s">
        <v>620</v>
      </c>
      <c r="I224" s="95" t="s">
        <v>98</v>
      </c>
      <c r="J224" s="88" t="s">
        <v>156</v>
      </c>
      <c r="K224" s="68" t="s">
        <v>99</v>
      </c>
      <c r="L224" s="70" t="s">
        <v>100</v>
      </c>
      <c r="M224" s="88" t="s">
        <v>101</v>
      </c>
      <c r="N224" s="88" t="s">
        <v>102</v>
      </c>
      <c r="O224" s="77"/>
      <c r="P224" s="90">
        <v>45597</v>
      </c>
      <c r="Q224" s="94">
        <f t="shared" si="88"/>
        <v>46691</v>
      </c>
      <c r="R224" s="122">
        <v>36</v>
      </c>
      <c r="S224" s="122">
        <v>3</v>
      </c>
      <c r="T224" s="91">
        <v>765370319.54999995</v>
      </c>
      <c r="U224" s="81"/>
      <c r="V224" s="121">
        <v>765370319.54999995</v>
      </c>
      <c r="W224" s="83">
        <f t="shared" si="89"/>
        <v>21260286.654166665</v>
      </c>
      <c r="X224" s="83">
        <v>297644013.1583333</v>
      </c>
      <c r="Y224" s="83">
        <v>467726306.39166665</v>
      </c>
      <c r="Z224" s="85">
        <f t="shared" si="72"/>
        <v>21260286.654166665</v>
      </c>
      <c r="AA224" s="84">
        <f t="shared" si="90"/>
        <v>446466019.73750001</v>
      </c>
      <c r="AB224" s="85">
        <f t="shared" si="73"/>
        <v>21260286.654166665</v>
      </c>
      <c r="AC224" s="84">
        <f t="shared" si="74"/>
        <v>425205733.08333337</v>
      </c>
      <c r="AD224" s="85">
        <f t="shared" si="91"/>
        <v>21260286.654166665</v>
      </c>
      <c r="AE224" s="84">
        <f t="shared" si="75"/>
        <v>403945446.42916673</v>
      </c>
      <c r="AF224" s="85">
        <f t="shared" si="71"/>
        <v>21260286.654166665</v>
      </c>
      <c r="AG224" s="84">
        <f t="shared" si="76"/>
        <v>382685159.7750001</v>
      </c>
      <c r="AH224" s="85"/>
      <c r="AI224" s="84">
        <f t="shared" si="77"/>
        <v>382685159.7750001</v>
      </c>
      <c r="AJ224" s="85"/>
      <c r="AK224" s="84">
        <f t="shared" si="78"/>
        <v>382685159.7750001</v>
      </c>
      <c r="AL224" s="85"/>
      <c r="AM224" s="84">
        <f t="shared" si="79"/>
        <v>382685159.7750001</v>
      </c>
      <c r="AN224" s="85"/>
      <c r="AO224" s="84">
        <f t="shared" si="80"/>
        <v>382685159.7750001</v>
      </c>
      <c r="AP224" s="85"/>
      <c r="AQ224" s="84">
        <f t="shared" si="81"/>
        <v>382685159.7750001</v>
      </c>
      <c r="AR224" s="85"/>
      <c r="AS224" s="84">
        <f t="shared" si="82"/>
        <v>382685159.7750001</v>
      </c>
      <c r="AT224" s="85"/>
      <c r="AU224" s="84">
        <f t="shared" si="83"/>
        <v>382685159.7750001</v>
      </c>
      <c r="AV224" s="85"/>
      <c r="AW224" s="84">
        <f t="shared" si="84"/>
        <v>382685159.7750001</v>
      </c>
      <c r="AX224" s="86">
        <f t="shared" si="85"/>
        <v>85041146.61666666</v>
      </c>
      <c r="AY224" s="87">
        <f t="shared" si="86"/>
        <v>382685159.77499998</v>
      </c>
      <c r="AZ224" s="65" t="b">
        <f t="shared" si="87"/>
        <v>1</v>
      </c>
    </row>
    <row r="225" spans="1:52" s="67" customFormat="1" ht="24.75" hidden="1" customHeight="1">
      <c r="A225" s="68">
        <v>220</v>
      </c>
      <c r="B225" s="69" t="s">
        <v>625</v>
      </c>
      <c r="C225" s="88" t="s">
        <v>626</v>
      </c>
      <c r="D225" s="71" t="s">
        <v>396</v>
      </c>
      <c r="E225" s="88" t="s">
        <v>627</v>
      </c>
      <c r="F225" s="89"/>
      <c r="G225" s="101">
        <v>45566</v>
      </c>
      <c r="H225" s="88" t="s">
        <v>628</v>
      </c>
      <c r="I225" s="74" t="s">
        <v>399</v>
      </c>
      <c r="J225" s="88" t="s">
        <v>400</v>
      </c>
      <c r="K225" s="68" t="s">
        <v>68</v>
      </c>
      <c r="L225" s="70" t="s">
        <v>69</v>
      </c>
      <c r="M225" s="88" t="s">
        <v>125</v>
      </c>
      <c r="N225" s="88" t="s">
        <v>126</v>
      </c>
      <c r="O225" s="77"/>
      <c r="P225" s="90">
        <v>45597</v>
      </c>
      <c r="Q225" s="94">
        <f t="shared" si="88"/>
        <v>46326</v>
      </c>
      <c r="R225" s="79">
        <v>24</v>
      </c>
      <c r="S225" s="79">
        <v>2</v>
      </c>
      <c r="T225" s="91">
        <v>28617273</v>
      </c>
      <c r="U225" s="81"/>
      <c r="V225" s="82">
        <v>28617273</v>
      </c>
      <c r="W225" s="83">
        <f t="shared" si="89"/>
        <v>1192386.375</v>
      </c>
      <c r="X225" s="83">
        <v>16693409.25</v>
      </c>
      <c r="Y225" s="83">
        <v>11923863.75</v>
      </c>
      <c r="Z225" s="85">
        <f t="shared" si="72"/>
        <v>1192386.375</v>
      </c>
      <c r="AA225" s="84">
        <f t="shared" si="90"/>
        <v>10731477.375</v>
      </c>
      <c r="AB225" s="85">
        <f t="shared" si="73"/>
        <v>1192386.375</v>
      </c>
      <c r="AC225" s="84">
        <f t="shared" si="74"/>
        <v>9539091</v>
      </c>
      <c r="AD225" s="85">
        <f t="shared" si="91"/>
        <v>1192386.375</v>
      </c>
      <c r="AE225" s="84">
        <f t="shared" si="75"/>
        <v>8346704.625</v>
      </c>
      <c r="AF225" s="85">
        <f t="shared" si="71"/>
        <v>1192386.375</v>
      </c>
      <c r="AG225" s="84">
        <f t="shared" si="76"/>
        <v>7154318.25</v>
      </c>
      <c r="AH225" s="85"/>
      <c r="AI225" s="84">
        <f t="shared" si="77"/>
        <v>7154318.25</v>
      </c>
      <c r="AJ225" s="85"/>
      <c r="AK225" s="84">
        <f t="shared" si="78"/>
        <v>7154318.25</v>
      </c>
      <c r="AL225" s="85"/>
      <c r="AM225" s="84">
        <f t="shared" si="79"/>
        <v>7154318.25</v>
      </c>
      <c r="AN225" s="85"/>
      <c r="AO225" s="84">
        <f t="shared" si="80"/>
        <v>7154318.25</v>
      </c>
      <c r="AP225" s="85"/>
      <c r="AQ225" s="84">
        <f t="shared" si="81"/>
        <v>7154318.25</v>
      </c>
      <c r="AR225" s="85"/>
      <c r="AS225" s="84">
        <f t="shared" si="82"/>
        <v>7154318.25</v>
      </c>
      <c r="AT225" s="85"/>
      <c r="AU225" s="84">
        <f t="shared" si="83"/>
        <v>7154318.25</v>
      </c>
      <c r="AV225" s="85"/>
      <c r="AW225" s="84">
        <f t="shared" si="84"/>
        <v>7154318.25</v>
      </c>
      <c r="AX225" s="86">
        <f t="shared" si="85"/>
        <v>4769545.5</v>
      </c>
      <c r="AY225" s="87">
        <f t="shared" si="86"/>
        <v>7154318.25</v>
      </c>
      <c r="AZ225" s="65" t="b">
        <f t="shared" si="87"/>
        <v>1</v>
      </c>
    </row>
    <row r="226" spans="1:52" s="67" customFormat="1" ht="24.75" hidden="1" customHeight="1">
      <c r="A226" s="68">
        <v>221</v>
      </c>
      <c r="B226" s="69" t="s">
        <v>629</v>
      </c>
      <c r="C226" s="102" t="s">
        <v>630</v>
      </c>
      <c r="D226" s="71" t="s">
        <v>106</v>
      </c>
      <c r="E226" s="102" t="s">
        <v>631</v>
      </c>
      <c r="F226" s="104"/>
      <c r="G226" s="105">
        <v>45574</v>
      </c>
      <c r="H226" s="102" t="s">
        <v>632</v>
      </c>
      <c r="I226" s="120" t="s">
        <v>633</v>
      </c>
      <c r="J226" s="102" t="s">
        <v>634</v>
      </c>
      <c r="K226" s="106" t="s">
        <v>635</v>
      </c>
      <c r="L226" s="107" t="s">
        <v>636</v>
      </c>
      <c r="M226" s="102" t="s">
        <v>403</v>
      </c>
      <c r="N226" s="102" t="s">
        <v>404</v>
      </c>
      <c r="O226" s="108"/>
      <c r="P226" s="109">
        <v>45597</v>
      </c>
      <c r="Q226" s="110">
        <f t="shared" si="88"/>
        <v>46326</v>
      </c>
      <c r="R226" s="111">
        <v>24</v>
      </c>
      <c r="S226" s="111">
        <v>2</v>
      </c>
      <c r="T226" s="123">
        <v>75810600</v>
      </c>
      <c r="U226" s="113"/>
      <c r="V226" s="114">
        <v>75810600</v>
      </c>
      <c r="W226" s="115">
        <f t="shared" si="89"/>
        <v>3158775</v>
      </c>
      <c r="X226" s="115">
        <v>44222850</v>
      </c>
      <c r="Y226" s="115">
        <v>31587750</v>
      </c>
      <c r="Z226" s="124">
        <f t="shared" si="72"/>
        <v>3158775</v>
      </c>
      <c r="AA226" s="118">
        <f t="shared" si="90"/>
        <v>28428975</v>
      </c>
      <c r="AB226" s="85">
        <f t="shared" si="73"/>
        <v>3158775</v>
      </c>
      <c r="AC226" s="84">
        <f t="shared" si="74"/>
        <v>25270200</v>
      </c>
      <c r="AD226" s="85">
        <f t="shared" si="91"/>
        <v>3158775</v>
      </c>
      <c r="AE226" s="118">
        <f t="shared" si="75"/>
        <v>22111425</v>
      </c>
      <c r="AF226" s="85">
        <f t="shared" si="71"/>
        <v>3158775</v>
      </c>
      <c r="AG226" s="84">
        <f t="shared" si="76"/>
        <v>18952650</v>
      </c>
      <c r="AH226" s="85"/>
      <c r="AI226" s="84">
        <f t="shared" si="77"/>
        <v>18952650</v>
      </c>
      <c r="AJ226" s="85"/>
      <c r="AK226" s="84">
        <f t="shared" si="78"/>
        <v>18952650</v>
      </c>
      <c r="AL226" s="85"/>
      <c r="AM226" s="84">
        <f t="shared" si="79"/>
        <v>18952650</v>
      </c>
      <c r="AN226" s="85"/>
      <c r="AO226" s="84">
        <f t="shared" si="80"/>
        <v>18952650</v>
      </c>
      <c r="AP226" s="85"/>
      <c r="AQ226" s="84">
        <f t="shared" si="81"/>
        <v>18952650</v>
      </c>
      <c r="AR226" s="85"/>
      <c r="AS226" s="84">
        <f t="shared" si="82"/>
        <v>18952650</v>
      </c>
      <c r="AT226" s="85"/>
      <c r="AU226" s="84">
        <f t="shared" si="83"/>
        <v>18952650</v>
      </c>
      <c r="AV226" s="85"/>
      <c r="AW226" s="84">
        <f t="shared" si="84"/>
        <v>18952650</v>
      </c>
      <c r="AX226" s="86">
        <f t="shared" si="85"/>
        <v>12635100</v>
      </c>
      <c r="AY226" s="87">
        <f t="shared" si="86"/>
        <v>18952650</v>
      </c>
      <c r="AZ226" s="65" t="b">
        <f t="shared" si="87"/>
        <v>1</v>
      </c>
    </row>
    <row r="227" spans="1:52" s="67" customFormat="1" ht="24.75" hidden="1" customHeight="1">
      <c r="A227" s="68">
        <v>222</v>
      </c>
      <c r="B227" s="69" t="s">
        <v>637</v>
      </c>
      <c r="C227" s="88" t="s">
        <v>81</v>
      </c>
      <c r="D227" s="71" t="s">
        <v>95</v>
      </c>
      <c r="E227" s="102" t="s">
        <v>638</v>
      </c>
      <c r="F227" s="104"/>
      <c r="G227" s="105">
        <v>45626</v>
      </c>
      <c r="H227" s="102" t="s">
        <v>639</v>
      </c>
      <c r="I227" s="95" t="s">
        <v>98</v>
      </c>
      <c r="J227" s="102" t="s">
        <v>617</v>
      </c>
      <c r="K227" s="68" t="s">
        <v>99</v>
      </c>
      <c r="L227" s="70" t="s">
        <v>100</v>
      </c>
      <c r="M227" s="88" t="s">
        <v>101</v>
      </c>
      <c r="N227" s="102" t="s">
        <v>102</v>
      </c>
      <c r="O227" s="108"/>
      <c r="P227" s="109">
        <v>45627</v>
      </c>
      <c r="Q227" s="110">
        <f t="shared" si="88"/>
        <v>46356</v>
      </c>
      <c r="R227" s="111">
        <v>24</v>
      </c>
      <c r="S227" s="111">
        <v>2</v>
      </c>
      <c r="T227" s="123">
        <v>241000000</v>
      </c>
      <c r="U227" s="113"/>
      <c r="V227" s="123">
        <v>241000000</v>
      </c>
      <c r="W227" s="115">
        <f t="shared" si="89"/>
        <v>10041666.666666666</v>
      </c>
      <c r="X227" s="115">
        <v>130541666.66666669</v>
      </c>
      <c r="Y227" s="115">
        <v>110458333.33333333</v>
      </c>
      <c r="Z227" s="124">
        <f t="shared" si="72"/>
        <v>10041666.666666666</v>
      </c>
      <c r="AA227" s="118">
        <f t="shared" si="90"/>
        <v>100416666.66666664</v>
      </c>
      <c r="AB227" s="85">
        <f t="shared" si="73"/>
        <v>10041666.666666666</v>
      </c>
      <c r="AC227" s="84">
        <f t="shared" si="74"/>
        <v>90374999.99999997</v>
      </c>
      <c r="AD227" s="85">
        <f t="shared" si="91"/>
        <v>10041666.666666666</v>
      </c>
      <c r="AE227" s="118">
        <f t="shared" si="75"/>
        <v>80333333.333333299</v>
      </c>
      <c r="AF227" s="85">
        <f t="shared" si="71"/>
        <v>10041666.666666666</v>
      </c>
      <c r="AG227" s="84">
        <f t="shared" si="76"/>
        <v>70291666.666666627</v>
      </c>
      <c r="AH227" s="85"/>
      <c r="AI227" s="84">
        <f t="shared" si="77"/>
        <v>70291666.666666627</v>
      </c>
      <c r="AJ227" s="85"/>
      <c r="AK227" s="84">
        <f t="shared" si="78"/>
        <v>70291666.666666627</v>
      </c>
      <c r="AL227" s="85"/>
      <c r="AM227" s="84">
        <f t="shared" si="79"/>
        <v>70291666.666666627</v>
      </c>
      <c r="AN227" s="85"/>
      <c r="AO227" s="84">
        <f t="shared" si="80"/>
        <v>70291666.666666627</v>
      </c>
      <c r="AP227" s="85"/>
      <c r="AQ227" s="84">
        <f t="shared" si="81"/>
        <v>70291666.666666627</v>
      </c>
      <c r="AR227" s="85"/>
      <c r="AS227" s="84">
        <f t="shared" si="82"/>
        <v>70291666.666666627</v>
      </c>
      <c r="AT227" s="85"/>
      <c r="AU227" s="84">
        <f t="shared" si="83"/>
        <v>70291666.666666627</v>
      </c>
      <c r="AV227" s="85"/>
      <c r="AW227" s="84">
        <f t="shared" si="84"/>
        <v>70291666.666666627</v>
      </c>
      <c r="AX227" s="86">
        <f t="shared" si="85"/>
        <v>40166666.666666664</v>
      </c>
      <c r="AY227" s="87">
        <f t="shared" si="86"/>
        <v>70291666.666666657</v>
      </c>
      <c r="AZ227" s="65" t="b">
        <f t="shared" si="87"/>
        <v>1</v>
      </c>
    </row>
    <row r="228" spans="1:52" s="67" customFormat="1" ht="24.75" hidden="1" customHeight="1">
      <c r="A228" s="68">
        <v>223</v>
      </c>
      <c r="B228" s="69" t="s">
        <v>640</v>
      </c>
      <c r="C228" s="88" t="s">
        <v>81</v>
      </c>
      <c r="D228" s="71" t="s">
        <v>95</v>
      </c>
      <c r="E228" s="102" t="s">
        <v>641</v>
      </c>
      <c r="F228" s="104"/>
      <c r="G228" s="105">
        <v>45626</v>
      </c>
      <c r="H228" s="102" t="s">
        <v>639</v>
      </c>
      <c r="I228" s="95" t="s">
        <v>98</v>
      </c>
      <c r="J228" s="102" t="s">
        <v>617</v>
      </c>
      <c r="K228" s="68" t="s">
        <v>99</v>
      </c>
      <c r="L228" s="70" t="s">
        <v>100</v>
      </c>
      <c r="M228" s="88" t="s">
        <v>101</v>
      </c>
      <c r="N228" s="102" t="s">
        <v>102</v>
      </c>
      <c r="O228" s="108"/>
      <c r="P228" s="109">
        <v>45627</v>
      </c>
      <c r="Q228" s="110">
        <f t="shared" si="88"/>
        <v>46356</v>
      </c>
      <c r="R228" s="111">
        <v>24</v>
      </c>
      <c r="S228" s="111">
        <v>2</v>
      </c>
      <c r="T228" s="123">
        <v>300000000</v>
      </c>
      <c r="U228" s="113"/>
      <c r="V228" s="123">
        <v>300000000</v>
      </c>
      <c r="W228" s="115">
        <f t="shared" si="89"/>
        <v>12500000</v>
      </c>
      <c r="X228" s="115">
        <v>162500000</v>
      </c>
      <c r="Y228" s="115">
        <v>137500000</v>
      </c>
      <c r="Z228" s="124">
        <f t="shared" si="72"/>
        <v>12500000</v>
      </c>
      <c r="AA228" s="118">
        <f t="shared" si="90"/>
        <v>125000000</v>
      </c>
      <c r="AB228" s="85">
        <f t="shared" si="73"/>
        <v>12500000</v>
      </c>
      <c r="AC228" s="84">
        <f t="shared" si="74"/>
        <v>112500000</v>
      </c>
      <c r="AD228" s="85">
        <f t="shared" si="91"/>
        <v>12500000</v>
      </c>
      <c r="AE228" s="118">
        <f t="shared" si="75"/>
        <v>100000000</v>
      </c>
      <c r="AF228" s="85">
        <f t="shared" si="71"/>
        <v>12500000</v>
      </c>
      <c r="AG228" s="84">
        <f t="shared" si="76"/>
        <v>87500000</v>
      </c>
      <c r="AH228" s="85"/>
      <c r="AI228" s="84">
        <f t="shared" si="77"/>
        <v>87500000</v>
      </c>
      <c r="AJ228" s="85"/>
      <c r="AK228" s="84">
        <f t="shared" si="78"/>
        <v>87500000</v>
      </c>
      <c r="AL228" s="85"/>
      <c r="AM228" s="84">
        <f t="shared" si="79"/>
        <v>87500000</v>
      </c>
      <c r="AN228" s="85"/>
      <c r="AO228" s="84">
        <f t="shared" si="80"/>
        <v>87500000</v>
      </c>
      <c r="AP228" s="85"/>
      <c r="AQ228" s="84">
        <f t="shared" si="81"/>
        <v>87500000</v>
      </c>
      <c r="AR228" s="85"/>
      <c r="AS228" s="84">
        <f t="shared" si="82"/>
        <v>87500000</v>
      </c>
      <c r="AT228" s="85"/>
      <c r="AU228" s="84">
        <f t="shared" si="83"/>
        <v>87500000</v>
      </c>
      <c r="AV228" s="85"/>
      <c r="AW228" s="84">
        <f t="shared" si="84"/>
        <v>87500000</v>
      </c>
      <c r="AX228" s="86">
        <f t="shared" si="85"/>
        <v>50000000</v>
      </c>
      <c r="AY228" s="87">
        <f t="shared" si="86"/>
        <v>87500000</v>
      </c>
      <c r="AZ228" s="65" t="b">
        <f t="shared" si="87"/>
        <v>1</v>
      </c>
    </row>
    <row r="229" spans="1:52" s="67" customFormat="1" ht="24.75" hidden="1" customHeight="1">
      <c r="A229" s="68">
        <v>224</v>
      </c>
      <c r="B229" s="69" t="s">
        <v>642</v>
      </c>
      <c r="C229" s="88" t="s">
        <v>81</v>
      </c>
      <c r="D229" s="71" t="s">
        <v>95</v>
      </c>
      <c r="E229" s="102" t="s">
        <v>643</v>
      </c>
      <c r="F229" s="104"/>
      <c r="G229" s="105">
        <v>45626</v>
      </c>
      <c r="H229" s="102" t="s">
        <v>639</v>
      </c>
      <c r="I229" s="95" t="s">
        <v>98</v>
      </c>
      <c r="J229" s="102" t="s">
        <v>617</v>
      </c>
      <c r="K229" s="68" t="s">
        <v>99</v>
      </c>
      <c r="L229" s="70" t="s">
        <v>100</v>
      </c>
      <c r="M229" s="88" t="s">
        <v>101</v>
      </c>
      <c r="N229" s="102" t="s">
        <v>102</v>
      </c>
      <c r="O229" s="108"/>
      <c r="P229" s="109">
        <v>45627</v>
      </c>
      <c r="Q229" s="110">
        <f t="shared" si="88"/>
        <v>46356</v>
      </c>
      <c r="R229" s="111">
        <v>24</v>
      </c>
      <c r="S229" s="111">
        <v>2</v>
      </c>
      <c r="T229" s="123">
        <v>300000000</v>
      </c>
      <c r="U229" s="113"/>
      <c r="V229" s="123">
        <v>300000000</v>
      </c>
      <c r="W229" s="115">
        <f t="shared" si="89"/>
        <v>12500000</v>
      </c>
      <c r="X229" s="115">
        <v>162500000</v>
      </c>
      <c r="Y229" s="115">
        <v>137500000</v>
      </c>
      <c r="Z229" s="124">
        <f t="shared" si="72"/>
        <v>12500000</v>
      </c>
      <c r="AA229" s="118">
        <f t="shared" si="90"/>
        <v>125000000</v>
      </c>
      <c r="AB229" s="85">
        <f t="shared" si="73"/>
        <v>12500000</v>
      </c>
      <c r="AC229" s="84">
        <f t="shared" si="74"/>
        <v>112500000</v>
      </c>
      <c r="AD229" s="85">
        <f t="shared" si="91"/>
        <v>12500000</v>
      </c>
      <c r="AE229" s="118">
        <f t="shared" si="75"/>
        <v>100000000</v>
      </c>
      <c r="AF229" s="85">
        <f t="shared" si="71"/>
        <v>12500000</v>
      </c>
      <c r="AG229" s="84">
        <f t="shared" si="76"/>
        <v>87500000</v>
      </c>
      <c r="AH229" s="85"/>
      <c r="AI229" s="84">
        <f t="shared" si="77"/>
        <v>87500000</v>
      </c>
      <c r="AJ229" s="85"/>
      <c r="AK229" s="84">
        <f t="shared" si="78"/>
        <v>87500000</v>
      </c>
      <c r="AL229" s="85"/>
      <c r="AM229" s="84">
        <f t="shared" si="79"/>
        <v>87500000</v>
      </c>
      <c r="AN229" s="85"/>
      <c r="AO229" s="84">
        <f t="shared" si="80"/>
        <v>87500000</v>
      </c>
      <c r="AP229" s="85"/>
      <c r="AQ229" s="84">
        <f t="shared" si="81"/>
        <v>87500000</v>
      </c>
      <c r="AR229" s="85"/>
      <c r="AS229" s="84">
        <f t="shared" si="82"/>
        <v>87500000</v>
      </c>
      <c r="AT229" s="85"/>
      <c r="AU229" s="84">
        <f t="shared" si="83"/>
        <v>87500000</v>
      </c>
      <c r="AV229" s="85"/>
      <c r="AW229" s="84">
        <f t="shared" si="84"/>
        <v>87500000</v>
      </c>
      <c r="AX229" s="86">
        <f t="shared" si="85"/>
        <v>50000000</v>
      </c>
      <c r="AY229" s="87">
        <f t="shared" si="86"/>
        <v>87500000</v>
      </c>
      <c r="AZ229" s="65" t="b">
        <f t="shared" si="87"/>
        <v>1</v>
      </c>
    </row>
    <row r="230" spans="1:52" s="67" customFormat="1" ht="24.75" hidden="1" customHeight="1">
      <c r="A230" s="68">
        <v>225</v>
      </c>
      <c r="B230" s="69" t="s">
        <v>644</v>
      </c>
      <c r="C230" s="88" t="s">
        <v>81</v>
      </c>
      <c r="D230" s="71" t="s">
        <v>95</v>
      </c>
      <c r="E230" s="102" t="s">
        <v>645</v>
      </c>
      <c r="F230" s="104"/>
      <c r="G230" s="105">
        <v>45626</v>
      </c>
      <c r="H230" s="102" t="s">
        <v>639</v>
      </c>
      <c r="I230" s="95" t="s">
        <v>98</v>
      </c>
      <c r="J230" s="102" t="s">
        <v>617</v>
      </c>
      <c r="K230" s="68" t="s">
        <v>99</v>
      </c>
      <c r="L230" s="70" t="s">
        <v>100</v>
      </c>
      <c r="M230" s="88" t="s">
        <v>101</v>
      </c>
      <c r="N230" s="102" t="s">
        <v>102</v>
      </c>
      <c r="O230" s="108"/>
      <c r="P230" s="109">
        <v>45627</v>
      </c>
      <c r="Q230" s="110">
        <f t="shared" si="88"/>
        <v>46356</v>
      </c>
      <c r="R230" s="111">
        <v>24</v>
      </c>
      <c r="S230" s="111">
        <v>2</v>
      </c>
      <c r="T230" s="123">
        <v>260000000</v>
      </c>
      <c r="U230" s="113"/>
      <c r="V230" s="123">
        <v>260000000</v>
      </c>
      <c r="W230" s="115">
        <f t="shared" si="89"/>
        <v>10833333.333333334</v>
      </c>
      <c r="X230" s="115">
        <v>140833333.33333331</v>
      </c>
      <c r="Y230" s="115">
        <v>119166666.66666667</v>
      </c>
      <c r="Z230" s="124">
        <f t="shared" si="72"/>
        <v>10833333.333333334</v>
      </c>
      <c r="AA230" s="118">
        <f t="shared" si="90"/>
        <v>108333333.33333336</v>
      </c>
      <c r="AB230" s="85">
        <f t="shared" si="73"/>
        <v>10833333.333333334</v>
      </c>
      <c r="AC230" s="84">
        <f t="shared" si="74"/>
        <v>97500000.00000003</v>
      </c>
      <c r="AD230" s="85">
        <f t="shared" si="91"/>
        <v>10833333.333333334</v>
      </c>
      <c r="AE230" s="118">
        <f t="shared" si="75"/>
        <v>86666666.666666701</v>
      </c>
      <c r="AF230" s="85">
        <f t="shared" si="71"/>
        <v>10833333.333333334</v>
      </c>
      <c r="AG230" s="84">
        <f t="shared" si="76"/>
        <v>75833333.333333373</v>
      </c>
      <c r="AH230" s="85"/>
      <c r="AI230" s="84">
        <f t="shared" si="77"/>
        <v>75833333.333333373</v>
      </c>
      <c r="AJ230" s="85"/>
      <c r="AK230" s="84">
        <f t="shared" si="78"/>
        <v>75833333.333333373</v>
      </c>
      <c r="AL230" s="85"/>
      <c r="AM230" s="84">
        <f t="shared" si="79"/>
        <v>75833333.333333373</v>
      </c>
      <c r="AN230" s="85"/>
      <c r="AO230" s="84">
        <f t="shared" si="80"/>
        <v>75833333.333333373</v>
      </c>
      <c r="AP230" s="85"/>
      <c r="AQ230" s="84">
        <f t="shared" si="81"/>
        <v>75833333.333333373</v>
      </c>
      <c r="AR230" s="85"/>
      <c r="AS230" s="84">
        <f t="shared" si="82"/>
        <v>75833333.333333373</v>
      </c>
      <c r="AT230" s="85"/>
      <c r="AU230" s="84">
        <f t="shared" si="83"/>
        <v>75833333.333333373</v>
      </c>
      <c r="AV230" s="85"/>
      <c r="AW230" s="84">
        <f t="shared" si="84"/>
        <v>75833333.333333373</v>
      </c>
      <c r="AX230" s="86">
        <f t="shared" si="85"/>
        <v>43333333.333333336</v>
      </c>
      <c r="AY230" s="87">
        <f t="shared" si="86"/>
        <v>75833333.333333343</v>
      </c>
      <c r="AZ230" s="65" t="b">
        <f t="shared" si="87"/>
        <v>1</v>
      </c>
    </row>
    <row r="231" spans="1:52" s="67" customFormat="1" ht="24.75" hidden="1" customHeight="1">
      <c r="A231" s="68">
        <v>226</v>
      </c>
      <c r="B231" s="69" t="s">
        <v>646</v>
      </c>
      <c r="C231" s="88" t="s">
        <v>81</v>
      </c>
      <c r="D231" s="71" t="s">
        <v>95</v>
      </c>
      <c r="E231" s="102" t="s">
        <v>647</v>
      </c>
      <c r="F231" s="104"/>
      <c r="G231" s="105">
        <v>45626</v>
      </c>
      <c r="H231" s="102" t="s">
        <v>648</v>
      </c>
      <c r="I231" s="95" t="s">
        <v>98</v>
      </c>
      <c r="J231" s="102" t="s">
        <v>617</v>
      </c>
      <c r="K231" s="68" t="s">
        <v>99</v>
      </c>
      <c r="L231" s="70" t="s">
        <v>100</v>
      </c>
      <c r="M231" s="88" t="s">
        <v>101</v>
      </c>
      <c r="N231" s="102" t="s">
        <v>102</v>
      </c>
      <c r="O231" s="108"/>
      <c r="P231" s="109">
        <v>45627</v>
      </c>
      <c r="Q231" s="110">
        <f t="shared" si="88"/>
        <v>46356</v>
      </c>
      <c r="R231" s="111">
        <v>24</v>
      </c>
      <c r="S231" s="111">
        <v>2</v>
      </c>
      <c r="T231" s="123">
        <v>134056668.18000001</v>
      </c>
      <c r="U231" s="113"/>
      <c r="V231" s="114">
        <v>134056668.18000001</v>
      </c>
      <c r="W231" s="115">
        <f t="shared" si="89"/>
        <v>5585694.5075000003</v>
      </c>
      <c r="X231" s="115">
        <v>72614028.597499996</v>
      </c>
      <c r="Y231" s="115">
        <v>61442639.582500011</v>
      </c>
      <c r="Z231" s="124">
        <f t="shared" si="72"/>
        <v>5585694.5075000003</v>
      </c>
      <c r="AA231" s="118">
        <f t="shared" si="90"/>
        <v>55856945.07500001</v>
      </c>
      <c r="AB231" s="85">
        <f t="shared" si="73"/>
        <v>5585694.5075000003</v>
      </c>
      <c r="AC231" s="84">
        <f t="shared" si="74"/>
        <v>50271250.56750001</v>
      </c>
      <c r="AD231" s="85">
        <f t="shared" si="91"/>
        <v>5585694.5075000003</v>
      </c>
      <c r="AE231" s="118">
        <f t="shared" si="75"/>
        <v>44685556.06000001</v>
      </c>
      <c r="AF231" s="85">
        <f t="shared" ref="AF231:AF294" si="92">+IF(AE231&lt;&gt;0,$W231,0)</f>
        <v>5585694.5075000003</v>
      </c>
      <c r="AG231" s="84">
        <f t="shared" si="76"/>
        <v>39099861.55250001</v>
      </c>
      <c r="AH231" s="85"/>
      <c r="AI231" s="84">
        <f t="shared" si="77"/>
        <v>39099861.55250001</v>
      </c>
      <c r="AJ231" s="85"/>
      <c r="AK231" s="84">
        <f t="shared" si="78"/>
        <v>39099861.55250001</v>
      </c>
      <c r="AL231" s="85"/>
      <c r="AM231" s="84">
        <f t="shared" si="79"/>
        <v>39099861.55250001</v>
      </c>
      <c r="AN231" s="85"/>
      <c r="AO231" s="84">
        <f t="shared" si="80"/>
        <v>39099861.55250001</v>
      </c>
      <c r="AP231" s="85"/>
      <c r="AQ231" s="84">
        <f t="shared" si="81"/>
        <v>39099861.55250001</v>
      </c>
      <c r="AR231" s="85"/>
      <c r="AS231" s="84">
        <f t="shared" si="82"/>
        <v>39099861.55250001</v>
      </c>
      <c r="AT231" s="85"/>
      <c r="AU231" s="84">
        <f t="shared" si="83"/>
        <v>39099861.55250001</v>
      </c>
      <c r="AV231" s="85"/>
      <c r="AW231" s="84">
        <f t="shared" si="84"/>
        <v>39099861.55250001</v>
      </c>
      <c r="AX231" s="86">
        <f t="shared" si="85"/>
        <v>22342778.030000001</v>
      </c>
      <c r="AY231" s="87">
        <f t="shared" si="86"/>
        <v>39099861.55250001</v>
      </c>
      <c r="AZ231" s="65" t="b">
        <f t="shared" si="87"/>
        <v>1</v>
      </c>
    </row>
    <row r="232" spans="1:52" s="119" customFormat="1" ht="24.75" hidden="1" customHeight="1">
      <c r="A232" s="68">
        <v>227</v>
      </c>
      <c r="B232" s="125" t="s">
        <v>649</v>
      </c>
      <c r="C232" s="93" t="s">
        <v>650</v>
      </c>
      <c r="D232" s="71" t="s">
        <v>106</v>
      </c>
      <c r="E232" s="93" t="s">
        <v>651</v>
      </c>
      <c r="F232" s="126"/>
      <c r="G232" s="127">
        <v>45610</v>
      </c>
      <c r="H232" s="93" t="s">
        <v>652</v>
      </c>
      <c r="I232" s="95" t="s">
        <v>633</v>
      </c>
      <c r="J232" s="93" t="s">
        <v>634</v>
      </c>
      <c r="K232" s="128" t="s">
        <v>635</v>
      </c>
      <c r="L232" s="129" t="s">
        <v>636</v>
      </c>
      <c r="M232" s="93" t="s">
        <v>403</v>
      </c>
      <c r="N232" s="93" t="s">
        <v>404</v>
      </c>
      <c r="O232" s="130"/>
      <c r="P232" s="131">
        <v>45717</v>
      </c>
      <c r="Q232" s="132">
        <f t="shared" si="88"/>
        <v>46081</v>
      </c>
      <c r="R232" s="133">
        <v>12</v>
      </c>
      <c r="S232" s="133">
        <v>1</v>
      </c>
      <c r="T232" s="112">
        <v>299398155</v>
      </c>
      <c r="U232" s="134"/>
      <c r="V232" s="112">
        <v>299398155</v>
      </c>
      <c r="W232" s="135">
        <f t="shared" si="89"/>
        <v>24949846.25</v>
      </c>
      <c r="X232" s="100">
        <v>249498462.5</v>
      </c>
      <c r="Y232" s="100">
        <v>49899692.5</v>
      </c>
      <c r="Z232" s="124">
        <f t="shared" si="72"/>
        <v>24949846.25</v>
      </c>
      <c r="AA232" s="118">
        <f t="shared" si="90"/>
        <v>24949846.25</v>
      </c>
      <c r="AB232" s="85">
        <f t="shared" si="73"/>
        <v>24949846.25</v>
      </c>
      <c r="AC232" s="84">
        <f t="shared" si="74"/>
        <v>0</v>
      </c>
      <c r="AD232" s="85">
        <f t="shared" si="91"/>
        <v>0</v>
      </c>
      <c r="AE232" s="117">
        <f t="shared" si="75"/>
        <v>0</v>
      </c>
      <c r="AF232" s="85">
        <f t="shared" si="92"/>
        <v>0</v>
      </c>
      <c r="AG232" s="84">
        <f t="shared" si="76"/>
        <v>0</v>
      </c>
      <c r="AH232" s="85"/>
      <c r="AI232" s="84">
        <f t="shared" si="77"/>
        <v>0</v>
      </c>
      <c r="AJ232" s="85"/>
      <c r="AK232" s="84">
        <f t="shared" si="78"/>
        <v>0</v>
      </c>
      <c r="AL232" s="85"/>
      <c r="AM232" s="84">
        <f t="shared" si="79"/>
        <v>0</v>
      </c>
      <c r="AN232" s="85"/>
      <c r="AO232" s="84">
        <f t="shared" si="80"/>
        <v>0</v>
      </c>
      <c r="AP232" s="85"/>
      <c r="AQ232" s="84">
        <f t="shared" si="81"/>
        <v>0</v>
      </c>
      <c r="AR232" s="85"/>
      <c r="AS232" s="84">
        <f t="shared" si="82"/>
        <v>0</v>
      </c>
      <c r="AT232" s="85"/>
      <c r="AU232" s="84">
        <f t="shared" si="83"/>
        <v>0</v>
      </c>
      <c r="AV232" s="85"/>
      <c r="AW232" s="84">
        <f t="shared" si="84"/>
        <v>0</v>
      </c>
      <c r="AX232" s="136">
        <f t="shared" si="85"/>
        <v>49899692.5</v>
      </c>
      <c r="AY232" s="87">
        <f t="shared" si="86"/>
        <v>0</v>
      </c>
      <c r="AZ232" s="65" t="b">
        <f t="shared" si="87"/>
        <v>1</v>
      </c>
    </row>
    <row r="233" spans="1:52" s="67" customFormat="1" ht="24.75" hidden="1" customHeight="1">
      <c r="A233" s="68">
        <v>228</v>
      </c>
      <c r="B233" s="69" t="s">
        <v>653</v>
      </c>
      <c r="C233" s="102" t="s">
        <v>73</v>
      </c>
      <c r="D233" s="71" t="s">
        <v>64</v>
      </c>
      <c r="E233" s="102" t="s">
        <v>654</v>
      </c>
      <c r="F233" s="104"/>
      <c r="G233" s="105">
        <v>45609</v>
      </c>
      <c r="H233" s="102" t="s">
        <v>655</v>
      </c>
      <c r="I233" s="120" t="s">
        <v>66</v>
      </c>
      <c r="J233" s="102" t="s">
        <v>67</v>
      </c>
      <c r="K233" s="68" t="s">
        <v>68</v>
      </c>
      <c r="L233" s="70" t="s">
        <v>69</v>
      </c>
      <c r="M233" s="88" t="s">
        <v>55</v>
      </c>
      <c r="N233" s="88" t="s">
        <v>56</v>
      </c>
      <c r="O233" s="108"/>
      <c r="P233" s="109">
        <v>45627</v>
      </c>
      <c r="Q233" s="94">
        <f t="shared" si="88"/>
        <v>46721</v>
      </c>
      <c r="R233" s="111">
        <v>36</v>
      </c>
      <c r="S233" s="111">
        <v>3</v>
      </c>
      <c r="T233" s="123">
        <v>130000000</v>
      </c>
      <c r="U233" s="113"/>
      <c r="V233" s="123">
        <v>130000000</v>
      </c>
      <c r="W233" s="115">
        <f t="shared" si="89"/>
        <v>3611111.111111111</v>
      </c>
      <c r="X233" s="115">
        <v>46944444.444444448</v>
      </c>
      <c r="Y233" s="115">
        <v>83055555.555555552</v>
      </c>
      <c r="Z233" s="124">
        <f t="shared" si="72"/>
        <v>3611111.111111111</v>
      </c>
      <c r="AA233" s="118">
        <f t="shared" si="90"/>
        <v>79444444.444444448</v>
      </c>
      <c r="AB233" s="85">
        <f t="shared" si="73"/>
        <v>3611111.111111111</v>
      </c>
      <c r="AC233" s="84">
        <f t="shared" si="74"/>
        <v>75833333.333333343</v>
      </c>
      <c r="AD233" s="85">
        <f t="shared" si="91"/>
        <v>3611111.111111111</v>
      </c>
      <c r="AE233" s="118">
        <f t="shared" si="75"/>
        <v>72222222.222222239</v>
      </c>
      <c r="AF233" s="85">
        <f t="shared" si="92"/>
        <v>3611111.111111111</v>
      </c>
      <c r="AG233" s="84">
        <f t="shared" si="76"/>
        <v>68611111.111111134</v>
      </c>
      <c r="AH233" s="85"/>
      <c r="AI233" s="84">
        <f t="shared" si="77"/>
        <v>68611111.111111134</v>
      </c>
      <c r="AJ233" s="85"/>
      <c r="AK233" s="84">
        <f t="shared" si="78"/>
        <v>68611111.111111134</v>
      </c>
      <c r="AL233" s="85"/>
      <c r="AM233" s="84">
        <f t="shared" si="79"/>
        <v>68611111.111111134</v>
      </c>
      <c r="AN233" s="85"/>
      <c r="AO233" s="84">
        <f t="shared" si="80"/>
        <v>68611111.111111134</v>
      </c>
      <c r="AP233" s="85"/>
      <c r="AQ233" s="84">
        <f t="shared" si="81"/>
        <v>68611111.111111134</v>
      </c>
      <c r="AR233" s="85"/>
      <c r="AS233" s="84">
        <f t="shared" si="82"/>
        <v>68611111.111111134</v>
      </c>
      <c r="AT233" s="85"/>
      <c r="AU233" s="84">
        <f t="shared" si="83"/>
        <v>68611111.111111134</v>
      </c>
      <c r="AV233" s="85"/>
      <c r="AW233" s="84">
        <f t="shared" si="84"/>
        <v>68611111.111111134</v>
      </c>
      <c r="AX233" s="86">
        <f t="shared" si="85"/>
        <v>14444444.444444444</v>
      </c>
      <c r="AY233" s="87">
        <f t="shared" si="86"/>
        <v>68611111.111111104</v>
      </c>
      <c r="AZ233" s="65" t="b">
        <f t="shared" si="87"/>
        <v>1</v>
      </c>
    </row>
    <row r="234" spans="1:52" s="67" customFormat="1" ht="24.75" hidden="1" customHeight="1">
      <c r="A234" s="68">
        <v>229</v>
      </c>
      <c r="B234" s="69" t="s">
        <v>656</v>
      </c>
      <c r="C234" s="102" t="s">
        <v>73</v>
      </c>
      <c r="D234" s="71" t="s">
        <v>64</v>
      </c>
      <c r="E234" s="102" t="s">
        <v>657</v>
      </c>
      <c r="F234" s="104"/>
      <c r="G234" s="105">
        <v>45654</v>
      </c>
      <c r="H234" s="102" t="s">
        <v>658</v>
      </c>
      <c r="I234" s="120" t="s">
        <v>66</v>
      </c>
      <c r="J234" s="102" t="s">
        <v>67</v>
      </c>
      <c r="K234" s="128" t="s">
        <v>349</v>
      </c>
      <c r="L234" s="70" t="s">
        <v>350</v>
      </c>
      <c r="M234" s="88" t="s">
        <v>60</v>
      </c>
      <c r="N234" s="88" t="s">
        <v>61</v>
      </c>
      <c r="O234" s="108"/>
      <c r="P234" s="109">
        <v>45658</v>
      </c>
      <c r="Q234" s="94">
        <f t="shared" si="88"/>
        <v>46752</v>
      </c>
      <c r="R234" s="111">
        <v>36</v>
      </c>
      <c r="S234" s="111">
        <v>3</v>
      </c>
      <c r="T234" s="123">
        <v>80000000</v>
      </c>
      <c r="U234" s="113"/>
      <c r="V234" s="123">
        <v>80000000</v>
      </c>
      <c r="W234" s="115">
        <f t="shared" si="89"/>
        <v>2222222.222222222</v>
      </c>
      <c r="X234" s="115">
        <v>26666666.666666672</v>
      </c>
      <c r="Y234" s="115">
        <v>53333333.333333328</v>
      </c>
      <c r="Z234" s="124">
        <f t="shared" si="72"/>
        <v>2222222.222222222</v>
      </c>
      <c r="AA234" s="118">
        <f t="shared" si="90"/>
        <v>51111111.111111104</v>
      </c>
      <c r="AB234" s="85">
        <f t="shared" si="73"/>
        <v>2222222.222222222</v>
      </c>
      <c r="AC234" s="84">
        <f t="shared" si="74"/>
        <v>48888888.888888881</v>
      </c>
      <c r="AD234" s="85">
        <f t="shared" si="91"/>
        <v>2222222.222222222</v>
      </c>
      <c r="AE234" s="118">
        <f t="shared" si="75"/>
        <v>46666666.666666657</v>
      </c>
      <c r="AF234" s="85">
        <f t="shared" si="92"/>
        <v>2222222.222222222</v>
      </c>
      <c r="AG234" s="84">
        <f t="shared" si="76"/>
        <v>44444444.444444433</v>
      </c>
      <c r="AH234" s="85"/>
      <c r="AI234" s="84">
        <f t="shared" si="77"/>
        <v>44444444.444444433</v>
      </c>
      <c r="AJ234" s="85"/>
      <c r="AK234" s="84">
        <f t="shared" si="78"/>
        <v>44444444.444444433</v>
      </c>
      <c r="AL234" s="85"/>
      <c r="AM234" s="84">
        <f t="shared" si="79"/>
        <v>44444444.444444433</v>
      </c>
      <c r="AN234" s="85"/>
      <c r="AO234" s="84">
        <f t="shared" si="80"/>
        <v>44444444.444444433</v>
      </c>
      <c r="AP234" s="85"/>
      <c r="AQ234" s="84">
        <f t="shared" si="81"/>
        <v>44444444.444444433</v>
      </c>
      <c r="AR234" s="85"/>
      <c r="AS234" s="84">
        <f t="shared" si="82"/>
        <v>44444444.444444433</v>
      </c>
      <c r="AT234" s="85"/>
      <c r="AU234" s="84">
        <f t="shared" si="83"/>
        <v>44444444.444444433</v>
      </c>
      <c r="AV234" s="85"/>
      <c r="AW234" s="84">
        <f t="shared" si="84"/>
        <v>44444444.444444433</v>
      </c>
      <c r="AX234" s="86">
        <f t="shared" si="85"/>
        <v>8888888.8888888881</v>
      </c>
      <c r="AY234" s="87">
        <f t="shared" si="86"/>
        <v>44444444.44444444</v>
      </c>
      <c r="AZ234" s="65" t="b">
        <f t="shared" si="87"/>
        <v>1</v>
      </c>
    </row>
    <row r="235" spans="1:52" s="67" customFormat="1" ht="24.75" hidden="1" customHeight="1">
      <c r="A235" s="68">
        <v>230</v>
      </c>
      <c r="B235" s="69" t="s">
        <v>659</v>
      </c>
      <c r="C235" s="102" t="s">
        <v>73</v>
      </c>
      <c r="D235" s="71" t="s">
        <v>64</v>
      </c>
      <c r="E235" s="102" t="s">
        <v>660</v>
      </c>
      <c r="F235" s="104"/>
      <c r="G235" s="105">
        <v>45642</v>
      </c>
      <c r="H235" s="102" t="s">
        <v>661</v>
      </c>
      <c r="I235" s="120" t="s">
        <v>66</v>
      </c>
      <c r="J235" s="102" t="s">
        <v>67</v>
      </c>
      <c r="K235" s="68" t="s">
        <v>68</v>
      </c>
      <c r="L235" s="70" t="s">
        <v>69</v>
      </c>
      <c r="M235" s="88" t="s">
        <v>662</v>
      </c>
      <c r="N235" s="88" t="s">
        <v>663</v>
      </c>
      <c r="O235" s="108"/>
      <c r="P235" s="109">
        <v>45658</v>
      </c>
      <c r="Q235" s="94">
        <f t="shared" si="88"/>
        <v>46752</v>
      </c>
      <c r="R235" s="111">
        <v>36</v>
      </c>
      <c r="S235" s="111">
        <v>3</v>
      </c>
      <c r="T235" s="123">
        <v>35000000</v>
      </c>
      <c r="U235" s="113"/>
      <c r="V235" s="123">
        <v>35000000</v>
      </c>
      <c r="W235" s="115">
        <f t="shared" si="89"/>
        <v>972222.22222222225</v>
      </c>
      <c r="X235" s="115">
        <v>11666666.666666666</v>
      </c>
      <c r="Y235" s="115">
        <v>23333333.333333336</v>
      </c>
      <c r="Z235" s="124">
        <f t="shared" si="72"/>
        <v>972222.22222222225</v>
      </c>
      <c r="AA235" s="118">
        <f t="shared" si="90"/>
        <v>22361111.111111112</v>
      </c>
      <c r="AB235" s="85">
        <f t="shared" si="73"/>
        <v>972222.22222222225</v>
      </c>
      <c r="AC235" s="84">
        <f t="shared" si="74"/>
        <v>21388888.888888888</v>
      </c>
      <c r="AD235" s="85">
        <f t="shared" si="91"/>
        <v>972222.22222222225</v>
      </c>
      <c r="AE235" s="118">
        <f t="shared" si="75"/>
        <v>20416666.666666664</v>
      </c>
      <c r="AF235" s="85">
        <f t="shared" si="92"/>
        <v>972222.22222222225</v>
      </c>
      <c r="AG235" s="84">
        <f t="shared" si="76"/>
        <v>19444444.44444444</v>
      </c>
      <c r="AH235" s="85"/>
      <c r="AI235" s="84">
        <f t="shared" si="77"/>
        <v>19444444.44444444</v>
      </c>
      <c r="AJ235" s="85"/>
      <c r="AK235" s="84">
        <f t="shared" si="78"/>
        <v>19444444.44444444</v>
      </c>
      <c r="AL235" s="85"/>
      <c r="AM235" s="84">
        <f t="shared" si="79"/>
        <v>19444444.44444444</v>
      </c>
      <c r="AN235" s="85"/>
      <c r="AO235" s="84">
        <f t="shared" si="80"/>
        <v>19444444.44444444</v>
      </c>
      <c r="AP235" s="85"/>
      <c r="AQ235" s="84">
        <f t="shared" si="81"/>
        <v>19444444.44444444</v>
      </c>
      <c r="AR235" s="85"/>
      <c r="AS235" s="84">
        <f t="shared" si="82"/>
        <v>19444444.44444444</v>
      </c>
      <c r="AT235" s="85"/>
      <c r="AU235" s="84">
        <f t="shared" si="83"/>
        <v>19444444.44444444</v>
      </c>
      <c r="AV235" s="85"/>
      <c r="AW235" s="84">
        <f t="shared" si="84"/>
        <v>19444444.44444444</v>
      </c>
      <c r="AX235" s="86">
        <f t="shared" si="85"/>
        <v>3888888.888888889</v>
      </c>
      <c r="AY235" s="87">
        <f t="shared" si="86"/>
        <v>19444444.444444448</v>
      </c>
      <c r="AZ235" s="65" t="b">
        <f t="shared" si="87"/>
        <v>1</v>
      </c>
    </row>
    <row r="236" spans="1:52" s="67" customFormat="1" ht="24.75" hidden="1" customHeight="1">
      <c r="A236" s="68">
        <v>231</v>
      </c>
      <c r="B236" s="69" t="s">
        <v>664</v>
      </c>
      <c r="C236" s="102" t="s">
        <v>73</v>
      </c>
      <c r="D236" s="71" t="s">
        <v>64</v>
      </c>
      <c r="E236" s="102" t="s">
        <v>665</v>
      </c>
      <c r="F236" s="104"/>
      <c r="G236" s="105">
        <v>45642</v>
      </c>
      <c r="H236" s="102" t="s">
        <v>666</v>
      </c>
      <c r="I236" s="120" t="s">
        <v>66</v>
      </c>
      <c r="J236" s="102" t="s">
        <v>67</v>
      </c>
      <c r="K236" s="68" t="s">
        <v>68</v>
      </c>
      <c r="L236" s="70" t="s">
        <v>69</v>
      </c>
      <c r="M236" s="88" t="s">
        <v>70</v>
      </c>
      <c r="N236" s="88" t="s">
        <v>71</v>
      </c>
      <c r="O236" s="108"/>
      <c r="P236" s="109">
        <v>45658</v>
      </c>
      <c r="Q236" s="94">
        <f t="shared" si="88"/>
        <v>46752</v>
      </c>
      <c r="R236" s="111">
        <v>36</v>
      </c>
      <c r="S236" s="111">
        <v>3</v>
      </c>
      <c r="T236" s="123">
        <v>360000000</v>
      </c>
      <c r="U236" s="113"/>
      <c r="V236" s="123">
        <v>360000000</v>
      </c>
      <c r="W236" s="115">
        <f t="shared" si="89"/>
        <v>10000000</v>
      </c>
      <c r="X236" s="115">
        <v>120000000</v>
      </c>
      <c r="Y236" s="115">
        <v>240000000</v>
      </c>
      <c r="Z236" s="124">
        <f t="shared" si="72"/>
        <v>10000000</v>
      </c>
      <c r="AA236" s="118">
        <f t="shared" si="90"/>
        <v>230000000</v>
      </c>
      <c r="AB236" s="85">
        <f t="shared" si="73"/>
        <v>10000000</v>
      </c>
      <c r="AC236" s="84">
        <f t="shared" si="74"/>
        <v>220000000</v>
      </c>
      <c r="AD236" s="85">
        <f t="shared" si="91"/>
        <v>10000000</v>
      </c>
      <c r="AE236" s="118">
        <f t="shared" si="75"/>
        <v>210000000</v>
      </c>
      <c r="AF236" s="85">
        <f t="shared" si="92"/>
        <v>10000000</v>
      </c>
      <c r="AG236" s="84">
        <f t="shared" si="76"/>
        <v>200000000</v>
      </c>
      <c r="AH236" s="85"/>
      <c r="AI236" s="84">
        <f t="shared" si="77"/>
        <v>200000000</v>
      </c>
      <c r="AJ236" s="85"/>
      <c r="AK236" s="84">
        <f t="shared" si="78"/>
        <v>200000000</v>
      </c>
      <c r="AL236" s="85"/>
      <c r="AM236" s="84">
        <f t="shared" si="79"/>
        <v>200000000</v>
      </c>
      <c r="AN236" s="85"/>
      <c r="AO236" s="84">
        <f t="shared" si="80"/>
        <v>200000000</v>
      </c>
      <c r="AP236" s="85"/>
      <c r="AQ236" s="84">
        <f t="shared" si="81"/>
        <v>200000000</v>
      </c>
      <c r="AR236" s="85"/>
      <c r="AS236" s="84">
        <f t="shared" si="82"/>
        <v>200000000</v>
      </c>
      <c r="AT236" s="85"/>
      <c r="AU236" s="84">
        <f t="shared" si="83"/>
        <v>200000000</v>
      </c>
      <c r="AV236" s="85"/>
      <c r="AW236" s="84">
        <f t="shared" si="84"/>
        <v>200000000</v>
      </c>
      <c r="AX236" s="86">
        <f t="shared" si="85"/>
        <v>40000000</v>
      </c>
      <c r="AY236" s="87">
        <f t="shared" si="86"/>
        <v>200000000</v>
      </c>
      <c r="AZ236" s="65" t="b">
        <f t="shared" si="87"/>
        <v>1</v>
      </c>
    </row>
    <row r="237" spans="1:52" s="67" customFormat="1" ht="24.75" hidden="1" customHeight="1">
      <c r="A237" s="68">
        <v>232</v>
      </c>
      <c r="B237" s="69" t="s">
        <v>667</v>
      </c>
      <c r="C237" s="102" t="s">
        <v>73</v>
      </c>
      <c r="D237" s="71" t="s">
        <v>64</v>
      </c>
      <c r="E237" s="102" t="s">
        <v>668</v>
      </c>
      <c r="F237" s="104"/>
      <c r="G237" s="105">
        <v>45642</v>
      </c>
      <c r="H237" s="102" t="s">
        <v>669</v>
      </c>
      <c r="I237" s="120" t="s">
        <v>66</v>
      </c>
      <c r="J237" s="102" t="s">
        <v>67</v>
      </c>
      <c r="K237" s="68" t="s">
        <v>68</v>
      </c>
      <c r="L237" s="70" t="s">
        <v>69</v>
      </c>
      <c r="M237" s="88" t="s">
        <v>55</v>
      </c>
      <c r="N237" s="88" t="s">
        <v>56</v>
      </c>
      <c r="O237" s="108"/>
      <c r="P237" s="109">
        <v>45658</v>
      </c>
      <c r="Q237" s="94">
        <f t="shared" si="88"/>
        <v>46752</v>
      </c>
      <c r="R237" s="111">
        <v>36</v>
      </c>
      <c r="S237" s="111">
        <v>3</v>
      </c>
      <c r="T237" s="123">
        <v>150000000</v>
      </c>
      <c r="U237" s="113"/>
      <c r="V237" s="123">
        <v>150000000</v>
      </c>
      <c r="W237" s="115">
        <f t="shared" si="89"/>
        <v>4166666.6666666665</v>
      </c>
      <c r="X237" s="115">
        <v>49999999.999999993</v>
      </c>
      <c r="Y237" s="115">
        <v>100000000</v>
      </c>
      <c r="Z237" s="124">
        <f t="shared" si="72"/>
        <v>4166666.6666666665</v>
      </c>
      <c r="AA237" s="118">
        <f t="shared" si="90"/>
        <v>95833333.333333328</v>
      </c>
      <c r="AB237" s="85">
        <f t="shared" si="73"/>
        <v>4166666.6666666665</v>
      </c>
      <c r="AC237" s="84">
        <f t="shared" si="74"/>
        <v>91666666.666666657</v>
      </c>
      <c r="AD237" s="85">
        <f t="shared" si="91"/>
        <v>4166666.6666666665</v>
      </c>
      <c r="AE237" s="118">
        <f t="shared" si="75"/>
        <v>87499999.999999985</v>
      </c>
      <c r="AF237" s="85">
        <f t="shared" si="92"/>
        <v>4166666.6666666665</v>
      </c>
      <c r="AG237" s="84">
        <f t="shared" si="76"/>
        <v>83333333.333333313</v>
      </c>
      <c r="AH237" s="85"/>
      <c r="AI237" s="84">
        <f t="shared" si="77"/>
        <v>83333333.333333313</v>
      </c>
      <c r="AJ237" s="85"/>
      <c r="AK237" s="84">
        <f t="shared" si="78"/>
        <v>83333333.333333313</v>
      </c>
      <c r="AL237" s="85"/>
      <c r="AM237" s="84">
        <f t="shared" si="79"/>
        <v>83333333.333333313</v>
      </c>
      <c r="AN237" s="85"/>
      <c r="AO237" s="84">
        <f t="shared" si="80"/>
        <v>83333333.333333313</v>
      </c>
      <c r="AP237" s="85"/>
      <c r="AQ237" s="84">
        <f t="shared" si="81"/>
        <v>83333333.333333313</v>
      </c>
      <c r="AR237" s="85"/>
      <c r="AS237" s="84">
        <f t="shared" si="82"/>
        <v>83333333.333333313</v>
      </c>
      <c r="AT237" s="85"/>
      <c r="AU237" s="84">
        <f t="shared" si="83"/>
        <v>83333333.333333313</v>
      </c>
      <c r="AV237" s="85"/>
      <c r="AW237" s="84">
        <f t="shared" si="84"/>
        <v>83333333.333333313</v>
      </c>
      <c r="AX237" s="86">
        <f t="shared" si="85"/>
        <v>16666666.666666666</v>
      </c>
      <c r="AY237" s="87">
        <f t="shared" si="86"/>
        <v>83333333.333333328</v>
      </c>
      <c r="AZ237" s="65" t="b">
        <f t="shared" si="87"/>
        <v>1</v>
      </c>
    </row>
    <row r="238" spans="1:52" s="67" customFormat="1" ht="24.75" hidden="1" customHeight="1">
      <c r="A238" s="68">
        <v>233</v>
      </c>
      <c r="B238" s="69" t="s">
        <v>670</v>
      </c>
      <c r="C238" s="102" t="s">
        <v>73</v>
      </c>
      <c r="D238" s="71" t="s">
        <v>64</v>
      </c>
      <c r="E238" s="102" t="s">
        <v>671</v>
      </c>
      <c r="F238" s="104"/>
      <c r="G238" s="105">
        <v>45647</v>
      </c>
      <c r="H238" s="102" t="s">
        <v>672</v>
      </c>
      <c r="I238" s="120" t="s">
        <v>66</v>
      </c>
      <c r="J238" s="102" t="s">
        <v>67</v>
      </c>
      <c r="K238" s="68" t="s">
        <v>68</v>
      </c>
      <c r="L238" s="70" t="s">
        <v>69</v>
      </c>
      <c r="M238" s="88" t="s">
        <v>673</v>
      </c>
      <c r="N238" s="88" t="s">
        <v>674</v>
      </c>
      <c r="O238" s="108"/>
      <c r="P238" s="109">
        <v>45658</v>
      </c>
      <c r="Q238" s="94">
        <f t="shared" si="88"/>
        <v>46752</v>
      </c>
      <c r="R238" s="111">
        <v>36</v>
      </c>
      <c r="S238" s="111">
        <v>3</v>
      </c>
      <c r="T238" s="123">
        <v>219000000</v>
      </c>
      <c r="U238" s="113"/>
      <c r="V238" s="123">
        <v>219000000</v>
      </c>
      <c r="W238" s="115">
        <f t="shared" si="89"/>
        <v>6083333.333333333</v>
      </c>
      <c r="X238" s="115">
        <v>73000000.000000015</v>
      </c>
      <c r="Y238" s="115">
        <v>146000000</v>
      </c>
      <c r="Z238" s="124">
        <f t="shared" si="72"/>
        <v>6083333.333333333</v>
      </c>
      <c r="AA238" s="118">
        <f t="shared" si="90"/>
        <v>139916666.66666666</v>
      </c>
      <c r="AB238" s="85">
        <f t="shared" si="73"/>
        <v>6083333.333333333</v>
      </c>
      <c r="AC238" s="84">
        <f t="shared" si="74"/>
        <v>133833333.33333333</v>
      </c>
      <c r="AD238" s="85">
        <f t="shared" si="91"/>
        <v>6083333.333333333</v>
      </c>
      <c r="AE238" s="118">
        <f t="shared" si="75"/>
        <v>127750000</v>
      </c>
      <c r="AF238" s="85">
        <f t="shared" si="92"/>
        <v>6083333.333333333</v>
      </c>
      <c r="AG238" s="84">
        <f t="shared" si="76"/>
        <v>121666666.66666667</v>
      </c>
      <c r="AH238" s="85"/>
      <c r="AI238" s="84">
        <f t="shared" si="77"/>
        <v>121666666.66666667</v>
      </c>
      <c r="AJ238" s="85"/>
      <c r="AK238" s="84">
        <f t="shared" si="78"/>
        <v>121666666.66666667</v>
      </c>
      <c r="AL238" s="85"/>
      <c r="AM238" s="84">
        <f t="shared" si="79"/>
        <v>121666666.66666667</v>
      </c>
      <c r="AN238" s="85"/>
      <c r="AO238" s="84">
        <f t="shared" si="80"/>
        <v>121666666.66666667</v>
      </c>
      <c r="AP238" s="85"/>
      <c r="AQ238" s="84">
        <f t="shared" si="81"/>
        <v>121666666.66666667</v>
      </c>
      <c r="AR238" s="85"/>
      <c r="AS238" s="84">
        <f t="shared" si="82"/>
        <v>121666666.66666667</v>
      </c>
      <c r="AT238" s="85"/>
      <c r="AU238" s="84">
        <f t="shared" si="83"/>
        <v>121666666.66666667</v>
      </c>
      <c r="AV238" s="85"/>
      <c r="AW238" s="84">
        <f t="shared" si="84"/>
        <v>121666666.66666667</v>
      </c>
      <c r="AX238" s="86">
        <f t="shared" si="85"/>
        <v>24333333.333333332</v>
      </c>
      <c r="AY238" s="87">
        <f t="shared" si="86"/>
        <v>121666666.66666667</v>
      </c>
      <c r="AZ238" s="65" t="b">
        <f t="shared" si="87"/>
        <v>1</v>
      </c>
    </row>
    <row r="239" spans="1:52" s="67" customFormat="1" ht="24.75" hidden="1" customHeight="1">
      <c r="A239" s="68">
        <v>234</v>
      </c>
      <c r="B239" s="69" t="s">
        <v>675</v>
      </c>
      <c r="C239" s="102" t="s">
        <v>395</v>
      </c>
      <c r="D239" s="71" t="s">
        <v>396</v>
      </c>
      <c r="E239" s="102" t="s">
        <v>676</v>
      </c>
      <c r="F239" s="104"/>
      <c r="G239" s="105">
        <v>45657</v>
      </c>
      <c r="H239" s="102" t="s">
        <v>677</v>
      </c>
      <c r="I239" s="74" t="s">
        <v>399</v>
      </c>
      <c r="J239" s="102" t="s">
        <v>400</v>
      </c>
      <c r="K239" s="68" t="s">
        <v>635</v>
      </c>
      <c r="L239" s="70" t="s">
        <v>636</v>
      </c>
      <c r="M239" s="102" t="s">
        <v>403</v>
      </c>
      <c r="N239" s="102" t="s">
        <v>404</v>
      </c>
      <c r="O239" s="108"/>
      <c r="P239" s="109">
        <v>45658</v>
      </c>
      <c r="Q239" s="94">
        <f t="shared" si="88"/>
        <v>46387</v>
      </c>
      <c r="R239" s="111">
        <v>24</v>
      </c>
      <c r="S239" s="111">
        <v>2</v>
      </c>
      <c r="T239" s="123">
        <v>26590000</v>
      </c>
      <c r="U239" s="113"/>
      <c r="V239" s="123">
        <v>26590000</v>
      </c>
      <c r="W239" s="115">
        <f t="shared" si="89"/>
        <v>1107916.6666666667</v>
      </c>
      <c r="X239" s="115">
        <v>13294999.999999998</v>
      </c>
      <c r="Y239" s="115">
        <v>13295000.000000002</v>
      </c>
      <c r="Z239" s="124">
        <f t="shared" si="72"/>
        <v>1107916.6666666667</v>
      </c>
      <c r="AA239" s="118">
        <f t="shared" si="90"/>
        <v>12187083.333333336</v>
      </c>
      <c r="AB239" s="85">
        <f t="shared" si="73"/>
        <v>1107916.6666666667</v>
      </c>
      <c r="AC239" s="84">
        <f t="shared" si="74"/>
        <v>11079166.66666667</v>
      </c>
      <c r="AD239" s="85">
        <f t="shared" si="91"/>
        <v>1107916.6666666667</v>
      </c>
      <c r="AE239" s="118">
        <f t="shared" si="75"/>
        <v>9971250.0000000037</v>
      </c>
      <c r="AF239" s="85">
        <f t="shared" si="92"/>
        <v>1107916.6666666667</v>
      </c>
      <c r="AG239" s="84">
        <f t="shared" si="76"/>
        <v>8863333.3333333377</v>
      </c>
      <c r="AH239" s="85"/>
      <c r="AI239" s="84">
        <f t="shared" si="77"/>
        <v>8863333.3333333377</v>
      </c>
      <c r="AJ239" s="85"/>
      <c r="AK239" s="84">
        <f t="shared" si="78"/>
        <v>8863333.3333333377</v>
      </c>
      <c r="AL239" s="85"/>
      <c r="AM239" s="84">
        <f t="shared" si="79"/>
        <v>8863333.3333333377</v>
      </c>
      <c r="AN239" s="85"/>
      <c r="AO239" s="84">
        <f t="shared" si="80"/>
        <v>8863333.3333333377</v>
      </c>
      <c r="AP239" s="85"/>
      <c r="AQ239" s="84">
        <f t="shared" si="81"/>
        <v>8863333.3333333377</v>
      </c>
      <c r="AR239" s="85"/>
      <c r="AS239" s="84">
        <f t="shared" si="82"/>
        <v>8863333.3333333377</v>
      </c>
      <c r="AT239" s="85"/>
      <c r="AU239" s="84">
        <f t="shared" si="83"/>
        <v>8863333.3333333377</v>
      </c>
      <c r="AV239" s="85"/>
      <c r="AW239" s="84">
        <f t="shared" si="84"/>
        <v>8863333.3333333377</v>
      </c>
      <c r="AX239" s="86">
        <f t="shared" si="85"/>
        <v>4431666.666666667</v>
      </c>
      <c r="AY239" s="87">
        <f t="shared" si="86"/>
        <v>8863333.3333333358</v>
      </c>
      <c r="AZ239" s="65" t="b">
        <f t="shared" si="87"/>
        <v>1</v>
      </c>
    </row>
    <row r="240" spans="1:52" s="67" customFormat="1" ht="24.75" hidden="1" customHeight="1">
      <c r="A240" s="68">
        <v>235</v>
      </c>
      <c r="B240" s="69" t="s">
        <v>678</v>
      </c>
      <c r="C240" s="102" t="s">
        <v>395</v>
      </c>
      <c r="D240" s="71" t="s">
        <v>396</v>
      </c>
      <c r="E240" s="102" t="s">
        <v>679</v>
      </c>
      <c r="F240" s="104"/>
      <c r="G240" s="105">
        <v>45657</v>
      </c>
      <c r="H240" s="102" t="s">
        <v>677</v>
      </c>
      <c r="I240" s="74" t="s">
        <v>399</v>
      </c>
      <c r="J240" s="102" t="s">
        <v>400</v>
      </c>
      <c r="K240" s="68" t="s">
        <v>68</v>
      </c>
      <c r="L240" s="70" t="s">
        <v>69</v>
      </c>
      <c r="M240" s="88" t="s">
        <v>125</v>
      </c>
      <c r="N240" s="88" t="s">
        <v>126</v>
      </c>
      <c r="O240" s="108"/>
      <c r="P240" s="109">
        <v>45658</v>
      </c>
      <c r="Q240" s="94">
        <f t="shared" si="88"/>
        <v>46387</v>
      </c>
      <c r="R240" s="111">
        <v>24</v>
      </c>
      <c r="S240" s="111">
        <v>2</v>
      </c>
      <c r="T240" s="123">
        <v>33250000</v>
      </c>
      <c r="U240" s="113"/>
      <c r="V240" s="123">
        <v>33250000</v>
      </c>
      <c r="W240" s="115">
        <f t="shared" si="89"/>
        <v>1385416.6666666667</v>
      </c>
      <c r="X240" s="115">
        <v>16624999.999999998</v>
      </c>
      <c r="Y240" s="115">
        <v>16625000.000000002</v>
      </c>
      <c r="Z240" s="124">
        <f t="shared" si="72"/>
        <v>1385416.6666666667</v>
      </c>
      <c r="AA240" s="118">
        <f t="shared" si="90"/>
        <v>15239583.333333336</v>
      </c>
      <c r="AB240" s="85">
        <f t="shared" si="73"/>
        <v>1385416.6666666667</v>
      </c>
      <c r="AC240" s="84">
        <f t="shared" si="74"/>
        <v>13854166.66666667</v>
      </c>
      <c r="AD240" s="85">
        <f t="shared" si="91"/>
        <v>1385416.6666666667</v>
      </c>
      <c r="AE240" s="118">
        <f t="shared" si="75"/>
        <v>12468750.000000004</v>
      </c>
      <c r="AF240" s="85">
        <f t="shared" si="92"/>
        <v>1385416.6666666667</v>
      </c>
      <c r="AG240" s="84">
        <f t="shared" si="76"/>
        <v>11083333.333333338</v>
      </c>
      <c r="AH240" s="85"/>
      <c r="AI240" s="84">
        <f t="shared" si="77"/>
        <v>11083333.333333338</v>
      </c>
      <c r="AJ240" s="85"/>
      <c r="AK240" s="84">
        <f t="shared" si="78"/>
        <v>11083333.333333338</v>
      </c>
      <c r="AL240" s="85"/>
      <c r="AM240" s="84">
        <f t="shared" si="79"/>
        <v>11083333.333333338</v>
      </c>
      <c r="AN240" s="85"/>
      <c r="AO240" s="84">
        <f t="shared" si="80"/>
        <v>11083333.333333338</v>
      </c>
      <c r="AP240" s="85"/>
      <c r="AQ240" s="84">
        <f t="shared" si="81"/>
        <v>11083333.333333338</v>
      </c>
      <c r="AR240" s="85"/>
      <c r="AS240" s="84">
        <f t="shared" si="82"/>
        <v>11083333.333333338</v>
      </c>
      <c r="AT240" s="85"/>
      <c r="AU240" s="84">
        <f t="shared" si="83"/>
        <v>11083333.333333338</v>
      </c>
      <c r="AV240" s="85"/>
      <c r="AW240" s="84">
        <f t="shared" si="84"/>
        <v>11083333.333333338</v>
      </c>
      <c r="AX240" s="86">
        <f t="shared" si="85"/>
        <v>5541666.666666667</v>
      </c>
      <c r="AY240" s="87">
        <f t="shared" si="86"/>
        <v>11083333.333333336</v>
      </c>
      <c r="AZ240" s="65" t="b">
        <f t="shared" si="87"/>
        <v>1</v>
      </c>
    </row>
    <row r="241" spans="1:52" s="67" customFormat="1" ht="24.75" hidden="1" customHeight="1">
      <c r="A241" s="68">
        <v>236</v>
      </c>
      <c r="B241" s="69" t="s">
        <v>680</v>
      </c>
      <c r="C241" s="88" t="s">
        <v>81</v>
      </c>
      <c r="D241" s="71" t="s">
        <v>681</v>
      </c>
      <c r="E241" s="102" t="s">
        <v>682</v>
      </c>
      <c r="F241" s="104"/>
      <c r="G241" s="105">
        <v>45657</v>
      </c>
      <c r="H241" s="102" t="s">
        <v>683</v>
      </c>
      <c r="I241" s="120" t="s">
        <v>513</v>
      </c>
      <c r="J241" s="102" t="s">
        <v>514</v>
      </c>
      <c r="K241" s="68" t="s">
        <v>86</v>
      </c>
      <c r="L241" s="70" t="s">
        <v>87</v>
      </c>
      <c r="M241" s="88" t="s">
        <v>70</v>
      </c>
      <c r="N241" s="88" t="s">
        <v>71</v>
      </c>
      <c r="O241" s="108"/>
      <c r="P241" s="109">
        <v>45658</v>
      </c>
      <c r="Q241" s="94">
        <f t="shared" si="88"/>
        <v>46387</v>
      </c>
      <c r="R241" s="111">
        <v>24</v>
      </c>
      <c r="S241" s="111">
        <v>2</v>
      </c>
      <c r="T241" s="123">
        <v>145000000</v>
      </c>
      <c r="U241" s="113"/>
      <c r="V241" s="123">
        <v>145000000</v>
      </c>
      <c r="W241" s="115">
        <f t="shared" si="89"/>
        <v>6041666.666666667</v>
      </c>
      <c r="X241" s="115">
        <v>72499999.999999985</v>
      </c>
      <c r="Y241" s="115">
        <v>72500000.000000015</v>
      </c>
      <c r="Z241" s="124">
        <f t="shared" si="72"/>
        <v>6041666.666666667</v>
      </c>
      <c r="AA241" s="118">
        <f t="shared" si="90"/>
        <v>66458333.333333351</v>
      </c>
      <c r="AB241" s="85">
        <f t="shared" si="73"/>
        <v>6041666.666666667</v>
      </c>
      <c r="AC241" s="84">
        <f t="shared" si="74"/>
        <v>60416666.666666687</v>
      </c>
      <c r="AD241" s="85">
        <f t="shared" si="91"/>
        <v>6041666.666666667</v>
      </c>
      <c r="AE241" s="118">
        <f t="shared" si="75"/>
        <v>54375000.000000022</v>
      </c>
      <c r="AF241" s="85">
        <f t="shared" si="92"/>
        <v>6041666.666666667</v>
      </c>
      <c r="AG241" s="84">
        <f t="shared" si="76"/>
        <v>48333333.333333358</v>
      </c>
      <c r="AH241" s="85"/>
      <c r="AI241" s="84">
        <f t="shared" si="77"/>
        <v>48333333.333333358</v>
      </c>
      <c r="AJ241" s="85"/>
      <c r="AK241" s="84">
        <f t="shared" si="78"/>
        <v>48333333.333333358</v>
      </c>
      <c r="AL241" s="85"/>
      <c r="AM241" s="84">
        <f t="shared" si="79"/>
        <v>48333333.333333358</v>
      </c>
      <c r="AN241" s="85"/>
      <c r="AO241" s="84">
        <f t="shared" si="80"/>
        <v>48333333.333333358</v>
      </c>
      <c r="AP241" s="85"/>
      <c r="AQ241" s="84">
        <f t="shared" si="81"/>
        <v>48333333.333333358</v>
      </c>
      <c r="AR241" s="85"/>
      <c r="AS241" s="84">
        <f t="shared" si="82"/>
        <v>48333333.333333358</v>
      </c>
      <c r="AT241" s="85"/>
      <c r="AU241" s="84">
        <f t="shared" si="83"/>
        <v>48333333.333333358</v>
      </c>
      <c r="AV241" s="85"/>
      <c r="AW241" s="84">
        <f t="shared" si="84"/>
        <v>48333333.333333358</v>
      </c>
      <c r="AX241" s="86">
        <f t="shared" si="85"/>
        <v>24166666.666666668</v>
      </c>
      <c r="AY241" s="87">
        <f t="shared" si="86"/>
        <v>48333333.333333343</v>
      </c>
      <c r="AZ241" s="65" t="b">
        <f t="shared" si="87"/>
        <v>1</v>
      </c>
    </row>
    <row r="242" spans="1:52" s="67" customFormat="1" ht="24.75" hidden="1" customHeight="1">
      <c r="A242" s="68">
        <v>237</v>
      </c>
      <c r="B242" s="69" t="s">
        <v>684</v>
      </c>
      <c r="C242" s="88" t="s">
        <v>81</v>
      </c>
      <c r="D242" s="71" t="s">
        <v>681</v>
      </c>
      <c r="E242" s="102" t="s">
        <v>685</v>
      </c>
      <c r="F242" s="104"/>
      <c r="G242" s="105">
        <v>45657</v>
      </c>
      <c r="H242" s="102" t="s">
        <v>683</v>
      </c>
      <c r="I242" s="120" t="s">
        <v>513</v>
      </c>
      <c r="J242" s="102" t="s">
        <v>514</v>
      </c>
      <c r="K242" s="68" t="s">
        <v>86</v>
      </c>
      <c r="L242" s="70" t="s">
        <v>87</v>
      </c>
      <c r="M242" s="88" t="s">
        <v>70</v>
      </c>
      <c r="N242" s="88" t="s">
        <v>71</v>
      </c>
      <c r="O242" s="108"/>
      <c r="P242" s="109">
        <v>45658</v>
      </c>
      <c r="Q242" s="94">
        <f t="shared" si="88"/>
        <v>46387</v>
      </c>
      <c r="R242" s="111">
        <v>24</v>
      </c>
      <c r="S242" s="111">
        <v>2</v>
      </c>
      <c r="T242" s="123">
        <v>105000000</v>
      </c>
      <c r="U242" s="113"/>
      <c r="V242" s="123">
        <v>105000000</v>
      </c>
      <c r="W242" s="115">
        <f t="shared" si="89"/>
        <v>4375000</v>
      </c>
      <c r="X242" s="115">
        <v>52500000</v>
      </c>
      <c r="Y242" s="115">
        <v>52500000</v>
      </c>
      <c r="Z242" s="124">
        <f t="shared" si="72"/>
        <v>4375000</v>
      </c>
      <c r="AA242" s="118">
        <f t="shared" si="90"/>
        <v>48125000</v>
      </c>
      <c r="AB242" s="85">
        <f t="shared" si="73"/>
        <v>4375000</v>
      </c>
      <c r="AC242" s="84">
        <f t="shared" si="74"/>
        <v>43750000</v>
      </c>
      <c r="AD242" s="85">
        <f t="shared" si="91"/>
        <v>4375000</v>
      </c>
      <c r="AE242" s="118">
        <f t="shared" si="75"/>
        <v>39375000</v>
      </c>
      <c r="AF242" s="85">
        <f t="shared" si="92"/>
        <v>4375000</v>
      </c>
      <c r="AG242" s="84">
        <f t="shared" si="76"/>
        <v>35000000</v>
      </c>
      <c r="AH242" s="85"/>
      <c r="AI242" s="84">
        <f t="shared" si="77"/>
        <v>35000000</v>
      </c>
      <c r="AJ242" s="85"/>
      <c r="AK242" s="84">
        <f t="shared" si="78"/>
        <v>35000000</v>
      </c>
      <c r="AL242" s="85"/>
      <c r="AM242" s="84">
        <f t="shared" si="79"/>
        <v>35000000</v>
      </c>
      <c r="AN242" s="85"/>
      <c r="AO242" s="84">
        <f t="shared" si="80"/>
        <v>35000000</v>
      </c>
      <c r="AP242" s="85"/>
      <c r="AQ242" s="84">
        <f t="shared" si="81"/>
        <v>35000000</v>
      </c>
      <c r="AR242" s="85"/>
      <c r="AS242" s="84">
        <f t="shared" si="82"/>
        <v>35000000</v>
      </c>
      <c r="AT242" s="85"/>
      <c r="AU242" s="84">
        <f t="shared" si="83"/>
        <v>35000000</v>
      </c>
      <c r="AV242" s="85"/>
      <c r="AW242" s="84">
        <f t="shared" si="84"/>
        <v>35000000</v>
      </c>
      <c r="AX242" s="86">
        <f t="shared" si="85"/>
        <v>17500000</v>
      </c>
      <c r="AY242" s="87">
        <f t="shared" si="86"/>
        <v>35000000</v>
      </c>
      <c r="AZ242" s="65" t="b">
        <f t="shared" si="87"/>
        <v>1</v>
      </c>
    </row>
    <row r="243" spans="1:52" s="67" customFormat="1" ht="24.75" hidden="1" customHeight="1">
      <c r="A243" s="68">
        <v>238</v>
      </c>
      <c r="B243" s="137" t="s">
        <v>686</v>
      </c>
      <c r="C243" s="138" t="s">
        <v>687</v>
      </c>
      <c r="D243" s="71" t="s">
        <v>114</v>
      </c>
      <c r="E243" s="102" t="s">
        <v>688</v>
      </c>
      <c r="F243" s="104"/>
      <c r="G243" s="105">
        <v>45488</v>
      </c>
      <c r="H243" s="102" t="s">
        <v>689</v>
      </c>
      <c r="I243" s="120" t="s">
        <v>66</v>
      </c>
      <c r="J243" s="102" t="s">
        <v>67</v>
      </c>
      <c r="K243" s="68">
        <v>51030109</v>
      </c>
      <c r="L243" s="70" t="s">
        <v>690</v>
      </c>
      <c r="M243" s="88" t="s">
        <v>60</v>
      </c>
      <c r="N243" s="88" t="s">
        <v>61</v>
      </c>
      <c r="O243" s="108"/>
      <c r="P243" s="109">
        <v>45505</v>
      </c>
      <c r="Q243" s="94">
        <f t="shared" si="88"/>
        <v>47330</v>
      </c>
      <c r="R243" s="111">
        <v>60</v>
      </c>
      <c r="S243" s="111">
        <v>5</v>
      </c>
      <c r="T243" s="123">
        <v>201973237</v>
      </c>
      <c r="U243" s="113"/>
      <c r="V243" s="123">
        <v>201973237</v>
      </c>
      <c r="W243" s="115">
        <f t="shared" si="89"/>
        <v>3366220.6166666667</v>
      </c>
      <c r="X243" s="115">
        <v>57225750.483333334</v>
      </c>
      <c r="Y243" s="115">
        <v>144747486.51666665</v>
      </c>
      <c r="Z243" s="124">
        <f t="shared" si="72"/>
        <v>3366220.6166666667</v>
      </c>
      <c r="AA243" s="118">
        <f t="shared" si="90"/>
        <v>141381265.89999998</v>
      </c>
      <c r="AB243" s="85">
        <f t="shared" si="73"/>
        <v>3366220.6166666667</v>
      </c>
      <c r="AC243" s="84">
        <f t="shared" si="74"/>
        <v>138015045.2833333</v>
      </c>
      <c r="AD243" s="139">
        <v>138015045.2833333</v>
      </c>
      <c r="AE243" s="118">
        <f t="shared" si="75"/>
        <v>0</v>
      </c>
      <c r="AF243" s="85">
        <f t="shared" si="92"/>
        <v>0</v>
      </c>
      <c r="AG243" s="84">
        <f t="shared" si="76"/>
        <v>0</v>
      </c>
      <c r="AH243" s="85"/>
      <c r="AI243" s="84">
        <f t="shared" si="77"/>
        <v>0</v>
      </c>
      <c r="AJ243" s="85"/>
      <c r="AK243" s="84">
        <f t="shared" si="78"/>
        <v>0</v>
      </c>
      <c r="AL243" s="85"/>
      <c r="AM243" s="84">
        <f t="shared" si="79"/>
        <v>0</v>
      </c>
      <c r="AN243" s="85"/>
      <c r="AO243" s="84">
        <f t="shared" si="80"/>
        <v>0</v>
      </c>
      <c r="AP243" s="85"/>
      <c r="AQ243" s="84">
        <f t="shared" si="81"/>
        <v>0</v>
      </c>
      <c r="AR243" s="85"/>
      <c r="AS243" s="84">
        <f t="shared" si="82"/>
        <v>0</v>
      </c>
      <c r="AT243" s="85"/>
      <c r="AU243" s="84">
        <f t="shared" si="83"/>
        <v>0</v>
      </c>
      <c r="AV243" s="85"/>
      <c r="AW243" s="84">
        <f t="shared" si="84"/>
        <v>0</v>
      </c>
      <c r="AX243" s="86">
        <f t="shared" si="85"/>
        <v>144747486.51666662</v>
      </c>
      <c r="AY243" s="87">
        <f t="shared" si="86"/>
        <v>0</v>
      </c>
      <c r="AZ243" s="65" t="b">
        <f t="shared" si="87"/>
        <v>1</v>
      </c>
    </row>
    <row r="244" spans="1:52" s="67" customFormat="1" ht="24.75" hidden="1" customHeight="1">
      <c r="A244" s="68">
        <v>239</v>
      </c>
      <c r="B244" s="137" t="s">
        <v>691</v>
      </c>
      <c r="C244" s="138" t="s">
        <v>687</v>
      </c>
      <c r="D244" s="71" t="s">
        <v>114</v>
      </c>
      <c r="E244" s="102" t="s">
        <v>688</v>
      </c>
      <c r="F244" s="104"/>
      <c r="G244" s="105">
        <v>45547</v>
      </c>
      <c r="H244" s="102" t="s">
        <v>692</v>
      </c>
      <c r="I244" s="120" t="s">
        <v>66</v>
      </c>
      <c r="J244" s="102" t="s">
        <v>67</v>
      </c>
      <c r="K244" s="68">
        <v>51030109</v>
      </c>
      <c r="L244" s="70" t="s">
        <v>690</v>
      </c>
      <c r="M244" s="88" t="s">
        <v>60</v>
      </c>
      <c r="N244" s="88" t="s">
        <v>61</v>
      </c>
      <c r="O244" s="108"/>
      <c r="P244" s="109">
        <v>45566</v>
      </c>
      <c r="Q244" s="94">
        <f t="shared" si="88"/>
        <v>47391</v>
      </c>
      <c r="R244" s="111">
        <v>60</v>
      </c>
      <c r="S244" s="111">
        <v>5</v>
      </c>
      <c r="T244" s="123">
        <v>249239491</v>
      </c>
      <c r="U244" s="113"/>
      <c r="V244" s="123">
        <v>249239491</v>
      </c>
      <c r="W244" s="115">
        <f t="shared" si="89"/>
        <v>4153991.5166666666</v>
      </c>
      <c r="X244" s="115">
        <v>62309872.75</v>
      </c>
      <c r="Y244" s="115">
        <v>186929618.25</v>
      </c>
      <c r="Z244" s="124">
        <f t="shared" si="72"/>
        <v>4153991.5166666666</v>
      </c>
      <c r="AA244" s="118">
        <f t="shared" si="90"/>
        <v>182775626.73333332</v>
      </c>
      <c r="AB244" s="85">
        <f t="shared" si="73"/>
        <v>4153991.5166666666</v>
      </c>
      <c r="AC244" s="84">
        <f t="shared" si="74"/>
        <v>178621635.21666664</v>
      </c>
      <c r="AD244" s="85">
        <f t="shared" ref="AD244:AD307" si="93">+IF(AC244&lt;&gt;0,$W244,0)</f>
        <v>4153991.5166666666</v>
      </c>
      <c r="AE244" s="118">
        <f t="shared" si="75"/>
        <v>174467643.69999996</v>
      </c>
      <c r="AF244" s="85">
        <f t="shared" si="92"/>
        <v>4153991.5166666666</v>
      </c>
      <c r="AG244" s="84">
        <f t="shared" si="76"/>
        <v>170313652.18333328</v>
      </c>
      <c r="AH244" s="85"/>
      <c r="AI244" s="84">
        <f t="shared" si="77"/>
        <v>170313652.18333328</v>
      </c>
      <c r="AJ244" s="85"/>
      <c r="AK244" s="84">
        <f t="shared" si="78"/>
        <v>170313652.18333328</v>
      </c>
      <c r="AL244" s="85"/>
      <c r="AM244" s="84">
        <f t="shared" si="79"/>
        <v>170313652.18333328</v>
      </c>
      <c r="AN244" s="85"/>
      <c r="AO244" s="84">
        <f t="shared" si="80"/>
        <v>170313652.18333328</v>
      </c>
      <c r="AP244" s="85"/>
      <c r="AQ244" s="84">
        <f t="shared" si="81"/>
        <v>170313652.18333328</v>
      </c>
      <c r="AR244" s="85"/>
      <c r="AS244" s="84">
        <f t="shared" si="82"/>
        <v>170313652.18333328</v>
      </c>
      <c r="AT244" s="85"/>
      <c r="AU244" s="84">
        <f t="shared" si="83"/>
        <v>170313652.18333328</v>
      </c>
      <c r="AV244" s="85"/>
      <c r="AW244" s="84">
        <f t="shared" si="84"/>
        <v>170313652.18333328</v>
      </c>
      <c r="AX244" s="86">
        <f t="shared" si="85"/>
        <v>16615966.066666666</v>
      </c>
      <c r="AY244" s="87">
        <f t="shared" si="86"/>
        <v>170313652.18333334</v>
      </c>
      <c r="AZ244" s="65" t="b">
        <f t="shared" si="87"/>
        <v>1</v>
      </c>
    </row>
    <row r="245" spans="1:52" s="67" customFormat="1" ht="24.75" hidden="1" customHeight="1">
      <c r="A245" s="68">
        <v>240</v>
      </c>
      <c r="B245" s="137" t="s">
        <v>693</v>
      </c>
      <c r="C245" s="138" t="s">
        <v>687</v>
      </c>
      <c r="D245" s="71" t="s">
        <v>114</v>
      </c>
      <c r="E245" s="102" t="s">
        <v>694</v>
      </c>
      <c r="F245" s="104"/>
      <c r="G245" s="105">
        <v>45555</v>
      </c>
      <c r="H245" s="102" t="s">
        <v>695</v>
      </c>
      <c r="I245" s="120" t="s">
        <v>66</v>
      </c>
      <c r="J245" s="102" t="s">
        <v>67</v>
      </c>
      <c r="K245" s="68">
        <v>51030109</v>
      </c>
      <c r="L245" s="70" t="s">
        <v>690</v>
      </c>
      <c r="M245" s="88" t="s">
        <v>60</v>
      </c>
      <c r="N245" s="88" t="s">
        <v>61</v>
      </c>
      <c r="O245" s="108"/>
      <c r="P245" s="109">
        <v>45566</v>
      </c>
      <c r="Q245" s="94">
        <f t="shared" si="88"/>
        <v>47391</v>
      </c>
      <c r="R245" s="111">
        <v>60</v>
      </c>
      <c r="S245" s="111">
        <v>5</v>
      </c>
      <c r="T245" s="123">
        <v>257492326</v>
      </c>
      <c r="U245" s="113"/>
      <c r="V245" s="123">
        <v>257492326</v>
      </c>
      <c r="W245" s="115">
        <f t="shared" si="89"/>
        <v>4291538.7666666666</v>
      </c>
      <c r="X245" s="115">
        <v>64373081.5</v>
      </c>
      <c r="Y245" s="115">
        <v>193119244.5</v>
      </c>
      <c r="Z245" s="124">
        <f t="shared" si="72"/>
        <v>4291538.7666666666</v>
      </c>
      <c r="AA245" s="118">
        <f t="shared" si="90"/>
        <v>188827705.73333332</v>
      </c>
      <c r="AB245" s="85">
        <f t="shared" si="73"/>
        <v>4291538.7666666666</v>
      </c>
      <c r="AC245" s="84">
        <f t="shared" si="74"/>
        <v>184536166.96666664</v>
      </c>
      <c r="AD245" s="85">
        <f t="shared" si="93"/>
        <v>4291538.7666666666</v>
      </c>
      <c r="AE245" s="118">
        <f t="shared" si="75"/>
        <v>180244628.19999996</v>
      </c>
      <c r="AF245" s="85">
        <f t="shared" si="92"/>
        <v>4291538.7666666666</v>
      </c>
      <c r="AG245" s="84">
        <f t="shared" si="76"/>
        <v>175953089.43333328</v>
      </c>
      <c r="AH245" s="85"/>
      <c r="AI245" s="84">
        <f t="shared" si="77"/>
        <v>175953089.43333328</v>
      </c>
      <c r="AJ245" s="85"/>
      <c r="AK245" s="84">
        <f t="shared" si="78"/>
        <v>175953089.43333328</v>
      </c>
      <c r="AL245" s="85"/>
      <c r="AM245" s="84">
        <f t="shared" si="79"/>
        <v>175953089.43333328</v>
      </c>
      <c r="AN245" s="85"/>
      <c r="AO245" s="84">
        <f t="shared" si="80"/>
        <v>175953089.43333328</v>
      </c>
      <c r="AP245" s="85"/>
      <c r="AQ245" s="84">
        <f t="shared" si="81"/>
        <v>175953089.43333328</v>
      </c>
      <c r="AR245" s="85"/>
      <c r="AS245" s="84">
        <f t="shared" si="82"/>
        <v>175953089.43333328</v>
      </c>
      <c r="AT245" s="85"/>
      <c r="AU245" s="84">
        <f t="shared" si="83"/>
        <v>175953089.43333328</v>
      </c>
      <c r="AV245" s="85"/>
      <c r="AW245" s="84">
        <f t="shared" si="84"/>
        <v>175953089.43333328</v>
      </c>
      <c r="AX245" s="86">
        <f t="shared" si="85"/>
        <v>17166155.066666666</v>
      </c>
      <c r="AY245" s="87">
        <f t="shared" si="86"/>
        <v>175953089.43333334</v>
      </c>
      <c r="AZ245" s="65" t="b">
        <f t="shared" si="87"/>
        <v>1</v>
      </c>
    </row>
    <row r="246" spans="1:52" s="67" customFormat="1" ht="24.75" hidden="1" customHeight="1">
      <c r="A246" s="68">
        <v>241</v>
      </c>
      <c r="B246" s="69" t="s">
        <v>696</v>
      </c>
      <c r="C246" s="88" t="s">
        <v>73</v>
      </c>
      <c r="D246" s="71" t="s">
        <v>64</v>
      </c>
      <c r="E246" s="102" t="s">
        <v>697</v>
      </c>
      <c r="F246" s="104"/>
      <c r="G246" s="105">
        <v>45660</v>
      </c>
      <c r="H246" s="102" t="s">
        <v>698</v>
      </c>
      <c r="I246" s="120" t="s">
        <v>66</v>
      </c>
      <c r="J246" s="102" t="s">
        <v>67</v>
      </c>
      <c r="K246" s="68" t="s">
        <v>68</v>
      </c>
      <c r="L246" s="70" t="s">
        <v>69</v>
      </c>
      <c r="M246" s="88" t="s">
        <v>699</v>
      </c>
      <c r="N246" s="88" t="s">
        <v>700</v>
      </c>
      <c r="O246" s="108"/>
      <c r="P246" s="109">
        <v>45689</v>
      </c>
      <c r="Q246" s="94">
        <f t="shared" si="88"/>
        <v>46418</v>
      </c>
      <c r="R246" s="111">
        <v>24</v>
      </c>
      <c r="S246" s="111">
        <f t="shared" ref="S246:S290" si="94">R246/12</f>
        <v>2</v>
      </c>
      <c r="T246" s="123">
        <v>160000000</v>
      </c>
      <c r="U246" s="113"/>
      <c r="V246" s="123">
        <v>160000000</v>
      </c>
      <c r="W246" s="83">
        <f t="shared" si="89"/>
        <v>6666666.666666667</v>
      </c>
      <c r="X246" s="115">
        <v>73333333.333333328</v>
      </c>
      <c r="Y246" s="115">
        <v>86666666.666666672</v>
      </c>
      <c r="Z246" s="124">
        <f t="shared" si="72"/>
        <v>6666666.666666667</v>
      </c>
      <c r="AA246" s="118">
        <f t="shared" si="90"/>
        <v>80000000</v>
      </c>
      <c r="AB246" s="85">
        <f t="shared" si="73"/>
        <v>6666666.666666667</v>
      </c>
      <c r="AC246" s="84">
        <f t="shared" si="74"/>
        <v>73333333.333333328</v>
      </c>
      <c r="AD246" s="85">
        <f t="shared" si="93"/>
        <v>6666666.666666667</v>
      </c>
      <c r="AE246" s="118">
        <f t="shared" si="75"/>
        <v>66666666.666666664</v>
      </c>
      <c r="AF246" s="85">
        <f t="shared" si="92"/>
        <v>6666666.666666667</v>
      </c>
      <c r="AG246" s="84">
        <f t="shared" si="76"/>
        <v>60000000</v>
      </c>
      <c r="AH246" s="85"/>
      <c r="AI246" s="84">
        <f t="shared" si="77"/>
        <v>60000000</v>
      </c>
      <c r="AJ246" s="85"/>
      <c r="AK246" s="84">
        <f t="shared" si="78"/>
        <v>60000000</v>
      </c>
      <c r="AL246" s="85"/>
      <c r="AM246" s="84">
        <f t="shared" si="79"/>
        <v>60000000</v>
      </c>
      <c r="AN246" s="85"/>
      <c r="AO246" s="84">
        <f t="shared" si="80"/>
        <v>60000000</v>
      </c>
      <c r="AP246" s="85"/>
      <c r="AQ246" s="84">
        <f t="shared" si="81"/>
        <v>60000000</v>
      </c>
      <c r="AR246" s="85"/>
      <c r="AS246" s="84">
        <f t="shared" si="82"/>
        <v>60000000</v>
      </c>
      <c r="AT246" s="85"/>
      <c r="AU246" s="84">
        <f t="shared" si="83"/>
        <v>60000000</v>
      </c>
      <c r="AV246" s="85"/>
      <c r="AW246" s="84">
        <f t="shared" si="84"/>
        <v>60000000</v>
      </c>
      <c r="AX246" s="86">
        <f t="shared" si="85"/>
        <v>26666666.666666668</v>
      </c>
      <c r="AY246" s="87">
        <f t="shared" si="86"/>
        <v>60000000</v>
      </c>
      <c r="AZ246" s="65" t="b">
        <f t="shared" si="87"/>
        <v>1</v>
      </c>
    </row>
    <row r="247" spans="1:52" s="67" customFormat="1" ht="24.75" hidden="1" customHeight="1">
      <c r="A247" s="68">
        <v>242</v>
      </c>
      <c r="B247" s="69" t="s">
        <v>701</v>
      </c>
      <c r="C247" s="88" t="s">
        <v>73</v>
      </c>
      <c r="D247" s="71" t="s">
        <v>64</v>
      </c>
      <c r="E247" s="102" t="s">
        <v>702</v>
      </c>
      <c r="F247" s="104"/>
      <c r="G247" s="105">
        <v>45659</v>
      </c>
      <c r="H247" s="102" t="s">
        <v>703</v>
      </c>
      <c r="I247" s="120" t="s">
        <v>66</v>
      </c>
      <c r="J247" s="102" t="s">
        <v>67</v>
      </c>
      <c r="K247" s="68" t="s">
        <v>68</v>
      </c>
      <c r="L247" s="70" t="s">
        <v>69</v>
      </c>
      <c r="M247" s="88" t="s">
        <v>55</v>
      </c>
      <c r="N247" s="88" t="s">
        <v>56</v>
      </c>
      <c r="O247" s="108"/>
      <c r="P247" s="109">
        <v>45689</v>
      </c>
      <c r="Q247" s="94">
        <f t="shared" si="88"/>
        <v>46418</v>
      </c>
      <c r="R247" s="111">
        <v>24</v>
      </c>
      <c r="S247" s="111">
        <f t="shared" si="94"/>
        <v>2</v>
      </c>
      <c r="T247" s="123">
        <v>260000000</v>
      </c>
      <c r="U247" s="113"/>
      <c r="V247" s="123">
        <v>260000000</v>
      </c>
      <c r="W247" s="83">
        <f t="shared" si="89"/>
        <v>10833333.333333334</v>
      </c>
      <c r="X247" s="115">
        <v>119166666.66666666</v>
      </c>
      <c r="Y247" s="115">
        <v>140833333.33333334</v>
      </c>
      <c r="Z247" s="124">
        <f t="shared" si="72"/>
        <v>10833333.333333334</v>
      </c>
      <c r="AA247" s="118">
        <f t="shared" si="90"/>
        <v>130000000.00000001</v>
      </c>
      <c r="AB247" s="85">
        <f t="shared" si="73"/>
        <v>10833333.333333334</v>
      </c>
      <c r="AC247" s="84">
        <f t="shared" si="74"/>
        <v>119166666.66666669</v>
      </c>
      <c r="AD247" s="85">
        <f t="shared" si="93"/>
        <v>10833333.333333334</v>
      </c>
      <c r="AE247" s="118">
        <f t="shared" si="75"/>
        <v>108333333.33333336</v>
      </c>
      <c r="AF247" s="85">
        <f t="shared" si="92"/>
        <v>10833333.333333334</v>
      </c>
      <c r="AG247" s="84">
        <f t="shared" si="76"/>
        <v>97500000.00000003</v>
      </c>
      <c r="AH247" s="85"/>
      <c r="AI247" s="84">
        <f t="shared" si="77"/>
        <v>97500000.00000003</v>
      </c>
      <c r="AJ247" s="85"/>
      <c r="AK247" s="84">
        <f t="shared" si="78"/>
        <v>97500000.00000003</v>
      </c>
      <c r="AL247" s="85"/>
      <c r="AM247" s="84">
        <f t="shared" si="79"/>
        <v>97500000.00000003</v>
      </c>
      <c r="AN247" s="85"/>
      <c r="AO247" s="84">
        <f t="shared" si="80"/>
        <v>97500000.00000003</v>
      </c>
      <c r="AP247" s="85"/>
      <c r="AQ247" s="84">
        <f t="shared" si="81"/>
        <v>97500000.00000003</v>
      </c>
      <c r="AR247" s="85"/>
      <c r="AS247" s="84">
        <f t="shared" si="82"/>
        <v>97500000.00000003</v>
      </c>
      <c r="AT247" s="85"/>
      <c r="AU247" s="84">
        <f t="shared" si="83"/>
        <v>97500000.00000003</v>
      </c>
      <c r="AV247" s="85"/>
      <c r="AW247" s="84">
        <f t="shared" si="84"/>
        <v>97500000.00000003</v>
      </c>
      <c r="AX247" s="86">
        <f t="shared" si="85"/>
        <v>43333333.333333336</v>
      </c>
      <c r="AY247" s="87">
        <f t="shared" si="86"/>
        <v>97500000</v>
      </c>
      <c r="AZ247" s="65" t="b">
        <f t="shared" si="87"/>
        <v>1</v>
      </c>
    </row>
    <row r="248" spans="1:52" s="67" customFormat="1" ht="24.75" hidden="1" customHeight="1">
      <c r="A248" s="68">
        <v>243</v>
      </c>
      <c r="B248" s="69" t="s">
        <v>704</v>
      </c>
      <c r="C248" s="88" t="s">
        <v>73</v>
      </c>
      <c r="D248" s="71" t="s">
        <v>64</v>
      </c>
      <c r="E248" s="102" t="s">
        <v>705</v>
      </c>
      <c r="F248" s="104"/>
      <c r="G248" s="105">
        <v>45659</v>
      </c>
      <c r="H248" s="102" t="s">
        <v>706</v>
      </c>
      <c r="I248" s="120" t="s">
        <v>66</v>
      </c>
      <c r="J248" s="102" t="s">
        <v>67</v>
      </c>
      <c r="K248" s="68" t="s">
        <v>68</v>
      </c>
      <c r="L248" s="70" t="s">
        <v>69</v>
      </c>
      <c r="M248" s="88" t="s">
        <v>70</v>
      </c>
      <c r="N248" s="88" t="s">
        <v>71</v>
      </c>
      <c r="O248" s="108"/>
      <c r="P248" s="109">
        <v>45689</v>
      </c>
      <c r="Q248" s="94">
        <f t="shared" si="88"/>
        <v>46783</v>
      </c>
      <c r="R248" s="111">
        <v>36</v>
      </c>
      <c r="S248" s="111">
        <f t="shared" si="94"/>
        <v>3</v>
      </c>
      <c r="T248" s="123">
        <v>1266000000</v>
      </c>
      <c r="U248" s="113"/>
      <c r="V248" s="123">
        <v>1266000000</v>
      </c>
      <c r="W248" s="83">
        <f t="shared" si="89"/>
        <v>35166666.666666664</v>
      </c>
      <c r="X248" s="115">
        <v>386833333.33333337</v>
      </c>
      <c r="Y248" s="115">
        <v>879166666.66666663</v>
      </c>
      <c r="Z248" s="124">
        <f t="shared" si="72"/>
        <v>35166666.666666664</v>
      </c>
      <c r="AA248" s="118">
        <f t="shared" si="90"/>
        <v>844000000</v>
      </c>
      <c r="AB248" s="85">
        <f t="shared" si="73"/>
        <v>35166666.666666664</v>
      </c>
      <c r="AC248" s="84">
        <f t="shared" si="74"/>
        <v>808833333.33333337</v>
      </c>
      <c r="AD248" s="85">
        <f t="shared" si="93"/>
        <v>35166666.666666664</v>
      </c>
      <c r="AE248" s="118">
        <f t="shared" si="75"/>
        <v>773666666.66666675</v>
      </c>
      <c r="AF248" s="85">
        <f t="shared" si="92"/>
        <v>35166666.666666664</v>
      </c>
      <c r="AG248" s="84">
        <f t="shared" si="76"/>
        <v>738500000.00000012</v>
      </c>
      <c r="AH248" s="85"/>
      <c r="AI248" s="84">
        <f t="shared" si="77"/>
        <v>738500000.00000012</v>
      </c>
      <c r="AJ248" s="85"/>
      <c r="AK248" s="84">
        <f t="shared" si="78"/>
        <v>738500000.00000012</v>
      </c>
      <c r="AL248" s="85"/>
      <c r="AM248" s="84">
        <f t="shared" si="79"/>
        <v>738500000.00000012</v>
      </c>
      <c r="AN248" s="85"/>
      <c r="AO248" s="84">
        <f t="shared" si="80"/>
        <v>738500000.00000012</v>
      </c>
      <c r="AP248" s="85"/>
      <c r="AQ248" s="84">
        <f t="shared" si="81"/>
        <v>738500000.00000012</v>
      </c>
      <c r="AR248" s="85"/>
      <c r="AS248" s="84">
        <f t="shared" si="82"/>
        <v>738500000.00000012</v>
      </c>
      <c r="AT248" s="85"/>
      <c r="AU248" s="84">
        <f t="shared" si="83"/>
        <v>738500000.00000012</v>
      </c>
      <c r="AV248" s="85"/>
      <c r="AW248" s="84">
        <f t="shared" si="84"/>
        <v>738500000.00000012</v>
      </c>
      <c r="AX248" s="86">
        <f t="shared" si="85"/>
        <v>140666666.66666666</v>
      </c>
      <c r="AY248" s="87">
        <f t="shared" si="86"/>
        <v>738500000</v>
      </c>
      <c r="AZ248" s="65" t="b">
        <f t="shared" si="87"/>
        <v>1</v>
      </c>
    </row>
    <row r="249" spans="1:52" s="67" customFormat="1" ht="24.75" hidden="1" customHeight="1">
      <c r="A249" s="68">
        <v>244</v>
      </c>
      <c r="B249" s="137" t="s">
        <v>707</v>
      </c>
      <c r="C249" s="138" t="s">
        <v>687</v>
      </c>
      <c r="D249" s="71" t="s">
        <v>114</v>
      </c>
      <c r="E249" s="102" t="s">
        <v>688</v>
      </c>
      <c r="F249" s="104"/>
      <c r="G249" s="105">
        <v>45671</v>
      </c>
      <c r="H249" s="102" t="s">
        <v>708</v>
      </c>
      <c r="I249" s="120" t="s">
        <v>66</v>
      </c>
      <c r="J249" s="102" t="s">
        <v>67</v>
      </c>
      <c r="K249" s="68">
        <v>51030109</v>
      </c>
      <c r="L249" s="70" t="s">
        <v>690</v>
      </c>
      <c r="M249" s="88" t="s">
        <v>60</v>
      </c>
      <c r="N249" s="88" t="s">
        <v>61</v>
      </c>
      <c r="O249" s="108"/>
      <c r="P249" s="109">
        <v>45689</v>
      </c>
      <c r="Q249" s="94">
        <f t="shared" si="88"/>
        <v>47514</v>
      </c>
      <c r="R249" s="111">
        <v>60</v>
      </c>
      <c r="S249" s="111">
        <f t="shared" si="94"/>
        <v>5</v>
      </c>
      <c r="T249" s="123">
        <v>259699786</v>
      </c>
      <c r="U249" s="113"/>
      <c r="V249" s="123">
        <v>259699786</v>
      </c>
      <c r="W249" s="115">
        <f t="shared" si="89"/>
        <v>4328329.7666666666</v>
      </c>
      <c r="X249" s="115">
        <v>47611627.43333333</v>
      </c>
      <c r="Y249" s="115">
        <v>212088158.56666666</v>
      </c>
      <c r="Z249" s="124">
        <f t="shared" si="72"/>
        <v>4328329.7666666666</v>
      </c>
      <c r="AA249" s="118">
        <f t="shared" si="90"/>
        <v>207759828.79999998</v>
      </c>
      <c r="AB249" s="85">
        <f t="shared" si="73"/>
        <v>4328329.7666666666</v>
      </c>
      <c r="AC249" s="84">
        <f t="shared" si="74"/>
        <v>203431499.0333333</v>
      </c>
      <c r="AD249" s="85">
        <f t="shared" si="93"/>
        <v>4328329.7666666666</v>
      </c>
      <c r="AE249" s="118">
        <f t="shared" si="75"/>
        <v>199103169.26666662</v>
      </c>
      <c r="AF249" s="85">
        <f t="shared" si="92"/>
        <v>4328329.7666666666</v>
      </c>
      <c r="AG249" s="84">
        <f t="shared" si="76"/>
        <v>194774839.49999994</v>
      </c>
      <c r="AH249" s="85"/>
      <c r="AI249" s="84">
        <f t="shared" si="77"/>
        <v>194774839.49999994</v>
      </c>
      <c r="AJ249" s="85"/>
      <c r="AK249" s="84">
        <f t="shared" si="78"/>
        <v>194774839.49999994</v>
      </c>
      <c r="AL249" s="85"/>
      <c r="AM249" s="84">
        <f t="shared" si="79"/>
        <v>194774839.49999994</v>
      </c>
      <c r="AN249" s="85"/>
      <c r="AO249" s="84">
        <f t="shared" si="80"/>
        <v>194774839.49999994</v>
      </c>
      <c r="AP249" s="85"/>
      <c r="AQ249" s="84">
        <f t="shared" si="81"/>
        <v>194774839.49999994</v>
      </c>
      <c r="AR249" s="85"/>
      <c r="AS249" s="84">
        <f t="shared" si="82"/>
        <v>194774839.49999994</v>
      </c>
      <c r="AT249" s="85"/>
      <c r="AU249" s="84">
        <f t="shared" si="83"/>
        <v>194774839.49999994</v>
      </c>
      <c r="AV249" s="85"/>
      <c r="AW249" s="84">
        <f t="shared" si="84"/>
        <v>194774839.49999994</v>
      </c>
      <c r="AX249" s="86">
        <f t="shared" si="85"/>
        <v>17313319.066666666</v>
      </c>
      <c r="AY249" s="87">
        <f t="shared" si="86"/>
        <v>194774839.5</v>
      </c>
      <c r="AZ249" s="65" t="b">
        <f t="shared" si="87"/>
        <v>1</v>
      </c>
    </row>
    <row r="250" spans="1:52" s="67" customFormat="1" ht="24.75" hidden="1" customHeight="1">
      <c r="A250" s="68">
        <v>245</v>
      </c>
      <c r="B250" s="69" t="s">
        <v>709</v>
      </c>
      <c r="C250" s="88" t="s">
        <v>81</v>
      </c>
      <c r="D250" s="71" t="s">
        <v>95</v>
      </c>
      <c r="E250" s="102" t="s">
        <v>710</v>
      </c>
      <c r="F250" s="104"/>
      <c r="G250" s="105">
        <v>45688</v>
      </c>
      <c r="H250" s="102" t="s">
        <v>711</v>
      </c>
      <c r="I250" s="95" t="s">
        <v>98</v>
      </c>
      <c r="J250" s="102" t="s">
        <v>617</v>
      </c>
      <c r="K250" s="68" t="s">
        <v>99</v>
      </c>
      <c r="L250" s="70" t="s">
        <v>100</v>
      </c>
      <c r="M250" s="88" t="s">
        <v>101</v>
      </c>
      <c r="N250" s="88" t="s">
        <v>102</v>
      </c>
      <c r="O250" s="108"/>
      <c r="P250" s="109">
        <v>45689</v>
      </c>
      <c r="Q250" s="94">
        <f t="shared" si="88"/>
        <v>46783</v>
      </c>
      <c r="R250" s="111">
        <v>36</v>
      </c>
      <c r="S250" s="111">
        <f t="shared" si="94"/>
        <v>3</v>
      </c>
      <c r="T250" s="123">
        <v>276638697.86000001</v>
      </c>
      <c r="U250" s="113"/>
      <c r="V250" s="123">
        <v>276638697.86000001</v>
      </c>
      <c r="W250" s="83">
        <f t="shared" si="89"/>
        <v>7684408.2738888897</v>
      </c>
      <c r="X250" s="115">
        <v>84528491.012777761</v>
      </c>
      <c r="Y250" s="115">
        <v>192110206.84722227</v>
      </c>
      <c r="Z250" s="124">
        <f t="shared" si="72"/>
        <v>7684408.2738888897</v>
      </c>
      <c r="AA250" s="118">
        <f t="shared" si="90"/>
        <v>184425798.57333338</v>
      </c>
      <c r="AB250" s="85">
        <f t="shared" si="73"/>
        <v>7684408.2738888897</v>
      </c>
      <c r="AC250" s="84">
        <f t="shared" si="74"/>
        <v>176741390.2994445</v>
      </c>
      <c r="AD250" s="85">
        <f t="shared" si="93"/>
        <v>7684408.2738888897</v>
      </c>
      <c r="AE250" s="118">
        <f t="shared" si="75"/>
        <v>169056982.02555561</v>
      </c>
      <c r="AF250" s="85">
        <f t="shared" si="92"/>
        <v>7684408.2738888897</v>
      </c>
      <c r="AG250" s="84">
        <f t="shared" si="76"/>
        <v>161372573.75166672</v>
      </c>
      <c r="AH250" s="85"/>
      <c r="AI250" s="84">
        <f t="shared" si="77"/>
        <v>161372573.75166672</v>
      </c>
      <c r="AJ250" s="85"/>
      <c r="AK250" s="84">
        <f t="shared" si="78"/>
        <v>161372573.75166672</v>
      </c>
      <c r="AL250" s="85"/>
      <c r="AM250" s="84">
        <f t="shared" si="79"/>
        <v>161372573.75166672</v>
      </c>
      <c r="AN250" s="85"/>
      <c r="AO250" s="84">
        <f t="shared" si="80"/>
        <v>161372573.75166672</v>
      </c>
      <c r="AP250" s="85"/>
      <c r="AQ250" s="84">
        <f t="shared" si="81"/>
        <v>161372573.75166672</v>
      </c>
      <c r="AR250" s="85"/>
      <c r="AS250" s="84">
        <f t="shared" si="82"/>
        <v>161372573.75166672</v>
      </c>
      <c r="AT250" s="85"/>
      <c r="AU250" s="84">
        <f t="shared" si="83"/>
        <v>161372573.75166672</v>
      </c>
      <c r="AV250" s="85"/>
      <c r="AW250" s="84">
        <f t="shared" si="84"/>
        <v>161372573.75166672</v>
      </c>
      <c r="AX250" s="86">
        <f t="shared" si="85"/>
        <v>30737633.095555559</v>
      </c>
      <c r="AY250" s="87">
        <f t="shared" si="86"/>
        <v>161372573.75166672</v>
      </c>
      <c r="AZ250" s="65" t="b">
        <f t="shared" si="87"/>
        <v>1</v>
      </c>
    </row>
    <row r="251" spans="1:52" s="67" customFormat="1" ht="24.75" hidden="1" customHeight="1">
      <c r="A251" s="68">
        <v>246</v>
      </c>
      <c r="B251" s="69" t="s">
        <v>712</v>
      </c>
      <c r="C251" s="88" t="s">
        <v>81</v>
      </c>
      <c r="D251" s="71" t="s">
        <v>95</v>
      </c>
      <c r="E251" s="102" t="s">
        <v>713</v>
      </c>
      <c r="F251" s="104"/>
      <c r="G251" s="105">
        <v>45688</v>
      </c>
      <c r="H251" s="102" t="s">
        <v>711</v>
      </c>
      <c r="I251" s="95" t="s">
        <v>98</v>
      </c>
      <c r="J251" s="102" t="s">
        <v>617</v>
      </c>
      <c r="K251" s="68" t="s">
        <v>99</v>
      </c>
      <c r="L251" s="70" t="s">
        <v>100</v>
      </c>
      <c r="M251" s="88" t="s">
        <v>101</v>
      </c>
      <c r="N251" s="88" t="s">
        <v>102</v>
      </c>
      <c r="O251" s="108"/>
      <c r="P251" s="109">
        <v>45689</v>
      </c>
      <c r="Q251" s="94">
        <f t="shared" si="88"/>
        <v>46783</v>
      </c>
      <c r="R251" s="111">
        <v>36</v>
      </c>
      <c r="S251" s="111">
        <f t="shared" si="94"/>
        <v>3</v>
      </c>
      <c r="T251" s="123">
        <v>262493653.88</v>
      </c>
      <c r="U251" s="113"/>
      <c r="V251" s="123">
        <v>262493653.88</v>
      </c>
      <c r="W251" s="83">
        <f t="shared" si="89"/>
        <v>7291490.3855555551</v>
      </c>
      <c r="X251" s="115">
        <v>80206394.241111115</v>
      </c>
      <c r="Y251" s="115">
        <v>182287259.6388889</v>
      </c>
      <c r="Z251" s="124">
        <f t="shared" si="72"/>
        <v>7291490.3855555551</v>
      </c>
      <c r="AA251" s="118">
        <f t="shared" si="90"/>
        <v>174995769.25333333</v>
      </c>
      <c r="AB251" s="85">
        <f t="shared" si="73"/>
        <v>7291490.3855555551</v>
      </c>
      <c r="AC251" s="84">
        <f t="shared" si="74"/>
        <v>167704278.86777776</v>
      </c>
      <c r="AD251" s="85">
        <f t="shared" si="93"/>
        <v>7291490.3855555551</v>
      </c>
      <c r="AE251" s="118">
        <f t="shared" si="75"/>
        <v>160412788.4822222</v>
      </c>
      <c r="AF251" s="85">
        <f t="shared" si="92"/>
        <v>7291490.3855555551</v>
      </c>
      <c r="AG251" s="84">
        <f t="shared" si="76"/>
        <v>153121298.09666663</v>
      </c>
      <c r="AH251" s="85"/>
      <c r="AI251" s="84">
        <f t="shared" si="77"/>
        <v>153121298.09666663</v>
      </c>
      <c r="AJ251" s="85"/>
      <c r="AK251" s="84">
        <f t="shared" si="78"/>
        <v>153121298.09666663</v>
      </c>
      <c r="AL251" s="85"/>
      <c r="AM251" s="84">
        <f t="shared" si="79"/>
        <v>153121298.09666663</v>
      </c>
      <c r="AN251" s="85"/>
      <c r="AO251" s="84">
        <f t="shared" si="80"/>
        <v>153121298.09666663</v>
      </c>
      <c r="AP251" s="85"/>
      <c r="AQ251" s="84">
        <f t="shared" si="81"/>
        <v>153121298.09666663</v>
      </c>
      <c r="AR251" s="85"/>
      <c r="AS251" s="84">
        <f t="shared" si="82"/>
        <v>153121298.09666663</v>
      </c>
      <c r="AT251" s="85"/>
      <c r="AU251" s="84">
        <f t="shared" si="83"/>
        <v>153121298.09666663</v>
      </c>
      <c r="AV251" s="85"/>
      <c r="AW251" s="84">
        <f t="shared" si="84"/>
        <v>153121298.09666663</v>
      </c>
      <c r="AX251" s="86">
        <f t="shared" si="85"/>
        <v>29165961.54222222</v>
      </c>
      <c r="AY251" s="87">
        <f t="shared" si="86"/>
        <v>153121298.09666666</v>
      </c>
      <c r="AZ251" s="65" t="b">
        <f t="shared" si="87"/>
        <v>1</v>
      </c>
    </row>
    <row r="252" spans="1:52" s="67" customFormat="1" ht="24.75" hidden="1" customHeight="1">
      <c r="A252" s="68">
        <v>247</v>
      </c>
      <c r="B252" s="69" t="s">
        <v>714</v>
      </c>
      <c r="C252" s="88" t="s">
        <v>81</v>
      </c>
      <c r="D252" s="71" t="s">
        <v>95</v>
      </c>
      <c r="E252" s="102" t="s">
        <v>715</v>
      </c>
      <c r="F252" s="104"/>
      <c r="G252" s="105">
        <v>45688</v>
      </c>
      <c r="H252" s="102" t="s">
        <v>711</v>
      </c>
      <c r="I252" s="95" t="s">
        <v>98</v>
      </c>
      <c r="J252" s="102" t="s">
        <v>617</v>
      </c>
      <c r="K252" s="68" t="s">
        <v>99</v>
      </c>
      <c r="L252" s="70" t="s">
        <v>100</v>
      </c>
      <c r="M252" s="88" t="s">
        <v>101</v>
      </c>
      <c r="N252" s="88" t="s">
        <v>102</v>
      </c>
      <c r="O252" s="108"/>
      <c r="P252" s="109">
        <v>45689</v>
      </c>
      <c r="Q252" s="94">
        <f t="shared" si="88"/>
        <v>46783</v>
      </c>
      <c r="R252" s="111">
        <v>36</v>
      </c>
      <c r="S252" s="111">
        <f t="shared" si="94"/>
        <v>3</v>
      </c>
      <c r="T252" s="123">
        <v>353953740.63</v>
      </c>
      <c r="U252" s="113"/>
      <c r="V252" s="123">
        <v>353953740.63</v>
      </c>
      <c r="W252" s="83">
        <f t="shared" si="89"/>
        <v>9832048.350833334</v>
      </c>
      <c r="X252" s="115">
        <v>108152531.85916665</v>
      </c>
      <c r="Y252" s="115">
        <v>245801208.77083334</v>
      </c>
      <c r="Z252" s="124">
        <f t="shared" si="72"/>
        <v>9832048.350833334</v>
      </c>
      <c r="AA252" s="118">
        <f t="shared" si="90"/>
        <v>235969160.42000002</v>
      </c>
      <c r="AB252" s="85">
        <f t="shared" si="73"/>
        <v>9832048.350833334</v>
      </c>
      <c r="AC252" s="84">
        <f t="shared" si="74"/>
        <v>226137112.06916669</v>
      </c>
      <c r="AD252" s="85">
        <f t="shared" si="93"/>
        <v>9832048.350833334</v>
      </c>
      <c r="AE252" s="118">
        <f t="shared" si="75"/>
        <v>216305063.71833336</v>
      </c>
      <c r="AF252" s="85">
        <f t="shared" si="92"/>
        <v>9832048.350833334</v>
      </c>
      <c r="AG252" s="84">
        <f t="shared" si="76"/>
        <v>206473015.36750004</v>
      </c>
      <c r="AH252" s="85"/>
      <c r="AI252" s="84">
        <f t="shared" si="77"/>
        <v>206473015.36750004</v>
      </c>
      <c r="AJ252" s="85"/>
      <c r="AK252" s="84">
        <f t="shared" si="78"/>
        <v>206473015.36750004</v>
      </c>
      <c r="AL252" s="85"/>
      <c r="AM252" s="84">
        <f t="shared" si="79"/>
        <v>206473015.36750004</v>
      </c>
      <c r="AN252" s="85"/>
      <c r="AO252" s="84">
        <f t="shared" si="80"/>
        <v>206473015.36750004</v>
      </c>
      <c r="AP252" s="85"/>
      <c r="AQ252" s="84">
        <f t="shared" si="81"/>
        <v>206473015.36750004</v>
      </c>
      <c r="AR252" s="85"/>
      <c r="AS252" s="84">
        <f t="shared" si="82"/>
        <v>206473015.36750004</v>
      </c>
      <c r="AT252" s="85"/>
      <c r="AU252" s="84">
        <f t="shared" si="83"/>
        <v>206473015.36750004</v>
      </c>
      <c r="AV252" s="85"/>
      <c r="AW252" s="84">
        <f t="shared" si="84"/>
        <v>206473015.36750004</v>
      </c>
      <c r="AX252" s="86">
        <f t="shared" si="85"/>
        <v>39328193.403333336</v>
      </c>
      <c r="AY252" s="87">
        <f t="shared" si="86"/>
        <v>206473015.36750001</v>
      </c>
      <c r="AZ252" s="65" t="b">
        <f t="shared" si="87"/>
        <v>1</v>
      </c>
    </row>
    <row r="253" spans="1:52" s="67" customFormat="1" ht="24.75" hidden="1" customHeight="1">
      <c r="A253" s="68">
        <v>248</v>
      </c>
      <c r="B253" s="69" t="s">
        <v>716</v>
      </c>
      <c r="C253" s="88" t="s">
        <v>81</v>
      </c>
      <c r="D253" s="71" t="s">
        <v>95</v>
      </c>
      <c r="E253" s="102" t="s">
        <v>717</v>
      </c>
      <c r="F253" s="104"/>
      <c r="G253" s="105">
        <v>45688</v>
      </c>
      <c r="H253" s="102" t="s">
        <v>711</v>
      </c>
      <c r="I253" s="95" t="s">
        <v>98</v>
      </c>
      <c r="J253" s="102" t="s">
        <v>617</v>
      </c>
      <c r="K253" s="68" t="s">
        <v>99</v>
      </c>
      <c r="L253" s="70" t="s">
        <v>100</v>
      </c>
      <c r="M253" s="88" t="s">
        <v>101</v>
      </c>
      <c r="N253" s="88" t="s">
        <v>102</v>
      </c>
      <c r="O253" s="108"/>
      <c r="P253" s="109">
        <v>45689</v>
      </c>
      <c r="Q253" s="94">
        <f t="shared" si="88"/>
        <v>46418</v>
      </c>
      <c r="R253" s="111">
        <v>24</v>
      </c>
      <c r="S253" s="111">
        <f t="shared" si="94"/>
        <v>2</v>
      </c>
      <c r="T253" s="123">
        <v>112321784.93740611</v>
      </c>
      <c r="U253" s="113"/>
      <c r="V253" s="123">
        <v>112321784.93740611</v>
      </c>
      <c r="W253" s="83">
        <f t="shared" si="89"/>
        <v>4680074.3723919215</v>
      </c>
      <c r="X253" s="115">
        <v>51480818.096311145</v>
      </c>
      <c r="Y253" s="115">
        <v>60840966.841094963</v>
      </c>
      <c r="Z253" s="124">
        <f t="shared" si="72"/>
        <v>4680074.3723919215</v>
      </c>
      <c r="AA253" s="118">
        <f t="shared" si="90"/>
        <v>56160892.468703039</v>
      </c>
      <c r="AB253" s="85">
        <f t="shared" si="73"/>
        <v>4680074.3723919215</v>
      </c>
      <c r="AC253" s="84">
        <f t="shared" si="74"/>
        <v>51480818.096311115</v>
      </c>
      <c r="AD253" s="85">
        <f t="shared" si="93"/>
        <v>4680074.3723919215</v>
      </c>
      <c r="AE253" s="118">
        <f t="shared" si="75"/>
        <v>46800743.72391919</v>
      </c>
      <c r="AF253" s="85">
        <f t="shared" si="92"/>
        <v>4680074.3723919215</v>
      </c>
      <c r="AG253" s="84">
        <f t="shared" si="76"/>
        <v>42120669.351527266</v>
      </c>
      <c r="AH253" s="85"/>
      <c r="AI253" s="84">
        <f t="shared" si="77"/>
        <v>42120669.351527266</v>
      </c>
      <c r="AJ253" s="85"/>
      <c r="AK253" s="84">
        <f t="shared" si="78"/>
        <v>42120669.351527266</v>
      </c>
      <c r="AL253" s="85"/>
      <c r="AM253" s="84">
        <f t="shared" si="79"/>
        <v>42120669.351527266</v>
      </c>
      <c r="AN253" s="85"/>
      <c r="AO253" s="84">
        <f t="shared" si="80"/>
        <v>42120669.351527266</v>
      </c>
      <c r="AP253" s="85"/>
      <c r="AQ253" s="84">
        <f t="shared" si="81"/>
        <v>42120669.351527266</v>
      </c>
      <c r="AR253" s="85"/>
      <c r="AS253" s="84">
        <f t="shared" si="82"/>
        <v>42120669.351527266</v>
      </c>
      <c r="AT253" s="85"/>
      <c r="AU253" s="84">
        <f t="shared" si="83"/>
        <v>42120669.351527266</v>
      </c>
      <c r="AV253" s="85"/>
      <c r="AW253" s="84">
        <f t="shared" si="84"/>
        <v>42120669.351527266</v>
      </c>
      <c r="AX253" s="86">
        <f t="shared" si="85"/>
        <v>18720297.489567686</v>
      </c>
      <c r="AY253" s="87">
        <f t="shared" si="86"/>
        <v>42120669.351527274</v>
      </c>
      <c r="AZ253" s="65" t="b">
        <f t="shared" si="87"/>
        <v>1</v>
      </c>
    </row>
    <row r="254" spans="1:52" s="67" customFormat="1" ht="24.75" hidden="1" customHeight="1">
      <c r="A254" s="68">
        <v>249</v>
      </c>
      <c r="B254" s="69" t="s">
        <v>718</v>
      </c>
      <c r="C254" s="88" t="s">
        <v>81</v>
      </c>
      <c r="D254" s="71" t="s">
        <v>95</v>
      </c>
      <c r="E254" s="102" t="s">
        <v>719</v>
      </c>
      <c r="F254" s="104"/>
      <c r="G254" s="105">
        <v>45688</v>
      </c>
      <c r="H254" s="102" t="s">
        <v>711</v>
      </c>
      <c r="I254" s="95" t="s">
        <v>98</v>
      </c>
      <c r="J254" s="102" t="s">
        <v>617</v>
      </c>
      <c r="K254" s="68" t="s">
        <v>99</v>
      </c>
      <c r="L254" s="70" t="s">
        <v>100</v>
      </c>
      <c r="M254" s="88" t="s">
        <v>101</v>
      </c>
      <c r="N254" s="88" t="s">
        <v>102</v>
      </c>
      <c r="O254" s="108"/>
      <c r="P254" s="109">
        <v>45689</v>
      </c>
      <c r="Q254" s="94">
        <f t="shared" si="88"/>
        <v>46053</v>
      </c>
      <c r="R254" s="111">
        <v>12</v>
      </c>
      <c r="S254" s="111">
        <f t="shared" si="94"/>
        <v>1</v>
      </c>
      <c r="T254" s="123">
        <v>72485986.937406108</v>
      </c>
      <c r="U254" s="113"/>
      <c r="V254" s="123">
        <v>72485986.937406108</v>
      </c>
      <c r="W254" s="83">
        <f t="shared" si="89"/>
        <v>6040498.911450509</v>
      </c>
      <c r="X254" s="115">
        <v>66445488.025955588</v>
      </c>
      <c r="Y254" s="115">
        <v>6040498.9114505202</v>
      </c>
      <c r="Z254" s="124">
        <f t="shared" si="72"/>
        <v>6040498.911450509</v>
      </c>
      <c r="AA254" s="118">
        <v>0</v>
      </c>
      <c r="AB254" s="85">
        <f t="shared" si="73"/>
        <v>0</v>
      </c>
      <c r="AC254" s="84">
        <f t="shared" si="74"/>
        <v>0</v>
      </c>
      <c r="AD254" s="85">
        <f t="shared" si="93"/>
        <v>0</v>
      </c>
      <c r="AE254" s="118">
        <f t="shared" si="75"/>
        <v>0</v>
      </c>
      <c r="AF254" s="85">
        <f t="shared" si="92"/>
        <v>0</v>
      </c>
      <c r="AG254" s="84">
        <f t="shared" si="76"/>
        <v>0</v>
      </c>
      <c r="AH254" s="85"/>
      <c r="AI254" s="84">
        <f t="shared" si="77"/>
        <v>0</v>
      </c>
      <c r="AJ254" s="85"/>
      <c r="AK254" s="84">
        <f t="shared" si="78"/>
        <v>0</v>
      </c>
      <c r="AL254" s="85"/>
      <c r="AM254" s="84">
        <f t="shared" si="79"/>
        <v>0</v>
      </c>
      <c r="AN254" s="85"/>
      <c r="AO254" s="84">
        <f t="shared" si="80"/>
        <v>0</v>
      </c>
      <c r="AP254" s="85"/>
      <c r="AQ254" s="84">
        <f t="shared" si="81"/>
        <v>0</v>
      </c>
      <c r="AR254" s="85"/>
      <c r="AS254" s="84">
        <f t="shared" si="82"/>
        <v>0</v>
      </c>
      <c r="AT254" s="85"/>
      <c r="AU254" s="84">
        <f t="shared" si="83"/>
        <v>0</v>
      </c>
      <c r="AV254" s="85"/>
      <c r="AW254" s="84">
        <f t="shared" si="84"/>
        <v>0</v>
      </c>
      <c r="AX254" s="86">
        <f t="shared" si="85"/>
        <v>6040498.911450509</v>
      </c>
      <c r="AY254" s="87">
        <f t="shared" si="86"/>
        <v>1.1175870895385742E-8</v>
      </c>
      <c r="AZ254" s="65" t="b">
        <f t="shared" si="87"/>
        <v>1</v>
      </c>
    </row>
    <row r="255" spans="1:52" s="67" customFormat="1" ht="24.75" hidden="1" customHeight="1">
      <c r="A255" s="68">
        <v>250</v>
      </c>
      <c r="B255" s="69" t="s">
        <v>720</v>
      </c>
      <c r="C255" s="88" t="s">
        <v>81</v>
      </c>
      <c r="D255" s="71" t="s">
        <v>95</v>
      </c>
      <c r="E255" s="102" t="s">
        <v>721</v>
      </c>
      <c r="F255" s="104"/>
      <c r="G255" s="105">
        <v>45688</v>
      </c>
      <c r="H255" s="102" t="s">
        <v>711</v>
      </c>
      <c r="I255" s="95" t="s">
        <v>98</v>
      </c>
      <c r="J255" s="102" t="s">
        <v>617</v>
      </c>
      <c r="K255" s="68" t="s">
        <v>99</v>
      </c>
      <c r="L255" s="70" t="s">
        <v>100</v>
      </c>
      <c r="M255" s="88" t="s">
        <v>101</v>
      </c>
      <c r="N255" s="88" t="s">
        <v>102</v>
      </c>
      <c r="O255" s="108"/>
      <c r="P255" s="109">
        <v>45689</v>
      </c>
      <c r="Q255" s="94">
        <f t="shared" si="88"/>
        <v>46053</v>
      </c>
      <c r="R255" s="111">
        <v>12</v>
      </c>
      <c r="S255" s="111">
        <f t="shared" si="94"/>
        <v>1</v>
      </c>
      <c r="T255" s="123">
        <v>70725161.937406108</v>
      </c>
      <c r="U255" s="113"/>
      <c r="V255" s="123">
        <v>70725161.937406108</v>
      </c>
      <c r="W255" s="83">
        <f t="shared" si="89"/>
        <v>5893763.494783842</v>
      </c>
      <c r="X255" s="115">
        <v>64831398.442622259</v>
      </c>
      <c r="Y255" s="115">
        <v>5893763.4947838485</v>
      </c>
      <c r="Z255" s="124">
        <f t="shared" si="72"/>
        <v>5893763.494783842</v>
      </c>
      <c r="AA255" s="118">
        <f t="shared" ref="AA255:AA318" si="95">+V255-X255-Z255</f>
        <v>0</v>
      </c>
      <c r="AB255" s="85">
        <f t="shared" si="73"/>
        <v>0</v>
      </c>
      <c r="AC255" s="84">
        <f t="shared" si="74"/>
        <v>0</v>
      </c>
      <c r="AD255" s="85">
        <f t="shared" si="93"/>
        <v>0</v>
      </c>
      <c r="AE255" s="118">
        <f t="shared" si="75"/>
        <v>0</v>
      </c>
      <c r="AF255" s="85">
        <f t="shared" si="92"/>
        <v>0</v>
      </c>
      <c r="AG255" s="84">
        <f t="shared" si="76"/>
        <v>0</v>
      </c>
      <c r="AH255" s="85"/>
      <c r="AI255" s="84">
        <f t="shared" si="77"/>
        <v>0</v>
      </c>
      <c r="AJ255" s="85"/>
      <c r="AK255" s="84">
        <f t="shared" si="78"/>
        <v>0</v>
      </c>
      <c r="AL255" s="85"/>
      <c r="AM255" s="84">
        <f t="shared" si="79"/>
        <v>0</v>
      </c>
      <c r="AN255" s="85"/>
      <c r="AO255" s="84">
        <f t="shared" si="80"/>
        <v>0</v>
      </c>
      <c r="AP255" s="85"/>
      <c r="AQ255" s="84">
        <f t="shared" si="81"/>
        <v>0</v>
      </c>
      <c r="AR255" s="85"/>
      <c r="AS255" s="84">
        <f t="shared" si="82"/>
        <v>0</v>
      </c>
      <c r="AT255" s="85"/>
      <c r="AU255" s="84">
        <f t="shared" si="83"/>
        <v>0</v>
      </c>
      <c r="AV255" s="85"/>
      <c r="AW255" s="84">
        <f t="shared" si="84"/>
        <v>0</v>
      </c>
      <c r="AX255" s="86">
        <f t="shared" si="85"/>
        <v>5893763.494783842</v>
      </c>
      <c r="AY255" s="87">
        <f t="shared" si="86"/>
        <v>0</v>
      </c>
      <c r="AZ255" s="65" t="b">
        <f t="shared" si="87"/>
        <v>1</v>
      </c>
    </row>
    <row r="256" spans="1:52" s="67" customFormat="1" ht="24.75" hidden="1" customHeight="1">
      <c r="A256" s="68">
        <v>251</v>
      </c>
      <c r="B256" s="69" t="s">
        <v>722</v>
      </c>
      <c r="C256" s="88" t="s">
        <v>81</v>
      </c>
      <c r="D256" s="71" t="s">
        <v>95</v>
      </c>
      <c r="E256" s="102" t="s">
        <v>723</v>
      </c>
      <c r="F256" s="104"/>
      <c r="G256" s="105">
        <v>45688</v>
      </c>
      <c r="H256" s="102" t="s">
        <v>711</v>
      </c>
      <c r="I256" s="95" t="s">
        <v>98</v>
      </c>
      <c r="J256" s="102" t="s">
        <v>617</v>
      </c>
      <c r="K256" s="68" t="s">
        <v>99</v>
      </c>
      <c r="L256" s="70" t="s">
        <v>100</v>
      </c>
      <c r="M256" s="88" t="s">
        <v>101</v>
      </c>
      <c r="N256" s="88" t="s">
        <v>102</v>
      </c>
      <c r="O256" s="108"/>
      <c r="P256" s="109">
        <v>45689</v>
      </c>
      <c r="Q256" s="94">
        <f t="shared" si="88"/>
        <v>46418</v>
      </c>
      <c r="R256" s="111">
        <v>24</v>
      </c>
      <c r="S256" s="111">
        <f t="shared" si="94"/>
        <v>2</v>
      </c>
      <c r="T256" s="123">
        <v>171489947.93740606</v>
      </c>
      <c r="U256" s="113"/>
      <c r="V256" s="123">
        <v>171489947.93740606</v>
      </c>
      <c r="W256" s="83">
        <f t="shared" si="89"/>
        <v>7145414.4973919196</v>
      </c>
      <c r="X256" s="115">
        <v>78599559.471311107</v>
      </c>
      <c r="Y256" s="115">
        <v>92890388.466094956</v>
      </c>
      <c r="Z256" s="124">
        <f t="shared" si="72"/>
        <v>7145414.4973919196</v>
      </c>
      <c r="AA256" s="118">
        <f t="shared" si="95"/>
        <v>85744973.968703032</v>
      </c>
      <c r="AB256" s="85">
        <f t="shared" si="73"/>
        <v>7145414.4973919196</v>
      </c>
      <c r="AC256" s="84">
        <f t="shared" si="74"/>
        <v>78599559.471311107</v>
      </c>
      <c r="AD256" s="85">
        <f t="shared" si="93"/>
        <v>7145414.4973919196</v>
      </c>
      <c r="AE256" s="118">
        <f t="shared" si="75"/>
        <v>71454144.973919183</v>
      </c>
      <c r="AF256" s="85">
        <f t="shared" si="92"/>
        <v>7145414.4973919196</v>
      </c>
      <c r="AG256" s="84">
        <f t="shared" si="76"/>
        <v>64308730.476527266</v>
      </c>
      <c r="AH256" s="85"/>
      <c r="AI256" s="84">
        <f t="shared" si="77"/>
        <v>64308730.476527266</v>
      </c>
      <c r="AJ256" s="85"/>
      <c r="AK256" s="84">
        <f t="shared" si="78"/>
        <v>64308730.476527266</v>
      </c>
      <c r="AL256" s="85"/>
      <c r="AM256" s="84">
        <f t="shared" si="79"/>
        <v>64308730.476527266</v>
      </c>
      <c r="AN256" s="85"/>
      <c r="AO256" s="84">
        <f t="shared" si="80"/>
        <v>64308730.476527266</v>
      </c>
      <c r="AP256" s="85"/>
      <c r="AQ256" s="84">
        <f t="shared" si="81"/>
        <v>64308730.476527266</v>
      </c>
      <c r="AR256" s="85"/>
      <c r="AS256" s="84">
        <f t="shared" si="82"/>
        <v>64308730.476527266</v>
      </c>
      <c r="AT256" s="85"/>
      <c r="AU256" s="84">
        <f t="shared" si="83"/>
        <v>64308730.476527266</v>
      </c>
      <c r="AV256" s="85"/>
      <c r="AW256" s="84">
        <f t="shared" si="84"/>
        <v>64308730.476527266</v>
      </c>
      <c r="AX256" s="86">
        <f t="shared" si="85"/>
        <v>28581657.989567678</v>
      </c>
      <c r="AY256" s="87">
        <f t="shared" si="86"/>
        <v>64308730.476527274</v>
      </c>
      <c r="AZ256" s="65" t="b">
        <f t="shared" si="87"/>
        <v>1</v>
      </c>
    </row>
    <row r="257" spans="1:52" s="67" customFormat="1" ht="24.75" hidden="1" customHeight="1">
      <c r="A257" s="68">
        <v>252</v>
      </c>
      <c r="B257" s="69" t="s">
        <v>724</v>
      </c>
      <c r="C257" s="88" t="s">
        <v>81</v>
      </c>
      <c r="D257" s="71" t="s">
        <v>95</v>
      </c>
      <c r="E257" s="102" t="s">
        <v>725</v>
      </c>
      <c r="F257" s="104"/>
      <c r="G257" s="105">
        <v>45688</v>
      </c>
      <c r="H257" s="102" t="s">
        <v>711</v>
      </c>
      <c r="I257" s="95" t="s">
        <v>98</v>
      </c>
      <c r="J257" s="102" t="s">
        <v>617</v>
      </c>
      <c r="K257" s="68" t="s">
        <v>99</v>
      </c>
      <c r="L257" s="70" t="s">
        <v>100</v>
      </c>
      <c r="M257" s="88" t="s">
        <v>101</v>
      </c>
      <c r="N257" s="88" t="s">
        <v>102</v>
      </c>
      <c r="O257" s="108"/>
      <c r="P257" s="109">
        <v>45689</v>
      </c>
      <c r="Q257" s="94">
        <f t="shared" si="88"/>
        <v>46418</v>
      </c>
      <c r="R257" s="111">
        <v>24</v>
      </c>
      <c r="S257" s="111">
        <f t="shared" si="94"/>
        <v>2</v>
      </c>
      <c r="T257" s="123">
        <v>104048266.76687792</v>
      </c>
      <c r="U257" s="113"/>
      <c r="V257" s="123">
        <v>104048266.76687792</v>
      </c>
      <c r="W257" s="83">
        <f t="shared" si="89"/>
        <v>4335344.4486199133</v>
      </c>
      <c r="X257" s="115">
        <v>47688788.934819058</v>
      </c>
      <c r="Y257" s="115">
        <v>56359477.832058862</v>
      </c>
      <c r="Z257" s="124">
        <f t="shared" si="72"/>
        <v>4335344.4486199133</v>
      </c>
      <c r="AA257" s="118">
        <f t="shared" si="95"/>
        <v>52024133.383438945</v>
      </c>
      <c r="AB257" s="85">
        <f t="shared" si="73"/>
        <v>4335344.4486199133</v>
      </c>
      <c r="AC257" s="84">
        <f t="shared" si="74"/>
        <v>47688788.934819028</v>
      </c>
      <c r="AD257" s="85">
        <f t="shared" si="93"/>
        <v>4335344.4486199133</v>
      </c>
      <c r="AE257" s="118">
        <f t="shared" si="75"/>
        <v>43353444.486199111</v>
      </c>
      <c r="AF257" s="85">
        <f t="shared" si="92"/>
        <v>4335344.4486199133</v>
      </c>
      <c r="AG257" s="84">
        <f t="shared" si="76"/>
        <v>39018100.037579194</v>
      </c>
      <c r="AH257" s="85"/>
      <c r="AI257" s="84">
        <f t="shared" si="77"/>
        <v>39018100.037579194</v>
      </c>
      <c r="AJ257" s="85"/>
      <c r="AK257" s="84">
        <f t="shared" si="78"/>
        <v>39018100.037579194</v>
      </c>
      <c r="AL257" s="85"/>
      <c r="AM257" s="84">
        <f t="shared" si="79"/>
        <v>39018100.037579194</v>
      </c>
      <c r="AN257" s="85"/>
      <c r="AO257" s="84">
        <f t="shared" si="80"/>
        <v>39018100.037579194</v>
      </c>
      <c r="AP257" s="85"/>
      <c r="AQ257" s="84">
        <f t="shared" si="81"/>
        <v>39018100.037579194</v>
      </c>
      <c r="AR257" s="85"/>
      <c r="AS257" s="84">
        <f t="shared" si="82"/>
        <v>39018100.037579194</v>
      </c>
      <c r="AT257" s="85"/>
      <c r="AU257" s="84">
        <f t="shared" si="83"/>
        <v>39018100.037579194</v>
      </c>
      <c r="AV257" s="85"/>
      <c r="AW257" s="84">
        <f t="shared" si="84"/>
        <v>39018100.037579194</v>
      </c>
      <c r="AX257" s="86">
        <f t="shared" si="85"/>
        <v>17341377.794479653</v>
      </c>
      <c r="AY257" s="87">
        <f t="shared" si="86"/>
        <v>39018100.037579209</v>
      </c>
      <c r="AZ257" s="65" t="b">
        <f t="shared" si="87"/>
        <v>1</v>
      </c>
    </row>
    <row r="258" spans="1:52" s="67" customFormat="1" ht="24.75" hidden="1" customHeight="1">
      <c r="A258" s="68">
        <v>253</v>
      </c>
      <c r="B258" s="69" t="s">
        <v>726</v>
      </c>
      <c r="C258" s="88" t="s">
        <v>81</v>
      </c>
      <c r="D258" s="71" t="s">
        <v>95</v>
      </c>
      <c r="E258" s="102" t="s">
        <v>727</v>
      </c>
      <c r="F258" s="104"/>
      <c r="G258" s="105">
        <v>45688</v>
      </c>
      <c r="H258" s="102" t="s">
        <v>711</v>
      </c>
      <c r="I258" s="95" t="s">
        <v>98</v>
      </c>
      <c r="J258" s="102" t="s">
        <v>617</v>
      </c>
      <c r="K258" s="68" t="s">
        <v>99</v>
      </c>
      <c r="L258" s="70" t="s">
        <v>100</v>
      </c>
      <c r="M258" s="88" t="s">
        <v>101</v>
      </c>
      <c r="N258" s="88" t="s">
        <v>102</v>
      </c>
      <c r="O258" s="108"/>
      <c r="P258" s="109">
        <v>45689</v>
      </c>
      <c r="Q258" s="94">
        <f t="shared" si="88"/>
        <v>46418</v>
      </c>
      <c r="R258" s="111">
        <v>24</v>
      </c>
      <c r="S258" s="111">
        <f t="shared" si="94"/>
        <v>2</v>
      </c>
      <c r="T258" s="123">
        <v>150768015.65122247</v>
      </c>
      <c r="U258" s="113"/>
      <c r="V258" s="123">
        <v>150768015.65122247</v>
      </c>
      <c r="W258" s="83">
        <f t="shared" si="89"/>
        <v>6282000.6521342695</v>
      </c>
      <c r="X258" s="115">
        <v>69102007.173476964</v>
      </c>
      <c r="Y258" s="115">
        <v>81666008.477745503</v>
      </c>
      <c r="Z258" s="124">
        <f t="shared" si="72"/>
        <v>6282000.6521342695</v>
      </c>
      <c r="AA258" s="118">
        <f t="shared" si="95"/>
        <v>75384007.825611234</v>
      </c>
      <c r="AB258" s="85">
        <f t="shared" si="73"/>
        <v>6282000.6521342695</v>
      </c>
      <c r="AC258" s="84">
        <f t="shared" si="74"/>
        <v>69102007.173476964</v>
      </c>
      <c r="AD258" s="85">
        <f t="shared" si="93"/>
        <v>6282000.6521342695</v>
      </c>
      <c r="AE258" s="118">
        <f t="shared" si="75"/>
        <v>62820006.521342695</v>
      </c>
      <c r="AF258" s="85">
        <f t="shared" si="92"/>
        <v>6282000.6521342695</v>
      </c>
      <c r="AG258" s="84">
        <f t="shared" si="76"/>
        <v>56538005.869208425</v>
      </c>
      <c r="AH258" s="85"/>
      <c r="AI258" s="84">
        <f t="shared" si="77"/>
        <v>56538005.869208425</v>
      </c>
      <c r="AJ258" s="85"/>
      <c r="AK258" s="84">
        <f t="shared" si="78"/>
        <v>56538005.869208425</v>
      </c>
      <c r="AL258" s="85"/>
      <c r="AM258" s="84">
        <f t="shared" si="79"/>
        <v>56538005.869208425</v>
      </c>
      <c r="AN258" s="85"/>
      <c r="AO258" s="84">
        <f t="shared" si="80"/>
        <v>56538005.869208425</v>
      </c>
      <c r="AP258" s="85"/>
      <c r="AQ258" s="84">
        <f t="shared" si="81"/>
        <v>56538005.869208425</v>
      </c>
      <c r="AR258" s="85"/>
      <c r="AS258" s="84">
        <f t="shared" si="82"/>
        <v>56538005.869208425</v>
      </c>
      <c r="AT258" s="85"/>
      <c r="AU258" s="84">
        <f t="shared" si="83"/>
        <v>56538005.869208425</v>
      </c>
      <c r="AV258" s="85"/>
      <c r="AW258" s="84">
        <f t="shared" si="84"/>
        <v>56538005.869208425</v>
      </c>
      <c r="AX258" s="86">
        <f t="shared" si="85"/>
        <v>25128002.608537078</v>
      </c>
      <c r="AY258" s="87">
        <f t="shared" si="86"/>
        <v>56538005.869208425</v>
      </c>
      <c r="AZ258" s="65" t="b">
        <f t="shared" si="87"/>
        <v>1</v>
      </c>
    </row>
    <row r="259" spans="1:52" s="67" customFormat="1" ht="24.75" hidden="1" customHeight="1">
      <c r="A259" s="68">
        <v>254</v>
      </c>
      <c r="B259" s="69" t="s">
        <v>728</v>
      </c>
      <c r="C259" s="88" t="s">
        <v>81</v>
      </c>
      <c r="D259" s="71" t="s">
        <v>95</v>
      </c>
      <c r="E259" s="102" t="s">
        <v>729</v>
      </c>
      <c r="F259" s="104"/>
      <c r="G259" s="105">
        <v>45688</v>
      </c>
      <c r="H259" s="102" t="s">
        <v>711</v>
      </c>
      <c r="I259" s="95" t="s">
        <v>98</v>
      </c>
      <c r="J259" s="102" t="s">
        <v>617</v>
      </c>
      <c r="K259" s="68" t="s">
        <v>99</v>
      </c>
      <c r="L259" s="70" t="s">
        <v>100</v>
      </c>
      <c r="M259" s="88" t="s">
        <v>101</v>
      </c>
      <c r="N259" s="88" t="s">
        <v>102</v>
      </c>
      <c r="O259" s="108"/>
      <c r="P259" s="109">
        <v>45689</v>
      </c>
      <c r="Q259" s="94">
        <f t="shared" si="88"/>
        <v>46783</v>
      </c>
      <c r="R259" s="111">
        <v>36</v>
      </c>
      <c r="S259" s="111">
        <f t="shared" si="94"/>
        <v>3</v>
      </c>
      <c r="T259" s="123">
        <v>237877570.28578359</v>
      </c>
      <c r="U259" s="113"/>
      <c r="V259" s="123">
        <v>237877570.28578359</v>
      </c>
      <c r="W259" s="83">
        <f t="shared" si="89"/>
        <v>6607710.2857162105</v>
      </c>
      <c r="X259" s="115">
        <v>72684813.142878324</v>
      </c>
      <c r="Y259" s="115">
        <v>165192757.14290527</v>
      </c>
      <c r="Z259" s="124">
        <f t="shared" si="72"/>
        <v>6607710.2857162105</v>
      </c>
      <c r="AA259" s="118">
        <f t="shared" si="95"/>
        <v>158585046.85718906</v>
      </c>
      <c r="AB259" s="85">
        <f t="shared" si="73"/>
        <v>6607710.2857162105</v>
      </c>
      <c r="AC259" s="84">
        <f t="shared" si="74"/>
        <v>151977336.57147285</v>
      </c>
      <c r="AD259" s="85">
        <f t="shared" si="93"/>
        <v>6607710.2857162105</v>
      </c>
      <c r="AE259" s="118">
        <f t="shared" si="75"/>
        <v>145369626.28575665</v>
      </c>
      <c r="AF259" s="85">
        <f t="shared" si="92"/>
        <v>6607710.2857162105</v>
      </c>
      <c r="AG259" s="84">
        <f t="shared" si="76"/>
        <v>138761916.00004044</v>
      </c>
      <c r="AH259" s="85"/>
      <c r="AI259" s="84">
        <f t="shared" si="77"/>
        <v>138761916.00004044</v>
      </c>
      <c r="AJ259" s="85"/>
      <c r="AK259" s="84">
        <f t="shared" si="78"/>
        <v>138761916.00004044</v>
      </c>
      <c r="AL259" s="85"/>
      <c r="AM259" s="84">
        <f t="shared" si="79"/>
        <v>138761916.00004044</v>
      </c>
      <c r="AN259" s="85"/>
      <c r="AO259" s="84">
        <f t="shared" si="80"/>
        <v>138761916.00004044</v>
      </c>
      <c r="AP259" s="85"/>
      <c r="AQ259" s="84">
        <f t="shared" si="81"/>
        <v>138761916.00004044</v>
      </c>
      <c r="AR259" s="85"/>
      <c r="AS259" s="84">
        <f t="shared" si="82"/>
        <v>138761916.00004044</v>
      </c>
      <c r="AT259" s="85"/>
      <c r="AU259" s="84">
        <f t="shared" si="83"/>
        <v>138761916.00004044</v>
      </c>
      <c r="AV259" s="85"/>
      <c r="AW259" s="84">
        <f t="shared" si="84"/>
        <v>138761916.00004044</v>
      </c>
      <c r="AX259" s="86">
        <f t="shared" si="85"/>
        <v>26430841.142864842</v>
      </c>
      <c r="AY259" s="87">
        <f t="shared" si="86"/>
        <v>138761916.00004041</v>
      </c>
      <c r="AZ259" s="65" t="b">
        <f t="shared" si="87"/>
        <v>1</v>
      </c>
    </row>
    <row r="260" spans="1:52" s="67" customFormat="1" ht="24.75" hidden="1" customHeight="1">
      <c r="A260" s="68">
        <v>255</v>
      </c>
      <c r="B260" s="69" t="s">
        <v>730</v>
      </c>
      <c r="C260" s="88" t="s">
        <v>81</v>
      </c>
      <c r="D260" s="71" t="s">
        <v>95</v>
      </c>
      <c r="E260" s="102" t="s">
        <v>731</v>
      </c>
      <c r="F260" s="104"/>
      <c r="G260" s="105">
        <v>45688</v>
      </c>
      <c r="H260" s="102" t="s">
        <v>711</v>
      </c>
      <c r="I260" s="95" t="s">
        <v>98</v>
      </c>
      <c r="J260" s="102" t="s">
        <v>617</v>
      </c>
      <c r="K260" s="68" t="s">
        <v>99</v>
      </c>
      <c r="L260" s="70" t="s">
        <v>100</v>
      </c>
      <c r="M260" s="88" t="s">
        <v>101</v>
      </c>
      <c r="N260" s="88" t="s">
        <v>102</v>
      </c>
      <c r="O260" s="108"/>
      <c r="P260" s="109">
        <v>45689</v>
      </c>
      <c r="Q260" s="94">
        <f t="shared" si="88"/>
        <v>46783</v>
      </c>
      <c r="R260" s="111">
        <v>36</v>
      </c>
      <c r="S260" s="111">
        <f t="shared" si="94"/>
        <v>3</v>
      </c>
      <c r="T260" s="123">
        <v>349239512.13000524</v>
      </c>
      <c r="U260" s="113"/>
      <c r="V260" s="123">
        <v>349239512.13000524</v>
      </c>
      <c r="W260" s="83">
        <f t="shared" si="89"/>
        <v>9701097.5591668114</v>
      </c>
      <c r="X260" s="115">
        <v>106712073.15083495</v>
      </c>
      <c r="Y260" s="115">
        <v>242527438.97917029</v>
      </c>
      <c r="Z260" s="124">
        <f t="shared" si="72"/>
        <v>9701097.5591668114</v>
      </c>
      <c r="AA260" s="118">
        <f t="shared" si="95"/>
        <v>232826341.42000347</v>
      </c>
      <c r="AB260" s="85">
        <f t="shared" si="73"/>
        <v>9701097.5591668114</v>
      </c>
      <c r="AC260" s="84">
        <f t="shared" si="74"/>
        <v>223125243.86083665</v>
      </c>
      <c r="AD260" s="85">
        <f t="shared" si="93"/>
        <v>9701097.5591668114</v>
      </c>
      <c r="AE260" s="118">
        <f t="shared" si="75"/>
        <v>213424146.30166984</v>
      </c>
      <c r="AF260" s="85">
        <f t="shared" si="92"/>
        <v>9701097.5591668114</v>
      </c>
      <c r="AG260" s="84">
        <f t="shared" si="76"/>
        <v>203723048.74250302</v>
      </c>
      <c r="AH260" s="85"/>
      <c r="AI260" s="84">
        <f t="shared" si="77"/>
        <v>203723048.74250302</v>
      </c>
      <c r="AJ260" s="85"/>
      <c r="AK260" s="84">
        <f t="shared" si="78"/>
        <v>203723048.74250302</v>
      </c>
      <c r="AL260" s="85"/>
      <c r="AM260" s="84">
        <f t="shared" si="79"/>
        <v>203723048.74250302</v>
      </c>
      <c r="AN260" s="85"/>
      <c r="AO260" s="84">
        <f t="shared" si="80"/>
        <v>203723048.74250302</v>
      </c>
      <c r="AP260" s="85"/>
      <c r="AQ260" s="84">
        <f t="shared" si="81"/>
        <v>203723048.74250302</v>
      </c>
      <c r="AR260" s="85"/>
      <c r="AS260" s="84">
        <f t="shared" si="82"/>
        <v>203723048.74250302</v>
      </c>
      <c r="AT260" s="85"/>
      <c r="AU260" s="84">
        <f t="shared" si="83"/>
        <v>203723048.74250302</v>
      </c>
      <c r="AV260" s="85"/>
      <c r="AW260" s="84">
        <f t="shared" si="84"/>
        <v>203723048.74250302</v>
      </c>
      <c r="AX260" s="86">
        <f t="shared" si="85"/>
        <v>38804390.236667246</v>
      </c>
      <c r="AY260" s="87">
        <f t="shared" si="86"/>
        <v>203723048.74250305</v>
      </c>
      <c r="AZ260" s="65" t="b">
        <f t="shared" si="87"/>
        <v>1</v>
      </c>
    </row>
    <row r="261" spans="1:52" s="67" customFormat="1" ht="24.75" hidden="1" customHeight="1">
      <c r="A261" s="68">
        <v>256</v>
      </c>
      <c r="B261" s="69" t="s">
        <v>732</v>
      </c>
      <c r="C261" s="88" t="s">
        <v>81</v>
      </c>
      <c r="D261" s="71" t="s">
        <v>95</v>
      </c>
      <c r="E261" s="102" t="s">
        <v>733</v>
      </c>
      <c r="F261" s="104"/>
      <c r="G261" s="105">
        <v>45716</v>
      </c>
      <c r="H261" s="102" t="s">
        <v>734</v>
      </c>
      <c r="I261" s="95" t="s">
        <v>98</v>
      </c>
      <c r="J261" s="102" t="s">
        <v>617</v>
      </c>
      <c r="K261" s="68" t="s">
        <v>99</v>
      </c>
      <c r="L261" s="70" t="s">
        <v>100</v>
      </c>
      <c r="M261" s="88" t="s">
        <v>101</v>
      </c>
      <c r="N261" s="88" t="s">
        <v>102</v>
      </c>
      <c r="O261" s="108"/>
      <c r="P261" s="109">
        <v>45717</v>
      </c>
      <c r="Q261" s="94">
        <f t="shared" si="88"/>
        <v>46446</v>
      </c>
      <c r="R261" s="111">
        <v>24</v>
      </c>
      <c r="S261" s="111">
        <f t="shared" si="94"/>
        <v>2</v>
      </c>
      <c r="T261" s="140">
        <v>199201855.28578359</v>
      </c>
      <c r="U261" s="113"/>
      <c r="V261" s="140">
        <v>199201855.28578359</v>
      </c>
      <c r="W261" s="83">
        <f t="shared" si="89"/>
        <v>8300077.3035743162</v>
      </c>
      <c r="X261" s="115">
        <v>83000773.035743177</v>
      </c>
      <c r="Y261" s="115">
        <v>116201082.25004041</v>
      </c>
      <c r="Z261" s="124">
        <f t="shared" si="72"/>
        <v>8300077.3035743162</v>
      </c>
      <c r="AA261" s="118">
        <f t="shared" si="95"/>
        <v>107901004.94646609</v>
      </c>
      <c r="AB261" s="85">
        <f t="shared" si="73"/>
        <v>8300077.3035743162</v>
      </c>
      <c r="AC261" s="84">
        <f t="shared" si="74"/>
        <v>99600927.642891765</v>
      </c>
      <c r="AD261" s="85">
        <f t="shared" si="93"/>
        <v>8300077.3035743162</v>
      </c>
      <c r="AE261" s="118">
        <f t="shared" si="75"/>
        <v>91300850.339317441</v>
      </c>
      <c r="AF261" s="85">
        <f t="shared" si="92"/>
        <v>8300077.3035743162</v>
      </c>
      <c r="AG261" s="84">
        <f t="shared" si="76"/>
        <v>83000773.035743117</v>
      </c>
      <c r="AH261" s="85"/>
      <c r="AI261" s="84">
        <f t="shared" si="77"/>
        <v>83000773.035743117</v>
      </c>
      <c r="AJ261" s="85"/>
      <c r="AK261" s="84">
        <f t="shared" si="78"/>
        <v>83000773.035743117</v>
      </c>
      <c r="AL261" s="85"/>
      <c r="AM261" s="84">
        <f t="shared" si="79"/>
        <v>83000773.035743117</v>
      </c>
      <c r="AN261" s="85"/>
      <c r="AO261" s="84">
        <f t="shared" si="80"/>
        <v>83000773.035743117</v>
      </c>
      <c r="AP261" s="85"/>
      <c r="AQ261" s="84">
        <f t="shared" si="81"/>
        <v>83000773.035743117</v>
      </c>
      <c r="AR261" s="85"/>
      <c r="AS261" s="84">
        <f t="shared" si="82"/>
        <v>83000773.035743117</v>
      </c>
      <c r="AT261" s="85"/>
      <c r="AU261" s="84">
        <f t="shared" si="83"/>
        <v>83000773.035743117</v>
      </c>
      <c r="AV261" s="85"/>
      <c r="AW261" s="84">
        <f t="shared" si="84"/>
        <v>83000773.035743117</v>
      </c>
      <c r="AX261" s="86">
        <f t="shared" si="85"/>
        <v>33200309.214297265</v>
      </c>
      <c r="AY261" s="87">
        <f t="shared" si="86"/>
        <v>83000773.035743147</v>
      </c>
      <c r="AZ261" s="65" t="b">
        <f t="shared" si="87"/>
        <v>1</v>
      </c>
    </row>
    <row r="262" spans="1:52" s="67" customFormat="1" ht="24.75" hidden="1" customHeight="1">
      <c r="A262" s="68">
        <v>257</v>
      </c>
      <c r="B262" s="69" t="s">
        <v>735</v>
      </c>
      <c r="C262" s="88" t="s">
        <v>81</v>
      </c>
      <c r="D262" s="71" t="s">
        <v>95</v>
      </c>
      <c r="E262" s="102" t="s">
        <v>736</v>
      </c>
      <c r="F262" s="104"/>
      <c r="G262" s="105">
        <v>45716</v>
      </c>
      <c r="H262" s="102" t="s">
        <v>734</v>
      </c>
      <c r="I262" s="95" t="s">
        <v>98</v>
      </c>
      <c r="J262" s="102" t="s">
        <v>617</v>
      </c>
      <c r="K262" s="68" t="s">
        <v>99</v>
      </c>
      <c r="L262" s="70" t="s">
        <v>100</v>
      </c>
      <c r="M262" s="88" t="s">
        <v>101</v>
      </c>
      <c r="N262" s="88" t="s">
        <v>102</v>
      </c>
      <c r="O262" s="108"/>
      <c r="P262" s="109">
        <v>45717</v>
      </c>
      <c r="Q262" s="94">
        <f t="shared" si="88"/>
        <v>46446</v>
      </c>
      <c r="R262" s="111">
        <v>24</v>
      </c>
      <c r="S262" s="111">
        <f t="shared" si="94"/>
        <v>2</v>
      </c>
      <c r="T262" s="140">
        <v>247182470.28578359</v>
      </c>
      <c r="U262" s="113"/>
      <c r="V262" s="140">
        <v>247182470.28578359</v>
      </c>
      <c r="W262" s="83">
        <f t="shared" si="89"/>
        <v>10299269.595240982</v>
      </c>
      <c r="X262" s="115">
        <v>102992695.95240982</v>
      </c>
      <c r="Y262" s="115">
        <v>144189774.33337379</v>
      </c>
      <c r="Z262" s="124">
        <f t="shared" ref="Z262:Z325" si="96">+IF(Y262&lt;&gt;0,$W262,0)</f>
        <v>10299269.595240982</v>
      </c>
      <c r="AA262" s="118">
        <f t="shared" si="95"/>
        <v>133890504.7381328</v>
      </c>
      <c r="AB262" s="85">
        <f t="shared" ref="AB262:AB325" si="97">+IF(AA262&lt;&gt;0,$W262,0)</f>
        <v>10299269.595240982</v>
      </c>
      <c r="AC262" s="84">
        <f t="shared" ref="AC262:AC325" si="98">AA262-AB262</f>
        <v>123591235.14289182</v>
      </c>
      <c r="AD262" s="85">
        <f t="shared" si="93"/>
        <v>10299269.595240982</v>
      </c>
      <c r="AE262" s="118">
        <f t="shared" ref="AE262:AE325" si="99">AC262-AD262</f>
        <v>113291965.54765084</v>
      </c>
      <c r="AF262" s="85">
        <f t="shared" si="92"/>
        <v>10299269.595240982</v>
      </c>
      <c r="AG262" s="84">
        <f t="shared" ref="AG262:AG325" si="100">AE262-AF262</f>
        <v>102992695.95240986</v>
      </c>
      <c r="AH262" s="85"/>
      <c r="AI262" s="84">
        <f t="shared" ref="AI262:AI325" si="101">AG262-AH262</f>
        <v>102992695.95240986</v>
      </c>
      <c r="AJ262" s="85"/>
      <c r="AK262" s="84">
        <f t="shared" ref="AK262:AK325" si="102">AI262-AJ262</f>
        <v>102992695.95240986</v>
      </c>
      <c r="AL262" s="85"/>
      <c r="AM262" s="84">
        <f t="shared" ref="AM262:AM325" si="103">AK262-AL262</f>
        <v>102992695.95240986</v>
      </c>
      <c r="AN262" s="85"/>
      <c r="AO262" s="84">
        <f t="shared" ref="AO262:AO325" si="104">AM262-AN262</f>
        <v>102992695.95240986</v>
      </c>
      <c r="AP262" s="85"/>
      <c r="AQ262" s="84">
        <f t="shared" ref="AQ262:AQ325" si="105">AO262-AP262</f>
        <v>102992695.95240986</v>
      </c>
      <c r="AR262" s="85"/>
      <c r="AS262" s="84">
        <f t="shared" ref="AS262:AS325" si="106">AQ262-AR262</f>
        <v>102992695.95240986</v>
      </c>
      <c r="AT262" s="85"/>
      <c r="AU262" s="84">
        <f t="shared" ref="AU262:AU325" si="107">AS262-AT262</f>
        <v>102992695.95240986</v>
      </c>
      <c r="AV262" s="85"/>
      <c r="AW262" s="84">
        <f t="shared" ref="AW262:AW325" si="108">AU262-AV262</f>
        <v>102992695.95240986</v>
      </c>
      <c r="AX262" s="86">
        <f t="shared" ref="AX262:AX325" si="109">SUMIF($Z$4:$AW$4,"Amortization",Z262:AW262)</f>
        <v>41197078.380963929</v>
      </c>
      <c r="AY262" s="87">
        <f t="shared" ref="AY262:AY325" si="110">V262-X262-AX262</f>
        <v>102992695.95240986</v>
      </c>
      <c r="AZ262" s="65" t="b">
        <f t="shared" ref="AZ262:AZ325" si="111">ROUND(AW262,0)=ROUND(AY262,0)</f>
        <v>1</v>
      </c>
    </row>
    <row r="263" spans="1:52" s="67" customFormat="1" ht="24.75" hidden="1" customHeight="1">
      <c r="A263" s="68">
        <v>258</v>
      </c>
      <c r="B263" s="69" t="s">
        <v>737</v>
      </c>
      <c r="C263" s="88" t="s">
        <v>81</v>
      </c>
      <c r="D263" s="71" t="s">
        <v>95</v>
      </c>
      <c r="E263" s="102" t="s">
        <v>738</v>
      </c>
      <c r="F263" s="104"/>
      <c r="G263" s="105">
        <v>45716</v>
      </c>
      <c r="H263" s="102" t="s">
        <v>734</v>
      </c>
      <c r="I263" s="95" t="s">
        <v>98</v>
      </c>
      <c r="J263" s="102" t="s">
        <v>617</v>
      </c>
      <c r="K263" s="68" t="s">
        <v>99</v>
      </c>
      <c r="L263" s="70" t="s">
        <v>100</v>
      </c>
      <c r="M263" s="88" t="s">
        <v>101</v>
      </c>
      <c r="N263" s="88" t="s">
        <v>102</v>
      </c>
      <c r="O263" s="108"/>
      <c r="P263" s="109">
        <v>45717</v>
      </c>
      <c r="Q263" s="94">
        <f t="shared" si="88"/>
        <v>46446</v>
      </c>
      <c r="R263" s="111">
        <v>24</v>
      </c>
      <c r="S263" s="111">
        <f t="shared" si="94"/>
        <v>2</v>
      </c>
      <c r="T263" s="140">
        <v>83000000</v>
      </c>
      <c r="U263" s="113"/>
      <c r="V263" s="140">
        <v>83000000</v>
      </c>
      <c r="W263" s="83">
        <f t="shared" si="89"/>
        <v>3458333.3333333335</v>
      </c>
      <c r="X263" s="115">
        <v>34583333.333333328</v>
      </c>
      <c r="Y263" s="115">
        <v>48416666.666666672</v>
      </c>
      <c r="Z263" s="124">
        <f t="shared" si="96"/>
        <v>3458333.3333333335</v>
      </c>
      <c r="AA263" s="118">
        <f t="shared" si="95"/>
        <v>44958333.333333336</v>
      </c>
      <c r="AB263" s="85">
        <f t="shared" si="97"/>
        <v>3458333.3333333335</v>
      </c>
      <c r="AC263" s="84">
        <f t="shared" si="98"/>
        <v>41500000</v>
      </c>
      <c r="AD263" s="85">
        <f t="shared" si="93"/>
        <v>3458333.3333333335</v>
      </c>
      <c r="AE263" s="118">
        <f t="shared" si="99"/>
        <v>38041666.666666664</v>
      </c>
      <c r="AF263" s="85">
        <f t="shared" si="92"/>
        <v>3458333.3333333335</v>
      </c>
      <c r="AG263" s="84">
        <f t="shared" si="100"/>
        <v>34583333.333333328</v>
      </c>
      <c r="AH263" s="85"/>
      <c r="AI263" s="84">
        <f t="shared" si="101"/>
        <v>34583333.333333328</v>
      </c>
      <c r="AJ263" s="85"/>
      <c r="AK263" s="84">
        <f t="shared" si="102"/>
        <v>34583333.333333328</v>
      </c>
      <c r="AL263" s="85"/>
      <c r="AM263" s="84">
        <f t="shared" si="103"/>
        <v>34583333.333333328</v>
      </c>
      <c r="AN263" s="85"/>
      <c r="AO263" s="84">
        <f t="shared" si="104"/>
        <v>34583333.333333328</v>
      </c>
      <c r="AP263" s="85"/>
      <c r="AQ263" s="84">
        <f t="shared" si="105"/>
        <v>34583333.333333328</v>
      </c>
      <c r="AR263" s="85"/>
      <c r="AS263" s="84">
        <f t="shared" si="106"/>
        <v>34583333.333333328</v>
      </c>
      <c r="AT263" s="85"/>
      <c r="AU263" s="84">
        <f t="shared" si="107"/>
        <v>34583333.333333328</v>
      </c>
      <c r="AV263" s="85"/>
      <c r="AW263" s="84">
        <f t="shared" si="108"/>
        <v>34583333.333333328</v>
      </c>
      <c r="AX263" s="86">
        <f t="shared" si="109"/>
        <v>13833333.333333334</v>
      </c>
      <c r="AY263" s="87">
        <f t="shared" si="110"/>
        <v>34583333.333333336</v>
      </c>
      <c r="AZ263" s="65" t="b">
        <f t="shared" si="111"/>
        <v>1</v>
      </c>
    </row>
    <row r="264" spans="1:52" s="67" customFormat="1" ht="24.75" hidden="1" customHeight="1">
      <c r="A264" s="68">
        <v>259</v>
      </c>
      <c r="B264" s="69" t="s">
        <v>739</v>
      </c>
      <c r="C264" s="88" t="s">
        <v>81</v>
      </c>
      <c r="D264" s="71" t="s">
        <v>95</v>
      </c>
      <c r="E264" s="102" t="s">
        <v>740</v>
      </c>
      <c r="F264" s="104"/>
      <c r="G264" s="105">
        <v>45716</v>
      </c>
      <c r="H264" s="102" t="s">
        <v>734</v>
      </c>
      <c r="I264" s="95" t="s">
        <v>98</v>
      </c>
      <c r="J264" s="102" t="s">
        <v>617</v>
      </c>
      <c r="K264" s="68" t="s">
        <v>99</v>
      </c>
      <c r="L264" s="70" t="s">
        <v>100</v>
      </c>
      <c r="M264" s="88" t="s">
        <v>101</v>
      </c>
      <c r="N264" s="88" t="s">
        <v>102</v>
      </c>
      <c r="O264" s="108"/>
      <c r="P264" s="109">
        <v>45717</v>
      </c>
      <c r="Q264" s="94">
        <f t="shared" si="88"/>
        <v>46446</v>
      </c>
      <c r="R264" s="111">
        <v>24</v>
      </c>
      <c r="S264" s="111">
        <f t="shared" si="94"/>
        <v>2</v>
      </c>
      <c r="T264" s="140">
        <v>300000000</v>
      </c>
      <c r="U264" s="113"/>
      <c r="V264" s="140">
        <v>300000000</v>
      </c>
      <c r="W264" s="83">
        <f t="shared" si="89"/>
        <v>12500000</v>
      </c>
      <c r="X264" s="115">
        <v>125000000</v>
      </c>
      <c r="Y264" s="115">
        <v>175000000</v>
      </c>
      <c r="Z264" s="124">
        <f t="shared" si="96"/>
        <v>12500000</v>
      </c>
      <c r="AA264" s="118">
        <f t="shared" si="95"/>
        <v>162500000</v>
      </c>
      <c r="AB264" s="85">
        <f t="shared" si="97"/>
        <v>12500000</v>
      </c>
      <c r="AC264" s="84">
        <f t="shared" si="98"/>
        <v>150000000</v>
      </c>
      <c r="AD264" s="85">
        <f t="shared" si="93"/>
        <v>12500000</v>
      </c>
      <c r="AE264" s="118">
        <f t="shared" si="99"/>
        <v>137500000</v>
      </c>
      <c r="AF264" s="85">
        <f t="shared" si="92"/>
        <v>12500000</v>
      </c>
      <c r="AG264" s="84">
        <f t="shared" si="100"/>
        <v>125000000</v>
      </c>
      <c r="AH264" s="85"/>
      <c r="AI264" s="84">
        <f t="shared" si="101"/>
        <v>125000000</v>
      </c>
      <c r="AJ264" s="85"/>
      <c r="AK264" s="84">
        <f t="shared" si="102"/>
        <v>125000000</v>
      </c>
      <c r="AL264" s="85"/>
      <c r="AM264" s="84">
        <f t="shared" si="103"/>
        <v>125000000</v>
      </c>
      <c r="AN264" s="85"/>
      <c r="AO264" s="84">
        <f t="shared" si="104"/>
        <v>125000000</v>
      </c>
      <c r="AP264" s="85"/>
      <c r="AQ264" s="84">
        <f t="shared" si="105"/>
        <v>125000000</v>
      </c>
      <c r="AR264" s="85"/>
      <c r="AS264" s="84">
        <f t="shared" si="106"/>
        <v>125000000</v>
      </c>
      <c r="AT264" s="85"/>
      <c r="AU264" s="84">
        <f t="shared" si="107"/>
        <v>125000000</v>
      </c>
      <c r="AV264" s="85"/>
      <c r="AW264" s="84">
        <f t="shared" si="108"/>
        <v>125000000</v>
      </c>
      <c r="AX264" s="86">
        <f t="shared" si="109"/>
        <v>50000000</v>
      </c>
      <c r="AY264" s="87">
        <f t="shared" si="110"/>
        <v>125000000</v>
      </c>
      <c r="AZ264" s="65" t="b">
        <f t="shared" si="111"/>
        <v>1</v>
      </c>
    </row>
    <row r="265" spans="1:52" s="67" customFormat="1" ht="24.75" hidden="1" customHeight="1">
      <c r="A265" s="68">
        <v>260</v>
      </c>
      <c r="B265" s="69" t="s">
        <v>741</v>
      </c>
      <c r="C265" s="88" t="s">
        <v>81</v>
      </c>
      <c r="D265" s="71" t="s">
        <v>95</v>
      </c>
      <c r="E265" s="102" t="s">
        <v>742</v>
      </c>
      <c r="F265" s="104"/>
      <c r="G265" s="105">
        <v>45716</v>
      </c>
      <c r="H265" s="102" t="s">
        <v>734</v>
      </c>
      <c r="I265" s="95" t="s">
        <v>98</v>
      </c>
      <c r="J265" s="102" t="s">
        <v>617</v>
      </c>
      <c r="K265" s="68" t="s">
        <v>99</v>
      </c>
      <c r="L265" s="70" t="s">
        <v>100</v>
      </c>
      <c r="M265" s="88" t="s">
        <v>101</v>
      </c>
      <c r="N265" s="88" t="s">
        <v>102</v>
      </c>
      <c r="O265" s="108"/>
      <c r="P265" s="109">
        <v>45717</v>
      </c>
      <c r="Q265" s="94">
        <f t="shared" si="88"/>
        <v>46446</v>
      </c>
      <c r="R265" s="111">
        <v>24</v>
      </c>
      <c r="S265" s="111">
        <f t="shared" si="94"/>
        <v>2</v>
      </c>
      <c r="T265" s="140">
        <v>300000000</v>
      </c>
      <c r="U265" s="113"/>
      <c r="V265" s="140">
        <v>300000000</v>
      </c>
      <c r="W265" s="83">
        <f t="shared" si="89"/>
        <v>12500000</v>
      </c>
      <c r="X265" s="115">
        <v>125000000</v>
      </c>
      <c r="Y265" s="115">
        <v>175000000</v>
      </c>
      <c r="Z265" s="124">
        <f t="shared" si="96"/>
        <v>12500000</v>
      </c>
      <c r="AA265" s="118">
        <f t="shared" si="95"/>
        <v>162500000</v>
      </c>
      <c r="AB265" s="85">
        <f t="shared" si="97"/>
        <v>12500000</v>
      </c>
      <c r="AC265" s="84">
        <f t="shared" si="98"/>
        <v>150000000</v>
      </c>
      <c r="AD265" s="85">
        <f t="shared" si="93"/>
        <v>12500000</v>
      </c>
      <c r="AE265" s="118">
        <f t="shared" si="99"/>
        <v>137500000</v>
      </c>
      <c r="AF265" s="85">
        <f t="shared" si="92"/>
        <v>12500000</v>
      </c>
      <c r="AG265" s="84">
        <f t="shared" si="100"/>
        <v>125000000</v>
      </c>
      <c r="AH265" s="85"/>
      <c r="AI265" s="84">
        <f t="shared" si="101"/>
        <v>125000000</v>
      </c>
      <c r="AJ265" s="85"/>
      <c r="AK265" s="84">
        <f t="shared" si="102"/>
        <v>125000000</v>
      </c>
      <c r="AL265" s="85"/>
      <c r="AM265" s="84">
        <f t="shared" si="103"/>
        <v>125000000</v>
      </c>
      <c r="AN265" s="85"/>
      <c r="AO265" s="84">
        <f t="shared" si="104"/>
        <v>125000000</v>
      </c>
      <c r="AP265" s="85"/>
      <c r="AQ265" s="84">
        <f t="shared" si="105"/>
        <v>125000000</v>
      </c>
      <c r="AR265" s="85"/>
      <c r="AS265" s="84">
        <f t="shared" si="106"/>
        <v>125000000</v>
      </c>
      <c r="AT265" s="85"/>
      <c r="AU265" s="84">
        <f t="shared" si="107"/>
        <v>125000000</v>
      </c>
      <c r="AV265" s="85"/>
      <c r="AW265" s="84">
        <f t="shared" si="108"/>
        <v>125000000</v>
      </c>
      <c r="AX265" s="86">
        <f t="shared" si="109"/>
        <v>50000000</v>
      </c>
      <c r="AY265" s="87">
        <f t="shared" si="110"/>
        <v>125000000</v>
      </c>
      <c r="AZ265" s="65" t="b">
        <f t="shared" si="111"/>
        <v>1</v>
      </c>
    </row>
    <row r="266" spans="1:52" s="67" customFormat="1" ht="24.75" hidden="1" customHeight="1">
      <c r="A266" s="68">
        <v>261</v>
      </c>
      <c r="B266" s="69" t="s">
        <v>743</v>
      </c>
      <c r="C266" s="88" t="s">
        <v>81</v>
      </c>
      <c r="D266" s="71" t="s">
        <v>95</v>
      </c>
      <c r="E266" s="102" t="s">
        <v>744</v>
      </c>
      <c r="F266" s="104"/>
      <c r="G266" s="105">
        <v>45716</v>
      </c>
      <c r="H266" s="102" t="s">
        <v>734</v>
      </c>
      <c r="I266" s="95" t="s">
        <v>98</v>
      </c>
      <c r="J266" s="102" t="s">
        <v>617</v>
      </c>
      <c r="K266" s="68" t="s">
        <v>99</v>
      </c>
      <c r="L266" s="70" t="s">
        <v>100</v>
      </c>
      <c r="M266" s="88" t="s">
        <v>101</v>
      </c>
      <c r="N266" s="88" t="s">
        <v>102</v>
      </c>
      <c r="O266" s="108"/>
      <c r="P266" s="109">
        <v>45717</v>
      </c>
      <c r="Q266" s="94">
        <f t="shared" si="88"/>
        <v>46446</v>
      </c>
      <c r="R266" s="111">
        <v>24</v>
      </c>
      <c r="S266" s="111">
        <f t="shared" si="94"/>
        <v>2</v>
      </c>
      <c r="T266" s="140">
        <v>300000000</v>
      </c>
      <c r="U266" s="113"/>
      <c r="V266" s="140">
        <v>300000000</v>
      </c>
      <c r="W266" s="83">
        <f t="shared" si="89"/>
        <v>12500000</v>
      </c>
      <c r="X266" s="115">
        <v>125000000</v>
      </c>
      <c r="Y266" s="115">
        <v>175000000</v>
      </c>
      <c r="Z266" s="124">
        <f t="shared" si="96"/>
        <v>12500000</v>
      </c>
      <c r="AA266" s="118">
        <f t="shared" si="95"/>
        <v>162500000</v>
      </c>
      <c r="AB266" s="85">
        <f t="shared" si="97"/>
        <v>12500000</v>
      </c>
      <c r="AC266" s="84">
        <f t="shared" si="98"/>
        <v>150000000</v>
      </c>
      <c r="AD266" s="85">
        <f t="shared" si="93"/>
        <v>12500000</v>
      </c>
      <c r="AE266" s="118">
        <f t="shared" si="99"/>
        <v>137500000</v>
      </c>
      <c r="AF266" s="85">
        <f t="shared" si="92"/>
        <v>12500000</v>
      </c>
      <c r="AG266" s="84">
        <f t="shared" si="100"/>
        <v>125000000</v>
      </c>
      <c r="AH266" s="85"/>
      <c r="AI266" s="84">
        <f t="shared" si="101"/>
        <v>125000000</v>
      </c>
      <c r="AJ266" s="85"/>
      <c r="AK266" s="84">
        <f t="shared" si="102"/>
        <v>125000000</v>
      </c>
      <c r="AL266" s="85"/>
      <c r="AM266" s="84">
        <f t="shared" si="103"/>
        <v>125000000</v>
      </c>
      <c r="AN266" s="85"/>
      <c r="AO266" s="84">
        <f t="shared" si="104"/>
        <v>125000000</v>
      </c>
      <c r="AP266" s="85"/>
      <c r="AQ266" s="84">
        <f t="shared" si="105"/>
        <v>125000000</v>
      </c>
      <c r="AR266" s="85"/>
      <c r="AS266" s="84">
        <f t="shared" si="106"/>
        <v>125000000</v>
      </c>
      <c r="AT266" s="85"/>
      <c r="AU266" s="84">
        <f t="shared" si="107"/>
        <v>125000000</v>
      </c>
      <c r="AV266" s="85"/>
      <c r="AW266" s="84">
        <f t="shared" si="108"/>
        <v>125000000</v>
      </c>
      <c r="AX266" s="86">
        <f t="shared" si="109"/>
        <v>50000000</v>
      </c>
      <c r="AY266" s="87">
        <f t="shared" si="110"/>
        <v>125000000</v>
      </c>
      <c r="AZ266" s="65" t="b">
        <f t="shared" si="111"/>
        <v>1</v>
      </c>
    </row>
    <row r="267" spans="1:52" s="67" customFormat="1" ht="24.75" hidden="1" customHeight="1">
      <c r="A267" s="68">
        <v>262</v>
      </c>
      <c r="B267" s="69" t="s">
        <v>745</v>
      </c>
      <c r="C267" s="88" t="s">
        <v>81</v>
      </c>
      <c r="D267" s="71" t="s">
        <v>95</v>
      </c>
      <c r="E267" s="102" t="s">
        <v>746</v>
      </c>
      <c r="F267" s="104"/>
      <c r="G267" s="105">
        <v>45716</v>
      </c>
      <c r="H267" s="102" t="s">
        <v>734</v>
      </c>
      <c r="I267" s="95" t="s">
        <v>98</v>
      </c>
      <c r="J267" s="102" t="s">
        <v>617</v>
      </c>
      <c r="K267" s="68" t="s">
        <v>99</v>
      </c>
      <c r="L267" s="70" t="s">
        <v>100</v>
      </c>
      <c r="M267" s="88" t="s">
        <v>101</v>
      </c>
      <c r="N267" s="88" t="s">
        <v>102</v>
      </c>
      <c r="O267" s="108"/>
      <c r="P267" s="109">
        <v>45717</v>
      </c>
      <c r="Q267" s="94">
        <f t="shared" si="88"/>
        <v>46446</v>
      </c>
      <c r="R267" s="111">
        <v>24</v>
      </c>
      <c r="S267" s="111">
        <f t="shared" si="94"/>
        <v>2</v>
      </c>
      <c r="T267" s="140">
        <v>280000000</v>
      </c>
      <c r="U267" s="113"/>
      <c r="V267" s="140">
        <v>280000000</v>
      </c>
      <c r="W267" s="83">
        <f t="shared" si="89"/>
        <v>11666666.666666666</v>
      </c>
      <c r="X267" s="115">
        <v>116666666.66666669</v>
      </c>
      <c r="Y267" s="115">
        <v>163333333.33333331</v>
      </c>
      <c r="Z267" s="124">
        <f t="shared" si="96"/>
        <v>11666666.666666666</v>
      </c>
      <c r="AA267" s="118">
        <f t="shared" si="95"/>
        <v>151666666.66666666</v>
      </c>
      <c r="AB267" s="85">
        <f t="shared" si="97"/>
        <v>11666666.666666666</v>
      </c>
      <c r="AC267" s="84">
        <f t="shared" si="98"/>
        <v>140000000</v>
      </c>
      <c r="AD267" s="85">
        <f t="shared" si="93"/>
        <v>11666666.666666666</v>
      </c>
      <c r="AE267" s="118">
        <f t="shared" si="99"/>
        <v>128333333.33333333</v>
      </c>
      <c r="AF267" s="85">
        <f t="shared" si="92"/>
        <v>11666666.666666666</v>
      </c>
      <c r="AG267" s="84">
        <f t="shared" si="100"/>
        <v>116666666.66666666</v>
      </c>
      <c r="AH267" s="85"/>
      <c r="AI267" s="84">
        <f t="shared" si="101"/>
        <v>116666666.66666666</v>
      </c>
      <c r="AJ267" s="85"/>
      <c r="AK267" s="84">
        <f t="shared" si="102"/>
        <v>116666666.66666666</v>
      </c>
      <c r="AL267" s="85"/>
      <c r="AM267" s="84">
        <f t="shared" si="103"/>
        <v>116666666.66666666</v>
      </c>
      <c r="AN267" s="85"/>
      <c r="AO267" s="84">
        <f t="shared" si="104"/>
        <v>116666666.66666666</v>
      </c>
      <c r="AP267" s="85"/>
      <c r="AQ267" s="84">
        <f t="shared" si="105"/>
        <v>116666666.66666666</v>
      </c>
      <c r="AR267" s="85"/>
      <c r="AS267" s="84">
        <f t="shared" si="106"/>
        <v>116666666.66666666</v>
      </c>
      <c r="AT267" s="85"/>
      <c r="AU267" s="84">
        <f t="shared" si="107"/>
        <v>116666666.66666666</v>
      </c>
      <c r="AV267" s="85"/>
      <c r="AW267" s="84">
        <f t="shared" si="108"/>
        <v>116666666.66666666</v>
      </c>
      <c r="AX267" s="86">
        <f t="shared" si="109"/>
        <v>46666666.666666664</v>
      </c>
      <c r="AY267" s="87">
        <f t="shared" si="110"/>
        <v>116666666.66666666</v>
      </c>
      <c r="AZ267" s="65" t="b">
        <f t="shared" si="111"/>
        <v>1</v>
      </c>
    </row>
    <row r="268" spans="1:52" s="67" customFormat="1" ht="24.75" hidden="1" customHeight="1">
      <c r="A268" s="68">
        <v>263</v>
      </c>
      <c r="B268" s="69" t="s">
        <v>747</v>
      </c>
      <c r="C268" s="88" t="s">
        <v>81</v>
      </c>
      <c r="D268" s="71" t="s">
        <v>95</v>
      </c>
      <c r="E268" s="102" t="s">
        <v>748</v>
      </c>
      <c r="F268" s="104"/>
      <c r="G268" s="105">
        <v>45716</v>
      </c>
      <c r="H268" s="102" t="s">
        <v>734</v>
      </c>
      <c r="I268" s="95" t="s">
        <v>98</v>
      </c>
      <c r="J268" s="102" t="s">
        <v>617</v>
      </c>
      <c r="K268" s="68" t="s">
        <v>99</v>
      </c>
      <c r="L268" s="70" t="s">
        <v>100</v>
      </c>
      <c r="M268" s="88" t="s">
        <v>101</v>
      </c>
      <c r="N268" s="88" t="s">
        <v>102</v>
      </c>
      <c r="O268" s="108"/>
      <c r="P268" s="109">
        <v>45717</v>
      </c>
      <c r="Q268" s="94">
        <f t="shared" ref="Q268:Q331" si="112">+EDATE(P268,R268)-DAY(P268)</f>
        <v>46446</v>
      </c>
      <c r="R268" s="111">
        <v>24</v>
      </c>
      <c r="S268" s="111">
        <f t="shared" si="94"/>
        <v>2</v>
      </c>
      <c r="T268" s="140">
        <v>300000000</v>
      </c>
      <c r="U268" s="113"/>
      <c r="V268" s="140">
        <v>300000000</v>
      </c>
      <c r="W268" s="83">
        <f t="shared" si="89"/>
        <v>12500000</v>
      </c>
      <c r="X268" s="115">
        <v>125000000</v>
      </c>
      <c r="Y268" s="115">
        <v>175000000</v>
      </c>
      <c r="Z268" s="124">
        <f t="shared" si="96"/>
        <v>12500000</v>
      </c>
      <c r="AA268" s="118">
        <f t="shared" si="95"/>
        <v>162500000</v>
      </c>
      <c r="AB268" s="85">
        <f t="shared" si="97"/>
        <v>12500000</v>
      </c>
      <c r="AC268" s="84">
        <f t="shared" si="98"/>
        <v>150000000</v>
      </c>
      <c r="AD268" s="85">
        <f t="shared" si="93"/>
        <v>12500000</v>
      </c>
      <c r="AE268" s="118">
        <f t="shared" si="99"/>
        <v>137500000</v>
      </c>
      <c r="AF268" s="85">
        <f t="shared" si="92"/>
        <v>12500000</v>
      </c>
      <c r="AG268" s="84">
        <f t="shared" si="100"/>
        <v>125000000</v>
      </c>
      <c r="AH268" s="85"/>
      <c r="AI268" s="84">
        <f t="shared" si="101"/>
        <v>125000000</v>
      </c>
      <c r="AJ268" s="85"/>
      <c r="AK268" s="84">
        <f t="shared" si="102"/>
        <v>125000000</v>
      </c>
      <c r="AL268" s="85"/>
      <c r="AM268" s="84">
        <f t="shared" si="103"/>
        <v>125000000</v>
      </c>
      <c r="AN268" s="85"/>
      <c r="AO268" s="84">
        <f t="shared" si="104"/>
        <v>125000000</v>
      </c>
      <c r="AP268" s="85"/>
      <c r="AQ268" s="84">
        <f t="shared" si="105"/>
        <v>125000000</v>
      </c>
      <c r="AR268" s="85"/>
      <c r="AS268" s="84">
        <f t="shared" si="106"/>
        <v>125000000</v>
      </c>
      <c r="AT268" s="85"/>
      <c r="AU268" s="84">
        <f t="shared" si="107"/>
        <v>125000000</v>
      </c>
      <c r="AV268" s="85"/>
      <c r="AW268" s="84">
        <f t="shared" si="108"/>
        <v>125000000</v>
      </c>
      <c r="AX268" s="86">
        <f t="shared" si="109"/>
        <v>50000000</v>
      </c>
      <c r="AY268" s="87">
        <f t="shared" si="110"/>
        <v>125000000</v>
      </c>
      <c r="AZ268" s="65" t="b">
        <f t="shared" si="111"/>
        <v>1</v>
      </c>
    </row>
    <row r="269" spans="1:52" s="67" customFormat="1" ht="24.75" hidden="1" customHeight="1">
      <c r="A269" s="68">
        <v>264</v>
      </c>
      <c r="B269" s="69" t="s">
        <v>749</v>
      </c>
      <c r="C269" s="88" t="s">
        <v>81</v>
      </c>
      <c r="D269" s="71" t="s">
        <v>95</v>
      </c>
      <c r="E269" s="102" t="s">
        <v>750</v>
      </c>
      <c r="F269" s="104"/>
      <c r="G269" s="105">
        <v>45716</v>
      </c>
      <c r="H269" s="102" t="s">
        <v>734</v>
      </c>
      <c r="I269" s="95" t="s">
        <v>98</v>
      </c>
      <c r="J269" s="102" t="s">
        <v>617</v>
      </c>
      <c r="K269" s="68" t="s">
        <v>99</v>
      </c>
      <c r="L269" s="70" t="s">
        <v>100</v>
      </c>
      <c r="M269" s="88" t="s">
        <v>101</v>
      </c>
      <c r="N269" s="88" t="s">
        <v>102</v>
      </c>
      <c r="O269" s="108"/>
      <c r="P269" s="109">
        <v>45717</v>
      </c>
      <c r="Q269" s="94">
        <f t="shared" si="112"/>
        <v>46446</v>
      </c>
      <c r="R269" s="111">
        <v>24</v>
      </c>
      <c r="S269" s="111">
        <f t="shared" si="94"/>
        <v>2</v>
      </c>
      <c r="T269" s="140">
        <v>300000000</v>
      </c>
      <c r="U269" s="113"/>
      <c r="V269" s="140">
        <v>300000000</v>
      </c>
      <c r="W269" s="83">
        <f t="shared" ref="W269:W286" si="113">V269/R269</f>
        <v>12500000</v>
      </c>
      <c r="X269" s="115">
        <v>125000000</v>
      </c>
      <c r="Y269" s="115">
        <v>175000000</v>
      </c>
      <c r="Z269" s="124">
        <f t="shared" si="96"/>
        <v>12500000</v>
      </c>
      <c r="AA269" s="118">
        <f t="shared" si="95"/>
        <v>162500000</v>
      </c>
      <c r="AB269" s="85">
        <f t="shared" si="97"/>
        <v>12500000</v>
      </c>
      <c r="AC269" s="84">
        <f t="shared" si="98"/>
        <v>150000000</v>
      </c>
      <c r="AD269" s="85">
        <f t="shared" si="93"/>
        <v>12500000</v>
      </c>
      <c r="AE269" s="118">
        <f t="shared" si="99"/>
        <v>137500000</v>
      </c>
      <c r="AF269" s="85">
        <f t="shared" si="92"/>
        <v>12500000</v>
      </c>
      <c r="AG269" s="84">
        <f t="shared" si="100"/>
        <v>125000000</v>
      </c>
      <c r="AH269" s="85"/>
      <c r="AI269" s="84">
        <f t="shared" si="101"/>
        <v>125000000</v>
      </c>
      <c r="AJ269" s="85"/>
      <c r="AK269" s="84">
        <f t="shared" si="102"/>
        <v>125000000</v>
      </c>
      <c r="AL269" s="85"/>
      <c r="AM269" s="84">
        <f t="shared" si="103"/>
        <v>125000000</v>
      </c>
      <c r="AN269" s="85"/>
      <c r="AO269" s="84">
        <f t="shared" si="104"/>
        <v>125000000</v>
      </c>
      <c r="AP269" s="85"/>
      <c r="AQ269" s="84">
        <f t="shared" si="105"/>
        <v>125000000</v>
      </c>
      <c r="AR269" s="85"/>
      <c r="AS269" s="84">
        <f t="shared" si="106"/>
        <v>125000000</v>
      </c>
      <c r="AT269" s="85"/>
      <c r="AU269" s="84">
        <f t="shared" si="107"/>
        <v>125000000</v>
      </c>
      <c r="AV269" s="85"/>
      <c r="AW269" s="84">
        <f t="shared" si="108"/>
        <v>125000000</v>
      </c>
      <c r="AX269" s="86">
        <f t="shared" si="109"/>
        <v>50000000</v>
      </c>
      <c r="AY269" s="87">
        <f t="shared" si="110"/>
        <v>125000000</v>
      </c>
      <c r="AZ269" s="65" t="b">
        <f t="shared" si="111"/>
        <v>1</v>
      </c>
    </row>
    <row r="270" spans="1:52" s="67" customFormat="1" ht="24.75" hidden="1" customHeight="1">
      <c r="A270" s="68">
        <v>265</v>
      </c>
      <c r="B270" s="69" t="s">
        <v>751</v>
      </c>
      <c r="C270" s="88" t="s">
        <v>81</v>
      </c>
      <c r="D270" s="71" t="s">
        <v>95</v>
      </c>
      <c r="E270" s="102" t="s">
        <v>752</v>
      </c>
      <c r="F270" s="104"/>
      <c r="G270" s="105">
        <v>45716</v>
      </c>
      <c r="H270" s="102" t="s">
        <v>734</v>
      </c>
      <c r="I270" s="95" t="s">
        <v>98</v>
      </c>
      <c r="J270" s="102" t="s">
        <v>617</v>
      </c>
      <c r="K270" s="68" t="s">
        <v>99</v>
      </c>
      <c r="L270" s="70" t="s">
        <v>100</v>
      </c>
      <c r="M270" s="88" t="s">
        <v>101</v>
      </c>
      <c r="N270" s="88" t="s">
        <v>102</v>
      </c>
      <c r="O270" s="108"/>
      <c r="P270" s="109">
        <v>45717</v>
      </c>
      <c r="Q270" s="94">
        <f t="shared" si="112"/>
        <v>46446</v>
      </c>
      <c r="R270" s="111">
        <v>24</v>
      </c>
      <c r="S270" s="111">
        <f t="shared" si="94"/>
        <v>2</v>
      </c>
      <c r="T270" s="140">
        <v>280000000</v>
      </c>
      <c r="U270" s="113"/>
      <c r="V270" s="140">
        <v>280000000</v>
      </c>
      <c r="W270" s="83">
        <f t="shared" si="113"/>
        <v>11666666.666666666</v>
      </c>
      <c r="X270" s="115">
        <v>116666666.66666669</v>
      </c>
      <c r="Y270" s="115">
        <v>163333333.33333331</v>
      </c>
      <c r="Z270" s="124">
        <f t="shared" si="96"/>
        <v>11666666.666666666</v>
      </c>
      <c r="AA270" s="118">
        <f t="shared" si="95"/>
        <v>151666666.66666666</v>
      </c>
      <c r="AB270" s="85">
        <f t="shared" si="97"/>
        <v>11666666.666666666</v>
      </c>
      <c r="AC270" s="84">
        <f t="shared" si="98"/>
        <v>140000000</v>
      </c>
      <c r="AD270" s="85">
        <f t="shared" si="93"/>
        <v>11666666.666666666</v>
      </c>
      <c r="AE270" s="118">
        <f t="shared" si="99"/>
        <v>128333333.33333333</v>
      </c>
      <c r="AF270" s="85">
        <f t="shared" si="92"/>
        <v>11666666.666666666</v>
      </c>
      <c r="AG270" s="84">
        <f t="shared" si="100"/>
        <v>116666666.66666666</v>
      </c>
      <c r="AH270" s="85"/>
      <c r="AI270" s="84">
        <f t="shared" si="101"/>
        <v>116666666.66666666</v>
      </c>
      <c r="AJ270" s="85"/>
      <c r="AK270" s="84">
        <f t="shared" si="102"/>
        <v>116666666.66666666</v>
      </c>
      <c r="AL270" s="85"/>
      <c r="AM270" s="84">
        <f t="shared" si="103"/>
        <v>116666666.66666666</v>
      </c>
      <c r="AN270" s="85"/>
      <c r="AO270" s="84">
        <f t="shared" si="104"/>
        <v>116666666.66666666</v>
      </c>
      <c r="AP270" s="85"/>
      <c r="AQ270" s="84">
        <f t="shared" si="105"/>
        <v>116666666.66666666</v>
      </c>
      <c r="AR270" s="85"/>
      <c r="AS270" s="84">
        <f t="shared" si="106"/>
        <v>116666666.66666666</v>
      </c>
      <c r="AT270" s="85"/>
      <c r="AU270" s="84">
        <f t="shared" si="107"/>
        <v>116666666.66666666</v>
      </c>
      <c r="AV270" s="85"/>
      <c r="AW270" s="84">
        <f t="shared" si="108"/>
        <v>116666666.66666666</v>
      </c>
      <c r="AX270" s="86">
        <f t="shared" si="109"/>
        <v>46666666.666666664</v>
      </c>
      <c r="AY270" s="87">
        <f t="shared" si="110"/>
        <v>116666666.66666666</v>
      </c>
      <c r="AZ270" s="65" t="b">
        <f t="shared" si="111"/>
        <v>1</v>
      </c>
    </row>
    <row r="271" spans="1:52" s="67" customFormat="1" ht="24.75" hidden="1" customHeight="1">
      <c r="A271" s="68">
        <v>266</v>
      </c>
      <c r="B271" s="69" t="s">
        <v>753</v>
      </c>
      <c r="C271" s="88" t="s">
        <v>81</v>
      </c>
      <c r="D271" s="71" t="s">
        <v>95</v>
      </c>
      <c r="E271" s="102" t="s">
        <v>754</v>
      </c>
      <c r="F271" s="104"/>
      <c r="G271" s="105">
        <v>45716</v>
      </c>
      <c r="H271" s="102" t="s">
        <v>734</v>
      </c>
      <c r="I271" s="95" t="s">
        <v>98</v>
      </c>
      <c r="J271" s="102" t="s">
        <v>617</v>
      </c>
      <c r="K271" s="68" t="s">
        <v>99</v>
      </c>
      <c r="L271" s="70" t="s">
        <v>100</v>
      </c>
      <c r="M271" s="88" t="s">
        <v>101</v>
      </c>
      <c r="N271" s="88" t="s">
        <v>102</v>
      </c>
      <c r="O271" s="108"/>
      <c r="P271" s="109">
        <v>45717</v>
      </c>
      <c r="Q271" s="94">
        <f t="shared" si="112"/>
        <v>46446</v>
      </c>
      <c r="R271" s="111">
        <v>24</v>
      </c>
      <c r="S271" s="111">
        <f t="shared" si="94"/>
        <v>2</v>
      </c>
      <c r="T271" s="140">
        <v>66800000</v>
      </c>
      <c r="U271" s="113"/>
      <c r="V271" s="140">
        <v>66800000</v>
      </c>
      <c r="W271" s="83">
        <f t="shared" si="113"/>
        <v>2783333.3333333335</v>
      </c>
      <c r="X271" s="115">
        <v>27833333.333333332</v>
      </c>
      <c r="Y271" s="115">
        <v>38966666.666666672</v>
      </c>
      <c r="Z271" s="124">
        <f t="shared" si="96"/>
        <v>2783333.3333333335</v>
      </c>
      <c r="AA271" s="118">
        <f t="shared" si="95"/>
        <v>36183333.333333336</v>
      </c>
      <c r="AB271" s="85">
        <f t="shared" si="97"/>
        <v>2783333.3333333335</v>
      </c>
      <c r="AC271" s="84">
        <f t="shared" si="98"/>
        <v>33400000.000000004</v>
      </c>
      <c r="AD271" s="85">
        <f t="shared" si="93"/>
        <v>2783333.3333333335</v>
      </c>
      <c r="AE271" s="118">
        <f t="shared" si="99"/>
        <v>30616666.666666672</v>
      </c>
      <c r="AF271" s="85">
        <f t="shared" si="92"/>
        <v>2783333.3333333335</v>
      </c>
      <c r="AG271" s="84">
        <f t="shared" si="100"/>
        <v>27833333.33333334</v>
      </c>
      <c r="AH271" s="85"/>
      <c r="AI271" s="84">
        <f t="shared" si="101"/>
        <v>27833333.33333334</v>
      </c>
      <c r="AJ271" s="85"/>
      <c r="AK271" s="84">
        <f t="shared" si="102"/>
        <v>27833333.33333334</v>
      </c>
      <c r="AL271" s="85"/>
      <c r="AM271" s="84">
        <f t="shared" si="103"/>
        <v>27833333.33333334</v>
      </c>
      <c r="AN271" s="85"/>
      <c r="AO271" s="84">
        <f t="shared" si="104"/>
        <v>27833333.33333334</v>
      </c>
      <c r="AP271" s="85"/>
      <c r="AQ271" s="84">
        <f t="shared" si="105"/>
        <v>27833333.33333334</v>
      </c>
      <c r="AR271" s="85"/>
      <c r="AS271" s="84">
        <f t="shared" si="106"/>
        <v>27833333.33333334</v>
      </c>
      <c r="AT271" s="85"/>
      <c r="AU271" s="84">
        <f t="shared" si="107"/>
        <v>27833333.33333334</v>
      </c>
      <c r="AV271" s="85"/>
      <c r="AW271" s="84">
        <f t="shared" si="108"/>
        <v>27833333.33333334</v>
      </c>
      <c r="AX271" s="86">
        <f t="shared" si="109"/>
        <v>11133333.333333334</v>
      </c>
      <c r="AY271" s="87">
        <f t="shared" si="110"/>
        <v>27833333.333333336</v>
      </c>
      <c r="AZ271" s="65" t="b">
        <f t="shared" si="111"/>
        <v>1</v>
      </c>
    </row>
    <row r="272" spans="1:52" s="67" customFormat="1" ht="24.75" hidden="1" customHeight="1">
      <c r="A272" s="68">
        <v>267</v>
      </c>
      <c r="B272" s="69" t="s">
        <v>755</v>
      </c>
      <c r="C272" s="88" t="s">
        <v>81</v>
      </c>
      <c r="D272" s="71" t="s">
        <v>95</v>
      </c>
      <c r="E272" s="102" t="s">
        <v>756</v>
      </c>
      <c r="F272" s="104"/>
      <c r="G272" s="105">
        <v>45716</v>
      </c>
      <c r="H272" s="102" t="s">
        <v>734</v>
      </c>
      <c r="I272" s="95" t="s">
        <v>98</v>
      </c>
      <c r="J272" s="102" t="s">
        <v>617</v>
      </c>
      <c r="K272" s="68" t="s">
        <v>99</v>
      </c>
      <c r="L272" s="70" t="s">
        <v>100</v>
      </c>
      <c r="M272" s="88" t="s">
        <v>101</v>
      </c>
      <c r="N272" s="88" t="s">
        <v>102</v>
      </c>
      <c r="O272" s="108"/>
      <c r="P272" s="109">
        <v>45717</v>
      </c>
      <c r="Q272" s="94">
        <f t="shared" si="112"/>
        <v>46446</v>
      </c>
      <c r="R272" s="111">
        <v>24</v>
      </c>
      <c r="S272" s="111">
        <f t="shared" si="94"/>
        <v>2</v>
      </c>
      <c r="T272" s="140">
        <v>351600000</v>
      </c>
      <c r="U272" s="113"/>
      <c r="V272" s="140">
        <v>351600000</v>
      </c>
      <c r="W272" s="83">
        <f t="shared" si="113"/>
        <v>14650000</v>
      </c>
      <c r="X272" s="115">
        <v>146500000</v>
      </c>
      <c r="Y272" s="115">
        <v>205100000</v>
      </c>
      <c r="Z272" s="124">
        <f t="shared" si="96"/>
        <v>14650000</v>
      </c>
      <c r="AA272" s="118">
        <f t="shared" si="95"/>
        <v>190450000</v>
      </c>
      <c r="AB272" s="85">
        <f t="shared" si="97"/>
        <v>14650000</v>
      </c>
      <c r="AC272" s="84">
        <f t="shared" si="98"/>
        <v>175800000</v>
      </c>
      <c r="AD272" s="85">
        <f t="shared" si="93"/>
        <v>14650000</v>
      </c>
      <c r="AE272" s="118">
        <f t="shared" si="99"/>
        <v>161150000</v>
      </c>
      <c r="AF272" s="85">
        <f t="shared" si="92"/>
        <v>14650000</v>
      </c>
      <c r="AG272" s="84">
        <f t="shared" si="100"/>
        <v>146500000</v>
      </c>
      <c r="AH272" s="85"/>
      <c r="AI272" s="84">
        <f t="shared" si="101"/>
        <v>146500000</v>
      </c>
      <c r="AJ272" s="85"/>
      <c r="AK272" s="84">
        <f t="shared" si="102"/>
        <v>146500000</v>
      </c>
      <c r="AL272" s="85"/>
      <c r="AM272" s="84">
        <f t="shared" si="103"/>
        <v>146500000</v>
      </c>
      <c r="AN272" s="85"/>
      <c r="AO272" s="84">
        <f t="shared" si="104"/>
        <v>146500000</v>
      </c>
      <c r="AP272" s="85"/>
      <c r="AQ272" s="84">
        <f t="shared" si="105"/>
        <v>146500000</v>
      </c>
      <c r="AR272" s="85"/>
      <c r="AS272" s="84">
        <f t="shared" si="106"/>
        <v>146500000</v>
      </c>
      <c r="AT272" s="85"/>
      <c r="AU272" s="84">
        <f t="shared" si="107"/>
        <v>146500000</v>
      </c>
      <c r="AV272" s="85"/>
      <c r="AW272" s="84">
        <f t="shared" si="108"/>
        <v>146500000</v>
      </c>
      <c r="AX272" s="86">
        <f t="shared" si="109"/>
        <v>58600000</v>
      </c>
      <c r="AY272" s="87">
        <f t="shared" si="110"/>
        <v>146500000</v>
      </c>
      <c r="AZ272" s="65" t="b">
        <f t="shared" si="111"/>
        <v>1</v>
      </c>
    </row>
    <row r="273" spans="1:52" s="67" customFormat="1" ht="24.75" hidden="1" customHeight="1">
      <c r="A273" s="68">
        <v>268</v>
      </c>
      <c r="B273" s="69" t="s">
        <v>757</v>
      </c>
      <c r="C273" s="88" t="s">
        <v>81</v>
      </c>
      <c r="D273" s="71" t="s">
        <v>95</v>
      </c>
      <c r="E273" s="102" t="s">
        <v>758</v>
      </c>
      <c r="F273" s="104"/>
      <c r="G273" s="105">
        <v>45716</v>
      </c>
      <c r="H273" s="102" t="s">
        <v>734</v>
      </c>
      <c r="I273" s="95" t="s">
        <v>98</v>
      </c>
      <c r="J273" s="102" t="s">
        <v>617</v>
      </c>
      <c r="K273" s="68" t="s">
        <v>99</v>
      </c>
      <c r="L273" s="70" t="s">
        <v>100</v>
      </c>
      <c r="M273" s="88" t="s">
        <v>101</v>
      </c>
      <c r="N273" s="88" t="s">
        <v>102</v>
      </c>
      <c r="O273" s="108"/>
      <c r="P273" s="109">
        <v>45717</v>
      </c>
      <c r="Q273" s="94">
        <f t="shared" si="112"/>
        <v>46446</v>
      </c>
      <c r="R273" s="111">
        <v>24</v>
      </c>
      <c r="S273" s="111">
        <f t="shared" si="94"/>
        <v>2</v>
      </c>
      <c r="T273" s="140">
        <v>390000000</v>
      </c>
      <c r="U273" s="113"/>
      <c r="V273" s="140">
        <v>390000000</v>
      </c>
      <c r="W273" s="83">
        <f t="shared" si="113"/>
        <v>16250000</v>
      </c>
      <c r="X273" s="115">
        <v>162500000</v>
      </c>
      <c r="Y273" s="115">
        <v>227500000</v>
      </c>
      <c r="Z273" s="124">
        <f t="shared" si="96"/>
        <v>16250000</v>
      </c>
      <c r="AA273" s="118">
        <f t="shared" si="95"/>
        <v>211250000</v>
      </c>
      <c r="AB273" s="85">
        <f t="shared" si="97"/>
        <v>16250000</v>
      </c>
      <c r="AC273" s="84">
        <f t="shared" si="98"/>
        <v>195000000</v>
      </c>
      <c r="AD273" s="85">
        <f t="shared" si="93"/>
        <v>16250000</v>
      </c>
      <c r="AE273" s="118">
        <f t="shared" si="99"/>
        <v>178750000</v>
      </c>
      <c r="AF273" s="85">
        <f t="shared" si="92"/>
        <v>16250000</v>
      </c>
      <c r="AG273" s="84">
        <f t="shared" si="100"/>
        <v>162500000</v>
      </c>
      <c r="AH273" s="85"/>
      <c r="AI273" s="84">
        <f t="shared" si="101"/>
        <v>162500000</v>
      </c>
      <c r="AJ273" s="85"/>
      <c r="AK273" s="84">
        <f t="shared" si="102"/>
        <v>162500000</v>
      </c>
      <c r="AL273" s="85"/>
      <c r="AM273" s="84">
        <f t="shared" si="103"/>
        <v>162500000</v>
      </c>
      <c r="AN273" s="85"/>
      <c r="AO273" s="84">
        <f t="shared" si="104"/>
        <v>162500000</v>
      </c>
      <c r="AP273" s="85"/>
      <c r="AQ273" s="84">
        <f t="shared" si="105"/>
        <v>162500000</v>
      </c>
      <c r="AR273" s="85"/>
      <c r="AS273" s="84">
        <f t="shared" si="106"/>
        <v>162500000</v>
      </c>
      <c r="AT273" s="85"/>
      <c r="AU273" s="84">
        <f t="shared" si="107"/>
        <v>162500000</v>
      </c>
      <c r="AV273" s="85"/>
      <c r="AW273" s="84">
        <f t="shared" si="108"/>
        <v>162500000</v>
      </c>
      <c r="AX273" s="86">
        <f t="shared" si="109"/>
        <v>65000000</v>
      </c>
      <c r="AY273" s="87">
        <f t="shared" si="110"/>
        <v>162500000</v>
      </c>
      <c r="AZ273" s="65" t="b">
        <f t="shared" si="111"/>
        <v>1</v>
      </c>
    </row>
    <row r="274" spans="1:52" s="67" customFormat="1" ht="24.75" hidden="1" customHeight="1">
      <c r="A274" s="141">
        <v>269</v>
      </c>
      <c r="B274" s="69" t="s">
        <v>759</v>
      </c>
      <c r="C274" s="88" t="s">
        <v>81</v>
      </c>
      <c r="D274" s="71" t="s">
        <v>681</v>
      </c>
      <c r="E274" s="102" t="s">
        <v>760</v>
      </c>
      <c r="F274" s="104"/>
      <c r="G274" s="105">
        <v>45716</v>
      </c>
      <c r="H274" s="102" t="s">
        <v>734</v>
      </c>
      <c r="I274" s="74" t="s">
        <v>84</v>
      </c>
      <c r="J274" s="102" t="s">
        <v>85</v>
      </c>
      <c r="K274" s="68" t="s">
        <v>86</v>
      </c>
      <c r="L274" s="70" t="s">
        <v>87</v>
      </c>
      <c r="M274" s="142" t="s">
        <v>761</v>
      </c>
      <c r="N274" s="142" t="s">
        <v>762</v>
      </c>
      <c r="O274" s="108"/>
      <c r="P274" s="109">
        <v>45717</v>
      </c>
      <c r="Q274" s="94">
        <f t="shared" si="112"/>
        <v>46446</v>
      </c>
      <c r="R274" s="111">
        <v>24</v>
      </c>
      <c r="S274" s="111">
        <f t="shared" si="94"/>
        <v>2</v>
      </c>
      <c r="T274" s="140">
        <v>114000000</v>
      </c>
      <c r="U274" s="113"/>
      <c r="V274" s="140">
        <v>114000000</v>
      </c>
      <c r="W274" s="83">
        <f t="shared" si="113"/>
        <v>4750000</v>
      </c>
      <c r="X274" s="115">
        <v>47500000</v>
      </c>
      <c r="Y274" s="115">
        <v>66500000</v>
      </c>
      <c r="Z274" s="124">
        <f t="shared" si="96"/>
        <v>4750000</v>
      </c>
      <c r="AA274" s="118">
        <f t="shared" si="95"/>
        <v>61750000</v>
      </c>
      <c r="AB274" s="85">
        <f t="shared" si="97"/>
        <v>4750000</v>
      </c>
      <c r="AC274" s="84">
        <f t="shared" si="98"/>
        <v>57000000</v>
      </c>
      <c r="AD274" s="139">
        <f t="shared" si="93"/>
        <v>4750000</v>
      </c>
      <c r="AE274" s="118">
        <f t="shared" si="99"/>
        <v>52250000</v>
      </c>
      <c r="AF274" s="85">
        <f t="shared" si="92"/>
        <v>4750000</v>
      </c>
      <c r="AG274" s="84">
        <f t="shared" si="100"/>
        <v>47500000</v>
      </c>
      <c r="AH274" s="85"/>
      <c r="AI274" s="84">
        <f t="shared" si="101"/>
        <v>47500000</v>
      </c>
      <c r="AJ274" s="85"/>
      <c r="AK274" s="84">
        <f t="shared" si="102"/>
        <v>47500000</v>
      </c>
      <c r="AL274" s="85"/>
      <c r="AM274" s="84">
        <f t="shared" si="103"/>
        <v>47500000</v>
      </c>
      <c r="AN274" s="85"/>
      <c r="AO274" s="84">
        <f t="shared" si="104"/>
        <v>47500000</v>
      </c>
      <c r="AP274" s="85"/>
      <c r="AQ274" s="84">
        <f t="shared" si="105"/>
        <v>47500000</v>
      </c>
      <c r="AR274" s="85"/>
      <c r="AS274" s="84">
        <f t="shared" si="106"/>
        <v>47500000</v>
      </c>
      <c r="AT274" s="85"/>
      <c r="AU274" s="84">
        <f t="shared" si="107"/>
        <v>47500000</v>
      </c>
      <c r="AV274" s="85"/>
      <c r="AW274" s="84">
        <f t="shared" si="108"/>
        <v>47500000</v>
      </c>
      <c r="AX274" s="86">
        <f t="shared" si="109"/>
        <v>19000000</v>
      </c>
      <c r="AY274" s="87">
        <f t="shared" si="110"/>
        <v>47500000</v>
      </c>
      <c r="AZ274" s="65" t="b">
        <f t="shared" si="111"/>
        <v>1</v>
      </c>
    </row>
    <row r="275" spans="1:52" s="67" customFormat="1" ht="24.75" hidden="1" customHeight="1">
      <c r="A275" s="141">
        <v>270</v>
      </c>
      <c r="B275" s="69" t="s">
        <v>763</v>
      </c>
      <c r="C275" s="88" t="s">
        <v>81</v>
      </c>
      <c r="D275" s="71" t="s">
        <v>681</v>
      </c>
      <c r="E275" s="102" t="s">
        <v>764</v>
      </c>
      <c r="F275" s="104"/>
      <c r="G275" s="105">
        <v>45716</v>
      </c>
      <c r="H275" s="102" t="s">
        <v>734</v>
      </c>
      <c r="I275" s="74" t="s">
        <v>84</v>
      </c>
      <c r="J275" s="102" t="s">
        <v>85</v>
      </c>
      <c r="K275" s="68" t="s">
        <v>86</v>
      </c>
      <c r="L275" s="70" t="s">
        <v>87</v>
      </c>
      <c r="M275" s="142" t="s">
        <v>761</v>
      </c>
      <c r="N275" s="142" t="s">
        <v>762</v>
      </c>
      <c r="O275" s="108"/>
      <c r="P275" s="109">
        <v>45717</v>
      </c>
      <c r="Q275" s="94">
        <f t="shared" si="112"/>
        <v>46446</v>
      </c>
      <c r="R275" s="111">
        <v>24</v>
      </c>
      <c r="S275" s="111">
        <f t="shared" si="94"/>
        <v>2</v>
      </c>
      <c r="T275" s="140">
        <v>342000000</v>
      </c>
      <c r="U275" s="113"/>
      <c r="V275" s="140">
        <v>342000000</v>
      </c>
      <c r="W275" s="83">
        <f t="shared" si="113"/>
        <v>14250000</v>
      </c>
      <c r="X275" s="115">
        <v>142500000</v>
      </c>
      <c r="Y275" s="115">
        <v>199500000</v>
      </c>
      <c r="Z275" s="124">
        <f t="shared" si="96"/>
        <v>14250000</v>
      </c>
      <c r="AA275" s="118">
        <f t="shared" si="95"/>
        <v>185250000</v>
      </c>
      <c r="AB275" s="85">
        <f t="shared" si="97"/>
        <v>14250000</v>
      </c>
      <c r="AC275" s="84">
        <f t="shared" si="98"/>
        <v>171000000</v>
      </c>
      <c r="AD275" s="139">
        <f t="shared" si="93"/>
        <v>14250000</v>
      </c>
      <c r="AE275" s="118">
        <f t="shared" si="99"/>
        <v>156750000</v>
      </c>
      <c r="AF275" s="85">
        <f t="shared" si="92"/>
        <v>14250000</v>
      </c>
      <c r="AG275" s="84">
        <f t="shared" si="100"/>
        <v>142500000</v>
      </c>
      <c r="AH275" s="85"/>
      <c r="AI275" s="84">
        <f t="shared" si="101"/>
        <v>142500000</v>
      </c>
      <c r="AJ275" s="85"/>
      <c r="AK275" s="84">
        <f t="shared" si="102"/>
        <v>142500000</v>
      </c>
      <c r="AL275" s="85"/>
      <c r="AM275" s="84">
        <f t="shared" si="103"/>
        <v>142500000</v>
      </c>
      <c r="AN275" s="85"/>
      <c r="AO275" s="84">
        <f t="shared" si="104"/>
        <v>142500000</v>
      </c>
      <c r="AP275" s="85"/>
      <c r="AQ275" s="84">
        <f t="shared" si="105"/>
        <v>142500000</v>
      </c>
      <c r="AR275" s="85"/>
      <c r="AS275" s="84">
        <f t="shared" si="106"/>
        <v>142500000</v>
      </c>
      <c r="AT275" s="85"/>
      <c r="AU275" s="84">
        <f t="shared" si="107"/>
        <v>142500000</v>
      </c>
      <c r="AV275" s="85"/>
      <c r="AW275" s="84">
        <f t="shared" si="108"/>
        <v>142500000</v>
      </c>
      <c r="AX275" s="86">
        <f t="shared" si="109"/>
        <v>57000000</v>
      </c>
      <c r="AY275" s="87">
        <f t="shared" si="110"/>
        <v>142500000</v>
      </c>
      <c r="AZ275" s="65" t="b">
        <f t="shared" si="111"/>
        <v>1</v>
      </c>
    </row>
    <row r="276" spans="1:52" s="67" customFormat="1" ht="24.75" hidden="1" customHeight="1">
      <c r="A276" s="141">
        <v>271</v>
      </c>
      <c r="B276" s="69" t="s">
        <v>765</v>
      </c>
      <c r="C276" s="88" t="s">
        <v>81</v>
      </c>
      <c r="D276" s="71" t="s">
        <v>681</v>
      </c>
      <c r="E276" s="102" t="s">
        <v>766</v>
      </c>
      <c r="F276" s="104"/>
      <c r="G276" s="105">
        <v>45716</v>
      </c>
      <c r="H276" s="102" t="s">
        <v>734</v>
      </c>
      <c r="I276" s="74" t="s">
        <v>84</v>
      </c>
      <c r="J276" s="102" t="s">
        <v>85</v>
      </c>
      <c r="K276" s="68" t="s">
        <v>86</v>
      </c>
      <c r="L276" s="70" t="s">
        <v>87</v>
      </c>
      <c r="M276" s="143" t="s">
        <v>767</v>
      </c>
      <c r="N276" s="143" t="s">
        <v>768</v>
      </c>
      <c r="O276" s="108"/>
      <c r="P276" s="109">
        <v>45717</v>
      </c>
      <c r="Q276" s="94">
        <f t="shared" si="112"/>
        <v>46446</v>
      </c>
      <c r="R276" s="111">
        <v>24</v>
      </c>
      <c r="S276" s="111">
        <f t="shared" si="94"/>
        <v>2</v>
      </c>
      <c r="T276" s="140">
        <v>81600000</v>
      </c>
      <c r="U276" s="113"/>
      <c r="V276" s="140">
        <v>81600000</v>
      </c>
      <c r="W276" s="83">
        <f t="shared" si="113"/>
        <v>3400000</v>
      </c>
      <c r="X276" s="115">
        <v>34000000</v>
      </c>
      <c r="Y276" s="115">
        <v>47600000</v>
      </c>
      <c r="Z276" s="124">
        <f t="shared" si="96"/>
        <v>3400000</v>
      </c>
      <c r="AA276" s="118">
        <f t="shared" si="95"/>
        <v>44200000</v>
      </c>
      <c r="AB276" s="85">
        <f t="shared" si="97"/>
        <v>3400000</v>
      </c>
      <c r="AC276" s="84">
        <f t="shared" si="98"/>
        <v>40800000</v>
      </c>
      <c r="AD276" s="139">
        <f t="shared" si="93"/>
        <v>3400000</v>
      </c>
      <c r="AE276" s="118">
        <f t="shared" si="99"/>
        <v>37400000</v>
      </c>
      <c r="AF276" s="85">
        <f t="shared" si="92"/>
        <v>3400000</v>
      </c>
      <c r="AG276" s="84">
        <f t="shared" si="100"/>
        <v>34000000</v>
      </c>
      <c r="AH276" s="85"/>
      <c r="AI276" s="84">
        <f t="shared" si="101"/>
        <v>34000000</v>
      </c>
      <c r="AJ276" s="85"/>
      <c r="AK276" s="84">
        <f t="shared" si="102"/>
        <v>34000000</v>
      </c>
      <c r="AL276" s="85"/>
      <c r="AM276" s="84">
        <f t="shared" si="103"/>
        <v>34000000</v>
      </c>
      <c r="AN276" s="85"/>
      <c r="AO276" s="84">
        <f t="shared" si="104"/>
        <v>34000000</v>
      </c>
      <c r="AP276" s="85"/>
      <c r="AQ276" s="84">
        <f t="shared" si="105"/>
        <v>34000000</v>
      </c>
      <c r="AR276" s="85"/>
      <c r="AS276" s="84">
        <f t="shared" si="106"/>
        <v>34000000</v>
      </c>
      <c r="AT276" s="85"/>
      <c r="AU276" s="84">
        <f t="shared" si="107"/>
        <v>34000000</v>
      </c>
      <c r="AV276" s="85"/>
      <c r="AW276" s="84">
        <f t="shared" si="108"/>
        <v>34000000</v>
      </c>
      <c r="AX276" s="86">
        <f t="shared" si="109"/>
        <v>13600000</v>
      </c>
      <c r="AY276" s="87">
        <f t="shared" si="110"/>
        <v>34000000</v>
      </c>
      <c r="AZ276" s="65" t="b">
        <f t="shared" si="111"/>
        <v>1</v>
      </c>
    </row>
    <row r="277" spans="1:52" s="67" customFormat="1" ht="24.75" hidden="1" customHeight="1">
      <c r="A277" s="141">
        <v>272</v>
      </c>
      <c r="B277" s="69" t="s">
        <v>769</v>
      </c>
      <c r="C277" s="88" t="s">
        <v>81</v>
      </c>
      <c r="D277" s="71" t="s">
        <v>681</v>
      </c>
      <c r="E277" s="102" t="s">
        <v>770</v>
      </c>
      <c r="F277" s="104"/>
      <c r="G277" s="105">
        <v>45716</v>
      </c>
      <c r="H277" s="102" t="s">
        <v>734</v>
      </c>
      <c r="I277" s="74" t="s">
        <v>84</v>
      </c>
      <c r="J277" s="102" t="s">
        <v>85</v>
      </c>
      <c r="K277" s="68" t="s">
        <v>86</v>
      </c>
      <c r="L277" s="70" t="s">
        <v>87</v>
      </c>
      <c r="M277" s="142" t="s">
        <v>761</v>
      </c>
      <c r="N277" s="142" t="s">
        <v>762</v>
      </c>
      <c r="O277" s="108"/>
      <c r="P277" s="109">
        <v>45717</v>
      </c>
      <c r="Q277" s="94">
        <f t="shared" si="112"/>
        <v>46446</v>
      </c>
      <c r="R277" s="111">
        <v>24</v>
      </c>
      <c r="S277" s="111">
        <f t="shared" si="94"/>
        <v>2</v>
      </c>
      <c r="T277" s="140">
        <v>214800000</v>
      </c>
      <c r="U277" s="113"/>
      <c r="V277" s="140">
        <v>214800000</v>
      </c>
      <c r="W277" s="83">
        <f t="shared" si="113"/>
        <v>8950000</v>
      </c>
      <c r="X277" s="115">
        <v>89500000</v>
      </c>
      <c r="Y277" s="115">
        <v>125300000</v>
      </c>
      <c r="Z277" s="124">
        <f t="shared" si="96"/>
        <v>8950000</v>
      </c>
      <c r="AA277" s="118">
        <f t="shared" si="95"/>
        <v>116350000</v>
      </c>
      <c r="AB277" s="85">
        <f t="shared" si="97"/>
        <v>8950000</v>
      </c>
      <c r="AC277" s="84">
        <f t="shared" si="98"/>
        <v>107400000</v>
      </c>
      <c r="AD277" s="139">
        <f t="shared" si="93"/>
        <v>8950000</v>
      </c>
      <c r="AE277" s="118">
        <f t="shared" si="99"/>
        <v>98450000</v>
      </c>
      <c r="AF277" s="85">
        <f t="shared" si="92"/>
        <v>8950000</v>
      </c>
      <c r="AG277" s="84">
        <f t="shared" si="100"/>
        <v>89500000</v>
      </c>
      <c r="AH277" s="85"/>
      <c r="AI277" s="84">
        <f t="shared" si="101"/>
        <v>89500000</v>
      </c>
      <c r="AJ277" s="85"/>
      <c r="AK277" s="84">
        <f t="shared" si="102"/>
        <v>89500000</v>
      </c>
      <c r="AL277" s="85"/>
      <c r="AM277" s="84">
        <f t="shared" si="103"/>
        <v>89500000</v>
      </c>
      <c r="AN277" s="85"/>
      <c r="AO277" s="84">
        <f t="shared" si="104"/>
        <v>89500000</v>
      </c>
      <c r="AP277" s="85"/>
      <c r="AQ277" s="84">
        <f t="shared" si="105"/>
        <v>89500000</v>
      </c>
      <c r="AR277" s="85"/>
      <c r="AS277" s="84">
        <f t="shared" si="106"/>
        <v>89500000</v>
      </c>
      <c r="AT277" s="85"/>
      <c r="AU277" s="84">
        <f t="shared" si="107"/>
        <v>89500000</v>
      </c>
      <c r="AV277" s="85"/>
      <c r="AW277" s="84">
        <f t="shared" si="108"/>
        <v>89500000</v>
      </c>
      <c r="AX277" s="86">
        <f t="shared" si="109"/>
        <v>35800000</v>
      </c>
      <c r="AY277" s="87">
        <f t="shared" si="110"/>
        <v>89500000</v>
      </c>
      <c r="AZ277" s="65" t="b">
        <f t="shared" si="111"/>
        <v>1</v>
      </c>
    </row>
    <row r="278" spans="1:52" s="67" customFormat="1" ht="24.75" hidden="1" customHeight="1">
      <c r="A278" s="141">
        <v>273</v>
      </c>
      <c r="B278" s="69" t="s">
        <v>771</v>
      </c>
      <c r="C278" s="88" t="s">
        <v>81</v>
      </c>
      <c r="D278" s="71" t="s">
        <v>681</v>
      </c>
      <c r="E278" s="102" t="s">
        <v>772</v>
      </c>
      <c r="F278" s="104"/>
      <c r="G278" s="105">
        <v>45716</v>
      </c>
      <c r="H278" s="102" t="s">
        <v>734</v>
      </c>
      <c r="I278" s="74" t="s">
        <v>84</v>
      </c>
      <c r="J278" s="102" t="s">
        <v>85</v>
      </c>
      <c r="K278" s="68" t="s">
        <v>86</v>
      </c>
      <c r="L278" s="70" t="s">
        <v>87</v>
      </c>
      <c r="M278" s="142" t="s">
        <v>761</v>
      </c>
      <c r="N278" s="142" t="s">
        <v>762</v>
      </c>
      <c r="O278" s="108"/>
      <c r="P278" s="109">
        <v>45717</v>
      </c>
      <c r="Q278" s="94">
        <f t="shared" si="112"/>
        <v>46446</v>
      </c>
      <c r="R278" s="111">
        <v>24</v>
      </c>
      <c r="S278" s="111">
        <f t="shared" si="94"/>
        <v>2</v>
      </c>
      <c r="T278" s="140">
        <v>71600000</v>
      </c>
      <c r="U278" s="113"/>
      <c r="V278" s="140">
        <v>71600000</v>
      </c>
      <c r="W278" s="83">
        <f t="shared" si="113"/>
        <v>2983333.3333333335</v>
      </c>
      <c r="X278" s="115">
        <v>29833333.333333328</v>
      </c>
      <c r="Y278" s="115">
        <v>41766666.666666672</v>
      </c>
      <c r="Z278" s="124">
        <f t="shared" si="96"/>
        <v>2983333.3333333335</v>
      </c>
      <c r="AA278" s="118">
        <f t="shared" si="95"/>
        <v>38783333.333333336</v>
      </c>
      <c r="AB278" s="85">
        <f t="shared" si="97"/>
        <v>2983333.3333333335</v>
      </c>
      <c r="AC278" s="84">
        <f t="shared" si="98"/>
        <v>35800000</v>
      </c>
      <c r="AD278" s="139">
        <f t="shared" si="93"/>
        <v>2983333.3333333335</v>
      </c>
      <c r="AE278" s="118">
        <f t="shared" si="99"/>
        <v>32816666.666666668</v>
      </c>
      <c r="AF278" s="85">
        <f t="shared" si="92"/>
        <v>2983333.3333333335</v>
      </c>
      <c r="AG278" s="84">
        <f t="shared" si="100"/>
        <v>29833333.333333336</v>
      </c>
      <c r="AH278" s="85"/>
      <c r="AI278" s="84">
        <f t="shared" si="101"/>
        <v>29833333.333333336</v>
      </c>
      <c r="AJ278" s="85"/>
      <c r="AK278" s="84">
        <f t="shared" si="102"/>
        <v>29833333.333333336</v>
      </c>
      <c r="AL278" s="85"/>
      <c r="AM278" s="84">
        <f t="shared" si="103"/>
        <v>29833333.333333336</v>
      </c>
      <c r="AN278" s="85"/>
      <c r="AO278" s="84">
        <f t="shared" si="104"/>
        <v>29833333.333333336</v>
      </c>
      <c r="AP278" s="85"/>
      <c r="AQ278" s="84">
        <f t="shared" si="105"/>
        <v>29833333.333333336</v>
      </c>
      <c r="AR278" s="85"/>
      <c r="AS278" s="84">
        <f t="shared" si="106"/>
        <v>29833333.333333336</v>
      </c>
      <c r="AT278" s="85"/>
      <c r="AU278" s="84">
        <f t="shared" si="107"/>
        <v>29833333.333333336</v>
      </c>
      <c r="AV278" s="85"/>
      <c r="AW278" s="84">
        <f t="shared" si="108"/>
        <v>29833333.333333336</v>
      </c>
      <c r="AX278" s="86">
        <f t="shared" si="109"/>
        <v>11933333.333333334</v>
      </c>
      <c r="AY278" s="87">
        <f t="shared" si="110"/>
        <v>29833333.333333336</v>
      </c>
      <c r="AZ278" s="65" t="b">
        <f t="shared" si="111"/>
        <v>1</v>
      </c>
    </row>
    <row r="279" spans="1:52" s="67" customFormat="1" ht="24.75" hidden="1" customHeight="1">
      <c r="A279" s="141">
        <v>274</v>
      </c>
      <c r="B279" s="69" t="s">
        <v>773</v>
      </c>
      <c r="C279" s="88" t="s">
        <v>81</v>
      </c>
      <c r="D279" s="71" t="s">
        <v>681</v>
      </c>
      <c r="E279" s="102" t="s">
        <v>774</v>
      </c>
      <c r="F279" s="104"/>
      <c r="G279" s="105">
        <v>45716</v>
      </c>
      <c r="H279" s="102" t="s">
        <v>734</v>
      </c>
      <c r="I279" s="74" t="s">
        <v>84</v>
      </c>
      <c r="J279" s="102" t="s">
        <v>85</v>
      </c>
      <c r="K279" s="68" t="s">
        <v>86</v>
      </c>
      <c r="L279" s="70" t="s">
        <v>87</v>
      </c>
      <c r="M279" s="142" t="s">
        <v>761</v>
      </c>
      <c r="N279" s="142" t="s">
        <v>762</v>
      </c>
      <c r="O279" s="108"/>
      <c r="P279" s="109">
        <v>45717</v>
      </c>
      <c r="Q279" s="94">
        <f t="shared" si="112"/>
        <v>46446</v>
      </c>
      <c r="R279" s="111">
        <v>24</v>
      </c>
      <c r="S279" s="111">
        <f t="shared" si="94"/>
        <v>2</v>
      </c>
      <c r="T279" s="140">
        <v>157500000</v>
      </c>
      <c r="U279" s="113"/>
      <c r="V279" s="140">
        <v>157500000</v>
      </c>
      <c r="W279" s="83">
        <f t="shared" si="113"/>
        <v>6562500</v>
      </c>
      <c r="X279" s="115">
        <v>65625000</v>
      </c>
      <c r="Y279" s="115">
        <v>91875000</v>
      </c>
      <c r="Z279" s="124">
        <f t="shared" si="96"/>
        <v>6562500</v>
      </c>
      <c r="AA279" s="118">
        <f t="shared" si="95"/>
        <v>85312500</v>
      </c>
      <c r="AB279" s="85">
        <f t="shared" si="97"/>
        <v>6562500</v>
      </c>
      <c r="AC279" s="84">
        <f t="shared" si="98"/>
        <v>78750000</v>
      </c>
      <c r="AD279" s="139">
        <f t="shared" si="93"/>
        <v>6562500</v>
      </c>
      <c r="AE279" s="118">
        <f t="shared" si="99"/>
        <v>72187500</v>
      </c>
      <c r="AF279" s="85">
        <f t="shared" si="92"/>
        <v>6562500</v>
      </c>
      <c r="AG279" s="84">
        <f t="shared" si="100"/>
        <v>65625000</v>
      </c>
      <c r="AH279" s="85"/>
      <c r="AI279" s="84">
        <f t="shared" si="101"/>
        <v>65625000</v>
      </c>
      <c r="AJ279" s="85"/>
      <c r="AK279" s="84">
        <f t="shared" si="102"/>
        <v>65625000</v>
      </c>
      <c r="AL279" s="85"/>
      <c r="AM279" s="84">
        <f t="shared" si="103"/>
        <v>65625000</v>
      </c>
      <c r="AN279" s="85"/>
      <c r="AO279" s="84">
        <f t="shared" si="104"/>
        <v>65625000</v>
      </c>
      <c r="AP279" s="85"/>
      <c r="AQ279" s="84">
        <f t="shared" si="105"/>
        <v>65625000</v>
      </c>
      <c r="AR279" s="85"/>
      <c r="AS279" s="84">
        <f t="shared" si="106"/>
        <v>65625000</v>
      </c>
      <c r="AT279" s="85"/>
      <c r="AU279" s="84">
        <f t="shared" si="107"/>
        <v>65625000</v>
      </c>
      <c r="AV279" s="85"/>
      <c r="AW279" s="84">
        <f t="shared" si="108"/>
        <v>65625000</v>
      </c>
      <c r="AX279" s="86">
        <f t="shared" si="109"/>
        <v>26250000</v>
      </c>
      <c r="AY279" s="87">
        <f t="shared" si="110"/>
        <v>65625000</v>
      </c>
      <c r="AZ279" s="65" t="b">
        <f t="shared" si="111"/>
        <v>1</v>
      </c>
    </row>
    <row r="280" spans="1:52" s="67" customFormat="1" ht="24.75" hidden="1" customHeight="1">
      <c r="A280" s="141">
        <v>275</v>
      </c>
      <c r="B280" s="69" t="s">
        <v>775</v>
      </c>
      <c r="C280" s="88" t="s">
        <v>81</v>
      </c>
      <c r="D280" s="71" t="s">
        <v>681</v>
      </c>
      <c r="E280" s="102" t="s">
        <v>776</v>
      </c>
      <c r="F280" s="104"/>
      <c r="G280" s="105">
        <v>45716</v>
      </c>
      <c r="H280" s="102" t="s">
        <v>734</v>
      </c>
      <c r="I280" s="74" t="s">
        <v>84</v>
      </c>
      <c r="J280" s="102" t="s">
        <v>85</v>
      </c>
      <c r="K280" s="68" t="s">
        <v>86</v>
      </c>
      <c r="L280" s="70" t="s">
        <v>87</v>
      </c>
      <c r="M280" s="144" t="s">
        <v>767</v>
      </c>
      <c r="N280" s="144" t="s">
        <v>768</v>
      </c>
      <c r="O280" s="108"/>
      <c r="P280" s="109">
        <v>45717</v>
      </c>
      <c r="Q280" s="94">
        <f t="shared" si="112"/>
        <v>46446</v>
      </c>
      <c r="R280" s="111">
        <v>24</v>
      </c>
      <c r="S280" s="111">
        <f t="shared" si="94"/>
        <v>2</v>
      </c>
      <c r="T280" s="140">
        <v>84000000</v>
      </c>
      <c r="U280" s="113"/>
      <c r="V280" s="140">
        <v>84000000</v>
      </c>
      <c r="W280" s="83">
        <f t="shared" si="113"/>
        <v>3500000</v>
      </c>
      <c r="X280" s="115">
        <v>35000000</v>
      </c>
      <c r="Y280" s="115">
        <v>49000000</v>
      </c>
      <c r="Z280" s="124">
        <f t="shared" si="96"/>
        <v>3500000</v>
      </c>
      <c r="AA280" s="118">
        <f t="shared" si="95"/>
        <v>45500000</v>
      </c>
      <c r="AB280" s="85">
        <f t="shared" si="97"/>
        <v>3500000</v>
      </c>
      <c r="AC280" s="84">
        <f t="shared" si="98"/>
        <v>42000000</v>
      </c>
      <c r="AD280" s="139">
        <f t="shared" si="93"/>
        <v>3500000</v>
      </c>
      <c r="AE280" s="118">
        <f t="shared" si="99"/>
        <v>38500000</v>
      </c>
      <c r="AF280" s="85">
        <f t="shared" si="92"/>
        <v>3500000</v>
      </c>
      <c r="AG280" s="84">
        <f t="shared" si="100"/>
        <v>35000000</v>
      </c>
      <c r="AH280" s="85"/>
      <c r="AI280" s="84">
        <f t="shared" si="101"/>
        <v>35000000</v>
      </c>
      <c r="AJ280" s="85"/>
      <c r="AK280" s="84">
        <f t="shared" si="102"/>
        <v>35000000</v>
      </c>
      <c r="AL280" s="85"/>
      <c r="AM280" s="84">
        <f t="shared" si="103"/>
        <v>35000000</v>
      </c>
      <c r="AN280" s="85"/>
      <c r="AO280" s="84">
        <f t="shared" si="104"/>
        <v>35000000</v>
      </c>
      <c r="AP280" s="85"/>
      <c r="AQ280" s="84">
        <f t="shared" si="105"/>
        <v>35000000</v>
      </c>
      <c r="AR280" s="85"/>
      <c r="AS280" s="84">
        <f t="shared" si="106"/>
        <v>35000000</v>
      </c>
      <c r="AT280" s="85"/>
      <c r="AU280" s="84">
        <f t="shared" si="107"/>
        <v>35000000</v>
      </c>
      <c r="AV280" s="85"/>
      <c r="AW280" s="84">
        <f t="shared" si="108"/>
        <v>35000000</v>
      </c>
      <c r="AX280" s="86">
        <f t="shared" si="109"/>
        <v>14000000</v>
      </c>
      <c r="AY280" s="87">
        <f t="shared" si="110"/>
        <v>35000000</v>
      </c>
      <c r="AZ280" s="65" t="b">
        <f t="shared" si="111"/>
        <v>1</v>
      </c>
    </row>
    <row r="281" spans="1:52" s="67" customFormat="1" ht="24.75" hidden="1" customHeight="1">
      <c r="A281" s="68">
        <v>276</v>
      </c>
      <c r="B281" s="69" t="s">
        <v>777</v>
      </c>
      <c r="C281" s="88" t="s">
        <v>81</v>
      </c>
      <c r="D281" s="71" t="s">
        <v>681</v>
      </c>
      <c r="E281" s="102" t="s">
        <v>778</v>
      </c>
      <c r="F281" s="104"/>
      <c r="G281" s="105">
        <v>45716</v>
      </c>
      <c r="H281" s="102" t="s">
        <v>734</v>
      </c>
      <c r="I281" s="74" t="s">
        <v>84</v>
      </c>
      <c r="J281" s="102" t="s">
        <v>85</v>
      </c>
      <c r="K281" s="68" t="s">
        <v>86</v>
      </c>
      <c r="L281" s="70" t="s">
        <v>87</v>
      </c>
      <c r="M281" s="88" t="s">
        <v>779</v>
      </c>
      <c r="N281" s="88" t="s">
        <v>780</v>
      </c>
      <c r="O281" s="108"/>
      <c r="P281" s="109">
        <v>45717</v>
      </c>
      <c r="Q281" s="94">
        <f t="shared" si="112"/>
        <v>46446</v>
      </c>
      <c r="R281" s="111">
        <v>24</v>
      </c>
      <c r="S281" s="111">
        <f t="shared" si="94"/>
        <v>2</v>
      </c>
      <c r="T281" s="140">
        <v>122970000</v>
      </c>
      <c r="U281" s="113"/>
      <c r="V281" s="140">
        <v>122970000</v>
      </c>
      <c r="W281" s="83">
        <f t="shared" si="113"/>
        <v>5123750</v>
      </c>
      <c r="X281" s="115">
        <v>51237500</v>
      </c>
      <c r="Y281" s="115">
        <v>71732500</v>
      </c>
      <c r="Z281" s="124">
        <f t="shared" si="96"/>
        <v>5123750</v>
      </c>
      <c r="AA281" s="118">
        <f t="shared" si="95"/>
        <v>66608750</v>
      </c>
      <c r="AB281" s="85">
        <f t="shared" si="97"/>
        <v>5123750</v>
      </c>
      <c r="AC281" s="84">
        <f t="shared" si="98"/>
        <v>61485000</v>
      </c>
      <c r="AD281" s="85">
        <f t="shared" si="93"/>
        <v>5123750</v>
      </c>
      <c r="AE281" s="118">
        <f t="shared" si="99"/>
        <v>56361250</v>
      </c>
      <c r="AF281" s="85">
        <f t="shared" si="92"/>
        <v>5123750</v>
      </c>
      <c r="AG281" s="84">
        <f t="shared" si="100"/>
        <v>51237500</v>
      </c>
      <c r="AH281" s="85"/>
      <c r="AI281" s="84">
        <f t="shared" si="101"/>
        <v>51237500</v>
      </c>
      <c r="AJ281" s="85"/>
      <c r="AK281" s="84">
        <f t="shared" si="102"/>
        <v>51237500</v>
      </c>
      <c r="AL281" s="85"/>
      <c r="AM281" s="84">
        <f t="shared" si="103"/>
        <v>51237500</v>
      </c>
      <c r="AN281" s="85"/>
      <c r="AO281" s="84">
        <f t="shared" si="104"/>
        <v>51237500</v>
      </c>
      <c r="AP281" s="85"/>
      <c r="AQ281" s="84">
        <f t="shared" si="105"/>
        <v>51237500</v>
      </c>
      <c r="AR281" s="85"/>
      <c r="AS281" s="84">
        <f t="shared" si="106"/>
        <v>51237500</v>
      </c>
      <c r="AT281" s="85"/>
      <c r="AU281" s="84">
        <f t="shared" si="107"/>
        <v>51237500</v>
      </c>
      <c r="AV281" s="85"/>
      <c r="AW281" s="84">
        <f t="shared" si="108"/>
        <v>51237500</v>
      </c>
      <c r="AX281" s="86">
        <f t="shared" si="109"/>
        <v>20495000</v>
      </c>
      <c r="AY281" s="87">
        <f t="shared" si="110"/>
        <v>51237500</v>
      </c>
      <c r="AZ281" s="65" t="b">
        <f t="shared" si="111"/>
        <v>1</v>
      </c>
    </row>
    <row r="282" spans="1:52" s="67" customFormat="1" ht="24.75" hidden="1" customHeight="1">
      <c r="A282" s="68">
        <v>277</v>
      </c>
      <c r="B282" s="69" t="s">
        <v>781</v>
      </c>
      <c r="C282" s="88" t="s">
        <v>81</v>
      </c>
      <c r="D282" s="71" t="s">
        <v>681</v>
      </c>
      <c r="E282" s="102" t="s">
        <v>782</v>
      </c>
      <c r="F282" s="104"/>
      <c r="G282" s="105">
        <v>45716</v>
      </c>
      <c r="H282" s="102" t="s">
        <v>734</v>
      </c>
      <c r="I282" s="74" t="s">
        <v>84</v>
      </c>
      <c r="J282" s="102" t="s">
        <v>85</v>
      </c>
      <c r="K282" s="68" t="s">
        <v>86</v>
      </c>
      <c r="L282" s="70" t="s">
        <v>87</v>
      </c>
      <c r="M282" s="88" t="s">
        <v>779</v>
      </c>
      <c r="N282" s="88" t="s">
        <v>780</v>
      </c>
      <c r="O282" s="108"/>
      <c r="P282" s="109">
        <v>45717</v>
      </c>
      <c r="Q282" s="94">
        <f t="shared" si="112"/>
        <v>46446</v>
      </c>
      <c r="R282" s="111">
        <v>24</v>
      </c>
      <c r="S282" s="111">
        <f t="shared" si="94"/>
        <v>2</v>
      </c>
      <c r="T282" s="140">
        <v>73048000</v>
      </c>
      <c r="U282" s="113"/>
      <c r="V282" s="140">
        <v>73048000</v>
      </c>
      <c r="W282" s="83">
        <f t="shared" si="113"/>
        <v>3043666.6666666665</v>
      </c>
      <c r="X282" s="115">
        <v>30436666.666666672</v>
      </c>
      <c r="Y282" s="115">
        <v>42611333.333333328</v>
      </c>
      <c r="Z282" s="124">
        <f t="shared" si="96"/>
        <v>3043666.6666666665</v>
      </c>
      <c r="AA282" s="118">
        <f t="shared" si="95"/>
        <v>39567666.666666664</v>
      </c>
      <c r="AB282" s="85">
        <f t="shared" si="97"/>
        <v>3043666.6666666665</v>
      </c>
      <c r="AC282" s="84">
        <f t="shared" si="98"/>
        <v>36524000</v>
      </c>
      <c r="AD282" s="85">
        <f t="shared" si="93"/>
        <v>3043666.6666666665</v>
      </c>
      <c r="AE282" s="118">
        <f t="shared" si="99"/>
        <v>33480333.333333332</v>
      </c>
      <c r="AF282" s="85">
        <f t="shared" si="92"/>
        <v>3043666.6666666665</v>
      </c>
      <c r="AG282" s="84">
        <f t="shared" si="100"/>
        <v>30436666.666666664</v>
      </c>
      <c r="AH282" s="85"/>
      <c r="AI282" s="84">
        <f t="shared" si="101"/>
        <v>30436666.666666664</v>
      </c>
      <c r="AJ282" s="85"/>
      <c r="AK282" s="84">
        <f t="shared" si="102"/>
        <v>30436666.666666664</v>
      </c>
      <c r="AL282" s="85"/>
      <c r="AM282" s="84">
        <f t="shared" si="103"/>
        <v>30436666.666666664</v>
      </c>
      <c r="AN282" s="85"/>
      <c r="AO282" s="84">
        <f t="shared" si="104"/>
        <v>30436666.666666664</v>
      </c>
      <c r="AP282" s="85"/>
      <c r="AQ282" s="84">
        <f t="shared" si="105"/>
        <v>30436666.666666664</v>
      </c>
      <c r="AR282" s="85"/>
      <c r="AS282" s="84">
        <f t="shared" si="106"/>
        <v>30436666.666666664</v>
      </c>
      <c r="AT282" s="85"/>
      <c r="AU282" s="84">
        <f t="shared" si="107"/>
        <v>30436666.666666664</v>
      </c>
      <c r="AV282" s="85"/>
      <c r="AW282" s="84">
        <f t="shared" si="108"/>
        <v>30436666.666666664</v>
      </c>
      <c r="AX282" s="86">
        <f t="shared" si="109"/>
        <v>12174666.666666666</v>
      </c>
      <c r="AY282" s="87">
        <f t="shared" si="110"/>
        <v>30436666.666666664</v>
      </c>
      <c r="AZ282" s="65" t="b">
        <f t="shared" si="111"/>
        <v>1</v>
      </c>
    </row>
    <row r="283" spans="1:52" s="67" customFormat="1" ht="24.75" hidden="1" customHeight="1">
      <c r="A283" s="68">
        <v>278</v>
      </c>
      <c r="B283" s="69" t="s">
        <v>783</v>
      </c>
      <c r="C283" s="88" t="s">
        <v>81</v>
      </c>
      <c r="D283" s="71" t="s">
        <v>681</v>
      </c>
      <c r="E283" s="102" t="s">
        <v>784</v>
      </c>
      <c r="F283" s="104"/>
      <c r="G283" s="105">
        <v>45716</v>
      </c>
      <c r="H283" s="102" t="s">
        <v>734</v>
      </c>
      <c r="I283" s="74" t="s">
        <v>84</v>
      </c>
      <c r="J283" s="102" t="s">
        <v>85</v>
      </c>
      <c r="K283" s="68" t="s">
        <v>86</v>
      </c>
      <c r="L283" s="70" t="s">
        <v>87</v>
      </c>
      <c r="M283" s="88" t="s">
        <v>779</v>
      </c>
      <c r="N283" s="88" t="s">
        <v>780</v>
      </c>
      <c r="O283" s="108"/>
      <c r="P283" s="109">
        <v>45717</v>
      </c>
      <c r="Q283" s="94">
        <f t="shared" si="112"/>
        <v>46446</v>
      </c>
      <c r="R283" s="111">
        <v>24</v>
      </c>
      <c r="S283" s="111">
        <f t="shared" si="94"/>
        <v>2</v>
      </c>
      <c r="T283" s="140">
        <v>284868000</v>
      </c>
      <c r="U283" s="113"/>
      <c r="V283" s="140">
        <v>284868000</v>
      </c>
      <c r="W283" s="83">
        <f t="shared" si="113"/>
        <v>11869500</v>
      </c>
      <c r="X283" s="115">
        <v>118695000</v>
      </c>
      <c r="Y283" s="115">
        <v>166173000</v>
      </c>
      <c r="Z283" s="124">
        <f t="shared" si="96"/>
        <v>11869500</v>
      </c>
      <c r="AA283" s="118">
        <f t="shared" si="95"/>
        <v>154303500</v>
      </c>
      <c r="AB283" s="85">
        <f t="shared" si="97"/>
        <v>11869500</v>
      </c>
      <c r="AC283" s="84">
        <f t="shared" si="98"/>
        <v>142434000</v>
      </c>
      <c r="AD283" s="85">
        <f t="shared" si="93"/>
        <v>11869500</v>
      </c>
      <c r="AE283" s="118">
        <f t="shared" si="99"/>
        <v>130564500</v>
      </c>
      <c r="AF283" s="85">
        <f t="shared" si="92"/>
        <v>11869500</v>
      </c>
      <c r="AG283" s="84">
        <f t="shared" si="100"/>
        <v>118695000</v>
      </c>
      <c r="AH283" s="85"/>
      <c r="AI283" s="84">
        <f t="shared" si="101"/>
        <v>118695000</v>
      </c>
      <c r="AJ283" s="85"/>
      <c r="AK283" s="84">
        <f t="shared" si="102"/>
        <v>118695000</v>
      </c>
      <c r="AL283" s="85"/>
      <c r="AM283" s="84">
        <f t="shared" si="103"/>
        <v>118695000</v>
      </c>
      <c r="AN283" s="85"/>
      <c r="AO283" s="84">
        <f t="shared" si="104"/>
        <v>118695000</v>
      </c>
      <c r="AP283" s="85"/>
      <c r="AQ283" s="84">
        <f t="shared" si="105"/>
        <v>118695000</v>
      </c>
      <c r="AR283" s="85"/>
      <c r="AS283" s="84">
        <f t="shared" si="106"/>
        <v>118695000</v>
      </c>
      <c r="AT283" s="85"/>
      <c r="AU283" s="84">
        <f t="shared" si="107"/>
        <v>118695000</v>
      </c>
      <c r="AV283" s="85"/>
      <c r="AW283" s="84">
        <f t="shared" si="108"/>
        <v>118695000</v>
      </c>
      <c r="AX283" s="86">
        <f t="shared" si="109"/>
        <v>47478000</v>
      </c>
      <c r="AY283" s="87">
        <f t="shared" si="110"/>
        <v>118695000</v>
      </c>
      <c r="AZ283" s="65" t="b">
        <f t="shared" si="111"/>
        <v>1</v>
      </c>
    </row>
    <row r="284" spans="1:52" s="67" customFormat="1" ht="24.75" hidden="1" customHeight="1">
      <c r="A284" s="68">
        <v>279</v>
      </c>
      <c r="B284" s="69" t="s">
        <v>785</v>
      </c>
      <c r="C284" s="88" t="s">
        <v>81</v>
      </c>
      <c r="D284" s="71" t="s">
        <v>681</v>
      </c>
      <c r="E284" s="102" t="s">
        <v>786</v>
      </c>
      <c r="F284" s="104"/>
      <c r="G284" s="105">
        <v>45716</v>
      </c>
      <c r="H284" s="102" t="s">
        <v>734</v>
      </c>
      <c r="I284" s="74" t="s">
        <v>84</v>
      </c>
      <c r="J284" s="102" t="s">
        <v>85</v>
      </c>
      <c r="K284" s="68" t="s">
        <v>86</v>
      </c>
      <c r="L284" s="70" t="s">
        <v>87</v>
      </c>
      <c r="M284" s="88" t="s">
        <v>779</v>
      </c>
      <c r="N284" s="88" t="s">
        <v>780</v>
      </c>
      <c r="O284" s="108"/>
      <c r="P284" s="109">
        <v>45717</v>
      </c>
      <c r="Q284" s="94">
        <f t="shared" si="112"/>
        <v>46446</v>
      </c>
      <c r="R284" s="111">
        <v>24</v>
      </c>
      <c r="S284" s="111">
        <f t="shared" si="94"/>
        <v>2</v>
      </c>
      <c r="T284" s="140">
        <v>169575000</v>
      </c>
      <c r="U284" s="113"/>
      <c r="V284" s="140">
        <v>169575000</v>
      </c>
      <c r="W284" s="83">
        <f t="shared" si="113"/>
        <v>7065625</v>
      </c>
      <c r="X284" s="115">
        <v>70656250</v>
      </c>
      <c r="Y284" s="115">
        <v>98918750</v>
      </c>
      <c r="Z284" s="124">
        <f t="shared" si="96"/>
        <v>7065625</v>
      </c>
      <c r="AA284" s="118">
        <f t="shared" si="95"/>
        <v>91853125</v>
      </c>
      <c r="AB284" s="85">
        <f t="shared" si="97"/>
        <v>7065625</v>
      </c>
      <c r="AC284" s="84">
        <f t="shared" si="98"/>
        <v>84787500</v>
      </c>
      <c r="AD284" s="85">
        <f t="shared" si="93"/>
        <v>7065625</v>
      </c>
      <c r="AE284" s="118">
        <f t="shared" si="99"/>
        <v>77721875</v>
      </c>
      <c r="AF284" s="85">
        <f t="shared" si="92"/>
        <v>7065625</v>
      </c>
      <c r="AG284" s="84">
        <f t="shared" si="100"/>
        <v>70656250</v>
      </c>
      <c r="AH284" s="85"/>
      <c r="AI284" s="84">
        <f t="shared" si="101"/>
        <v>70656250</v>
      </c>
      <c r="AJ284" s="85"/>
      <c r="AK284" s="84">
        <f t="shared" si="102"/>
        <v>70656250</v>
      </c>
      <c r="AL284" s="85"/>
      <c r="AM284" s="84">
        <f t="shared" si="103"/>
        <v>70656250</v>
      </c>
      <c r="AN284" s="85"/>
      <c r="AO284" s="84">
        <f t="shared" si="104"/>
        <v>70656250</v>
      </c>
      <c r="AP284" s="85"/>
      <c r="AQ284" s="84">
        <f t="shared" si="105"/>
        <v>70656250</v>
      </c>
      <c r="AR284" s="85"/>
      <c r="AS284" s="84">
        <f t="shared" si="106"/>
        <v>70656250</v>
      </c>
      <c r="AT284" s="85"/>
      <c r="AU284" s="84">
        <f t="shared" si="107"/>
        <v>70656250</v>
      </c>
      <c r="AV284" s="85"/>
      <c r="AW284" s="84">
        <f t="shared" si="108"/>
        <v>70656250</v>
      </c>
      <c r="AX284" s="86">
        <f t="shared" si="109"/>
        <v>28262500</v>
      </c>
      <c r="AY284" s="87">
        <f t="shared" si="110"/>
        <v>70656250</v>
      </c>
      <c r="AZ284" s="65" t="b">
        <f t="shared" si="111"/>
        <v>1</v>
      </c>
    </row>
    <row r="285" spans="1:52" s="67" customFormat="1" ht="24.75" hidden="1" customHeight="1">
      <c r="A285" s="68">
        <v>280</v>
      </c>
      <c r="B285" s="69" t="s">
        <v>787</v>
      </c>
      <c r="C285" s="88" t="s">
        <v>81</v>
      </c>
      <c r="D285" s="71" t="s">
        <v>681</v>
      </c>
      <c r="E285" s="102" t="s">
        <v>788</v>
      </c>
      <c r="F285" s="104"/>
      <c r="G285" s="105">
        <v>45716</v>
      </c>
      <c r="H285" s="102" t="s">
        <v>734</v>
      </c>
      <c r="I285" s="74" t="s">
        <v>84</v>
      </c>
      <c r="J285" s="102" t="s">
        <v>85</v>
      </c>
      <c r="K285" s="68" t="s">
        <v>86</v>
      </c>
      <c r="L285" s="70" t="s">
        <v>87</v>
      </c>
      <c r="M285" s="88" t="s">
        <v>779</v>
      </c>
      <c r="N285" s="88" t="s">
        <v>780</v>
      </c>
      <c r="O285" s="108"/>
      <c r="P285" s="109">
        <v>45717</v>
      </c>
      <c r="Q285" s="94">
        <f t="shared" si="112"/>
        <v>46446</v>
      </c>
      <c r="R285" s="111">
        <v>24</v>
      </c>
      <c r="S285" s="111">
        <f t="shared" si="94"/>
        <v>2</v>
      </c>
      <c r="T285" s="140">
        <v>76888000</v>
      </c>
      <c r="U285" s="113"/>
      <c r="V285" s="140">
        <v>76888000</v>
      </c>
      <c r="W285" s="83">
        <f t="shared" si="113"/>
        <v>3203666.6666666665</v>
      </c>
      <c r="X285" s="115">
        <v>32036666.666666672</v>
      </c>
      <c r="Y285" s="115">
        <v>44851333.333333328</v>
      </c>
      <c r="Z285" s="124">
        <f t="shared" si="96"/>
        <v>3203666.6666666665</v>
      </c>
      <c r="AA285" s="118">
        <f t="shared" si="95"/>
        <v>41647666.666666664</v>
      </c>
      <c r="AB285" s="85">
        <f t="shared" si="97"/>
        <v>3203666.6666666665</v>
      </c>
      <c r="AC285" s="84">
        <f t="shared" si="98"/>
        <v>38444000</v>
      </c>
      <c r="AD285" s="85">
        <f t="shared" si="93"/>
        <v>3203666.6666666665</v>
      </c>
      <c r="AE285" s="118">
        <f t="shared" si="99"/>
        <v>35240333.333333336</v>
      </c>
      <c r="AF285" s="85">
        <f t="shared" si="92"/>
        <v>3203666.6666666665</v>
      </c>
      <c r="AG285" s="84">
        <f t="shared" si="100"/>
        <v>32036666.666666668</v>
      </c>
      <c r="AH285" s="85"/>
      <c r="AI285" s="84">
        <f t="shared" si="101"/>
        <v>32036666.666666668</v>
      </c>
      <c r="AJ285" s="85"/>
      <c r="AK285" s="84">
        <f t="shared" si="102"/>
        <v>32036666.666666668</v>
      </c>
      <c r="AL285" s="85"/>
      <c r="AM285" s="84">
        <f t="shared" si="103"/>
        <v>32036666.666666668</v>
      </c>
      <c r="AN285" s="85"/>
      <c r="AO285" s="84">
        <f t="shared" si="104"/>
        <v>32036666.666666668</v>
      </c>
      <c r="AP285" s="85"/>
      <c r="AQ285" s="84">
        <f t="shared" si="105"/>
        <v>32036666.666666668</v>
      </c>
      <c r="AR285" s="85"/>
      <c r="AS285" s="84">
        <f t="shared" si="106"/>
        <v>32036666.666666668</v>
      </c>
      <c r="AT285" s="85"/>
      <c r="AU285" s="84">
        <f t="shared" si="107"/>
        <v>32036666.666666668</v>
      </c>
      <c r="AV285" s="85"/>
      <c r="AW285" s="84">
        <f t="shared" si="108"/>
        <v>32036666.666666668</v>
      </c>
      <c r="AX285" s="86">
        <f t="shared" si="109"/>
        <v>12814666.666666666</v>
      </c>
      <c r="AY285" s="87">
        <f t="shared" si="110"/>
        <v>32036666.666666664</v>
      </c>
      <c r="AZ285" s="65" t="b">
        <f t="shared" si="111"/>
        <v>1</v>
      </c>
    </row>
    <row r="286" spans="1:52" s="67" customFormat="1" ht="24.75" hidden="1" customHeight="1">
      <c r="A286" s="68">
        <v>281</v>
      </c>
      <c r="B286" s="69" t="s">
        <v>789</v>
      </c>
      <c r="C286" s="88" t="s">
        <v>81</v>
      </c>
      <c r="D286" s="71" t="s">
        <v>681</v>
      </c>
      <c r="E286" s="102" t="s">
        <v>790</v>
      </c>
      <c r="F286" s="104"/>
      <c r="G286" s="105">
        <v>45716</v>
      </c>
      <c r="H286" s="102" t="s">
        <v>734</v>
      </c>
      <c r="I286" s="74" t="s">
        <v>399</v>
      </c>
      <c r="J286" s="102" t="s">
        <v>400</v>
      </c>
      <c r="K286" s="68" t="s">
        <v>68</v>
      </c>
      <c r="L286" s="70" t="s">
        <v>69</v>
      </c>
      <c r="M286" s="88" t="s">
        <v>125</v>
      </c>
      <c r="N286" s="88" t="s">
        <v>126</v>
      </c>
      <c r="O286" s="108"/>
      <c r="P286" s="109">
        <v>45717</v>
      </c>
      <c r="Q286" s="94">
        <f t="shared" si="112"/>
        <v>46446</v>
      </c>
      <c r="R286" s="111">
        <v>24</v>
      </c>
      <c r="S286" s="111">
        <f t="shared" si="94"/>
        <v>2</v>
      </c>
      <c r="T286" s="140">
        <v>35745000</v>
      </c>
      <c r="U286" s="113"/>
      <c r="V286" s="140">
        <v>35745000</v>
      </c>
      <c r="W286" s="83">
        <f t="shared" si="113"/>
        <v>1489375</v>
      </c>
      <c r="X286" s="115">
        <v>14893750</v>
      </c>
      <c r="Y286" s="115">
        <v>20851250</v>
      </c>
      <c r="Z286" s="124">
        <f t="shared" si="96"/>
        <v>1489375</v>
      </c>
      <c r="AA286" s="118">
        <f t="shared" si="95"/>
        <v>19361875</v>
      </c>
      <c r="AB286" s="85">
        <f t="shared" si="97"/>
        <v>1489375</v>
      </c>
      <c r="AC286" s="84">
        <f t="shared" si="98"/>
        <v>17872500</v>
      </c>
      <c r="AD286" s="85">
        <f t="shared" si="93"/>
        <v>1489375</v>
      </c>
      <c r="AE286" s="118">
        <f t="shared" si="99"/>
        <v>16383125</v>
      </c>
      <c r="AF286" s="85">
        <f t="shared" si="92"/>
        <v>1489375</v>
      </c>
      <c r="AG286" s="84">
        <f t="shared" si="100"/>
        <v>14893750</v>
      </c>
      <c r="AH286" s="85"/>
      <c r="AI286" s="84">
        <f t="shared" si="101"/>
        <v>14893750</v>
      </c>
      <c r="AJ286" s="85"/>
      <c r="AK286" s="84">
        <f t="shared" si="102"/>
        <v>14893750</v>
      </c>
      <c r="AL286" s="85"/>
      <c r="AM286" s="84">
        <f t="shared" si="103"/>
        <v>14893750</v>
      </c>
      <c r="AN286" s="85"/>
      <c r="AO286" s="84">
        <f t="shared" si="104"/>
        <v>14893750</v>
      </c>
      <c r="AP286" s="85"/>
      <c r="AQ286" s="84">
        <f t="shared" si="105"/>
        <v>14893750</v>
      </c>
      <c r="AR286" s="85"/>
      <c r="AS286" s="84">
        <f t="shared" si="106"/>
        <v>14893750</v>
      </c>
      <c r="AT286" s="85"/>
      <c r="AU286" s="84">
        <f t="shared" si="107"/>
        <v>14893750</v>
      </c>
      <c r="AV286" s="85"/>
      <c r="AW286" s="84">
        <f t="shared" si="108"/>
        <v>14893750</v>
      </c>
      <c r="AX286" s="86">
        <f t="shared" si="109"/>
        <v>5957500</v>
      </c>
      <c r="AY286" s="87">
        <f t="shared" si="110"/>
        <v>14893750</v>
      </c>
      <c r="AZ286" s="65" t="b">
        <f t="shared" si="111"/>
        <v>1</v>
      </c>
    </row>
    <row r="287" spans="1:52" s="119" customFormat="1" ht="24.75" hidden="1" customHeight="1">
      <c r="A287" s="128">
        <v>283</v>
      </c>
      <c r="B287" s="125" t="s">
        <v>791</v>
      </c>
      <c r="C287" s="93" t="s">
        <v>81</v>
      </c>
      <c r="D287" s="145" t="s">
        <v>114</v>
      </c>
      <c r="E287" s="93" t="s">
        <v>792</v>
      </c>
      <c r="F287" s="126"/>
      <c r="G287" s="127">
        <v>45716</v>
      </c>
      <c r="H287" s="93" t="s">
        <v>793</v>
      </c>
      <c r="I287" s="95" t="s">
        <v>66</v>
      </c>
      <c r="J287" s="93" t="s">
        <v>67</v>
      </c>
      <c r="K287" s="128" t="s">
        <v>68</v>
      </c>
      <c r="L287" s="129" t="s">
        <v>69</v>
      </c>
      <c r="M287" s="93" t="s">
        <v>55</v>
      </c>
      <c r="N287" s="93" t="s">
        <v>56</v>
      </c>
      <c r="O287" s="130"/>
      <c r="P287" s="146">
        <v>45717</v>
      </c>
      <c r="Q287" s="147">
        <f t="shared" si="112"/>
        <v>46752</v>
      </c>
      <c r="R287" s="122">
        <v>34</v>
      </c>
      <c r="S287" s="122">
        <f t="shared" si="94"/>
        <v>2.8333333333333335</v>
      </c>
      <c r="T287" s="112">
        <v>3960004318</v>
      </c>
      <c r="U287" s="134"/>
      <c r="V287" s="112">
        <v>3960004318</v>
      </c>
      <c r="W287" s="135">
        <f>Y287/24</f>
        <v>123750134.9375</v>
      </c>
      <c r="X287" s="100">
        <v>990001079.49999988</v>
      </c>
      <c r="Y287" s="100">
        <v>2970003238.5</v>
      </c>
      <c r="Z287" s="116">
        <f t="shared" si="96"/>
        <v>123750134.9375</v>
      </c>
      <c r="AA287" s="117">
        <f t="shared" si="95"/>
        <v>2846253103.5625</v>
      </c>
      <c r="AB287" s="85">
        <f t="shared" si="97"/>
        <v>123750134.9375</v>
      </c>
      <c r="AC287" s="84">
        <f t="shared" si="98"/>
        <v>2722502968.625</v>
      </c>
      <c r="AD287" s="85">
        <f t="shared" si="93"/>
        <v>123750134.9375</v>
      </c>
      <c r="AE287" s="117">
        <f t="shared" si="99"/>
        <v>2598752833.6875</v>
      </c>
      <c r="AF287" s="85">
        <f t="shared" si="92"/>
        <v>123750134.9375</v>
      </c>
      <c r="AG287" s="117">
        <f t="shared" si="100"/>
        <v>2475002698.75</v>
      </c>
      <c r="AH287" s="116"/>
      <c r="AI287" s="117">
        <f t="shared" si="101"/>
        <v>2475002698.75</v>
      </c>
      <c r="AJ287" s="116"/>
      <c r="AK287" s="117">
        <f t="shared" si="102"/>
        <v>2475002698.75</v>
      </c>
      <c r="AL287" s="116"/>
      <c r="AM287" s="117">
        <f t="shared" si="103"/>
        <v>2475002698.75</v>
      </c>
      <c r="AN287" s="116"/>
      <c r="AO287" s="117">
        <f t="shared" si="104"/>
        <v>2475002698.75</v>
      </c>
      <c r="AP287" s="116"/>
      <c r="AQ287" s="117">
        <f t="shared" si="105"/>
        <v>2475002698.75</v>
      </c>
      <c r="AR287" s="116"/>
      <c r="AS287" s="117">
        <f t="shared" si="106"/>
        <v>2475002698.75</v>
      </c>
      <c r="AT287" s="116"/>
      <c r="AU287" s="117">
        <f t="shared" si="107"/>
        <v>2475002698.75</v>
      </c>
      <c r="AV287" s="116"/>
      <c r="AW287" s="117">
        <f t="shared" si="108"/>
        <v>2475002698.75</v>
      </c>
      <c r="AX287" s="136">
        <f t="shared" si="109"/>
        <v>495000539.75</v>
      </c>
      <c r="AY287" s="148">
        <f t="shared" si="110"/>
        <v>2475002698.75</v>
      </c>
      <c r="AZ287" s="149" t="b">
        <f t="shared" si="111"/>
        <v>1</v>
      </c>
    </row>
    <row r="288" spans="1:52" s="119" customFormat="1" ht="24.75" hidden="1" customHeight="1">
      <c r="A288" s="128">
        <v>284</v>
      </c>
      <c r="B288" s="125" t="s">
        <v>794</v>
      </c>
      <c r="C288" s="93" t="s">
        <v>81</v>
      </c>
      <c r="D288" s="145" t="s">
        <v>114</v>
      </c>
      <c r="E288" s="93" t="s">
        <v>792</v>
      </c>
      <c r="F288" s="126"/>
      <c r="G288" s="127">
        <v>45716</v>
      </c>
      <c r="H288" s="93" t="s">
        <v>795</v>
      </c>
      <c r="I288" s="95" t="s">
        <v>66</v>
      </c>
      <c r="J288" s="93" t="s">
        <v>67</v>
      </c>
      <c r="K288" s="128" t="s">
        <v>68</v>
      </c>
      <c r="L288" s="129" t="s">
        <v>69</v>
      </c>
      <c r="M288" s="93" t="s">
        <v>55</v>
      </c>
      <c r="N288" s="93" t="s">
        <v>56</v>
      </c>
      <c r="O288" s="130"/>
      <c r="P288" s="146">
        <v>45717</v>
      </c>
      <c r="Q288" s="147">
        <f t="shared" si="112"/>
        <v>46752</v>
      </c>
      <c r="R288" s="122">
        <v>34</v>
      </c>
      <c r="S288" s="122">
        <f t="shared" si="94"/>
        <v>2.8333333333333335</v>
      </c>
      <c r="T288" s="112">
        <v>5620947696</v>
      </c>
      <c r="U288" s="134"/>
      <c r="V288" s="112">
        <v>5620947696</v>
      </c>
      <c r="W288" s="135">
        <f>Y288/24</f>
        <v>199075230.90000001</v>
      </c>
      <c r="X288" s="100">
        <v>843142154.4000001</v>
      </c>
      <c r="Y288" s="100">
        <v>4777805541.6000004</v>
      </c>
      <c r="Z288" s="116">
        <f t="shared" si="96"/>
        <v>199075230.90000001</v>
      </c>
      <c r="AA288" s="117">
        <f t="shared" si="95"/>
        <v>4578730310.7000008</v>
      </c>
      <c r="AB288" s="85">
        <f t="shared" si="97"/>
        <v>199075230.90000001</v>
      </c>
      <c r="AC288" s="84">
        <f t="shared" si="98"/>
        <v>4379655079.8000011</v>
      </c>
      <c r="AD288" s="85">
        <f t="shared" si="93"/>
        <v>199075230.90000001</v>
      </c>
      <c r="AE288" s="117">
        <f t="shared" si="99"/>
        <v>4180579848.900001</v>
      </c>
      <c r="AF288" s="85">
        <f t="shared" si="92"/>
        <v>199075230.90000001</v>
      </c>
      <c r="AG288" s="117">
        <f t="shared" si="100"/>
        <v>3981504618.000001</v>
      </c>
      <c r="AH288" s="116"/>
      <c r="AI288" s="117">
        <f t="shared" si="101"/>
        <v>3981504618.000001</v>
      </c>
      <c r="AJ288" s="116"/>
      <c r="AK288" s="117">
        <f t="shared" si="102"/>
        <v>3981504618.000001</v>
      </c>
      <c r="AL288" s="116"/>
      <c r="AM288" s="117">
        <f t="shared" si="103"/>
        <v>3981504618.000001</v>
      </c>
      <c r="AN288" s="116"/>
      <c r="AO288" s="117">
        <f t="shared" si="104"/>
        <v>3981504618.000001</v>
      </c>
      <c r="AP288" s="116"/>
      <c r="AQ288" s="117">
        <f t="shared" si="105"/>
        <v>3981504618.000001</v>
      </c>
      <c r="AR288" s="116"/>
      <c r="AS288" s="117">
        <f t="shared" si="106"/>
        <v>3981504618.000001</v>
      </c>
      <c r="AT288" s="116"/>
      <c r="AU288" s="117">
        <f t="shared" si="107"/>
        <v>3981504618.000001</v>
      </c>
      <c r="AV288" s="116"/>
      <c r="AW288" s="117">
        <f t="shared" si="108"/>
        <v>3981504618.000001</v>
      </c>
      <c r="AX288" s="136">
        <f t="shared" si="109"/>
        <v>796300923.60000002</v>
      </c>
      <c r="AY288" s="148">
        <f t="shared" si="110"/>
        <v>3981504618.0000005</v>
      </c>
      <c r="AZ288" s="149" t="b">
        <f t="shared" si="111"/>
        <v>1</v>
      </c>
    </row>
    <row r="289" spans="1:52" s="67" customFormat="1" ht="24.75" hidden="1" customHeight="1">
      <c r="A289" s="68">
        <v>285</v>
      </c>
      <c r="B289" s="69" t="s">
        <v>796</v>
      </c>
      <c r="C289" s="88" t="s">
        <v>73</v>
      </c>
      <c r="D289" s="71" t="s">
        <v>64</v>
      </c>
      <c r="E289" s="102" t="s">
        <v>797</v>
      </c>
      <c r="F289" s="104"/>
      <c r="G289" s="105">
        <v>45716</v>
      </c>
      <c r="H289" s="102" t="s">
        <v>798</v>
      </c>
      <c r="I289" s="120" t="s">
        <v>66</v>
      </c>
      <c r="J289" s="102" t="s">
        <v>67</v>
      </c>
      <c r="K289" s="68" t="s">
        <v>68</v>
      </c>
      <c r="L289" s="70" t="s">
        <v>69</v>
      </c>
      <c r="M289" s="88" t="s">
        <v>55</v>
      </c>
      <c r="N289" s="88" t="s">
        <v>56</v>
      </c>
      <c r="O289" s="108"/>
      <c r="P289" s="109">
        <v>45717</v>
      </c>
      <c r="Q289" s="94">
        <f t="shared" si="112"/>
        <v>46812</v>
      </c>
      <c r="R289" s="111">
        <v>36</v>
      </c>
      <c r="S289" s="111">
        <f t="shared" si="94"/>
        <v>3</v>
      </c>
      <c r="T289" s="123">
        <v>230000000</v>
      </c>
      <c r="U289" s="113"/>
      <c r="V289" s="123">
        <v>230000000</v>
      </c>
      <c r="W289" s="83">
        <f t="shared" ref="W289:W352" si="114">V289/R289</f>
        <v>6388888.888888889</v>
      </c>
      <c r="X289" s="115">
        <v>63888888.888888888</v>
      </c>
      <c r="Y289" s="123">
        <v>166111111.1111111</v>
      </c>
      <c r="Z289" s="124">
        <f t="shared" si="96"/>
        <v>6388888.888888889</v>
      </c>
      <c r="AA289" s="118">
        <f t="shared" si="95"/>
        <v>159722222.22222221</v>
      </c>
      <c r="AB289" s="85">
        <f t="shared" si="97"/>
        <v>6388888.888888889</v>
      </c>
      <c r="AC289" s="84">
        <f t="shared" si="98"/>
        <v>153333333.33333331</v>
      </c>
      <c r="AD289" s="85">
        <f t="shared" si="93"/>
        <v>6388888.888888889</v>
      </c>
      <c r="AE289" s="118">
        <f t="shared" si="99"/>
        <v>146944444.44444442</v>
      </c>
      <c r="AF289" s="85">
        <f t="shared" si="92"/>
        <v>6388888.888888889</v>
      </c>
      <c r="AG289" s="84">
        <f t="shared" si="100"/>
        <v>140555555.55555552</v>
      </c>
      <c r="AH289" s="85"/>
      <c r="AI289" s="84">
        <f t="shared" si="101"/>
        <v>140555555.55555552</v>
      </c>
      <c r="AJ289" s="85"/>
      <c r="AK289" s="84">
        <f t="shared" si="102"/>
        <v>140555555.55555552</v>
      </c>
      <c r="AL289" s="85"/>
      <c r="AM289" s="84">
        <f t="shared" si="103"/>
        <v>140555555.55555552</v>
      </c>
      <c r="AN289" s="85"/>
      <c r="AO289" s="84">
        <f t="shared" si="104"/>
        <v>140555555.55555552</v>
      </c>
      <c r="AP289" s="85"/>
      <c r="AQ289" s="84">
        <f t="shared" si="105"/>
        <v>140555555.55555552</v>
      </c>
      <c r="AR289" s="85"/>
      <c r="AS289" s="84">
        <f t="shared" si="106"/>
        <v>140555555.55555552</v>
      </c>
      <c r="AT289" s="85"/>
      <c r="AU289" s="84">
        <f t="shared" si="107"/>
        <v>140555555.55555552</v>
      </c>
      <c r="AV289" s="85"/>
      <c r="AW289" s="84">
        <f t="shared" si="108"/>
        <v>140555555.55555552</v>
      </c>
      <c r="AX289" s="86">
        <f t="shared" si="109"/>
        <v>25555555.555555556</v>
      </c>
      <c r="AY289" s="87">
        <f t="shared" si="110"/>
        <v>140555555.55555555</v>
      </c>
      <c r="AZ289" s="65" t="b">
        <f t="shared" si="111"/>
        <v>1</v>
      </c>
    </row>
    <row r="290" spans="1:52" s="67" customFormat="1" ht="24.75" hidden="1" customHeight="1">
      <c r="A290" s="68">
        <v>286</v>
      </c>
      <c r="B290" s="137" t="s">
        <v>799</v>
      </c>
      <c r="C290" s="138" t="s">
        <v>687</v>
      </c>
      <c r="D290" s="71" t="s">
        <v>114</v>
      </c>
      <c r="E290" s="102" t="s">
        <v>800</v>
      </c>
      <c r="F290" s="104"/>
      <c r="G290" s="105"/>
      <c r="H290" s="102" t="s">
        <v>801</v>
      </c>
      <c r="I290" s="120" t="s">
        <v>66</v>
      </c>
      <c r="J290" s="102" t="s">
        <v>67</v>
      </c>
      <c r="K290" s="68">
        <v>51030109</v>
      </c>
      <c r="L290" s="70" t="s">
        <v>690</v>
      </c>
      <c r="M290" s="88" t="s">
        <v>60</v>
      </c>
      <c r="N290" s="88" t="s">
        <v>61</v>
      </c>
      <c r="O290" s="108"/>
      <c r="P290" s="109">
        <v>45717</v>
      </c>
      <c r="Q290" s="94">
        <f t="shared" si="112"/>
        <v>47542</v>
      </c>
      <c r="R290" s="111">
        <v>60</v>
      </c>
      <c r="S290" s="111">
        <f t="shared" si="94"/>
        <v>5</v>
      </c>
      <c r="T290" s="123">
        <v>152828227</v>
      </c>
      <c r="U290" s="113"/>
      <c r="V290" s="123">
        <v>152828227</v>
      </c>
      <c r="W290" s="115">
        <f t="shared" si="114"/>
        <v>2547137.1166666667</v>
      </c>
      <c r="X290" s="115">
        <v>25471371.166666668</v>
      </c>
      <c r="Y290" s="115">
        <v>127356855.83333333</v>
      </c>
      <c r="Z290" s="124">
        <f t="shared" si="96"/>
        <v>2547137.1166666667</v>
      </c>
      <c r="AA290" s="118">
        <f t="shared" si="95"/>
        <v>124809718.71666667</v>
      </c>
      <c r="AB290" s="85">
        <f t="shared" si="97"/>
        <v>2547137.1166666667</v>
      </c>
      <c r="AC290" s="84">
        <f t="shared" si="98"/>
        <v>122262581.60000001</v>
      </c>
      <c r="AD290" s="85">
        <f t="shared" si="93"/>
        <v>2547137.1166666667</v>
      </c>
      <c r="AE290" s="118">
        <f t="shared" si="99"/>
        <v>119715444.48333335</v>
      </c>
      <c r="AF290" s="85">
        <f t="shared" si="92"/>
        <v>2547137.1166666667</v>
      </c>
      <c r="AG290" s="84">
        <f t="shared" si="100"/>
        <v>117168307.36666669</v>
      </c>
      <c r="AH290" s="85"/>
      <c r="AI290" s="84">
        <f t="shared" si="101"/>
        <v>117168307.36666669</v>
      </c>
      <c r="AJ290" s="85"/>
      <c r="AK290" s="84">
        <f t="shared" si="102"/>
        <v>117168307.36666669</v>
      </c>
      <c r="AL290" s="85"/>
      <c r="AM290" s="84">
        <f t="shared" si="103"/>
        <v>117168307.36666669</v>
      </c>
      <c r="AN290" s="85"/>
      <c r="AO290" s="84">
        <f t="shared" si="104"/>
        <v>117168307.36666669</v>
      </c>
      <c r="AP290" s="85"/>
      <c r="AQ290" s="84">
        <f t="shared" si="105"/>
        <v>117168307.36666669</v>
      </c>
      <c r="AR290" s="85"/>
      <c r="AS290" s="84">
        <f t="shared" si="106"/>
        <v>117168307.36666669</v>
      </c>
      <c r="AT290" s="85"/>
      <c r="AU290" s="84">
        <f t="shared" si="107"/>
        <v>117168307.36666669</v>
      </c>
      <c r="AV290" s="85"/>
      <c r="AW290" s="84">
        <f t="shared" si="108"/>
        <v>117168307.36666669</v>
      </c>
      <c r="AX290" s="86">
        <f t="shared" si="109"/>
        <v>10188548.466666667</v>
      </c>
      <c r="AY290" s="87">
        <f t="shared" si="110"/>
        <v>117168307.36666666</v>
      </c>
      <c r="AZ290" s="65" t="b">
        <f t="shared" si="111"/>
        <v>1</v>
      </c>
    </row>
    <row r="291" spans="1:52" s="67" customFormat="1" ht="24.75" hidden="1" customHeight="1">
      <c r="A291" s="68">
        <v>287</v>
      </c>
      <c r="B291" s="69" t="s">
        <v>802</v>
      </c>
      <c r="C291" s="88" t="s">
        <v>73</v>
      </c>
      <c r="D291" s="71" t="s">
        <v>64</v>
      </c>
      <c r="E291" s="102" t="s">
        <v>803</v>
      </c>
      <c r="F291" s="104"/>
      <c r="G291" s="105">
        <v>45744</v>
      </c>
      <c r="H291" s="102" t="s">
        <v>804</v>
      </c>
      <c r="I291" s="120" t="s">
        <v>66</v>
      </c>
      <c r="J291" s="102" t="s">
        <v>67</v>
      </c>
      <c r="K291" s="68" t="s">
        <v>68</v>
      </c>
      <c r="L291" s="70" t="s">
        <v>69</v>
      </c>
      <c r="M291" s="88" t="s">
        <v>55</v>
      </c>
      <c r="N291" s="88" t="s">
        <v>56</v>
      </c>
      <c r="O291" s="108"/>
      <c r="P291" s="109">
        <v>45748</v>
      </c>
      <c r="Q291" s="94">
        <f t="shared" si="112"/>
        <v>46843</v>
      </c>
      <c r="R291" s="111">
        <v>36</v>
      </c>
      <c r="S291" s="111">
        <v>3</v>
      </c>
      <c r="T291" s="123">
        <v>104000000</v>
      </c>
      <c r="U291" s="113"/>
      <c r="V291" s="123">
        <v>104000000</v>
      </c>
      <c r="W291" s="115">
        <f t="shared" si="114"/>
        <v>2888888.888888889</v>
      </c>
      <c r="X291" s="115">
        <v>25999999.999999996</v>
      </c>
      <c r="Y291" s="115">
        <v>78000000</v>
      </c>
      <c r="Z291" s="124">
        <f t="shared" si="96"/>
        <v>2888888.888888889</v>
      </c>
      <c r="AA291" s="118">
        <f t="shared" si="95"/>
        <v>75111111.111111104</v>
      </c>
      <c r="AB291" s="85">
        <f t="shared" si="97"/>
        <v>2888888.888888889</v>
      </c>
      <c r="AC291" s="84">
        <f t="shared" si="98"/>
        <v>72222222.222222209</v>
      </c>
      <c r="AD291" s="85">
        <f t="shared" si="93"/>
        <v>2888888.888888889</v>
      </c>
      <c r="AE291" s="118">
        <f t="shared" si="99"/>
        <v>69333333.333333313</v>
      </c>
      <c r="AF291" s="85">
        <f t="shared" si="92"/>
        <v>2888888.888888889</v>
      </c>
      <c r="AG291" s="84">
        <f t="shared" si="100"/>
        <v>66444444.444444425</v>
      </c>
      <c r="AH291" s="85"/>
      <c r="AI291" s="84">
        <f t="shared" si="101"/>
        <v>66444444.444444425</v>
      </c>
      <c r="AJ291" s="85"/>
      <c r="AK291" s="84">
        <f t="shared" si="102"/>
        <v>66444444.444444425</v>
      </c>
      <c r="AL291" s="85"/>
      <c r="AM291" s="84">
        <f t="shared" si="103"/>
        <v>66444444.444444425</v>
      </c>
      <c r="AN291" s="85"/>
      <c r="AO291" s="84">
        <f t="shared" si="104"/>
        <v>66444444.444444425</v>
      </c>
      <c r="AP291" s="85"/>
      <c r="AQ291" s="84">
        <f t="shared" si="105"/>
        <v>66444444.444444425</v>
      </c>
      <c r="AR291" s="85"/>
      <c r="AS291" s="84">
        <f t="shared" si="106"/>
        <v>66444444.444444425</v>
      </c>
      <c r="AT291" s="85"/>
      <c r="AU291" s="84">
        <f t="shared" si="107"/>
        <v>66444444.444444425</v>
      </c>
      <c r="AV291" s="85"/>
      <c r="AW291" s="84">
        <f t="shared" si="108"/>
        <v>66444444.444444425</v>
      </c>
      <c r="AX291" s="86">
        <f t="shared" si="109"/>
        <v>11555555.555555556</v>
      </c>
      <c r="AY291" s="87">
        <f t="shared" si="110"/>
        <v>66444444.444444448</v>
      </c>
      <c r="AZ291" s="65" t="b">
        <f t="shared" si="111"/>
        <v>1</v>
      </c>
    </row>
    <row r="292" spans="1:52" s="67" customFormat="1" ht="24.75" hidden="1" customHeight="1">
      <c r="A292" s="68">
        <v>288</v>
      </c>
      <c r="B292" s="69" t="s">
        <v>805</v>
      </c>
      <c r="C292" s="88" t="s">
        <v>806</v>
      </c>
      <c r="D292" s="71" t="s">
        <v>396</v>
      </c>
      <c r="E292" s="102" t="s">
        <v>807</v>
      </c>
      <c r="F292" s="104"/>
      <c r="G292" s="105">
        <v>45744</v>
      </c>
      <c r="H292" s="102" t="s">
        <v>808</v>
      </c>
      <c r="I292" s="120" t="s">
        <v>399</v>
      </c>
      <c r="J292" s="102" t="s">
        <v>400</v>
      </c>
      <c r="K292" s="68" t="s">
        <v>68</v>
      </c>
      <c r="L292" s="70" t="s">
        <v>69</v>
      </c>
      <c r="M292" s="88" t="s">
        <v>125</v>
      </c>
      <c r="N292" s="88" t="s">
        <v>126</v>
      </c>
      <c r="O292" s="108"/>
      <c r="P292" s="109">
        <v>45748</v>
      </c>
      <c r="Q292" s="94">
        <f t="shared" si="112"/>
        <v>46477</v>
      </c>
      <c r="R292" s="111">
        <v>24</v>
      </c>
      <c r="S292" s="111">
        <v>2</v>
      </c>
      <c r="T292" s="123">
        <v>24800000</v>
      </c>
      <c r="U292" s="113"/>
      <c r="V292" s="123">
        <v>24800000</v>
      </c>
      <c r="W292" s="115">
        <f t="shared" si="114"/>
        <v>1033333.3333333334</v>
      </c>
      <c r="X292" s="115">
        <v>9300000</v>
      </c>
      <c r="Y292" s="115">
        <v>15500000</v>
      </c>
      <c r="Z292" s="124">
        <f t="shared" si="96"/>
        <v>1033333.3333333334</v>
      </c>
      <c r="AA292" s="118">
        <f t="shared" si="95"/>
        <v>14466666.666666666</v>
      </c>
      <c r="AB292" s="85">
        <f t="shared" si="97"/>
        <v>1033333.3333333334</v>
      </c>
      <c r="AC292" s="84">
        <f t="shared" si="98"/>
        <v>13433333.333333332</v>
      </c>
      <c r="AD292" s="85">
        <f t="shared" si="93"/>
        <v>1033333.3333333334</v>
      </c>
      <c r="AE292" s="118">
        <f t="shared" si="99"/>
        <v>12399999.999999998</v>
      </c>
      <c r="AF292" s="85">
        <f t="shared" si="92"/>
        <v>1033333.3333333334</v>
      </c>
      <c r="AG292" s="84">
        <f t="shared" si="100"/>
        <v>11366666.666666664</v>
      </c>
      <c r="AH292" s="85"/>
      <c r="AI292" s="84">
        <f t="shared" si="101"/>
        <v>11366666.666666664</v>
      </c>
      <c r="AJ292" s="85"/>
      <c r="AK292" s="84">
        <f t="shared" si="102"/>
        <v>11366666.666666664</v>
      </c>
      <c r="AL292" s="85"/>
      <c r="AM292" s="84">
        <f t="shared" si="103"/>
        <v>11366666.666666664</v>
      </c>
      <c r="AN292" s="85"/>
      <c r="AO292" s="84">
        <f t="shared" si="104"/>
        <v>11366666.666666664</v>
      </c>
      <c r="AP292" s="85"/>
      <c r="AQ292" s="84">
        <f t="shared" si="105"/>
        <v>11366666.666666664</v>
      </c>
      <c r="AR292" s="85"/>
      <c r="AS292" s="84">
        <f t="shared" si="106"/>
        <v>11366666.666666664</v>
      </c>
      <c r="AT292" s="85"/>
      <c r="AU292" s="84">
        <f t="shared" si="107"/>
        <v>11366666.666666664</v>
      </c>
      <c r="AV292" s="85"/>
      <c r="AW292" s="84">
        <f t="shared" si="108"/>
        <v>11366666.666666664</v>
      </c>
      <c r="AX292" s="86">
        <f t="shared" si="109"/>
        <v>4133333.3333333335</v>
      </c>
      <c r="AY292" s="87">
        <f t="shared" si="110"/>
        <v>11366666.666666666</v>
      </c>
      <c r="AZ292" s="65" t="b">
        <f t="shared" si="111"/>
        <v>1</v>
      </c>
    </row>
    <row r="293" spans="1:52" s="67" customFormat="1" ht="24.75" hidden="1" customHeight="1">
      <c r="A293" s="68">
        <v>289</v>
      </c>
      <c r="B293" s="69" t="s">
        <v>809</v>
      </c>
      <c r="C293" s="88" t="s">
        <v>806</v>
      </c>
      <c r="D293" s="71" t="s">
        <v>396</v>
      </c>
      <c r="E293" s="102" t="s">
        <v>810</v>
      </c>
      <c r="F293" s="104"/>
      <c r="G293" s="105">
        <v>45744</v>
      </c>
      <c r="H293" s="102" t="s">
        <v>808</v>
      </c>
      <c r="I293" s="120" t="s">
        <v>399</v>
      </c>
      <c r="J293" s="102" t="s">
        <v>400</v>
      </c>
      <c r="K293" s="68" t="s">
        <v>68</v>
      </c>
      <c r="L293" s="70" t="s">
        <v>69</v>
      </c>
      <c r="M293" s="88" t="s">
        <v>125</v>
      </c>
      <c r="N293" s="88" t="s">
        <v>126</v>
      </c>
      <c r="O293" s="108"/>
      <c r="P293" s="109">
        <v>45748</v>
      </c>
      <c r="Q293" s="94">
        <f t="shared" si="112"/>
        <v>46477</v>
      </c>
      <c r="R293" s="111">
        <v>24</v>
      </c>
      <c r="S293" s="111">
        <v>2</v>
      </c>
      <c r="T293" s="123">
        <v>45000000</v>
      </c>
      <c r="U293" s="113"/>
      <c r="V293" s="123">
        <v>45000000</v>
      </c>
      <c r="W293" s="115">
        <f t="shared" si="114"/>
        <v>1875000</v>
      </c>
      <c r="X293" s="115">
        <v>16875000</v>
      </c>
      <c r="Y293" s="115">
        <v>28125000</v>
      </c>
      <c r="Z293" s="124">
        <f t="shared" si="96"/>
        <v>1875000</v>
      </c>
      <c r="AA293" s="118">
        <f t="shared" si="95"/>
        <v>26250000</v>
      </c>
      <c r="AB293" s="85">
        <f t="shared" si="97"/>
        <v>1875000</v>
      </c>
      <c r="AC293" s="84">
        <f t="shared" si="98"/>
        <v>24375000</v>
      </c>
      <c r="AD293" s="85">
        <f t="shared" si="93"/>
        <v>1875000</v>
      </c>
      <c r="AE293" s="118">
        <f t="shared" si="99"/>
        <v>22500000</v>
      </c>
      <c r="AF293" s="85">
        <f t="shared" si="92"/>
        <v>1875000</v>
      </c>
      <c r="AG293" s="84">
        <f t="shared" si="100"/>
        <v>20625000</v>
      </c>
      <c r="AH293" s="85"/>
      <c r="AI293" s="84">
        <f t="shared" si="101"/>
        <v>20625000</v>
      </c>
      <c r="AJ293" s="85"/>
      <c r="AK293" s="84">
        <f t="shared" si="102"/>
        <v>20625000</v>
      </c>
      <c r="AL293" s="85"/>
      <c r="AM293" s="84">
        <f t="shared" si="103"/>
        <v>20625000</v>
      </c>
      <c r="AN293" s="85"/>
      <c r="AO293" s="84">
        <f t="shared" si="104"/>
        <v>20625000</v>
      </c>
      <c r="AP293" s="85"/>
      <c r="AQ293" s="84">
        <f t="shared" si="105"/>
        <v>20625000</v>
      </c>
      <c r="AR293" s="85"/>
      <c r="AS293" s="84">
        <f t="shared" si="106"/>
        <v>20625000</v>
      </c>
      <c r="AT293" s="85"/>
      <c r="AU293" s="84">
        <f t="shared" si="107"/>
        <v>20625000</v>
      </c>
      <c r="AV293" s="85"/>
      <c r="AW293" s="84">
        <f t="shared" si="108"/>
        <v>20625000</v>
      </c>
      <c r="AX293" s="86">
        <f t="shared" si="109"/>
        <v>7500000</v>
      </c>
      <c r="AY293" s="87">
        <f t="shared" si="110"/>
        <v>20625000</v>
      </c>
      <c r="AZ293" s="65" t="b">
        <f t="shared" si="111"/>
        <v>1</v>
      </c>
    </row>
    <row r="294" spans="1:52" s="67" customFormat="1" ht="24.75" hidden="1" customHeight="1">
      <c r="A294" s="68">
        <v>290</v>
      </c>
      <c r="B294" s="69" t="s">
        <v>811</v>
      </c>
      <c r="C294" s="88" t="s">
        <v>806</v>
      </c>
      <c r="D294" s="71" t="s">
        <v>396</v>
      </c>
      <c r="E294" s="102" t="s">
        <v>812</v>
      </c>
      <c r="F294" s="104"/>
      <c r="G294" s="105">
        <v>45744</v>
      </c>
      <c r="H294" s="102" t="s">
        <v>808</v>
      </c>
      <c r="I294" s="120" t="s">
        <v>399</v>
      </c>
      <c r="J294" s="102" t="s">
        <v>400</v>
      </c>
      <c r="K294" s="68" t="s">
        <v>68</v>
      </c>
      <c r="L294" s="70" t="s">
        <v>69</v>
      </c>
      <c r="M294" s="88" t="s">
        <v>125</v>
      </c>
      <c r="N294" s="88" t="s">
        <v>126</v>
      </c>
      <c r="O294" s="108"/>
      <c r="P294" s="109">
        <v>45748</v>
      </c>
      <c r="Q294" s="94">
        <f t="shared" si="112"/>
        <v>46477</v>
      </c>
      <c r="R294" s="111">
        <v>24</v>
      </c>
      <c r="S294" s="111">
        <v>2</v>
      </c>
      <c r="T294" s="123">
        <v>18430000</v>
      </c>
      <c r="U294" s="113"/>
      <c r="V294" s="123">
        <v>18430000</v>
      </c>
      <c r="W294" s="115">
        <f t="shared" si="114"/>
        <v>767916.66666666663</v>
      </c>
      <c r="X294" s="115">
        <v>6911250.0000000009</v>
      </c>
      <c r="Y294" s="115">
        <v>11518750</v>
      </c>
      <c r="Z294" s="124">
        <f t="shared" si="96"/>
        <v>767916.66666666663</v>
      </c>
      <c r="AA294" s="118">
        <f t="shared" si="95"/>
        <v>10750833.333333334</v>
      </c>
      <c r="AB294" s="85">
        <f t="shared" si="97"/>
        <v>767916.66666666663</v>
      </c>
      <c r="AC294" s="84">
        <f t="shared" si="98"/>
        <v>9982916.6666666679</v>
      </c>
      <c r="AD294" s="85">
        <f t="shared" si="93"/>
        <v>767916.66666666663</v>
      </c>
      <c r="AE294" s="118">
        <f t="shared" si="99"/>
        <v>9215000.0000000019</v>
      </c>
      <c r="AF294" s="85">
        <f t="shared" si="92"/>
        <v>767916.66666666663</v>
      </c>
      <c r="AG294" s="84">
        <f t="shared" si="100"/>
        <v>8447083.3333333358</v>
      </c>
      <c r="AH294" s="85"/>
      <c r="AI294" s="84">
        <f t="shared" si="101"/>
        <v>8447083.3333333358</v>
      </c>
      <c r="AJ294" s="85"/>
      <c r="AK294" s="84">
        <f t="shared" si="102"/>
        <v>8447083.3333333358</v>
      </c>
      <c r="AL294" s="85"/>
      <c r="AM294" s="84">
        <f t="shared" si="103"/>
        <v>8447083.3333333358</v>
      </c>
      <c r="AN294" s="85"/>
      <c r="AO294" s="84">
        <f t="shared" si="104"/>
        <v>8447083.3333333358</v>
      </c>
      <c r="AP294" s="85"/>
      <c r="AQ294" s="84">
        <f t="shared" si="105"/>
        <v>8447083.3333333358</v>
      </c>
      <c r="AR294" s="85"/>
      <c r="AS294" s="84">
        <f t="shared" si="106"/>
        <v>8447083.3333333358</v>
      </c>
      <c r="AT294" s="85"/>
      <c r="AU294" s="84">
        <f t="shared" si="107"/>
        <v>8447083.3333333358</v>
      </c>
      <c r="AV294" s="85"/>
      <c r="AW294" s="84">
        <f t="shared" si="108"/>
        <v>8447083.3333333358</v>
      </c>
      <c r="AX294" s="86">
        <f t="shared" si="109"/>
        <v>3071666.6666666665</v>
      </c>
      <c r="AY294" s="87">
        <f t="shared" si="110"/>
        <v>8447083.333333334</v>
      </c>
      <c r="AZ294" s="65" t="b">
        <f t="shared" si="111"/>
        <v>1</v>
      </c>
    </row>
    <row r="295" spans="1:52" s="67" customFormat="1" ht="24.75" hidden="1" customHeight="1">
      <c r="A295" s="68">
        <v>291</v>
      </c>
      <c r="B295" s="69" t="s">
        <v>813</v>
      </c>
      <c r="C295" s="88" t="s">
        <v>343</v>
      </c>
      <c r="D295" s="71" t="s">
        <v>106</v>
      </c>
      <c r="E295" s="102" t="s">
        <v>814</v>
      </c>
      <c r="F295" s="104"/>
      <c r="G295" s="105">
        <v>45747</v>
      </c>
      <c r="H295" s="102" t="s">
        <v>815</v>
      </c>
      <c r="I295" s="120" t="s">
        <v>66</v>
      </c>
      <c r="J295" s="102" t="s">
        <v>67</v>
      </c>
      <c r="K295" s="68" t="s">
        <v>109</v>
      </c>
      <c r="L295" s="70" t="s">
        <v>110</v>
      </c>
      <c r="M295" s="88" t="s">
        <v>111</v>
      </c>
      <c r="N295" s="88" t="s">
        <v>112</v>
      </c>
      <c r="O295" s="108"/>
      <c r="P295" s="109">
        <v>45748</v>
      </c>
      <c r="Q295" s="110">
        <f t="shared" si="112"/>
        <v>46112</v>
      </c>
      <c r="R295" s="111">
        <v>12</v>
      </c>
      <c r="S295" s="111">
        <v>1</v>
      </c>
      <c r="T295" s="123">
        <v>185660000</v>
      </c>
      <c r="U295" s="113"/>
      <c r="V295" s="123">
        <v>185660000</v>
      </c>
      <c r="W295" s="115">
        <f t="shared" si="114"/>
        <v>15471666.666666666</v>
      </c>
      <c r="X295" s="115">
        <v>139245000</v>
      </c>
      <c r="Y295" s="115">
        <v>46415000</v>
      </c>
      <c r="Z295" s="124">
        <f t="shared" si="96"/>
        <v>15471666.666666666</v>
      </c>
      <c r="AA295" s="118">
        <f t="shared" si="95"/>
        <v>30943333.333333336</v>
      </c>
      <c r="AB295" s="85">
        <f t="shared" si="97"/>
        <v>15471666.666666666</v>
      </c>
      <c r="AC295" s="84">
        <f t="shared" si="98"/>
        <v>15471666.66666667</v>
      </c>
      <c r="AD295" s="85">
        <f t="shared" si="93"/>
        <v>15471666.666666666</v>
      </c>
      <c r="AE295" s="118">
        <f t="shared" si="99"/>
        <v>0</v>
      </c>
      <c r="AF295" s="85">
        <f t="shared" ref="AF295:AF358" si="115">+IF(AE295&lt;&gt;0,$W295,0)</f>
        <v>0</v>
      </c>
      <c r="AG295" s="84">
        <f t="shared" si="100"/>
        <v>0</v>
      </c>
      <c r="AH295" s="85"/>
      <c r="AI295" s="84">
        <f t="shared" si="101"/>
        <v>0</v>
      </c>
      <c r="AJ295" s="85"/>
      <c r="AK295" s="84">
        <f t="shared" si="102"/>
        <v>0</v>
      </c>
      <c r="AL295" s="85"/>
      <c r="AM295" s="84">
        <f t="shared" si="103"/>
        <v>0</v>
      </c>
      <c r="AN295" s="85"/>
      <c r="AO295" s="84">
        <f t="shared" si="104"/>
        <v>0</v>
      </c>
      <c r="AP295" s="85"/>
      <c r="AQ295" s="84">
        <f t="shared" si="105"/>
        <v>0</v>
      </c>
      <c r="AR295" s="85"/>
      <c r="AS295" s="84">
        <f t="shared" si="106"/>
        <v>0</v>
      </c>
      <c r="AT295" s="85"/>
      <c r="AU295" s="84">
        <f t="shared" si="107"/>
        <v>0</v>
      </c>
      <c r="AV295" s="85"/>
      <c r="AW295" s="84">
        <f t="shared" si="108"/>
        <v>0</v>
      </c>
      <c r="AX295" s="86">
        <f t="shared" si="109"/>
        <v>46415000</v>
      </c>
      <c r="AY295" s="87">
        <f t="shared" si="110"/>
        <v>0</v>
      </c>
      <c r="AZ295" s="65" t="b">
        <f t="shared" si="111"/>
        <v>1</v>
      </c>
    </row>
    <row r="296" spans="1:52" s="67" customFormat="1" ht="24.75" hidden="1" customHeight="1">
      <c r="A296" s="68">
        <v>292</v>
      </c>
      <c r="B296" s="69" t="s">
        <v>816</v>
      </c>
      <c r="C296" s="88" t="s">
        <v>81</v>
      </c>
      <c r="D296" s="71" t="s">
        <v>95</v>
      </c>
      <c r="E296" s="102" t="s">
        <v>817</v>
      </c>
      <c r="F296" s="104"/>
      <c r="G296" s="105">
        <v>45747</v>
      </c>
      <c r="H296" s="102" t="s">
        <v>818</v>
      </c>
      <c r="I296" s="120" t="s">
        <v>98</v>
      </c>
      <c r="J296" s="102" t="s">
        <v>617</v>
      </c>
      <c r="K296" s="68" t="s">
        <v>99</v>
      </c>
      <c r="L296" s="70" t="s">
        <v>100</v>
      </c>
      <c r="M296" s="88" t="s">
        <v>101</v>
      </c>
      <c r="N296" s="88" t="s">
        <v>102</v>
      </c>
      <c r="O296" s="108"/>
      <c r="P296" s="109">
        <v>45748</v>
      </c>
      <c r="Q296" s="110">
        <f t="shared" si="112"/>
        <v>46477</v>
      </c>
      <c r="R296" s="111">
        <v>24</v>
      </c>
      <c r="S296" s="111">
        <v>2</v>
      </c>
      <c r="T296" s="123">
        <v>103853505.65122247</v>
      </c>
      <c r="U296" s="113"/>
      <c r="V296" s="123">
        <v>103853505.65122247</v>
      </c>
      <c r="W296" s="115">
        <f t="shared" si="114"/>
        <v>4327229.4021342695</v>
      </c>
      <c r="X296" s="115">
        <v>38945064.619208425</v>
      </c>
      <c r="Y296" s="115">
        <v>64908441.032014042</v>
      </c>
      <c r="Z296" s="124">
        <f t="shared" si="96"/>
        <v>4327229.4021342695</v>
      </c>
      <c r="AA296" s="118">
        <f t="shared" si="95"/>
        <v>60581211.629879773</v>
      </c>
      <c r="AB296" s="85">
        <f t="shared" si="97"/>
        <v>4327229.4021342695</v>
      </c>
      <c r="AC296" s="84">
        <f t="shared" si="98"/>
        <v>56253982.227745503</v>
      </c>
      <c r="AD296" s="85">
        <f t="shared" si="93"/>
        <v>4327229.4021342695</v>
      </c>
      <c r="AE296" s="118">
        <f t="shared" si="99"/>
        <v>51926752.825611234</v>
      </c>
      <c r="AF296" s="85">
        <f t="shared" si="115"/>
        <v>4327229.4021342695</v>
      </c>
      <c r="AG296" s="84">
        <f t="shared" si="100"/>
        <v>47599523.423476964</v>
      </c>
      <c r="AH296" s="85"/>
      <c r="AI296" s="84">
        <f t="shared" si="101"/>
        <v>47599523.423476964</v>
      </c>
      <c r="AJ296" s="85"/>
      <c r="AK296" s="84">
        <f t="shared" si="102"/>
        <v>47599523.423476964</v>
      </c>
      <c r="AL296" s="85"/>
      <c r="AM296" s="84">
        <f t="shared" si="103"/>
        <v>47599523.423476964</v>
      </c>
      <c r="AN296" s="85"/>
      <c r="AO296" s="84">
        <f t="shared" si="104"/>
        <v>47599523.423476964</v>
      </c>
      <c r="AP296" s="85"/>
      <c r="AQ296" s="84">
        <f t="shared" si="105"/>
        <v>47599523.423476964</v>
      </c>
      <c r="AR296" s="85"/>
      <c r="AS296" s="84">
        <f t="shared" si="106"/>
        <v>47599523.423476964</v>
      </c>
      <c r="AT296" s="85"/>
      <c r="AU296" s="84">
        <f t="shared" si="107"/>
        <v>47599523.423476964</v>
      </c>
      <c r="AV296" s="85"/>
      <c r="AW296" s="84">
        <f t="shared" si="108"/>
        <v>47599523.423476964</v>
      </c>
      <c r="AX296" s="86">
        <f t="shared" si="109"/>
        <v>17308917.608537078</v>
      </c>
      <c r="AY296" s="87">
        <f t="shared" si="110"/>
        <v>47599523.423476964</v>
      </c>
      <c r="AZ296" s="65" t="b">
        <f t="shared" si="111"/>
        <v>1</v>
      </c>
    </row>
    <row r="297" spans="1:52" s="67" customFormat="1" ht="24.75" hidden="1" customHeight="1">
      <c r="A297" s="68">
        <v>293</v>
      </c>
      <c r="B297" s="69" t="s">
        <v>819</v>
      </c>
      <c r="C297" s="88" t="s">
        <v>73</v>
      </c>
      <c r="D297" s="71" t="s">
        <v>64</v>
      </c>
      <c r="E297" s="102" t="s">
        <v>820</v>
      </c>
      <c r="F297" s="104"/>
      <c r="G297" s="105">
        <v>45748</v>
      </c>
      <c r="H297" s="102" t="s">
        <v>821</v>
      </c>
      <c r="I297" s="120" t="s">
        <v>66</v>
      </c>
      <c r="J297" s="102" t="s">
        <v>67</v>
      </c>
      <c r="K297" s="68" t="s">
        <v>476</v>
      </c>
      <c r="L297" s="70" t="s">
        <v>69</v>
      </c>
      <c r="M297" s="88" t="s">
        <v>70</v>
      </c>
      <c r="N297" s="88" t="s">
        <v>71</v>
      </c>
      <c r="O297" s="108"/>
      <c r="P297" s="109">
        <v>45778</v>
      </c>
      <c r="Q297" s="110">
        <f t="shared" si="112"/>
        <v>46873</v>
      </c>
      <c r="R297" s="111">
        <v>36</v>
      </c>
      <c r="S297" s="111">
        <v>3</v>
      </c>
      <c r="T297" s="123">
        <v>860000000</v>
      </c>
      <c r="U297" s="113"/>
      <c r="V297" s="123">
        <v>860000000</v>
      </c>
      <c r="W297" s="115">
        <f t="shared" si="114"/>
        <v>23888888.888888888</v>
      </c>
      <c r="X297" s="115">
        <v>191111111.11111113</v>
      </c>
      <c r="Y297" s="115">
        <v>668888888.88888884</v>
      </c>
      <c r="Z297" s="124">
        <f t="shared" si="96"/>
        <v>23888888.888888888</v>
      </c>
      <c r="AA297" s="118">
        <f t="shared" si="95"/>
        <v>645000000</v>
      </c>
      <c r="AB297" s="85">
        <f t="shared" si="97"/>
        <v>23888888.888888888</v>
      </c>
      <c r="AC297" s="84">
        <f t="shared" si="98"/>
        <v>621111111.11111116</v>
      </c>
      <c r="AD297" s="85">
        <f t="shared" si="93"/>
        <v>23888888.888888888</v>
      </c>
      <c r="AE297" s="118">
        <f t="shared" si="99"/>
        <v>597222222.22222233</v>
      </c>
      <c r="AF297" s="85">
        <f t="shared" si="115"/>
        <v>23888888.888888888</v>
      </c>
      <c r="AG297" s="84">
        <f t="shared" si="100"/>
        <v>573333333.33333349</v>
      </c>
      <c r="AH297" s="85"/>
      <c r="AI297" s="84">
        <f t="shared" si="101"/>
        <v>573333333.33333349</v>
      </c>
      <c r="AJ297" s="85"/>
      <c r="AK297" s="84">
        <f t="shared" si="102"/>
        <v>573333333.33333349</v>
      </c>
      <c r="AL297" s="85"/>
      <c r="AM297" s="84">
        <f t="shared" si="103"/>
        <v>573333333.33333349</v>
      </c>
      <c r="AN297" s="85"/>
      <c r="AO297" s="84">
        <f t="shared" si="104"/>
        <v>573333333.33333349</v>
      </c>
      <c r="AP297" s="85"/>
      <c r="AQ297" s="84">
        <f t="shared" si="105"/>
        <v>573333333.33333349</v>
      </c>
      <c r="AR297" s="85"/>
      <c r="AS297" s="84">
        <f t="shared" si="106"/>
        <v>573333333.33333349</v>
      </c>
      <c r="AT297" s="85"/>
      <c r="AU297" s="84">
        <f t="shared" si="107"/>
        <v>573333333.33333349</v>
      </c>
      <c r="AV297" s="85"/>
      <c r="AW297" s="84">
        <f t="shared" si="108"/>
        <v>573333333.33333349</v>
      </c>
      <c r="AX297" s="86">
        <f t="shared" si="109"/>
        <v>95555555.555555552</v>
      </c>
      <c r="AY297" s="87">
        <f t="shared" si="110"/>
        <v>573333333.33333325</v>
      </c>
      <c r="AZ297" s="65" t="b">
        <f t="shared" si="111"/>
        <v>1</v>
      </c>
    </row>
    <row r="298" spans="1:52" s="67" customFormat="1" ht="24.75" hidden="1" customHeight="1">
      <c r="A298" s="68">
        <v>294</v>
      </c>
      <c r="B298" s="69" t="s">
        <v>822</v>
      </c>
      <c r="C298" s="88" t="s">
        <v>73</v>
      </c>
      <c r="D298" s="71" t="s">
        <v>64</v>
      </c>
      <c r="E298" s="102" t="s">
        <v>823</v>
      </c>
      <c r="F298" s="104"/>
      <c r="G298" s="105">
        <v>45748</v>
      </c>
      <c r="H298" s="102" t="s">
        <v>824</v>
      </c>
      <c r="I298" s="120" t="s">
        <v>66</v>
      </c>
      <c r="J298" s="102" t="s">
        <v>67</v>
      </c>
      <c r="K298" s="68" t="s">
        <v>476</v>
      </c>
      <c r="L298" s="70" t="s">
        <v>69</v>
      </c>
      <c r="M298" s="88" t="s">
        <v>70</v>
      </c>
      <c r="N298" s="88" t="s">
        <v>71</v>
      </c>
      <c r="O298" s="108"/>
      <c r="P298" s="109">
        <v>45778</v>
      </c>
      <c r="Q298" s="110">
        <f t="shared" si="112"/>
        <v>46873</v>
      </c>
      <c r="R298" s="111">
        <v>36</v>
      </c>
      <c r="S298" s="111">
        <v>3</v>
      </c>
      <c r="T298" s="123">
        <v>760000000</v>
      </c>
      <c r="U298" s="113"/>
      <c r="V298" s="123">
        <v>760000000</v>
      </c>
      <c r="W298" s="115">
        <f t="shared" si="114"/>
        <v>21111111.111111112</v>
      </c>
      <c r="X298" s="115">
        <v>168888888.88888887</v>
      </c>
      <c r="Y298" s="115">
        <v>591111111.11111116</v>
      </c>
      <c r="Z298" s="124">
        <f t="shared" si="96"/>
        <v>21111111.111111112</v>
      </c>
      <c r="AA298" s="118">
        <f t="shared" si="95"/>
        <v>570000000</v>
      </c>
      <c r="AB298" s="85">
        <f t="shared" si="97"/>
        <v>21111111.111111112</v>
      </c>
      <c r="AC298" s="84">
        <f t="shared" si="98"/>
        <v>548888888.88888884</v>
      </c>
      <c r="AD298" s="85">
        <f t="shared" si="93"/>
        <v>21111111.111111112</v>
      </c>
      <c r="AE298" s="118">
        <f t="shared" si="99"/>
        <v>527777777.77777773</v>
      </c>
      <c r="AF298" s="85">
        <f t="shared" si="115"/>
        <v>21111111.111111112</v>
      </c>
      <c r="AG298" s="84">
        <f t="shared" si="100"/>
        <v>506666666.66666663</v>
      </c>
      <c r="AH298" s="85"/>
      <c r="AI298" s="84">
        <f t="shared" si="101"/>
        <v>506666666.66666663</v>
      </c>
      <c r="AJ298" s="85"/>
      <c r="AK298" s="84">
        <f t="shared" si="102"/>
        <v>506666666.66666663</v>
      </c>
      <c r="AL298" s="85"/>
      <c r="AM298" s="84">
        <f t="shared" si="103"/>
        <v>506666666.66666663</v>
      </c>
      <c r="AN298" s="85"/>
      <c r="AO298" s="84">
        <f t="shared" si="104"/>
        <v>506666666.66666663</v>
      </c>
      <c r="AP298" s="85"/>
      <c r="AQ298" s="84">
        <f t="shared" si="105"/>
        <v>506666666.66666663</v>
      </c>
      <c r="AR298" s="85"/>
      <c r="AS298" s="84">
        <f t="shared" si="106"/>
        <v>506666666.66666663</v>
      </c>
      <c r="AT298" s="85"/>
      <c r="AU298" s="84">
        <f t="shared" si="107"/>
        <v>506666666.66666663</v>
      </c>
      <c r="AV298" s="85"/>
      <c r="AW298" s="84">
        <f t="shared" si="108"/>
        <v>506666666.66666663</v>
      </c>
      <c r="AX298" s="86">
        <f t="shared" si="109"/>
        <v>84444444.444444448</v>
      </c>
      <c r="AY298" s="87">
        <f t="shared" si="110"/>
        <v>506666666.66666675</v>
      </c>
      <c r="AZ298" s="65" t="b">
        <f t="shared" si="111"/>
        <v>1</v>
      </c>
    </row>
    <row r="299" spans="1:52" s="67" customFormat="1" ht="24.75" hidden="1" customHeight="1">
      <c r="A299" s="68">
        <v>295</v>
      </c>
      <c r="B299" s="69" t="s">
        <v>825</v>
      </c>
      <c r="C299" s="88" t="s">
        <v>395</v>
      </c>
      <c r="D299" s="71" t="s">
        <v>396</v>
      </c>
      <c r="E299" s="102" t="s">
        <v>826</v>
      </c>
      <c r="F299" s="104"/>
      <c r="G299" s="105">
        <v>45776</v>
      </c>
      <c r="H299" s="102" t="s">
        <v>827</v>
      </c>
      <c r="I299" s="120" t="s">
        <v>399</v>
      </c>
      <c r="J299" s="102" t="s">
        <v>400</v>
      </c>
      <c r="K299" s="68" t="s">
        <v>349</v>
      </c>
      <c r="L299" s="70" t="s">
        <v>69</v>
      </c>
      <c r="M299" s="88" t="s">
        <v>111</v>
      </c>
      <c r="N299" s="88" t="s">
        <v>112</v>
      </c>
      <c r="O299" s="108"/>
      <c r="P299" s="109">
        <v>45778</v>
      </c>
      <c r="Q299" s="110">
        <f t="shared" si="112"/>
        <v>46507</v>
      </c>
      <c r="R299" s="111">
        <v>24</v>
      </c>
      <c r="S299" s="111">
        <v>2</v>
      </c>
      <c r="T299" s="123">
        <v>142520000</v>
      </c>
      <c r="U299" s="113"/>
      <c r="V299" s="123">
        <v>142520000</v>
      </c>
      <c r="W299" s="115">
        <f t="shared" si="114"/>
        <v>5938333.333333333</v>
      </c>
      <c r="X299" s="115">
        <v>47506666.666666672</v>
      </c>
      <c r="Y299" s="115">
        <v>95013333.333333328</v>
      </c>
      <c r="Z299" s="124">
        <f t="shared" si="96"/>
        <v>5938333.333333333</v>
      </c>
      <c r="AA299" s="118">
        <f t="shared" si="95"/>
        <v>89075000</v>
      </c>
      <c r="AB299" s="85">
        <f t="shared" si="97"/>
        <v>5938333.333333333</v>
      </c>
      <c r="AC299" s="84">
        <f t="shared" si="98"/>
        <v>83136666.666666672</v>
      </c>
      <c r="AD299" s="85">
        <f t="shared" si="93"/>
        <v>5938333.333333333</v>
      </c>
      <c r="AE299" s="118">
        <f t="shared" si="99"/>
        <v>77198333.333333343</v>
      </c>
      <c r="AF299" s="85">
        <f t="shared" si="115"/>
        <v>5938333.333333333</v>
      </c>
      <c r="AG299" s="84">
        <f t="shared" si="100"/>
        <v>71260000.000000015</v>
      </c>
      <c r="AH299" s="85"/>
      <c r="AI299" s="84">
        <f t="shared" si="101"/>
        <v>71260000.000000015</v>
      </c>
      <c r="AJ299" s="85"/>
      <c r="AK299" s="84">
        <f t="shared" si="102"/>
        <v>71260000.000000015</v>
      </c>
      <c r="AL299" s="85"/>
      <c r="AM299" s="84">
        <f t="shared" si="103"/>
        <v>71260000.000000015</v>
      </c>
      <c r="AN299" s="85"/>
      <c r="AO299" s="84">
        <f t="shared" si="104"/>
        <v>71260000.000000015</v>
      </c>
      <c r="AP299" s="85"/>
      <c r="AQ299" s="84">
        <f t="shared" si="105"/>
        <v>71260000.000000015</v>
      </c>
      <c r="AR299" s="85"/>
      <c r="AS299" s="84">
        <f t="shared" si="106"/>
        <v>71260000.000000015</v>
      </c>
      <c r="AT299" s="85"/>
      <c r="AU299" s="84">
        <f t="shared" si="107"/>
        <v>71260000.000000015</v>
      </c>
      <c r="AV299" s="85"/>
      <c r="AW299" s="84">
        <f t="shared" si="108"/>
        <v>71260000.000000015</v>
      </c>
      <c r="AX299" s="86">
        <f t="shared" si="109"/>
        <v>23753333.333333332</v>
      </c>
      <c r="AY299" s="87">
        <f t="shared" si="110"/>
        <v>71260000</v>
      </c>
      <c r="AZ299" s="65" t="b">
        <f t="shared" si="111"/>
        <v>1</v>
      </c>
    </row>
    <row r="300" spans="1:52" s="67" customFormat="1" ht="24.75" hidden="1" customHeight="1">
      <c r="A300" s="68">
        <v>296</v>
      </c>
      <c r="B300" s="69" t="s">
        <v>828</v>
      </c>
      <c r="C300" s="88" t="s">
        <v>806</v>
      </c>
      <c r="D300" s="71" t="s">
        <v>681</v>
      </c>
      <c r="E300" s="150" t="s">
        <v>829</v>
      </c>
      <c r="F300" s="104"/>
      <c r="G300" s="105">
        <v>45777</v>
      </c>
      <c r="H300" s="102" t="s">
        <v>830</v>
      </c>
      <c r="I300" s="120" t="s">
        <v>84</v>
      </c>
      <c r="J300" s="102" t="s">
        <v>85</v>
      </c>
      <c r="K300" s="68" t="s">
        <v>86</v>
      </c>
      <c r="L300" s="70" t="s">
        <v>87</v>
      </c>
      <c r="M300" s="88" t="s">
        <v>70</v>
      </c>
      <c r="N300" s="88" t="s">
        <v>71</v>
      </c>
      <c r="O300" s="108"/>
      <c r="P300" s="109">
        <v>45778</v>
      </c>
      <c r="Q300" s="110">
        <f t="shared" si="112"/>
        <v>46507</v>
      </c>
      <c r="R300" s="111">
        <v>24</v>
      </c>
      <c r="S300" s="111">
        <v>2</v>
      </c>
      <c r="T300" s="123">
        <v>35158071.560000002</v>
      </c>
      <c r="U300" s="113"/>
      <c r="V300" s="123">
        <v>35158071.560000002</v>
      </c>
      <c r="W300" s="115">
        <f t="shared" si="114"/>
        <v>1464919.6483333334</v>
      </c>
      <c r="X300" s="115">
        <v>11719357.186666667</v>
      </c>
      <c r="Y300" s="115">
        <v>23438714.373333335</v>
      </c>
      <c r="Z300" s="124">
        <f t="shared" si="96"/>
        <v>1464919.6483333334</v>
      </c>
      <c r="AA300" s="118">
        <f t="shared" si="95"/>
        <v>21973794.725000001</v>
      </c>
      <c r="AB300" s="85">
        <f t="shared" si="97"/>
        <v>1464919.6483333334</v>
      </c>
      <c r="AC300" s="84">
        <f t="shared" si="98"/>
        <v>20508875.076666668</v>
      </c>
      <c r="AD300" s="85">
        <f t="shared" si="93"/>
        <v>1464919.6483333334</v>
      </c>
      <c r="AE300" s="118">
        <f t="shared" si="99"/>
        <v>19043955.428333335</v>
      </c>
      <c r="AF300" s="85">
        <f t="shared" si="115"/>
        <v>1464919.6483333334</v>
      </c>
      <c r="AG300" s="84">
        <f t="shared" si="100"/>
        <v>17579035.780000001</v>
      </c>
      <c r="AH300" s="85"/>
      <c r="AI300" s="84">
        <f t="shared" si="101"/>
        <v>17579035.780000001</v>
      </c>
      <c r="AJ300" s="85"/>
      <c r="AK300" s="84">
        <f t="shared" si="102"/>
        <v>17579035.780000001</v>
      </c>
      <c r="AL300" s="85"/>
      <c r="AM300" s="84">
        <f t="shared" si="103"/>
        <v>17579035.780000001</v>
      </c>
      <c r="AN300" s="85"/>
      <c r="AO300" s="84">
        <f t="shared" si="104"/>
        <v>17579035.780000001</v>
      </c>
      <c r="AP300" s="85"/>
      <c r="AQ300" s="84">
        <f t="shared" si="105"/>
        <v>17579035.780000001</v>
      </c>
      <c r="AR300" s="85"/>
      <c r="AS300" s="84">
        <f t="shared" si="106"/>
        <v>17579035.780000001</v>
      </c>
      <c r="AT300" s="85"/>
      <c r="AU300" s="84">
        <f t="shared" si="107"/>
        <v>17579035.780000001</v>
      </c>
      <c r="AV300" s="85"/>
      <c r="AW300" s="84">
        <f t="shared" si="108"/>
        <v>17579035.780000001</v>
      </c>
      <c r="AX300" s="86">
        <f t="shared" si="109"/>
        <v>5859678.5933333337</v>
      </c>
      <c r="AY300" s="87">
        <f t="shared" si="110"/>
        <v>17579035.780000001</v>
      </c>
      <c r="AZ300" s="65" t="b">
        <f t="shared" si="111"/>
        <v>1</v>
      </c>
    </row>
    <row r="301" spans="1:52" s="67" customFormat="1" ht="24.75" hidden="1" customHeight="1">
      <c r="A301" s="68">
        <v>297</v>
      </c>
      <c r="B301" s="69" t="s">
        <v>831</v>
      </c>
      <c r="C301" s="88" t="s">
        <v>806</v>
      </c>
      <c r="D301" s="71" t="s">
        <v>681</v>
      </c>
      <c r="E301" s="150" t="s">
        <v>829</v>
      </c>
      <c r="F301" s="104"/>
      <c r="G301" s="105">
        <v>45777</v>
      </c>
      <c r="H301" s="102" t="s">
        <v>830</v>
      </c>
      <c r="I301" s="120" t="s">
        <v>84</v>
      </c>
      <c r="J301" s="102" t="s">
        <v>85</v>
      </c>
      <c r="K301" s="68" t="s">
        <v>86</v>
      </c>
      <c r="L301" s="70" t="s">
        <v>87</v>
      </c>
      <c r="M301" s="88" t="s">
        <v>130</v>
      </c>
      <c r="N301" s="88" t="s">
        <v>131</v>
      </c>
      <c r="O301" s="108"/>
      <c r="P301" s="109">
        <v>45778</v>
      </c>
      <c r="Q301" s="110">
        <f t="shared" si="112"/>
        <v>46507</v>
      </c>
      <c r="R301" s="111">
        <v>24</v>
      </c>
      <c r="S301" s="111">
        <v>2</v>
      </c>
      <c r="T301" s="123">
        <v>253500000</v>
      </c>
      <c r="U301" s="113"/>
      <c r="V301" s="123">
        <v>253500000</v>
      </c>
      <c r="W301" s="115">
        <f t="shared" si="114"/>
        <v>10562500</v>
      </c>
      <c r="X301" s="115">
        <v>84500000</v>
      </c>
      <c r="Y301" s="115">
        <v>169000000</v>
      </c>
      <c r="Z301" s="124">
        <f t="shared" si="96"/>
        <v>10562500</v>
      </c>
      <c r="AA301" s="118">
        <f t="shared" si="95"/>
        <v>158437500</v>
      </c>
      <c r="AB301" s="85">
        <f t="shared" si="97"/>
        <v>10562500</v>
      </c>
      <c r="AC301" s="84">
        <f t="shared" si="98"/>
        <v>147875000</v>
      </c>
      <c r="AD301" s="85">
        <f t="shared" si="93"/>
        <v>10562500</v>
      </c>
      <c r="AE301" s="118">
        <f t="shared" si="99"/>
        <v>137312500</v>
      </c>
      <c r="AF301" s="85">
        <f t="shared" si="115"/>
        <v>10562500</v>
      </c>
      <c r="AG301" s="84">
        <f t="shared" si="100"/>
        <v>126750000</v>
      </c>
      <c r="AH301" s="85"/>
      <c r="AI301" s="84">
        <f t="shared" si="101"/>
        <v>126750000</v>
      </c>
      <c r="AJ301" s="85"/>
      <c r="AK301" s="84">
        <f t="shared" si="102"/>
        <v>126750000</v>
      </c>
      <c r="AL301" s="85"/>
      <c r="AM301" s="84">
        <f t="shared" si="103"/>
        <v>126750000</v>
      </c>
      <c r="AN301" s="85"/>
      <c r="AO301" s="84">
        <f t="shared" si="104"/>
        <v>126750000</v>
      </c>
      <c r="AP301" s="85"/>
      <c r="AQ301" s="84">
        <f t="shared" si="105"/>
        <v>126750000</v>
      </c>
      <c r="AR301" s="85"/>
      <c r="AS301" s="84">
        <f t="shared" si="106"/>
        <v>126750000</v>
      </c>
      <c r="AT301" s="85"/>
      <c r="AU301" s="84">
        <f t="shared" si="107"/>
        <v>126750000</v>
      </c>
      <c r="AV301" s="85"/>
      <c r="AW301" s="84">
        <f t="shared" si="108"/>
        <v>126750000</v>
      </c>
      <c r="AX301" s="86">
        <f t="shared" si="109"/>
        <v>42250000</v>
      </c>
      <c r="AY301" s="87">
        <f t="shared" si="110"/>
        <v>126750000</v>
      </c>
      <c r="AZ301" s="65" t="b">
        <f t="shared" si="111"/>
        <v>1</v>
      </c>
    </row>
    <row r="302" spans="1:52" s="67" customFormat="1" ht="24.75" hidden="1" customHeight="1">
      <c r="A302" s="68">
        <v>298</v>
      </c>
      <c r="B302" s="69" t="s">
        <v>832</v>
      </c>
      <c r="C302" s="88" t="s">
        <v>806</v>
      </c>
      <c r="D302" s="71" t="s">
        <v>681</v>
      </c>
      <c r="E302" s="150" t="s">
        <v>829</v>
      </c>
      <c r="F302" s="104"/>
      <c r="G302" s="105">
        <v>45777</v>
      </c>
      <c r="H302" s="102" t="s">
        <v>830</v>
      </c>
      <c r="I302" s="120" t="s">
        <v>84</v>
      </c>
      <c r="J302" s="102" t="s">
        <v>85</v>
      </c>
      <c r="K302" s="68" t="s">
        <v>86</v>
      </c>
      <c r="L302" s="70" t="s">
        <v>87</v>
      </c>
      <c r="M302" s="88" t="s">
        <v>833</v>
      </c>
      <c r="N302" s="88" t="s">
        <v>834</v>
      </c>
      <c r="O302" s="108"/>
      <c r="P302" s="109">
        <v>45778</v>
      </c>
      <c r="Q302" s="110">
        <f t="shared" si="112"/>
        <v>46507</v>
      </c>
      <c r="R302" s="111">
        <v>24</v>
      </c>
      <c r="S302" s="111">
        <v>2</v>
      </c>
      <c r="T302" s="123">
        <v>1885528242</v>
      </c>
      <c r="U302" s="113"/>
      <c r="V302" s="123">
        <v>1885528242</v>
      </c>
      <c r="W302" s="115">
        <f t="shared" si="114"/>
        <v>78563676.75</v>
      </c>
      <c r="X302" s="115">
        <v>628509414</v>
      </c>
      <c r="Y302" s="115">
        <v>1257018828</v>
      </c>
      <c r="Z302" s="124">
        <f t="shared" si="96"/>
        <v>78563676.75</v>
      </c>
      <c r="AA302" s="118">
        <f t="shared" si="95"/>
        <v>1178455151.25</v>
      </c>
      <c r="AB302" s="85">
        <f t="shared" si="97"/>
        <v>78563676.75</v>
      </c>
      <c r="AC302" s="84">
        <f t="shared" si="98"/>
        <v>1099891474.5</v>
      </c>
      <c r="AD302" s="85">
        <f t="shared" si="93"/>
        <v>78563676.75</v>
      </c>
      <c r="AE302" s="118">
        <f t="shared" si="99"/>
        <v>1021327797.75</v>
      </c>
      <c r="AF302" s="85">
        <f t="shared" si="115"/>
        <v>78563676.75</v>
      </c>
      <c r="AG302" s="84">
        <f t="shared" si="100"/>
        <v>942764121</v>
      </c>
      <c r="AH302" s="85"/>
      <c r="AI302" s="84">
        <f t="shared" si="101"/>
        <v>942764121</v>
      </c>
      <c r="AJ302" s="85"/>
      <c r="AK302" s="84">
        <f t="shared" si="102"/>
        <v>942764121</v>
      </c>
      <c r="AL302" s="85"/>
      <c r="AM302" s="84">
        <f t="shared" si="103"/>
        <v>942764121</v>
      </c>
      <c r="AN302" s="85"/>
      <c r="AO302" s="84">
        <f t="shared" si="104"/>
        <v>942764121</v>
      </c>
      <c r="AP302" s="85"/>
      <c r="AQ302" s="84">
        <f t="shared" si="105"/>
        <v>942764121</v>
      </c>
      <c r="AR302" s="85"/>
      <c r="AS302" s="84">
        <f t="shared" si="106"/>
        <v>942764121</v>
      </c>
      <c r="AT302" s="85"/>
      <c r="AU302" s="84">
        <f t="shared" si="107"/>
        <v>942764121</v>
      </c>
      <c r="AV302" s="85"/>
      <c r="AW302" s="84">
        <f t="shared" si="108"/>
        <v>942764121</v>
      </c>
      <c r="AX302" s="86">
        <f t="shared" si="109"/>
        <v>314254707</v>
      </c>
      <c r="AY302" s="87">
        <f t="shared" si="110"/>
        <v>942764121</v>
      </c>
      <c r="AZ302" s="65" t="b">
        <f t="shared" si="111"/>
        <v>1</v>
      </c>
    </row>
    <row r="303" spans="1:52" s="67" customFormat="1" ht="24.75" hidden="1" customHeight="1">
      <c r="A303" s="68">
        <v>299</v>
      </c>
      <c r="B303" s="69" t="s">
        <v>835</v>
      </c>
      <c r="C303" s="88" t="s">
        <v>806</v>
      </c>
      <c r="D303" s="71" t="s">
        <v>681</v>
      </c>
      <c r="E303" s="150" t="s">
        <v>829</v>
      </c>
      <c r="F303" s="104"/>
      <c r="G303" s="105">
        <v>45777</v>
      </c>
      <c r="H303" s="102" t="s">
        <v>830</v>
      </c>
      <c r="I303" s="120" t="s">
        <v>84</v>
      </c>
      <c r="J303" s="102" t="s">
        <v>85</v>
      </c>
      <c r="K303" s="68" t="s">
        <v>86</v>
      </c>
      <c r="L303" s="70" t="s">
        <v>87</v>
      </c>
      <c r="M303" s="88" t="s">
        <v>125</v>
      </c>
      <c r="N303" s="88" t="s">
        <v>126</v>
      </c>
      <c r="O303" s="108"/>
      <c r="P303" s="109">
        <v>45778</v>
      </c>
      <c r="Q303" s="110">
        <f t="shared" si="112"/>
        <v>46507</v>
      </c>
      <c r="R303" s="111">
        <v>24</v>
      </c>
      <c r="S303" s="111">
        <v>2</v>
      </c>
      <c r="T303" s="123">
        <v>48523000</v>
      </c>
      <c r="U303" s="113"/>
      <c r="V303" s="123">
        <v>48523000</v>
      </c>
      <c r="W303" s="115">
        <f t="shared" si="114"/>
        <v>2021791.6666666667</v>
      </c>
      <c r="X303" s="115">
        <v>16174333.333333332</v>
      </c>
      <c r="Y303" s="115">
        <v>32348666.666666668</v>
      </c>
      <c r="Z303" s="124">
        <f t="shared" si="96"/>
        <v>2021791.6666666667</v>
      </c>
      <c r="AA303" s="118">
        <f t="shared" si="95"/>
        <v>30326875</v>
      </c>
      <c r="AB303" s="85">
        <f t="shared" si="97"/>
        <v>2021791.6666666667</v>
      </c>
      <c r="AC303" s="84">
        <f t="shared" si="98"/>
        <v>28305083.333333332</v>
      </c>
      <c r="AD303" s="85">
        <f t="shared" si="93"/>
        <v>2021791.6666666667</v>
      </c>
      <c r="AE303" s="118">
        <f t="shared" si="99"/>
        <v>26283291.666666664</v>
      </c>
      <c r="AF303" s="85">
        <f t="shared" si="115"/>
        <v>2021791.6666666667</v>
      </c>
      <c r="AG303" s="84">
        <f t="shared" si="100"/>
        <v>24261499.999999996</v>
      </c>
      <c r="AH303" s="85"/>
      <c r="AI303" s="84">
        <f t="shared" si="101"/>
        <v>24261499.999999996</v>
      </c>
      <c r="AJ303" s="85"/>
      <c r="AK303" s="84">
        <f t="shared" si="102"/>
        <v>24261499.999999996</v>
      </c>
      <c r="AL303" s="85"/>
      <c r="AM303" s="84">
        <f t="shared" si="103"/>
        <v>24261499.999999996</v>
      </c>
      <c r="AN303" s="85"/>
      <c r="AO303" s="84">
        <f t="shared" si="104"/>
        <v>24261499.999999996</v>
      </c>
      <c r="AP303" s="85"/>
      <c r="AQ303" s="84">
        <f t="shared" si="105"/>
        <v>24261499.999999996</v>
      </c>
      <c r="AR303" s="85"/>
      <c r="AS303" s="84">
        <f t="shared" si="106"/>
        <v>24261499.999999996</v>
      </c>
      <c r="AT303" s="85"/>
      <c r="AU303" s="84">
        <f t="shared" si="107"/>
        <v>24261499.999999996</v>
      </c>
      <c r="AV303" s="85"/>
      <c r="AW303" s="84">
        <f t="shared" si="108"/>
        <v>24261499.999999996</v>
      </c>
      <c r="AX303" s="86">
        <f t="shared" si="109"/>
        <v>8087166.666666667</v>
      </c>
      <c r="AY303" s="87">
        <f t="shared" si="110"/>
        <v>24261500</v>
      </c>
      <c r="AZ303" s="65" t="b">
        <f t="shared" si="111"/>
        <v>1</v>
      </c>
    </row>
    <row r="304" spans="1:52" s="67" customFormat="1" ht="24.75" hidden="1" customHeight="1">
      <c r="A304" s="68">
        <v>300</v>
      </c>
      <c r="B304" s="69" t="s">
        <v>836</v>
      </c>
      <c r="C304" s="88" t="s">
        <v>806</v>
      </c>
      <c r="D304" s="71" t="s">
        <v>95</v>
      </c>
      <c r="E304" s="150" t="s">
        <v>829</v>
      </c>
      <c r="F304" s="104"/>
      <c r="G304" s="105">
        <v>45777</v>
      </c>
      <c r="H304" s="102" t="s">
        <v>837</v>
      </c>
      <c r="I304" s="120" t="s">
        <v>98</v>
      </c>
      <c r="J304" s="102" t="s">
        <v>617</v>
      </c>
      <c r="K304" s="68" t="s">
        <v>99</v>
      </c>
      <c r="L304" s="70" t="s">
        <v>100</v>
      </c>
      <c r="M304" s="88" t="s">
        <v>101</v>
      </c>
      <c r="N304" s="88" t="s">
        <v>102</v>
      </c>
      <c r="O304" s="108"/>
      <c r="P304" s="109">
        <v>45778</v>
      </c>
      <c r="Q304" s="110">
        <f t="shared" si="112"/>
        <v>46507</v>
      </c>
      <c r="R304" s="111">
        <v>24</v>
      </c>
      <c r="S304" s="111">
        <v>2</v>
      </c>
      <c r="T304" s="123">
        <v>1306952709.1231899</v>
      </c>
      <c r="U304" s="113"/>
      <c r="V304" s="123">
        <v>1306952709.1231899</v>
      </c>
      <c r="W304" s="115">
        <f t="shared" si="114"/>
        <v>54456362.880132914</v>
      </c>
      <c r="X304" s="115">
        <v>435650903.04106331</v>
      </c>
      <c r="Y304" s="115">
        <v>871301806.08212662</v>
      </c>
      <c r="Z304" s="124">
        <f t="shared" si="96"/>
        <v>54456362.880132914</v>
      </c>
      <c r="AA304" s="118">
        <f t="shared" si="95"/>
        <v>816845443.2019937</v>
      </c>
      <c r="AB304" s="85">
        <f t="shared" si="97"/>
        <v>54456362.880132914</v>
      </c>
      <c r="AC304" s="84">
        <f t="shared" si="98"/>
        <v>762389080.32186079</v>
      </c>
      <c r="AD304" s="85">
        <f t="shared" si="93"/>
        <v>54456362.880132914</v>
      </c>
      <c r="AE304" s="118">
        <f t="shared" si="99"/>
        <v>707932717.44172788</v>
      </c>
      <c r="AF304" s="85">
        <f t="shared" si="115"/>
        <v>54456362.880132914</v>
      </c>
      <c r="AG304" s="84">
        <f t="shared" si="100"/>
        <v>653476354.56159496</v>
      </c>
      <c r="AH304" s="85"/>
      <c r="AI304" s="84">
        <f t="shared" si="101"/>
        <v>653476354.56159496</v>
      </c>
      <c r="AJ304" s="85"/>
      <c r="AK304" s="84">
        <f t="shared" si="102"/>
        <v>653476354.56159496</v>
      </c>
      <c r="AL304" s="85"/>
      <c r="AM304" s="84">
        <f t="shared" si="103"/>
        <v>653476354.56159496</v>
      </c>
      <c r="AN304" s="85"/>
      <c r="AO304" s="84">
        <f t="shared" si="104"/>
        <v>653476354.56159496</v>
      </c>
      <c r="AP304" s="85"/>
      <c r="AQ304" s="84">
        <f t="shared" si="105"/>
        <v>653476354.56159496</v>
      </c>
      <c r="AR304" s="85"/>
      <c r="AS304" s="84">
        <f t="shared" si="106"/>
        <v>653476354.56159496</v>
      </c>
      <c r="AT304" s="85"/>
      <c r="AU304" s="84">
        <f t="shared" si="107"/>
        <v>653476354.56159496</v>
      </c>
      <c r="AV304" s="85"/>
      <c r="AW304" s="84">
        <f t="shared" si="108"/>
        <v>653476354.56159496</v>
      </c>
      <c r="AX304" s="86">
        <f t="shared" si="109"/>
        <v>217825451.52053165</v>
      </c>
      <c r="AY304" s="87">
        <f t="shared" si="110"/>
        <v>653476354.56159496</v>
      </c>
      <c r="AZ304" s="65" t="b">
        <f t="shared" si="111"/>
        <v>1</v>
      </c>
    </row>
    <row r="305" spans="1:52" s="67" customFormat="1" ht="24.75" hidden="1" customHeight="1">
      <c r="A305" s="68">
        <v>301</v>
      </c>
      <c r="B305" s="69" t="s">
        <v>838</v>
      </c>
      <c r="C305" s="88" t="s">
        <v>806</v>
      </c>
      <c r="D305" s="71" t="s">
        <v>64</v>
      </c>
      <c r="E305" s="150" t="s">
        <v>839</v>
      </c>
      <c r="F305" s="104"/>
      <c r="G305" s="105">
        <v>45797</v>
      </c>
      <c r="H305" s="102" t="s">
        <v>840</v>
      </c>
      <c r="I305" s="120" t="s">
        <v>66</v>
      </c>
      <c r="J305" s="102" t="s">
        <v>67</v>
      </c>
      <c r="K305" s="68" t="s">
        <v>476</v>
      </c>
      <c r="L305" s="70" t="s">
        <v>69</v>
      </c>
      <c r="M305" s="88" t="s">
        <v>673</v>
      </c>
      <c r="N305" s="88" t="s">
        <v>674</v>
      </c>
      <c r="O305" s="108"/>
      <c r="P305" s="109">
        <v>45809</v>
      </c>
      <c r="Q305" s="110">
        <f t="shared" si="112"/>
        <v>46538</v>
      </c>
      <c r="R305" s="111">
        <v>24</v>
      </c>
      <c r="S305" s="111">
        <v>2</v>
      </c>
      <c r="T305" s="123">
        <v>148000000</v>
      </c>
      <c r="U305" s="113"/>
      <c r="V305" s="123">
        <v>148000000</v>
      </c>
      <c r="W305" s="115">
        <f t="shared" si="114"/>
        <v>6166666.666666667</v>
      </c>
      <c r="X305" s="115">
        <v>43166666.666666664</v>
      </c>
      <c r="Y305" s="115">
        <v>104833333.33333334</v>
      </c>
      <c r="Z305" s="124">
        <f t="shared" si="96"/>
        <v>6166666.666666667</v>
      </c>
      <c r="AA305" s="118">
        <f t="shared" si="95"/>
        <v>98666666.666666672</v>
      </c>
      <c r="AB305" s="85">
        <f t="shared" si="97"/>
        <v>6166666.666666667</v>
      </c>
      <c r="AC305" s="84">
        <f t="shared" si="98"/>
        <v>92500000</v>
      </c>
      <c r="AD305" s="85">
        <f t="shared" si="93"/>
        <v>6166666.666666667</v>
      </c>
      <c r="AE305" s="118">
        <f t="shared" si="99"/>
        <v>86333333.333333328</v>
      </c>
      <c r="AF305" s="85">
        <f t="shared" si="115"/>
        <v>6166666.666666667</v>
      </c>
      <c r="AG305" s="84">
        <f t="shared" si="100"/>
        <v>80166666.666666657</v>
      </c>
      <c r="AH305" s="85"/>
      <c r="AI305" s="84">
        <f t="shared" si="101"/>
        <v>80166666.666666657</v>
      </c>
      <c r="AJ305" s="85"/>
      <c r="AK305" s="84">
        <f t="shared" si="102"/>
        <v>80166666.666666657</v>
      </c>
      <c r="AL305" s="85"/>
      <c r="AM305" s="84">
        <f t="shared" si="103"/>
        <v>80166666.666666657</v>
      </c>
      <c r="AN305" s="85"/>
      <c r="AO305" s="84">
        <f t="shared" si="104"/>
        <v>80166666.666666657</v>
      </c>
      <c r="AP305" s="85"/>
      <c r="AQ305" s="84">
        <f t="shared" si="105"/>
        <v>80166666.666666657</v>
      </c>
      <c r="AR305" s="85"/>
      <c r="AS305" s="84">
        <f t="shared" si="106"/>
        <v>80166666.666666657</v>
      </c>
      <c r="AT305" s="85"/>
      <c r="AU305" s="84">
        <f t="shared" si="107"/>
        <v>80166666.666666657</v>
      </c>
      <c r="AV305" s="85"/>
      <c r="AW305" s="84">
        <f t="shared" si="108"/>
        <v>80166666.666666657</v>
      </c>
      <c r="AX305" s="86">
        <f t="shared" si="109"/>
        <v>24666666.666666668</v>
      </c>
      <c r="AY305" s="87">
        <f t="shared" si="110"/>
        <v>80166666.666666672</v>
      </c>
      <c r="AZ305" s="65" t="b">
        <f t="shared" si="111"/>
        <v>1</v>
      </c>
    </row>
    <row r="306" spans="1:52" s="67" customFormat="1" ht="24.75" hidden="1" customHeight="1">
      <c r="A306" s="68">
        <v>302</v>
      </c>
      <c r="B306" s="69" t="s">
        <v>841</v>
      </c>
      <c r="C306" s="88" t="s">
        <v>806</v>
      </c>
      <c r="D306" s="71" t="s">
        <v>64</v>
      </c>
      <c r="E306" s="150" t="s">
        <v>842</v>
      </c>
      <c r="F306" s="104"/>
      <c r="G306" s="105">
        <v>45794</v>
      </c>
      <c r="H306" s="102" t="s">
        <v>843</v>
      </c>
      <c r="I306" s="120" t="s">
        <v>66</v>
      </c>
      <c r="J306" s="102" t="s">
        <v>67</v>
      </c>
      <c r="K306" s="68" t="s">
        <v>476</v>
      </c>
      <c r="L306" s="70" t="s">
        <v>69</v>
      </c>
      <c r="M306" s="88" t="s">
        <v>130</v>
      </c>
      <c r="N306" s="88" t="s">
        <v>131</v>
      </c>
      <c r="O306" s="108"/>
      <c r="P306" s="109">
        <v>45809</v>
      </c>
      <c r="Q306" s="110">
        <f t="shared" si="112"/>
        <v>46538</v>
      </c>
      <c r="R306" s="111">
        <v>24</v>
      </c>
      <c r="S306" s="111">
        <v>2</v>
      </c>
      <c r="T306" s="123">
        <v>50000000</v>
      </c>
      <c r="U306" s="113"/>
      <c r="V306" s="123">
        <v>50000000</v>
      </c>
      <c r="W306" s="115">
        <f t="shared" si="114"/>
        <v>2083333.3333333333</v>
      </c>
      <c r="X306" s="115">
        <v>14583333.333333334</v>
      </c>
      <c r="Y306" s="115">
        <v>35416666.666666664</v>
      </c>
      <c r="Z306" s="124">
        <f t="shared" si="96"/>
        <v>2083333.3333333333</v>
      </c>
      <c r="AA306" s="118">
        <f t="shared" si="95"/>
        <v>33333333.333333332</v>
      </c>
      <c r="AB306" s="85">
        <f t="shared" si="97"/>
        <v>2083333.3333333333</v>
      </c>
      <c r="AC306" s="84">
        <f t="shared" si="98"/>
        <v>31250000</v>
      </c>
      <c r="AD306" s="85">
        <f t="shared" si="93"/>
        <v>2083333.3333333333</v>
      </c>
      <c r="AE306" s="118">
        <f t="shared" si="99"/>
        <v>29166666.666666668</v>
      </c>
      <c r="AF306" s="85">
        <f t="shared" si="115"/>
        <v>2083333.3333333333</v>
      </c>
      <c r="AG306" s="84">
        <f t="shared" si="100"/>
        <v>27083333.333333336</v>
      </c>
      <c r="AH306" s="85"/>
      <c r="AI306" s="84">
        <f t="shared" si="101"/>
        <v>27083333.333333336</v>
      </c>
      <c r="AJ306" s="85"/>
      <c r="AK306" s="84">
        <f t="shared" si="102"/>
        <v>27083333.333333336</v>
      </c>
      <c r="AL306" s="85"/>
      <c r="AM306" s="84">
        <f t="shared" si="103"/>
        <v>27083333.333333336</v>
      </c>
      <c r="AN306" s="85"/>
      <c r="AO306" s="84">
        <f t="shared" si="104"/>
        <v>27083333.333333336</v>
      </c>
      <c r="AP306" s="85"/>
      <c r="AQ306" s="84">
        <f t="shared" si="105"/>
        <v>27083333.333333336</v>
      </c>
      <c r="AR306" s="85"/>
      <c r="AS306" s="84">
        <f t="shared" si="106"/>
        <v>27083333.333333336</v>
      </c>
      <c r="AT306" s="85"/>
      <c r="AU306" s="84">
        <f t="shared" si="107"/>
        <v>27083333.333333336</v>
      </c>
      <c r="AV306" s="85"/>
      <c r="AW306" s="84">
        <f t="shared" si="108"/>
        <v>27083333.333333336</v>
      </c>
      <c r="AX306" s="86">
        <f t="shared" si="109"/>
        <v>8333333.333333333</v>
      </c>
      <c r="AY306" s="87">
        <f t="shared" si="110"/>
        <v>27083333.333333332</v>
      </c>
      <c r="AZ306" s="65" t="b">
        <f t="shared" si="111"/>
        <v>1</v>
      </c>
    </row>
    <row r="307" spans="1:52" s="67" customFormat="1" ht="24.75" hidden="1" customHeight="1">
      <c r="A307" s="68">
        <v>303</v>
      </c>
      <c r="B307" s="69" t="s">
        <v>844</v>
      </c>
      <c r="C307" s="88" t="s">
        <v>806</v>
      </c>
      <c r="D307" s="71" t="s">
        <v>95</v>
      </c>
      <c r="E307" s="150" t="s">
        <v>845</v>
      </c>
      <c r="F307" s="104"/>
      <c r="G307" s="105">
        <v>45807</v>
      </c>
      <c r="H307" s="102" t="s">
        <v>846</v>
      </c>
      <c r="I307" s="120" t="s">
        <v>98</v>
      </c>
      <c r="J307" s="102" t="s">
        <v>617</v>
      </c>
      <c r="K307" s="68" t="s">
        <v>99</v>
      </c>
      <c r="L307" s="70" t="s">
        <v>100</v>
      </c>
      <c r="M307" s="88" t="s">
        <v>101</v>
      </c>
      <c r="N307" s="88" t="s">
        <v>102</v>
      </c>
      <c r="O307" s="108"/>
      <c r="P307" s="109">
        <v>45809</v>
      </c>
      <c r="Q307" s="110">
        <f t="shared" si="112"/>
        <v>46173</v>
      </c>
      <c r="R307" s="111">
        <v>12</v>
      </c>
      <c r="S307" s="111">
        <v>1</v>
      </c>
      <c r="T307" s="123">
        <v>1027954244.5227134</v>
      </c>
      <c r="U307" s="113"/>
      <c r="V307" s="123">
        <v>1027954244.5227134</v>
      </c>
      <c r="W307" s="115">
        <f t="shared" si="114"/>
        <v>85662853.710226119</v>
      </c>
      <c r="X307" s="115">
        <v>599639975.97158289</v>
      </c>
      <c r="Y307" s="115">
        <v>428314268.55113053</v>
      </c>
      <c r="Z307" s="124">
        <f t="shared" si="96"/>
        <v>85662853.710226119</v>
      </c>
      <c r="AA307" s="118">
        <f t="shared" si="95"/>
        <v>342651414.84090441</v>
      </c>
      <c r="AB307" s="85">
        <f t="shared" si="97"/>
        <v>85662853.710226119</v>
      </c>
      <c r="AC307" s="84">
        <f t="shared" si="98"/>
        <v>256988561.1306783</v>
      </c>
      <c r="AD307" s="85">
        <f t="shared" si="93"/>
        <v>85662853.710226119</v>
      </c>
      <c r="AE307" s="118">
        <f t="shared" si="99"/>
        <v>171325707.42045218</v>
      </c>
      <c r="AF307" s="85">
        <f t="shared" si="115"/>
        <v>85662853.710226119</v>
      </c>
      <c r="AG307" s="84">
        <f t="shared" si="100"/>
        <v>85662853.710226059</v>
      </c>
      <c r="AH307" s="85"/>
      <c r="AI307" s="84">
        <f t="shared" si="101"/>
        <v>85662853.710226059</v>
      </c>
      <c r="AJ307" s="85"/>
      <c r="AK307" s="84">
        <f t="shared" si="102"/>
        <v>85662853.710226059</v>
      </c>
      <c r="AL307" s="85"/>
      <c r="AM307" s="84">
        <f t="shared" si="103"/>
        <v>85662853.710226059</v>
      </c>
      <c r="AN307" s="85"/>
      <c r="AO307" s="84">
        <f t="shared" si="104"/>
        <v>85662853.710226059</v>
      </c>
      <c r="AP307" s="85"/>
      <c r="AQ307" s="84">
        <f t="shared" si="105"/>
        <v>85662853.710226059</v>
      </c>
      <c r="AR307" s="85"/>
      <c r="AS307" s="84">
        <f t="shared" si="106"/>
        <v>85662853.710226059</v>
      </c>
      <c r="AT307" s="85"/>
      <c r="AU307" s="84">
        <f t="shared" si="107"/>
        <v>85662853.710226059</v>
      </c>
      <c r="AV307" s="85"/>
      <c r="AW307" s="84">
        <f t="shared" si="108"/>
        <v>85662853.710226059</v>
      </c>
      <c r="AX307" s="86">
        <f t="shared" si="109"/>
        <v>342651414.84090447</v>
      </c>
      <c r="AY307" s="87">
        <f t="shared" si="110"/>
        <v>85662853.710226059</v>
      </c>
      <c r="AZ307" s="65" t="b">
        <f t="shared" si="111"/>
        <v>1</v>
      </c>
    </row>
    <row r="308" spans="1:52" s="67" customFormat="1" ht="24.75" hidden="1" customHeight="1">
      <c r="A308" s="68">
        <v>304</v>
      </c>
      <c r="B308" s="69" t="s">
        <v>847</v>
      </c>
      <c r="C308" s="88" t="s">
        <v>806</v>
      </c>
      <c r="D308" s="71" t="s">
        <v>95</v>
      </c>
      <c r="E308" s="150" t="s">
        <v>845</v>
      </c>
      <c r="F308" s="104"/>
      <c r="G308" s="105">
        <v>45807</v>
      </c>
      <c r="H308" s="102" t="s">
        <v>848</v>
      </c>
      <c r="I308" s="120" t="s">
        <v>98</v>
      </c>
      <c r="J308" s="102" t="s">
        <v>617</v>
      </c>
      <c r="K308" s="68" t="s">
        <v>99</v>
      </c>
      <c r="L308" s="70" t="s">
        <v>100</v>
      </c>
      <c r="M308" s="88" t="s">
        <v>101</v>
      </c>
      <c r="N308" s="88" t="s">
        <v>102</v>
      </c>
      <c r="O308" s="108"/>
      <c r="P308" s="109">
        <v>45809</v>
      </c>
      <c r="Q308" s="110">
        <f t="shared" si="112"/>
        <v>46538</v>
      </c>
      <c r="R308" s="111">
        <v>24</v>
      </c>
      <c r="S308" s="111">
        <v>2</v>
      </c>
      <c r="T308" s="123">
        <v>1596071993.8729308</v>
      </c>
      <c r="U308" s="113"/>
      <c r="V308" s="123">
        <v>1596071993.8729308</v>
      </c>
      <c r="W308" s="115">
        <f t="shared" si="114"/>
        <v>66502999.744705446</v>
      </c>
      <c r="X308" s="115">
        <v>465520998.21293813</v>
      </c>
      <c r="Y308" s="115">
        <v>1130550995.6599927</v>
      </c>
      <c r="Z308" s="124">
        <f t="shared" si="96"/>
        <v>66502999.744705446</v>
      </c>
      <c r="AA308" s="118">
        <f t="shared" si="95"/>
        <v>1064047995.9152873</v>
      </c>
      <c r="AB308" s="85">
        <f t="shared" si="97"/>
        <v>66502999.744705446</v>
      </c>
      <c r="AC308" s="84">
        <f t="shared" si="98"/>
        <v>997544996.17058182</v>
      </c>
      <c r="AD308" s="85">
        <f t="shared" ref="AD308:AD371" si="116">+IF(AC308&lt;&gt;0,$W308,0)</f>
        <v>66502999.744705446</v>
      </c>
      <c r="AE308" s="118">
        <f t="shared" si="99"/>
        <v>931041996.42587638</v>
      </c>
      <c r="AF308" s="85">
        <f t="shared" si="115"/>
        <v>66502999.744705446</v>
      </c>
      <c r="AG308" s="84">
        <f t="shared" si="100"/>
        <v>864538996.68117094</v>
      </c>
      <c r="AH308" s="85"/>
      <c r="AI308" s="84">
        <f t="shared" si="101"/>
        <v>864538996.68117094</v>
      </c>
      <c r="AJ308" s="85"/>
      <c r="AK308" s="84">
        <f t="shared" si="102"/>
        <v>864538996.68117094</v>
      </c>
      <c r="AL308" s="85"/>
      <c r="AM308" s="84">
        <f t="shared" si="103"/>
        <v>864538996.68117094</v>
      </c>
      <c r="AN308" s="85"/>
      <c r="AO308" s="84">
        <f t="shared" si="104"/>
        <v>864538996.68117094</v>
      </c>
      <c r="AP308" s="85"/>
      <c r="AQ308" s="84">
        <f t="shared" si="105"/>
        <v>864538996.68117094</v>
      </c>
      <c r="AR308" s="85"/>
      <c r="AS308" s="84">
        <f t="shared" si="106"/>
        <v>864538996.68117094</v>
      </c>
      <c r="AT308" s="85"/>
      <c r="AU308" s="84">
        <f t="shared" si="107"/>
        <v>864538996.68117094</v>
      </c>
      <c r="AV308" s="85"/>
      <c r="AW308" s="84">
        <f t="shared" si="108"/>
        <v>864538996.68117094</v>
      </c>
      <c r="AX308" s="86">
        <f t="shared" si="109"/>
        <v>266011998.97882178</v>
      </c>
      <c r="AY308" s="87">
        <f t="shared" si="110"/>
        <v>864538996.68117094</v>
      </c>
      <c r="AZ308" s="65" t="b">
        <f t="shared" si="111"/>
        <v>1</v>
      </c>
    </row>
    <row r="309" spans="1:52" s="67" customFormat="1" ht="24.75" hidden="1" customHeight="1">
      <c r="A309" s="68">
        <v>305</v>
      </c>
      <c r="B309" s="69" t="s">
        <v>849</v>
      </c>
      <c r="C309" s="88" t="s">
        <v>806</v>
      </c>
      <c r="D309" s="71" t="s">
        <v>681</v>
      </c>
      <c r="E309" s="150" t="s">
        <v>850</v>
      </c>
      <c r="F309" s="104"/>
      <c r="G309" s="105">
        <v>45807</v>
      </c>
      <c r="H309" s="102" t="s">
        <v>848</v>
      </c>
      <c r="I309" s="120" t="s">
        <v>84</v>
      </c>
      <c r="J309" s="102" t="s">
        <v>85</v>
      </c>
      <c r="K309" s="68" t="s">
        <v>86</v>
      </c>
      <c r="L309" s="70" t="s">
        <v>87</v>
      </c>
      <c r="M309" s="88" t="s">
        <v>833</v>
      </c>
      <c r="N309" s="88" t="s">
        <v>834</v>
      </c>
      <c r="O309" s="108"/>
      <c r="P309" s="109">
        <v>45809</v>
      </c>
      <c r="Q309" s="110">
        <f t="shared" si="112"/>
        <v>46538</v>
      </c>
      <c r="R309" s="111">
        <v>24</v>
      </c>
      <c r="S309" s="111">
        <v>2</v>
      </c>
      <c r="T309" s="123">
        <v>559791232</v>
      </c>
      <c r="U309" s="113"/>
      <c r="V309" s="123">
        <v>559791232</v>
      </c>
      <c r="W309" s="115">
        <f t="shared" si="114"/>
        <v>23324634.666666668</v>
      </c>
      <c r="X309" s="115">
        <v>163272442.66666666</v>
      </c>
      <c r="Y309" s="115">
        <v>396518789.33333337</v>
      </c>
      <c r="Z309" s="124">
        <f t="shared" si="96"/>
        <v>23324634.666666668</v>
      </c>
      <c r="AA309" s="118">
        <f t="shared" si="95"/>
        <v>373194154.66666669</v>
      </c>
      <c r="AB309" s="85">
        <f t="shared" si="97"/>
        <v>23324634.666666668</v>
      </c>
      <c r="AC309" s="84">
        <f t="shared" si="98"/>
        <v>349869520</v>
      </c>
      <c r="AD309" s="85">
        <f t="shared" si="116"/>
        <v>23324634.666666668</v>
      </c>
      <c r="AE309" s="118">
        <f t="shared" si="99"/>
        <v>326544885.33333331</v>
      </c>
      <c r="AF309" s="85">
        <f t="shared" si="115"/>
        <v>23324634.666666668</v>
      </c>
      <c r="AG309" s="84">
        <f t="shared" si="100"/>
        <v>303220250.66666663</v>
      </c>
      <c r="AH309" s="85"/>
      <c r="AI309" s="84">
        <f t="shared" si="101"/>
        <v>303220250.66666663</v>
      </c>
      <c r="AJ309" s="85"/>
      <c r="AK309" s="84">
        <f t="shared" si="102"/>
        <v>303220250.66666663</v>
      </c>
      <c r="AL309" s="85"/>
      <c r="AM309" s="84">
        <f t="shared" si="103"/>
        <v>303220250.66666663</v>
      </c>
      <c r="AN309" s="85"/>
      <c r="AO309" s="84">
        <f t="shared" si="104"/>
        <v>303220250.66666663</v>
      </c>
      <c r="AP309" s="85"/>
      <c r="AQ309" s="84">
        <f t="shared" si="105"/>
        <v>303220250.66666663</v>
      </c>
      <c r="AR309" s="85"/>
      <c r="AS309" s="84">
        <f t="shared" si="106"/>
        <v>303220250.66666663</v>
      </c>
      <c r="AT309" s="85"/>
      <c r="AU309" s="84">
        <f t="shared" si="107"/>
        <v>303220250.66666663</v>
      </c>
      <c r="AV309" s="85"/>
      <c r="AW309" s="84">
        <f t="shared" si="108"/>
        <v>303220250.66666663</v>
      </c>
      <c r="AX309" s="86">
        <f t="shared" si="109"/>
        <v>93298538.666666672</v>
      </c>
      <c r="AY309" s="87">
        <f t="shared" si="110"/>
        <v>303220250.66666669</v>
      </c>
      <c r="AZ309" s="65" t="b">
        <f t="shared" si="111"/>
        <v>1</v>
      </c>
    </row>
    <row r="310" spans="1:52" s="67" customFormat="1" ht="24.75" hidden="1" customHeight="1">
      <c r="A310" s="68">
        <v>306</v>
      </c>
      <c r="B310" s="69" t="s">
        <v>851</v>
      </c>
      <c r="C310" s="88" t="s">
        <v>395</v>
      </c>
      <c r="D310" s="71" t="s">
        <v>396</v>
      </c>
      <c r="E310" s="150" t="s">
        <v>852</v>
      </c>
      <c r="F310" s="104"/>
      <c r="G310" s="105">
        <v>45837</v>
      </c>
      <c r="H310" s="102" t="s">
        <v>853</v>
      </c>
      <c r="I310" s="120" t="s">
        <v>399</v>
      </c>
      <c r="J310" s="102" t="s">
        <v>400</v>
      </c>
      <c r="K310" s="68" t="s">
        <v>349</v>
      </c>
      <c r="L310" s="70" t="s">
        <v>69</v>
      </c>
      <c r="M310" s="88" t="s">
        <v>403</v>
      </c>
      <c r="N310" s="88" t="s">
        <v>404</v>
      </c>
      <c r="O310" s="108"/>
      <c r="P310" s="109">
        <v>45839</v>
      </c>
      <c r="Q310" s="110">
        <f t="shared" si="112"/>
        <v>46568</v>
      </c>
      <c r="R310" s="111">
        <v>24</v>
      </c>
      <c r="S310" s="111">
        <v>2</v>
      </c>
      <c r="T310" s="123">
        <v>45000000</v>
      </c>
      <c r="U310" s="113"/>
      <c r="V310" s="123">
        <v>45000000</v>
      </c>
      <c r="W310" s="115">
        <f t="shared" si="114"/>
        <v>1875000</v>
      </c>
      <c r="X310" s="115">
        <v>11250000</v>
      </c>
      <c r="Y310" s="115">
        <v>33750000</v>
      </c>
      <c r="Z310" s="124">
        <f t="shared" si="96"/>
        <v>1875000</v>
      </c>
      <c r="AA310" s="118">
        <f t="shared" si="95"/>
        <v>31875000</v>
      </c>
      <c r="AB310" s="85">
        <f t="shared" si="97"/>
        <v>1875000</v>
      </c>
      <c r="AC310" s="84">
        <f t="shared" si="98"/>
        <v>30000000</v>
      </c>
      <c r="AD310" s="85">
        <f t="shared" si="116"/>
        <v>1875000</v>
      </c>
      <c r="AE310" s="118">
        <f t="shared" si="99"/>
        <v>28125000</v>
      </c>
      <c r="AF310" s="85">
        <f t="shared" si="115"/>
        <v>1875000</v>
      </c>
      <c r="AG310" s="84">
        <f t="shared" si="100"/>
        <v>26250000</v>
      </c>
      <c r="AH310" s="85"/>
      <c r="AI310" s="84">
        <f t="shared" si="101"/>
        <v>26250000</v>
      </c>
      <c r="AJ310" s="85"/>
      <c r="AK310" s="84">
        <f t="shared" si="102"/>
        <v>26250000</v>
      </c>
      <c r="AL310" s="85"/>
      <c r="AM310" s="84">
        <f t="shared" si="103"/>
        <v>26250000</v>
      </c>
      <c r="AN310" s="85"/>
      <c r="AO310" s="84">
        <f t="shared" si="104"/>
        <v>26250000</v>
      </c>
      <c r="AP310" s="85"/>
      <c r="AQ310" s="84">
        <f t="shared" si="105"/>
        <v>26250000</v>
      </c>
      <c r="AR310" s="85"/>
      <c r="AS310" s="84">
        <f t="shared" si="106"/>
        <v>26250000</v>
      </c>
      <c r="AT310" s="85"/>
      <c r="AU310" s="84">
        <f t="shared" si="107"/>
        <v>26250000</v>
      </c>
      <c r="AV310" s="85"/>
      <c r="AW310" s="84">
        <f t="shared" si="108"/>
        <v>26250000</v>
      </c>
      <c r="AX310" s="86">
        <f t="shared" si="109"/>
        <v>7500000</v>
      </c>
      <c r="AY310" s="87">
        <f t="shared" si="110"/>
        <v>26250000</v>
      </c>
      <c r="AZ310" s="65" t="b">
        <f t="shared" si="111"/>
        <v>1</v>
      </c>
    </row>
    <row r="311" spans="1:52" s="67" customFormat="1" ht="24.75" hidden="1" customHeight="1">
      <c r="A311" s="68">
        <v>307</v>
      </c>
      <c r="B311" s="69" t="s">
        <v>854</v>
      </c>
      <c r="C311" s="88" t="s">
        <v>395</v>
      </c>
      <c r="D311" s="71" t="s">
        <v>396</v>
      </c>
      <c r="E311" s="150" t="s">
        <v>855</v>
      </c>
      <c r="F311" s="104"/>
      <c r="G311" s="105">
        <v>45837</v>
      </c>
      <c r="H311" s="102" t="s">
        <v>853</v>
      </c>
      <c r="I311" s="120" t="s">
        <v>399</v>
      </c>
      <c r="J311" s="102" t="s">
        <v>400</v>
      </c>
      <c r="K311" s="68" t="s">
        <v>349</v>
      </c>
      <c r="L311" s="70" t="s">
        <v>69</v>
      </c>
      <c r="M311" s="88" t="s">
        <v>856</v>
      </c>
      <c r="N311" s="88" t="s">
        <v>857</v>
      </c>
      <c r="O311" s="108"/>
      <c r="P311" s="109">
        <v>45839</v>
      </c>
      <c r="Q311" s="110">
        <f t="shared" si="112"/>
        <v>46568</v>
      </c>
      <c r="R311" s="111">
        <v>24</v>
      </c>
      <c r="S311" s="111">
        <v>2</v>
      </c>
      <c r="T311" s="123">
        <v>53900000</v>
      </c>
      <c r="U311" s="113"/>
      <c r="V311" s="123">
        <v>53900000</v>
      </c>
      <c r="W311" s="115">
        <f t="shared" si="114"/>
        <v>2245833.3333333335</v>
      </c>
      <c r="X311" s="115">
        <v>13475000.000000002</v>
      </c>
      <c r="Y311" s="115">
        <v>40425000</v>
      </c>
      <c r="Z311" s="124">
        <f t="shared" si="96"/>
        <v>2245833.3333333335</v>
      </c>
      <c r="AA311" s="118">
        <f t="shared" si="95"/>
        <v>38179166.666666664</v>
      </c>
      <c r="AB311" s="85">
        <f t="shared" si="97"/>
        <v>2245833.3333333335</v>
      </c>
      <c r="AC311" s="84">
        <f t="shared" si="98"/>
        <v>35933333.333333328</v>
      </c>
      <c r="AD311" s="85">
        <f t="shared" si="116"/>
        <v>2245833.3333333335</v>
      </c>
      <c r="AE311" s="118">
        <f t="shared" si="99"/>
        <v>33687499.999999993</v>
      </c>
      <c r="AF311" s="85">
        <f t="shared" si="115"/>
        <v>2245833.3333333335</v>
      </c>
      <c r="AG311" s="84">
        <f t="shared" si="100"/>
        <v>31441666.66666666</v>
      </c>
      <c r="AH311" s="85"/>
      <c r="AI311" s="84">
        <f t="shared" si="101"/>
        <v>31441666.66666666</v>
      </c>
      <c r="AJ311" s="85"/>
      <c r="AK311" s="84">
        <f t="shared" si="102"/>
        <v>31441666.66666666</v>
      </c>
      <c r="AL311" s="85"/>
      <c r="AM311" s="84">
        <f t="shared" si="103"/>
        <v>31441666.66666666</v>
      </c>
      <c r="AN311" s="85"/>
      <c r="AO311" s="84">
        <f t="shared" si="104"/>
        <v>31441666.66666666</v>
      </c>
      <c r="AP311" s="85"/>
      <c r="AQ311" s="84">
        <f t="shared" si="105"/>
        <v>31441666.66666666</v>
      </c>
      <c r="AR311" s="85"/>
      <c r="AS311" s="84">
        <f t="shared" si="106"/>
        <v>31441666.66666666</v>
      </c>
      <c r="AT311" s="85"/>
      <c r="AU311" s="84">
        <f t="shared" si="107"/>
        <v>31441666.66666666</v>
      </c>
      <c r="AV311" s="85"/>
      <c r="AW311" s="84">
        <f t="shared" si="108"/>
        <v>31441666.66666666</v>
      </c>
      <c r="AX311" s="86">
        <f t="shared" si="109"/>
        <v>8983333.333333334</v>
      </c>
      <c r="AY311" s="87">
        <f t="shared" si="110"/>
        <v>31441666.666666664</v>
      </c>
      <c r="AZ311" s="65" t="b">
        <f t="shared" si="111"/>
        <v>1</v>
      </c>
    </row>
    <row r="312" spans="1:52" s="67" customFormat="1" ht="24.75" hidden="1" customHeight="1">
      <c r="A312" s="68">
        <v>308</v>
      </c>
      <c r="B312" s="69" t="s">
        <v>858</v>
      </c>
      <c r="C312" s="88" t="s">
        <v>395</v>
      </c>
      <c r="D312" s="71" t="s">
        <v>396</v>
      </c>
      <c r="E312" s="150" t="s">
        <v>859</v>
      </c>
      <c r="F312" s="104"/>
      <c r="G312" s="105">
        <v>45837</v>
      </c>
      <c r="H312" s="102" t="s">
        <v>853</v>
      </c>
      <c r="I312" s="120" t="s">
        <v>399</v>
      </c>
      <c r="J312" s="102" t="s">
        <v>400</v>
      </c>
      <c r="K312" s="68" t="s">
        <v>349</v>
      </c>
      <c r="L312" s="70" t="s">
        <v>69</v>
      </c>
      <c r="M312" s="88" t="s">
        <v>403</v>
      </c>
      <c r="N312" s="88" t="s">
        <v>404</v>
      </c>
      <c r="O312" s="108"/>
      <c r="P312" s="109">
        <v>45839</v>
      </c>
      <c r="Q312" s="110">
        <f t="shared" si="112"/>
        <v>46568</v>
      </c>
      <c r="R312" s="111">
        <v>24</v>
      </c>
      <c r="S312" s="111">
        <v>2</v>
      </c>
      <c r="T312" s="123">
        <v>23010000</v>
      </c>
      <c r="U312" s="113"/>
      <c r="V312" s="123">
        <v>23010000</v>
      </c>
      <c r="W312" s="115">
        <f t="shared" si="114"/>
        <v>958750</v>
      </c>
      <c r="X312" s="115">
        <v>5752500</v>
      </c>
      <c r="Y312" s="115">
        <v>17257500</v>
      </c>
      <c r="Z312" s="124">
        <f t="shared" si="96"/>
        <v>958750</v>
      </c>
      <c r="AA312" s="118">
        <f t="shared" si="95"/>
        <v>16298750</v>
      </c>
      <c r="AB312" s="85">
        <f t="shared" si="97"/>
        <v>958750</v>
      </c>
      <c r="AC312" s="84">
        <f t="shared" si="98"/>
        <v>15340000</v>
      </c>
      <c r="AD312" s="85">
        <f t="shared" si="116"/>
        <v>958750</v>
      </c>
      <c r="AE312" s="118">
        <f t="shared" si="99"/>
        <v>14381250</v>
      </c>
      <c r="AF312" s="85">
        <f t="shared" si="115"/>
        <v>958750</v>
      </c>
      <c r="AG312" s="84">
        <f t="shared" si="100"/>
        <v>13422500</v>
      </c>
      <c r="AH312" s="85"/>
      <c r="AI312" s="84">
        <f t="shared" si="101"/>
        <v>13422500</v>
      </c>
      <c r="AJ312" s="85"/>
      <c r="AK312" s="84">
        <f t="shared" si="102"/>
        <v>13422500</v>
      </c>
      <c r="AL312" s="85"/>
      <c r="AM312" s="84">
        <f t="shared" si="103"/>
        <v>13422500</v>
      </c>
      <c r="AN312" s="85"/>
      <c r="AO312" s="84">
        <f t="shared" si="104"/>
        <v>13422500</v>
      </c>
      <c r="AP312" s="85"/>
      <c r="AQ312" s="84">
        <f t="shared" si="105"/>
        <v>13422500</v>
      </c>
      <c r="AR312" s="85"/>
      <c r="AS312" s="84">
        <f t="shared" si="106"/>
        <v>13422500</v>
      </c>
      <c r="AT312" s="85"/>
      <c r="AU312" s="84">
        <f t="shared" si="107"/>
        <v>13422500</v>
      </c>
      <c r="AV312" s="85"/>
      <c r="AW312" s="84">
        <f t="shared" si="108"/>
        <v>13422500</v>
      </c>
      <c r="AX312" s="86">
        <f t="shared" si="109"/>
        <v>3835000</v>
      </c>
      <c r="AY312" s="87">
        <f t="shared" si="110"/>
        <v>13422500</v>
      </c>
      <c r="AZ312" s="65" t="b">
        <f t="shared" si="111"/>
        <v>1</v>
      </c>
    </row>
    <row r="313" spans="1:52" s="67" customFormat="1" ht="24.75" hidden="1" customHeight="1">
      <c r="A313" s="68">
        <v>309</v>
      </c>
      <c r="B313" s="69" t="s">
        <v>860</v>
      </c>
      <c r="C313" s="88" t="s">
        <v>806</v>
      </c>
      <c r="D313" s="71" t="s">
        <v>95</v>
      </c>
      <c r="E313" s="150" t="s">
        <v>861</v>
      </c>
      <c r="F313" s="104"/>
      <c r="G313" s="105">
        <v>45838</v>
      </c>
      <c r="H313" s="102" t="s">
        <v>862</v>
      </c>
      <c r="I313" s="120" t="s">
        <v>98</v>
      </c>
      <c r="J313" s="102" t="s">
        <v>617</v>
      </c>
      <c r="K313" s="68" t="s">
        <v>99</v>
      </c>
      <c r="L313" s="70" t="s">
        <v>100</v>
      </c>
      <c r="M313" s="88" t="s">
        <v>101</v>
      </c>
      <c r="N313" s="88" t="s">
        <v>102</v>
      </c>
      <c r="O313" s="108"/>
      <c r="P313" s="109">
        <v>45839</v>
      </c>
      <c r="Q313" s="110">
        <f t="shared" si="112"/>
        <v>46568</v>
      </c>
      <c r="R313" s="111">
        <v>24</v>
      </c>
      <c r="S313" s="111">
        <v>2</v>
      </c>
      <c r="T313" s="123">
        <v>2427683989.3193283</v>
      </c>
      <c r="U313" s="113"/>
      <c r="V313" s="123">
        <v>2427683989.3193283</v>
      </c>
      <c r="W313" s="115">
        <f t="shared" si="114"/>
        <v>101153499.55497201</v>
      </c>
      <c r="X313" s="115">
        <v>606920997.32983208</v>
      </c>
      <c r="Y313" s="115">
        <v>1820762991.9894962</v>
      </c>
      <c r="Z313" s="124">
        <f t="shared" si="96"/>
        <v>101153499.55497201</v>
      </c>
      <c r="AA313" s="118">
        <f t="shared" si="95"/>
        <v>1719609492.4345243</v>
      </c>
      <c r="AB313" s="85">
        <f t="shared" si="97"/>
        <v>101153499.55497201</v>
      </c>
      <c r="AC313" s="84">
        <f t="shared" si="98"/>
        <v>1618455992.8795524</v>
      </c>
      <c r="AD313" s="85">
        <f t="shared" si="116"/>
        <v>101153499.55497201</v>
      </c>
      <c r="AE313" s="118">
        <f t="shared" si="99"/>
        <v>1517302493.3245804</v>
      </c>
      <c r="AF313" s="85">
        <f t="shared" si="115"/>
        <v>101153499.55497201</v>
      </c>
      <c r="AG313" s="84">
        <f t="shared" si="100"/>
        <v>1416148993.7696085</v>
      </c>
      <c r="AH313" s="85"/>
      <c r="AI313" s="84">
        <f t="shared" si="101"/>
        <v>1416148993.7696085</v>
      </c>
      <c r="AJ313" s="85"/>
      <c r="AK313" s="84">
        <f t="shared" si="102"/>
        <v>1416148993.7696085</v>
      </c>
      <c r="AL313" s="85"/>
      <c r="AM313" s="84">
        <f t="shared" si="103"/>
        <v>1416148993.7696085</v>
      </c>
      <c r="AN313" s="85"/>
      <c r="AO313" s="84">
        <f t="shared" si="104"/>
        <v>1416148993.7696085</v>
      </c>
      <c r="AP313" s="85"/>
      <c r="AQ313" s="84">
        <f t="shared" si="105"/>
        <v>1416148993.7696085</v>
      </c>
      <c r="AR313" s="85"/>
      <c r="AS313" s="84">
        <f t="shared" si="106"/>
        <v>1416148993.7696085</v>
      </c>
      <c r="AT313" s="85"/>
      <c r="AU313" s="84">
        <f t="shared" si="107"/>
        <v>1416148993.7696085</v>
      </c>
      <c r="AV313" s="85"/>
      <c r="AW313" s="84">
        <f t="shared" si="108"/>
        <v>1416148993.7696085</v>
      </c>
      <c r="AX313" s="86">
        <f t="shared" si="109"/>
        <v>404613998.21988803</v>
      </c>
      <c r="AY313" s="87">
        <f t="shared" si="110"/>
        <v>1416148993.7696083</v>
      </c>
      <c r="AZ313" s="65" t="b">
        <f t="shared" si="111"/>
        <v>1</v>
      </c>
    </row>
    <row r="314" spans="1:52" s="67" customFormat="1" ht="24.75" hidden="1" customHeight="1">
      <c r="A314" s="68">
        <v>310</v>
      </c>
      <c r="B314" s="69" t="s">
        <v>863</v>
      </c>
      <c r="C314" s="88" t="s">
        <v>806</v>
      </c>
      <c r="D314" s="71" t="s">
        <v>95</v>
      </c>
      <c r="E314" s="150" t="s">
        <v>861</v>
      </c>
      <c r="F314" s="104"/>
      <c r="G314" s="105">
        <v>45838</v>
      </c>
      <c r="H314" s="102" t="s">
        <v>862</v>
      </c>
      <c r="I314" s="120" t="s">
        <v>98</v>
      </c>
      <c r="J314" s="102" t="s">
        <v>617</v>
      </c>
      <c r="K314" s="68" t="s">
        <v>99</v>
      </c>
      <c r="L314" s="70" t="s">
        <v>100</v>
      </c>
      <c r="M314" s="88" t="s">
        <v>101</v>
      </c>
      <c r="N314" s="88" t="s">
        <v>102</v>
      </c>
      <c r="O314" s="108"/>
      <c r="P314" s="109">
        <v>45839</v>
      </c>
      <c r="Q314" s="110">
        <f t="shared" si="112"/>
        <v>46934</v>
      </c>
      <c r="R314" s="111">
        <v>36</v>
      </c>
      <c r="S314" s="111">
        <v>3</v>
      </c>
      <c r="T314" s="123">
        <v>1538511760</v>
      </c>
      <c r="U314" s="113"/>
      <c r="V314" s="123">
        <v>1538511760</v>
      </c>
      <c r="W314" s="115">
        <f t="shared" si="114"/>
        <v>42736437.777777776</v>
      </c>
      <c r="X314" s="115">
        <v>256418626.66666669</v>
      </c>
      <c r="Y314" s="115">
        <v>1282093133.3333333</v>
      </c>
      <c r="Z314" s="124">
        <f t="shared" si="96"/>
        <v>42736437.777777776</v>
      </c>
      <c r="AA314" s="118">
        <f t="shared" si="95"/>
        <v>1239356695.5555556</v>
      </c>
      <c r="AB314" s="85">
        <f t="shared" si="97"/>
        <v>42736437.777777776</v>
      </c>
      <c r="AC314" s="84">
        <f t="shared" si="98"/>
        <v>1196620257.7777779</v>
      </c>
      <c r="AD314" s="85">
        <f t="shared" si="116"/>
        <v>42736437.777777776</v>
      </c>
      <c r="AE314" s="118">
        <f t="shared" si="99"/>
        <v>1153883820.0000002</v>
      </c>
      <c r="AF314" s="85">
        <f t="shared" si="115"/>
        <v>42736437.777777776</v>
      </c>
      <c r="AG314" s="84">
        <f t="shared" si="100"/>
        <v>1111147382.2222226</v>
      </c>
      <c r="AH314" s="85"/>
      <c r="AI314" s="84">
        <f t="shared" si="101"/>
        <v>1111147382.2222226</v>
      </c>
      <c r="AJ314" s="85"/>
      <c r="AK314" s="84">
        <f t="shared" si="102"/>
        <v>1111147382.2222226</v>
      </c>
      <c r="AL314" s="85"/>
      <c r="AM314" s="84">
        <f t="shared" si="103"/>
        <v>1111147382.2222226</v>
      </c>
      <c r="AN314" s="85"/>
      <c r="AO314" s="84">
        <f t="shared" si="104"/>
        <v>1111147382.2222226</v>
      </c>
      <c r="AP314" s="85"/>
      <c r="AQ314" s="84">
        <f t="shared" si="105"/>
        <v>1111147382.2222226</v>
      </c>
      <c r="AR314" s="85"/>
      <c r="AS314" s="84">
        <f t="shared" si="106"/>
        <v>1111147382.2222226</v>
      </c>
      <c r="AT314" s="85"/>
      <c r="AU314" s="84">
        <f t="shared" si="107"/>
        <v>1111147382.2222226</v>
      </c>
      <c r="AV314" s="85"/>
      <c r="AW314" s="84">
        <f t="shared" si="108"/>
        <v>1111147382.2222226</v>
      </c>
      <c r="AX314" s="86">
        <f t="shared" si="109"/>
        <v>170945751.1111111</v>
      </c>
      <c r="AY314" s="87">
        <f t="shared" si="110"/>
        <v>1111147382.2222221</v>
      </c>
      <c r="AZ314" s="65" t="b">
        <f t="shared" si="111"/>
        <v>1</v>
      </c>
    </row>
    <row r="315" spans="1:52" s="67" customFormat="1" ht="24.75" hidden="1" customHeight="1">
      <c r="A315" s="68">
        <v>311</v>
      </c>
      <c r="B315" s="69" t="s">
        <v>864</v>
      </c>
      <c r="C315" s="88" t="s">
        <v>806</v>
      </c>
      <c r="D315" s="71" t="s">
        <v>681</v>
      </c>
      <c r="E315" s="150" t="s">
        <v>865</v>
      </c>
      <c r="F315" s="104"/>
      <c r="G315" s="105">
        <v>45838</v>
      </c>
      <c r="H315" s="102" t="s">
        <v>862</v>
      </c>
      <c r="I315" s="120" t="s">
        <v>84</v>
      </c>
      <c r="J315" s="102" t="s">
        <v>85</v>
      </c>
      <c r="K315" s="68" t="s">
        <v>86</v>
      </c>
      <c r="L315" s="70" t="s">
        <v>87</v>
      </c>
      <c r="M315" s="88" t="s">
        <v>130</v>
      </c>
      <c r="N315" s="88" t="s">
        <v>131</v>
      </c>
      <c r="O315" s="108"/>
      <c r="P315" s="109">
        <v>45839</v>
      </c>
      <c r="Q315" s="110">
        <f t="shared" si="112"/>
        <v>46387</v>
      </c>
      <c r="R315" s="111">
        <v>18</v>
      </c>
      <c r="S315" s="151">
        <v>1.5</v>
      </c>
      <c r="T315" s="123">
        <v>50000000</v>
      </c>
      <c r="U315" s="113"/>
      <c r="V315" s="123">
        <v>50000000</v>
      </c>
      <c r="W315" s="115">
        <f t="shared" si="114"/>
        <v>2777777.777777778</v>
      </c>
      <c r="X315" s="115">
        <v>16666666.666666668</v>
      </c>
      <c r="Y315" s="115">
        <v>33333333.333333332</v>
      </c>
      <c r="Z315" s="124">
        <f t="shared" si="96"/>
        <v>2777777.777777778</v>
      </c>
      <c r="AA315" s="118">
        <f t="shared" si="95"/>
        <v>30555555.555555552</v>
      </c>
      <c r="AB315" s="85">
        <f t="shared" si="97"/>
        <v>2777777.777777778</v>
      </c>
      <c r="AC315" s="84">
        <f t="shared" si="98"/>
        <v>27777777.777777776</v>
      </c>
      <c r="AD315" s="85">
        <f t="shared" si="116"/>
        <v>2777777.777777778</v>
      </c>
      <c r="AE315" s="118">
        <f t="shared" si="99"/>
        <v>25000000</v>
      </c>
      <c r="AF315" s="85">
        <f t="shared" si="115"/>
        <v>2777777.777777778</v>
      </c>
      <c r="AG315" s="84">
        <f t="shared" si="100"/>
        <v>22222222.222222224</v>
      </c>
      <c r="AH315" s="85"/>
      <c r="AI315" s="84">
        <f t="shared" si="101"/>
        <v>22222222.222222224</v>
      </c>
      <c r="AJ315" s="85"/>
      <c r="AK315" s="84">
        <f t="shared" si="102"/>
        <v>22222222.222222224</v>
      </c>
      <c r="AL315" s="85"/>
      <c r="AM315" s="84">
        <f t="shared" si="103"/>
        <v>22222222.222222224</v>
      </c>
      <c r="AN315" s="85"/>
      <c r="AO315" s="84">
        <f t="shared" si="104"/>
        <v>22222222.222222224</v>
      </c>
      <c r="AP315" s="85"/>
      <c r="AQ315" s="84">
        <f t="shared" si="105"/>
        <v>22222222.222222224</v>
      </c>
      <c r="AR315" s="85"/>
      <c r="AS315" s="84">
        <f t="shared" si="106"/>
        <v>22222222.222222224</v>
      </c>
      <c r="AT315" s="85"/>
      <c r="AU315" s="84">
        <f t="shared" si="107"/>
        <v>22222222.222222224</v>
      </c>
      <c r="AV315" s="85"/>
      <c r="AW315" s="84">
        <f t="shared" si="108"/>
        <v>22222222.222222224</v>
      </c>
      <c r="AX315" s="86">
        <f t="shared" si="109"/>
        <v>11111111.111111112</v>
      </c>
      <c r="AY315" s="87">
        <f t="shared" si="110"/>
        <v>22222222.22222222</v>
      </c>
      <c r="AZ315" s="65" t="b">
        <f t="shared" si="111"/>
        <v>1</v>
      </c>
    </row>
    <row r="316" spans="1:52" s="67" customFormat="1" ht="24.75" hidden="1" customHeight="1">
      <c r="A316" s="68">
        <v>312</v>
      </c>
      <c r="B316" s="69" t="s">
        <v>866</v>
      </c>
      <c r="C316" s="88" t="s">
        <v>806</v>
      </c>
      <c r="D316" s="71" t="s">
        <v>681</v>
      </c>
      <c r="E316" s="150" t="s">
        <v>865</v>
      </c>
      <c r="F316" s="104"/>
      <c r="G316" s="105">
        <v>45838</v>
      </c>
      <c r="H316" s="102" t="s">
        <v>862</v>
      </c>
      <c r="I316" s="120" t="s">
        <v>84</v>
      </c>
      <c r="J316" s="102" t="s">
        <v>85</v>
      </c>
      <c r="K316" s="68" t="s">
        <v>86</v>
      </c>
      <c r="L316" s="70" t="s">
        <v>87</v>
      </c>
      <c r="M316" s="88" t="s">
        <v>833</v>
      </c>
      <c r="N316" s="88" t="s">
        <v>834</v>
      </c>
      <c r="O316" s="108"/>
      <c r="P316" s="109">
        <v>45839</v>
      </c>
      <c r="Q316" s="110">
        <f t="shared" si="112"/>
        <v>46387</v>
      </c>
      <c r="R316" s="111">
        <v>18</v>
      </c>
      <c r="S316" s="151">
        <v>1.5</v>
      </c>
      <c r="T316" s="123">
        <v>42000000</v>
      </c>
      <c r="U316" s="113"/>
      <c r="V316" s="123">
        <v>42000000</v>
      </c>
      <c r="W316" s="115">
        <f t="shared" si="114"/>
        <v>2333333.3333333335</v>
      </c>
      <c r="X316" s="115">
        <v>14000000.000000002</v>
      </c>
      <c r="Y316" s="115">
        <v>28000000</v>
      </c>
      <c r="Z316" s="124">
        <f t="shared" si="96"/>
        <v>2333333.3333333335</v>
      </c>
      <c r="AA316" s="118">
        <f t="shared" si="95"/>
        <v>25666666.666666668</v>
      </c>
      <c r="AB316" s="85">
        <f t="shared" si="97"/>
        <v>2333333.3333333335</v>
      </c>
      <c r="AC316" s="84">
        <f t="shared" si="98"/>
        <v>23333333.333333336</v>
      </c>
      <c r="AD316" s="85">
        <f t="shared" si="116"/>
        <v>2333333.3333333335</v>
      </c>
      <c r="AE316" s="118">
        <f t="shared" si="99"/>
        <v>21000000.000000004</v>
      </c>
      <c r="AF316" s="85">
        <f t="shared" si="115"/>
        <v>2333333.3333333335</v>
      </c>
      <c r="AG316" s="84">
        <f t="shared" si="100"/>
        <v>18666666.666666672</v>
      </c>
      <c r="AH316" s="85"/>
      <c r="AI316" s="84">
        <f t="shared" si="101"/>
        <v>18666666.666666672</v>
      </c>
      <c r="AJ316" s="85"/>
      <c r="AK316" s="84">
        <f t="shared" si="102"/>
        <v>18666666.666666672</v>
      </c>
      <c r="AL316" s="85"/>
      <c r="AM316" s="84">
        <f t="shared" si="103"/>
        <v>18666666.666666672</v>
      </c>
      <c r="AN316" s="85"/>
      <c r="AO316" s="84">
        <f t="shared" si="104"/>
        <v>18666666.666666672</v>
      </c>
      <c r="AP316" s="85"/>
      <c r="AQ316" s="84">
        <f t="shared" si="105"/>
        <v>18666666.666666672</v>
      </c>
      <c r="AR316" s="85"/>
      <c r="AS316" s="84">
        <f t="shared" si="106"/>
        <v>18666666.666666672</v>
      </c>
      <c r="AT316" s="85"/>
      <c r="AU316" s="84">
        <f t="shared" si="107"/>
        <v>18666666.666666672</v>
      </c>
      <c r="AV316" s="85"/>
      <c r="AW316" s="84">
        <f t="shared" si="108"/>
        <v>18666666.666666672</v>
      </c>
      <c r="AX316" s="86">
        <f t="shared" si="109"/>
        <v>9333333.333333334</v>
      </c>
      <c r="AY316" s="87">
        <f t="shared" si="110"/>
        <v>18666666.666666664</v>
      </c>
      <c r="AZ316" s="65" t="b">
        <f t="shared" si="111"/>
        <v>1</v>
      </c>
    </row>
    <row r="317" spans="1:52" s="67" customFormat="1" ht="24.75" hidden="1" customHeight="1">
      <c r="A317" s="68">
        <v>313</v>
      </c>
      <c r="B317" s="69" t="s">
        <v>867</v>
      </c>
      <c r="C317" s="88" t="s">
        <v>806</v>
      </c>
      <c r="D317" s="71" t="s">
        <v>681</v>
      </c>
      <c r="E317" s="150" t="s">
        <v>865</v>
      </c>
      <c r="F317" s="104"/>
      <c r="G317" s="105">
        <v>45838</v>
      </c>
      <c r="H317" s="102" t="s">
        <v>862</v>
      </c>
      <c r="I317" s="120" t="s">
        <v>84</v>
      </c>
      <c r="J317" s="102" t="s">
        <v>85</v>
      </c>
      <c r="K317" s="68" t="s">
        <v>86</v>
      </c>
      <c r="L317" s="70" t="s">
        <v>87</v>
      </c>
      <c r="M317" s="88" t="s">
        <v>101</v>
      </c>
      <c r="N317" s="88" t="s">
        <v>102</v>
      </c>
      <c r="O317" s="108"/>
      <c r="P317" s="109">
        <v>45839</v>
      </c>
      <c r="Q317" s="110">
        <f t="shared" si="112"/>
        <v>46387</v>
      </c>
      <c r="R317" s="111">
        <v>18</v>
      </c>
      <c r="S317" s="151">
        <v>1.5</v>
      </c>
      <c r="T317" s="123">
        <v>123183000</v>
      </c>
      <c r="U317" s="113"/>
      <c r="V317" s="123">
        <v>123183000</v>
      </c>
      <c r="W317" s="115">
        <f t="shared" si="114"/>
        <v>6843500</v>
      </c>
      <c r="X317" s="115">
        <v>41061000</v>
      </c>
      <c r="Y317" s="115">
        <v>82122000</v>
      </c>
      <c r="Z317" s="124">
        <f t="shared" si="96"/>
        <v>6843500</v>
      </c>
      <c r="AA317" s="118">
        <f t="shared" si="95"/>
        <v>75278500</v>
      </c>
      <c r="AB317" s="85">
        <f t="shared" si="97"/>
        <v>6843500</v>
      </c>
      <c r="AC317" s="84">
        <f t="shared" si="98"/>
        <v>68435000</v>
      </c>
      <c r="AD317" s="85">
        <f t="shared" si="116"/>
        <v>6843500</v>
      </c>
      <c r="AE317" s="118">
        <f t="shared" si="99"/>
        <v>61591500</v>
      </c>
      <c r="AF317" s="85">
        <f t="shared" si="115"/>
        <v>6843500</v>
      </c>
      <c r="AG317" s="84">
        <f t="shared" si="100"/>
        <v>54748000</v>
      </c>
      <c r="AH317" s="85"/>
      <c r="AI317" s="84">
        <f t="shared" si="101"/>
        <v>54748000</v>
      </c>
      <c r="AJ317" s="85"/>
      <c r="AK317" s="84">
        <f t="shared" si="102"/>
        <v>54748000</v>
      </c>
      <c r="AL317" s="85"/>
      <c r="AM317" s="84">
        <f t="shared" si="103"/>
        <v>54748000</v>
      </c>
      <c r="AN317" s="85"/>
      <c r="AO317" s="84">
        <f t="shared" si="104"/>
        <v>54748000</v>
      </c>
      <c r="AP317" s="85"/>
      <c r="AQ317" s="84">
        <f t="shared" si="105"/>
        <v>54748000</v>
      </c>
      <c r="AR317" s="85"/>
      <c r="AS317" s="84">
        <f t="shared" si="106"/>
        <v>54748000</v>
      </c>
      <c r="AT317" s="85"/>
      <c r="AU317" s="84">
        <f t="shared" si="107"/>
        <v>54748000</v>
      </c>
      <c r="AV317" s="85"/>
      <c r="AW317" s="84">
        <f t="shared" si="108"/>
        <v>54748000</v>
      </c>
      <c r="AX317" s="86">
        <f t="shared" si="109"/>
        <v>27374000</v>
      </c>
      <c r="AY317" s="87">
        <f t="shared" si="110"/>
        <v>54748000</v>
      </c>
      <c r="AZ317" s="65" t="b">
        <f t="shared" si="111"/>
        <v>1</v>
      </c>
    </row>
    <row r="318" spans="1:52" s="67" customFormat="1" ht="24.75" hidden="1" customHeight="1">
      <c r="A318" s="68">
        <v>314</v>
      </c>
      <c r="B318" s="69" t="s">
        <v>868</v>
      </c>
      <c r="C318" s="88" t="s">
        <v>806</v>
      </c>
      <c r="D318" s="71" t="s">
        <v>681</v>
      </c>
      <c r="E318" s="150" t="s">
        <v>865</v>
      </c>
      <c r="F318" s="104"/>
      <c r="G318" s="105">
        <v>45838</v>
      </c>
      <c r="H318" s="102" t="s">
        <v>862</v>
      </c>
      <c r="I318" s="120" t="s">
        <v>84</v>
      </c>
      <c r="J318" s="102" t="s">
        <v>85</v>
      </c>
      <c r="K318" s="68" t="s">
        <v>86</v>
      </c>
      <c r="L318" s="70" t="s">
        <v>87</v>
      </c>
      <c r="M318" s="88" t="s">
        <v>125</v>
      </c>
      <c r="N318" s="88" t="s">
        <v>614</v>
      </c>
      <c r="O318" s="108"/>
      <c r="P318" s="109">
        <v>45839</v>
      </c>
      <c r="Q318" s="110">
        <f t="shared" si="112"/>
        <v>46387</v>
      </c>
      <c r="R318" s="111">
        <v>18</v>
      </c>
      <c r="S318" s="151">
        <v>1.5</v>
      </c>
      <c r="T318" s="123">
        <v>54780000</v>
      </c>
      <c r="U318" s="113"/>
      <c r="V318" s="123">
        <v>54780000</v>
      </c>
      <c r="W318" s="115">
        <f t="shared" si="114"/>
        <v>3043333.3333333335</v>
      </c>
      <c r="X318" s="115">
        <v>18260000</v>
      </c>
      <c r="Y318" s="115">
        <v>36520000</v>
      </c>
      <c r="Z318" s="124">
        <f t="shared" si="96"/>
        <v>3043333.3333333335</v>
      </c>
      <c r="AA318" s="118">
        <f t="shared" si="95"/>
        <v>33476666.666666668</v>
      </c>
      <c r="AB318" s="85">
        <f t="shared" si="97"/>
        <v>3043333.3333333335</v>
      </c>
      <c r="AC318" s="84">
        <f t="shared" si="98"/>
        <v>30433333.333333336</v>
      </c>
      <c r="AD318" s="85">
        <f t="shared" si="116"/>
        <v>3043333.3333333335</v>
      </c>
      <c r="AE318" s="118">
        <f t="shared" si="99"/>
        <v>27390000.000000004</v>
      </c>
      <c r="AF318" s="85">
        <f t="shared" si="115"/>
        <v>3043333.3333333335</v>
      </c>
      <c r="AG318" s="84">
        <f t="shared" si="100"/>
        <v>24346666.666666672</v>
      </c>
      <c r="AH318" s="85"/>
      <c r="AI318" s="84">
        <f t="shared" si="101"/>
        <v>24346666.666666672</v>
      </c>
      <c r="AJ318" s="124"/>
      <c r="AK318" s="84">
        <f t="shared" si="102"/>
        <v>24346666.666666672</v>
      </c>
      <c r="AL318" s="85"/>
      <c r="AM318" s="84">
        <f t="shared" si="103"/>
        <v>24346666.666666672</v>
      </c>
      <c r="AN318" s="85"/>
      <c r="AO318" s="84">
        <f t="shared" si="104"/>
        <v>24346666.666666672</v>
      </c>
      <c r="AP318" s="85"/>
      <c r="AQ318" s="84">
        <f t="shared" si="105"/>
        <v>24346666.666666672</v>
      </c>
      <c r="AR318" s="85"/>
      <c r="AS318" s="84">
        <f t="shared" si="106"/>
        <v>24346666.666666672</v>
      </c>
      <c r="AT318" s="85"/>
      <c r="AU318" s="84">
        <f t="shared" si="107"/>
        <v>24346666.666666672</v>
      </c>
      <c r="AV318" s="85"/>
      <c r="AW318" s="84">
        <f t="shared" si="108"/>
        <v>24346666.666666672</v>
      </c>
      <c r="AX318" s="86">
        <f t="shared" si="109"/>
        <v>12173333.333333334</v>
      </c>
      <c r="AY318" s="87">
        <f t="shared" si="110"/>
        <v>24346666.666666664</v>
      </c>
      <c r="AZ318" s="65" t="b">
        <f t="shared" si="111"/>
        <v>1</v>
      </c>
    </row>
    <row r="319" spans="1:52" s="67" customFormat="1" ht="24.75" hidden="1" customHeight="1">
      <c r="A319" s="68">
        <v>315</v>
      </c>
      <c r="B319" s="69" t="s">
        <v>869</v>
      </c>
      <c r="C319" s="88" t="s">
        <v>73</v>
      </c>
      <c r="D319" s="71" t="s">
        <v>64</v>
      </c>
      <c r="E319" s="150" t="s">
        <v>870</v>
      </c>
      <c r="F319" s="104"/>
      <c r="G319" s="105">
        <v>45863</v>
      </c>
      <c r="H319" s="102" t="s">
        <v>871</v>
      </c>
      <c r="I319" s="120" t="s">
        <v>66</v>
      </c>
      <c r="J319" s="102" t="s">
        <v>67</v>
      </c>
      <c r="K319" s="68" t="s">
        <v>476</v>
      </c>
      <c r="L319" s="70" t="s">
        <v>69</v>
      </c>
      <c r="M319" s="88" t="s">
        <v>55</v>
      </c>
      <c r="N319" s="88" t="s">
        <v>56</v>
      </c>
      <c r="O319" s="108"/>
      <c r="P319" s="109">
        <v>45870</v>
      </c>
      <c r="Q319" s="110">
        <f t="shared" si="112"/>
        <v>46599</v>
      </c>
      <c r="R319" s="111">
        <v>24</v>
      </c>
      <c r="S319" s="151">
        <v>2</v>
      </c>
      <c r="T319" s="123">
        <v>242500000</v>
      </c>
      <c r="U319" s="113"/>
      <c r="V319" s="123">
        <v>242500000</v>
      </c>
      <c r="W319" s="115">
        <f t="shared" si="114"/>
        <v>10104166.666666666</v>
      </c>
      <c r="X319" s="115">
        <v>50520833.333333328</v>
      </c>
      <c r="Y319" s="123">
        <v>191979166.66666669</v>
      </c>
      <c r="Z319" s="124">
        <f t="shared" si="96"/>
        <v>10104166.666666666</v>
      </c>
      <c r="AA319" s="118">
        <f t="shared" ref="AA319:AA378" si="117">+V319-X319-Z319</f>
        <v>181875000.00000003</v>
      </c>
      <c r="AB319" s="85">
        <f t="shared" si="97"/>
        <v>10104166.666666666</v>
      </c>
      <c r="AC319" s="84">
        <f t="shared" si="98"/>
        <v>171770833.33333337</v>
      </c>
      <c r="AD319" s="85">
        <f t="shared" si="116"/>
        <v>10104166.666666666</v>
      </c>
      <c r="AE319" s="118">
        <f t="shared" si="99"/>
        <v>161666666.66666672</v>
      </c>
      <c r="AF319" s="85">
        <f t="shared" si="115"/>
        <v>10104166.666666666</v>
      </c>
      <c r="AG319" s="84">
        <f t="shared" si="100"/>
        <v>151562500.00000006</v>
      </c>
      <c r="AH319" s="85"/>
      <c r="AI319" s="84">
        <f t="shared" si="101"/>
        <v>151562500.00000006</v>
      </c>
      <c r="AJ319" s="124"/>
      <c r="AK319" s="84">
        <f t="shared" si="102"/>
        <v>151562500.00000006</v>
      </c>
      <c r="AL319" s="85"/>
      <c r="AM319" s="84">
        <f t="shared" si="103"/>
        <v>151562500.00000006</v>
      </c>
      <c r="AN319" s="85"/>
      <c r="AO319" s="84">
        <f t="shared" si="104"/>
        <v>151562500.00000006</v>
      </c>
      <c r="AP319" s="85"/>
      <c r="AQ319" s="84">
        <f t="shared" si="105"/>
        <v>151562500.00000006</v>
      </c>
      <c r="AR319" s="85"/>
      <c r="AS319" s="84">
        <f t="shared" si="106"/>
        <v>151562500.00000006</v>
      </c>
      <c r="AT319" s="85"/>
      <c r="AU319" s="84">
        <f t="shared" si="107"/>
        <v>151562500.00000006</v>
      </c>
      <c r="AV319" s="85"/>
      <c r="AW319" s="84">
        <f t="shared" si="108"/>
        <v>151562500.00000006</v>
      </c>
      <c r="AX319" s="86">
        <f t="shared" si="109"/>
        <v>40416666.666666664</v>
      </c>
      <c r="AY319" s="87">
        <f t="shared" si="110"/>
        <v>151562500.00000003</v>
      </c>
      <c r="AZ319" s="65" t="b">
        <f t="shared" si="111"/>
        <v>1</v>
      </c>
    </row>
    <row r="320" spans="1:52" s="67" customFormat="1" ht="24.75" hidden="1" customHeight="1">
      <c r="A320" s="68">
        <v>316</v>
      </c>
      <c r="B320" s="69" t="s">
        <v>872</v>
      </c>
      <c r="C320" s="88" t="s">
        <v>873</v>
      </c>
      <c r="D320" s="71" t="s">
        <v>396</v>
      </c>
      <c r="E320" s="150" t="s">
        <v>874</v>
      </c>
      <c r="F320" s="104"/>
      <c r="G320" s="105">
        <v>45867</v>
      </c>
      <c r="H320" s="102" t="s">
        <v>875</v>
      </c>
      <c r="I320" s="120" t="s">
        <v>399</v>
      </c>
      <c r="J320" s="102" t="s">
        <v>400</v>
      </c>
      <c r="K320" s="106" t="s">
        <v>349</v>
      </c>
      <c r="L320" s="107" t="s">
        <v>350</v>
      </c>
      <c r="M320" s="88" t="s">
        <v>111</v>
      </c>
      <c r="N320" s="88" t="s">
        <v>112</v>
      </c>
      <c r="O320" s="108"/>
      <c r="P320" s="109">
        <v>45870</v>
      </c>
      <c r="Q320" s="110">
        <f t="shared" si="112"/>
        <v>46234</v>
      </c>
      <c r="R320" s="111">
        <v>12</v>
      </c>
      <c r="S320" s="151">
        <v>1</v>
      </c>
      <c r="T320" s="123">
        <v>49845000</v>
      </c>
      <c r="U320" s="113"/>
      <c r="V320" s="123">
        <v>49845000</v>
      </c>
      <c r="W320" s="115">
        <f t="shared" si="114"/>
        <v>4153750</v>
      </c>
      <c r="X320" s="115">
        <v>20768750</v>
      </c>
      <c r="Y320" s="123">
        <v>29076250</v>
      </c>
      <c r="Z320" s="124">
        <f t="shared" si="96"/>
        <v>4153750</v>
      </c>
      <c r="AA320" s="118">
        <f t="shared" si="117"/>
        <v>24922500</v>
      </c>
      <c r="AB320" s="85">
        <f t="shared" si="97"/>
        <v>4153750</v>
      </c>
      <c r="AC320" s="84">
        <f t="shared" si="98"/>
        <v>20768750</v>
      </c>
      <c r="AD320" s="85">
        <f t="shared" si="116"/>
        <v>4153750</v>
      </c>
      <c r="AE320" s="118">
        <f t="shared" si="99"/>
        <v>16615000</v>
      </c>
      <c r="AF320" s="85">
        <f t="shared" si="115"/>
        <v>4153750</v>
      </c>
      <c r="AG320" s="84">
        <f t="shared" si="100"/>
        <v>12461250</v>
      </c>
      <c r="AH320" s="85"/>
      <c r="AI320" s="84">
        <f t="shared" si="101"/>
        <v>12461250</v>
      </c>
      <c r="AJ320" s="124"/>
      <c r="AK320" s="84">
        <f t="shared" si="102"/>
        <v>12461250</v>
      </c>
      <c r="AL320" s="85"/>
      <c r="AM320" s="84">
        <f t="shared" si="103"/>
        <v>12461250</v>
      </c>
      <c r="AN320" s="85"/>
      <c r="AO320" s="84">
        <f t="shared" si="104"/>
        <v>12461250</v>
      </c>
      <c r="AP320" s="85"/>
      <c r="AQ320" s="84">
        <f t="shared" si="105"/>
        <v>12461250</v>
      </c>
      <c r="AR320" s="85"/>
      <c r="AS320" s="84">
        <f t="shared" si="106"/>
        <v>12461250</v>
      </c>
      <c r="AT320" s="85"/>
      <c r="AU320" s="84">
        <f t="shared" si="107"/>
        <v>12461250</v>
      </c>
      <c r="AV320" s="85"/>
      <c r="AW320" s="84">
        <f t="shared" si="108"/>
        <v>12461250</v>
      </c>
      <c r="AX320" s="86">
        <f t="shared" si="109"/>
        <v>16615000</v>
      </c>
      <c r="AY320" s="87">
        <f t="shared" si="110"/>
        <v>12461250</v>
      </c>
      <c r="AZ320" s="65" t="b">
        <f t="shared" si="111"/>
        <v>1</v>
      </c>
    </row>
    <row r="321" spans="1:52" s="67" customFormat="1" ht="24.75" hidden="1" customHeight="1">
      <c r="A321" s="68">
        <v>317</v>
      </c>
      <c r="B321" s="69" t="s">
        <v>876</v>
      </c>
      <c r="C321" s="88" t="s">
        <v>806</v>
      </c>
      <c r="D321" s="71" t="s">
        <v>95</v>
      </c>
      <c r="E321" s="150" t="s">
        <v>877</v>
      </c>
      <c r="F321" s="104"/>
      <c r="G321" s="105">
        <v>45869</v>
      </c>
      <c r="H321" s="102" t="s">
        <v>878</v>
      </c>
      <c r="I321" s="120" t="s">
        <v>98</v>
      </c>
      <c r="J321" s="102" t="s">
        <v>879</v>
      </c>
      <c r="K321" s="68" t="s">
        <v>99</v>
      </c>
      <c r="L321" s="70" t="s">
        <v>100</v>
      </c>
      <c r="M321" s="88" t="s">
        <v>101</v>
      </c>
      <c r="N321" s="88" t="s">
        <v>102</v>
      </c>
      <c r="O321" s="108"/>
      <c r="P321" s="109">
        <v>45870</v>
      </c>
      <c r="Q321" s="110">
        <f t="shared" si="112"/>
        <v>46599</v>
      </c>
      <c r="R321" s="111">
        <v>24</v>
      </c>
      <c r="S321" s="111">
        <v>2</v>
      </c>
      <c r="T321" s="123">
        <v>202672174.615385</v>
      </c>
      <c r="U321" s="113"/>
      <c r="V321" s="123">
        <v>202672174.615385</v>
      </c>
      <c r="W321" s="115">
        <f t="shared" si="114"/>
        <v>8444673.9423077088</v>
      </c>
      <c r="X321" s="115">
        <v>42223369.711538546</v>
      </c>
      <c r="Y321" s="123">
        <v>160448804.90384644</v>
      </c>
      <c r="Z321" s="124">
        <f t="shared" si="96"/>
        <v>8444673.9423077088</v>
      </c>
      <c r="AA321" s="118">
        <f t="shared" si="117"/>
        <v>152004130.96153873</v>
      </c>
      <c r="AB321" s="85">
        <f t="shared" si="97"/>
        <v>8444673.9423077088</v>
      </c>
      <c r="AC321" s="84">
        <f t="shared" si="98"/>
        <v>143559457.01923102</v>
      </c>
      <c r="AD321" s="85">
        <f t="shared" si="116"/>
        <v>8444673.9423077088</v>
      </c>
      <c r="AE321" s="118">
        <f t="shared" si="99"/>
        <v>135114783.07692331</v>
      </c>
      <c r="AF321" s="85">
        <f t="shared" si="115"/>
        <v>8444673.9423077088</v>
      </c>
      <c r="AG321" s="84">
        <f t="shared" si="100"/>
        <v>126670109.1346156</v>
      </c>
      <c r="AH321" s="85"/>
      <c r="AI321" s="84">
        <f t="shared" si="101"/>
        <v>126670109.1346156</v>
      </c>
      <c r="AJ321" s="124"/>
      <c r="AK321" s="84">
        <f t="shared" si="102"/>
        <v>126670109.1346156</v>
      </c>
      <c r="AL321" s="124"/>
      <c r="AM321" s="84">
        <f t="shared" si="103"/>
        <v>126670109.1346156</v>
      </c>
      <c r="AN321" s="85"/>
      <c r="AO321" s="84">
        <f t="shared" si="104"/>
        <v>126670109.1346156</v>
      </c>
      <c r="AP321" s="85"/>
      <c r="AQ321" s="84">
        <f t="shared" si="105"/>
        <v>126670109.1346156</v>
      </c>
      <c r="AR321" s="85"/>
      <c r="AS321" s="84">
        <f t="shared" si="106"/>
        <v>126670109.1346156</v>
      </c>
      <c r="AT321" s="85"/>
      <c r="AU321" s="84">
        <f t="shared" si="107"/>
        <v>126670109.1346156</v>
      </c>
      <c r="AV321" s="85"/>
      <c r="AW321" s="84">
        <f t="shared" si="108"/>
        <v>126670109.1346156</v>
      </c>
      <c r="AX321" s="86">
        <f t="shared" si="109"/>
        <v>33778695.769230835</v>
      </c>
      <c r="AY321" s="87">
        <f t="shared" si="110"/>
        <v>126670109.1346156</v>
      </c>
      <c r="AZ321" s="65" t="b">
        <f t="shared" si="111"/>
        <v>1</v>
      </c>
    </row>
    <row r="322" spans="1:52" s="67" customFormat="1" ht="24.75" hidden="1" customHeight="1">
      <c r="A322" s="141">
        <v>318</v>
      </c>
      <c r="B322" s="69" t="s">
        <v>880</v>
      </c>
      <c r="C322" s="88" t="s">
        <v>806</v>
      </c>
      <c r="D322" s="71" t="s">
        <v>681</v>
      </c>
      <c r="E322" s="150" t="s">
        <v>881</v>
      </c>
      <c r="F322" s="104"/>
      <c r="G322" s="105">
        <v>45869</v>
      </c>
      <c r="H322" s="102" t="s">
        <v>882</v>
      </c>
      <c r="I322" s="120" t="s">
        <v>513</v>
      </c>
      <c r="J322" s="102" t="s">
        <v>883</v>
      </c>
      <c r="K322" s="68" t="s">
        <v>86</v>
      </c>
      <c r="L322" s="70" t="s">
        <v>87</v>
      </c>
      <c r="M322" s="142" t="s">
        <v>761</v>
      </c>
      <c r="N322" s="142" t="s">
        <v>762</v>
      </c>
      <c r="O322" s="108"/>
      <c r="P322" s="109">
        <v>45870</v>
      </c>
      <c r="Q322" s="110">
        <f t="shared" si="112"/>
        <v>46599</v>
      </c>
      <c r="R322" s="111">
        <v>24</v>
      </c>
      <c r="S322" s="111">
        <v>2</v>
      </c>
      <c r="T322" s="123">
        <v>217530138.09999999</v>
      </c>
      <c r="U322" s="113"/>
      <c r="V322" s="123">
        <v>217530138.09999999</v>
      </c>
      <c r="W322" s="115">
        <f t="shared" si="114"/>
        <v>9063755.7541666664</v>
      </c>
      <c r="X322" s="115">
        <v>45318778.770833328</v>
      </c>
      <c r="Y322" s="123">
        <v>172211359.32916665</v>
      </c>
      <c r="Z322" s="124">
        <f t="shared" si="96"/>
        <v>9063755.7541666664</v>
      </c>
      <c r="AA322" s="118">
        <f t="shared" si="117"/>
        <v>163147603.57499999</v>
      </c>
      <c r="AB322" s="85">
        <f t="shared" si="97"/>
        <v>9063755.7541666664</v>
      </c>
      <c r="AC322" s="84">
        <f t="shared" si="98"/>
        <v>154083847.82083333</v>
      </c>
      <c r="AD322" s="152">
        <f t="shared" si="116"/>
        <v>9063755.7541666664</v>
      </c>
      <c r="AE322" s="118">
        <f t="shared" si="99"/>
        <v>145020092.06666666</v>
      </c>
      <c r="AF322" s="85">
        <f t="shared" si="115"/>
        <v>9063755.7541666664</v>
      </c>
      <c r="AG322" s="84">
        <f t="shared" si="100"/>
        <v>135956336.3125</v>
      </c>
      <c r="AH322" s="85"/>
      <c r="AI322" s="84">
        <f t="shared" si="101"/>
        <v>135956336.3125</v>
      </c>
      <c r="AJ322" s="124"/>
      <c r="AK322" s="84">
        <f t="shared" si="102"/>
        <v>135956336.3125</v>
      </c>
      <c r="AL322" s="124"/>
      <c r="AM322" s="84">
        <f t="shared" si="103"/>
        <v>135956336.3125</v>
      </c>
      <c r="AN322" s="85"/>
      <c r="AO322" s="84">
        <f t="shared" si="104"/>
        <v>135956336.3125</v>
      </c>
      <c r="AP322" s="85"/>
      <c r="AQ322" s="84">
        <f t="shared" si="105"/>
        <v>135956336.3125</v>
      </c>
      <c r="AR322" s="85"/>
      <c r="AS322" s="84">
        <f t="shared" si="106"/>
        <v>135956336.3125</v>
      </c>
      <c r="AT322" s="85"/>
      <c r="AU322" s="84">
        <f t="shared" si="107"/>
        <v>135956336.3125</v>
      </c>
      <c r="AV322" s="85"/>
      <c r="AW322" s="84">
        <f t="shared" si="108"/>
        <v>135956336.3125</v>
      </c>
      <c r="AX322" s="86">
        <f t="shared" si="109"/>
        <v>36255023.016666666</v>
      </c>
      <c r="AY322" s="87">
        <f t="shared" si="110"/>
        <v>135956336.3125</v>
      </c>
      <c r="AZ322" s="65" t="b">
        <f t="shared" si="111"/>
        <v>1</v>
      </c>
    </row>
    <row r="323" spans="1:52" s="67" customFormat="1" ht="24.75" hidden="1" customHeight="1">
      <c r="A323" s="141">
        <v>319</v>
      </c>
      <c r="B323" s="69" t="s">
        <v>884</v>
      </c>
      <c r="C323" s="88" t="s">
        <v>806</v>
      </c>
      <c r="D323" s="71" t="s">
        <v>681</v>
      </c>
      <c r="E323" s="150" t="s">
        <v>885</v>
      </c>
      <c r="F323" s="104"/>
      <c r="G323" s="105">
        <v>45869</v>
      </c>
      <c r="H323" s="102" t="s">
        <v>882</v>
      </c>
      <c r="I323" s="120" t="s">
        <v>513</v>
      </c>
      <c r="J323" s="102" t="s">
        <v>883</v>
      </c>
      <c r="K323" s="68" t="s">
        <v>86</v>
      </c>
      <c r="L323" s="70" t="s">
        <v>87</v>
      </c>
      <c r="M323" s="144" t="s">
        <v>767</v>
      </c>
      <c r="N323" s="144" t="s">
        <v>768</v>
      </c>
      <c r="O323" s="108"/>
      <c r="P323" s="109">
        <v>45870</v>
      </c>
      <c r="Q323" s="110">
        <f t="shared" si="112"/>
        <v>46599</v>
      </c>
      <c r="R323" s="111">
        <v>24</v>
      </c>
      <c r="S323" s="111">
        <v>2</v>
      </c>
      <c r="T323" s="123">
        <v>76447657.549999997</v>
      </c>
      <c r="U323" s="113"/>
      <c r="V323" s="123">
        <v>76447657.549999997</v>
      </c>
      <c r="W323" s="115">
        <f t="shared" si="114"/>
        <v>3185319.0645833332</v>
      </c>
      <c r="X323" s="115">
        <v>15926595.322916666</v>
      </c>
      <c r="Y323" s="115">
        <v>60521062.227083333</v>
      </c>
      <c r="Z323" s="124">
        <f t="shared" si="96"/>
        <v>3185319.0645833332</v>
      </c>
      <c r="AA323" s="118">
        <f t="shared" si="117"/>
        <v>57335743.162500001</v>
      </c>
      <c r="AB323" s="85">
        <f t="shared" si="97"/>
        <v>3185319.0645833332</v>
      </c>
      <c r="AC323" s="84">
        <f t="shared" si="98"/>
        <v>54150424.09791667</v>
      </c>
      <c r="AD323" s="152">
        <f t="shared" si="116"/>
        <v>3185319.0645833332</v>
      </c>
      <c r="AE323" s="118">
        <f t="shared" si="99"/>
        <v>50965105.033333339</v>
      </c>
      <c r="AF323" s="85">
        <f t="shared" si="115"/>
        <v>3185319.0645833332</v>
      </c>
      <c r="AG323" s="84">
        <f t="shared" si="100"/>
        <v>47779785.968750007</v>
      </c>
      <c r="AH323" s="85"/>
      <c r="AI323" s="84">
        <f t="shared" si="101"/>
        <v>47779785.968750007</v>
      </c>
      <c r="AJ323" s="124"/>
      <c r="AK323" s="84">
        <f t="shared" si="102"/>
        <v>47779785.968750007</v>
      </c>
      <c r="AL323" s="124"/>
      <c r="AM323" s="84">
        <f t="shared" si="103"/>
        <v>47779785.968750007</v>
      </c>
      <c r="AN323" s="85"/>
      <c r="AO323" s="84">
        <f t="shared" si="104"/>
        <v>47779785.968750007</v>
      </c>
      <c r="AP323" s="85"/>
      <c r="AQ323" s="84">
        <f t="shared" si="105"/>
        <v>47779785.968750007</v>
      </c>
      <c r="AR323" s="85"/>
      <c r="AS323" s="84">
        <f t="shared" si="106"/>
        <v>47779785.968750007</v>
      </c>
      <c r="AT323" s="85"/>
      <c r="AU323" s="84">
        <f t="shared" si="107"/>
        <v>47779785.968750007</v>
      </c>
      <c r="AV323" s="85"/>
      <c r="AW323" s="84">
        <f t="shared" si="108"/>
        <v>47779785.968750007</v>
      </c>
      <c r="AX323" s="86">
        <f t="shared" si="109"/>
        <v>12741276.258333333</v>
      </c>
      <c r="AY323" s="87">
        <f t="shared" si="110"/>
        <v>47779785.96875</v>
      </c>
      <c r="AZ323" s="65" t="b">
        <f t="shared" si="111"/>
        <v>1</v>
      </c>
    </row>
    <row r="324" spans="1:52" s="67" customFormat="1" ht="24.75" hidden="1" customHeight="1">
      <c r="A324" s="68">
        <v>320</v>
      </c>
      <c r="B324" s="69" t="s">
        <v>886</v>
      </c>
      <c r="C324" s="88" t="s">
        <v>395</v>
      </c>
      <c r="D324" s="71" t="s">
        <v>396</v>
      </c>
      <c r="E324" s="150" t="s">
        <v>887</v>
      </c>
      <c r="F324" s="104"/>
      <c r="G324" s="105">
        <v>45900</v>
      </c>
      <c r="H324" s="102" t="s">
        <v>888</v>
      </c>
      <c r="I324" s="120" t="s">
        <v>399</v>
      </c>
      <c r="J324" s="102" t="s">
        <v>400</v>
      </c>
      <c r="K324" s="106">
        <v>55022207</v>
      </c>
      <c r="L324" s="107" t="s">
        <v>454</v>
      </c>
      <c r="M324" s="88" t="s">
        <v>111</v>
      </c>
      <c r="N324" s="88" t="s">
        <v>112</v>
      </c>
      <c r="O324" s="108"/>
      <c r="P324" s="109">
        <v>45870</v>
      </c>
      <c r="Q324" s="110">
        <f t="shared" si="112"/>
        <v>46599</v>
      </c>
      <c r="R324" s="111">
        <v>24</v>
      </c>
      <c r="S324" s="111">
        <v>2</v>
      </c>
      <c r="T324" s="123">
        <v>24300000</v>
      </c>
      <c r="U324" s="113"/>
      <c r="V324" s="123">
        <v>24300000</v>
      </c>
      <c r="W324" s="115">
        <f t="shared" si="114"/>
        <v>1012500</v>
      </c>
      <c r="X324" s="115">
        <v>4050000</v>
      </c>
      <c r="Y324" s="123">
        <v>20250000</v>
      </c>
      <c r="Z324" s="124">
        <f t="shared" si="96"/>
        <v>1012500</v>
      </c>
      <c r="AA324" s="118">
        <f t="shared" si="117"/>
        <v>19237500</v>
      </c>
      <c r="AB324" s="85">
        <f t="shared" si="97"/>
        <v>1012500</v>
      </c>
      <c r="AC324" s="84">
        <f t="shared" si="98"/>
        <v>18225000</v>
      </c>
      <c r="AD324" s="85">
        <f t="shared" si="116"/>
        <v>1012500</v>
      </c>
      <c r="AE324" s="118">
        <f t="shared" si="99"/>
        <v>17212500</v>
      </c>
      <c r="AF324" s="85">
        <f t="shared" si="115"/>
        <v>1012500</v>
      </c>
      <c r="AG324" s="84">
        <f t="shared" si="100"/>
        <v>16200000</v>
      </c>
      <c r="AH324" s="85"/>
      <c r="AI324" s="84">
        <f t="shared" si="101"/>
        <v>16200000</v>
      </c>
      <c r="AJ324" s="124"/>
      <c r="AK324" s="84">
        <f t="shared" si="102"/>
        <v>16200000</v>
      </c>
      <c r="AL324" s="124"/>
      <c r="AM324" s="84">
        <f t="shared" si="103"/>
        <v>16200000</v>
      </c>
      <c r="AN324" s="85"/>
      <c r="AO324" s="84">
        <f t="shared" si="104"/>
        <v>16200000</v>
      </c>
      <c r="AP324" s="85"/>
      <c r="AQ324" s="84">
        <f t="shared" si="105"/>
        <v>16200000</v>
      </c>
      <c r="AR324" s="85"/>
      <c r="AS324" s="84">
        <f t="shared" si="106"/>
        <v>16200000</v>
      </c>
      <c r="AT324" s="85"/>
      <c r="AU324" s="84">
        <f t="shared" si="107"/>
        <v>16200000</v>
      </c>
      <c r="AV324" s="85"/>
      <c r="AW324" s="84">
        <f t="shared" si="108"/>
        <v>16200000</v>
      </c>
      <c r="AX324" s="86">
        <f t="shared" si="109"/>
        <v>4050000</v>
      </c>
      <c r="AY324" s="87">
        <f t="shared" si="110"/>
        <v>16200000</v>
      </c>
      <c r="AZ324" s="65" t="b">
        <f t="shared" si="111"/>
        <v>1</v>
      </c>
    </row>
    <row r="325" spans="1:52" s="67" customFormat="1" ht="24.75" hidden="1" customHeight="1">
      <c r="A325" s="68">
        <v>321</v>
      </c>
      <c r="B325" s="69" t="s">
        <v>889</v>
      </c>
      <c r="C325" s="88" t="s">
        <v>395</v>
      </c>
      <c r="D325" s="71" t="s">
        <v>396</v>
      </c>
      <c r="E325" s="150" t="s">
        <v>890</v>
      </c>
      <c r="F325" s="104"/>
      <c r="G325" s="105">
        <v>45900</v>
      </c>
      <c r="H325" s="102" t="s">
        <v>888</v>
      </c>
      <c r="I325" s="120" t="s">
        <v>399</v>
      </c>
      <c r="J325" s="102" t="s">
        <v>400</v>
      </c>
      <c r="K325" s="68" t="s">
        <v>68</v>
      </c>
      <c r="L325" s="70" t="s">
        <v>69</v>
      </c>
      <c r="M325" s="88" t="s">
        <v>125</v>
      </c>
      <c r="N325" s="88" t="s">
        <v>126</v>
      </c>
      <c r="O325" s="108"/>
      <c r="P325" s="109">
        <v>45870</v>
      </c>
      <c r="Q325" s="110">
        <f t="shared" si="112"/>
        <v>46599</v>
      </c>
      <c r="R325" s="111">
        <v>24</v>
      </c>
      <c r="S325" s="111">
        <v>2</v>
      </c>
      <c r="T325" s="123">
        <v>45120000</v>
      </c>
      <c r="U325" s="113"/>
      <c r="V325" s="123">
        <v>45120000</v>
      </c>
      <c r="W325" s="115">
        <f t="shared" si="114"/>
        <v>1880000</v>
      </c>
      <c r="X325" s="115">
        <v>7520000</v>
      </c>
      <c r="Y325" s="115">
        <v>37600000</v>
      </c>
      <c r="Z325" s="124">
        <f t="shared" si="96"/>
        <v>1880000</v>
      </c>
      <c r="AA325" s="118">
        <f t="shared" si="117"/>
        <v>35720000</v>
      </c>
      <c r="AB325" s="85">
        <f t="shared" si="97"/>
        <v>1880000</v>
      </c>
      <c r="AC325" s="84">
        <f t="shared" si="98"/>
        <v>33840000</v>
      </c>
      <c r="AD325" s="85">
        <f t="shared" si="116"/>
        <v>1880000</v>
      </c>
      <c r="AE325" s="118">
        <f t="shared" si="99"/>
        <v>31960000</v>
      </c>
      <c r="AF325" s="85">
        <f t="shared" si="115"/>
        <v>1880000</v>
      </c>
      <c r="AG325" s="84">
        <f t="shared" si="100"/>
        <v>30080000</v>
      </c>
      <c r="AH325" s="85"/>
      <c r="AI325" s="84">
        <f t="shared" si="101"/>
        <v>30080000</v>
      </c>
      <c r="AJ325" s="124"/>
      <c r="AK325" s="84">
        <f t="shared" si="102"/>
        <v>30080000</v>
      </c>
      <c r="AL325" s="124"/>
      <c r="AM325" s="84">
        <f t="shared" si="103"/>
        <v>30080000</v>
      </c>
      <c r="AN325" s="85"/>
      <c r="AO325" s="84">
        <f t="shared" si="104"/>
        <v>30080000</v>
      </c>
      <c r="AP325" s="85"/>
      <c r="AQ325" s="84">
        <f t="shared" si="105"/>
        <v>30080000</v>
      </c>
      <c r="AR325" s="85"/>
      <c r="AS325" s="84">
        <f t="shared" si="106"/>
        <v>30080000</v>
      </c>
      <c r="AT325" s="85"/>
      <c r="AU325" s="84">
        <f t="shared" si="107"/>
        <v>30080000</v>
      </c>
      <c r="AV325" s="85"/>
      <c r="AW325" s="84">
        <f t="shared" si="108"/>
        <v>30080000</v>
      </c>
      <c r="AX325" s="86">
        <f t="shared" si="109"/>
        <v>7520000</v>
      </c>
      <c r="AY325" s="87">
        <f t="shared" si="110"/>
        <v>30080000</v>
      </c>
      <c r="AZ325" s="65" t="b">
        <f t="shared" si="111"/>
        <v>1</v>
      </c>
    </row>
    <row r="326" spans="1:52" s="67" customFormat="1" ht="24.75" hidden="1" customHeight="1">
      <c r="A326" s="68">
        <v>322</v>
      </c>
      <c r="B326" s="69" t="s">
        <v>891</v>
      </c>
      <c r="C326" s="88" t="s">
        <v>806</v>
      </c>
      <c r="D326" s="71" t="s">
        <v>681</v>
      </c>
      <c r="E326" s="150" t="s">
        <v>892</v>
      </c>
      <c r="F326" s="104"/>
      <c r="G326" s="105">
        <v>45900</v>
      </c>
      <c r="H326" s="102" t="s">
        <v>893</v>
      </c>
      <c r="I326" s="120" t="s">
        <v>84</v>
      </c>
      <c r="J326" s="102" t="s">
        <v>85</v>
      </c>
      <c r="K326" s="68" t="s">
        <v>86</v>
      </c>
      <c r="L326" s="70" t="s">
        <v>87</v>
      </c>
      <c r="M326" s="88" t="s">
        <v>125</v>
      </c>
      <c r="N326" s="88" t="s">
        <v>126</v>
      </c>
      <c r="O326" s="108"/>
      <c r="P326" s="109">
        <v>45901</v>
      </c>
      <c r="Q326" s="110">
        <f t="shared" si="112"/>
        <v>46630</v>
      </c>
      <c r="R326" s="111">
        <v>24</v>
      </c>
      <c r="S326" s="111">
        <v>2</v>
      </c>
      <c r="T326" s="123">
        <v>95735880</v>
      </c>
      <c r="U326" s="113"/>
      <c r="V326" s="123">
        <v>95735880</v>
      </c>
      <c r="W326" s="115">
        <f t="shared" si="114"/>
        <v>3988995</v>
      </c>
      <c r="X326" s="115">
        <v>15955980</v>
      </c>
      <c r="Y326" s="115">
        <v>79779900</v>
      </c>
      <c r="Z326" s="124">
        <f t="shared" ref="Z326:Z389" si="118">+IF(Y326&lt;&gt;0,$W326,0)</f>
        <v>3988995</v>
      </c>
      <c r="AA326" s="118">
        <f t="shared" si="117"/>
        <v>75790905</v>
      </c>
      <c r="AB326" s="85">
        <f t="shared" ref="AB326:AD372" si="119">+IF(AA326&lt;&gt;0,$W326,0)</f>
        <v>3988995</v>
      </c>
      <c r="AC326" s="84">
        <f t="shared" ref="AC326:AC378" si="120">AA326-AB326</f>
        <v>71801910</v>
      </c>
      <c r="AD326" s="85">
        <f t="shared" si="116"/>
        <v>3988995</v>
      </c>
      <c r="AE326" s="118">
        <f t="shared" ref="AE326:AE389" si="121">AC326-AD326</f>
        <v>67812915</v>
      </c>
      <c r="AF326" s="85">
        <f t="shared" si="115"/>
        <v>3988995</v>
      </c>
      <c r="AG326" s="84">
        <f t="shared" ref="AG326:AG389" si="122">AE326-AF326</f>
        <v>63823920</v>
      </c>
      <c r="AH326" s="85"/>
      <c r="AI326" s="84">
        <f t="shared" ref="AI326:AI389" si="123">AG326-AH326</f>
        <v>63823920</v>
      </c>
      <c r="AJ326" s="124"/>
      <c r="AK326" s="84">
        <f t="shared" ref="AK326:AK389" si="124">AI326-AJ326</f>
        <v>63823920</v>
      </c>
      <c r="AL326" s="124"/>
      <c r="AM326" s="84">
        <f t="shared" ref="AM326:AM389" si="125">AK326-AL326</f>
        <v>63823920</v>
      </c>
      <c r="AN326" s="85"/>
      <c r="AO326" s="84">
        <f t="shared" ref="AO326:AO389" si="126">AM326-AN326</f>
        <v>63823920</v>
      </c>
      <c r="AP326" s="85"/>
      <c r="AQ326" s="84">
        <f t="shared" ref="AQ326:AQ389" si="127">AO326-AP326</f>
        <v>63823920</v>
      </c>
      <c r="AR326" s="85"/>
      <c r="AS326" s="84">
        <f t="shared" ref="AS326:AS389" si="128">AQ326-AR326</f>
        <v>63823920</v>
      </c>
      <c r="AT326" s="85"/>
      <c r="AU326" s="84">
        <f t="shared" ref="AU326:AU389" si="129">AS326-AT326</f>
        <v>63823920</v>
      </c>
      <c r="AV326" s="85"/>
      <c r="AW326" s="84">
        <f t="shared" ref="AW326:AW389" si="130">AU326-AV326</f>
        <v>63823920</v>
      </c>
      <c r="AX326" s="86">
        <f t="shared" ref="AX326:AX389" si="131">SUMIF($Z$4:$AW$4,"Amortization",Z326:AW326)</f>
        <v>15955980</v>
      </c>
      <c r="AY326" s="87">
        <f t="shared" ref="AY326:AY389" si="132">V326-X326-AX326</f>
        <v>63823920</v>
      </c>
      <c r="AZ326" s="65" t="b">
        <f t="shared" ref="AZ326:AZ389" si="133">ROUND(AW326,0)=ROUND(AY326,0)</f>
        <v>1</v>
      </c>
    </row>
    <row r="327" spans="1:52" s="67" customFormat="1" ht="24.75" hidden="1" customHeight="1">
      <c r="A327" s="68">
        <v>323</v>
      </c>
      <c r="B327" s="69" t="s">
        <v>894</v>
      </c>
      <c r="C327" s="88" t="s">
        <v>806</v>
      </c>
      <c r="D327" s="71" t="s">
        <v>681</v>
      </c>
      <c r="E327" s="150" t="s">
        <v>895</v>
      </c>
      <c r="F327" s="104"/>
      <c r="G327" s="105">
        <v>45900</v>
      </c>
      <c r="H327" s="102" t="s">
        <v>893</v>
      </c>
      <c r="I327" s="120" t="s">
        <v>84</v>
      </c>
      <c r="J327" s="102" t="s">
        <v>85</v>
      </c>
      <c r="K327" s="68" t="s">
        <v>86</v>
      </c>
      <c r="L327" s="70" t="s">
        <v>87</v>
      </c>
      <c r="M327" s="88" t="s">
        <v>70</v>
      </c>
      <c r="N327" s="88" t="s">
        <v>71</v>
      </c>
      <c r="O327" s="108"/>
      <c r="P327" s="109">
        <v>45901</v>
      </c>
      <c r="Q327" s="110">
        <f t="shared" si="112"/>
        <v>46630</v>
      </c>
      <c r="R327" s="111">
        <v>24</v>
      </c>
      <c r="S327" s="111">
        <v>2</v>
      </c>
      <c r="T327" s="123">
        <v>74600000</v>
      </c>
      <c r="U327" s="113"/>
      <c r="V327" s="123">
        <v>74600000</v>
      </c>
      <c r="W327" s="115">
        <f t="shared" si="114"/>
        <v>3108333.3333333335</v>
      </c>
      <c r="X327" s="115">
        <v>12433333.333333334</v>
      </c>
      <c r="Y327" s="115">
        <v>62166666.666666664</v>
      </c>
      <c r="Z327" s="124">
        <f t="shared" si="118"/>
        <v>3108333.3333333335</v>
      </c>
      <c r="AA327" s="118">
        <f t="shared" si="117"/>
        <v>59058333.333333328</v>
      </c>
      <c r="AB327" s="85">
        <f t="shared" si="119"/>
        <v>3108333.3333333335</v>
      </c>
      <c r="AC327" s="84">
        <f t="shared" si="120"/>
        <v>55949999.999999993</v>
      </c>
      <c r="AD327" s="85">
        <f t="shared" si="116"/>
        <v>3108333.3333333335</v>
      </c>
      <c r="AE327" s="118">
        <f t="shared" si="121"/>
        <v>52841666.666666657</v>
      </c>
      <c r="AF327" s="85">
        <f t="shared" si="115"/>
        <v>3108333.3333333335</v>
      </c>
      <c r="AG327" s="84">
        <f t="shared" si="122"/>
        <v>49733333.333333321</v>
      </c>
      <c r="AH327" s="85"/>
      <c r="AI327" s="84">
        <f t="shared" si="123"/>
        <v>49733333.333333321</v>
      </c>
      <c r="AJ327" s="124"/>
      <c r="AK327" s="84">
        <f t="shared" si="124"/>
        <v>49733333.333333321</v>
      </c>
      <c r="AL327" s="124"/>
      <c r="AM327" s="84">
        <f t="shared" si="125"/>
        <v>49733333.333333321</v>
      </c>
      <c r="AN327" s="85"/>
      <c r="AO327" s="84">
        <f t="shared" si="126"/>
        <v>49733333.333333321</v>
      </c>
      <c r="AP327" s="85"/>
      <c r="AQ327" s="84">
        <f t="shared" si="127"/>
        <v>49733333.333333321</v>
      </c>
      <c r="AR327" s="85"/>
      <c r="AS327" s="84">
        <f t="shared" si="128"/>
        <v>49733333.333333321</v>
      </c>
      <c r="AT327" s="85"/>
      <c r="AU327" s="84">
        <f t="shared" si="129"/>
        <v>49733333.333333321</v>
      </c>
      <c r="AV327" s="85"/>
      <c r="AW327" s="84">
        <f t="shared" si="130"/>
        <v>49733333.333333321</v>
      </c>
      <c r="AX327" s="86">
        <f t="shared" si="131"/>
        <v>12433333.333333334</v>
      </c>
      <c r="AY327" s="87">
        <f t="shared" si="132"/>
        <v>49733333.333333328</v>
      </c>
      <c r="AZ327" s="65" t="b">
        <f t="shared" si="133"/>
        <v>1</v>
      </c>
    </row>
    <row r="328" spans="1:52" s="67" customFormat="1" ht="24.75" hidden="1" customHeight="1">
      <c r="A328" s="68">
        <v>324</v>
      </c>
      <c r="B328" s="69" t="s">
        <v>896</v>
      </c>
      <c r="C328" s="88" t="s">
        <v>806</v>
      </c>
      <c r="D328" s="71" t="s">
        <v>681</v>
      </c>
      <c r="E328" s="150" t="s">
        <v>897</v>
      </c>
      <c r="F328" s="104"/>
      <c r="G328" s="105">
        <v>45900</v>
      </c>
      <c r="H328" s="102" t="s">
        <v>893</v>
      </c>
      <c r="I328" s="120" t="s">
        <v>84</v>
      </c>
      <c r="J328" s="102" t="s">
        <v>85</v>
      </c>
      <c r="K328" s="68" t="s">
        <v>86</v>
      </c>
      <c r="L328" s="70" t="s">
        <v>87</v>
      </c>
      <c r="M328" s="88" t="s">
        <v>101</v>
      </c>
      <c r="N328" s="88" t="s">
        <v>102</v>
      </c>
      <c r="O328" s="108"/>
      <c r="P328" s="109">
        <v>45901</v>
      </c>
      <c r="Q328" s="110">
        <f t="shared" si="112"/>
        <v>46630</v>
      </c>
      <c r="R328" s="111">
        <v>24</v>
      </c>
      <c r="S328" s="111">
        <v>2</v>
      </c>
      <c r="T328" s="123">
        <v>151407000</v>
      </c>
      <c r="U328" s="113"/>
      <c r="V328" s="123">
        <v>151407000</v>
      </c>
      <c r="W328" s="115">
        <f t="shared" si="114"/>
        <v>6308625</v>
      </c>
      <c r="X328" s="115">
        <v>25234500</v>
      </c>
      <c r="Y328" s="115">
        <v>126172500</v>
      </c>
      <c r="Z328" s="124">
        <f t="shared" si="118"/>
        <v>6308625</v>
      </c>
      <c r="AA328" s="118">
        <f t="shared" si="117"/>
        <v>119863875</v>
      </c>
      <c r="AB328" s="85">
        <f t="shared" si="119"/>
        <v>6308625</v>
      </c>
      <c r="AC328" s="84">
        <f t="shared" si="120"/>
        <v>113555250</v>
      </c>
      <c r="AD328" s="85">
        <f t="shared" si="116"/>
        <v>6308625</v>
      </c>
      <c r="AE328" s="118">
        <f t="shared" si="121"/>
        <v>107246625</v>
      </c>
      <c r="AF328" s="85">
        <f t="shared" si="115"/>
        <v>6308625</v>
      </c>
      <c r="AG328" s="84">
        <f t="shared" si="122"/>
        <v>100938000</v>
      </c>
      <c r="AH328" s="85"/>
      <c r="AI328" s="84">
        <f t="shared" si="123"/>
        <v>100938000</v>
      </c>
      <c r="AJ328" s="124"/>
      <c r="AK328" s="84">
        <f t="shared" si="124"/>
        <v>100938000</v>
      </c>
      <c r="AL328" s="124"/>
      <c r="AM328" s="84">
        <f t="shared" si="125"/>
        <v>100938000</v>
      </c>
      <c r="AN328" s="85"/>
      <c r="AO328" s="84">
        <f t="shared" si="126"/>
        <v>100938000</v>
      </c>
      <c r="AP328" s="85"/>
      <c r="AQ328" s="84">
        <f t="shared" si="127"/>
        <v>100938000</v>
      </c>
      <c r="AR328" s="85"/>
      <c r="AS328" s="84">
        <f t="shared" si="128"/>
        <v>100938000</v>
      </c>
      <c r="AT328" s="85"/>
      <c r="AU328" s="84">
        <f t="shared" si="129"/>
        <v>100938000</v>
      </c>
      <c r="AV328" s="85"/>
      <c r="AW328" s="84">
        <f t="shared" si="130"/>
        <v>100938000</v>
      </c>
      <c r="AX328" s="86">
        <f t="shared" si="131"/>
        <v>25234500</v>
      </c>
      <c r="AY328" s="87">
        <f t="shared" si="132"/>
        <v>100938000</v>
      </c>
      <c r="AZ328" s="65" t="b">
        <f t="shared" si="133"/>
        <v>1</v>
      </c>
    </row>
    <row r="329" spans="1:52" s="67" customFormat="1" ht="24.75" hidden="1" customHeight="1">
      <c r="A329" s="68">
        <v>325</v>
      </c>
      <c r="B329" s="69" t="s">
        <v>898</v>
      </c>
      <c r="C329" s="88" t="s">
        <v>806</v>
      </c>
      <c r="D329" s="71" t="s">
        <v>95</v>
      </c>
      <c r="E329" s="150" t="s">
        <v>899</v>
      </c>
      <c r="F329" s="104"/>
      <c r="G329" s="105">
        <v>45900</v>
      </c>
      <c r="H329" s="102" t="s">
        <v>878</v>
      </c>
      <c r="I329" s="120" t="s">
        <v>98</v>
      </c>
      <c r="J329" s="102" t="s">
        <v>617</v>
      </c>
      <c r="K329" s="68" t="s">
        <v>99</v>
      </c>
      <c r="L329" s="70" t="s">
        <v>100</v>
      </c>
      <c r="M329" s="88" t="s">
        <v>101</v>
      </c>
      <c r="N329" s="88" t="s">
        <v>102</v>
      </c>
      <c r="O329" s="108"/>
      <c r="P329" s="109">
        <v>45901</v>
      </c>
      <c r="Q329" s="110">
        <f t="shared" si="112"/>
        <v>46630</v>
      </c>
      <c r="R329" s="111">
        <v>24</v>
      </c>
      <c r="S329" s="111">
        <v>2</v>
      </c>
      <c r="T329" s="123">
        <v>96077250</v>
      </c>
      <c r="U329" s="113"/>
      <c r="V329" s="123">
        <v>96077250</v>
      </c>
      <c r="W329" s="115">
        <f t="shared" si="114"/>
        <v>4003218.75</v>
      </c>
      <c r="X329" s="115">
        <v>16012875</v>
      </c>
      <c r="Y329" s="115">
        <v>80064375</v>
      </c>
      <c r="Z329" s="124">
        <f t="shared" si="118"/>
        <v>4003218.75</v>
      </c>
      <c r="AA329" s="118">
        <f t="shared" si="117"/>
        <v>76061156.25</v>
      </c>
      <c r="AB329" s="85">
        <f t="shared" si="119"/>
        <v>4003218.75</v>
      </c>
      <c r="AC329" s="84">
        <f t="shared" si="120"/>
        <v>72057937.5</v>
      </c>
      <c r="AD329" s="85">
        <f t="shared" si="116"/>
        <v>4003218.75</v>
      </c>
      <c r="AE329" s="118">
        <f t="shared" si="121"/>
        <v>68054718.75</v>
      </c>
      <c r="AF329" s="85">
        <f t="shared" si="115"/>
        <v>4003218.75</v>
      </c>
      <c r="AG329" s="84">
        <f t="shared" si="122"/>
        <v>64051500</v>
      </c>
      <c r="AH329" s="85"/>
      <c r="AI329" s="84">
        <f t="shared" si="123"/>
        <v>64051500</v>
      </c>
      <c r="AJ329" s="124"/>
      <c r="AK329" s="84">
        <f t="shared" si="124"/>
        <v>64051500</v>
      </c>
      <c r="AL329" s="124"/>
      <c r="AM329" s="84">
        <f t="shared" si="125"/>
        <v>64051500</v>
      </c>
      <c r="AN329" s="85"/>
      <c r="AO329" s="84">
        <f t="shared" si="126"/>
        <v>64051500</v>
      </c>
      <c r="AP329" s="85"/>
      <c r="AQ329" s="84">
        <f t="shared" si="127"/>
        <v>64051500</v>
      </c>
      <c r="AR329" s="85"/>
      <c r="AS329" s="84">
        <f t="shared" si="128"/>
        <v>64051500</v>
      </c>
      <c r="AT329" s="85"/>
      <c r="AU329" s="84">
        <f t="shared" si="129"/>
        <v>64051500</v>
      </c>
      <c r="AV329" s="85"/>
      <c r="AW329" s="84">
        <f t="shared" si="130"/>
        <v>64051500</v>
      </c>
      <c r="AX329" s="86">
        <f t="shared" si="131"/>
        <v>16012875</v>
      </c>
      <c r="AY329" s="87">
        <f t="shared" si="132"/>
        <v>64051500</v>
      </c>
      <c r="AZ329" s="65" t="b">
        <f t="shared" si="133"/>
        <v>1</v>
      </c>
    </row>
    <row r="330" spans="1:52" s="67" customFormat="1" ht="24.75" hidden="1" customHeight="1">
      <c r="A330" s="68">
        <v>326</v>
      </c>
      <c r="B330" s="69" t="s">
        <v>900</v>
      </c>
      <c r="C330" s="88" t="s">
        <v>806</v>
      </c>
      <c r="D330" s="71" t="s">
        <v>95</v>
      </c>
      <c r="E330" s="150" t="s">
        <v>901</v>
      </c>
      <c r="F330" s="104"/>
      <c r="G330" s="105">
        <v>45900</v>
      </c>
      <c r="H330" s="102" t="s">
        <v>878</v>
      </c>
      <c r="I330" s="120" t="s">
        <v>98</v>
      </c>
      <c r="J330" s="102" t="s">
        <v>617</v>
      </c>
      <c r="K330" s="68" t="s">
        <v>99</v>
      </c>
      <c r="L330" s="70" t="s">
        <v>100</v>
      </c>
      <c r="M330" s="88" t="s">
        <v>101</v>
      </c>
      <c r="N330" s="88" t="s">
        <v>102</v>
      </c>
      <c r="O330" s="108"/>
      <c r="P330" s="109">
        <v>45901</v>
      </c>
      <c r="Q330" s="110">
        <f t="shared" si="112"/>
        <v>46630</v>
      </c>
      <c r="R330" s="111">
        <v>24</v>
      </c>
      <c r="S330" s="111">
        <v>2</v>
      </c>
      <c r="T330" s="123">
        <v>43770200</v>
      </c>
      <c r="U330" s="113"/>
      <c r="V330" s="123">
        <v>43770200</v>
      </c>
      <c r="W330" s="115">
        <f t="shared" si="114"/>
        <v>1823758.3333333333</v>
      </c>
      <c r="X330" s="115">
        <v>7295033.333333333</v>
      </c>
      <c r="Y330" s="115">
        <v>36475166.666666664</v>
      </c>
      <c r="Z330" s="124">
        <f t="shared" si="118"/>
        <v>1823758.3333333333</v>
      </c>
      <c r="AA330" s="118">
        <f t="shared" si="117"/>
        <v>34651408.333333328</v>
      </c>
      <c r="AB330" s="85">
        <f t="shared" si="119"/>
        <v>1823758.3333333333</v>
      </c>
      <c r="AC330" s="84">
        <f t="shared" si="120"/>
        <v>32827649.999999996</v>
      </c>
      <c r="AD330" s="85">
        <f t="shared" si="116"/>
        <v>1823758.3333333333</v>
      </c>
      <c r="AE330" s="118">
        <f t="shared" si="121"/>
        <v>31003891.666666664</v>
      </c>
      <c r="AF330" s="85">
        <f t="shared" si="115"/>
        <v>1823758.3333333333</v>
      </c>
      <c r="AG330" s="84">
        <f t="shared" si="122"/>
        <v>29180133.333333332</v>
      </c>
      <c r="AH330" s="85"/>
      <c r="AI330" s="84">
        <f t="shared" si="123"/>
        <v>29180133.333333332</v>
      </c>
      <c r="AJ330" s="124"/>
      <c r="AK330" s="84">
        <f t="shared" si="124"/>
        <v>29180133.333333332</v>
      </c>
      <c r="AL330" s="124"/>
      <c r="AM330" s="84">
        <f t="shared" si="125"/>
        <v>29180133.333333332</v>
      </c>
      <c r="AN330" s="85"/>
      <c r="AO330" s="84">
        <f t="shared" si="126"/>
        <v>29180133.333333332</v>
      </c>
      <c r="AP330" s="85"/>
      <c r="AQ330" s="84">
        <f t="shared" si="127"/>
        <v>29180133.333333332</v>
      </c>
      <c r="AR330" s="85"/>
      <c r="AS330" s="84">
        <f t="shared" si="128"/>
        <v>29180133.333333332</v>
      </c>
      <c r="AT330" s="85"/>
      <c r="AU330" s="84">
        <f t="shared" si="129"/>
        <v>29180133.333333332</v>
      </c>
      <c r="AV330" s="85"/>
      <c r="AW330" s="84">
        <f t="shared" si="130"/>
        <v>29180133.333333332</v>
      </c>
      <c r="AX330" s="86">
        <f t="shared" si="131"/>
        <v>7295033.333333333</v>
      </c>
      <c r="AY330" s="87">
        <f t="shared" si="132"/>
        <v>29180133.333333332</v>
      </c>
      <c r="AZ330" s="65" t="b">
        <f t="shared" si="133"/>
        <v>1</v>
      </c>
    </row>
    <row r="331" spans="1:52" s="67" customFormat="1" ht="24.75" hidden="1" customHeight="1">
      <c r="A331" s="68">
        <v>327</v>
      </c>
      <c r="B331" s="69" t="s">
        <v>902</v>
      </c>
      <c r="C331" s="88" t="s">
        <v>806</v>
      </c>
      <c r="D331" s="71" t="s">
        <v>95</v>
      </c>
      <c r="E331" s="150" t="s">
        <v>903</v>
      </c>
      <c r="F331" s="104"/>
      <c r="G331" s="105">
        <v>45900</v>
      </c>
      <c r="H331" s="102" t="s">
        <v>878</v>
      </c>
      <c r="I331" s="120" t="s">
        <v>98</v>
      </c>
      <c r="J331" s="102" t="s">
        <v>617</v>
      </c>
      <c r="K331" s="68" t="s">
        <v>99</v>
      </c>
      <c r="L331" s="70" t="s">
        <v>100</v>
      </c>
      <c r="M331" s="88" t="s">
        <v>101</v>
      </c>
      <c r="N331" s="88" t="s">
        <v>102</v>
      </c>
      <c r="O331" s="108"/>
      <c r="P331" s="109">
        <v>45901</v>
      </c>
      <c r="Q331" s="110">
        <f t="shared" si="112"/>
        <v>46630</v>
      </c>
      <c r="R331" s="111">
        <v>24</v>
      </c>
      <c r="S331" s="111">
        <v>2</v>
      </c>
      <c r="T331" s="123">
        <v>41566666.666666597</v>
      </c>
      <c r="U331" s="113"/>
      <c r="V331" s="123">
        <v>41566666.666666597</v>
      </c>
      <c r="W331" s="115">
        <f t="shared" si="114"/>
        <v>1731944.4444444415</v>
      </c>
      <c r="X331" s="115">
        <v>6927777.7777777659</v>
      </c>
      <c r="Y331" s="115">
        <v>34638888.888888828</v>
      </c>
      <c r="Z331" s="124">
        <f t="shared" si="118"/>
        <v>1731944.4444444415</v>
      </c>
      <c r="AA331" s="118">
        <f t="shared" si="117"/>
        <v>32906944.444444388</v>
      </c>
      <c r="AB331" s="85">
        <f t="shared" si="119"/>
        <v>1731944.4444444415</v>
      </c>
      <c r="AC331" s="84">
        <f t="shared" si="120"/>
        <v>31174999.999999948</v>
      </c>
      <c r="AD331" s="85">
        <f t="shared" si="116"/>
        <v>1731944.4444444415</v>
      </c>
      <c r="AE331" s="118">
        <f t="shared" si="121"/>
        <v>29443055.555555508</v>
      </c>
      <c r="AF331" s="85">
        <f t="shared" si="115"/>
        <v>1731944.4444444415</v>
      </c>
      <c r="AG331" s="84">
        <f t="shared" si="122"/>
        <v>27711111.111111067</v>
      </c>
      <c r="AH331" s="85"/>
      <c r="AI331" s="84">
        <f t="shared" si="123"/>
        <v>27711111.111111067</v>
      </c>
      <c r="AJ331" s="124"/>
      <c r="AK331" s="84">
        <f t="shared" si="124"/>
        <v>27711111.111111067</v>
      </c>
      <c r="AL331" s="124"/>
      <c r="AM331" s="84">
        <f t="shared" si="125"/>
        <v>27711111.111111067</v>
      </c>
      <c r="AN331" s="85"/>
      <c r="AO331" s="84">
        <f t="shared" si="126"/>
        <v>27711111.111111067</v>
      </c>
      <c r="AP331" s="85"/>
      <c r="AQ331" s="84">
        <f t="shared" si="127"/>
        <v>27711111.111111067</v>
      </c>
      <c r="AR331" s="85"/>
      <c r="AS331" s="84">
        <f t="shared" si="128"/>
        <v>27711111.111111067</v>
      </c>
      <c r="AT331" s="85"/>
      <c r="AU331" s="84">
        <f t="shared" si="129"/>
        <v>27711111.111111067</v>
      </c>
      <c r="AV331" s="85"/>
      <c r="AW331" s="84">
        <f t="shared" si="130"/>
        <v>27711111.111111067</v>
      </c>
      <c r="AX331" s="86">
        <f t="shared" si="131"/>
        <v>6927777.7777777659</v>
      </c>
      <c r="AY331" s="87">
        <f t="shared" si="132"/>
        <v>27711111.111111064</v>
      </c>
      <c r="AZ331" s="65" t="b">
        <f t="shared" si="133"/>
        <v>1</v>
      </c>
    </row>
    <row r="332" spans="1:52" s="67" customFormat="1" ht="24.75" hidden="1" customHeight="1">
      <c r="A332" s="68">
        <v>328</v>
      </c>
      <c r="B332" s="69" t="s">
        <v>904</v>
      </c>
      <c r="C332" s="88" t="s">
        <v>73</v>
      </c>
      <c r="D332" s="71" t="s">
        <v>64</v>
      </c>
      <c r="E332" s="150" t="s">
        <v>905</v>
      </c>
      <c r="F332" s="104"/>
      <c r="G332" s="105">
        <v>45918</v>
      </c>
      <c r="H332" s="102" t="s">
        <v>906</v>
      </c>
      <c r="I332" s="120" t="s">
        <v>66</v>
      </c>
      <c r="J332" s="102" t="s">
        <v>67</v>
      </c>
      <c r="K332" s="68" t="s">
        <v>476</v>
      </c>
      <c r="L332" s="70" t="s">
        <v>69</v>
      </c>
      <c r="M332" s="88" t="s">
        <v>130</v>
      </c>
      <c r="N332" s="88" t="s">
        <v>131</v>
      </c>
      <c r="O332" s="108"/>
      <c r="P332" s="109">
        <v>45931</v>
      </c>
      <c r="Q332" s="110">
        <f t="shared" ref="Q332:Q395" si="134">+EDATE(P332,R332)-DAY(P332)</f>
        <v>46660</v>
      </c>
      <c r="R332" s="111">
        <v>24</v>
      </c>
      <c r="S332" s="111">
        <v>2</v>
      </c>
      <c r="T332" s="123">
        <v>150000000</v>
      </c>
      <c r="U332" s="113"/>
      <c r="V332" s="123">
        <v>150000000</v>
      </c>
      <c r="W332" s="115">
        <f t="shared" si="114"/>
        <v>6250000</v>
      </c>
      <c r="X332" s="115">
        <v>18750000</v>
      </c>
      <c r="Y332" s="115">
        <v>131250000</v>
      </c>
      <c r="Z332" s="124">
        <f t="shared" si="118"/>
        <v>6250000</v>
      </c>
      <c r="AA332" s="118">
        <f t="shared" si="117"/>
        <v>125000000</v>
      </c>
      <c r="AB332" s="85">
        <f t="shared" si="119"/>
        <v>6250000</v>
      </c>
      <c r="AC332" s="84">
        <f t="shared" si="120"/>
        <v>118750000</v>
      </c>
      <c r="AD332" s="85">
        <f t="shared" si="116"/>
        <v>6250000</v>
      </c>
      <c r="AE332" s="118">
        <f t="shared" si="121"/>
        <v>112500000</v>
      </c>
      <c r="AF332" s="85">
        <f t="shared" si="115"/>
        <v>6250000</v>
      </c>
      <c r="AG332" s="84">
        <f t="shared" si="122"/>
        <v>106250000</v>
      </c>
      <c r="AH332" s="85"/>
      <c r="AI332" s="84">
        <f t="shared" si="123"/>
        <v>106250000</v>
      </c>
      <c r="AJ332" s="124"/>
      <c r="AK332" s="84">
        <f t="shared" si="124"/>
        <v>106250000</v>
      </c>
      <c r="AL332" s="124"/>
      <c r="AM332" s="84">
        <f t="shared" si="125"/>
        <v>106250000</v>
      </c>
      <c r="AN332" s="85"/>
      <c r="AO332" s="84">
        <f t="shared" si="126"/>
        <v>106250000</v>
      </c>
      <c r="AP332" s="85"/>
      <c r="AQ332" s="84">
        <f t="shared" si="127"/>
        <v>106250000</v>
      </c>
      <c r="AR332" s="85"/>
      <c r="AS332" s="84">
        <f t="shared" si="128"/>
        <v>106250000</v>
      </c>
      <c r="AT332" s="85"/>
      <c r="AU332" s="84">
        <f t="shared" si="129"/>
        <v>106250000</v>
      </c>
      <c r="AV332" s="85"/>
      <c r="AW332" s="84">
        <f t="shared" si="130"/>
        <v>106250000</v>
      </c>
      <c r="AX332" s="86">
        <f t="shared" si="131"/>
        <v>25000000</v>
      </c>
      <c r="AY332" s="87">
        <f t="shared" si="132"/>
        <v>106250000</v>
      </c>
      <c r="AZ332" s="65" t="b">
        <f t="shared" si="133"/>
        <v>1</v>
      </c>
    </row>
    <row r="333" spans="1:52" s="67" customFormat="1" ht="24.75" hidden="1" customHeight="1">
      <c r="A333" s="68">
        <v>329</v>
      </c>
      <c r="B333" s="69" t="s">
        <v>907</v>
      </c>
      <c r="C333" s="88" t="s">
        <v>91</v>
      </c>
      <c r="D333" s="71" t="s">
        <v>64</v>
      </c>
      <c r="E333" s="150" t="s">
        <v>908</v>
      </c>
      <c r="F333" s="104"/>
      <c r="G333" s="105">
        <v>45919</v>
      </c>
      <c r="H333" s="102" t="s">
        <v>909</v>
      </c>
      <c r="I333" s="120" t="s">
        <v>66</v>
      </c>
      <c r="J333" s="102" t="s">
        <v>67</v>
      </c>
      <c r="K333" s="68" t="s">
        <v>476</v>
      </c>
      <c r="L333" s="70" t="s">
        <v>69</v>
      </c>
      <c r="M333" s="88" t="s">
        <v>55</v>
      </c>
      <c r="N333" s="88" t="s">
        <v>56</v>
      </c>
      <c r="O333" s="108"/>
      <c r="P333" s="109">
        <v>45931</v>
      </c>
      <c r="Q333" s="110">
        <f t="shared" si="134"/>
        <v>46660</v>
      </c>
      <c r="R333" s="111">
        <v>24</v>
      </c>
      <c r="S333" s="111">
        <v>2</v>
      </c>
      <c r="T333" s="123">
        <v>146560000</v>
      </c>
      <c r="U333" s="113"/>
      <c r="V333" s="123">
        <v>146560000</v>
      </c>
      <c r="W333" s="115">
        <f t="shared" si="114"/>
        <v>6106666.666666667</v>
      </c>
      <c r="X333" s="115">
        <v>18320000</v>
      </c>
      <c r="Y333" s="115">
        <v>128240000</v>
      </c>
      <c r="Z333" s="124">
        <f t="shared" si="118"/>
        <v>6106666.666666667</v>
      </c>
      <c r="AA333" s="118">
        <f t="shared" si="117"/>
        <v>122133333.33333333</v>
      </c>
      <c r="AB333" s="85">
        <f t="shared" si="119"/>
        <v>6106666.666666667</v>
      </c>
      <c r="AC333" s="84">
        <f t="shared" si="120"/>
        <v>116026666.66666666</v>
      </c>
      <c r="AD333" s="85">
        <f t="shared" si="116"/>
        <v>6106666.666666667</v>
      </c>
      <c r="AE333" s="118">
        <f t="shared" si="121"/>
        <v>109919999.99999999</v>
      </c>
      <c r="AF333" s="85">
        <f t="shared" si="115"/>
        <v>6106666.666666667</v>
      </c>
      <c r="AG333" s="84">
        <f t="shared" si="122"/>
        <v>103813333.33333331</v>
      </c>
      <c r="AH333" s="85"/>
      <c r="AI333" s="84">
        <f t="shared" si="123"/>
        <v>103813333.33333331</v>
      </c>
      <c r="AJ333" s="124"/>
      <c r="AK333" s="84">
        <f t="shared" si="124"/>
        <v>103813333.33333331</v>
      </c>
      <c r="AL333" s="124"/>
      <c r="AM333" s="84">
        <f t="shared" si="125"/>
        <v>103813333.33333331</v>
      </c>
      <c r="AN333" s="85"/>
      <c r="AO333" s="84">
        <f t="shared" si="126"/>
        <v>103813333.33333331</v>
      </c>
      <c r="AP333" s="85"/>
      <c r="AQ333" s="84">
        <f t="shared" si="127"/>
        <v>103813333.33333331</v>
      </c>
      <c r="AR333" s="85"/>
      <c r="AS333" s="84">
        <f t="shared" si="128"/>
        <v>103813333.33333331</v>
      </c>
      <c r="AT333" s="85"/>
      <c r="AU333" s="84">
        <f t="shared" si="129"/>
        <v>103813333.33333331</v>
      </c>
      <c r="AV333" s="85"/>
      <c r="AW333" s="84">
        <f t="shared" si="130"/>
        <v>103813333.33333331</v>
      </c>
      <c r="AX333" s="86">
        <f t="shared" si="131"/>
        <v>24426666.666666668</v>
      </c>
      <c r="AY333" s="87">
        <f t="shared" si="132"/>
        <v>103813333.33333333</v>
      </c>
      <c r="AZ333" s="65" t="b">
        <f t="shared" si="133"/>
        <v>1</v>
      </c>
    </row>
    <row r="334" spans="1:52" s="67" customFormat="1" ht="24.75" hidden="1" customHeight="1">
      <c r="A334" s="68">
        <v>330</v>
      </c>
      <c r="B334" s="69" t="s">
        <v>910</v>
      </c>
      <c r="C334" s="88" t="s">
        <v>395</v>
      </c>
      <c r="D334" s="71" t="s">
        <v>396</v>
      </c>
      <c r="E334" s="150" t="s">
        <v>911</v>
      </c>
      <c r="F334" s="104"/>
      <c r="G334" s="105">
        <v>45930</v>
      </c>
      <c r="H334" s="102" t="s">
        <v>912</v>
      </c>
      <c r="I334" s="120" t="s">
        <v>399</v>
      </c>
      <c r="J334" s="102" t="s">
        <v>400</v>
      </c>
      <c r="K334" s="68" t="s">
        <v>68</v>
      </c>
      <c r="L334" s="70" t="s">
        <v>69</v>
      </c>
      <c r="M334" s="88" t="s">
        <v>130</v>
      </c>
      <c r="N334" s="88" t="s">
        <v>131</v>
      </c>
      <c r="O334" s="108"/>
      <c r="P334" s="109">
        <v>45931</v>
      </c>
      <c r="Q334" s="110">
        <f t="shared" si="134"/>
        <v>46660</v>
      </c>
      <c r="R334" s="111">
        <v>24</v>
      </c>
      <c r="S334" s="111">
        <v>2</v>
      </c>
      <c r="T334" s="123">
        <v>34200000</v>
      </c>
      <c r="U334" s="113"/>
      <c r="V334" s="123">
        <v>34200000</v>
      </c>
      <c r="W334" s="115">
        <f t="shared" si="114"/>
        <v>1425000</v>
      </c>
      <c r="X334" s="115">
        <v>4275000</v>
      </c>
      <c r="Y334" s="115">
        <v>29925000</v>
      </c>
      <c r="Z334" s="124">
        <f t="shared" si="118"/>
        <v>1425000</v>
      </c>
      <c r="AA334" s="118">
        <f t="shared" si="117"/>
        <v>28500000</v>
      </c>
      <c r="AB334" s="85">
        <f t="shared" si="119"/>
        <v>1425000</v>
      </c>
      <c r="AC334" s="84">
        <f t="shared" si="120"/>
        <v>27075000</v>
      </c>
      <c r="AD334" s="85">
        <f t="shared" si="116"/>
        <v>1425000</v>
      </c>
      <c r="AE334" s="118">
        <f t="shared" si="121"/>
        <v>25650000</v>
      </c>
      <c r="AF334" s="85">
        <f t="shared" si="115"/>
        <v>1425000</v>
      </c>
      <c r="AG334" s="84">
        <f t="shared" si="122"/>
        <v>24225000</v>
      </c>
      <c r="AH334" s="85"/>
      <c r="AI334" s="84">
        <f t="shared" si="123"/>
        <v>24225000</v>
      </c>
      <c r="AJ334" s="124"/>
      <c r="AK334" s="84">
        <f t="shared" si="124"/>
        <v>24225000</v>
      </c>
      <c r="AL334" s="124"/>
      <c r="AM334" s="84">
        <f t="shared" si="125"/>
        <v>24225000</v>
      </c>
      <c r="AN334" s="85"/>
      <c r="AO334" s="84">
        <f t="shared" si="126"/>
        <v>24225000</v>
      </c>
      <c r="AP334" s="85"/>
      <c r="AQ334" s="84">
        <f t="shared" si="127"/>
        <v>24225000</v>
      </c>
      <c r="AR334" s="85"/>
      <c r="AS334" s="84">
        <f t="shared" si="128"/>
        <v>24225000</v>
      </c>
      <c r="AT334" s="85"/>
      <c r="AU334" s="84">
        <f t="shared" si="129"/>
        <v>24225000</v>
      </c>
      <c r="AV334" s="85"/>
      <c r="AW334" s="84">
        <f t="shared" si="130"/>
        <v>24225000</v>
      </c>
      <c r="AX334" s="86">
        <f t="shared" si="131"/>
        <v>5700000</v>
      </c>
      <c r="AY334" s="87">
        <f t="shared" si="132"/>
        <v>24225000</v>
      </c>
      <c r="AZ334" s="65" t="b">
        <f t="shared" si="133"/>
        <v>1</v>
      </c>
    </row>
    <row r="335" spans="1:52" s="67" customFormat="1" ht="24.75" customHeight="1">
      <c r="A335" s="68">
        <v>331</v>
      </c>
      <c r="B335" s="69" t="s">
        <v>913</v>
      </c>
      <c r="C335" s="88" t="s">
        <v>806</v>
      </c>
      <c r="D335" s="71" t="s">
        <v>1195</v>
      </c>
      <c r="E335" s="150" t="s">
        <v>914</v>
      </c>
      <c r="F335" s="104"/>
      <c r="G335" s="105">
        <v>45930</v>
      </c>
      <c r="H335" s="102" t="s">
        <v>893</v>
      </c>
      <c r="I335" s="120" t="s">
        <v>98</v>
      </c>
      <c r="J335" s="102" t="s">
        <v>617</v>
      </c>
      <c r="K335" s="68" t="s">
        <v>99</v>
      </c>
      <c r="L335" s="70" t="s">
        <v>100</v>
      </c>
      <c r="M335" s="88" t="s">
        <v>101</v>
      </c>
      <c r="N335" s="88" t="s">
        <v>102</v>
      </c>
      <c r="O335" s="108"/>
      <c r="P335" s="109">
        <v>45931</v>
      </c>
      <c r="Q335" s="110">
        <f t="shared" si="134"/>
        <v>46477</v>
      </c>
      <c r="R335" s="111">
        <v>18</v>
      </c>
      <c r="S335" s="153">
        <v>1.5</v>
      </c>
      <c r="T335" s="123">
        <v>195000000</v>
      </c>
      <c r="U335" s="113"/>
      <c r="V335" s="123">
        <v>195000000</v>
      </c>
      <c r="W335" s="115">
        <f t="shared" si="114"/>
        <v>10833333.333333334</v>
      </c>
      <c r="X335" s="115">
        <v>32500000</v>
      </c>
      <c r="Y335" s="115">
        <v>162500000</v>
      </c>
      <c r="Z335" s="124">
        <f t="shared" si="118"/>
        <v>10833333.333333334</v>
      </c>
      <c r="AA335" s="118">
        <f t="shared" si="117"/>
        <v>151666666.66666666</v>
      </c>
      <c r="AB335" s="85">
        <f t="shared" si="119"/>
        <v>10833333.333333334</v>
      </c>
      <c r="AC335" s="84">
        <f t="shared" si="120"/>
        <v>140833333.33333331</v>
      </c>
      <c r="AD335" s="85">
        <f t="shared" si="116"/>
        <v>10833333.333333334</v>
      </c>
      <c r="AE335" s="118">
        <f t="shared" si="121"/>
        <v>129999999.99999999</v>
      </c>
      <c r="AF335" s="85">
        <f t="shared" si="115"/>
        <v>10833333.333333334</v>
      </c>
      <c r="AG335" s="84">
        <f t="shared" si="122"/>
        <v>119166666.66666666</v>
      </c>
      <c r="AH335" s="85"/>
      <c r="AI335" s="84">
        <f t="shared" si="123"/>
        <v>119166666.66666666</v>
      </c>
      <c r="AJ335" s="124"/>
      <c r="AK335" s="84">
        <f t="shared" si="124"/>
        <v>119166666.66666666</v>
      </c>
      <c r="AL335" s="124"/>
      <c r="AM335" s="84">
        <f t="shared" si="125"/>
        <v>119166666.66666666</v>
      </c>
      <c r="AN335" s="85"/>
      <c r="AO335" s="84">
        <f t="shared" si="126"/>
        <v>119166666.66666666</v>
      </c>
      <c r="AP335" s="85"/>
      <c r="AQ335" s="84">
        <f t="shared" si="127"/>
        <v>119166666.66666666</v>
      </c>
      <c r="AR335" s="85"/>
      <c r="AS335" s="84">
        <f t="shared" si="128"/>
        <v>119166666.66666666</v>
      </c>
      <c r="AT335" s="85"/>
      <c r="AU335" s="84">
        <f t="shared" si="129"/>
        <v>119166666.66666666</v>
      </c>
      <c r="AV335" s="85"/>
      <c r="AW335" s="84">
        <f t="shared" si="130"/>
        <v>119166666.66666666</v>
      </c>
      <c r="AX335" s="86">
        <f t="shared" si="131"/>
        <v>43333333.333333336</v>
      </c>
      <c r="AY335" s="87">
        <f t="shared" si="132"/>
        <v>119166666.66666666</v>
      </c>
      <c r="AZ335" s="65" t="b">
        <f t="shared" si="133"/>
        <v>1</v>
      </c>
    </row>
    <row r="336" spans="1:52" s="67" customFormat="1" ht="24.75" customHeight="1">
      <c r="A336" s="68">
        <v>332</v>
      </c>
      <c r="B336" s="69" t="s">
        <v>915</v>
      </c>
      <c r="C336" s="88" t="s">
        <v>806</v>
      </c>
      <c r="D336" s="71" t="s">
        <v>95</v>
      </c>
      <c r="E336" s="150" t="s">
        <v>916</v>
      </c>
      <c r="F336" s="104"/>
      <c r="G336" s="105">
        <v>45930</v>
      </c>
      <c r="H336" s="102" t="s">
        <v>893</v>
      </c>
      <c r="I336" s="120" t="s">
        <v>98</v>
      </c>
      <c r="J336" s="102" t="s">
        <v>617</v>
      </c>
      <c r="K336" s="68" t="s">
        <v>99</v>
      </c>
      <c r="L336" s="70" t="s">
        <v>100</v>
      </c>
      <c r="M336" s="88" t="s">
        <v>101</v>
      </c>
      <c r="N336" s="88" t="s">
        <v>102</v>
      </c>
      <c r="O336" s="108"/>
      <c r="P336" s="109">
        <v>45931</v>
      </c>
      <c r="Q336" s="110">
        <f t="shared" si="134"/>
        <v>46477</v>
      </c>
      <c r="R336" s="111">
        <v>18</v>
      </c>
      <c r="S336" s="153">
        <v>1.5</v>
      </c>
      <c r="T336" s="123">
        <v>117000000</v>
      </c>
      <c r="U336" s="113"/>
      <c r="V336" s="123">
        <v>117000000</v>
      </c>
      <c r="W336" s="115">
        <f t="shared" si="114"/>
        <v>6500000</v>
      </c>
      <c r="X336" s="115">
        <v>19500000</v>
      </c>
      <c r="Y336" s="115">
        <v>97500000</v>
      </c>
      <c r="Z336" s="124">
        <f t="shared" si="118"/>
        <v>6500000</v>
      </c>
      <c r="AA336" s="118">
        <f t="shared" si="117"/>
        <v>91000000</v>
      </c>
      <c r="AB336" s="85">
        <f t="shared" si="119"/>
        <v>6500000</v>
      </c>
      <c r="AC336" s="84">
        <f t="shared" si="120"/>
        <v>84500000</v>
      </c>
      <c r="AD336" s="85">
        <f t="shared" si="116"/>
        <v>6500000</v>
      </c>
      <c r="AE336" s="118">
        <f t="shared" si="121"/>
        <v>78000000</v>
      </c>
      <c r="AF336" s="85">
        <f t="shared" si="115"/>
        <v>6500000</v>
      </c>
      <c r="AG336" s="84">
        <f t="shared" si="122"/>
        <v>71500000</v>
      </c>
      <c r="AH336" s="85"/>
      <c r="AI336" s="84">
        <f t="shared" si="123"/>
        <v>71500000</v>
      </c>
      <c r="AJ336" s="124"/>
      <c r="AK336" s="84">
        <f t="shared" si="124"/>
        <v>71500000</v>
      </c>
      <c r="AL336" s="124"/>
      <c r="AM336" s="84">
        <f t="shared" si="125"/>
        <v>71500000</v>
      </c>
      <c r="AN336" s="85"/>
      <c r="AO336" s="84">
        <f t="shared" si="126"/>
        <v>71500000</v>
      </c>
      <c r="AP336" s="85"/>
      <c r="AQ336" s="84">
        <f t="shared" si="127"/>
        <v>71500000</v>
      </c>
      <c r="AR336" s="85"/>
      <c r="AS336" s="84">
        <f t="shared" si="128"/>
        <v>71500000</v>
      </c>
      <c r="AT336" s="85"/>
      <c r="AU336" s="84">
        <f t="shared" si="129"/>
        <v>71500000</v>
      </c>
      <c r="AV336" s="85"/>
      <c r="AW336" s="84">
        <f t="shared" si="130"/>
        <v>71500000</v>
      </c>
      <c r="AX336" s="86">
        <f t="shared" si="131"/>
        <v>26000000</v>
      </c>
      <c r="AY336" s="87">
        <f t="shared" si="132"/>
        <v>71500000</v>
      </c>
      <c r="AZ336" s="65" t="b">
        <f t="shared" si="133"/>
        <v>1</v>
      </c>
    </row>
    <row r="337" spans="1:52" s="67" customFormat="1" ht="24.75" hidden="1" customHeight="1">
      <c r="A337" s="68">
        <v>333</v>
      </c>
      <c r="B337" s="69" t="s">
        <v>917</v>
      </c>
      <c r="C337" s="88" t="s">
        <v>806</v>
      </c>
      <c r="D337" s="71" t="s">
        <v>681</v>
      </c>
      <c r="E337" s="150" t="s">
        <v>918</v>
      </c>
      <c r="F337" s="104"/>
      <c r="G337" s="105">
        <v>45930</v>
      </c>
      <c r="H337" s="102" t="s">
        <v>893</v>
      </c>
      <c r="I337" s="120" t="s">
        <v>84</v>
      </c>
      <c r="J337" s="102" t="s">
        <v>85</v>
      </c>
      <c r="K337" s="68" t="s">
        <v>86</v>
      </c>
      <c r="L337" s="70" t="s">
        <v>87</v>
      </c>
      <c r="M337" s="88" t="s">
        <v>478</v>
      </c>
      <c r="N337" s="88" t="s">
        <v>479</v>
      </c>
      <c r="O337" s="108"/>
      <c r="P337" s="109">
        <v>45931</v>
      </c>
      <c r="Q337" s="110">
        <f t="shared" si="134"/>
        <v>46660</v>
      </c>
      <c r="R337" s="111">
        <v>24</v>
      </c>
      <c r="S337" s="111">
        <v>2</v>
      </c>
      <c r="T337" s="123">
        <v>40397382</v>
      </c>
      <c r="U337" s="113"/>
      <c r="V337" s="123">
        <v>40397382</v>
      </c>
      <c r="W337" s="115">
        <f t="shared" si="114"/>
        <v>1683224.25</v>
      </c>
      <c r="X337" s="115">
        <v>5049672.75</v>
      </c>
      <c r="Y337" s="115">
        <v>35347709.25</v>
      </c>
      <c r="Z337" s="124">
        <f t="shared" si="118"/>
        <v>1683224.25</v>
      </c>
      <c r="AA337" s="118">
        <f t="shared" si="117"/>
        <v>33664485</v>
      </c>
      <c r="AB337" s="85">
        <f t="shared" si="119"/>
        <v>1683224.25</v>
      </c>
      <c r="AC337" s="84">
        <f t="shared" si="120"/>
        <v>31981260.75</v>
      </c>
      <c r="AD337" s="85">
        <f t="shared" si="116"/>
        <v>1683224.25</v>
      </c>
      <c r="AE337" s="118">
        <f t="shared" si="121"/>
        <v>30298036.5</v>
      </c>
      <c r="AF337" s="85">
        <f t="shared" si="115"/>
        <v>1683224.25</v>
      </c>
      <c r="AG337" s="84">
        <f t="shared" si="122"/>
        <v>28614812.25</v>
      </c>
      <c r="AH337" s="85"/>
      <c r="AI337" s="84">
        <f t="shared" si="123"/>
        <v>28614812.25</v>
      </c>
      <c r="AJ337" s="124"/>
      <c r="AK337" s="84">
        <f t="shared" si="124"/>
        <v>28614812.25</v>
      </c>
      <c r="AL337" s="124"/>
      <c r="AM337" s="84">
        <f t="shared" si="125"/>
        <v>28614812.25</v>
      </c>
      <c r="AN337" s="85"/>
      <c r="AO337" s="84">
        <f t="shared" si="126"/>
        <v>28614812.25</v>
      </c>
      <c r="AP337" s="85"/>
      <c r="AQ337" s="84">
        <f t="shared" si="127"/>
        <v>28614812.25</v>
      </c>
      <c r="AR337" s="85"/>
      <c r="AS337" s="84">
        <f t="shared" si="128"/>
        <v>28614812.25</v>
      </c>
      <c r="AT337" s="85"/>
      <c r="AU337" s="84">
        <f t="shared" si="129"/>
        <v>28614812.25</v>
      </c>
      <c r="AV337" s="85"/>
      <c r="AW337" s="84">
        <f t="shared" si="130"/>
        <v>28614812.25</v>
      </c>
      <c r="AX337" s="86">
        <f t="shared" si="131"/>
        <v>6732897</v>
      </c>
      <c r="AY337" s="87">
        <f t="shared" si="132"/>
        <v>28614812.25</v>
      </c>
      <c r="AZ337" s="65" t="b">
        <f t="shared" si="133"/>
        <v>1</v>
      </c>
    </row>
    <row r="338" spans="1:52" s="67" customFormat="1" ht="24.75" hidden="1" customHeight="1">
      <c r="A338" s="68">
        <v>334</v>
      </c>
      <c r="B338" s="69" t="s">
        <v>919</v>
      </c>
      <c r="C338" s="88" t="s">
        <v>806</v>
      </c>
      <c r="D338" s="71" t="s">
        <v>681</v>
      </c>
      <c r="E338" s="150" t="s">
        <v>920</v>
      </c>
      <c r="F338" s="104"/>
      <c r="G338" s="105">
        <v>45930</v>
      </c>
      <c r="H338" s="102" t="s">
        <v>893</v>
      </c>
      <c r="I338" s="120" t="s">
        <v>84</v>
      </c>
      <c r="J338" s="102" t="s">
        <v>85</v>
      </c>
      <c r="K338" s="68" t="s">
        <v>86</v>
      </c>
      <c r="L338" s="70" t="s">
        <v>87</v>
      </c>
      <c r="M338" s="88" t="s">
        <v>130</v>
      </c>
      <c r="N338" s="88" t="s">
        <v>131</v>
      </c>
      <c r="O338" s="108"/>
      <c r="P338" s="109">
        <v>45931</v>
      </c>
      <c r="Q338" s="110">
        <f t="shared" si="134"/>
        <v>46660</v>
      </c>
      <c r="R338" s="111">
        <v>24</v>
      </c>
      <c r="S338" s="111">
        <v>2</v>
      </c>
      <c r="T338" s="123">
        <v>40138000</v>
      </c>
      <c r="U338" s="113"/>
      <c r="V338" s="123">
        <v>40138000</v>
      </c>
      <c r="W338" s="115">
        <f t="shared" si="114"/>
        <v>1672416.6666666667</v>
      </c>
      <c r="X338" s="115">
        <v>5017250</v>
      </c>
      <c r="Y338" s="115">
        <v>35120750</v>
      </c>
      <c r="Z338" s="124">
        <f t="shared" si="118"/>
        <v>1672416.6666666667</v>
      </c>
      <c r="AA338" s="118">
        <f t="shared" si="117"/>
        <v>33448333.333333332</v>
      </c>
      <c r="AB338" s="85">
        <f t="shared" si="119"/>
        <v>1672416.6666666667</v>
      </c>
      <c r="AC338" s="84">
        <f t="shared" si="120"/>
        <v>31775916.666666664</v>
      </c>
      <c r="AD338" s="85">
        <f t="shared" si="116"/>
        <v>1672416.6666666667</v>
      </c>
      <c r="AE338" s="118">
        <f t="shared" si="121"/>
        <v>30103499.999999996</v>
      </c>
      <c r="AF338" s="85">
        <f t="shared" si="115"/>
        <v>1672416.6666666667</v>
      </c>
      <c r="AG338" s="84">
        <f t="shared" si="122"/>
        <v>28431083.333333328</v>
      </c>
      <c r="AH338" s="85"/>
      <c r="AI338" s="84">
        <f t="shared" si="123"/>
        <v>28431083.333333328</v>
      </c>
      <c r="AJ338" s="124"/>
      <c r="AK338" s="84">
        <f t="shared" si="124"/>
        <v>28431083.333333328</v>
      </c>
      <c r="AL338" s="124"/>
      <c r="AM338" s="84">
        <f t="shared" si="125"/>
        <v>28431083.333333328</v>
      </c>
      <c r="AN338" s="85"/>
      <c r="AO338" s="84">
        <f t="shared" si="126"/>
        <v>28431083.333333328</v>
      </c>
      <c r="AP338" s="85"/>
      <c r="AQ338" s="84">
        <f t="shared" si="127"/>
        <v>28431083.333333328</v>
      </c>
      <c r="AR338" s="85"/>
      <c r="AS338" s="84">
        <f t="shared" si="128"/>
        <v>28431083.333333328</v>
      </c>
      <c r="AT338" s="85"/>
      <c r="AU338" s="84">
        <f t="shared" si="129"/>
        <v>28431083.333333328</v>
      </c>
      <c r="AV338" s="85"/>
      <c r="AW338" s="84">
        <f t="shared" si="130"/>
        <v>28431083.333333328</v>
      </c>
      <c r="AX338" s="86">
        <f t="shared" si="131"/>
        <v>6689666.666666667</v>
      </c>
      <c r="AY338" s="87">
        <f t="shared" si="132"/>
        <v>28431083.333333332</v>
      </c>
      <c r="AZ338" s="65" t="b">
        <f t="shared" si="133"/>
        <v>1</v>
      </c>
    </row>
    <row r="339" spans="1:52" s="67" customFormat="1" ht="24.75" hidden="1" customHeight="1">
      <c r="A339" s="68">
        <v>335</v>
      </c>
      <c r="B339" s="69" t="s">
        <v>921</v>
      </c>
      <c r="C339" s="88" t="s">
        <v>806</v>
      </c>
      <c r="D339" s="71" t="s">
        <v>681</v>
      </c>
      <c r="E339" s="150" t="s">
        <v>922</v>
      </c>
      <c r="F339" s="104"/>
      <c r="G339" s="105">
        <v>45930</v>
      </c>
      <c r="H339" s="102" t="s">
        <v>893</v>
      </c>
      <c r="I339" s="120" t="s">
        <v>84</v>
      </c>
      <c r="J339" s="102" t="s">
        <v>85</v>
      </c>
      <c r="K339" s="68" t="s">
        <v>86</v>
      </c>
      <c r="L339" s="70" t="s">
        <v>87</v>
      </c>
      <c r="M339" s="88" t="s">
        <v>130</v>
      </c>
      <c r="N339" s="88" t="s">
        <v>131</v>
      </c>
      <c r="O339" s="108"/>
      <c r="P339" s="109">
        <v>45931</v>
      </c>
      <c r="Q339" s="110">
        <f t="shared" si="134"/>
        <v>46660</v>
      </c>
      <c r="R339" s="111">
        <v>24</v>
      </c>
      <c r="S339" s="111">
        <v>2</v>
      </c>
      <c r="T339" s="123">
        <v>39471705</v>
      </c>
      <c r="U339" s="113"/>
      <c r="V339" s="123">
        <v>39471705</v>
      </c>
      <c r="W339" s="115">
        <f t="shared" si="114"/>
        <v>1644654.375</v>
      </c>
      <c r="X339" s="115">
        <v>4933963.125</v>
      </c>
      <c r="Y339" s="115">
        <v>34537741.875</v>
      </c>
      <c r="Z339" s="124">
        <f t="shared" si="118"/>
        <v>1644654.375</v>
      </c>
      <c r="AA339" s="118">
        <f t="shared" si="117"/>
        <v>32893087.5</v>
      </c>
      <c r="AB339" s="85">
        <f t="shared" si="119"/>
        <v>1644654.375</v>
      </c>
      <c r="AC339" s="84">
        <f t="shared" si="120"/>
        <v>31248433.125</v>
      </c>
      <c r="AD339" s="85">
        <f t="shared" si="116"/>
        <v>1644654.375</v>
      </c>
      <c r="AE339" s="118">
        <f t="shared" si="121"/>
        <v>29603778.75</v>
      </c>
      <c r="AF339" s="85">
        <f t="shared" si="115"/>
        <v>1644654.375</v>
      </c>
      <c r="AG339" s="84">
        <f t="shared" si="122"/>
        <v>27959124.375</v>
      </c>
      <c r="AH339" s="85"/>
      <c r="AI339" s="84">
        <f t="shared" si="123"/>
        <v>27959124.375</v>
      </c>
      <c r="AJ339" s="124"/>
      <c r="AK339" s="84">
        <f t="shared" si="124"/>
        <v>27959124.375</v>
      </c>
      <c r="AL339" s="124"/>
      <c r="AM339" s="84">
        <f t="shared" si="125"/>
        <v>27959124.375</v>
      </c>
      <c r="AN339" s="85"/>
      <c r="AO339" s="84">
        <f t="shared" si="126"/>
        <v>27959124.375</v>
      </c>
      <c r="AP339" s="85"/>
      <c r="AQ339" s="84">
        <f t="shared" si="127"/>
        <v>27959124.375</v>
      </c>
      <c r="AR339" s="85"/>
      <c r="AS339" s="84">
        <f t="shared" si="128"/>
        <v>27959124.375</v>
      </c>
      <c r="AT339" s="85"/>
      <c r="AU339" s="84">
        <f t="shared" si="129"/>
        <v>27959124.375</v>
      </c>
      <c r="AV339" s="85"/>
      <c r="AW339" s="84">
        <f t="shared" si="130"/>
        <v>27959124.375</v>
      </c>
      <c r="AX339" s="86">
        <f t="shared" si="131"/>
        <v>6578617.5</v>
      </c>
      <c r="AY339" s="87">
        <f t="shared" si="132"/>
        <v>27959124.375</v>
      </c>
      <c r="AZ339" s="65" t="b">
        <f t="shared" si="133"/>
        <v>1</v>
      </c>
    </row>
    <row r="340" spans="1:52" s="67" customFormat="1" ht="24.75" hidden="1" customHeight="1">
      <c r="A340" s="68">
        <v>336</v>
      </c>
      <c r="B340" s="69" t="s">
        <v>923</v>
      </c>
      <c r="C340" s="88" t="s">
        <v>806</v>
      </c>
      <c r="D340" s="71" t="s">
        <v>681</v>
      </c>
      <c r="E340" s="150" t="s">
        <v>924</v>
      </c>
      <c r="F340" s="104"/>
      <c r="G340" s="105">
        <v>45930</v>
      </c>
      <c r="H340" s="102" t="s">
        <v>893</v>
      </c>
      <c r="I340" s="120" t="s">
        <v>84</v>
      </c>
      <c r="J340" s="102" t="s">
        <v>85</v>
      </c>
      <c r="K340" s="68" t="s">
        <v>86</v>
      </c>
      <c r="L340" s="70" t="s">
        <v>87</v>
      </c>
      <c r="M340" s="88" t="s">
        <v>779</v>
      </c>
      <c r="N340" s="88" t="s">
        <v>780</v>
      </c>
      <c r="O340" s="108"/>
      <c r="P340" s="109">
        <v>45931</v>
      </c>
      <c r="Q340" s="110">
        <f t="shared" si="134"/>
        <v>46660</v>
      </c>
      <c r="R340" s="111">
        <v>24</v>
      </c>
      <c r="S340" s="111">
        <v>2</v>
      </c>
      <c r="T340" s="123">
        <v>36869000</v>
      </c>
      <c r="U340" s="113"/>
      <c r="V340" s="123">
        <v>36869000</v>
      </c>
      <c r="W340" s="115">
        <f t="shared" si="114"/>
        <v>1536208.3333333333</v>
      </c>
      <c r="X340" s="115">
        <v>4608625</v>
      </c>
      <c r="Y340" s="115">
        <v>32260375</v>
      </c>
      <c r="Z340" s="124">
        <f t="shared" si="118"/>
        <v>1536208.3333333333</v>
      </c>
      <c r="AA340" s="118">
        <f t="shared" si="117"/>
        <v>30724166.666666668</v>
      </c>
      <c r="AB340" s="85">
        <f t="shared" si="119"/>
        <v>1536208.3333333333</v>
      </c>
      <c r="AC340" s="84">
        <f t="shared" si="120"/>
        <v>29187958.333333336</v>
      </c>
      <c r="AD340" s="85">
        <f t="shared" si="116"/>
        <v>1536208.3333333333</v>
      </c>
      <c r="AE340" s="118">
        <f t="shared" si="121"/>
        <v>27651750.000000004</v>
      </c>
      <c r="AF340" s="85">
        <f t="shared" si="115"/>
        <v>1536208.3333333333</v>
      </c>
      <c r="AG340" s="84">
        <f t="shared" si="122"/>
        <v>26115541.666666672</v>
      </c>
      <c r="AH340" s="85"/>
      <c r="AI340" s="84">
        <f t="shared" si="123"/>
        <v>26115541.666666672</v>
      </c>
      <c r="AJ340" s="124"/>
      <c r="AK340" s="84">
        <f t="shared" si="124"/>
        <v>26115541.666666672</v>
      </c>
      <c r="AL340" s="124"/>
      <c r="AM340" s="84">
        <f t="shared" si="125"/>
        <v>26115541.666666672</v>
      </c>
      <c r="AN340" s="85"/>
      <c r="AO340" s="84">
        <f t="shared" si="126"/>
        <v>26115541.666666672</v>
      </c>
      <c r="AP340" s="85"/>
      <c r="AQ340" s="84">
        <f t="shared" si="127"/>
        <v>26115541.666666672</v>
      </c>
      <c r="AR340" s="85"/>
      <c r="AS340" s="84">
        <f t="shared" si="128"/>
        <v>26115541.666666672</v>
      </c>
      <c r="AT340" s="85"/>
      <c r="AU340" s="84">
        <f t="shared" si="129"/>
        <v>26115541.666666672</v>
      </c>
      <c r="AV340" s="85"/>
      <c r="AW340" s="84">
        <f t="shared" si="130"/>
        <v>26115541.666666672</v>
      </c>
      <c r="AX340" s="86">
        <f t="shared" si="131"/>
        <v>6144833.333333333</v>
      </c>
      <c r="AY340" s="87">
        <f t="shared" si="132"/>
        <v>26115541.666666668</v>
      </c>
      <c r="AZ340" s="65" t="b">
        <f t="shared" si="133"/>
        <v>1</v>
      </c>
    </row>
    <row r="341" spans="1:52" s="67" customFormat="1" ht="24.75" hidden="1" customHeight="1">
      <c r="A341" s="68">
        <v>337</v>
      </c>
      <c r="B341" s="69" t="s">
        <v>925</v>
      </c>
      <c r="C341" s="88" t="s">
        <v>806</v>
      </c>
      <c r="D341" s="71" t="s">
        <v>681</v>
      </c>
      <c r="E341" s="150" t="s">
        <v>926</v>
      </c>
      <c r="F341" s="104"/>
      <c r="G341" s="105">
        <v>45930</v>
      </c>
      <c r="H341" s="102" t="s">
        <v>893</v>
      </c>
      <c r="I341" s="120" t="s">
        <v>84</v>
      </c>
      <c r="J341" s="102" t="s">
        <v>85</v>
      </c>
      <c r="K341" s="68" t="s">
        <v>86</v>
      </c>
      <c r="L341" s="70" t="s">
        <v>87</v>
      </c>
      <c r="M341" s="88" t="s">
        <v>125</v>
      </c>
      <c r="N341" s="88" t="s">
        <v>126</v>
      </c>
      <c r="O341" s="108"/>
      <c r="P341" s="109">
        <v>45931</v>
      </c>
      <c r="Q341" s="110">
        <f t="shared" si="134"/>
        <v>46660</v>
      </c>
      <c r="R341" s="111">
        <v>24</v>
      </c>
      <c r="S341" s="111">
        <v>2</v>
      </c>
      <c r="T341" s="123">
        <v>58374000</v>
      </c>
      <c r="U341" s="113"/>
      <c r="V341" s="123">
        <v>58374000</v>
      </c>
      <c r="W341" s="115">
        <f t="shared" si="114"/>
        <v>2432250</v>
      </c>
      <c r="X341" s="115">
        <v>7296750</v>
      </c>
      <c r="Y341" s="115">
        <v>51077250</v>
      </c>
      <c r="Z341" s="124">
        <f t="shared" si="118"/>
        <v>2432250</v>
      </c>
      <c r="AA341" s="118">
        <f t="shared" si="117"/>
        <v>48645000</v>
      </c>
      <c r="AB341" s="85">
        <f t="shared" si="119"/>
        <v>2432250</v>
      </c>
      <c r="AC341" s="84">
        <f t="shared" si="120"/>
        <v>46212750</v>
      </c>
      <c r="AD341" s="85">
        <f t="shared" si="116"/>
        <v>2432250</v>
      </c>
      <c r="AE341" s="118">
        <f t="shared" si="121"/>
        <v>43780500</v>
      </c>
      <c r="AF341" s="85">
        <f t="shared" si="115"/>
        <v>2432250</v>
      </c>
      <c r="AG341" s="84">
        <f t="shared" si="122"/>
        <v>41348250</v>
      </c>
      <c r="AH341" s="85"/>
      <c r="AI341" s="84">
        <f t="shared" si="123"/>
        <v>41348250</v>
      </c>
      <c r="AJ341" s="124"/>
      <c r="AK341" s="84">
        <f t="shared" si="124"/>
        <v>41348250</v>
      </c>
      <c r="AL341" s="124"/>
      <c r="AM341" s="84">
        <f t="shared" si="125"/>
        <v>41348250</v>
      </c>
      <c r="AN341" s="85"/>
      <c r="AO341" s="84">
        <f t="shared" si="126"/>
        <v>41348250</v>
      </c>
      <c r="AP341" s="85"/>
      <c r="AQ341" s="84">
        <f t="shared" si="127"/>
        <v>41348250</v>
      </c>
      <c r="AR341" s="85"/>
      <c r="AS341" s="84">
        <f t="shared" si="128"/>
        <v>41348250</v>
      </c>
      <c r="AT341" s="85"/>
      <c r="AU341" s="84">
        <f t="shared" si="129"/>
        <v>41348250</v>
      </c>
      <c r="AV341" s="85"/>
      <c r="AW341" s="84">
        <f t="shared" si="130"/>
        <v>41348250</v>
      </c>
      <c r="AX341" s="86">
        <f t="shared" si="131"/>
        <v>9729000</v>
      </c>
      <c r="AY341" s="87">
        <f t="shared" si="132"/>
        <v>41348250</v>
      </c>
      <c r="AZ341" s="65" t="b">
        <f t="shared" si="133"/>
        <v>1</v>
      </c>
    </row>
    <row r="342" spans="1:52" s="67" customFormat="1" ht="24.75" hidden="1" customHeight="1">
      <c r="A342" s="68">
        <v>338</v>
      </c>
      <c r="B342" s="69" t="s">
        <v>927</v>
      </c>
      <c r="C342" s="88" t="s">
        <v>806</v>
      </c>
      <c r="D342" s="71" t="s">
        <v>681</v>
      </c>
      <c r="E342" s="150" t="s">
        <v>928</v>
      </c>
      <c r="F342" s="104"/>
      <c r="G342" s="105">
        <v>45930</v>
      </c>
      <c r="H342" s="102" t="s">
        <v>893</v>
      </c>
      <c r="I342" s="120" t="s">
        <v>84</v>
      </c>
      <c r="J342" s="102" t="s">
        <v>85</v>
      </c>
      <c r="K342" s="68" t="s">
        <v>86</v>
      </c>
      <c r="L342" s="70" t="s">
        <v>87</v>
      </c>
      <c r="M342" s="88" t="s">
        <v>130</v>
      </c>
      <c r="N342" s="88" t="s">
        <v>131</v>
      </c>
      <c r="O342" s="108"/>
      <c r="P342" s="109">
        <v>45931</v>
      </c>
      <c r="Q342" s="110">
        <f t="shared" si="134"/>
        <v>46660</v>
      </c>
      <c r="R342" s="111">
        <v>24</v>
      </c>
      <c r="S342" s="111">
        <v>2</v>
      </c>
      <c r="T342" s="123">
        <v>92986352.879999995</v>
      </c>
      <c r="U342" s="113"/>
      <c r="V342" s="123">
        <v>92986352.879999995</v>
      </c>
      <c r="W342" s="115">
        <f t="shared" si="114"/>
        <v>3874431.3699999996</v>
      </c>
      <c r="X342" s="115">
        <v>11623294.109999999</v>
      </c>
      <c r="Y342" s="115">
        <v>81363058.769999996</v>
      </c>
      <c r="Z342" s="124">
        <f t="shared" si="118"/>
        <v>3874431.3699999996</v>
      </c>
      <c r="AA342" s="118">
        <f t="shared" si="117"/>
        <v>77488627.399999991</v>
      </c>
      <c r="AB342" s="85">
        <f t="shared" si="119"/>
        <v>3874431.3699999996</v>
      </c>
      <c r="AC342" s="84">
        <f t="shared" si="120"/>
        <v>73614196.029999986</v>
      </c>
      <c r="AD342" s="85">
        <f t="shared" si="116"/>
        <v>3874431.3699999996</v>
      </c>
      <c r="AE342" s="118">
        <f t="shared" si="121"/>
        <v>69739764.659999982</v>
      </c>
      <c r="AF342" s="85">
        <f t="shared" si="115"/>
        <v>3874431.3699999996</v>
      </c>
      <c r="AG342" s="84">
        <f t="shared" si="122"/>
        <v>65865333.289999984</v>
      </c>
      <c r="AH342" s="85"/>
      <c r="AI342" s="84">
        <f t="shared" si="123"/>
        <v>65865333.289999984</v>
      </c>
      <c r="AJ342" s="124"/>
      <c r="AK342" s="84">
        <f t="shared" si="124"/>
        <v>65865333.289999984</v>
      </c>
      <c r="AL342" s="124"/>
      <c r="AM342" s="84">
        <f t="shared" si="125"/>
        <v>65865333.289999984</v>
      </c>
      <c r="AN342" s="85"/>
      <c r="AO342" s="84">
        <f t="shared" si="126"/>
        <v>65865333.289999984</v>
      </c>
      <c r="AP342" s="85"/>
      <c r="AQ342" s="84">
        <f t="shared" si="127"/>
        <v>65865333.289999984</v>
      </c>
      <c r="AR342" s="85"/>
      <c r="AS342" s="84">
        <f t="shared" si="128"/>
        <v>65865333.289999984</v>
      </c>
      <c r="AT342" s="85"/>
      <c r="AU342" s="84">
        <f t="shared" si="129"/>
        <v>65865333.289999984</v>
      </c>
      <c r="AV342" s="85"/>
      <c r="AW342" s="84">
        <f t="shared" si="130"/>
        <v>65865333.289999984</v>
      </c>
      <c r="AX342" s="86">
        <f t="shared" si="131"/>
        <v>15497725.479999999</v>
      </c>
      <c r="AY342" s="87">
        <f t="shared" si="132"/>
        <v>65865333.289999999</v>
      </c>
      <c r="AZ342" s="65" t="b">
        <f t="shared" si="133"/>
        <v>1</v>
      </c>
    </row>
    <row r="343" spans="1:52" s="67" customFormat="1" ht="24.75" hidden="1" customHeight="1">
      <c r="A343" s="68">
        <v>339</v>
      </c>
      <c r="B343" s="69" t="s">
        <v>929</v>
      </c>
      <c r="C343" s="88" t="s">
        <v>806</v>
      </c>
      <c r="D343" s="71" t="s">
        <v>681</v>
      </c>
      <c r="E343" s="150" t="s">
        <v>930</v>
      </c>
      <c r="F343" s="104"/>
      <c r="G343" s="105">
        <v>45930</v>
      </c>
      <c r="H343" s="102" t="s">
        <v>893</v>
      </c>
      <c r="I343" s="120" t="s">
        <v>84</v>
      </c>
      <c r="J343" s="102" t="s">
        <v>85</v>
      </c>
      <c r="K343" s="68" t="s">
        <v>86</v>
      </c>
      <c r="L343" s="70" t="s">
        <v>87</v>
      </c>
      <c r="M343" s="88" t="s">
        <v>130</v>
      </c>
      <c r="N343" s="88" t="s">
        <v>131</v>
      </c>
      <c r="O343" s="108"/>
      <c r="P343" s="109">
        <v>45931</v>
      </c>
      <c r="Q343" s="110">
        <f t="shared" si="134"/>
        <v>46660</v>
      </c>
      <c r="R343" s="111">
        <v>24</v>
      </c>
      <c r="S343" s="111">
        <v>2</v>
      </c>
      <c r="T343" s="123">
        <v>92986352.879999995</v>
      </c>
      <c r="U343" s="113"/>
      <c r="V343" s="123">
        <v>92986352.879999995</v>
      </c>
      <c r="W343" s="115">
        <f t="shared" si="114"/>
        <v>3874431.3699999996</v>
      </c>
      <c r="X343" s="115">
        <v>11623294.109999999</v>
      </c>
      <c r="Y343" s="115">
        <v>81363058.769999996</v>
      </c>
      <c r="Z343" s="124">
        <f t="shared" si="118"/>
        <v>3874431.3699999996</v>
      </c>
      <c r="AA343" s="118">
        <f t="shared" si="117"/>
        <v>77488627.399999991</v>
      </c>
      <c r="AB343" s="85">
        <f t="shared" si="119"/>
        <v>3874431.3699999996</v>
      </c>
      <c r="AC343" s="84">
        <f t="shared" si="120"/>
        <v>73614196.029999986</v>
      </c>
      <c r="AD343" s="85">
        <f t="shared" si="116"/>
        <v>3874431.3699999996</v>
      </c>
      <c r="AE343" s="118">
        <f t="shared" si="121"/>
        <v>69739764.659999982</v>
      </c>
      <c r="AF343" s="85">
        <f t="shared" si="115"/>
        <v>3874431.3699999996</v>
      </c>
      <c r="AG343" s="84">
        <f t="shared" si="122"/>
        <v>65865333.289999984</v>
      </c>
      <c r="AH343" s="85"/>
      <c r="AI343" s="84">
        <f t="shared" si="123"/>
        <v>65865333.289999984</v>
      </c>
      <c r="AJ343" s="124"/>
      <c r="AK343" s="84">
        <f t="shared" si="124"/>
        <v>65865333.289999984</v>
      </c>
      <c r="AL343" s="124"/>
      <c r="AM343" s="84">
        <f t="shared" si="125"/>
        <v>65865333.289999984</v>
      </c>
      <c r="AN343" s="85"/>
      <c r="AO343" s="84">
        <f t="shared" si="126"/>
        <v>65865333.289999984</v>
      </c>
      <c r="AP343" s="85"/>
      <c r="AQ343" s="84">
        <f t="shared" si="127"/>
        <v>65865333.289999984</v>
      </c>
      <c r="AR343" s="85"/>
      <c r="AS343" s="84">
        <f t="shared" si="128"/>
        <v>65865333.289999984</v>
      </c>
      <c r="AT343" s="85"/>
      <c r="AU343" s="84">
        <f t="shared" si="129"/>
        <v>65865333.289999984</v>
      </c>
      <c r="AV343" s="85"/>
      <c r="AW343" s="84">
        <f t="shared" si="130"/>
        <v>65865333.289999984</v>
      </c>
      <c r="AX343" s="86">
        <f t="shared" si="131"/>
        <v>15497725.479999999</v>
      </c>
      <c r="AY343" s="87">
        <f t="shared" si="132"/>
        <v>65865333.289999999</v>
      </c>
      <c r="AZ343" s="65" t="b">
        <f t="shared" si="133"/>
        <v>1</v>
      </c>
    </row>
    <row r="344" spans="1:52" s="67" customFormat="1" ht="24.75" hidden="1" customHeight="1">
      <c r="A344" s="68">
        <v>340</v>
      </c>
      <c r="B344" s="69" t="s">
        <v>931</v>
      </c>
      <c r="C344" s="88" t="s">
        <v>806</v>
      </c>
      <c r="D344" s="71" t="s">
        <v>681</v>
      </c>
      <c r="E344" s="150" t="s">
        <v>932</v>
      </c>
      <c r="F344" s="104"/>
      <c r="G344" s="105">
        <v>45930</v>
      </c>
      <c r="H344" s="102" t="s">
        <v>893</v>
      </c>
      <c r="I344" s="120" t="s">
        <v>84</v>
      </c>
      <c r="J344" s="102" t="s">
        <v>85</v>
      </c>
      <c r="K344" s="68" t="s">
        <v>86</v>
      </c>
      <c r="L344" s="70" t="s">
        <v>87</v>
      </c>
      <c r="M344" s="88" t="s">
        <v>130</v>
      </c>
      <c r="N344" s="88" t="s">
        <v>131</v>
      </c>
      <c r="O344" s="108"/>
      <c r="P344" s="109">
        <v>45931</v>
      </c>
      <c r="Q344" s="110">
        <f t="shared" si="134"/>
        <v>46660</v>
      </c>
      <c r="R344" s="111">
        <v>24</v>
      </c>
      <c r="S344" s="111">
        <v>2</v>
      </c>
      <c r="T344" s="123">
        <v>43650000</v>
      </c>
      <c r="U344" s="113"/>
      <c r="V344" s="123">
        <v>43650000</v>
      </c>
      <c r="W344" s="115">
        <f t="shared" si="114"/>
        <v>1818750</v>
      </c>
      <c r="X344" s="115">
        <v>5456250</v>
      </c>
      <c r="Y344" s="115">
        <v>38193750</v>
      </c>
      <c r="Z344" s="124">
        <f t="shared" si="118"/>
        <v>1818750</v>
      </c>
      <c r="AA344" s="118">
        <f t="shared" si="117"/>
        <v>36375000</v>
      </c>
      <c r="AB344" s="85">
        <f t="shared" si="119"/>
        <v>1818750</v>
      </c>
      <c r="AC344" s="84">
        <f t="shared" si="120"/>
        <v>34556250</v>
      </c>
      <c r="AD344" s="85">
        <f t="shared" si="116"/>
        <v>1818750</v>
      </c>
      <c r="AE344" s="118">
        <f t="shared" si="121"/>
        <v>32737500</v>
      </c>
      <c r="AF344" s="85">
        <f t="shared" si="115"/>
        <v>1818750</v>
      </c>
      <c r="AG344" s="84">
        <f t="shared" si="122"/>
        <v>30918750</v>
      </c>
      <c r="AH344" s="85"/>
      <c r="AI344" s="84">
        <f t="shared" si="123"/>
        <v>30918750</v>
      </c>
      <c r="AJ344" s="124"/>
      <c r="AK344" s="84">
        <f t="shared" si="124"/>
        <v>30918750</v>
      </c>
      <c r="AL344" s="124"/>
      <c r="AM344" s="84">
        <f t="shared" si="125"/>
        <v>30918750</v>
      </c>
      <c r="AN344" s="85"/>
      <c r="AO344" s="84">
        <f t="shared" si="126"/>
        <v>30918750</v>
      </c>
      <c r="AP344" s="85"/>
      <c r="AQ344" s="84">
        <f t="shared" si="127"/>
        <v>30918750</v>
      </c>
      <c r="AR344" s="85"/>
      <c r="AS344" s="84">
        <f t="shared" si="128"/>
        <v>30918750</v>
      </c>
      <c r="AT344" s="85"/>
      <c r="AU344" s="84">
        <f t="shared" si="129"/>
        <v>30918750</v>
      </c>
      <c r="AV344" s="85"/>
      <c r="AW344" s="84">
        <f t="shared" si="130"/>
        <v>30918750</v>
      </c>
      <c r="AX344" s="86">
        <f t="shared" si="131"/>
        <v>7275000</v>
      </c>
      <c r="AY344" s="87">
        <f t="shared" si="132"/>
        <v>30918750</v>
      </c>
      <c r="AZ344" s="65" t="b">
        <f t="shared" si="133"/>
        <v>1</v>
      </c>
    </row>
    <row r="345" spans="1:52" s="67" customFormat="1" ht="24.75" hidden="1" customHeight="1">
      <c r="A345" s="68">
        <v>341</v>
      </c>
      <c r="B345" s="69" t="s">
        <v>933</v>
      </c>
      <c r="C345" s="88" t="s">
        <v>395</v>
      </c>
      <c r="D345" s="71" t="s">
        <v>396</v>
      </c>
      <c r="E345" s="150" t="s">
        <v>934</v>
      </c>
      <c r="F345" s="104"/>
      <c r="G345" s="105">
        <v>45961</v>
      </c>
      <c r="H345" s="102" t="s">
        <v>935</v>
      </c>
      <c r="I345" s="120" t="s">
        <v>399</v>
      </c>
      <c r="J345" s="102" t="s">
        <v>400</v>
      </c>
      <c r="K345" s="68" t="s">
        <v>68</v>
      </c>
      <c r="L345" s="70" t="s">
        <v>69</v>
      </c>
      <c r="M345" s="88" t="s">
        <v>125</v>
      </c>
      <c r="N345" s="88" t="s">
        <v>614</v>
      </c>
      <c r="O345" s="108"/>
      <c r="P345" s="109">
        <v>45962</v>
      </c>
      <c r="Q345" s="110">
        <f t="shared" si="134"/>
        <v>46691</v>
      </c>
      <c r="R345" s="111">
        <v>24</v>
      </c>
      <c r="S345" s="111">
        <v>2</v>
      </c>
      <c r="T345" s="123">
        <v>22560000</v>
      </c>
      <c r="U345" s="113"/>
      <c r="V345" s="123">
        <v>22560000</v>
      </c>
      <c r="W345" s="115">
        <f t="shared" si="114"/>
        <v>940000</v>
      </c>
      <c r="X345" s="115">
        <v>1880000</v>
      </c>
      <c r="Y345" s="115">
        <v>20680000</v>
      </c>
      <c r="Z345" s="124">
        <f t="shared" si="118"/>
        <v>940000</v>
      </c>
      <c r="AA345" s="118">
        <f t="shared" si="117"/>
        <v>19740000</v>
      </c>
      <c r="AB345" s="85">
        <f t="shared" si="119"/>
        <v>940000</v>
      </c>
      <c r="AC345" s="84">
        <f t="shared" si="120"/>
        <v>18800000</v>
      </c>
      <c r="AD345" s="85">
        <f t="shared" si="116"/>
        <v>940000</v>
      </c>
      <c r="AE345" s="118">
        <f t="shared" si="121"/>
        <v>17860000</v>
      </c>
      <c r="AF345" s="85">
        <f t="shared" si="115"/>
        <v>940000</v>
      </c>
      <c r="AG345" s="84">
        <f t="shared" si="122"/>
        <v>16920000</v>
      </c>
      <c r="AH345" s="85"/>
      <c r="AI345" s="84">
        <f t="shared" si="123"/>
        <v>16920000</v>
      </c>
      <c r="AJ345" s="124"/>
      <c r="AK345" s="84">
        <f t="shared" si="124"/>
        <v>16920000</v>
      </c>
      <c r="AL345" s="124"/>
      <c r="AM345" s="84">
        <f t="shared" si="125"/>
        <v>16920000</v>
      </c>
      <c r="AN345" s="85"/>
      <c r="AO345" s="84">
        <f t="shared" si="126"/>
        <v>16920000</v>
      </c>
      <c r="AP345" s="85"/>
      <c r="AQ345" s="84">
        <f t="shared" si="127"/>
        <v>16920000</v>
      </c>
      <c r="AR345" s="85"/>
      <c r="AS345" s="84">
        <f t="shared" si="128"/>
        <v>16920000</v>
      </c>
      <c r="AT345" s="85"/>
      <c r="AU345" s="84">
        <f t="shared" si="129"/>
        <v>16920000</v>
      </c>
      <c r="AV345" s="85"/>
      <c r="AW345" s="84">
        <f t="shared" si="130"/>
        <v>16920000</v>
      </c>
      <c r="AX345" s="86">
        <f t="shared" si="131"/>
        <v>3760000</v>
      </c>
      <c r="AY345" s="87">
        <f t="shared" si="132"/>
        <v>16920000</v>
      </c>
      <c r="AZ345" s="65" t="b">
        <f t="shared" si="133"/>
        <v>1</v>
      </c>
    </row>
    <row r="346" spans="1:52" s="67" customFormat="1" ht="24.75" hidden="1" customHeight="1">
      <c r="A346" s="68">
        <v>342</v>
      </c>
      <c r="B346" s="69" t="s">
        <v>936</v>
      </c>
      <c r="C346" s="88" t="s">
        <v>806</v>
      </c>
      <c r="D346" s="71" t="s">
        <v>95</v>
      </c>
      <c r="E346" s="150" t="s">
        <v>937</v>
      </c>
      <c r="F346" s="104"/>
      <c r="G346" s="105">
        <v>45961</v>
      </c>
      <c r="H346" s="102" t="s">
        <v>938</v>
      </c>
      <c r="I346" s="120" t="s">
        <v>98</v>
      </c>
      <c r="J346" s="102" t="s">
        <v>617</v>
      </c>
      <c r="K346" s="68" t="s">
        <v>99</v>
      </c>
      <c r="L346" s="70" t="s">
        <v>100</v>
      </c>
      <c r="M346" s="88" t="s">
        <v>130</v>
      </c>
      <c r="N346" s="88" t="s">
        <v>131</v>
      </c>
      <c r="O346" s="108"/>
      <c r="P346" s="109">
        <v>45962</v>
      </c>
      <c r="Q346" s="110">
        <f t="shared" si="134"/>
        <v>46507</v>
      </c>
      <c r="R346" s="111">
        <v>18</v>
      </c>
      <c r="S346" s="153">
        <v>1.5</v>
      </c>
      <c r="T346" s="123">
        <v>60000000</v>
      </c>
      <c r="U346" s="113"/>
      <c r="V346" s="123">
        <v>60000000</v>
      </c>
      <c r="W346" s="115">
        <f t="shared" si="114"/>
        <v>3333333.3333333335</v>
      </c>
      <c r="X346" s="115">
        <v>6666666.666666667</v>
      </c>
      <c r="Y346" s="115">
        <v>53333333.333333336</v>
      </c>
      <c r="Z346" s="124">
        <f t="shared" si="118"/>
        <v>3333333.3333333335</v>
      </c>
      <c r="AA346" s="118">
        <f t="shared" si="117"/>
        <v>50000000</v>
      </c>
      <c r="AB346" s="85">
        <f t="shared" si="119"/>
        <v>3333333.3333333335</v>
      </c>
      <c r="AC346" s="84">
        <f t="shared" si="120"/>
        <v>46666666.666666664</v>
      </c>
      <c r="AD346" s="85">
        <f t="shared" si="116"/>
        <v>3333333.3333333335</v>
      </c>
      <c r="AE346" s="118">
        <f t="shared" si="121"/>
        <v>43333333.333333328</v>
      </c>
      <c r="AF346" s="85">
        <f t="shared" si="115"/>
        <v>3333333.3333333335</v>
      </c>
      <c r="AG346" s="84">
        <f t="shared" si="122"/>
        <v>39999999.999999993</v>
      </c>
      <c r="AH346" s="85"/>
      <c r="AI346" s="84">
        <f t="shared" si="123"/>
        <v>39999999.999999993</v>
      </c>
      <c r="AJ346" s="124"/>
      <c r="AK346" s="84">
        <f t="shared" si="124"/>
        <v>39999999.999999993</v>
      </c>
      <c r="AL346" s="124"/>
      <c r="AM346" s="84">
        <f t="shared" si="125"/>
        <v>39999999.999999993</v>
      </c>
      <c r="AN346" s="85"/>
      <c r="AO346" s="84">
        <f t="shared" si="126"/>
        <v>39999999.999999993</v>
      </c>
      <c r="AP346" s="85"/>
      <c r="AQ346" s="84">
        <f t="shared" si="127"/>
        <v>39999999.999999993</v>
      </c>
      <c r="AR346" s="85"/>
      <c r="AS346" s="84">
        <f t="shared" si="128"/>
        <v>39999999.999999993</v>
      </c>
      <c r="AT346" s="85"/>
      <c r="AU346" s="84">
        <f t="shared" si="129"/>
        <v>39999999.999999993</v>
      </c>
      <c r="AV346" s="85"/>
      <c r="AW346" s="84">
        <f t="shared" si="130"/>
        <v>39999999.999999993</v>
      </c>
      <c r="AX346" s="86">
        <f t="shared" si="131"/>
        <v>13333333.333333334</v>
      </c>
      <c r="AY346" s="87">
        <f t="shared" si="132"/>
        <v>40000000</v>
      </c>
      <c r="AZ346" s="65" t="b">
        <f t="shared" si="133"/>
        <v>1</v>
      </c>
    </row>
    <row r="347" spans="1:52" s="67" customFormat="1" ht="24.75" hidden="1" customHeight="1">
      <c r="A347" s="68">
        <v>343</v>
      </c>
      <c r="B347" s="69" t="s">
        <v>939</v>
      </c>
      <c r="C347" s="88" t="s">
        <v>806</v>
      </c>
      <c r="D347" s="71" t="s">
        <v>95</v>
      </c>
      <c r="E347" s="150" t="s">
        <v>937</v>
      </c>
      <c r="F347" s="104"/>
      <c r="G347" s="105">
        <v>45961</v>
      </c>
      <c r="H347" s="102" t="s">
        <v>938</v>
      </c>
      <c r="I347" s="120" t="s">
        <v>98</v>
      </c>
      <c r="J347" s="102" t="s">
        <v>617</v>
      </c>
      <c r="K347" s="68" t="s">
        <v>99</v>
      </c>
      <c r="L347" s="70" t="s">
        <v>100</v>
      </c>
      <c r="M347" s="88" t="s">
        <v>101</v>
      </c>
      <c r="N347" s="88" t="s">
        <v>102</v>
      </c>
      <c r="O347" s="108"/>
      <c r="P347" s="109">
        <v>45962</v>
      </c>
      <c r="Q347" s="110">
        <f t="shared" si="134"/>
        <v>46507</v>
      </c>
      <c r="R347" s="111">
        <v>18</v>
      </c>
      <c r="S347" s="153">
        <v>1.5</v>
      </c>
      <c r="T347" s="123">
        <v>369926097.19527537</v>
      </c>
      <c r="U347" s="113"/>
      <c r="V347" s="123">
        <v>369926097.19527537</v>
      </c>
      <c r="W347" s="115">
        <f t="shared" si="114"/>
        <v>20551449.844181966</v>
      </c>
      <c r="X347" s="115">
        <v>41102899.688363932</v>
      </c>
      <c r="Y347" s="115">
        <v>328823197.50691146</v>
      </c>
      <c r="Z347" s="124">
        <f t="shared" si="118"/>
        <v>20551449.844181966</v>
      </c>
      <c r="AA347" s="118">
        <f t="shared" si="117"/>
        <v>308271747.6627295</v>
      </c>
      <c r="AB347" s="85">
        <f t="shared" si="119"/>
        <v>20551449.844181966</v>
      </c>
      <c r="AC347" s="84">
        <f t="shared" si="120"/>
        <v>287720297.81854755</v>
      </c>
      <c r="AD347" s="85">
        <f t="shared" si="116"/>
        <v>20551449.844181966</v>
      </c>
      <c r="AE347" s="118">
        <f t="shared" si="121"/>
        <v>267168847.97436559</v>
      </c>
      <c r="AF347" s="85">
        <f t="shared" si="115"/>
        <v>20551449.844181966</v>
      </c>
      <c r="AG347" s="84">
        <f t="shared" si="122"/>
        <v>246617398.13018364</v>
      </c>
      <c r="AH347" s="85"/>
      <c r="AI347" s="84">
        <f t="shared" si="123"/>
        <v>246617398.13018364</v>
      </c>
      <c r="AJ347" s="124"/>
      <c r="AK347" s="84">
        <f t="shared" si="124"/>
        <v>246617398.13018364</v>
      </c>
      <c r="AL347" s="124"/>
      <c r="AM347" s="84">
        <f t="shared" si="125"/>
        <v>246617398.13018364</v>
      </c>
      <c r="AN347" s="85"/>
      <c r="AO347" s="84">
        <f t="shared" si="126"/>
        <v>246617398.13018364</v>
      </c>
      <c r="AP347" s="85"/>
      <c r="AQ347" s="84">
        <f t="shared" si="127"/>
        <v>246617398.13018364</v>
      </c>
      <c r="AR347" s="85"/>
      <c r="AS347" s="84">
        <f t="shared" si="128"/>
        <v>246617398.13018364</v>
      </c>
      <c r="AT347" s="85"/>
      <c r="AU347" s="84">
        <f t="shared" si="129"/>
        <v>246617398.13018364</v>
      </c>
      <c r="AV347" s="85"/>
      <c r="AW347" s="84">
        <f t="shared" si="130"/>
        <v>246617398.13018364</v>
      </c>
      <c r="AX347" s="86">
        <f t="shared" si="131"/>
        <v>82205799.376727864</v>
      </c>
      <c r="AY347" s="87">
        <f t="shared" si="132"/>
        <v>246617398.13018358</v>
      </c>
      <c r="AZ347" s="65" t="b">
        <f t="shared" si="133"/>
        <v>1</v>
      </c>
    </row>
    <row r="348" spans="1:52" s="67" customFormat="1" ht="27.75" hidden="1" customHeight="1">
      <c r="A348" s="68">
        <v>344</v>
      </c>
      <c r="B348" s="69" t="s">
        <v>940</v>
      </c>
      <c r="C348" s="88" t="s">
        <v>806</v>
      </c>
      <c r="D348" s="71" t="s">
        <v>95</v>
      </c>
      <c r="E348" s="150" t="s">
        <v>937</v>
      </c>
      <c r="F348" s="104"/>
      <c r="G348" s="105">
        <v>45961</v>
      </c>
      <c r="H348" s="102" t="s">
        <v>938</v>
      </c>
      <c r="I348" s="120" t="s">
        <v>98</v>
      </c>
      <c r="J348" s="102" t="s">
        <v>617</v>
      </c>
      <c r="K348" s="68" t="s">
        <v>99</v>
      </c>
      <c r="L348" s="70" t="s">
        <v>100</v>
      </c>
      <c r="M348" s="88" t="s">
        <v>101</v>
      </c>
      <c r="N348" s="88" t="s">
        <v>102</v>
      </c>
      <c r="O348" s="108"/>
      <c r="P348" s="109">
        <v>45962</v>
      </c>
      <c r="Q348" s="110">
        <f t="shared" si="134"/>
        <v>46691</v>
      </c>
      <c r="R348" s="111">
        <v>24</v>
      </c>
      <c r="S348" s="111">
        <v>2</v>
      </c>
      <c r="T348" s="123">
        <v>2747093963.6168847</v>
      </c>
      <c r="U348" s="113"/>
      <c r="V348" s="123">
        <v>2747093963.6168847</v>
      </c>
      <c r="W348" s="115">
        <f t="shared" si="114"/>
        <v>114462248.48403686</v>
      </c>
      <c r="X348" s="115">
        <v>228924496.96807373</v>
      </c>
      <c r="Y348" s="115">
        <v>2518169466.6488109</v>
      </c>
      <c r="Z348" s="124">
        <f t="shared" si="118"/>
        <v>114462248.48403686</v>
      </c>
      <c r="AA348" s="118">
        <f t="shared" si="117"/>
        <v>2403707218.1647739</v>
      </c>
      <c r="AB348" s="85">
        <f t="shared" si="119"/>
        <v>114462248.48403686</v>
      </c>
      <c r="AC348" s="84">
        <f t="shared" si="120"/>
        <v>2289244969.680737</v>
      </c>
      <c r="AD348" s="85">
        <f t="shared" si="116"/>
        <v>114462248.48403686</v>
      </c>
      <c r="AE348" s="118">
        <f t="shared" si="121"/>
        <v>2174782721.1967001</v>
      </c>
      <c r="AF348" s="85">
        <f t="shared" si="115"/>
        <v>114462248.48403686</v>
      </c>
      <c r="AG348" s="84">
        <f t="shared" si="122"/>
        <v>2060320472.7126632</v>
      </c>
      <c r="AH348" s="85"/>
      <c r="AI348" s="84">
        <f t="shared" si="123"/>
        <v>2060320472.7126632</v>
      </c>
      <c r="AJ348" s="124"/>
      <c r="AK348" s="84">
        <f t="shared" si="124"/>
        <v>2060320472.7126632</v>
      </c>
      <c r="AL348" s="124"/>
      <c r="AM348" s="84">
        <f t="shared" si="125"/>
        <v>2060320472.7126632</v>
      </c>
      <c r="AN348" s="85"/>
      <c r="AO348" s="84">
        <f t="shared" si="126"/>
        <v>2060320472.7126632</v>
      </c>
      <c r="AP348" s="85"/>
      <c r="AQ348" s="84">
        <f t="shared" si="127"/>
        <v>2060320472.7126632</v>
      </c>
      <c r="AR348" s="85"/>
      <c r="AS348" s="84">
        <f t="shared" si="128"/>
        <v>2060320472.7126632</v>
      </c>
      <c r="AT348" s="85"/>
      <c r="AU348" s="84">
        <f t="shared" si="129"/>
        <v>2060320472.7126632</v>
      </c>
      <c r="AV348" s="85"/>
      <c r="AW348" s="84">
        <f t="shared" si="130"/>
        <v>2060320472.7126632</v>
      </c>
      <c r="AX348" s="86">
        <f t="shared" si="131"/>
        <v>457848993.93614745</v>
      </c>
      <c r="AY348" s="87">
        <f t="shared" si="132"/>
        <v>2060320472.7126634</v>
      </c>
      <c r="AZ348" s="65" t="b">
        <f t="shared" si="133"/>
        <v>1</v>
      </c>
    </row>
    <row r="349" spans="1:52" s="67" customFormat="1" ht="24.75" hidden="1" customHeight="1">
      <c r="A349" s="68">
        <v>345</v>
      </c>
      <c r="B349" s="69" t="s">
        <v>941</v>
      </c>
      <c r="C349" s="88" t="s">
        <v>806</v>
      </c>
      <c r="D349" s="71" t="s">
        <v>681</v>
      </c>
      <c r="E349" s="150" t="s">
        <v>942</v>
      </c>
      <c r="F349" s="104"/>
      <c r="G349" s="105">
        <v>45961</v>
      </c>
      <c r="H349" s="102" t="s">
        <v>943</v>
      </c>
      <c r="I349" s="120" t="s">
        <v>84</v>
      </c>
      <c r="J349" s="102" t="s">
        <v>85</v>
      </c>
      <c r="K349" s="68" t="s">
        <v>86</v>
      </c>
      <c r="L349" s="70" t="s">
        <v>87</v>
      </c>
      <c r="M349" s="88" t="s">
        <v>130</v>
      </c>
      <c r="N349" s="88" t="s">
        <v>131</v>
      </c>
      <c r="O349" s="108"/>
      <c r="P349" s="109">
        <v>45962</v>
      </c>
      <c r="Q349" s="110">
        <f t="shared" si="134"/>
        <v>46507</v>
      </c>
      <c r="R349" s="111">
        <v>18</v>
      </c>
      <c r="S349" s="153">
        <v>1.5</v>
      </c>
      <c r="T349" s="123">
        <v>113609000</v>
      </c>
      <c r="U349" s="113"/>
      <c r="V349" s="123">
        <v>113609000</v>
      </c>
      <c r="W349" s="115">
        <f t="shared" si="114"/>
        <v>6311611.111111111</v>
      </c>
      <c r="X349" s="115">
        <v>12623222.222222222</v>
      </c>
      <c r="Y349" s="115">
        <v>100985777.77777778</v>
      </c>
      <c r="Z349" s="124">
        <f t="shared" si="118"/>
        <v>6311611.111111111</v>
      </c>
      <c r="AA349" s="118">
        <f t="shared" si="117"/>
        <v>94674166.666666672</v>
      </c>
      <c r="AB349" s="85">
        <f t="shared" si="119"/>
        <v>6311611.111111111</v>
      </c>
      <c r="AC349" s="84">
        <f t="shared" si="120"/>
        <v>88362555.555555567</v>
      </c>
      <c r="AD349" s="85">
        <f t="shared" si="116"/>
        <v>6311611.111111111</v>
      </c>
      <c r="AE349" s="118">
        <f t="shared" si="121"/>
        <v>82050944.444444463</v>
      </c>
      <c r="AF349" s="85">
        <f t="shared" si="115"/>
        <v>6311611.111111111</v>
      </c>
      <c r="AG349" s="84">
        <f t="shared" si="122"/>
        <v>75739333.333333358</v>
      </c>
      <c r="AH349" s="85"/>
      <c r="AI349" s="84">
        <f t="shared" si="123"/>
        <v>75739333.333333358</v>
      </c>
      <c r="AJ349" s="124"/>
      <c r="AK349" s="84">
        <f t="shared" si="124"/>
        <v>75739333.333333358</v>
      </c>
      <c r="AL349" s="124"/>
      <c r="AM349" s="84">
        <f t="shared" si="125"/>
        <v>75739333.333333358</v>
      </c>
      <c r="AN349" s="85"/>
      <c r="AO349" s="84">
        <f t="shared" si="126"/>
        <v>75739333.333333358</v>
      </c>
      <c r="AP349" s="124"/>
      <c r="AQ349" s="84">
        <f t="shared" si="127"/>
        <v>75739333.333333358</v>
      </c>
      <c r="AR349" s="124"/>
      <c r="AS349" s="84">
        <f t="shared" si="128"/>
        <v>75739333.333333358</v>
      </c>
      <c r="AT349" s="85"/>
      <c r="AU349" s="84">
        <f t="shared" si="129"/>
        <v>75739333.333333358</v>
      </c>
      <c r="AV349" s="85"/>
      <c r="AW349" s="84">
        <f t="shared" si="130"/>
        <v>75739333.333333358</v>
      </c>
      <c r="AX349" s="86">
        <f t="shared" si="131"/>
        <v>25246444.444444444</v>
      </c>
      <c r="AY349" s="87">
        <f t="shared" si="132"/>
        <v>75739333.333333328</v>
      </c>
      <c r="AZ349" s="65" t="b">
        <f t="shared" si="133"/>
        <v>1</v>
      </c>
    </row>
    <row r="350" spans="1:52" s="67" customFormat="1" ht="24.75" hidden="1" customHeight="1">
      <c r="A350" s="68">
        <v>346</v>
      </c>
      <c r="B350" s="69" t="s">
        <v>944</v>
      </c>
      <c r="C350" s="88" t="s">
        <v>806</v>
      </c>
      <c r="D350" s="71" t="s">
        <v>681</v>
      </c>
      <c r="E350" s="150" t="s">
        <v>937</v>
      </c>
      <c r="F350" s="104"/>
      <c r="G350" s="105">
        <v>45961</v>
      </c>
      <c r="H350" s="102" t="s">
        <v>938</v>
      </c>
      <c r="I350" s="120" t="s">
        <v>84</v>
      </c>
      <c r="J350" s="102" t="s">
        <v>85</v>
      </c>
      <c r="K350" s="68" t="s">
        <v>86</v>
      </c>
      <c r="L350" s="70" t="s">
        <v>87</v>
      </c>
      <c r="M350" s="88" t="s">
        <v>945</v>
      </c>
      <c r="N350" s="88" t="s">
        <v>946</v>
      </c>
      <c r="O350" s="108"/>
      <c r="P350" s="109">
        <v>45962</v>
      </c>
      <c r="Q350" s="110">
        <f t="shared" si="134"/>
        <v>46507</v>
      </c>
      <c r="R350" s="111">
        <v>18</v>
      </c>
      <c r="S350" s="153">
        <v>1.5</v>
      </c>
      <c r="T350" s="123">
        <v>33960000</v>
      </c>
      <c r="U350" s="113"/>
      <c r="V350" s="123">
        <v>33960000</v>
      </c>
      <c r="W350" s="115">
        <f t="shared" si="114"/>
        <v>1886666.6666666667</v>
      </c>
      <c r="X350" s="115">
        <v>3773333.3333333335</v>
      </c>
      <c r="Y350" s="115">
        <v>30186666.666666668</v>
      </c>
      <c r="Z350" s="124">
        <f t="shared" si="118"/>
        <v>1886666.6666666667</v>
      </c>
      <c r="AA350" s="118">
        <f t="shared" si="117"/>
        <v>28300000</v>
      </c>
      <c r="AB350" s="85">
        <f t="shared" si="119"/>
        <v>1886666.6666666667</v>
      </c>
      <c r="AC350" s="84">
        <f t="shared" si="120"/>
        <v>26413333.333333332</v>
      </c>
      <c r="AD350" s="85">
        <f t="shared" si="116"/>
        <v>1886666.6666666667</v>
      </c>
      <c r="AE350" s="118">
        <f t="shared" si="121"/>
        <v>24526666.666666664</v>
      </c>
      <c r="AF350" s="85">
        <f t="shared" si="115"/>
        <v>1886666.6666666667</v>
      </c>
      <c r="AG350" s="84">
        <f t="shared" si="122"/>
        <v>22639999.999999996</v>
      </c>
      <c r="AH350" s="85"/>
      <c r="AI350" s="84">
        <f t="shared" si="123"/>
        <v>22639999.999999996</v>
      </c>
      <c r="AJ350" s="124"/>
      <c r="AK350" s="84">
        <f t="shared" si="124"/>
        <v>22639999.999999996</v>
      </c>
      <c r="AL350" s="124"/>
      <c r="AM350" s="84">
        <f t="shared" si="125"/>
        <v>22639999.999999996</v>
      </c>
      <c r="AN350" s="85"/>
      <c r="AO350" s="84">
        <f t="shared" si="126"/>
        <v>22639999.999999996</v>
      </c>
      <c r="AP350" s="85"/>
      <c r="AQ350" s="84">
        <f t="shared" si="127"/>
        <v>22639999.999999996</v>
      </c>
      <c r="AR350" s="85"/>
      <c r="AS350" s="84">
        <f t="shared" si="128"/>
        <v>22639999.999999996</v>
      </c>
      <c r="AT350" s="85"/>
      <c r="AU350" s="84">
        <f t="shared" si="129"/>
        <v>22639999.999999996</v>
      </c>
      <c r="AV350" s="85"/>
      <c r="AW350" s="84">
        <f t="shared" si="130"/>
        <v>22639999.999999996</v>
      </c>
      <c r="AX350" s="86">
        <f t="shared" si="131"/>
        <v>7546666.666666667</v>
      </c>
      <c r="AY350" s="87">
        <f t="shared" si="132"/>
        <v>22640000</v>
      </c>
      <c r="AZ350" s="65" t="b">
        <f t="shared" si="133"/>
        <v>1</v>
      </c>
    </row>
    <row r="351" spans="1:52" s="67" customFormat="1" ht="24.75" hidden="1" customHeight="1">
      <c r="A351" s="68">
        <v>347</v>
      </c>
      <c r="B351" s="69" t="s">
        <v>947</v>
      </c>
      <c r="C351" s="88" t="s">
        <v>73</v>
      </c>
      <c r="D351" s="71" t="s">
        <v>64</v>
      </c>
      <c r="E351" s="150" t="s">
        <v>948</v>
      </c>
      <c r="F351" s="104"/>
      <c r="G351" s="105">
        <v>45969</v>
      </c>
      <c r="H351" s="102" t="s">
        <v>949</v>
      </c>
      <c r="I351" s="120" t="s">
        <v>66</v>
      </c>
      <c r="J351" s="102" t="s">
        <v>67</v>
      </c>
      <c r="K351" s="68" t="s">
        <v>476</v>
      </c>
      <c r="L351" s="70" t="s">
        <v>69</v>
      </c>
      <c r="M351" s="88" t="s">
        <v>130</v>
      </c>
      <c r="N351" s="88" t="s">
        <v>131</v>
      </c>
      <c r="O351" s="108"/>
      <c r="P351" s="109">
        <v>45992</v>
      </c>
      <c r="Q351" s="110">
        <f t="shared" si="134"/>
        <v>46721</v>
      </c>
      <c r="R351" s="111">
        <v>24</v>
      </c>
      <c r="S351" s="153">
        <v>2</v>
      </c>
      <c r="T351" s="123">
        <v>176000000</v>
      </c>
      <c r="U351" s="113"/>
      <c r="V351" s="123">
        <v>176000000</v>
      </c>
      <c r="W351" s="115">
        <f t="shared" si="114"/>
        <v>7333333.333333333</v>
      </c>
      <c r="X351" s="115">
        <v>7333333.333333333</v>
      </c>
      <c r="Y351" s="115">
        <v>168666666.66666666</v>
      </c>
      <c r="Z351" s="124">
        <f t="shared" si="118"/>
        <v>7333333.333333333</v>
      </c>
      <c r="AA351" s="118">
        <f t="shared" si="117"/>
        <v>161333333.33333331</v>
      </c>
      <c r="AB351" s="85">
        <f t="shared" si="119"/>
        <v>7333333.333333333</v>
      </c>
      <c r="AC351" s="84">
        <f t="shared" si="120"/>
        <v>153999999.99999997</v>
      </c>
      <c r="AD351" s="85">
        <f t="shared" si="116"/>
        <v>7333333.333333333</v>
      </c>
      <c r="AE351" s="118">
        <f t="shared" si="121"/>
        <v>146666666.66666663</v>
      </c>
      <c r="AF351" s="85">
        <f t="shared" si="115"/>
        <v>7333333.333333333</v>
      </c>
      <c r="AG351" s="84">
        <f t="shared" si="122"/>
        <v>139333333.33333328</v>
      </c>
      <c r="AH351" s="85"/>
      <c r="AI351" s="84">
        <f t="shared" si="123"/>
        <v>139333333.33333328</v>
      </c>
      <c r="AJ351" s="124"/>
      <c r="AK351" s="84">
        <f t="shared" si="124"/>
        <v>139333333.33333328</v>
      </c>
      <c r="AL351" s="124"/>
      <c r="AM351" s="84">
        <f t="shared" si="125"/>
        <v>139333333.33333328</v>
      </c>
      <c r="AN351" s="85"/>
      <c r="AO351" s="84">
        <f t="shared" si="126"/>
        <v>139333333.33333328</v>
      </c>
      <c r="AP351" s="85"/>
      <c r="AQ351" s="84">
        <f t="shared" si="127"/>
        <v>139333333.33333328</v>
      </c>
      <c r="AR351" s="85"/>
      <c r="AS351" s="84">
        <f t="shared" si="128"/>
        <v>139333333.33333328</v>
      </c>
      <c r="AT351" s="85"/>
      <c r="AU351" s="84">
        <f t="shared" si="129"/>
        <v>139333333.33333328</v>
      </c>
      <c r="AV351" s="85"/>
      <c r="AW351" s="84">
        <f t="shared" si="130"/>
        <v>139333333.33333328</v>
      </c>
      <c r="AX351" s="86">
        <f t="shared" si="131"/>
        <v>29333333.333333332</v>
      </c>
      <c r="AY351" s="87">
        <f t="shared" si="132"/>
        <v>139333333.33333331</v>
      </c>
      <c r="AZ351" s="65" t="b">
        <f t="shared" si="133"/>
        <v>1</v>
      </c>
    </row>
    <row r="352" spans="1:52" s="67" customFormat="1" ht="24.75" hidden="1" customHeight="1">
      <c r="A352" s="68">
        <v>348</v>
      </c>
      <c r="B352" s="69" t="s">
        <v>950</v>
      </c>
      <c r="C352" s="88" t="s">
        <v>73</v>
      </c>
      <c r="D352" s="71" t="s">
        <v>64</v>
      </c>
      <c r="E352" s="150" t="s">
        <v>951</v>
      </c>
      <c r="F352" s="104"/>
      <c r="G352" s="105">
        <v>45968</v>
      </c>
      <c r="H352" s="102" t="s">
        <v>952</v>
      </c>
      <c r="I352" s="120" t="s">
        <v>66</v>
      </c>
      <c r="J352" s="102" t="s">
        <v>67</v>
      </c>
      <c r="K352" s="68" t="s">
        <v>476</v>
      </c>
      <c r="L352" s="70" t="s">
        <v>69</v>
      </c>
      <c r="M352" s="88" t="s">
        <v>55</v>
      </c>
      <c r="N352" s="88" t="s">
        <v>56</v>
      </c>
      <c r="O352" s="108"/>
      <c r="P352" s="109">
        <v>45992</v>
      </c>
      <c r="Q352" s="110">
        <f t="shared" si="134"/>
        <v>46721</v>
      </c>
      <c r="R352" s="111">
        <v>24</v>
      </c>
      <c r="S352" s="153">
        <v>2</v>
      </c>
      <c r="T352" s="123">
        <v>318000000</v>
      </c>
      <c r="U352" s="113"/>
      <c r="V352" s="123">
        <v>318000000</v>
      </c>
      <c r="W352" s="115">
        <f t="shared" si="114"/>
        <v>13250000</v>
      </c>
      <c r="X352" s="115">
        <v>13250000</v>
      </c>
      <c r="Y352" s="115">
        <v>304750000</v>
      </c>
      <c r="Z352" s="124">
        <f t="shared" si="118"/>
        <v>13250000</v>
      </c>
      <c r="AA352" s="118">
        <f t="shared" si="117"/>
        <v>291500000</v>
      </c>
      <c r="AB352" s="85">
        <f t="shared" si="119"/>
        <v>13250000</v>
      </c>
      <c r="AC352" s="84">
        <f t="shared" si="120"/>
        <v>278250000</v>
      </c>
      <c r="AD352" s="85">
        <f t="shared" si="116"/>
        <v>13250000</v>
      </c>
      <c r="AE352" s="118">
        <f t="shared" si="121"/>
        <v>265000000</v>
      </c>
      <c r="AF352" s="85">
        <f t="shared" si="115"/>
        <v>13250000</v>
      </c>
      <c r="AG352" s="84">
        <f t="shared" si="122"/>
        <v>251750000</v>
      </c>
      <c r="AH352" s="85"/>
      <c r="AI352" s="84">
        <f t="shared" si="123"/>
        <v>251750000</v>
      </c>
      <c r="AJ352" s="124"/>
      <c r="AK352" s="84">
        <f t="shared" si="124"/>
        <v>251750000</v>
      </c>
      <c r="AL352" s="124"/>
      <c r="AM352" s="84">
        <f t="shared" si="125"/>
        <v>251750000</v>
      </c>
      <c r="AN352" s="85"/>
      <c r="AO352" s="84">
        <f t="shared" si="126"/>
        <v>251750000</v>
      </c>
      <c r="AP352" s="85"/>
      <c r="AQ352" s="84">
        <f t="shared" si="127"/>
        <v>251750000</v>
      </c>
      <c r="AR352" s="85"/>
      <c r="AS352" s="84">
        <f t="shared" si="128"/>
        <v>251750000</v>
      </c>
      <c r="AT352" s="85"/>
      <c r="AU352" s="84">
        <f t="shared" si="129"/>
        <v>251750000</v>
      </c>
      <c r="AV352" s="85"/>
      <c r="AW352" s="84">
        <f t="shared" si="130"/>
        <v>251750000</v>
      </c>
      <c r="AX352" s="86">
        <f t="shared" si="131"/>
        <v>53000000</v>
      </c>
      <c r="AY352" s="87">
        <f t="shared" si="132"/>
        <v>251750000</v>
      </c>
      <c r="AZ352" s="65" t="b">
        <f t="shared" si="133"/>
        <v>1</v>
      </c>
    </row>
    <row r="353" spans="1:52" s="67" customFormat="1" ht="24.75" hidden="1" customHeight="1">
      <c r="A353" s="68">
        <v>349</v>
      </c>
      <c r="B353" s="69" t="s">
        <v>953</v>
      </c>
      <c r="C353" s="88" t="s">
        <v>395</v>
      </c>
      <c r="D353" s="71" t="s">
        <v>114</v>
      </c>
      <c r="E353" s="150" t="s">
        <v>954</v>
      </c>
      <c r="F353" s="104"/>
      <c r="G353" s="105">
        <v>45991</v>
      </c>
      <c r="H353" s="102" t="s">
        <v>955</v>
      </c>
      <c r="I353" s="120" t="s">
        <v>66</v>
      </c>
      <c r="J353" s="102" t="s">
        <v>67</v>
      </c>
      <c r="K353" s="68" t="s">
        <v>956</v>
      </c>
      <c r="L353" s="70" t="s">
        <v>957</v>
      </c>
      <c r="M353" s="88" t="s">
        <v>60</v>
      </c>
      <c r="N353" s="88" t="s">
        <v>61</v>
      </c>
      <c r="O353" s="108"/>
      <c r="P353" s="109">
        <v>45992</v>
      </c>
      <c r="Q353" s="110">
        <f t="shared" si="134"/>
        <v>46721</v>
      </c>
      <c r="R353" s="111">
        <v>24</v>
      </c>
      <c r="S353" s="153">
        <v>2</v>
      </c>
      <c r="T353" s="123">
        <v>192392999</v>
      </c>
      <c r="U353" s="113"/>
      <c r="V353" s="123">
        <v>192392999</v>
      </c>
      <c r="W353" s="115">
        <f t="shared" ref="W353:W412" si="135">V353/R353</f>
        <v>8016374.958333333</v>
      </c>
      <c r="X353" s="115">
        <v>8016374.958333333</v>
      </c>
      <c r="Y353" s="115">
        <v>184376624.04166666</v>
      </c>
      <c r="Z353" s="124">
        <f t="shared" si="118"/>
        <v>8016374.958333333</v>
      </c>
      <c r="AA353" s="118">
        <f t="shared" si="117"/>
        <v>176360249.08333331</v>
      </c>
      <c r="AB353" s="85">
        <f t="shared" si="119"/>
        <v>8016374.958333333</v>
      </c>
      <c r="AC353" s="84">
        <f t="shared" si="120"/>
        <v>168343874.12499997</v>
      </c>
      <c r="AD353" s="85">
        <f t="shared" si="116"/>
        <v>8016374.958333333</v>
      </c>
      <c r="AE353" s="118">
        <f t="shared" si="121"/>
        <v>160327499.16666663</v>
      </c>
      <c r="AF353" s="85">
        <f t="shared" si="115"/>
        <v>8016374.958333333</v>
      </c>
      <c r="AG353" s="84">
        <f t="shared" si="122"/>
        <v>152311124.20833328</v>
      </c>
      <c r="AH353" s="85"/>
      <c r="AI353" s="84">
        <f t="shared" si="123"/>
        <v>152311124.20833328</v>
      </c>
      <c r="AJ353" s="124"/>
      <c r="AK353" s="84">
        <f t="shared" si="124"/>
        <v>152311124.20833328</v>
      </c>
      <c r="AL353" s="124"/>
      <c r="AM353" s="84">
        <f t="shared" si="125"/>
        <v>152311124.20833328</v>
      </c>
      <c r="AN353" s="85"/>
      <c r="AO353" s="84">
        <f t="shared" si="126"/>
        <v>152311124.20833328</v>
      </c>
      <c r="AP353" s="85"/>
      <c r="AQ353" s="84">
        <f t="shared" si="127"/>
        <v>152311124.20833328</v>
      </c>
      <c r="AR353" s="85"/>
      <c r="AS353" s="84">
        <f t="shared" si="128"/>
        <v>152311124.20833328</v>
      </c>
      <c r="AT353" s="85"/>
      <c r="AU353" s="84">
        <f t="shared" si="129"/>
        <v>152311124.20833328</v>
      </c>
      <c r="AV353" s="85"/>
      <c r="AW353" s="84">
        <f t="shared" si="130"/>
        <v>152311124.20833328</v>
      </c>
      <c r="AX353" s="86">
        <f t="shared" si="131"/>
        <v>32065499.833333332</v>
      </c>
      <c r="AY353" s="87">
        <f t="shared" si="132"/>
        <v>152311124.20833331</v>
      </c>
      <c r="AZ353" s="65" t="b">
        <f t="shared" si="133"/>
        <v>1</v>
      </c>
    </row>
    <row r="354" spans="1:52" s="67" customFormat="1" ht="26.25" hidden="1" customHeight="1">
      <c r="A354" s="68">
        <v>350</v>
      </c>
      <c r="B354" s="69" t="s">
        <v>958</v>
      </c>
      <c r="C354" s="88" t="s">
        <v>806</v>
      </c>
      <c r="D354" s="71" t="s">
        <v>95</v>
      </c>
      <c r="E354" s="150" t="s">
        <v>937</v>
      </c>
      <c r="F354" s="104"/>
      <c r="G354" s="105">
        <v>45991</v>
      </c>
      <c r="H354" s="102" t="s">
        <v>959</v>
      </c>
      <c r="I354" s="120" t="s">
        <v>98</v>
      </c>
      <c r="J354" s="102" t="s">
        <v>617</v>
      </c>
      <c r="K354" s="68" t="s">
        <v>99</v>
      </c>
      <c r="L354" s="70" t="s">
        <v>100</v>
      </c>
      <c r="M354" s="88" t="s">
        <v>130</v>
      </c>
      <c r="N354" s="88" t="s">
        <v>131</v>
      </c>
      <c r="O354" s="108"/>
      <c r="P354" s="109">
        <v>45992</v>
      </c>
      <c r="Q354" s="110">
        <f t="shared" si="134"/>
        <v>46538</v>
      </c>
      <c r="R354" s="111">
        <v>18</v>
      </c>
      <c r="S354" s="153">
        <v>1.5</v>
      </c>
      <c r="T354" s="123">
        <v>60000000</v>
      </c>
      <c r="U354" s="113"/>
      <c r="V354" s="123">
        <v>60000000</v>
      </c>
      <c r="W354" s="115">
        <f t="shared" si="135"/>
        <v>3333333.3333333335</v>
      </c>
      <c r="X354" s="115">
        <v>3333333.3333333335</v>
      </c>
      <c r="Y354" s="115">
        <v>56666666.666666664</v>
      </c>
      <c r="Z354" s="124">
        <f t="shared" si="118"/>
        <v>3333333.3333333335</v>
      </c>
      <c r="AA354" s="118">
        <f t="shared" si="117"/>
        <v>53333333.333333328</v>
      </c>
      <c r="AB354" s="85">
        <f t="shared" si="119"/>
        <v>3333333.3333333335</v>
      </c>
      <c r="AC354" s="84">
        <f t="shared" si="120"/>
        <v>49999999.999999993</v>
      </c>
      <c r="AD354" s="85">
        <f t="shared" si="116"/>
        <v>3333333.3333333335</v>
      </c>
      <c r="AE354" s="118">
        <f t="shared" si="121"/>
        <v>46666666.666666657</v>
      </c>
      <c r="AF354" s="85">
        <f t="shared" si="115"/>
        <v>3333333.3333333335</v>
      </c>
      <c r="AG354" s="84">
        <f t="shared" si="122"/>
        <v>43333333.333333321</v>
      </c>
      <c r="AH354" s="85"/>
      <c r="AI354" s="84">
        <f t="shared" si="123"/>
        <v>43333333.333333321</v>
      </c>
      <c r="AJ354" s="124"/>
      <c r="AK354" s="84">
        <f t="shared" si="124"/>
        <v>43333333.333333321</v>
      </c>
      <c r="AL354" s="124"/>
      <c r="AM354" s="84">
        <f t="shared" si="125"/>
        <v>43333333.333333321</v>
      </c>
      <c r="AN354" s="85"/>
      <c r="AO354" s="84">
        <f t="shared" si="126"/>
        <v>43333333.333333321</v>
      </c>
      <c r="AP354" s="85"/>
      <c r="AQ354" s="84">
        <f t="shared" si="127"/>
        <v>43333333.333333321</v>
      </c>
      <c r="AR354" s="85"/>
      <c r="AS354" s="84">
        <f t="shared" si="128"/>
        <v>43333333.333333321</v>
      </c>
      <c r="AT354" s="85"/>
      <c r="AU354" s="84">
        <f t="shared" si="129"/>
        <v>43333333.333333321</v>
      </c>
      <c r="AV354" s="85"/>
      <c r="AW354" s="84">
        <f t="shared" si="130"/>
        <v>43333333.333333321</v>
      </c>
      <c r="AX354" s="86">
        <f t="shared" si="131"/>
        <v>13333333.333333334</v>
      </c>
      <c r="AY354" s="87">
        <f t="shared" si="132"/>
        <v>43333333.333333328</v>
      </c>
      <c r="AZ354" s="65" t="b">
        <f t="shared" si="133"/>
        <v>1</v>
      </c>
    </row>
    <row r="355" spans="1:52" s="67" customFormat="1" ht="24.75" hidden="1" customHeight="1">
      <c r="A355" s="68">
        <v>351</v>
      </c>
      <c r="B355" s="154" t="s">
        <v>960</v>
      </c>
      <c r="C355" s="102" t="s">
        <v>806</v>
      </c>
      <c r="D355" s="103" t="s">
        <v>95</v>
      </c>
      <c r="E355" s="155" t="s">
        <v>937</v>
      </c>
      <c r="F355" s="104"/>
      <c r="G355" s="105">
        <v>45991</v>
      </c>
      <c r="H355" s="102" t="s">
        <v>959</v>
      </c>
      <c r="I355" s="120" t="s">
        <v>98</v>
      </c>
      <c r="J355" s="102" t="s">
        <v>617</v>
      </c>
      <c r="K355" s="106" t="s">
        <v>86</v>
      </c>
      <c r="L355" s="107" t="s">
        <v>87</v>
      </c>
      <c r="M355" s="102" t="s">
        <v>70</v>
      </c>
      <c r="N355" s="102" t="s">
        <v>71</v>
      </c>
      <c r="O355" s="108"/>
      <c r="P355" s="109">
        <v>45992</v>
      </c>
      <c r="Q355" s="110">
        <f t="shared" si="134"/>
        <v>46538</v>
      </c>
      <c r="R355" s="111">
        <v>18</v>
      </c>
      <c r="S355" s="153">
        <v>1.5</v>
      </c>
      <c r="T355" s="123">
        <v>90000000</v>
      </c>
      <c r="U355" s="113"/>
      <c r="V355" s="123">
        <v>90000000</v>
      </c>
      <c r="W355" s="115">
        <f t="shared" si="135"/>
        <v>5000000</v>
      </c>
      <c r="X355" s="115">
        <v>5000000</v>
      </c>
      <c r="Y355" s="115">
        <v>85000000</v>
      </c>
      <c r="Z355" s="124">
        <f t="shared" si="118"/>
        <v>5000000</v>
      </c>
      <c r="AA355" s="118">
        <f t="shared" si="117"/>
        <v>80000000</v>
      </c>
      <c r="AB355" s="85">
        <f t="shared" si="119"/>
        <v>5000000</v>
      </c>
      <c r="AC355" s="84">
        <f t="shared" si="120"/>
        <v>75000000</v>
      </c>
      <c r="AD355" s="85">
        <f t="shared" si="116"/>
        <v>5000000</v>
      </c>
      <c r="AE355" s="118">
        <f t="shared" si="121"/>
        <v>70000000</v>
      </c>
      <c r="AF355" s="85">
        <f t="shared" si="115"/>
        <v>5000000</v>
      </c>
      <c r="AG355" s="84">
        <f t="shared" si="122"/>
        <v>65000000</v>
      </c>
      <c r="AH355" s="124"/>
      <c r="AI355" s="84">
        <f t="shared" si="123"/>
        <v>65000000</v>
      </c>
      <c r="AJ355" s="124"/>
      <c r="AK355" s="84">
        <f t="shared" si="124"/>
        <v>65000000</v>
      </c>
      <c r="AL355" s="124"/>
      <c r="AM355" s="84">
        <f t="shared" si="125"/>
        <v>65000000</v>
      </c>
      <c r="AN355" s="124"/>
      <c r="AO355" s="84">
        <f t="shared" si="126"/>
        <v>65000000</v>
      </c>
      <c r="AP355" s="124"/>
      <c r="AQ355" s="84">
        <f t="shared" si="127"/>
        <v>65000000</v>
      </c>
      <c r="AR355" s="124"/>
      <c r="AS355" s="84">
        <f t="shared" si="128"/>
        <v>65000000</v>
      </c>
      <c r="AT355" s="124"/>
      <c r="AU355" s="84">
        <f t="shared" si="129"/>
        <v>65000000</v>
      </c>
      <c r="AV355" s="124"/>
      <c r="AW355" s="84">
        <f t="shared" si="130"/>
        <v>65000000</v>
      </c>
      <c r="AX355" s="86">
        <f t="shared" si="131"/>
        <v>20000000</v>
      </c>
      <c r="AY355" s="87">
        <f t="shared" si="132"/>
        <v>65000000</v>
      </c>
      <c r="AZ355" s="65" t="b">
        <f t="shared" si="133"/>
        <v>1</v>
      </c>
    </row>
    <row r="356" spans="1:52" s="67" customFormat="1" ht="24.75" hidden="1" customHeight="1">
      <c r="A356" s="68">
        <v>352</v>
      </c>
      <c r="B356" s="154" t="s">
        <v>961</v>
      </c>
      <c r="C356" s="102" t="s">
        <v>806</v>
      </c>
      <c r="D356" s="103" t="s">
        <v>681</v>
      </c>
      <c r="E356" s="155" t="s">
        <v>937</v>
      </c>
      <c r="F356" s="104"/>
      <c r="G356" s="105">
        <v>45991</v>
      </c>
      <c r="H356" s="102" t="s">
        <v>959</v>
      </c>
      <c r="I356" s="120" t="s">
        <v>84</v>
      </c>
      <c r="J356" s="102" t="s">
        <v>85</v>
      </c>
      <c r="K356" s="106" t="s">
        <v>86</v>
      </c>
      <c r="L356" s="107" t="s">
        <v>87</v>
      </c>
      <c r="M356" s="102" t="s">
        <v>779</v>
      </c>
      <c r="N356" s="102" t="s">
        <v>780</v>
      </c>
      <c r="O356" s="108"/>
      <c r="P356" s="109">
        <v>45992</v>
      </c>
      <c r="Q356" s="110">
        <f t="shared" si="134"/>
        <v>46538</v>
      </c>
      <c r="R356" s="111">
        <v>18</v>
      </c>
      <c r="S356" s="153">
        <v>1.5</v>
      </c>
      <c r="T356" s="123">
        <v>136005000</v>
      </c>
      <c r="U356" s="113"/>
      <c r="V356" s="123">
        <v>136005000</v>
      </c>
      <c r="W356" s="115">
        <f t="shared" si="135"/>
        <v>7555833.333333333</v>
      </c>
      <c r="X356" s="115">
        <v>7555833.333333333</v>
      </c>
      <c r="Y356" s="115">
        <v>128449166.66666667</v>
      </c>
      <c r="Z356" s="124">
        <f t="shared" si="118"/>
        <v>7555833.333333333</v>
      </c>
      <c r="AA356" s="118">
        <f t="shared" si="117"/>
        <v>120893333.33333334</v>
      </c>
      <c r="AB356" s="85">
        <f t="shared" si="119"/>
        <v>7555833.333333333</v>
      </c>
      <c r="AC356" s="84">
        <f t="shared" si="120"/>
        <v>113337500.00000001</v>
      </c>
      <c r="AD356" s="85">
        <f t="shared" si="116"/>
        <v>7555833.333333333</v>
      </c>
      <c r="AE356" s="118">
        <f t="shared" si="121"/>
        <v>105781666.66666669</v>
      </c>
      <c r="AF356" s="85">
        <f t="shared" si="115"/>
        <v>7555833.333333333</v>
      </c>
      <c r="AG356" s="84">
        <f t="shared" si="122"/>
        <v>98225833.333333358</v>
      </c>
      <c r="AH356" s="124"/>
      <c r="AI356" s="84">
        <f t="shared" si="123"/>
        <v>98225833.333333358</v>
      </c>
      <c r="AJ356" s="124"/>
      <c r="AK356" s="84">
        <f t="shared" si="124"/>
        <v>98225833.333333358</v>
      </c>
      <c r="AL356" s="124"/>
      <c r="AM356" s="84">
        <f t="shared" si="125"/>
        <v>98225833.333333358</v>
      </c>
      <c r="AN356" s="124"/>
      <c r="AO356" s="84">
        <f t="shared" si="126"/>
        <v>98225833.333333358</v>
      </c>
      <c r="AP356" s="124"/>
      <c r="AQ356" s="84">
        <f t="shared" si="127"/>
        <v>98225833.333333358</v>
      </c>
      <c r="AR356" s="124"/>
      <c r="AS356" s="84">
        <f t="shared" si="128"/>
        <v>98225833.333333358</v>
      </c>
      <c r="AT356" s="124"/>
      <c r="AU356" s="84">
        <f t="shared" si="129"/>
        <v>98225833.333333358</v>
      </c>
      <c r="AV356" s="124"/>
      <c r="AW356" s="84">
        <f t="shared" si="130"/>
        <v>98225833.333333358</v>
      </c>
      <c r="AX356" s="86">
        <f t="shared" si="131"/>
        <v>30223333.333333332</v>
      </c>
      <c r="AY356" s="87">
        <f t="shared" si="132"/>
        <v>98225833.333333343</v>
      </c>
      <c r="AZ356" s="65" t="b">
        <f t="shared" si="133"/>
        <v>1</v>
      </c>
    </row>
    <row r="357" spans="1:52" s="67" customFormat="1" ht="24.75" hidden="1" customHeight="1">
      <c r="A357" s="68">
        <v>353</v>
      </c>
      <c r="B357" s="69" t="s">
        <v>962</v>
      </c>
      <c r="C357" s="156" t="s">
        <v>806</v>
      </c>
      <c r="D357" s="71" t="s">
        <v>95</v>
      </c>
      <c r="E357" s="157" t="s">
        <v>937</v>
      </c>
      <c r="F357" s="158"/>
      <c r="G357" s="159">
        <v>45961</v>
      </c>
      <c r="H357" s="160" t="s">
        <v>938</v>
      </c>
      <c r="I357" s="120" t="s">
        <v>98</v>
      </c>
      <c r="J357" s="160" t="s">
        <v>617</v>
      </c>
      <c r="K357" s="68" t="s">
        <v>99</v>
      </c>
      <c r="L357" s="70" t="s">
        <v>100</v>
      </c>
      <c r="M357" s="156" t="s">
        <v>101</v>
      </c>
      <c r="N357" s="156" t="s">
        <v>102</v>
      </c>
      <c r="O357" s="108"/>
      <c r="P357" s="109">
        <v>45992</v>
      </c>
      <c r="Q357" s="110">
        <f t="shared" si="134"/>
        <v>46538</v>
      </c>
      <c r="R357" s="111">
        <v>18</v>
      </c>
      <c r="S357" s="153">
        <v>1.5</v>
      </c>
      <c r="T357" s="161">
        <v>305846335.29213798</v>
      </c>
      <c r="U357" s="113"/>
      <c r="V357" s="161">
        <v>305846335.29213798</v>
      </c>
      <c r="W357" s="115">
        <f t="shared" si="135"/>
        <v>16991463.071785443</v>
      </c>
      <c r="X357" s="115">
        <v>16991463.071785443</v>
      </c>
      <c r="Y357" s="115">
        <v>288854872.22035253</v>
      </c>
      <c r="Z357" s="124">
        <f t="shared" si="118"/>
        <v>16991463.071785443</v>
      </c>
      <c r="AA357" s="118">
        <f t="shared" si="117"/>
        <v>271863409.14856708</v>
      </c>
      <c r="AB357" s="85">
        <f t="shared" si="119"/>
        <v>16991463.071785443</v>
      </c>
      <c r="AC357" s="84">
        <f t="shared" si="120"/>
        <v>254871946.07678163</v>
      </c>
      <c r="AD357" s="85">
        <f t="shared" si="116"/>
        <v>16991463.071785443</v>
      </c>
      <c r="AE357" s="118">
        <f t="shared" si="121"/>
        <v>237880483.00499618</v>
      </c>
      <c r="AF357" s="85">
        <f t="shared" si="115"/>
        <v>16991463.071785443</v>
      </c>
      <c r="AG357" s="84">
        <f t="shared" si="122"/>
        <v>220889019.93321073</v>
      </c>
      <c r="AH357" s="85"/>
      <c r="AI357" s="84">
        <f t="shared" si="123"/>
        <v>220889019.93321073</v>
      </c>
      <c r="AJ357" s="124"/>
      <c r="AK357" s="84">
        <f t="shared" si="124"/>
        <v>220889019.93321073</v>
      </c>
      <c r="AL357" s="124"/>
      <c r="AM357" s="84">
        <f t="shared" si="125"/>
        <v>220889019.93321073</v>
      </c>
      <c r="AN357" s="85"/>
      <c r="AO357" s="84">
        <f t="shared" si="126"/>
        <v>220889019.93321073</v>
      </c>
      <c r="AP357" s="85"/>
      <c r="AQ357" s="84">
        <f t="shared" si="127"/>
        <v>220889019.93321073</v>
      </c>
      <c r="AR357" s="85"/>
      <c r="AS357" s="84">
        <f t="shared" si="128"/>
        <v>220889019.93321073</v>
      </c>
      <c r="AT357" s="85"/>
      <c r="AU357" s="84">
        <f t="shared" si="129"/>
        <v>220889019.93321073</v>
      </c>
      <c r="AV357" s="85"/>
      <c r="AW357" s="84">
        <f t="shared" si="130"/>
        <v>220889019.93321073</v>
      </c>
      <c r="AX357" s="86">
        <f t="shared" si="131"/>
        <v>67965852.28714177</v>
      </c>
      <c r="AY357" s="87">
        <f t="shared" si="132"/>
        <v>220889019.93321076</v>
      </c>
      <c r="AZ357" s="65" t="b">
        <f t="shared" si="133"/>
        <v>1</v>
      </c>
    </row>
    <row r="358" spans="1:52" s="67" customFormat="1" ht="24.75" hidden="1" customHeight="1">
      <c r="A358" s="68">
        <v>354</v>
      </c>
      <c r="B358" s="69" t="s">
        <v>963</v>
      </c>
      <c r="C358" s="156" t="s">
        <v>806</v>
      </c>
      <c r="D358" s="71" t="s">
        <v>95</v>
      </c>
      <c r="E358" s="157" t="s">
        <v>937</v>
      </c>
      <c r="F358" s="158"/>
      <c r="G358" s="159">
        <v>45961</v>
      </c>
      <c r="H358" s="160" t="s">
        <v>938</v>
      </c>
      <c r="I358" s="120" t="s">
        <v>98</v>
      </c>
      <c r="J358" s="160" t="s">
        <v>617</v>
      </c>
      <c r="K358" s="68" t="s">
        <v>99</v>
      </c>
      <c r="L358" s="70" t="s">
        <v>100</v>
      </c>
      <c r="M358" s="156" t="s">
        <v>101</v>
      </c>
      <c r="N358" s="156" t="s">
        <v>102</v>
      </c>
      <c r="O358" s="108"/>
      <c r="P358" s="109">
        <v>45992</v>
      </c>
      <c r="Q358" s="110">
        <f t="shared" si="134"/>
        <v>46721</v>
      </c>
      <c r="R358" s="111">
        <v>24</v>
      </c>
      <c r="S358" s="153">
        <v>2</v>
      </c>
      <c r="T358" s="161">
        <v>440502280.82681799</v>
      </c>
      <c r="U358" s="113"/>
      <c r="V358" s="161">
        <v>440502280.82681799</v>
      </c>
      <c r="W358" s="115">
        <f t="shared" si="135"/>
        <v>18354261.701117415</v>
      </c>
      <c r="X358" s="115">
        <v>18354261.701117415</v>
      </c>
      <c r="Y358" s="115">
        <v>422148019.12570059</v>
      </c>
      <c r="Z358" s="124">
        <f t="shared" si="118"/>
        <v>18354261.701117415</v>
      </c>
      <c r="AA358" s="118">
        <f t="shared" si="117"/>
        <v>403793757.4245832</v>
      </c>
      <c r="AB358" s="85">
        <f t="shared" si="119"/>
        <v>18354261.701117415</v>
      </c>
      <c r="AC358" s="84">
        <f t="shared" si="120"/>
        <v>385439495.7234658</v>
      </c>
      <c r="AD358" s="85">
        <f t="shared" si="116"/>
        <v>18354261.701117415</v>
      </c>
      <c r="AE358" s="118">
        <f t="shared" si="121"/>
        <v>367085234.0223484</v>
      </c>
      <c r="AF358" s="85">
        <f t="shared" si="115"/>
        <v>18354261.701117415</v>
      </c>
      <c r="AG358" s="84">
        <f t="shared" si="122"/>
        <v>348730972.32123101</v>
      </c>
      <c r="AH358" s="85"/>
      <c r="AI358" s="84">
        <f t="shared" si="123"/>
        <v>348730972.32123101</v>
      </c>
      <c r="AJ358" s="124"/>
      <c r="AK358" s="84">
        <f t="shared" si="124"/>
        <v>348730972.32123101</v>
      </c>
      <c r="AL358" s="124"/>
      <c r="AM358" s="84">
        <f t="shared" si="125"/>
        <v>348730972.32123101</v>
      </c>
      <c r="AN358" s="85"/>
      <c r="AO358" s="84">
        <f t="shared" si="126"/>
        <v>348730972.32123101</v>
      </c>
      <c r="AP358" s="85"/>
      <c r="AQ358" s="84">
        <f t="shared" si="127"/>
        <v>348730972.32123101</v>
      </c>
      <c r="AR358" s="85"/>
      <c r="AS358" s="84">
        <f t="shared" si="128"/>
        <v>348730972.32123101</v>
      </c>
      <c r="AT358" s="85"/>
      <c r="AU358" s="84">
        <f t="shared" si="129"/>
        <v>348730972.32123101</v>
      </c>
      <c r="AV358" s="85"/>
      <c r="AW358" s="84">
        <f t="shared" si="130"/>
        <v>348730972.32123101</v>
      </c>
      <c r="AX358" s="86">
        <f t="shared" si="131"/>
        <v>73417046.80446966</v>
      </c>
      <c r="AY358" s="87">
        <f t="shared" si="132"/>
        <v>348730972.32123095</v>
      </c>
      <c r="AZ358" s="65" t="b">
        <f t="shared" si="133"/>
        <v>1</v>
      </c>
    </row>
    <row r="359" spans="1:52" s="67" customFormat="1" ht="24.75" hidden="1" customHeight="1">
      <c r="A359" s="68">
        <v>355</v>
      </c>
      <c r="B359" s="69" t="s">
        <v>964</v>
      </c>
      <c r="C359" s="156" t="s">
        <v>965</v>
      </c>
      <c r="D359" s="71" t="s">
        <v>114</v>
      </c>
      <c r="E359" s="157" t="s">
        <v>966</v>
      </c>
      <c r="F359" s="158"/>
      <c r="G359" s="159">
        <v>45993</v>
      </c>
      <c r="H359" s="160" t="s">
        <v>967</v>
      </c>
      <c r="I359" s="120" t="s">
        <v>66</v>
      </c>
      <c r="J359" s="160" t="s">
        <v>67</v>
      </c>
      <c r="K359" s="68" t="s">
        <v>956</v>
      </c>
      <c r="L359" s="70" t="s">
        <v>957</v>
      </c>
      <c r="M359" s="156" t="s">
        <v>60</v>
      </c>
      <c r="N359" s="156" t="s">
        <v>61</v>
      </c>
      <c r="O359" s="108"/>
      <c r="P359" s="109">
        <v>46023</v>
      </c>
      <c r="Q359" s="110">
        <f t="shared" si="134"/>
        <v>46752</v>
      </c>
      <c r="R359" s="111">
        <f t="shared" ref="R359:R369" si="136">+S359*12</f>
        <v>24</v>
      </c>
      <c r="S359" s="153">
        <v>2</v>
      </c>
      <c r="T359" s="161">
        <v>500000000</v>
      </c>
      <c r="U359" s="113"/>
      <c r="V359" s="161">
        <v>500000000</v>
      </c>
      <c r="W359" s="115">
        <f t="shared" si="135"/>
        <v>20833333.333333332</v>
      </c>
      <c r="X359" s="115">
        <v>0</v>
      </c>
      <c r="Y359" s="115">
        <v>500000000</v>
      </c>
      <c r="Z359" s="124">
        <f t="shared" si="118"/>
        <v>20833333.333333332</v>
      </c>
      <c r="AA359" s="118">
        <f t="shared" si="117"/>
        <v>479166666.66666669</v>
      </c>
      <c r="AB359" s="85">
        <f t="shared" si="119"/>
        <v>20833333.333333332</v>
      </c>
      <c r="AC359" s="84">
        <f t="shared" si="120"/>
        <v>458333333.33333337</v>
      </c>
      <c r="AD359" s="85">
        <f t="shared" si="116"/>
        <v>20833333.333333332</v>
      </c>
      <c r="AE359" s="118">
        <f t="shared" si="121"/>
        <v>437500000.00000006</v>
      </c>
      <c r="AF359" s="85">
        <f t="shared" ref="AF359:AF409" si="137">+IF(AE359&lt;&gt;0,$W359,0)</f>
        <v>20833333.333333332</v>
      </c>
      <c r="AG359" s="84">
        <f t="shared" si="122"/>
        <v>416666666.66666675</v>
      </c>
      <c r="AH359" s="85"/>
      <c r="AI359" s="84">
        <f t="shared" si="123"/>
        <v>416666666.66666675</v>
      </c>
      <c r="AJ359" s="124"/>
      <c r="AK359" s="84">
        <f t="shared" si="124"/>
        <v>416666666.66666675</v>
      </c>
      <c r="AL359" s="124"/>
      <c r="AM359" s="84">
        <f t="shared" si="125"/>
        <v>416666666.66666675</v>
      </c>
      <c r="AN359" s="85"/>
      <c r="AO359" s="84">
        <f t="shared" si="126"/>
        <v>416666666.66666675</v>
      </c>
      <c r="AP359" s="85"/>
      <c r="AQ359" s="84">
        <f t="shared" si="127"/>
        <v>416666666.66666675</v>
      </c>
      <c r="AR359" s="85"/>
      <c r="AS359" s="84">
        <f t="shared" si="128"/>
        <v>416666666.66666675</v>
      </c>
      <c r="AT359" s="85"/>
      <c r="AU359" s="84">
        <f t="shared" si="129"/>
        <v>416666666.66666675</v>
      </c>
      <c r="AV359" s="85"/>
      <c r="AW359" s="84">
        <f t="shared" si="130"/>
        <v>416666666.66666675</v>
      </c>
      <c r="AX359" s="86">
        <f t="shared" si="131"/>
        <v>83333333.333333328</v>
      </c>
      <c r="AY359" s="87">
        <f t="shared" si="132"/>
        <v>416666666.66666669</v>
      </c>
      <c r="AZ359" s="65" t="b">
        <f t="shared" si="133"/>
        <v>1</v>
      </c>
    </row>
    <row r="360" spans="1:52" s="67" customFormat="1" ht="24.75" hidden="1" customHeight="1">
      <c r="A360" s="68">
        <v>356</v>
      </c>
      <c r="B360" s="69" t="s">
        <v>968</v>
      </c>
      <c r="C360" s="156" t="s">
        <v>73</v>
      </c>
      <c r="D360" s="71" t="s">
        <v>64</v>
      </c>
      <c r="E360" s="157" t="s">
        <v>969</v>
      </c>
      <c r="F360" s="158"/>
      <c r="G360" s="159">
        <v>46001</v>
      </c>
      <c r="H360" s="160" t="s">
        <v>970</v>
      </c>
      <c r="I360" s="120" t="s">
        <v>66</v>
      </c>
      <c r="J360" s="160" t="s">
        <v>67</v>
      </c>
      <c r="K360" s="68" t="s">
        <v>476</v>
      </c>
      <c r="L360" s="70" t="s">
        <v>69</v>
      </c>
      <c r="M360" s="156" t="s">
        <v>478</v>
      </c>
      <c r="N360" s="156" t="s">
        <v>479</v>
      </c>
      <c r="O360" s="108"/>
      <c r="P360" s="109">
        <v>46023</v>
      </c>
      <c r="Q360" s="110">
        <f t="shared" si="134"/>
        <v>46752</v>
      </c>
      <c r="R360" s="111">
        <f t="shared" si="136"/>
        <v>24</v>
      </c>
      <c r="S360" s="111">
        <v>2</v>
      </c>
      <c r="T360" s="161">
        <v>230000000</v>
      </c>
      <c r="U360" s="113"/>
      <c r="V360" s="161">
        <v>230000000</v>
      </c>
      <c r="W360" s="115">
        <f t="shared" si="135"/>
        <v>9583333.333333334</v>
      </c>
      <c r="X360" s="115">
        <v>0</v>
      </c>
      <c r="Y360" s="115">
        <v>230000000</v>
      </c>
      <c r="Z360" s="124">
        <f t="shared" si="118"/>
        <v>9583333.333333334</v>
      </c>
      <c r="AA360" s="118">
        <f t="shared" si="117"/>
        <v>220416666.66666666</v>
      </c>
      <c r="AB360" s="85">
        <f t="shared" si="119"/>
        <v>9583333.333333334</v>
      </c>
      <c r="AC360" s="84">
        <f t="shared" si="120"/>
        <v>210833333.33333331</v>
      </c>
      <c r="AD360" s="85">
        <f t="shared" si="116"/>
        <v>9583333.333333334</v>
      </c>
      <c r="AE360" s="118">
        <f t="shared" si="121"/>
        <v>201249999.99999997</v>
      </c>
      <c r="AF360" s="85">
        <f t="shared" si="137"/>
        <v>9583333.333333334</v>
      </c>
      <c r="AG360" s="84">
        <f t="shared" si="122"/>
        <v>191666666.66666663</v>
      </c>
      <c r="AH360" s="85"/>
      <c r="AI360" s="84">
        <f t="shared" si="123"/>
        <v>191666666.66666663</v>
      </c>
      <c r="AJ360" s="124"/>
      <c r="AK360" s="84">
        <f t="shared" si="124"/>
        <v>191666666.66666663</v>
      </c>
      <c r="AL360" s="124"/>
      <c r="AM360" s="84">
        <f t="shared" si="125"/>
        <v>191666666.66666663</v>
      </c>
      <c r="AN360" s="85"/>
      <c r="AO360" s="84">
        <f t="shared" si="126"/>
        <v>191666666.66666663</v>
      </c>
      <c r="AP360" s="85"/>
      <c r="AQ360" s="84">
        <f t="shared" si="127"/>
        <v>191666666.66666663</v>
      </c>
      <c r="AR360" s="85"/>
      <c r="AS360" s="84">
        <f t="shared" si="128"/>
        <v>191666666.66666663</v>
      </c>
      <c r="AT360" s="85"/>
      <c r="AU360" s="84">
        <f t="shared" si="129"/>
        <v>191666666.66666663</v>
      </c>
      <c r="AV360" s="85"/>
      <c r="AW360" s="84">
        <f t="shared" si="130"/>
        <v>191666666.66666663</v>
      </c>
      <c r="AX360" s="86">
        <f t="shared" si="131"/>
        <v>38333333.333333336</v>
      </c>
      <c r="AY360" s="87">
        <f t="shared" si="132"/>
        <v>191666666.66666666</v>
      </c>
      <c r="AZ360" s="65" t="b">
        <f t="shared" si="133"/>
        <v>1</v>
      </c>
    </row>
    <row r="361" spans="1:52" s="67" customFormat="1" ht="24.75" hidden="1" customHeight="1">
      <c r="A361" s="68">
        <v>357</v>
      </c>
      <c r="B361" s="69" t="s">
        <v>971</v>
      </c>
      <c r="C361" s="156" t="s">
        <v>73</v>
      </c>
      <c r="D361" s="71" t="s">
        <v>64</v>
      </c>
      <c r="E361" s="157" t="s">
        <v>972</v>
      </c>
      <c r="F361" s="158"/>
      <c r="G361" s="159">
        <v>46010</v>
      </c>
      <c r="H361" s="160" t="s">
        <v>973</v>
      </c>
      <c r="I361" s="120" t="s">
        <v>66</v>
      </c>
      <c r="J361" s="160" t="s">
        <v>67</v>
      </c>
      <c r="K361" s="68" t="s">
        <v>476</v>
      </c>
      <c r="L361" s="70" t="s">
        <v>69</v>
      </c>
      <c r="M361" s="156" t="s">
        <v>70</v>
      </c>
      <c r="N361" s="156" t="s">
        <v>71</v>
      </c>
      <c r="O361" s="108"/>
      <c r="P361" s="109">
        <v>46023</v>
      </c>
      <c r="Q361" s="110">
        <f t="shared" si="134"/>
        <v>46752</v>
      </c>
      <c r="R361" s="111">
        <f t="shared" si="136"/>
        <v>24</v>
      </c>
      <c r="S361" s="111">
        <v>2</v>
      </c>
      <c r="T361" s="161">
        <v>420000000</v>
      </c>
      <c r="U361" s="113"/>
      <c r="V361" s="161">
        <v>420000000</v>
      </c>
      <c r="W361" s="115">
        <f t="shared" si="135"/>
        <v>17500000</v>
      </c>
      <c r="X361" s="115">
        <v>0</v>
      </c>
      <c r="Y361" s="115">
        <v>420000000</v>
      </c>
      <c r="Z361" s="124">
        <f t="shared" si="118"/>
        <v>17500000</v>
      </c>
      <c r="AA361" s="118">
        <f t="shared" si="117"/>
        <v>402500000</v>
      </c>
      <c r="AB361" s="85">
        <f t="shared" si="119"/>
        <v>17500000</v>
      </c>
      <c r="AC361" s="84">
        <f t="shared" si="120"/>
        <v>385000000</v>
      </c>
      <c r="AD361" s="85">
        <f t="shared" si="116"/>
        <v>17500000</v>
      </c>
      <c r="AE361" s="118">
        <f t="shared" si="121"/>
        <v>367500000</v>
      </c>
      <c r="AF361" s="85">
        <f t="shared" si="137"/>
        <v>17500000</v>
      </c>
      <c r="AG361" s="84">
        <f t="shared" si="122"/>
        <v>350000000</v>
      </c>
      <c r="AH361" s="85"/>
      <c r="AI361" s="84">
        <f t="shared" si="123"/>
        <v>350000000</v>
      </c>
      <c r="AJ361" s="124"/>
      <c r="AK361" s="84">
        <f t="shared" si="124"/>
        <v>350000000</v>
      </c>
      <c r="AL361" s="124"/>
      <c r="AM361" s="84">
        <f t="shared" si="125"/>
        <v>350000000</v>
      </c>
      <c r="AN361" s="85"/>
      <c r="AO361" s="84">
        <f t="shared" si="126"/>
        <v>350000000</v>
      </c>
      <c r="AP361" s="85"/>
      <c r="AQ361" s="84">
        <f t="shared" si="127"/>
        <v>350000000</v>
      </c>
      <c r="AR361" s="85"/>
      <c r="AS361" s="84">
        <f t="shared" si="128"/>
        <v>350000000</v>
      </c>
      <c r="AT361" s="85"/>
      <c r="AU361" s="84">
        <f t="shared" si="129"/>
        <v>350000000</v>
      </c>
      <c r="AV361" s="85"/>
      <c r="AW361" s="84">
        <f t="shared" si="130"/>
        <v>350000000</v>
      </c>
      <c r="AX361" s="86">
        <f t="shared" si="131"/>
        <v>70000000</v>
      </c>
      <c r="AY361" s="87">
        <f t="shared" si="132"/>
        <v>350000000</v>
      </c>
      <c r="AZ361" s="65" t="b">
        <f t="shared" si="133"/>
        <v>1</v>
      </c>
    </row>
    <row r="362" spans="1:52" s="67" customFormat="1" ht="24.75" hidden="1" customHeight="1">
      <c r="A362" s="68">
        <v>358</v>
      </c>
      <c r="B362" s="69" t="s">
        <v>974</v>
      </c>
      <c r="C362" s="156" t="s">
        <v>73</v>
      </c>
      <c r="D362" s="71" t="s">
        <v>64</v>
      </c>
      <c r="E362" s="157" t="s">
        <v>975</v>
      </c>
      <c r="F362" s="158"/>
      <c r="G362" s="159">
        <v>46010</v>
      </c>
      <c r="H362" s="160" t="s">
        <v>976</v>
      </c>
      <c r="I362" s="120" t="s">
        <v>66</v>
      </c>
      <c r="J362" s="160" t="s">
        <v>67</v>
      </c>
      <c r="K362" s="68" t="s">
        <v>349</v>
      </c>
      <c r="L362" s="70" t="s">
        <v>69</v>
      </c>
      <c r="M362" s="156" t="s">
        <v>403</v>
      </c>
      <c r="N362" s="156" t="s">
        <v>404</v>
      </c>
      <c r="O362" s="108"/>
      <c r="P362" s="109">
        <v>46023</v>
      </c>
      <c r="Q362" s="110">
        <f t="shared" si="134"/>
        <v>46752</v>
      </c>
      <c r="R362" s="111">
        <f t="shared" si="136"/>
        <v>24</v>
      </c>
      <c r="S362" s="111">
        <v>2</v>
      </c>
      <c r="T362" s="161">
        <v>190000000</v>
      </c>
      <c r="U362" s="113"/>
      <c r="V362" s="161">
        <v>190000000</v>
      </c>
      <c r="W362" s="115">
        <f t="shared" si="135"/>
        <v>7916666.666666667</v>
      </c>
      <c r="X362" s="115">
        <v>0</v>
      </c>
      <c r="Y362" s="115">
        <v>190000000</v>
      </c>
      <c r="Z362" s="124">
        <f t="shared" si="118"/>
        <v>7916666.666666667</v>
      </c>
      <c r="AA362" s="118">
        <f t="shared" si="117"/>
        <v>182083333.33333334</v>
      </c>
      <c r="AB362" s="85">
        <f t="shared" si="119"/>
        <v>7916666.666666667</v>
      </c>
      <c r="AC362" s="84">
        <f t="shared" si="120"/>
        <v>174166666.66666669</v>
      </c>
      <c r="AD362" s="85">
        <f t="shared" si="116"/>
        <v>7916666.666666667</v>
      </c>
      <c r="AE362" s="118">
        <f t="shared" si="121"/>
        <v>166250000.00000003</v>
      </c>
      <c r="AF362" s="85">
        <f t="shared" si="137"/>
        <v>7916666.666666667</v>
      </c>
      <c r="AG362" s="84">
        <f t="shared" si="122"/>
        <v>158333333.33333337</v>
      </c>
      <c r="AH362" s="85"/>
      <c r="AI362" s="84">
        <f t="shared" si="123"/>
        <v>158333333.33333337</v>
      </c>
      <c r="AJ362" s="124"/>
      <c r="AK362" s="84">
        <f t="shared" si="124"/>
        <v>158333333.33333337</v>
      </c>
      <c r="AL362" s="124"/>
      <c r="AM362" s="84">
        <f t="shared" si="125"/>
        <v>158333333.33333337</v>
      </c>
      <c r="AN362" s="85"/>
      <c r="AO362" s="84">
        <f t="shared" si="126"/>
        <v>158333333.33333337</v>
      </c>
      <c r="AP362" s="85"/>
      <c r="AQ362" s="84">
        <f t="shared" si="127"/>
        <v>158333333.33333337</v>
      </c>
      <c r="AR362" s="85"/>
      <c r="AS362" s="84">
        <f t="shared" si="128"/>
        <v>158333333.33333337</v>
      </c>
      <c r="AT362" s="85"/>
      <c r="AU362" s="84">
        <f t="shared" si="129"/>
        <v>158333333.33333337</v>
      </c>
      <c r="AV362" s="85"/>
      <c r="AW362" s="84">
        <f t="shared" si="130"/>
        <v>158333333.33333337</v>
      </c>
      <c r="AX362" s="86">
        <f t="shared" si="131"/>
        <v>31666666.666666668</v>
      </c>
      <c r="AY362" s="87">
        <f t="shared" si="132"/>
        <v>158333333.33333334</v>
      </c>
      <c r="AZ362" s="65" t="b">
        <f t="shared" si="133"/>
        <v>1</v>
      </c>
    </row>
    <row r="363" spans="1:52" s="67" customFormat="1" ht="24.75" hidden="1" customHeight="1">
      <c r="A363" s="68">
        <v>359</v>
      </c>
      <c r="B363" s="69" t="s">
        <v>977</v>
      </c>
      <c r="C363" s="156" t="s">
        <v>806</v>
      </c>
      <c r="D363" s="71" t="s">
        <v>95</v>
      </c>
      <c r="E363" s="150" t="s">
        <v>937</v>
      </c>
      <c r="F363" s="158"/>
      <c r="G363" s="159">
        <v>46022</v>
      </c>
      <c r="H363" s="160" t="s">
        <v>978</v>
      </c>
      <c r="I363" s="120" t="s">
        <v>98</v>
      </c>
      <c r="J363" s="160" t="s">
        <v>617</v>
      </c>
      <c r="K363" s="68" t="s">
        <v>99</v>
      </c>
      <c r="L363" s="70" t="s">
        <v>100</v>
      </c>
      <c r="M363" s="156" t="s">
        <v>130</v>
      </c>
      <c r="N363" s="156" t="s">
        <v>131</v>
      </c>
      <c r="O363" s="108"/>
      <c r="P363" s="109">
        <v>46023</v>
      </c>
      <c r="Q363" s="110">
        <f t="shared" si="134"/>
        <v>46568</v>
      </c>
      <c r="R363" s="111">
        <f t="shared" si="136"/>
        <v>18</v>
      </c>
      <c r="S363" s="153">
        <v>1.5</v>
      </c>
      <c r="T363" s="161">
        <v>30400000</v>
      </c>
      <c r="U363" s="113"/>
      <c r="V363" s="161">
        <v>30400000</v>
      </c>
      <c r="W363" s="115">
        <f t="shared" si="135"/>
        <v>1688888.888888889</v>
      </c>
      <c r="X363" s="115">
        <v>0</v>
      </c>
      <c r="Y363" s="115">
        <v>30400000</v>
      </c>
      <c r="Z363" s="124">
        <f t="shared" si="118"/>
        <v>1688888.888888889</v>
      </c>
      <c r="AA363" s="118">
        <f t="shared" si="117"/>
        <v>28711111.111111112</v>
      </c>
      <c r="AB363" s="85">
        <f t="shared" si="119"/>
        <v>1688888.888888889</v>
      </c>
      <c r="AC363" s="84">
        <f t="shared" si="120"/>
        <v>27022222.222222224</v>
      </c>
      <c r="AD363" s="85">
        <f t="shared" si="116"/>
        <v>1688888.888888889</v>
      </c>
      <c r="AE363" s="118">
        <f t="shared" si="121"/>
        <v>25333333.333333336</v>
      </c>
      <c r="AF363" s="85">
        <f t="shared" si="137"/>
        <v>1688888.888888889</v>
      </c>
      <c r="AG363" s="84">
        <f t="shared" si="122"/>
        <v>23644444.444444448</v>
      </c>
      <c r="AH363" s="85"/>
      <c r="AI363" s="84">
        <f t="shared" si="123"/>
        <v>23644444.444444448</v>
      </c>
      <c r="AJ363" s="124"/>
      <c r="AK363" s="84">
        <f t="shared" si="124"/>
        <v>23644444.444444448</v>
      </c>
      <c r="AL363" s="124"/>
      <c r="AM363" s="84">
        <f t="shared" si="125"/>
        <v>23644444.444444448</v>
      </c>
      <c r="AN363" s="85"/>
      <c r="AO363" s="84">
        <f t="shared" si="126"/>
        <v>23644444.444444448</v>
      </c>
      <c r="AP363" s="85"/>
      <c r="AQ363" s="84">
        <f t="shared" si="127"/>
        <v>23644444.444444448</v>
      </c>
      <c r="AR363" s="85"/>
      <c r="AS363" s="84">
        <f t="shared" si="128"/>
        <v>23644444.444444448</v>
      </c>
      <c r="AT363" s="85"/>
      <c r="AU363" s="84">
        <f t="shared" si="129"/>
        <v>23644444.444444448</v>
      </c>
      <c r="AV363" s="85"/>
      <c r="AW363" s="84">
        <f t="shared" si="130"/>
        <v>23644444.444444448</v>
      </c>
      <c r="AX363" s="86">
        <f t="shared" si="131"/>
        <v>6755555.555555556</v>
      </c>
      <c r="AY363" s="87">
        <f t="shared" si="132"/>
        <v>23644444.444444444</v>
      </c>
      <c r="AZ363" s="65" t="b">
        <f t="shared" si="133"/>
        <v>1</v>
      </c>
    </row>
    <row r="364" spans="1:52" s="67" customFormat="1" ht="24.75" hidden="1" customHeight="1">
      <c r="A364" s="68">
        <v>360</v>
      </c>
      <c r="B364" s="69" t="s">
        <v>979</v>
      </c>
      <c r="C364" s="156" t="s">
        <v>806</v>
      </c>
      <c r="D364" s="71" t="s">
        <v>95</v>
      </c>
      <c r="E364" s="150" t="s">
        <v>937</v>
      </c>
      <c r="F364" s="158"/>
      <c r="G364" s="159">
        <v>46022</v>
      </c>
      <c r="H364" s="160" t="s">
        <v>978</v>
      </c>
      <c r="I364" s="120" t="s">
        <v>98</v>
      </c>
      <c r="J364" s="160" t="s">
        <v>617</v>
      </c>
      <c r="K364" s="68" t="s">
        <v>99</v>
      </c>
      <c r="L364" s="70" t="s">
        <v>100</v>
      </c>
      <c r="M364" s="156" t="s">
        <v>101</v>
      </c>
      <c r="N364" s="156" t="s">
        <v>102</v>
      </c>
      <c r="O364" s="108"/>
      <c r="P364" s="109">
        <v>46023</v>
      </c>
      <c r="Q364" s="110">
        <f t="shared" si="134"/>
        <v>46568</v>
      </c>
      <c r="R364" s="111">
        <f t="shared" si="136"/>
        <v>18</v>
      </c>
      <c r="S364" s="153">
        <v>1.5</v>
      </c>
      <c r="T364" s="161">
        <v>592499225.28338933</v>
      </c>
      <c r="U364" s="113"/>
      <c r="V364" s="161">
        <v>592499225.28338933</v>
      </c>
      <c r="W364" s="115">
        <f t="shared" si="135"/>
        <v>32916623.626854964</v>
      </c>
      <c r="X364" s="115">
        <v>0</v>
      </c>
      <c r="Y364" s="115">
        <v>592499225.28338933</v>
      </c>
      <c r="Z364" s="124">
        <f t="shared" si="118"/>
        <v>32916623.626854964</v>
      </c>
      <c r="AA364" s="118">
        <f t="shared" si="117"/>
        <v>559582601.65653431</v>
      </c>
      <c r="AB364" s="85">
        <f t="shared" si="119"/>
        <v>32916623.626854964</v>
      </c>
      <c r="AC364" s="84">
        <f t="shared" si="120"/>
        <v>526665978.02967936</v>
      </c>
      <c r="AD364" s="85">
        <f t="shared" si="116"/>
        <v>32916623.626854964</v>
      </c>
      <c r="AE364" s="118">
        <f t="shared" si="121"/>
        <v>493749354.4028244</v>
      </c>
      <c r="AF364" s="85">
        <f t="shared" si="137"/>
        <v>32916623.626854964</v>
      </c>
      <c r="AG364" s="84">
        <f t="shared" si="122"/>
        <v>460832730.77596945</v>
      </c>
      <c r="AH364" s="85"/>
      <c r="AI364" s="84">
        <f t="shared" si="123"/>
        <v>460832730.77596945</v>
      </c>
      <c r="AJ364" s="124"/>
      <c r="AK364" s="84">
        <f t="shared" si="124"/>
        <v>460832730.77596945</v>
      </c>
      <c r="AL364" s="124"/>
      <c r="AM364" s="84">
        <f t="shared" si="125"/>
        <v>460832730.77596945</v>
      </c>
      <c r="AN364" s="85"/>
      <c r="AO364" s="84">
        <f t="shared" si="126"/>
        <v>460832730.77596945</v>
      </c>
      <c r="AP364" s="85"/>
      <c r="AQ364" s="84">
        <f t="shared" si="127"/>
        <v>460832730.77596945</v>
      </c>
      <c r="AR364" s="85"/>
      <c r="AS364" s="84">
        <f t="shared" si="128"/>
        <v>460832730.77596945</v>
      </c>
      <c r="AT364" s="85"/>
      <c r="AU364" s="84">
        <f t="shared" si="129"/>
        <v>460832730.77596945</v>
      </c>
      <c r="AV364" s="85"/>
      <c r="AW364" s="84">
        <f t="shared" si="130"/>
        <v>460832730.77596945</v>
      </c>
      <c r="AX364" s="86">
        <f t="shared" si="131"/>
        <v>131666494.50741985</v>
      </c>
      <c r="AY364" s="87">
        <f t="shared" si="132"/>
        <v>460832730.77596951</v>
      </c>
      <c r="AZ364" s="65" t="b">
        <f t="shared" si="133"/>
        <v>1</v>
      </c>
    </row>
    <row r="365" spans="1:52" s="67" customFormat="1" ht="24.75" hidden="1" customHeight="1">
      <c r="A365" s="68">
        <v>361</v>
      </c>
      <c r="B365" s="69" t="s">
        <v>980</v>
      </c>
      <c r="C365" s="156" t="s">
        <v>806</v>
      </c>
      <c r="D365" s="71" t="s">
        <v>95</v>
      </c>
      <c r="E365" s="150" t="s">
        <v>937</v>
      </c>
      <c r="F365" s="158"/>
      <c r="G365" s="159">
        <v>46022</v>
      </c>
      <c r="H365" s="160" t="s">
        <v>978</v>
      </c>
      <c r="I365" s="120" t="s">
        <v>98</v>
      </c>
      <c r="J365" s="160" t="s">
        <v>617</v>
      </c>
      <c r="K365" s="68" t="s">
        <v>99</v>
      </c>
      <c r="L365" s="70" t="s">
        <v>100</v>
      </c>
      <c r="M365" s="156" t="s">
        <v>130</v>
      </c>
      <c r="N365" s="156" t="s">
        <v>131</v>
      </c>
      <c r="O365" s="108"/>
      <c r="P365" s="109">
        <v>46023</v>
      </c>
      <c r="Q365" s="110">
        <f t="shared" si="134"/>
        <v>46752</v>
      </c>
      <c r="R365" s="111">
        <f t="shared" si="136"/>
        <v>24</v>
      </c>
      <c r="S365" s="153">
        <v>2</v>
      </c>
      <c r="T365" s="161">
        <v>117600000</v>
      </c>
      <c r="U365" s="113"/>
      <c r="V365" s="161">
        <v>117600000</v>
      </c>
      <c r="W365" s="115">
        <f t="shared" si="135"/>
        <v>4900000</v>
      </c>
      <c r="X365" s="115">
        <v>0</v>
      </c>
      <c r="Y365" s="115">
        <v>117600000</v>
      </c>
      <c r="Z365" s="124">
        <f t="shared" si="118"/>
        <v>4900000</v>
      </c>
      <c r="AA365" s="118">
        <f t="shared" si="117"/>
        <v>112700000</v>
      </c>
      <c r="AB365" s="85">
        <f t="shared" si="119"/>
        <v>4900000</v>
      </c>
      <c r="AC365" s="84">
        <f t="shared" si="120"/>
        <v>107800000</v>
      </c>
      <c r="AD365" s="85">
        <f t="shared" si="116"/>
        <v>4900000</v>
      </c>
      <c r="AE365" s="118">
        <f t="shared" si="121"/>
        <v>102900000</v>
      </c>
      <c r="AF365" s="85">
        <f t="shared" si="137"/>
        <v>4900000</v>
      </c>
      <c r="AG365" s="84">
        <f t="shared" si="122"/>
        <v>98000000</v>
      </c>
      <c r="AH365" s="85"/>
      <c r="AI365" s="84">
        <f t="shared" si="123"/>
        <v>98000000</v>
      </c>
      <c r="AJ365" s="124"/>
      <c r="AK365" s="84">
        <f t="shared" si="124"/>
        <v>98000000</v>
      </c>
      <c r="AL365" s="124"/>
      <c r="AM365" s="84">
        <f t="shared" si="125"/>
        <v>98000000</v>
      </c>
      <c r="AN365" s="85"/>
      <c r="AO365" s="84">
        <f t="shared" si="126"/>
        <v>98000000</v>
      </c>
      <c r="AP365" s="85"/>
      <c r="AQ365" s="84">
        <f t="shared" si="127"/>
        <v>98000000</v>
      </c>
      <c r="AR365" s="85"/>
      <c r="AS365" s="84">
        <f t="shared" si="128"/>
        <v>98000000</v>
      </c>
      <c r="AT365" s="85"/>
      <c r="AU365" s="84">
        <f t="shared" si="129"/>
        <v>98000000</v>
      </c>
      <c r="AV365" s="85"/>
      <c r="AW365" s="84">
        <f t="shared" si="130"/>
        <v>98000000</v>
      </c>
      <c r="AX365" s="86">
        <f t="shared" si="131"/>
        <v>19600000</v>
      </c>
      <c r="AY365" s="87">
        <f t="shared" si="132"/>
        <v>98000000</v>
      </c>
      <c r="AZ365" s="65" t="b">
        <f t="shared" si="133"/>
        <v>1</v>
      </c>
    </row>
    <row r="366" spans="1:52" s="67" customFormat="1" ht="24.75" hidden="1" customHeight="1">
      <c r="A366" s="68">
        <v>362</v>
      </c>
      <c r="B366" s="69" t="s">
        <v>981</v>
      </c>
      <c r="C366" s="156" t="s">
        <v>806</v>
      </c>
      <c r="D366" s="71" t="s">
        <v>95</v>
      </c>
      <c r="E366" s="150" t="s">
        <v>937</v>
      </c>
      <c r="F366" s="158"/>
      <c r="G366" s="159">
        <v>46022</v>
      </c>
      <c r="H366" s="160" t="s">
        <v>978</v>
      </c>
      <c r="I366" s="120" t="s">
        <v>98</v>
      </c>
      <c r="J366" s="160" t="s">
        <v>617</v>
      </c>
      <c r="K366" s="68" t="s">
        <v>99</v>
      </c>
      <c r="L366" s="70" t="s">
        <v>100</v>
      </c>
      <c r="M366" s="156" t="s">
        <v>101</v>
      </c>
      <c r="N366" s="156" t="s">
        <v>102</v>
      </c>
      <c r="O366" s="108"/>
      <c r="P366" s="109">
        <v>46023</v>
      </c>
      <c r="Q366" s="110">
        <f t="shared" si="134"/>
        <v>46752</v>
      </c>
      <c r="R366" s="111">
        <f t="shared" si="136"/>
        <v>24</v>
      </c>
      <c r="S366" s="153">
        <v>2</v>
      </c>
      <c r="T366" s="161">
        <v>782710631.28014469</v>
      </c>
      <c r="U366" s="113"/>
      <c r="V366" s="161">
        <v>782710631.28014469</v>
      </c>
      <c r="W366" s="115">
        <f t="shared" si="135"/>
        <v>32612942.97000603</v>
      </c>
      <c r="X366" s="115">
        <v>0</v>
      </c>
      <c r="Y366" s="115">
        <v>782710631.28014469</v>
      </c>
      <c r="Z366" s="124">
        <f t="shared" si="118"/>
        <v>32612942.97000603</v>
      </c>
      <c r="AA366" s="118">
        <f t="shared" si="117"/>
        <v>750097688.3101387</v>
      </c>
      <c r="AB366" s="85">
        <f t="shared" si="119"/>
        <v>32612942.97000603</v>
      </c>
      <c r="AC366" s="84">
        <f t="shared" si="120"/>
        <v>717484745.34013271</v>
      </c>
      <c r="AD366" s="85">
        <f t="shared" si="116"/>
        <v>32612942.97000603</v>
      </c>
      <c r="AE366" s="118">
        <f t="shared" si="121"/>
        <v>684871802.37012672</v>
      </c>
      <c r="AF366" s="85">
        <f t="shared" si="137"/>
        <v>32612942.97000603</v>
      </c>
      <c r="AG366" s="84">
        <f t="shared" si="122"/>
        <v>652258859.40012074</v>
      </c>
      <c r="AH366" s="85"/>
      <c r="AI366" s="84">
        <f t="shared" si="123"/>
        <v>652258859.40012074</v>
      </c>
      <c r="AJ366" s="124"/>
      <c r="AK366" s="84">
        <f t="shared" si="124"/>
        <v>652258859.40012074</v>
      </c>
      <c r="AL366" s="124"/>
      <c r="AM366" s="84">
        <f t="shared" si="125"/>
        <v>652258859.40012074</v>
      </c>
      <c r="AN366" s="85"/>
      <c r="AO366" s="84">
        <f t="shared" si="126"/>
        <v>652258859.40012074</v>
      </c>
      <c r="AP366" s="85"/>
      <c r="AQ366" s="84">
        <f t="shared" si="127"/>
        <v>652258859.40012074</v>
      </c>
      <c r="AR366" s="85"/>
      <c r="AS366" s="84">
        <f t="shared" si="128"/>
        <v>652258859.40012074</v>
      </c>
      <c r="AT366" s="85"/>
      <c r="AU366" s="84">
        <f t="shared" si="129"/>
        <v>652258859.40012074</v>
      </c>
      <c r="AV366" s="85"/>
      <c r="AW366" s="84">
        <f t="shared" si="130"/>
        <v>652258859.40012074</v>
      </c>
      <c r="AX366" s="86">
        <f t="shared" si="131"/>
        <v>130451771.88002412</v>
      </c>
      <c r="AY366" s="87">
        <f t="shared" si="132"/>
        <v>652258859.40012062</v>
      </c>
      <c r="AZ366" s="65" t="b">
        <f t="shared" si="133"/>
        <v>1</v>
      </c>
    </row>
    <row r="367" spans="1:52" s="67" customFormat="1" ht="24.75" hidden="1" customHeight="1">
      <c r="A367" s="68">
        <v>363</v>
      </c>
      <c r="B367" s="69" t="s">
        <v>982</v>
      </c>
      <c r="C367" s="156" t="s">
        <v>806</v>
      </c>
      <c r="D367" s="71" t="s">
        <v>681</v>
      </c>
      <c r="E367" s="150" t="s">
        <v>937</v>
      </c>
      <c r="F367" s="158"/>
      <c r="G367" s="159">
        <v>46022</v>
      </c>
      <c r="H367" s="160" t="s">
        <v>978</v>
      </c>
      <c r="I367" s="120" t="s">
        <v>84</v>
      </c>
      <c r="J367" s="102" t="s">
        <v>85</v>
      </c>
      <c r="K367" s="68" t="s">
        <v>86</v>
      </c>
      <c r="L367" s="70" t="s">
        <v>87</v>
      </c>
      <c r="M367" s="156" t="s">
        <v>70</v>
      </c>
      <c r="N367" s="156" t="s">
        <v>71</v>
      </c>
      <c r="O367" s="108"/>
      <c r="P367" s="109">
        <v>46023</v>
      </c>
      <c r="Q367" s="110">
        <f t="shared" si="134"/>
        <v>46752</v>
      </c>
      <c r="R367" s="111">
        <f t="shared" si="136"/>
        <v>24</v>
      </c>
      <c r="S367" s="153">
        <v>2</v>
      </c>
      <c r="T367" s="161">
        <v>85000000</v>
      </c>
      <c r="U367" s="113"/>
      <c r="V367" s="161">
        <v>85000000</v>
      </c>
      <c r="W367" s="115">
        <f t="shared" si="135"/>
        <v>3541666.6666666665</v>
      </c>
      <c r="X367" s="115">
        <v>0</v>
      </c>
      <c r="Y367" s="115">
        <v>85000000</v>
      </c>
      <c r="Z367" s="124">
        <f t="shared" si="118"/>
        <v>3541666.6666666665</v>
      </c>
      <c r="AA367" s="118">
        <f t="shared" si="117"/>
        <v>81458333.333333328</v>
      </c>
      <c r="AB367" s="85">
        <f t="shared" si="119"/>
        <v>3541666.6666666665</v>
      </c>
      <c r="AC367" s="84">
        <f t="shared" si="120"/>
        <v>77916666.666666657</v>
      </c>
      <c r="AD367" s="85">
        <f t="shared" si="116"/>
        <v>3541666.6666666665</v>
      </c>
      <c r="AE367" s="118">
        <f t="shared" si="121"/>
        <v>74374999.999999985</v>
      </c>
      <c r="AF367" s="85">
        <f t="shared" si="137"/>
        <v>3541666.6666666665</v>
      </c>
      <c r="AG367" s="84">
        <f t="shared" si="122"/>
        <v>70833333.333333313</v>
      </c>
      <c r="AH367" s="85"/>
      <c r="AI367" s="84">
        <f t="shared" si="123"/>
        <v>70833333.333333313</v>
      </c>
      <c r="AJ367" s="124"/>
      <c r="AK367" s="84">
        <f t="shared" si="124"/>
        <v>70833333.333333313</v>
      </c>
      <c r="AL367" s="124"/>
      <c r="AM367" s="84">
        <f t="shared" si="125"/>
        <v>70833333.333333313</v>
      </c>
      <c r="AN367" s="85"/>
      <c r="AO367" s="84">
        <f t="shared" si="126"/>
        <v>70833333.333333313</v>
      </c>
      <c r="AP367" s="85"/>
      <c r="AQ367" s="84">
        <f t="shared" si="127"/>
        <v>70833333.333333313</v>
      </c>
      <c r="AR367" s="85"/>
      <c r="AS367" s="84">
        <f t="shared" si="128"/>
        <v>70833333.333333313</v>
      </c>
      <c r="AT367" s="85"/>
      <c r="AU367" s="84">
        <f t="shared" si="129"/>
        <v>70833333.333333313</v>
      </c>
      <c r="AV367" s="85"/>
      <c r="AW367" s="84">
        <f t="shared" si="130"/>
        <v>70833333.333333313</v>
      </c>
      <c r="AX367" s="86">
        <f t="shared" si="131"/>
        <v>14166666.666666666</v>
      </c>
      <c r="AY367" s="87">
        <f t="shared" si="132"/>
        <v>70833333.333333328</v>
      </c>
      <c r="AZ367" s="65" t="b">
        <f t="shared" si="133"/>
        <v>1</v>
      </c>
    </row>
    <row r="368" spans="1:52" s="67" customFormat="1" ht="24.75" hidden="1" customHeight="1">
      <c r="A368" s="68">
        <v>364</v>
      </c>
      <c r="B368" s="69" t="s">
        <v>983</v>
      </c>
      <c r="C368" s="156" t="s">
        <v>806</v>
      </c>
      <c r="D368" s="71" t="s">
        <v>681</v>
      </c>
      <c r="E368" s="150" t="s">
        <v>937</v>
      </c>
      <c r="F368" s="158"/>
      <c r="G368" s="159">
        <v>46022</v>
      </c>
      <c r="H368" s="160" t="s">
        <v>978</v>
      </c>
      <c r="I368" s="120" t="s">
        <v>84</v>
      </c>
      <c r="J368" s="102" t="s">
        <v>85</v>
      </c>
      <c r="K368" s="68" t="s">
        <v>86</v>
      </c>
      <c r="L368" s="70" t="s">
        <v>87</v>
      </c>
      <c r="M368" s="156" t="s">
        <v>101</v>
      </c>
      <c r="N368" s="156" t="s">
        <v>102</v>
      </c>
      <c r="O368" s="108"/>
      <c r="P368" s="109">
        <v>46023</v>
      </c>
      <c r="Q368" s="110">
        <f t="shared" si="134"/>
        <v>46752</v>
      </c>
      <c r="R368" s="111">
        <f t="shared" si="136"/>
        <v>24</v>
      </c>
      <c r="S368" s="153">
        <v>2</v>
      </c>
      <c r="T368" s="161">
        <v>73840000</v>
      </c>
      <c r="U368" s="113"/>
      <c r="V368" s="161">
        <v>73840000</v>
      </c>
      <c r="W368" s="115">
        <f t="shared" si="135"/>
        <v>3076666.6666666665</v>
      </c>
      <c r="X368" s="115">
        <v>0</v>
      </c>
      <c r="Y368" s="115">
        <v>73840000</v>
      </c>
      <c r="Z368" s="124">
        <f t="shared" si="118"/>
        <v>3076666.6666666665</v>
      </c>
      <c r="AA368" s="118">
        <f t="shared" si="117"/>
        <v>70763333.333333328</v>
      </c>
      <c r="AB368" s="85">
        <f t="shared" si="119"/>
        <v>3076666.6666666665</v>
      </c>
      <c r="AC368" s="84">
        <f t="shared" si="120"/>
        <v>67686666.666666657</v>
      </c>
      <c r="AD368" s="85">
        <f t="shared" si="116"/>
        <v>3076666.6666666665</v>
      </c>
      <c r="AE368" s="118">
        <f t="shared" si="121"/>
        <v>64609999.999999993</v>
      </c>
      <c r="AF368" s="85">
        <f t="shared" si="137"/>
        <v>3076666.6666666665</v>
      </c>
      <c r="AG368" s="84">
        <f t="shared" si="122"/>
        <v>61533333.333333328</v>
      </c>
      <c r="AH368" s="85"/>
      <c r="AI368" s="84">
        <f t="shared" si="123"/>
        <v>61533333.333333328</v>
      </c>
      <c r="AJ368" s="124"/>
      <c r="AK368" s="84">
        <f t="shared" si="124"/>
        <v>61533333.333333328</v>
      </c>
      <c r="AL368" s="124"/>
      <c r="AM368" s="84">
        <f t="shared" si="125"/>
        <v>61533333.333333328</v>
      </c>
      <c r="AN368" s="85"/>
      <c r="AO368" s="84">
        <f t="shared" si="126"/>
        <v>61533333.333333328</v>
      </c>
      <c r="AP368" s="85"/>
      <c r="AQ368" s="84">
        <f t="shared" si="127"/>
        <v>61533333.333333328</v>
      </c>
      <c r="AR368" s="85"/>
      <c r="AS368" s="84">
        <f t="shared" si="128"/>
        <v>61533333.333333328</v>
      </c>
      <c r="AT368" s="85"/>
      <c r="AU368" s="84">
        <f t="shared" si="129"/>
        <v>61533333.333333328</v>
      </c>
      <c r="AV368" s="85"/>
      <c r="AW368" s="84">
        <f t="shared" si="130"/>
        <v>61533333.333333328</v>
      </c>
      <c r="AX368" s="86">
        <f t="shared" si="131"/>
        <v>12306666.666666666</v>
      </c>
      <c r="AY368" s="87">
        <f t="shared" si="132"/>
        <v>61533333.333333336</v>
      </c>
      <c r="AZ368" s="65" t="b">
        <f t="shared" si="133"/>
        <v>1</v>
      </c>
    </row>
    <row r="369" spans="1:52" s="67" customFormat="1" ht="24.75" hidden="1" customHeight="1">
      <c r="A369" s="68">
        <v>365</v>
      </c>
      <c r="B369" s="69" t="s">
        <v>984</v>
      </c>
      <c r="C369" s="156" t="s">
        <v>73</v>
      </c>
      <c r="D369" s="71" t="s">
        <v>64</v>
      </c>
      <c r="E369" s="157" t="s">
        <v>985</v>
      </c>
      <c r="F369" s="158"/>
      <c r="G369" s="159">
        <v>46029</v>
      </c>
      <c r="H369" s="160" t="s">
        <v>986</v>
      </c>
      <c r="I369" s="120" t="s">
        <v>66</v>
      </c>
      <c r="J369" s="160" t="s">
        <v>67</v>
      </c>
      <c r="K369" s="68" t="s">
        <v>476</v>
      </c>
      <c r="L369" s="70" t="s">
        <v>69</v>
      </c>
      <c r="M369" s="156" t="s">
        <v>478</v>
      </c>
      <c r="N369" s="156" t="s">
        <v>479</v>
      </c>
      <c r="O369" s="108"/>
      <c r="P369" s="109">
        <v>46054</v>
      </c>
      <c r="Q369" s="110">
        <f t="shared" si="134"/>
        <v>46783</v>
      </c>
      <c r="R369" s="111">
        <f t="shared" si="136"/>
        <v>24</v>
      </c>
      <c r="S369" s="111">
        <v>2</v>
      </c>
      <c r="T369" s="161">
        <v>2100000000</v>
      </c>
      <c r="U369" s="113"/>
      <c r="V369" s="161">
        <v>2100000000</v>
      </c>
      <c r="W369" s="115">
        <f t="shared" si="135"/>
        <v>87500000</v>
      </c>
      <c r="X369" s="115">
        <v>0</v>
      </c>
      <c r="Y369" s="115"/>
      <c r="Z369" s="124">
        <f t="shared" si="118"/>
        <v>0</v>
      </c>
      <c r="AA369" s="118">
        <f t="shared" si="117"/>
        <v>2100000000</v>
      </c>
      <c r="AB369" s="85">
        <f t="shared" si="119"/>
        <v>87500000</v>
      </c>
      <c r="AC369" s="84">
        <f t="shared" si="120"/>
        <v>2012500000</v>
      </c>
      <c r="AD369" s="85">
        <f t="shared" si="116"/>
        <v>87500000</v>
      </c>
      <c r="AE369" s="118">
        <f t="shared" si="121"/>
        <v>1925000000</v>
      </c>
      <c r="AF369" s="85">
        <f t="shared" si="137"/>
        <v>87500000</v>
      </c>
      <c r="AG369" s="84">
        <f t="shared" si="122"/>
        <v>1837500000</v>
      </c>
      <c r="AH369" s="85"/>
      <c r="AI369" s="84">
        <f t="shared" si="123"/>
        <v>1837500000</v>
      </c>
      <c r="AJ369" s="124"/>
      <c r="AK369" s="84">
        <f t="shared" si="124"/>
        <v>1837500000</v>
      </c>
      <c r="AL369" s="124"/>
      <c r="AM369" s="84">
        <f t="shared" si="125"/>
        <v>1837500000</v>
      </c>
      <c r="AN369" s="85"/>
      <c r="AO369" s="84">
        <f t="shared" si="126"/>
        <v>1837500000</v>
      </c>
      <c r="AP369" s="85"/>
      <c r="AQ369" s="84">
        <f t="shared" si="127"/>
        <v>1837500000</v>
      </c>
      <c r="AR369" s="85"/>
      <c r="AS369" s="84">
        <f t="shared" si="128"/>
        <v>1837500000</v>
      </c>
      <c r="AT369" s="85"/>
      <c r="AU369" s="84">
        <f t="shared" si="129"/>
        <v>1837500000</v>
      </c>
      <c r="AV369" s="85"/>
      <c r="AW369" s="84">
        <f t="shared" si="130"/>
        <v>1837500000</v>
      </c>
      <c r="AX369" s="86">
        <f t="shared" si="131"/>
        <v>262500000</v>
      </c>
      <c r="AY369" s="87">
        <f t="shared" si="132"/>
        <v>1837500000</v>
      </c>
      <c r="AZ369" s="65" t="b">
        <f t="shared" si="133"/>
        <v>1</v>
      </c>
    </row>
    <row r="370" spans="1:52" s="67" customFormat="1" ht="24.75" hidden="1" customHeight="1">
      <c r="A370" s="68">
        <v>366</v>
      </c>
      <c r="B370" s="69" t="s">
        <v>987</v>
      </c>
      <c r="C370" s="156" t="s">
        <v>73</v>
      </c>
      <c r="D370" s="71" t="s">
        <v>64</v>
      </c>
      <c r="E370" s="157" t="s">
        <v>988</v>
      </c>
      <c r="F370" s="158"/>
      <c r="G370" s="159">
        <v>46036</v>
      </c>
      <c r="H370" s="160" t="s">
        <v>989</v>
      </c>
      <c r="I370" s="120" t="s">
        <v>66</v>
      </c>
      <c r="J370" s="160" t="s">
        <v>67</v>
      </c>
      <c r="K370" s="68" t="s">
        <v>476</v>
      </c>
      <c r="L370" s="70" t="s">
        <v>69</v>
      </c>
      <c r="M370" s="156" t="s">
        <v>55</v>
      </c>
      <c r="N370" s="156" t="s">
        <v>56</v>
      </c>
      <c r="O370" s="108"/>
      <c r="P370" s="109">
        <v>46054</v>
      </c>
      <c r="Q370" s="110">
        <f t="shared" si="134"/>
        <v>46783</v>
      </c>
      <c r="R370" s="111">
        <f>+S370*12</f>
        <v>24</v>
      </c>
      <c r="S370" s="111">
        <v>2</v>
      </c>
      <c r="T370" s="161">
        <v>180000000</v>
      </c>
      <c r="U370" s="113"/>
      <c r="V370" s="161">
        <v>180000000</v>
      </c>
      <c r="W370" s="115">
        <f t="shared" si="135"/>
        <v>7500000</v>
      </c>
      <c r="X370" s="115">
        <v>0</v>
      </c>
      <c r="Y370" s="115"/>
      <c r="Z370" s="124">
        <f t="shared" si="118"/>
        <v>0</v>
      </c>
      <c r="AA370" s="118">
        <f t="shared" si="117"/>
        <v>180000000</v>
      </c>
      <c r="AB370" s="85">
        <f t="shared" si="119"/>
        <v>7500000</v>
      </c>
      <c r="AC370" s="84">
        <f t="shared" si="120"/>
        <v>172500000</v>
      </c>
      <c r="AD370" s="85">
        <f t="shared" si="116"/>
        <v>7500000</v>
      </c>
      <c r="AE370" s="118">
        <f t="shared" si="121"/>
        <v>165000000</v>
      </c>
      <c r="AF370" s="85">
        <f t="shared" si="137"/>
        <v>7500000</v>
      </c>
      <c r="AG370" s="84">
        <f t="shared" si="122"/>
        <v>157500000</v>
      </c>
      <c r="AH370" s="85"/>
      <c r="AI370" s="84">
        <f t="shared" si="123"/>
        <v>157500000</v>
      </c>
      <c r="AJ370" s="124"/>
      <c r="AK370" s="84">
        <f t="shared" si="124"/>
        <v>157500000</v>
      </c>
      <c r="AL370" s="124"/>
      <c r="AM370" s="84">
        <f t="shared" si="125"/>
        <v>157500000</v>
      </c>
      <c r="AN370" s="85"/>
      <c r="AO370" s="84">
        <f t="shared" si="126"/>
        <v>157500000</v>
      </c>
      <c r="AP370" s="85"/>
      <c r="AQ370" s="84">
        <f t="shared" si="127"/>
        <v>157500000</v>
      </c>
      <c r="AR370" s="85"/>
      <c r="AS370" s="84">
        <f t="shared" si="128"/>
        <v>157500000</v>
      </c>
      <c r="AT370" s="85"/>
      <c r="AU370" s="84">
        <f t="shared" si="129"/>
        <v>157500000</v>
      </c>
      <c r="AV370" s="85"/>
      <c r="AW370" s="84">
        <f t="shared" si="130"/>
        <v>157500000</v>
      </c>
      <c r="AX370" s="86">
        <f t="shared" si="131"/>
        <v>22500000</v>
      </c>
      <c r="AY370" s="87">
        <f t="shared" si="132"/>
        <v>157500000</v>
      </c>
      <c r="AZ370" s="65" t="b">
        <f t="shared" si="133"/>
        <v>1</v>
      </c>
    </row>
    <row r="371" spans="1:52" s="67" customFormat="1" ht="24.75" hidden="1" customHeight="1">
      <c r="A371" s="68">
        <v>367</v>
      </c>
      <c r="B371" s="69" t="s">
        <v>990</v>
      </c>
      <c r="C371" s="156" t="s">
        <v>991</v>
      </c>
      <c r="D371" s="71" t="s">
        <v>396</v>
      </c>
      <c r="E371" s="157" t="s">
        <v>992</v>
      </c>
      <c r="F371" s="104"/>
      <c r="G371" s="159">
        <v>46041</v>
      </c>
      <c r="H371" s="160" t="s">
        <v>993</v>
      </c>
      <c r="I371" s="120" t="s">
        <v>399</v>
      </c>
      <c r="J371" s="102" t="s">
        <v>400</v>
      </c>
      <c r="K371" s="68" t="s">
        <v>349</v>
      </c>
      <c r="L371" s="70" t="s">
        <v>69</v>
      </c>
      <c r="M371" s="88" t="s">
        <v>403</v>
      </c>
      <c r="N371" s="88" t="s">
        <v>404</v>
      </c>
      <c r="O371" s="108"/>
      <c r="P371" s="109">
        <v>46054</v>
      </c>
      <c r="Q371" s="110">
        <f t="shared" si="134"/>
        <v>46783</v>
      </c>
      <c r="R371" s="111">
        <v>24</v>
      </c>
      <c r="S371" s="111">
        <v>2</v>
      </c>
      <c r="T371" s="161">
        <v>64165000</v>
      </c>
      <c r="U371" s="113"/>
      <c r="V371" s="161">
        <v>64165000</v>
      </c>
      <c r="W371" s="115">
        <f t="shared" si="135"/>
        <v>2673541.6666666665</v>
      </c>
      <c r="X371" s="115">
        <v>0</v>
      </c>
      <c r="Y371" s="115"/>
      <c r="Z371" s="124">
        <f t="shared" si="118"/>
        <v>0</v>
      </c>
      <c r="AA371" s="118">
        <f t="shared" si="117"/>
        <v>64165000</v>
      </c>
      <c r="AB371" s="85">
        <f t="shared" si="119"/>
        <v>2673541.6666666665</v>
      </c>
      <c r="AC371" s="84">
        <f t="shared" si="120"/>
        <v>61491458.333333336</v>
      </c>
      <c r="AD371" s="85">
        <f t="shared" si="116"/>
        <v>2673541.6666666665</v>
      </c>
      <c r="AE371" s="118">
        <f t="shared" si="121"/>
        <v>58817916.666666672</v>
      </c>
      <c r="AF371" s="85">
        <f t="shared" si="137"/>
        <v>2673541.6666666665</v>
      </c>
      <c r="AG371" s="84">
        <f t="shared" si="122"/>
        <v>56144375.000000007</v>
      </c>
      <c r="AH371" s="85"/>
      <c r="AI371" s="84">
        <f t="shared" si="123"/>
        <v>56144375.000000007</v>
      </c>
      <c r="AJ371" s="85"/>
      <c r="AK371" s="84">
        <f t="shared" si="124"/>
        <v>56144375.000000007</v>
      </c>
      <c r="AL371" s="85"/>
      <c r="AM371" s="84">
        <f t="shared" si="125"/>
        <v>56144375.000000007</v>
      </c>
      <c r="AN371" s="85"/>
      <c r="AO371" s="84">
        <f t="shared" si="126"/>
        <v>56144375.000000007</v>
      </c>
      <c r="AP371" s="85"/>
      <c r="AQ371" s="84">
        <f t="shared" si="127"/>
        <v>56144375.000000007</v>
      </c>
      <c r="AR371" s="85"/>
      <c r="AS371" s="84">
        <f t="shared" si="128"/>
        <v>56144375.000000007</v>
      </c>
      <c r="AT371" s="85"/>
      <c r="AU371" s="84">
        <f t="shared" si="129"/>
        <v>56144375.000000007</v>
      </c>
      <c r="AV371" s="85"/>
      <c r="AW371" s="84">
        <f t="shared" si="130"/>
        <v>56144375.000000007</v>
      </c>
      <c r="AX371" s="86">
        <f t="shared" si="131"/>
        <v>8020625</v>
      </c>
      <c r="AY371" s="87">
        <f t="shared" si="132"/>
        <v>56144375</v>
      </c>
      <c r="AZ371" s="65" t="b">
        <f t="shared" si="133"/>
        <v>1</v>
      </c>
    </row>
    <row r="372" spans="1:52" s="119" customFormat="1" ht="24.75" hidden="1" customHeight="1">
      <c r="A372" s="68">
        <v>368</v>
      </c>
      <c r="B372" s="69" t="s">
        <v>994</v>
      </c>
      <c r="C372" s="162" t="s">
        <v>650</v>
      </c>
      <c r="D372" s="71" t="s">
        <v>106</v>
      </c>
      <c r="E372" s="162" t="s">
        <v>995</v>
      </c>
      <c r="F372" s="126"/>
      <c r="G372" s="163">
        <v>46037</v>
      </c>
      <c r="H372" s="162" t="s">
        <v>996</v>
      </c>
      <c r="I372" s="95" t="s">
        <v>633</v>
      </c>
      <c r="J372" s="93" t="s">
        <v>634</v>
      </c>
      <c r="K372" s="128" t="s">
        <v>635</v>
      </c>
      <c r="L372" s="129" t="s">
        <v>636</v>
      </c>
      <c r="M372" s="93" t="s">
        <v>403</v>
      </c>
      <c r="N372" s="93" t="s">
        <v>404</v>
      </c>
      <c r="O372" s="130"/>
      <c r="P372" s="146">
        <v>46082</v>
      </c>
      <c r="Q372" s="147">
        <f t="shared" si="134"/>
        <v>46446</v>
      </c>
      <c r="R372" s="122">
        <v>12</v>
      </c>
      <c r="S372" s="122">
        <v>1</v>
      </c>
      <c r="T372" s="164">
        <v>299398155</v>
      </c>
      <c r="U372" s="134"/>
      <c r="V372" s="164">
        <v>299398155</v>
      </c>
      <c r="W372" s="100">
        <f t="shared" si="135"/>
        <v>24949846.25</v>
      </c>
      <c r="X372" s="100">
        <v>0</v>
      </c>
      <c r="Y372" s="100"/>
      <c r="Z372" s="124">
        <f t="shared" si="118"/>
        <v>0</v>
      </c>
      <c r="AA372" s="118">
        <f t="shared" si="117"/>
        <v>299398155</v>
      </c>
      <c r="AB372" s="85"/>
      <c r="AC372" s="84">
        <f t="shared" si="120"/>
        <v>299398155</v>
      </c>
      <c r="AD372" s="85">
        <f t="shared" si="119"/>
        <v>24949846.25</v>
      </c>
      <c r="AE372" s="118">
        <f t="shared" si="121"/>
        <v>274448308.75</v>
      </c>
      <c r="AF372" s="85">
        <f>+IF(AE372&lt;&gt;0,$W372,0)</f>
        <v>24949846.25</v>
      </c>
      <c r="AG372" s="84">
        <f t="shared" si="122"/>
        <v>249498462.5</v>
      </c>
      <c r="AH372" s="85"/>
      <c r="AI372" s="84">
        <f t="shared" si="123"/>
        <v>249498462.5</v>
      </c>
      <c r="AJ372" s="85"/>
      <c r="AK372" s="84">
        <f t="shared" si="124"/>
        <v>249498462.5</v>
      </c>
      <c r="AL372" s="85"/>
      <c r="AM372" s="84">
        <f t="shared" si="125"/>
        <v>249498462.5</v>
      </c>
      <c r="AN372" s="85"/>
      <c r="AO372" s="84">
        <f t="shared" si="126"/>
        <v>249498462.5</v>
      </c>
      <c r="AP372" s="85"/>
      <c r="AQ372" s="84">
        <f t="shared" si="127"/>
        <v>249498462.5</v>
      </c>
      <c r="AR372" s="85"/>
      <c r="AS372" s="84">
        <f t="shared" si="128"/>
        <v>249498462.5</v>
      </c>
      <c r="AT372" s="85"/>
      <c r="AU372" s="84">
        <f t="shared" si="129"/>
        <v>249498462.5</v>
      </c>
      <c r="AV372" s="85"/>
      <c r="AW372" s="84">
        <f t="shared" si="130"/>
        <v>249498462.5</v>
      </c>
      <c r="AX372" s="86">
        <f>SUMIF($Z$4:$AW$4,"Amortization",Z372:AW372)</f>
        <v>49899692.5</v>
      </c>
      <c r="AY372" s="87">
        <f t="shared" si="132"/>
        <v>249498462.5</v>
      </c>
      <c r="AZ372" s="65" t="b">
        <f t="shared" si="133"/>
        <v>1</v>
      </c>
    </row>
    <row r="373" spans="1:52" s="67" customFormat="1" ht="24.75" hidden="1" customHeight="1">
      <c r="A373" s="141">
        <v>369</v>
      </c>
      <c r="B373" s="69" t="s">
        <v>997</v>
      </c>
      <c r="C373" s="156" t="s">
        <v>806</v>
      </c>
      <c r="D373" s="71" t="s">
        <v>95</v>
      </c>
      <c r="E373" s="157" t="s">
        <v>998</v>
      </c>
      <c r="F373" s="104"/>
      <c r="G373" s="159">
        <v>46053</v>
      </c>
      <c r="H373" s="160" t="s">
        <v>999</v>
      </c>
      <c r="I373" s="120" t="s">
        <v>98</v>
      </c>
      <c r="J373" s="160" t="s">
        <v>617</v>
      </c>
      <c r="K373" s="68" t="s">
        <v>99</v>
      </c>
      <c r="L373" s="70" t="s">
        <v>100</v>
      </c>
      <c r="M373" s="165" t="s">
        <v>1000</v>
      </c>
      <c r="N373" s="165" t="s">
        <v>1001</v>
      </c>
      <c r="O373" s="108"/>
      <c r="P373" s="109">
        <v>46054</v>
      </c>
      <c r="Q373" s="110">
        <f t="shared" si="134"/>
        <v>46783</v>
      </c>
      <c r="R373" s="111">
        <v>24</v>
      </c>
      <c r="S373" s="111">
        <v>2</v>
      </c>
      <c r="T373" s="161">
        <v>117000000</v>
      </c>
      <c r="U373" s="113"/>
      <c r="V373" s="161">
        <v>117000000</v>
      </c>
      <c r="W373" s="115">
        <f t="shared" si="135"/>
        <v>4875000</v>
      </c>
      <c r="X373" s="115">
        <v>0</v>
      </c>
      <c r="Y373" s="115"/>
      <c r="Z373" s="124">
        <f t="shared" si="118"/>
        <v>0</v>
      </c>
      <c r="AA373" s="118">
        <f t="shared" si="117"/>
        <v>117000000</v>
      </c>
      <c r="AB373" s="85">
        <f t="shared" ref="AB373:AB378" si="138">+IF(AA373&lt;&gt;0,$W373,0)</f>
        <v>4875000</v>
      </c>
      <c r="AC373" s="84">
        <f t="shared" si="120"/>
        <v>112125000</v>
      </c>
      <c r="AD373" s="166">
        <f t="shared" ref="AD373:AD389" si="139">+IF(AC373&lt;&gt;0,$W373,0)</f>
        <v>4875000</v>
      </c>
      <c r="AE373" s="118">
        <f t="shared" si="121"/>
        <v>107250000</v>
      </c>
      <c r="AF373" s="85">
        <f t="shared" si="137"/>
        <v>4875000</v>
      </c>
      <c r="AG373" s="84">
        <f t="shared" si="122"/>
        <v>102375000</v>
      </c>
      <c r="AH373" s="85"/>
      <c r="AI373" s="84">
        <f t="shared" si="123"/>
        <v>102375000</v>
      </c>
      <c r="AJ373" s="85"/>
      <c r="AK373" s="84">
        <f t="shared" si="124"/>
        <v>102375000</v>
      </c>
      <c r="AL373" s="85"/>
      <c r="AM373" s="84">
        <f t="shared" si="125"/>
        <v>102375000</v>
      </c>
      <c r="AN373" s="85"/>
      <c r="AO373" s="84">
        <f t="shared" si="126"/>
        <v>102375000</v>
      </c>
      <c r="AP373" s="85"/>
      <c r="AQ373" s="84">
        <f t="shared" si="127"/>
        <v>102375000</v>
      </c>
      <c r="AR373" s="85"/>
      <c r="AS373" s="84">
        <f t="shared" si="128"/>
        <v>102375000</v>
      </c>
      <c r="AT373" s="85"/>
      <c r="AU373" s="84">
        <f t="shared" si="129"/>
        <v>102375000</v>
      </c>
      <c r="AV373" s="85"/>
      <c r="AW373" s="84">
        <f t="shared" si="130"/>
        <v>102375000</v>
      </c>
      <c r="AX373" s="86">
        <f t="shared" si="131"/>
        <v>14625000</v>
      </c>
      <c r="AY373" s="87">
        <f t="shared" si="132"/>
        <v>102375000</v>
      </c>
      <c r="AZ373" s="65" t="b">
        <f t="shared" si="133"/>
        <v>1</v>
      </c>
    </row>
    <row r="374" spans="1:52" s="67" customFormat="1" ht="24.75" hidden="1" customHeight="1">
      <c r="A374" s="68">
        <v>370</v>
      </c>
      <c r="B374" s="69" t="s">
        <v>1002</v>
      </c>
      <c r="C374" s="156" t="s">
        <v>806</v>
      </c>
      <c r="D374" s="71" t="s">
        <v>681</v>
      </c>
      <c r="E374" s="157" t="s">
        <v>1003</v>
      </c>
      <c r="F374" s="158"/>
      <c r="G374" s="159">
        <v>46053</v>
      </c>
      <c r="H374" s="160" t="s">
        <v>999</v>
      </c>
      <c r="I374" s="120" t="s">
        <v>84</v>
      </c>
      <c r="J374" s="102" t="s">
        <v>85</v>
      </c>
      <c r="K374" s="68" t="s">
        <v>86</v>
      </c>
      <c r="L374" s="70" t="s">
        <v>87</v>
      </c>
      <c r="M374" s="88" t="s">
        <v>130</v>
      </c>
      <c r="N374" s="88" t="s">
        <v>131</v>
      </c>
      <c r="O374" s="108"/>
      <c r="P374" s="109">
        <v>46054</v>
      </c>
      <c r="Q374" s="110">
        <f t="shared" si="134"/>
        <v>46783</v>
      </c>
      <c r="R374" s="111">
        <v>24</v>
      </c>
      <c r="S374" s="153">
        <v>2</v>
      </c>
      <c r="T374" s="161">
        <v>49014040</v>
      </c>
      <c r="U374" s="113"/>
      <c r="V374" s="161">
        <v>49014040</v>
      </c>
      <c r="W374" s="115">
        <f t="shared" si="135"/>
        <v>2042251.6666666667</v>
      </c>
      <c r="X374" s="115">
        <v>0</v>
      </c>
      <c r="Y374" s="115"/>
      <c r="Z374" s="124">
        <f t="shared" si="118"/>
        <v>0</v>
      </c>
      <c r="AA374" s="118">
        <f t="shared" si="117"/>
        <v>49014040</v>
      </c>
      <c r="AB374" s="85">
        <f t="shared" si="138"/>
        <v>2042251.6666666667</v>
      </c>
      <c r="AC374" s="84">
        <f t="shared" si="120"/>
        <v>46971788.333333336</v>
      </c>
      <c r="AD374" s="85">
        <f t="shared" si="139"/>
        <v>2042251.6666666667</v>
      </c>
      <c r="AE374" s="118">
        <f t="shared" si="121"/>
        <v>44929536.666666672</v>
      </c>
      <c r="AF374" s="85">
        <f t="shared" si="137"/>
        <v>2042251.6666666667</v>
      </c>
      <c r="AG374" s="84">
        <f t="shared" si="122"/>
        <v>42887285.000000007</v>
      </c>
      <c r="AH374" s="85"/>
      <c r="AI374" s="84">
        <f t="shared" si="123"/>
        <v>42887285.000000007</v>
      </c>
      <c r="AJ374" s="124"/>
      <c r="AK374" s="84">
        <f t="shared" si="124"/>
        <v>42887285.000000007</v>
      </c>
      <c r="AL374" s="124"/>
      <c r="AM374" s="84">
        <f t="shared" si="125"/>
        <v>42887285.000000007</v>
      </c>
      <c r="AN374" s="85"/>
      <c r="AO374" s="84">
        <f t="shared" si="126"/>
        <v>42887285.000000007</v>
      </c>
      <c r="AP374" s="85"/>
      <c r="AQ374" s="84">
        <f t="shared" si="127"/>
        <v>42887285.000000007</v>
      </c>
      <c r="AR374" s="85"/>
      <c r="AS374" s="84">
        <f t="shared" si="128"/>
        <v>42887285.000000007</v>
      </c>
      <c r="AT374" s="85"/>
      <c r="AU374" s="84">
        <f t="shared" si="129"/>
        <v>42887285.000000007</v>
      </c>
      <c r="AV374" s="85"/>
      <c r="AW374" s="84">
        <f t="shared" si="130"/>
        <v>42887285.000000007</v>
      </c>
      <c r="AX374" s="86">
        <f t="shared" si="131"/>
        <v>6126755</v>
      </c>
      <c r="AY374" s="87">
        <f t="shared" si="132"/>
        <v>42887285</v>
      </c>
      <c r="AZ374" s="65" t="b">
        <f t="shared" si="133"/>
        <v>1</v>
      </c>
    </row>
    <row r="375" spans="1:52" s="67" customFormat="1" ht="24.75" hidden="1" customHeight="1">
      <c r="A375" s="68">
        <v>371</v>
      </c>
      <c r="B375" s="69" t="s">
        <v>1004</v>
      </c>
      <c r="C375" s="156" t="s">
        <v>806</v>
      </c>
      <c r="D375" s="71" t="s">
        <v>681</v>
      </c>
      <c r="E375" s="157" t="s">
        <v>1005</v>
      </c>
      <c r="F375" s="104"/>
      <c r="G375" s="159">
        <v>46053</v>
      </c>
      <c r="H375" s="160" t="s">
        <v>999</v>
      </c>
      <c r="I375" s="120" t="s">
        <v>84</v>
      </c>
      <c r="J375" s="102" t="s">
        <v>85</v>
      </c>
      <c r="K375" s="68" t="s">
        <v>86</v>
      </c>
      <c r="L375" s="70" t="s">
        <v>87</v>
      </c>
      <c r="M375" s="88" t="s">
        <v>130</v>
      </c>
      <c r="N375" s="88" t="s">
        <v>131</v>
      </c>
      <c r="O375" s="108"/>
      <c r="P375" s="109">
        <v>46054</v>
      </c>
      <c r="Q375" s="110">
        <f t="shared" si="134"/>
        <v>46783</v>
      </c>
      <c r="R375" s="111">
        <v>24</v>
      </c>
      <c r="S375" s="111">
        <v>2</v>
      </c>
      <c r="T375" s="161">
        <v>69433350</v>
      </c>
      <c r="U375" s="113"/>
      <c r="V375" s="161">
        <v>69433350</v>
      </c>
      <c r="W375" s="115">
        <f t="shared" si="135"/>
        <v>2893056.25</v>
      </c>
      <c r="X375" s="115">
        <v>0</v>
      </c>
      <c r="Y375" s="115"/>
      <c r="Z375" s="124">
        <f t="shared" si="118"/>
        <v>0</v>
      </c>
      <c r="AA375" s="118">
        <f t="shared" si="117"/>
        <v>69433350</v>
      </c>
      <c r="AB375" s="85">
        <f t="shared" si="138"/>
        <v>2893056.25</v>
      </c>
      <c r="AC375" s="84">
        <f t="shared" si="120"/>
        <v>66540293.75</v>
      </c>
      <c r="AD375" s="85">
        <f t="shared" si="139"/>
        <v>2893056.25</v>
      </c>
      <c r="AE375" s="118">
        <f t="shared" si="121"/>
        <v>63647237.5</v>
      </c>
      <c r="AF375" s="85">
        <f t="shared" si="137"/>
        <v>2893056.25</v>
      </c>
      <c r="AG375" s="84">
        <f t="shared" si="122"/>
        <v>60754181.25</v>
      </c>
      <c r="AH375" s="85"/>
      <c r="AI375" s="84">
        <f t="shared" si="123"/>
        <v>60754181.25</v>
      </c>
      <c r="AJ375" s="85"/>
      <c r="AK375" s="84">
        <f t="shared" si="124"/>
        <v>60754181.25</v>
      </c>
      <c r="AL375" s="85"/>
      <c r="AM375" s="84">
        <f t="shared" si="125"/>
        <v>60754181.25</v>
      </c>
      <c r="AN375" s="85"/>
      <c r="AO375" s="84">
        <f t="shared" si="126"/>
        <v>60754181.25</v>
      </c>
      <c r="AP375" s="85"/>
      <c r="AQ375" s="84">
        <f t="shared" si="127"/>
        <v>60754181.25</v>
      </c>
      <c r="AR375" s="85"/>
      <c r="AS375" s="84">
        <f t="shared" si="128"/>
        <v>60754181.25</v>
      </c>
      <c r="AT375" s="85"/>
      <c r="AU375" s="84">
        <f t="shared" si="129"/>
        <v>60754181.25</v>
      </c>
      <c r="AV375" s="85"/>
      <c r="AW375" s="84">
        <f t="shared" si="130"/>
        <v>60754181.25</v>
      </c>
      <c r="AX375" s="86">
        <f t="shared" si="131"/>
        <v>8679168.75</v>
      </c>
      <c r="AY375" s="87">
        <f t="shared" si="132"/>
        <v>60754181.25</v>
      </c>
      <c r="AZ375" s="65" t="b">
        <f t="shared" si="133"/>
        <v>1</v>
      </c>
    </row>
    <row r="376" spans="1:52" s="67" customFormat="1" ht="24.75" hidden="1" customHeight="1">
      <c r="A376" s="68">
        <v>372</v>
      </c>
      <c r="B376" s="69" t="s">
        <v>1006</v>
      </c>
      <c r="C376" s="156" t="s">
        <v>806</v>
      </c>
      <c r="D376" s="71" t="s">
        <v>681</v>
      </c>
      <c r="E376" s="157" t="s">
        <v>1007</v>
      </c>
      <c r="F376" s="158"/>
      <c r="G376" s="159">
        <v>46053</v>
      </c>
      <c r="H376" s="160" t="s">
        <v>999</v>
      </c>
      <c r="I376" s="120" t="s">
        <v>84</v>
      </c>
      <c r="J376" s="102" t="s">
        <v>85</v>
      </c>
      <c r="K376" s="68" t="s">
        <v>86</v>
      </c>
      <c r="L376" s="70" t="s">
        <v>87</v>
      </c>
      <c r="M376" s="88" t="s">
        <v>130</v>
      </c>
      <c r="N376" s="88" t="s">
        <v>131</v>
      </c>
      <c r="O376" s="108"/>
      <c r="P376" s="109">
        <v>46054</v>
      </c>
      <c r="Q376" s="110">
        <f t="shared" si="134"/>
        <v>46783</v>
      </c>
      <c r="R376" s="111">
        <v>24</v>
      </c>
      <c r="S376" s="153">
        <v>2</v>
      </c>
      <c r="T376" s="161">
        <v>126600000</v>
      </c>
      <c r="U376" s="113"/>
      <c r="V376" s="161">
        <v>126600000</v>
      </c>
      <c r="W376" s="115">
        <f t="shared" si="135"/>
        <v>5275000</v>
      </c>
      <c r="X376" s="115">
        <v>0</v>
      </c>
      <c r="Y376" s="115"/>
      <c r="Z376" s="124">
        <f t="shared" si="118"/>
        <v>0</v>
      </c>
      <c r="AA376" s="118">
        <f t="shared" si="117"/>
        <v>126600000</v>
      </c>
      <c r="AB376" s="85">
        <f t="shared" si="138"/>
        <v>5275000</v>
      </c>
      <c r="AC376" s="84">
        <f t="shared" si="120"/>
        <v>121325000</v>
      </c>
      <c r="AD376" s="85">
        <f t="shared" si="139"/>
        <v>5275000</v>
      </c>
      <c r="AE376" s="118">
        <f t="shared" si="121"/>
        <v>116050000</v>
      </c>
      <c r="AF376" s="85">
        <f t="shared" si="137"/>
        <v>5275000</v>
      </c>
      <c r="AG376" s="84">
        <f t="shared" si="122"/>
        <v>110775000</v>
      </c>
      <c r="AH376" s="85"/>
      <c r="AI376" s="84">
        <f t="shared" si="123"/>
        <v>110775000</v>
      </c>
      <c r="AJ376" s="124"/>
      <c r="AK376" s="84">
        <f t="shared" si="124"/>
        <v>110775000</v>
      </c>
      <c r="AL376" s="124"/>
      <c r="AM376" s="84">
        <f t="shared" si="125"/>
        <v>110775000</v>
      </c>
      <c r="AN376" s="85"/>
      <c r="AO376" s="84">
        <f t="shared" si="126"/>
        <v>110775000</v>
      </c>
      <c r="AP376" s="85"/>
      <c r="AQ376" s="84">
        <f t="shared" si="127"/>
        <v>110775000</v>
      </c>
      <c r="AR376" s="85"/>
      <c r="AS376" s="84">
        <f t="shared" si="128"/>
        <v>110775000</v>
      </c>
      <c r="AT376" s="85"/>
      <c r="AU376" s="84">
        <f t="shared" si="129"/>
        <v>110775000</v>
      </c>
      <c r="AV376" s="85"/>
      <c r="AW376" s="84">
        <f t="shared" si="130"/>
        <v>110775000</v>
      </c>
      <c r="AX376" s="86">
        <f t="shared" si="131"/>
        <v>15825000</v>
      </c>
      <c r="AY376" s="87">
        <f t="shared" si="132"/>
        <v>110775000</v>
      </c>
      <c r="AZ376" s="65" t="b">
        <f t="shared" si="133"/>
        <v>1</v>
      </c>
    </row>
    <row r="377" spans="1:52" s="67" customFormat="1" ht="24.75" customHeight="1">
      <c r="A377" s="141">
        <v>373</v>
      </c>
      <c r="B377" s="69" t="s">
        <v>1008</v>
      </c>
      <c r="C377" s="156" t="s">
        <v>806</v>
      </c>
      <c r="D377" s="71" t="s">
        <v>95</v>
      </c>
      <c r="E377" s="157" t="s">
        <v>1009</v>
      </c>
      <c r="F377" s="104"/>
      <c r="G377" s="159">
        <v>46053</v>
      </c>
      <c r="H377" s="160" t="s">
        <v>999</v>
      </c>
      <c r="I377" s="120" t="s">
        <v>98</v>
      </c>
      <c r="J377" s="160" t="s">
        <v>617</v>
      </c>
      <c r="K377" s="68" t="s">
        <v>99</v>
      </c>
      <c r="L377" s="70" t="s">
        <v>100</v>
      </c>
      <c r="M377" s="165" t="s">
        <v>1000</v>
      </c>
      <c r="N377" s="165" t="s">
        <v>1001</v>
      </c>
      <c r="O377" s="108"/>
      <c r="P377" s="109">
        <v>46054</v>
      </c>
      <c r="Q377" s="110">
        <f t="shared" si="134"/>
        <v>46783</v>
      </c>
      <c r="R377" s="111">
        <v>24</v>
      </c>
      <c r="S377" s="111">
        <v>2</v>
      </c>
      <c r="T377" s="161">
        <v>1055048914.2857141</v>
      </c>
      <c r="U377" s="113"/>
      <c r="V377" s="161">
        <v>1055048914.2857141</v>
      </c>
      <c r="W377" s="115">
        <f t="shared" si="135"/>
        <v>43960371.428571425</v>
      </c>
      <c r="X377" s="115">
        <v>0</v>
      </c>
      <c r="Y377" s="115"/>
      <c r="Z377" s="124">
        <f t="shared" si="118"/>
        <v>0</v>
      </c>
      <c r="AA377" s="118">
        <f t="shared" si="117"/>
        <v>1055048914.2857141</v>
      </c>
      <c r="AB377" s="85">
        <f t="shared" si="138"/>
        <v>43960371.428571425</v>
      </c>
      <c r="AC377" s="84">
        <f t="shared" si="120"/>
        <v>1011088542.8571427</v>
      </c>
      <c r="AD377" s="166">
        <f t="shared" si="139"/>
        <v>43960371.428571425</v>
      </c>
      <c r="AE377" s="118">
        <f t="shared" si="121"/>
        <v>967128171.42857122</v>
      </c>
      <c r="AF377" s="85">
        <f t="shared" si="137"/>
        <v>43960371.428571425</v>
      </c>
      <c r="AG377" s="84">
        <f t="shared" si="122"/>
        <v>923167799.99999976</v>
      </c>
      <c r="AH377" s="85"/>
      <c r="AI377" s="84">
        <f t="shared" si="123"/>
        <v>923167799.99999976</v>
      </c>
      <c r="AJ377" s="85"/>
      <c r="AK377" s="84">
        <f t="shared" si="124"/>
        <v>923167799.99999976</v>
      </c>
      <c r="AL377" s="85"/>
      <c r="AM377" s="84">
        <f t="shared" si="125"/>
        <v>923167799.99999976</v>
      </c>
      <c r="AN377" s="85"/>
      <c r="AO377" s="84">
        <f t="shared" si="126"/>
        <v>923167799.99999976</v>
      </c>
      <c r="AP377" s="85"/>
      <c r="AQ377" s="84">
        <f t="shared" si="127"/>
        <v>923167799.99999976</v>
      </c>
      <c r="AR377" s="85"/>
      <c r="AS377" s="84">
        <f t="shared" si="128"/>
        <v>923167799.99999976</v>
      </c>
      <c r="AT377" s="85"/>
      <c r="AU377" s="84">
        <f t="shared" si="129"/>
        <v>923167799.99999976</v>
      </c>
      <c r="AV377" s="85"/>
      <c r="AW377" s="84">
        <f t="shared" si="130"/>
        <v>923167799.99999976</v>
      </c>
      <c r="AX377" s="86">
        <f t="shared" si="131"/>
        <v>131881114.28571427</v>
      </c>
      <c r="AY377" s="87">
        <f t="shared" si="132"/>
        <v>923167799.99999988</v>
      </c>
      <c r="AZ377" s="65" t="b">
        <f t="shared" si="133"/>
        <v>1</v>
      </c>
    </row>
    <row r="378" spans="1:52" s="67" customFormat="1" ht="24.75" hidden="1" customHeight="1">
      <c r="A378" s="141">
        <v>374</v>
      </c>
      <c r="B378" s="69" t="s">
        <v>1010</v>
      </c>
      <c r="C378" s="156" t="s">
        <v>806</v>
      </c>
      <c r="D378" s="71" t="s">
        <v>95</v>
      </c>
      <c r="E378" s="157" t="s">
        <v>1011</v>
      </c>
      <c r="F378" s="158"/>
      <c r="G378" s="159">
        <v>46053</v>
      </c>
      <c r="H378" s="160" t="s">
        <v>1012</v>
      </c>
      <c r="I378" s="120" t="s">
        <v>98</v>
      </c>
      <c r="J378" s="160" t="s">
        <v>617</v>
      </c>
      <c r="K378" s="68" t="s">
        <v>99</v>
      </c>
      <c r="L378" s="70" t="s">
        <v>100</v>
      </c>
      <c r="M378" s="165" t="s">
        <v>1013</v>
      </c>
      <c r="N378" s="165" t="s">
        <v>1014</v>
      </c>
      <c r="O378" s="108"/>
      <c r="P378" s="109">
        <v>46054</v>
      </c>
      <c r="Q378" s="110">
        <f t="shared" si="134"/>
        <v>46783</v>
      </c>
      <c r="R378" s="111">
        <v>24</v>
      </c>
      <c r="S378" s="153">
        <v>2</v>
      </c>
      <c r="T378" s="161">
        <v>35975422.656521499</v>
      </c>
      <c r="U378" s="113"/>
      <c r="V378" s="161">
        <v>35975422.656521499</v>
      </c>
      <c r="W378" s="115">
        <f t="shared" si="135"/>
        <v>1498975.9440217291</v>
      </c>
      <c r="X378" s="115">
        <v>0</v>
      </c>
      <c r="Y378" s="115"/>
      <c r="Z378" s="124">
        <f t="shared" si="118"/>
        <v>0</v>
      </c>
      <c r="AA378" s="118">
        <f t="shared" si="117"/>
        <v>35975422.656521499</v>
      </c>
      <c r="AB378" s="85">
        <f t="shared" si="138"/>
        <v>1498975.9440217291</v>
      </c>
      <c r="AC378" s="84">
        <f t="shared" si="120"/>
        <v>34476446.712499768</v>
      </c>
      <c r="AD378" s="166">
        <f t="shared" si="139"/>
        <v>1498975.9440217291</v>
      </c>
      <c r="AE378" s="118">
        <f t="shared" si="121"/>
        <v>32977470.76847804</v>
      </c>
      <c r="AF378" s="85">
        <f t="shared" si="137"/>
        <v>1498975.9440217291</v>
      </c>
      <c r="AG378" s="84">
        <f t="shared" si="122"/>
        <v>31478494.824456312</v>
      </c>
      <c r="AH378" s="85"/>
      <c r="AI378" s="84">
        <f t="shared" si="123"/>
        <v>31478494.824456312</v>
      </c>
      <c r="AJ378" s="124"/>
      <c r="AK378" s="84">
        <f t="shared" si="124"/>
        <v>31478494.824456312</v>
      </c>
      <c r="AL378" s="124"/>
      <c r="AM378" s="84">
        <f t="shared" si="125"/>
        <v>31478494.824456312</v>
      </c>
      <c r="AN378" s="85"/>
      <c r="AO378" s="84">
        <f t="shared" si="126"/>
        <v>31478494.824456312</v>
      </c>
      <c r="AP378" s="85"/>
      <c r="AQ378" s="84">
        <f t="shared" si="127"/>
        <v>31478494.824456312</v>
      </c>
      <c r="AR378" s="85"/>
      <c r="AS378" s="84">
        <f t="shared" si="128"/>
        <v>31478494.824456312</v>
      </c>
      <c r="AT378" s="85"/>
      <c r="AU378" s="84">
        <f t="shared" si="129"/>
        <v>31478494.824456312</v>
      </c>
      <c r="AV378" s="85"/>
      <c r="AW378" s="84">
        <f t="shared" si="130"/>
        <v>31478494.824456312</v>
      </c>
      <c r="AX378" s="86">
        <f t="shared" si="131"/>
        <v>4496927.8320651874</v>
      </c>
      <c r="AY378" s="87">
        <f t="shared" si="132"/>
        <v>31478494.824456312</v>
      </c>
      <c r="AZ378" s="65" t="b">
        <f t="shared" si="133"/>
        <v>1</v>
      </c>
    </row>
    <row r="379" spans="1:52" s="67" customFormat="1" ht="24.75" hidden="1" customHeight="1">
      <c r="A379" s="141">
        <v>375</v>
      </c>
      <c r="B379" s="69" t="s">
        <v>1015</v>
      </c>
      <c r="C379" s="156" t="s">
        <v>806</v>
      </c>
      <c r="D379" s="71" t="s">
        <v>95</v>
      </c>
      <c r="E379" s="157" t="s">
        <v>1016</v>
      </c>
      <c r="F379" s="104"/>
      <c r="G379" s="159">
        <v>46081</v>
      </c>
      <c r="H379" s="160" t="s">
        <v>1017</v>
      </c>
      <c r="I379" s="120" t="s">
        <v>98</v>
      </c>
      <c r="J379" s="160" t="s">
        <v>617</v>
      </c>
      <c r="K379" s="68" t="s">
        <v>99</v>
      </c>
      <c r="L379" s="70" t="s">
        <v>100</v>
      </c>
      <c r="M379" s="165" t="s">
        <v>1013</v>
      </c>
      <c r="N379" s="165" t="s">
        <v>1014</v>
      </c>
      <c r="O379" s="108"/>
      <c r="P379" s="109">
        <v>46082</v>
      </c>
      <c r="Q379" s="110">
        <f t="shared" si="134"/>
        <v>46812</v>
      </c>
      <c r="R379" s="111">
        <v>24</v>
      </c>
      <c r="S379" s="111">
        <v>2</v>
      </c>
      <c r="T379" s="161">
        <v>186074709.895179</v>
      </c>
      <c r="U379" s="113"/>
      <c r="V379" s="161">
        <v>186074709.895179</v>
      </c>
      <c r="W379" s="115">
        <f t="shared" si="135"/>
        <v>7753112.9122991255</v>
      </c>
      <c r="X379" s="115">
        <v>0</v>
      </c>
      <c r="Y379" s="115"/>
      <c r="Z379" s="124">
        <f t="shared" si="118"/>
        <v>0</v>
      </c>
      <c r="AA379" s="115"/>
      <c r="AB379" s="167"/>
      <c r="AC379" s="118">
        <f t="shared" ref="AC379:AC389" si="140">+V379-X379-Z379-AB379</f>
        <v>186074709.895179</v>
      </c>
      <c r="AD379" s="166">
        <f t="shared" si="139"/>
        <v>7753112.9122991255</v>
      </c>
      <c r="AE379" s="118">
        <f t="shared" si="121"/>
        <v>178321596.98287988</v>
      </c>
      <c r="AF379" s="85">
        <f t="shared" si="137"/>
        <v>7753112.9122991255</v>
      </c>
      <c r="AG379" s="84">
        <f t="shared" si="122"/>
        <v>170568484.07058075</v>
      </c>
      <c r="AH379" s="85"/>
      <c r="AI379" s="84">
        <f t="shared" si="123"/>
        <v>170568484.07058075</v>
      </c>
      <c r="AJ379" s="85"/>
      <c r="AK379" s="84">
        <f t="shared" si="124"/>
        <v>170568484.07058075</v>
      </c>
      <c r="AL379" s="85"/>
      <c r="AM379" s="84">
        <f t="shared" si="125"/>
        <v>170568484.07058075</v>
      </c>
      <c r="AN379" s="85"/>
      <c r="AO379" s="84">
        <f t="shared" si="126"/>
        <v>170568484.07058075</v>
      </c>
      <c r="AP379" s="85"/>
      <c r="AQ379" s="84">
        <f t="shared" si="127"/>
        <v>170568484.07058075</v>
      </c>
      <c r="AR379" s="85"/>
      <c r="AS379" s="84">
        <f t="shared" si="128"/>
        <v>170568484.07058075</v>
      </c>
      <c r="AT379" s="85"/>
      <c r="AU379" s="84">
        <f t="shared" si="129"/>
        <v>170568484.07058075</v>
      </c>
      <c r="AV379" s="85"/>
      <c r="AW379" s="84">
        <f t="shared" si="130"/>
        <v>170568484.07058075</v>
      </c>
      <c r="AX379" s="86">
        <f t="shared" si="131"/>
        <v>15506225.824598251</v>
      </c>
      <c r="AY379" s="87">
        <f t="shared" si="132"/>
        <v>170568484.07058075</v>
      </c>
      <c r="AZ379" s="65" t="b">
        <f t="shared" si="133"/>
        <v>1</v>
      </c>
    </row>
    <row r="380" spans="1:52" s="67" customFormat="1" ht="24.75" hidden="1" customHeight="1">
      <c r="A380" s="141">
        <v>376</v>
      </c>
      <c r="B380" s="69" t="s">
        <v>1018</v>
      </c>
      <c r="C380" s="156" t="s">
        <v>806</v>
      </c>
      <c r="D380" s="71" t="s">
        <v>95</v>
      </c>
      <c r="E380" s="157" t="s">
        <v>1019</v>
      </c>
      <c r="F380" s="158"/>
      <c r="G380" s="159">
        <v>46081</v>
      </c>
      <c r="H380" s="160" t="s">
        <v>1017</v>
      </c>
      <c r="I380" s="120" t="s">
        <v>98</v>
      </c>
      <c r="J380" s="102" t="s">
        <v>617</v>
      </c>
      <c r="K380" s="68" t="s">
        <v>99</v>
      </c>
      <c r="L380" s="70" t="s">
        <v>100</v>
      </c>
      <c r="M380" s="165" t="s">
        <v>1013</v>
      </c>
      <c r="N380" s="165" t="s">
        <v>1014</v>
      </c>
      <c r="O380" s="108"/>
      <c r="P380" s="109">
        <v>46082</v>
      </c>
      <c r="Q380" s="110">
        <f t="shared" si="134"/>
        <v>46812</v>
      </c>
      <c r="R380" s="111">
        <v>24</v>
      </c>
      <c r="S380" s="153">
        <v>2</v>
      </c>
      <c r="T380" s="161">
        <v>265950763.97109401</v>
      </c>
      <c r="U380" s="113"/>
      <c r="V380" s="161">
        <v>265950763.97109401</v>
      </c>
      <c r="W380" s="115">
        <f t="shared" si="135"/>
        <v>11081281.832128918</v>
      </c>
      <c r="X380" s="115">
        <v>0</v>
      </c>
      <c r="Y380" s="115"/>
      <c r="Z380" s="124">
        <f t="shared" si="118"/>
        <v>0</v>
      </c>
      <c r="AA380" s="115"/>
      <c r="AB380" s="167"/>
      <c r="AC380" s="118">
        <f t="shared" si="140"/>
        <v>265950763.97109401</v>
      </c>
      <c r="AD380" s="166">
        <f t="shared" si="139"/>
        <v>11081281.832128918</v>
      </c>
      <c r="AE380" s="118">
        <f t="shared" si="121"/>
        <v>254869482.1389651</v>
      </c>
      <c r="AF380" s="85">
        <f t="shared" si="137"/>
        <v>11081281.832128918</v>
      </c>
      <c r="AG380" s="84">
        <f t="shared" si="122"/>
        <v>243788200.30683619</v>
      </c>
      <c r="AH380" s="85"/>
      <c r="AI380" s="84">
        <f t="shared" si="123"/>
        <v>243788200.30683619</v>
      </c>
      <c r="AJ380" s="124"/>
      <c r="AK380" s="84">
        <f t="shared" si="124"/>
        <v>243788200.30683619</v>
      </c>
      <c r="AL380" s="124"/>
      <c r="AM380" s="84">
        <f t="shared" si="125"/>
        <v>243788200.30683619</v>
      </c>
      <c r="AN380" s="85"/>
      <c r="AO380" s="84">
        <f t="shared" si="126"/>
        <v>243788200.30683619</v>
      </c>
      <c r="AP380" s="85"/>
      <c r="AQ380" s="84">
        <f t="shared" si="127"/>
        <v>243788200.30683619</v>
      </c>
      <c r="AR380" s="85"/>
      <c r="AS380" s="84">
        <f t="shared" si="128"/>
        <v>243788200.30683619</v>
      </c>
      <c r="AT380" s="85"/>
      <c r="AU380" s="84">
        <f t="shared" si="129"/>
        <v>243788200.30683619</v>
      </c>
      <c r="AV380" s="85"/>
      <c r="AW380" s="84">
        <f t="shared" si="130"/>
        <v>243788200.30683619</v>
      </c>
      <c r="AX380" s="86">
        <f t="shared" si="131"/>
        <v>22162563.664257836</v>
      </c>
      <c r="AY380" s="87">
        <f t="shared" si="132"/>
        <v>243788200.30683619</v>
      </c>
      <c r="AZ380" s="65" t="b">
        <f t="shared" si="133"/>
        <v>1</v>
      </c>
    </row>
    <row r="381" spans="1:52" s="67" customFormat="1" ht="24.75" hidden="1" customHeight="1">
      <c r="A381" s="141">
        <v>377</v>
      </c>
      <c r="B381" s="69" t="s">
        <v>1020</v>
      </c>
      <c r="C381" s="156" t="s">
        <v>806</v>
      </c>
      <c r="D381" s="71" t="s">
        <v>95</v>
      </c>
      <c r="E381" s="157" t="s">
        <v>1021</v>
      </c>
      <c r="F381" s="104"/>
      <c r="G381" s="159">
        <v>46081</v>
      </c>
      <c r="H381" s="160" t="s">
        <v>1017</v>
      </c>
      <c r="I381" s="120" t="s">
        <v>98</v>
      </c>
      <c r="J381" s="102" t="s">
        <v>617</v>
      </c>
      <c r="K381" s="68" t="s">
        <v>99</v>
      </c>
      <c r="L381" s="70" t="s">
        <v>100</v>
      </c>
      <c r="M381" s="165" t="s">
        <v>1022</v>
      </c>
      <c r="N381" s="165" t="s">
        <v>1023</v>
      </c>
      <c r="O381" s="108"/>
      <c r="P381" s="109">
        <v>46082</v>
      </c>
      <c r="Q381" s="110">
        <f t="shared" si="134"/>
        <v>46812</v>
      </c>
      <c r="R381" s="111">
        <v>24</v>
      </c>
      <c r="S381" s="111">
        <v>2</v>
      </c>
      <c r="T381" s="161">
        <v>199610236.73593599</v>
      </c>
      <c r="U381" s="113"/>
      <c r="V381" s="161">
        <v>199610236.73593599</v>
      </c>
      <c r="W381" s="115">
        <f t="shared" si="135"/>
        <v>8317093.1973306658</v>
      </c>
      <c r="X381" s="115">
        <v>0</v>
      </c>
      <c r="Y381" s="115"/>
      <c r="Z381" s="124">
        <f t="shared" si="118"/>
        <v>0</v>
      </c>
      <c r="AA381" s="115"/>
      <c r="AB381" s="167"/>
      <c r="AC381" s="118">
        <f t="shared" si="140"/>
        <v>199610236.73593599</v>
      </c>
      <c r="AD381" s="166">
        <f t="shared" si="139"/>
        <v>8317093.1973306658</v>
      </c>
      <c r="AE381" s="118">
        <f t="shared" si="121"/>
        <v>191293143.53860533</v>
      </c>
      <c r="AF381" s="85">
        <f t="shared" si="137"/>
        <v>8317093.1973306658</v>
      </c>
      <c r="AG381" s="84">
        <f t="shared" si="122"/>
        <v>182976050.34127468</v>
      </c>
      <c r="AH381" s="85"/>
      <c r="AI381" s="84">
        <f t="shared" si="123"/>
        <v>182976050.34127468</v>
      </c>
      <c r="AJ381" s="85"/>
      <c r="AK381" s="84">
        <f t="shared" si="124"/>
        <v>182976050.34127468</v>
      </c>
      <c r="AL381" s="85"/>
      <c r="AM381" s="84">
        <f t="shared" si="125"/>
        <v>182976050.34127468</v>
      </c>
      <c r="AN381" s="85"/>
      <c r="AO381" s="84">
        <f t="shared" si="126"/>
        <v>182976050.34127468</v>
      </c>
      <c r="AP381" s="85"/>
      <c r="AQ381" s="84">
        <f t="shared" si="127"/>
        <v>182976050.34127468</v>
      </c>
      <c r="AR381" s="85"/>
      <c r="AS381" s="84">
        <f t="shared" si="128"/>
        <v>182976050.34127468</v>
      </c>
      <c r="AT381" s="85"/>
      <c r="AU381" s="84">
        <f t="shared" si="129"/>
        <v>182976050.34127468</v>
      </c>
      <c r="AV381" s="85"/>
      <c r="AW381" s="84">
        <f t="shared" si="130"/>
        <v>182976050.34127468</v>
      </c>
      <c r="AX381" s="86">
        <f t="shared" si="131"/>
        <v>16634186.394661332</v>
      </c>
      <c r="AY381" s="87">
        <f t="shared" si="132"/>
        <v>182976050.34127465</v>
      </c>
      <c r="AZ381" s="65" t="b">
        <f t="shared" si="133"/>
        <v>1</v>
      </c>
    </row>
    <row r="382" spans="1:52" s="67" customFormat="1" ht="24.75" hidden="1" customHeight="1">
      <c r="A382" s="141">
        <v>378</v>
      </c>
      <c r="B382" s="69" t="s">
        <v>1024</v>
      </c>
      <c r="C382" s="156" t="s">
        <v>806</v>
      </c>
      <c r="D382" s="71" t="s">
        <v>95</v>
      </c>
      <c r="E382" s="157" t="s">
        <v>1025</v>
      </c>
      <c r="F382" s="158"/>
      <c r="G382" s="159">
        <v>46081</v>
      </c>
      <c r="H382" s="160" t="s">
        <v>1017</v>
      </c>
      <c r="I382" s="120" t="s">
        <v>98</v>
      </c>
      <c r="J382" s="102" t="s">
        <v>617</v>
      </c>
      <c r="K382" s="68" t="s">
        <v>99</v>
      </c>
      <c r="L382" s="70" t="s">
        <v>100</v>
      </c>
      <c r="M382" s="165" t="s">
        <v>1022</v>
      </c>
      <c r="N382" s="165" t="s">
        <v>1023</v>
      </c>
      <c r="O382" s="108"/>
      <c r="P382" s="109">
        <v>46082</v>
      </c>
      <c r="Q382" s="110">
        <f t="shared" si="134"/>
        <v>46812</v>
      </c>
      <c r="R382" s="111">
        <v>24</v>
      </c>
      <c r="S382" s="153">
        <v>2</v>
      </c>
      <c r="T382" s="161">
        <v>243057139.79255199</v>
      </c>
      <c r="U382" s="113"/>
      <c r="V382" s="161">
        <v>243057139.79255199</v>
      </c>
      <c r="W382" s="115">
        <f t="shared" si="135"/>
        <v>10127380.824689666</v>
      </c>
      <c r="X382" s="115">
        <v>0</v>
      </c>
      <c r="Y382" s="115"/>
      <c r="Z382" s="124">
        <f t="shared" si="118"/>
        <v>0</v>
      </c>
      <c r="AA382" s="115"/>
      <c r="AB382" s="167"/>
      <c r="AC382" s="118">
        <f t="shared" si="140"/>
        <v>243057139.79255199</v>
      </c>
      <c r="AD382" s="166">
        <f t="shared" si="139"/>
        <v>10127380.824689666</v>
      </c>
      <c r="AE382" s="118">
        <f t="shared" si="121"/>
        <v>232929758.96786234</v>
      </c>
      <c r="AF382" s="85">
        <f t="shared" si="137"/>
        <v>10127380.824689666</v>
      </c>
      <c r="AG382" s="84">
        <f t="shared" si="122"/>
        <v>222802378.14317268</v>
      </c>
      <c r="AH382" s="85"/>
      <c r="AI382" s="84">
        <f t="shared" si="123"/>
        <v>222802378.14317268</v>
      </c>
      <c r="AJ382" s="124"/>
      <c r="AK382" s="84">
        <f t="shared" si="124"/>
        <v>222802378.14317268</v>
      </c>
      <c r="AL382" s="124"/>
      <c r="AM382" s="84">
        <f t="shared" si="125"/>
        <v>222802378.14317268</v>
      </c>
      <c r="AN382" s="85"/>
      <c r="AO382" s="84">
        <f t="shared" si="126"/>
        <v>222802378.14317268</v>
      </c>
      <c r="AP382" s="85"/>
      <c r="AQ382" s="84">
        <f t="shared" si="127"/>
        <v>222802378.14317268</v>
      </c>
      <c r="AR382" s="85"/>
      <c r="AS382" s="84">
        <f t="shared" si="128"/>
        <v>222802378.14317268</v>
      </c>
      <c r="AT382" s="85"/>
      <c r="AU382" s="84">
        <f t="shared" si="129"/>
        <v>222802378.14317268</v>
      </c>
      <c r="AV382" s="85"/>
      <c r="AW382" s="84">
        <f t="shared" si="130"/>
        <v>222802378.14317268</v>
      </c>
      <c r="AX382" s="86">
        <f t="shared" si="131"/>
        <v>20254761.649379332</v>
      </c>
      <c r="AY382" s="87">
        <f t="shared" si="132"/>
        <v>222802378.14317265</v>
      </c>
      <c r="AZ382" s="65" t="b">
        <f t="shared" si="133"/>
        <v>1</v>
      </c>
    </row>
    <row r="383" spans="1:52" s="67" customFormat="1" ht="24.75" hidden="1" customHeight="1">
      <c r="A383" s="141">
        <v>379</v>
      </c>
      <c r="B383" s="69" t="s">
        <v>1026</v>
      </c>
      <c r="C383" s="156" t="s">
        <v>806</v>
      </c>
      <c r="D383" s="71" t="s">
        <v>95</v>
      </c>
      <c r="E383" s="157" t="s">
        <v>1027</v>
      </c>
      <c r="F383" s="104"/>
      <c r="G383" s="159">
        <v>46081</v>
      </c>
      <c r="H383" s="160" t="s">
        <v>1017</v>
      </c>
      <c r="I383" s="120" t="s">
        <v>98</v>
      </c>
      <c r="J383" s="160" t="s">
        <v>617</v>
      </c>
      <c r="K383" s="68" t="s">
        <v>99</v>
      </c>
      <c r="L383" s="70" t="s">
        <v>100</v>
      </c>
      <c r="M383" s="165" t="s">
        <v>1022</v>
      </c>
      <c r="N383" s="165" t="s">
        <v>1023</v>
      </c>
      <c r="O383" s="108"/>
      <c r="P383" s="109">
        <v>46082</v>
      </c>
      <c r="Q383" s="110">
        <f t="shared" si="134"/>
        <v>46812</v>
      </c>
      <c r="R383" s="111">
        <v>24</v>
      </c>
      <c r="S383" s="111">
        <v>2</v>
      </c>
      <c r="T383" s="161">
        <v>236606491.300762</v>
      </c>
      <c r="U383" s="113"/>
      <c r="V383" s="161">
        <v>236606491.300762</v>
      </c>
      <c r="W383" s="115">
        <f t="shared" si="135"/>
        <v>9858603.8041984159</v>
      </c>
      <c r="X383" s="115">
        <v>0</v>
      </c>
      <c r="Y383" s="115"/>
      <c r="Z383" s="124">
        <f t="shared" si="118"/>
        <v>0</v>
      </c>
      <c r="AA383" s="115"/>
      <c r="AB383" s="167"/>
      <c r="AC383" s="118">
        <f t="shared" si="140"/>
        <v>236606491.300762</v>
      </c>
      <c r="AD383" s="166">
        <f t="shared" si="139"/>
        <v>9858603.8041984159</v>
      </c>
      <c r="AE383" s="118">
        <f t="shared" si="121"/>
        <v>226747887.49656358</v>
      </c>
      <c r="AF383" s="85">
        <f t="shared" si="137"/>
        <v>9858603.8041984159</v>
      </c>
      <c r="AG383" s="84">
        <f t="shared" si="122"/>
        <v>216889283.69236517</v>
      </c>
      <c r="AH383" s="85"/>
      <c r="AI383" s="84">
        <f t="shared" si="123"/>
        <v>216889283.69236517</v>
      </c>
      <c r="AJ383" s="85"/>
      <c r="AK383" s="84">
        <f t="shared" si="124"/>
        <v>216889283.69236517</v>
      </c>
      <c r="AL383" s="85"/>
      <c r="AM383" s="84">
        <f t="shared" si="125"/>
        <v>216889283.69236517</v>
      </c>
      <c r="AN383" s="85"/>
      <c r="AO383" s="84">
        <f t="shared" si="126"/>
        <v>216889283.69236517</v>
      </c>
      <c r="AP383" s="85"/>
      <c r="AQ383" s="84">
        <f t="shared" si="127"/>
        <v>216889283.69236517</v>
      </c>
      <c r="AR383" s="85"/>
      <c r="AS383" s="84">
        <f t="shared" si="128"/>
        <v>216889283.69236517</v>
      </c>
      <c r="AT383" s="85"/>
      <c r="AU383" s="84">
        <f t="shared" si="129"/>
        <v>216889283.69236517</v>
      </c>
      <c r="AV383" s="85"/>
      <c r="AW383" s="84">
        <f t="shared" si="130"/>
        <v>216889283.69236517</v>
      </c>
      <c r="AX383" s="86">
        <f t="shared" si="131"/>
        <v>19717207.608396832</v>
      </c>
      <c r="AY383" s="87">
        <f t="shared" si="132"/>
        <v>216889283.69236517</v>
      </c>
      <c r="AZ383" s="65" t="b">
        <f t="shared" si="133"/>
        <v>1</v>
      </c>
    </row>
    <row r="384" spans="1:52" s="67" customFormat="1" ht="24.75" hidden="1" customHeight="1">
      <c r="A384" s="141">
        <v>380</v>
      </c>
      <c r="B384" s="69" t="s">
        <v>1028</v>
      </c>
      <c r="C384" s="156" t="s">
        <v>806</v>
      </c>
      <c r="D384" s="71" t="s">
        <v>95</v>
      </c>
      <c r="E384" s="157" t="s">
        <v>1029</v>
      </c>
      <c r="F384" s="158"/>
      <c r="G384" s="159">
        <v>46081</v>
      </c>
      <c r="H384" s="160" t="s">
        <v>1017</v>
      </c>
      <c r="I384" s="120" t="s">
        <v>98</v>
      </c>
      <c r="J384" s="160" t="s">
        <v>617</v>
      </c>
      <c r="K384" s="68" t="s">
        <v>99</v>
      </c>
      <c r="L384" s="70" t="s">
        <v>100</v>
      </c>
      <c r="M384" s="165" t="s">
        <v>1022</v>
      </c>
      <c r="N384" s="165" t="s">
        <v>1023</v>
      </c>
      <c r="O384" s="108"/>
      <c r="P384" s="109">
        <v>46082</v>
      </c>
      <c r="Q384" s="110">
        <f t="shared" si="134"/>
        <v>46812</v>
      </c>
      <c r="R384" s="111">
        <v>24</v>
      </c>
      <c r="S384" s="153">
        <v>2</v>
      </c>
      <c r="T384" s="161">
        <v>201721491.300762</v>
      </c>
      <c r="U384" s="113"/>
      <c r="V384" s="161">
        <v>201721491.300762</v>
      </c>
      <c r="W384" s="115">
        <f t="shared" si="135"/>
        <v>8405062.1375317499</v>
      </c>
      <c r="X384" s="115">
        <v>0</v>
      </c>
      <c r="Y384" s="115"/>
      <c r="Z384" s="124">
        <f t="shared" si="118"/>
        <v>0</v>
      </c>
      <c r="AA384" s="115"/>
      <c r="AB384" s="167"/>
      <c r="AC384" s="118">
        <f t="shared" si="140"/>
        <v>201721491.300762</v>
      </c>
      <c r="AD384" s="166">
        <f t="shared" si="139"/>
        <v>8405062.1375317499</v>
      </c>
      <c r="AE384" s="118">
        <f t="shared" si="121"/>
        <v>193316429.16323024</v>
      </c>
      <c r="AF384" s="85">
        <f t="shared" si="137"/>
        <v>8405062.1375317499</v>
      </c>
      <c r="AG384" s="84">
        <f t="shared" si="122"/>
        <v>184911367.02569848</v>
      </c>
      <c r="AH384" s="85"/>
      <c r="AI384" s="84">
        <f t="shared" si="123"/>
        <v>184911367.02569848</v>
      </c>
      <c r="AJ384" s="124"/>
      <c r="AK384" s="84">
        <f t="shared" si="124"/>
        <v>184911367.02569848</v>
      </c>
      <c r="AL384" s="124"/>
      <c r="AM384" s="84">
        <f t="shared" si="125"/>
        <v>184911367.02569848</v>
      </c>
      <c r="AN384" s="85"/>
      <c r="AO384" s="84">
        <f t="shared" si="126"/>
        <v>184911367.02569848</v>
      </c>
      <c r="AP384" s="85"/>
      <c r="AQ384" s="84">
        <f t="shared" si="127"/>
        <v>184911367.02569848</v>
      </c>
      <c r="AR384" s="85"/>
      <c r="AS384" s="84">
        <f t="shared" si="128"/>
        <v>184911367.02569848</v>
      </c>
      <c r="AT384" s="85"/>
      <c r="AU384" s="84">
        <f t="shared" si="129"/>
        <v>184911367.02569848</v>
      </c>
      <c r="AV384" s="85"/>
      <c r="AW384" s="84">
        <f t="shared" si="130"/>
        <v>184911367.02569848</v>
      </c>
      <c r="AX384" s="86">
        <f t="shared" si="131"/>
        <v>16810124.2750635</v>
      </c>
      <c r="AY384" s="87">
        <f t="shared" si="132"/>
        <v>184911367.02569848</v>
      </c>
      <c r="AZ384" s="65" t="b">
        <f t="shared" si="133"/>
        <v>1</v>
      </c>
    </row>
    <row r="385" spans="1:52" s="67" customFormat="1" ht="24.75" hidden="1" customHeight="1">
      <c r="A385" s="141">
        <v>381</v>
      </c>
      <c r="B385" s="69" t="s">
        <v>1030</v>
      </c>
      <c r="C385" s="156" t="s">
        <v>806</v>
      </c>
      <c r="D385" s="71" t="s">
        <v>95</v>
      </c>
      <c r="E385" s="157" t="s">
        <v>1031</v>
      </c>
      <c r="F385" s="104"/>
      <c r="G385" s="159">
        <v>46081</v>
      </c>
      <c r="H385" s="160" t="s">
        <v>1017</v>
      </c>
      <c r="I385" s="120" t="s">
        <v>98</v>
      </c>
      <c r="J385" s="160" t="s">
        <v>617</v>
      </c>
      <c r="K385" s="68" t="s">
        <v>99</v>
      </c>
      <c r="L385" s="70" t="s">
        <v>100</v>
      </c>
      <c r="M385" s="165" t="s">
        <v>1022</v>
      </c>
      <c r="N385" s="165" t="s">
        <v>1023</v>
      </c>
      <c r="O385" s="108"/>
      <c r="P385" s="109">
        <v>46082</v>
      </c>
      <c r="Q385" s="110">
        <f t="shared" si="134"/>
        <v>46812</v>
      </c>
      <c r="R385" s="111">
        <v>24</v>
      </c>
      <c r="S385" s="111">
        <v>2</v>
      </c>
      <c r="T385" s="161">
        <v>304799273.69920802</v>
      </c>
      <c r="U385" s="113"/>
      <c r="V385" s="161">
        <v>304799273.69920802</v>
      </c>
      <c r="W385" s="115">
        <f t="shared" si="135"/>
        <v>12699969.737467</v>
      </c>
      <c r="X385" s="115">
        <v>0</v>
      </c>
      <c r="Y385" s="115"/>
      <c r="Z385" s="124">
        <f t="shared" si="118"/>
        <v>0</v>
      </c>
      <c r="AA385" s="115"/>
      <c r="AB385" s="167"/>
      <c r="AC385" s="118">
        <f t="shared" si="140"/>
        <v>304799273.69920802</v>
      </c>
      <c r="AD385" s="166">
        <f t="shared" si="139"/>
        <v>12699969.737467</v>
      </c>
      <c r="AE385" s="118">
        <f t="shared" si="121"/>
        <v>292099303.96174103</v>
      </c>
      <c r="AF385" s="85">
        <f t="shared" si="137"/>
        <v>12699969.737467</v>
      </c>
      <c r="AG385" s="84">
        <f t="shared" si="122"/>
        <v>279399334.22427404</v>
      </c>
      <c r="AH385" s="85"/>
      <c r="AI385" s="84">
        <f t="shared" si="123"/>
        <v>279399334.22427404</v>
      </c>
      <c r="AJ385" s="85"/>
      <c r="AK385" s="84">
        <f t="shared" si="124"/>
        <v>279399334.22427404</v>
      </c>
      <c r="AL385" s="85"/>
      <c r="AM385" s="84">
        <f t="shared" si="125"/>
        <v>279399334.22427404</v>
      </c>
      <c r="AN385" s="85"/>
      <c r="AO385" s="84">
        <f t="shared" si="126"/>
        <v>279399334.22427404</v>
      </c>
      <c r="AP385" s="85"/>
      <c r="AQ385" s="84">
        <f t="shared" si="127"/>
        <v>279399334.22427404</v>
      </c>
      <c r="AR385" s="85"/>
      <c r="AS385" s="84">
        <f t="shared" si="128"/>
        <v>279399334.22427404</v>
      </c>
      <c r="AT385" s="85"/>
      <c r="AU385" s="84">
        <f t="shared" si="129"/>
        <v>279399334.22427404</v>
      </c>
      <c r="AV385" s="85"/>
      <c r="AW385" s="84">
        <f t="shared" si="130"/>
        <v>279399334.22427404</v>
      </c>
      <c r="AX385" s="86">
        <f t="shared" si="131"/>
        <v>25399939.474934001</v>
      </c>
      <c r="AY385" s="87">
        <f t="shared" si="132"/>
        <v>279399334.22427404</v>
      </c>
      <c r="AZ385" s="65" t="b">
        <f t="shared" si="133"/>
        <v>1</v>
      </c>
    </row>
    <row r="386" spans="1:52" s="67" customFormat="1" ht="24.75" hidden="1" customHeight="1">
      <c r="A386" s="141">
        <v>382</v>
      </c>
      <c r="B386" s="69" t="s">
        <v>1032</v>
      </c>
      <c r="C386" s="156" t="s">
        <v>806</v>
      </c>
      <c r="D386" s="71" t="s">
        <v>95</v>
      </c>
      <c r="E386" s="157" t="s">
        <v>1033</v>
      </c>
      <c r="F386" s="158"/>
      <c r="G386" s="159">
        <v>46081</v>
      </c>
      <c r="H386" s="160" t="s">
        <v>1017</v>
      </c>
      <c r="I386" s="120" t="s">
        <v>98</v>
      </c>
      <c r="J386" s="102" t="s">
        <v>617</v>
      </c>
      <c r="K386" s="68" t="s">
        <v>99</v>
      </c>
      <c r="L386" s="70" t="s">
        <v>100</v>
      </c>
      <c r="M386" s="165" t="s">
        <v>1022</v>
      </c>
      <c r="N386" s="165" t="s">
        <v>1023</v>
      </c>
      <c r="O386" s="108"/>
      <c r="P386" s="109">
        <v>46082</v>
      </c>
      <c r="Q386" s="110">
        <f t="shared" si="134"/>
        <v>46812</v>
      </c>
      <c r="R386" s="111">
        <v>24</v>
      </c>
      <c r="S386" s="153">
        <v>2</v>
      </c>
      <c r="T386" s="161">
        <v>21085930.561845399</v>
      </c>
      <c r="U386" s="113"/>
      <c r="V386" s="161">
        <v>21085930.561845399</v>
      </c>
      <c r="W386" s="115">
        <f t="shared" si="135"/>
        <v>878580.44007689168</v>
      </c>
      <c r="X386" s="115">
        <v>0</v>
      </c>
      <c r="Y386" s="115"/>
      <c r="Z386" s="124">
        <f t="shared" si="118"/>
        <v>0</v>
      </c>
      <c r="AA386" s="115"/>
      <c r="AB386" s="167"/>
      <c r="AC386" s="118">
        <f t="shared" si="140"/>
        <v>21085930.561845399</v>
      </c>
      <c r="AD386" s="166">
        <f t="shared" si="139"/>
        <v>878580.44007689168</v>
      </c>
      <c r="AE386" s="118">
        <f t="shared" si="121"/>
        <v>20207350.121768508</v>
      </c>
      <c r="AF386" s="85">
        <f t="shared" si="137"/>
        <v>878580.44007689168</v>
      </c>
      <c r="AG386" s="84">
        <f t="shared" si="122"/>
        <v>19328769.681691617</v>
      </c>
      <c r="AH386" s="85"/>
      <c r="AI386" s="84">
        <f t="shared" si="123"/>
        <v>19328769.681691617</v>
      </c>
      <c r="AJ386" s="124"/>
      <c r="AK386" s="84">
        <f t="shared" si="124"/>
        <v>19328769.681691617</v>
      </c>
      <c r="AL386" s="124"/>
      <c r="AM386" s="84">
        <f t="shared" si="125"/>
        <v>19328769.681691617</v>
      </c>
      <c r="AN386" s="85"/>
      <c r="AO386" s="84">
        <f t="shared" si="126"/>
        <v>19328769.681691617</v>
      </c>
      <c r="AP386" s="85"/>
      <c r="AQ386" s="84">
        <f t="shared" si="127"/>
        <v>19328769.681691617</v>
      </c>
      <c r="AR386" s="85"/>
      <c r="AS386" s="84">
        <f t="shared" si="128"/>
        <v>19328769.681691617</v>
      </c>
      <c r="AT386" s="85"/>
      <c r="AU386" s="84">
        <f t="shared" si="129"/>
        <v>19328769.681691617</v>
      </c>
      <c r="AV386" s="85"/>
      <c r="AW386" s="84">
        <f t="shared" si="130"/>
        <v>19328769.681691617</v>
      </c>
      <c r="AX386" s="86">
        <f t="shared" si="131"/>
        <v>1757160.8801537834</v>
      </c>
      <c r="AY386" s="87">
        <f t="shared" si="132"/>
        <v>19328769.681691617</v>
      </c>
      <c r="AZ386" s="65" t="b">
        <f t="shared" si="133"/>
        <v>1</v>
      </c>
    </row>
    <row r="387" spans="1:52" s="67" customFormat="1" ht="24.75" hidden="1" customHeight="1">
      <c r="A387" s="141">
        <v>383</v>
      </c>
      <c r="B387" s="69" t="s">
        <v>1034</v>
      </c>
      <c r="C387" s="156" t="s">
        <v>806</v>
      </c>
      <c r="D387" s="71" t="s">
        <v>95</v>
      </c>
      <c r="E387" s="157" t="s">
        <v>1035</v>
      </c>
      <c r="F387" s="104"/>
      <c r="G387" s="159">
        <v>46081</v>
      </c>
      <c r="H387" s="160" t="s">
        <v>1017</v>
      </c>
      <c r="I387" s="120" t="s">
        <v>98</v>
      </c>
      <c r="J387" s="102" t="s">
        <v>617</v>
      </c>
      <c r="K387" s="68" t="s">
        <v>99</v>
      </c>
      <c r="L387" s="70" t="s">
        <v>100</v>
      </c>
      <c r="M387" s="165" t="s">
        <v>1022</v>
      </c>
      <c r="N387" s="165" t="s">
        <v>1023</v>
      </c>
      <c r="O387" s="108"/>
      <c r="P387" s="109">
        <v>46082</v>
      </c>
      <c r="Q387" s="110">
        <f t="shared" si="134"/>
        <v>46812</v>
      </c>
      <c r="R387" s="111">
        <v>24</v>
      </c>
      <c r="S387" s="111">
        <v>2</v>
      </c>
      <c r="T387" s="161">
        <v>62108846.561845399</v>
      </c>
      <c r="U387" s="113"/>
      <c r="V387" s="161">
        <v>62108846.561845399</v>
      </c>
      <c r="W387" s="115">
        <f t="shared" si="135"/>
        <v>2587868.6067435583</v>
      </c>
      <c r="X387" s="115">
        <v>0</v>
      </c>
      <c r="Y387" s="115"/>
      <c r="Z387" s="124">
        <f t="shared" si="118"/>
        <v>0</v>
      </c>
      <c r="AA387" s="115"/>
      <c r="AB387" s="167"/>
      <c r="AC387" s="118">
        <f t="shared" si="140"/>
        <v>62108846.561845399</v>
      </c>
      <c r="AD387" s="166">
        <f t="shared" si="139"/>
        <v>2587868.6067435583</v>
      </c>
      <c r="AE387" s="118">
        <f t="shared" si="121"/>
        <v>59520977.95510184</v>
      </c>
      <c r="AF387" s="85">
        <f t="shared" si="137"/>
        <v>2587868.6067435583</v>
      </c>
      <c r="AG387" s="84">
        <f t="shared" si="122"/>
        <v>56933109.348358281</v>
      </c>
      <c r="AH387" s="85"/>
      <c r="AI387" s="84">
        <f t="shared" si="123"/>
        <v>56933109.348358281</v>
      </c>
      <c r="AJ387" s="85"/>
      <c r="AK387" s="84">
        <f t="shared" si="124"/>
        <v>56933109.348358281</v>
      </c>
      <c r="AL387" s="85"/>
      <c r="AM387" s="84">
        <f t="shared" si="125"/>
        <v>56933109.348358281</v>
      </c>
      <c r="AN387" s="85"/>
      <c r="AO387" s="84">
        <f t="shared" si="126"/>
        <v>56933109.348358281</v>
      </c>
      <c r="AP387" s="85"/>
      <c r="AQ387" s="84">
        <f t="shared" si="127"/>
        <v>56933109.348358281</v>
      </c>
      <c r="AR387" s="85"/>
      <c r="AS387" s="84">
        <f t="shared" si="128"/>
        <v>56933109.348358281</v>
      </c>
      <c r="AT387" s="85"/>
      <c r="AU387" s="84">
        <f t="shared" si="129"/>
        <v>56933109.348358281</v>
      </c>
      <c r="AV387" s="85"/>
      <c r="AW387" s="84">
        <f t="shared" si="130"/>
        <v>56933109.348358281</v>
      </c>
      <c r="AX387" s="86">
        <f t="shared" si="131"/>
        <v>5175737.2134871166</v>
      </c>
      <c r="AY387" s="87">
        <f t="shared" si="132"/>
        <v>56933109.348358281</v>
      </c>
      <c r="AZ387" s="65" t="b">
        <f t="shared" si="133"/>
        <v>1</v>
      </c>
    </row>
    <row r="388" spans="1:52" s="67" customFormat="1" ht="24.75" hidden="1" customHeight="1">
      <c r="A388" s="68">
        <v>384</v>
      </c>
      <c r="B388" s="69" t="s">
        <v>1036</v>
      </c>
      <c r="C388" s="156" t="s">
        <v>806</v>
      </c>
      <c r="D388" s="71" t="s">
        <v>681</v>
      </c>
      <c r="E388" s="157" t="s">
        <v>1007</v>
      </c>
      <c r="F388" s="158"/>
      <c r="G388" s="159">
        <v>46081</v>
      </c>
      <c r="H388" s="160" t="s">
        <v>1037</v>
      </c>
      <c r="I388" s="120" t="s">
        <v>84</v>
      </c>
      <c r="J388" s="102" t="s">
        <v>85</v>
      </c>
      <c r="K388" s="68" t="s">
        <v>86</v>
      </c>
      <c r="L388" s="70" t="s">
        <v>87</v>
      </c>
      <c r="M388" s="88" t="s">
        <v>130</v>
      </c>
      <c r="N388" s="88" t="s">
        <v>131</v>
      </c>
      <c r="O388" s="108"/>
      <c r="P388" s="109">
        <v>46082</v>
      </c>
      <c r="Q388" s="110">
        <f t="shared" si="134"/>
        <v>46812</v>
      </c>
      <c r="R388" s="111">
        <v>24</v>
      </c>
      <c r="S388" s="153">
        <v>2</v>
      </c>
      <c r="T388" s="161">
        <v>42200000</v>
      </c>
      <c r="U388" s="113"/>
      <c r="V388" s="161">
        <v>42200000</v>
      </c>
      <c r="W388" s="115">
        <f t="shared" si="135"/>
        <v>1758333.3333333333</v>
      </c>
      <c r="X388" s="115">
        <v>0</v>
      </c>
      <c r="Y388" s="115"/>
      <c r="Z388" s="124">
        <f t="shared" si="118"/>
        <v>0</v>
      </c>
      <c r="AA388" s="115"/>
      <c r="AB388" s="167"/>
      <c r="AC388" s="118">
        <f t="shared" si="140"/>
        <v>42200000</v>
      </c>
      <c r="AD388" s="85">
        <f t="shared" si="139"/>
        <v>1758333.3333333333</v>
      </c>
      <c r="AE388" s="118">
        <f t="shared" si="121"/>
        <v>40441666.666666664</v>
      </c>
      <c r="AF388" s="85">
        <f t="shared" si="137"/>
        <v>1758333.3333333333</v>
      </c>
      <c r="AG388" s="84">
        <f t="shared" si="122"/>
        <v>38683333.333333328</v>
      </c>
      <c r="AH388" s="85"/>
      <c r="AI388" s="84">
        <f t="shared" si="123"/>
        <v>38683333.333333328</v>
      </c>
      <c r="AJ388" s="124"/>
      <c r="AK388" s="84">
        <f t="shared" si="124"/>
        <v>38683333.333333328</v>
      </c>
      <c r="AL388" s="124"/>
      <c r="AM388" s="84">
        <f t="shared" si="125"/>
        <v>38683333.333333328</v>
      </c>
      <c r="AN388" s="85"/>
      <c r="AO388" s="84">
        <f t="shared" si="126"/>
        <v>38683333.333333328</v>
      </c>
      <c r="AP388" s="85"/>
      <c r="AQ388" s="84">
        <f t="shared" si="127"/>
        <v>38683333.333333328</v>
      </c>
      <c r="AR388" s="85"/>
      <c r="AS388" s="84">
        <f t="shared" si="128"/>
        <v>38683333.333333328</v>
      </c>
      <c r="AT388" s="85"/>
      <c r="AU388" s="84">
        <f t="shared" si="129"/>
        <v>38683333.333333328</v>
      </c>
      <c r="AV388" s="85"/>
      <c r="AW388" s="84">
        <f t="shared" si="130"/>
        <v>38683333.333333328</v>
      </c>
      <c r="AX388" s="86">
        <f t="shared" si="131"/>
        <v>3516666.6666666665</v>
      </c>
      <c r="AY388" s="87">
        <f t="shared" si="132"/>
        <v>38683333.333333336</v>
      </c>
      <c r="AZ388" s="65" t="b">
        <f t="shared" si="133"/>
        <v>1</v>
      </c>
    </row>
    <row r="389" spans="1:52" s="67" customFormat="1" ht="24.75" hidden="1" customHeight="1">
      <c r="A389" s="68">
        <v>385</v>
      </c>
      <c r="B389" s="69" t="s">
        <v>1038</v>
      </c>
      <c r="C389" s="88" t="s">
        <v>1039</v>
      </c>
      <c r="D389" s="71" t="s">
        <v>681</v>
      </c>
      <c r="E389" s="150" t="s">
        <v>1040</v>
      </c>
      <c r="F389" s="104"/>
      <c r="G389" s="105">
        <v>46081</v>
      </c>
      <c r="H389" s="102" t="s">
        <v>1041</v>
      </c>
      <c r="I389" s="120" t="s">
        <v>84</v>
      </c>
      <c r="J389" s="102" t="s">
        <v>85</v>
      </c>
      <c r="K389" s="68" t="s">
        <v>86</v>
      </c>
      <c r="L389" s="70" t="s">
        <v>87</v>
      </c>
      <c r="M389" s="88" t="s">
        <v>70</v>
      </c>
      <c r="N389" s="88" t="s">
        <v>71</v>
      </c>
      <c r="O389" s="108"/>
      <c r="P389" s="109">
        <v>46082</v>
      </c>
      <c r="Q389" s="110">
        <f t="shared" si="134"/>
        <v>46812</v>
      </c>
      <c r="R389" s="111">
        <v>24</v>
      </c>
      <c r="S389" s="111">
        <v>2</v>
      </c>
      <c r="T389" s="123">
        <v>1967124640</v>
      </c>
      <c r="U389" s="113"/>
      <c r="V389" s="123">
        <v>1967124640</v>
      </c>
      <c r="W389" s="115">
        <f t="shared" si="135"/>
        <v>81963526.666666672</v>
      </c>
      <c r="X389" s="115">
        <v>0</v>
      </c>
      <c r="Y389" s="115"/>
      <c r="Z389" s="124">
        <f t="shared" si="118"/>
        <v>0</v>
      </c>
      <c r="AA389" s="115"/>
      <c r="AB389" s="167"/>
      <c r="AC389" s="118">
        <f t="shared" si="140"/>
        <v>1967124640</v>
      </c>
      <c r="AD389" s="85">
        <f t="shared" si="139"/>
        <v>81963526.666666672</v>
      </c>
      <c r="AE389" s="118">
        <f t="shared" si="121"/>
        <v>1885161113.3333333</v>
      </c>
      <c r="AF389" s="85">
        <f t="shared" si="137"/>
        <v>81963526.666666672</v>
      </c>
      <c r="AG389" s="84">
        <f t="shared" si="122"/>
        <v>1803197586.6666665</v>
      </c>
      <c r="AH389" s="85"/>
      <c r="AI389" s="84">
        <f t="shared" si="123"/>
        <v>1803197586.6666665</v>
      </c>
      <c r="AJ389" s="124"/>
      <c r="AK389" s="84">
        <f t="shared" si="124"/>
        <v>1803197586.6666665</v>
      </c>
      <c r="AL389" s="124"/>
      <c r="AM389" s="84">
        <f t="shared" si="125"/>
        <v>1803197586.6666665</v>
      </c>
      <c r="AN389" s="85"/>
      <c r="AO389" s="84">
        <f t="shared" si="126"/>
        <v>1803197586.6666665</v>
      </c>
      <c r="AP389" s="85"/>
      <c r="AQ389" s="84">
        <f t="shared" si="127"/>
        <v>1803197586.6666665</v>
      </c>
      <c r="AR389" s="85"/>
      <c r="AS389" s="84">
        <f t="shared" si="128"/>
        <v>1803197586.6666665</v>
      </c>
      <c r="AT389" s="85"/>
      <c r="AU389" s="84">
        <f t="shared" si="129"/>
        <v>1803197586.6666665</v>
      </c>
      <c r="AV389" s="85"/>
      <c r="AW389" s="84">
        <f t="shared" si="130"/>
        <v>1803197586.6666665</v>
      </c>
      <c r="AX389" s="86">
        <f t="shared" si="131"/>
        <v>163927053.33333334</v>
      </c>
      <c r="AY389" s="87">
        <f t="shared" si="132"/>
        <v>1803197586.6666667</v>
      </c>
      <c r="AZ389" s="65" t="b">
        <f t="shared" si="133"/>
        <v>1</v>
      </c>
    </row>
    <row r="390" spans="1:52" s="67" customFormat="1" ht="24.75" hidden="1" customHeight="1">
      <c r="A390" s="68">
        <v>386</v>
      </c>
      <c r="B390" s="69" t="s">
        <v>1042</v>
      </c>
      <c r="C390" s="88" t="s">
        <v>395</v>
      </c>
      <c r="D390" s="71" t="s">
        <v>396</v>
      </c>
      <c r="E390" s="150" t="s">
        <v>1043</v>
      </c>
      <c r="F390" s="104"/>
      <c r="G390" s="105">
        <v>46081</v>
      </c>
      <c r="H390" s="102" t="s">
        <v>1044</v>
      </c>
      <c r="I390" s="120" t="s">
        <v>399</v>
      </c>
      <c r="J390" s="102" t="s">
        <v>400</v>
      </c>
      <c r="K390" s="106">
        <v>55022207</v>
      </c>
      <c r="L390" s="107" t="s">
        <v>454</v>
      </c>
      <c r="M390" s="88" t="s">
        <v>1045</v>
      </c>
      <c r="N390" s="88" t="s">
        <v>1046</v>
      </c>
      <c r="O390" s="108"/>
      <c r="P390" s="109">
        <v>46082</v>
      </c>
      <c r="Q390" s="110">
        <f t="shared" si="134"/>
        <v>46812</v>
      </c>
      <c r="R390" s="111">
        <v>24</v>
      </c>
      <c r="S390" s="111">
        <v>2</v>
      </c>
      <c r="T390" s="123">
        <v>36700000</v>
      </c>
      <c r="U390" s="113"/>
      <c r="V390" s="123">
        <v>36700000</v>
      </c>
      <c r="W390" s="115">
        <f t="shared" si="135"/>
        <v>1529166.6666666667</v>
      </c>
      <c r="X390" s="115">
        <v>0</v>
      </c>
      <c r="Y390" s="115"/>
      <c r="Z390" s="124">
        <f t="shared" ref="Z390" si="141">+IF(Y390&lt;&gt;0,$W390,0)</f>
        <v>0</v>
      </c>
      <c r="AA390" s="115"/>
      <c r="AB390" s="167"/>
      <c r="AC390" s="118">
        <f>+V390-X390-Z390-AB390</f>
        <v>36700000</v>
      </c>
      <c r="AD390" s="85">
        <f>+IF(AC390&lt;&gt;0,$W390,0)</f>
        <v>1529166.6666666667</v>
      </c>
      <c r="AE390" s="118">
        <f t="shared" ref="AE390" si="142">AC390-AD390</f>
        <v>35170833.333333336</v>
      </c>
      <c r="AF390" s="85">
        <f t="shared" si="137"/>
        <v>1529166.6666666667</v>
      </c>
      <c r="AG390" s="84">
        <f t="shared" ref="AG390:AG409" si="143">AE390-AF390</f>
        <v>33641666.666666672</v>
      </c>
      <c r="AH390" s="85"/>
      <c r="AI390" s="84">
        <f t="shared" ref="AI390:AI411" si="144">AG390-AH390</f>
        <v>33641666.666666672</v>
      </c>
      <c r="AJ390" s="124"/>
      <c r="AK390" s="84">
        <f t="shared" ref="AK390:AK411" si="145">AI390-AJ390</f>
        <v>33641666.666666672</v>
      </c>
      <c r="AL390" s="124"/>
      <c r="AM390" s="84">
        <f t="shared" ref="AM390:AM411" si="146">AK390-AL390</f>
        <v>33641666.666666672</v>
      </c>
      <c r="AN390" s="85"/>
      <c r="AO390" s="84">
        <f t="shared" ref="AO390:AO411" si="147">AM390-AN390</f>
        <v>33641666.666666672</v>
      </c>
      <c r="AP390" s="85"/>
      <c r="AQ390" s="84">
        <f t="shared" ref="AQ390:AQ411" si="148">AO390-AP390</f>
        <v>33641666.666666672</v>
      </c>
      <c r="AR390" s="85"/>
      <c r="AS390" s="84">
        <f t="shared" ref="AS390:AS411" si="149">AQ390-AR390</f>
        <v>33641666.666666672</v>
      </c>
      <c r="AT390" s="85"/>
      <c r="AU390" s="84">
        <f t="shared" ref="AU390:AU411" si="150">AS390-AT390</f>
        <v>33641666.666666672</v>
      </c>
      <c r="AV390" s="85"/>
      <c r="AW390" s="84">
        <f t="shared" ref="AW390:AW411" si="151">AU390-AV390</f>
        <v>33641666.666666672</v>
      </c>
      <c r="AX390" s="86">
        <f t="shared" ref="AX390:AX409" si="152">SUMIF($Z$4:$AW$4,"Amortization",Z390:AW390)</f>
        <v>3058333.3333333335</v>
      </c>
      <c r="AY390" s="87">
        <f t="shared" ref="AY390:AY409" si="153">V390-X390-AX390</f>
        <v>33641666.666666664</v>
      </c>
      <c r="AZ390" s="65" t="b">
        <f t="shared" ref="AZ390:AZ410" si="154">ROUND(AW390,0)=ROUND(AY390,0)</f>
        <v>1</v>
      </c>
    </row>
    <row r="391" spans="1:52" s="67" customFormat="1" ht="24.75" hidden="1" customHeight="1">
      <c r="A391" s="68">
        <v>387</v>
      </c>
      <c r="B391" s="69" t="s">
        <v>1047</v>
      </c>
      <c r="C391" s="88" t="s">
        <v>105</v>
      </c>
      <c r="D391" s="71" t="s">
        <v>106</v>
      </c>
      <c r="E391" s="150" t="s">
        <v>1048</v>
      </c>
      <c r="F391" s="104"/>
      <c r="G391" s="105">
        <v>46108</v>
      </c>
      <c r="H391" s="102" t="s">
        <v>1049</v>
      </c>
      <c r="I391" s="120" t="s">
        <v>66</v>
      </c>
      <c r="J391" s="102" t="s">
        <v>67</v>
      </c>
      <c r="K391" s="68" t="s">
        <v>109</v>
      </c>
      <c r="L391" s="70" t="s">
        <v>110</v>
      </c>
      <c r="M391" s="88" t="s">
        <v>111</v>
      </c>
      <c r="N391" s="88" t="s">
        <v>112</v>
      </c>
      <c r="O391" s="108"/>
      <c r="P391" s="90">
        <v>46113</v>
      </c>
      <c r="Q391" s="94">
        <f t="shared" si="134"/>
        <v>46477</v>
      </c>
      <c r="R391" s="111">
        <v>12</v>
      </c>
      <c r="S391" s="79">
        <f>+R391/12</f>
        <v>1</v>
      </c>
      <c r="T391" s="123">
        <v>120600000</v>
      </c>
      <c r="U391" s="113"/>
      <c r="V391" s="123">
        <v>120600000</v>
      </c>
      <c r="W391" s="115">
        <f t="shared" si="135"/>
        <v>10050000</v>
      </c>
      <c r="X391" s="115"/>
      <c r="Y391" s="115"/>
      <c r="Z391" s="124"/>
      <c r="AA391" s="115"/>
      <c r="AB391" s="167"/>
      <c r="AC391" s="118"/>
      <c r="AD391" s="85"/>
      <c r="AE391" s="118">
        <f t="shared" ref="AE391:AE408" si="155">+V391-X391-Z391-AB391-AD391</f>
        <v>120600000</v>
      </c>
      <c r="AF391" s="85">
        <f t="shared" si="137"/>
        <v>10050000</v>
      </c>
      <c r="AG391" s="84">
        <f t="shared" si="143"/>
        <v>110550000</v>
      </c>
      <c r="AH391" s="85"/>
      <c r="AI391" s="84">
        <f t="shared" si="144"/>
        <v>110550000</v>
      </c>
      <c r="AJ391" s="124"/>
      <c r="AK391" s="84">
        <f t="shared" si="145"/>
        <v>110550000</v>
      </c>
      <c r="AL391" s="124"/>
      <c r="AM391" s="84">
        <f t="shared" si="146"/>
        <v>110550000</v>
      </c>
      <c r="AN391" s="85"/>
      <c r="AO391" s="84">
        <f t="shared" si="147"/>
        <v>110550000</v>
      </c>
      <c r="AP391" s="85"/>
      <c r="AQ391" s="84">
        <f t="shared" si="148"/>
        <v>110550000</v>
      </c>
      <c r="AR391" s="85"/>
      <c r="AS391" s="84">
        <f t="shared" si="149"/>
        <v>110550000</v>
      </c>
      <c r="AT391" s="85"/>
      <c r="AU391" s="84">
        <f t="shared" si="150"/>
        <v>110550000</v>
      </c>
      <c r="AV391" s="85"/>
      <c r="AW391" s="84">
        <f t="shared" si="151"/>
        <v>110550000</v>
      </c>
      <c r="AX391" s="86">
        <f t="shared" si="152"/>
        <v>10050000</v>
      </c>
      <c r="AY391" s="87">
        <f t="shared" si="153"/>
        <v>110550000</v>
      </c>
      <c r="AZ391" s="65" t="b">
        <f t="shared" si="154"/>
        <v>1</v>
      </c>
    </row>
    <row r="392" spans="1:52" s="67" customFormat="1" ht="24.75" hidden="1" customHeight="1">
      <c r="A392" s="68">
        <v>388</v>
      </c>
      <c r="B392" s="69" t="s">
        <v>1050</v>
      </c>
      <c r="C392" s="88" t="s">
        <v>1039</v>
      </c>
      <c r="D392" s="71" t="s">
        <v>681</v>
      </c>
      <c r="E392" s="150" t="s">
        <v>1051</v>
      </c>
      <c r="F392" s="104"/>
      <c r="G392" s="105">
        <v>46090</v>
      </c>
      <c r="H392" s="102" t="s">
        <v>1052</v>
      </c>
      <c r="I392" s="120" t="s">
        <v>84</v>
      </c>
      <c r="J392" s="102" t="s">
        <v>85</v>
      </c>
      <c r="K392" s="68" t="s">
        <v>86</v>
      </c>
      <c r="L392" s="70" t="s">
        <v>87</v>
      </c>
      <c r="M392" s="88" t="s">
        <v>70</v>
      </c>
      <c r="N392" s="88" t="s">
        <v>71</v>
      </c>
      <c r="O392" s="108"/>
      <c r="P392" s="109">
        <v>46113</v>
      </c>
      <c r="Q392" s="110">
        <f t="shared" si="134"/>
        <v>46843</v>
      </c>
      <c r="R392" s="111">
        <v>24</v>
      </c>
      <c r="S392" s="111">
        <v>2</v>
      </c>
      <c r="T392" s="123">
        <v>2381720085.5999999</v>
      </c>
      <c r="U392" s="113"/>
      <c r="V392" s="123">
        <v>2381720085.5999999</v>
      </c>
      <c r="W392" s="115">
        <f t="shared" si="135"/>
        <v>99238336.899999991</v>
      </c>
      <c r="X392" s="115"/>
      <c r="Y392" s="115"/>
      <c r="Z392" s="124"/>
      <c r="AA392" s="115"/>
      <c r="AB392" s="167"/>
      <c r="AC392" s="118"/>
      <c r="AD392" s="85"/>
      <c r="AE392" s="118">
        <f t="shared" si="155"/>
        <v>2381720085.5999999</v>
      </c>
      <c r="AF392" s="85">
        <f t="shared" si="137"/>
        <v>99238336.899999991</v>
      </c>
      <c r="AG392" s="84">
        <f t="shared" si="143"/>
        <v>2282481748.6999998</v>
      </c>
      <c r="AH392" s="85"/>
      <c r="AI392" s="84">
        <f t="shared" si="144"/>
        <v>2282481748.6999998</v>
      </c>
      <c r="AJ392" s="124"/>
      <c r="AK392" s="84">
        <f t="shared" si="145"/>
        <v>2282481748.6999998</v>
      </c>
      <c r="AL392" s="124"/>
      <c r="AM392" s="84">
        <f t="shared" si="146"/>
        <v>2282481748.6999998</v>
      </c>
      <c r="AN392" s="85"/>
      <c r="AO392" s="84">
        <f t="shared" si="147"/>
        <v>2282481748.6999998</v>
      </c>
      <c r="AP392" s="85"/>
      <c r="AQ392" s="84">
        <f t="shared" si="148"/>
        <v>2282481748.6999998</v>
      </c>
      <c r="AR392" s="85"/>
      <c r="AS392" s="84">
        <f t="shared" si="149"/>
        <v>2282481748.6999998</v>
      </c>
      <c r="AT392" s="85"/>
      <c r="AU392" s="84">
        <f t="shared" si="150"/>
        <v>2282481748.6999998</v>
      </c>
      <c r="AV392" s="85"/>
      <c r="AW392" s="84">
        <f t="shared" si="151"/>
        <v>2282481748.6999998</v>
      </c>
      <c r="AX392" s="86">
        <f t="shared" si="152"/>
        <v>99238336.899999991</v>
      </c>
      <c r="AY392" s="87">
        <f t="shared" si="153"/>
        <v>2282481748.6999998</v>
      </c>
      <c r="AZ392" s="65" t="b">
        <f>ROUND(AW392,0)=ROUND(AY392,0)</f>
        <v>1</v>
      </c>
    </row>
    <row r="393" spans="1:52" s="67" customFormat="1" ht="24.75" hidden="1" customHeight="1">
      <c r="A393" s="68">
        <v>389</v>
      </c>
      <c r="B393" s="69" t="s">
        <v>1053</v>
      </c>
      <c r="C393" s="88" t="s">
        <v>343</v>
      </c>
      <c r="D393" s="71" t="s">
        <v>106</v>
      </c>
      <c r="E393" s="150" t="s">
        <v>1054</v>
      </c>
      <c r="F393" s="104"/>
      <c r="G393" s="105">
        <v>46105</v>
      </c>
      <c r="H393" s="102" t="s">
        <v>1055</v>
      </c>
      <c r="I393" s="120" t="s">
        <v>66</v>
      </c>
      <c r="J393" s="102" t="s">
        <v>67</v>
      </c>
      <c r="K393" s="68" t="s">
        <v>109</v>
      </c>
      <c r="L393" s="70" t="s">
        <v>110</v>
      </c>
      <c r="M393" s="88" t="s">
        <v>111</v>
      </c>
      <c r="N393" s="88" t="s">
        <v>112</v>
      </c>
      <c r="O393" s="108"/>
      <c r="P393" s="109">
        <v>46113</v>
      </c>
      <c r="Q393" s="110">
        <f t="shared" si="134"/>
        <v>46477</v>
      </c>
      <c r="R393" s="111">
        <v>12</v>
      </c>
      <c r="S393" s="111">
        <v>1</v>
      </c>
      <c r="T393" s="123">
        <v>212000000</v>
      </c>
      <c r="U393" s="113"/>
      <c r="V393" s="123">
        <v>212000000</v>
      </c>
      <c r="W393" s="115">
        <f t="shared" si="135"/>
        <v>17666666.666666668</v>
      </c>
      <c r="X393" s="115"/>
      <c r="Y393" s="115"/>
      <c r="Z393" s="124"/>
      <c r="AA393" s="115"/>
      <c r="AB393" s="167"/>
      <c r="AC393" s="118"/>
      <c r="AD393" s="85"/>
      <c r="AE393" s="118">
        <f t="shared" si="155"/>
        <v>212000000</v>
      </c>
      <c r="AF393" s="85">
        <f t="shared" si="137"/>
        <v>17666666.666666668</v>
      </c>
      <c r="AG393" s="84">
        <f t="shared" si="143"/>
        <v>194333333.33333334</v>
      </c>
      <c r="AH393" s="85"/>
      <c r="AI393" s="84">
        <f t="shared" si="144"/>
        <v>194333333.33333334</v>
      </c>
      <c r="AJ393" s="124"/>
      <c r="AK393" s="84">
        <f t="shared" si="145"/>
        <v>194333333.33333334</v>
      </c>
      <c r="AL393" s="124"/>
      <c r="AM393" s="84">
        <f t="shared" si="146"/>
        <v>194333333.33333334</v>
      </c>
      <c r="AN393" s="85"/>
      <c r="AO393" s="84">
        <f t="shared" si="147"/>
        <v>194333333.33333334</v>
      </c>
      <c r="AP393" s="85"/>
      <c r="AQ393" s="84">
        <f t="shared" si="148"/>
        <v>194333333.33333334</v>
      </c>
      <c r="AR393" s="85"/>
      <c r="AS393" s="84">
        <f t="shared" si="149"/>
        <v>194333333.33333334</v>
      </c>
      <c r="AT393" s="85"/>
      <c r="AU393" s="84">
        <f t="shared" si="150"/>
        <v>194333333.33333334</v>
      </c>
      <c r="AV393" s="85"/>
      <c r="AW393" s="84">
        <f t="shared" si="151"/>
        <v>194333333.33333334</v>
      </c>
      <c r="AX393" s="86">
        <f t="shared" si="152"/>
        <v>17666666.666666668</v>
      </c>
      <c r="AY393" s="87">
        <f t="shared" si="153"/>
        <v>194333333.33333334</v>
      </c>
      <c r="AZ393" s="65" t="b">
        <f t="shared" si="154"/>
        <v>1</v>
      </c>
    </row>
    <row r="394" spans="1:52" s="67" customFormat="1" ht="24.75" hidden="1" customHeight="1">
      <c r="A394" s="68">
        <v>390</v>
      </c>
      <c r="B394" s="69" t="s">
        <v>1056</v>
      </c>
      <c r="C394" s="156" t="s">
        <v>806</v>
      </c>
      <c r="D394" s="71" t="s">
        <v>95</v>
      </c>
      <c r="E394" s="150" t="s">
        <v>1057</v>
      </c>
      <c r="F394" s="104"/>
      <c r="G394" s="105">
        <v>46112</v>
      </c>
      <c r="H394" s="102" t="s">
        <v>1058</v>
      </c>
      <c r="I394" s="120" t="s">
        <v>98</v>
      </c>
      <c r="J394" s="102" t="s">
        <v>617</v>
      </c>
      <c r="K394" s="68" t="s">
        <v>99</v>
      </c>
      <c r="L394" s="70" t="s">
        <v>100</v>
      </c>
      <c r="M394" s="143" t="s">
        <v>1022</v>
      </c>
      <c r="N394" s="88" t="s">
        <v>1023</v>
      </c>
      <c r="O394" s="108"/>
      <c r="P394" s="109">
        <v>46113</v>
      </c>
      <c r="Q394" s="110">
        <f t="shared" si="134"/>
        <v>46843</v>
      </c>
      <c r="R394" s="111">
        <v>24</v>
      </c>
      <c r="S394" s="111">
        <v>2</v>
      </c>
      <c r="T394" s="123">
        <v>24108575.698210701</v>
      </c>
      <c r="U394" s="113"/>
      <c r="V394" s="123">
        <v>24108575.698210701</v>
      </c>
      <c r="W394" s="115">
        <f t="shared" si="135"/>
        <v>1004523.9874254459</v>
      </c>
      <c r="X394" s="115"/>
      <c r="Y394" s="115"/>
      <c r="Z394" s="124"/>
      <c r="AA394" s="115"/>
      <c r="AB394" s="167"/>
      <c r="AC394" s="118"/>
      <c r="AD394" s="85"/>
      <c r="AE394" s="118">
        <f t="shared" si="155"/>
        <v>24108575.698210701</v>
      </c>
      <c r="AF394" s="85">
        <f t="shared" si="137"/>
        <v>1004523.9874254459</v>
      </c>
      <c r="AG394" s="84">
        <f t="shared" si="143"/>
        <v>23104051.710785255</v>
      </c>
      <c r="AH394" s="85"/>
      <c r="AI394" s="84">
        <f t="shared" si="144"/>
        <v>23104051.710785255</v>
      </c>
      <c r="AJ394" s="124"/>
      <c r="AK394" s="84">
        <f t="shared" si="145"/>
        <v>23104051.710785255</v>
      </c>
      <c r="AL394" s="124"/>
      <c r="AM394" s="84">
        <f t="shared" si="146"/>
        <v>23104051.710785255</v>
      </c>
      <c r="AN394" s="85"/>
      <c r="AO394" s="84">
        <f t="shared" si="147"/>
        <v>23104051.710785255</v>
      </c>
      <c r="AP394" s="85"/>
      <c r="AQ394" s="84">
        <f t="shared" si="148"/>
        <v>23104051.710785255</v>
      </c>
      <c r="AR394" s="85"/>
      <c r="AS394" s="84">
        <f t="shared" si="149"/>
        <v>23104051.710785255</v>
      </c>
      <c r="AT394" s="85"/>
      <c r="AU394" s="84">
        <f t="shared" si="150"/>
        <v>23104051.710785255</v>
      </c>
      <c r="AV394" s="85"/>
      <c r="AW394" s="84">
        <f t="shared" si="151"/>
        <v>23104051.710785255</v>
      </c>
      <c r="AX394" s="86">
        <f t="shared" si="152"/>
        <v>1004523.9874254459</v>
      </c>
      <c r="AY394" s="87">
        <f t="shared" si="153"/>
        <v>23104051.710785255</v>
      </c>
      <c r="AZ394" s="65" t="b">
        <f t="shared" si="154"/>
        <v>1</v>
      </c>
    </row>
    <row r="395" spans="1:52" s="67" customFormat="1" ht="24.75" hidden="1" customHeight="1">
      <c r="A395" s="68">
        <v>391</v>
      </c>
      <c r="B395" s="69" t="s">
        <v>1059</v>
      </c>
      <c r="C395" s="156" t="s">
        <v>806</v>
      </c>
      <c r="D395" s="71" t="s">
        <v>95</v>
      </c>
      <c r="E395" s="150" t="s">
        <v>1060</v>
      </c>
      <c r="F395" s="104"/>
      <c r="G395" s="105">
        <v>46112</v>
      </c>
      <c r="H395" s="102" t="s">
        <v>1058</v>
      </c>
      <c r="I395" s="120" t="s">
        <v>98</v>
      </c>
      <c r="J395" s="102" t="s">
        <v>617</v>
      </c>
      <c r="K395" s="68" t="s">
        <v>99</v>
      </c>
      <c r="L395" s="70" t="s">
        <v>100</v>
      </c>
      <c r="M395" s="143" t="s">
        <v>1013</v>
      </c>
      <c r="N395" s="88" t="s">
        <v>1014</v>
      </c>
      <c r="O395" s="108"/>
      <c r="P395" s="109">
        <v>46113</v>
      </c>
      <c r="Q395" s="110">
        <f t="shared" si="134"/>
        <v>46843</v>
      </c>
      <c r="R395" s="111">
        <v>24</v>
      </c>
      <c r="S395" s="111">
        <v>2</v>
      </c>
      <c r="T395" s="123">
        <v>111555405.475988</v>
      </c>
      <c r="U395" s="113"/>
      <c r="V395" s="123">
        <v>111555405.475988</v>
      </c>
      <c r="W395" s="115">
        <f t="shared" si="135"/>
        <v>4648141.8948328337</v>
      </c>
      <c r="X395" s="115"/>
      <c r="Y395" s="115"/>
      <c r="Z395" s="124"/>
      <c r="AA395" s="115"/>
      <c r="AB395" s="167"/>
      <c r="AC395" s="118"/>
      <c r="AD395" s="85"/>
      <c r="AE395" s="118">
        <f t="shared" si="155"/>
        <v>111555405.475988</v>
      </c>
      <c r="AF395" s="85">
        <f t="shared" si="137"/>
        <v>4648141.8948328337</v>
      </c>
      <c r="AG395" s="84">
        <f t="shared" si="143"/>
        <v>106907263.58115517</v>
      </c>
      <c r="AH395" s="85"/>
      <c r="AI395" s="84">
        <f t="shared" si="144"/>
        <v>106907263.58115517</v>
      </c>
      <c r="AJ395" s="124"/>
      <c r="AK395" s="84">
        <f t="shared" si="145"/>
        <v>106907263.58115517</v>
      </c>
      <c r="AL395" s="124"/>
      <c r="AM395" s="84">
        <f t="shared" si="146"/>
        <v>106907263.58115517</v>
      </c>
      <c r="AN395" s="85"/>
      <c r="AO395" s="84">
        <f t="shared" si="147"/>
        <v>106907263.58115517</v>
      </c>
      <c r="AP395" s="85"/>
      <c r="AQ395" s="84">
        <f t="shared" si="148"/>
        <v>106907263.58115517</v>
      </c>
      <c r="AR395" s="85"/>
      <c r="AS395" s="84">
        <f t="shared" si="149"/>
        <v>106907263.58115517</v>
      </c>
      <c r="AT395" s="85"/>
      <c r="AU395" s="84">
        <f t="shared" si="150"/>
        <v>106907263.58115517</v>
      </c>
      <c r="AV395" s="85"/>
      <c r="AW395" s="84">
        <f t="shared" si="151"/>
        <v>106907263.58115517</v>
      </c>
      <c r="AX395" s="86">
        <f t="shared" si="152"/>
        <v>4648141.8948328337</v>
      </c>
      <c r="AY395" s="87">
        <f t="shared" si="153"/>
        <v>106907263.58115517</v>
      </c>
      <c r="AZ395" s="65" t="b">
        <f t="shared" si="154"/>
        <v>1</v>
      </c>
    </row>
    <row r="396" spans="1:52" s="67" customFormat="1" ht="24.75" hidden="1" customHeight="1">
      <c r="A396" s="68">
        <v>392</v>
      </c>
      <c r="B396" s="69" t="s">
        <v>1061</v>
      </c>
      <c r="C396" s="156" t="s">
        <v>806</v>
      </c>
      <c r="D396" s="71" t="s">
        <v>95</v>
      </c>
      <c r="E396" s="150" t="s">
        <v>1062</v>
      </c>
      <c r="F396" s="104"/>
      <c r="G396" s="105">
        <v>46112</v>
      </c>
      <c r="H396" s="102" t="s">
        <v>1058</v>
      </c>
      <c r="I396" s="120" t="s">
        <v>98</v>
      </c>
      <c r="J396" s="102" t="s">
        <v>617</v>
      </c>
      <c r="K396" s="68" t="s">
        <v>99</v>
      </c>
      <c r="L396" s="70" t="s">
        <v>100</v>
      </c>
      <c r="M396" s="143" t="s">
        <v>1013</v>
      </c>
      <c r="N396" s="88" t="s">
        <v>1014</v>
      </c>
      <c r="O396" s="108"/>
      <c r="P396" s="109">
        <v>46113</v>
      </c>
      <c r="Q396" s="110">
        <f t="shared" ref="Q396:Q453" si="156">+EDATE(P396,R396)-DAY(P396)</f>
        <v>46843</v>
      </c>
      <c r="R396" s="111">
        <v>24</v>
      </c>
      <c r="S396" s="111">
        <v>2</v>
      </c>
      <c r="T396" s="123">
        <v>267009964.240087</v>
      </c>
      <c r="U396" s="113"/>
      <c r="V396" s="123">
        <v>267009964.240087</v>
      </c>
      <c r="W396" s="115">
        <f t="shared" si="135"/>
        <v>11125415.176670292</v>
      </c>
      <c r="X396" s="115"/>
      <c r="Y396" s="115"/>
      <c r="Z396" s="124"/>
      <c r="AA396" s="115"/>
      <c r="AB396" s="167"/>
      <c r="AC396" s="118"/>
      <c r="AD396" s="85"/>
      <c r="AE396" s="118">
        <f t="shared" si="155"/>
        <v>267009964.240087</v>
      </c>
      <c r="AF396" s="85">
        <f t="shared" si="137"/>
        <v>11125415.176670292</v>
      </c>
      <c r="AG396" s="84">
        <f t="shared" si="143"/>
        <v>255884549.06341672</v>
      </c>
      <c r="AH396" s="85"/>
      <c r="AI396" s="84">
        <f t="shared" si="144"/>
        <v>255884549.06341672</v>
      </c>
      <c r="AJ396" s="124"/>
      <c r="AK396" s="84">
        <f t="shared" si="145"/>
        <v>255884549.06341672</v>
      </c>
      <c r="AL396" s="124"/>
      <c r="AM396" s="84">
        <f t="shared" si="146"/>
        <v>255884549.06341672</v>
      </c>
      <c r="AN396" s="85"/>
      <c r="AO396" s="84">
        <f t="shared" si="147"/>
        <v>255884549.06341672</v>
      </c>
      <c r="AP396" s="85"/>
      <c r="AQ396" s="84">
        <f t="shared" si="148"/>
        <v>255884549.06341672</v>
      </c>
      <c r="AR396" s="85"/>
      <c r="AS396" s="84">
        <f t="shared" si="149"/>
        <v>255884549.06341672</v>
      </c>
      <c r="AT396" s="85"/>
      <c r="AU396" s="84">
        <f t="shared" si="150"/>
        <v>255884549.06341672</v>
      </c>
      <c r="AV396" s="85"/>
      <c r="AW396" s="84">
        <f t="shared" si="151"/>
        <v>255884549.06341672</v>
      </c>
      <c r="AX396" s="86">
        <f t="shared" si="152"/>
        <v>11125415.176670292</v>
      </c>
      <c r="AY396" s="87">
        <f t="shared" si="153"/>
        <v>255884549.06341672</v>
      </c>
      <c r="AZ396" s="65" t="b">
        <f t="shared" si="154"/>
        <v>1</v>
      </c>
    </row>
    <row r="397" spans="1:52" s="67" customFormat="1" ht="24.75" hidden="1" customHeight="1">
      <c r="A397" s="68">
        <v>393</v>
      </c>
      <c r="B397" s="69" t="s">
        <v>1063</v>
      </c>
      <c r="C397" s="156" t="s">
        <v>806</v>
      </c>
      <c r="D397" s="71" t="s">
        <v>95</v>
      </c>
      <c r="E397" s="150" t="s">
        <v>1064</v>
      </c>
      <c r="F397" s="104"/>
      <c r="G397" s="105">
        <v>46112</v>
      </c>
      <c r="H397" s="102" t="s">
        <v>1058</v>
      </c>
      <c r="I397" s="120" t="s">
        <v>98</v>
      </c>
      <c r="J397" s="102" t="s">
        <v>617</v>
      </c>
      <c r="K397" s="68" t="s">
        <v>99</v>
      </c>
      <c r="L397" s="70" t="s">
        <v>100</v>
      </c>
      <c r="M397" s="143" t="s">
        <v>1000</v>
      </c>
      <c r="N397" s="88" t="s">
        <v>1001</v>
      </c>
      <c r="O397" s="108"/>
      <c r="P397" s="109">
        <v>46113</v>
      </c>
      <c r="Q397" s="110">
        <f t="shared" si="156"/>
        <v>46142</v>
      </c>
      <c r="R397" s="111">
        <v>1</v>
      </c>
      <c r="S397" s="111"/>
      <c r="T397" s="123">
        <v>2110296.47598845</v>
      </c>
      <c r="U397" s="113"/>
      <c r="V397" s="123">
        <v>2110296.47598845</v>
      </c>
      <c r="W397" s="115">
        <f t="shared" si="135"/>
        <v>2110296.47598845</v>
      </c>
      <c r="X397" s="115"/>
      <c r="Y397" s="115"/>
      <c r="Z397" s="124"/>
      <c r="AA397" s="115"/>
      <c r="AB397" s="167"/>
      <c r="AC397" s="118"/>
      <c r="AD397" s="85"/>
      <c r="AE397" s="118">
        <f t="shared" si="155"/>
        <v>2110296.47598845</v>
      </c>
      <c r="AF397" s="85">
        <f>+AE397</f>
        <v>2110296.47598845</v>
      </c>
      <c r="AG397" s="84">
        <f t="shared" si="143"/>
        <v>0</v>
      </c>
      <c r="AH397" s="85"/>
      <c r="AI397" s="84">
        <f t="shared" si="144"/>
        <v>0</v>
      </c>
      <c r="AJ397" s="124"/>
      <c r="AK397" s="84">
        <f t="shared" si="145"/>
        <v>0</v>
      </c>
      <c r="AL397" s="124"/>
      <c r="AM397" s="84">
        <f t="shared" si="146"/>
        <v>0</v>
      </c>
      <c r="AN397" s="85"/>
      <c r="AO397" s="84">
        <f t="shared" si="147"/>
        <v>0</v>
      </c>
      <c r="AP397" s="85"/>
      <c r="AQ397" s="84">
        <f t="shared" si="148"/>
        <v>0</v>
      </c>
      <c r="AR397" s="85"/>
      <c r="AS397" s="84">
        <f t="shared" si="149"/>
        <v>0</v>
      </c>
      <c r="AT397" s="85"/>
      <c r="AU397" s="84">
        <f t="shared" si="150"/>
        <v>0</v>
      </c>
      <c r="AV397" s="85"/>
      <c r="AW397" s="84">
        <f t="shared" si="151"/>
        <v>0</v>
      </c>
      <c r="AX397" s="86">
        <f t="shared" si="152"/>
        <v>2110296.47598845</v>
      </c>
      <c r="AY397" s="87">
        <f t="shared" si="153"/>
        <v>0</v>
      </c>
      <c r="AZ397" s="65" t="b">
        <f t="shared" si="154"/>
        <v>1</v>
      </c>
    </row>
    <row r="398" spans="1:52" s="67" customFormat="1" ht="24.75" hidden="1" customHeight="1">
      <c r="A398" s="68">
        <v>394</v>
      </c>
      <c r="B398" s="69" t="s">
        <v>1065</v>
      </c>
      <c r="C398" s="156" t="s">
        <v>806</v>
      </c>
      <c r="D398" s="71" t="s">
        <v>95</v>
      </c>
      <c r="E398" s="150" t="s">
        <v>1066</v>
      </c>
      <c r="F398" s="104"/>
      <c r="G398" s="105">
        <v>46112</v>
      </c>
      <c r="H398" s="102" t="s">
        <v>1058</v>
      </c>
      <c r="I398" s="120" t="s">
        <v>98</v>
      </c>
      <c r="J398" s="102" t="s">
        <v>617</v>
      </c>
      <c r="K398" s="68" t="s">
        <v>99</v>
      </c>
      <c r="L398" s="70" t="s">
        <v>100</v>
      </c>
      <c r="M398" s="143" t="s">
        <v>1022</v>
      </c>
      <c r="N398" s="88" t="s">
        <v>1023</v>
      </c>
      <c r="O398" s="108"/>
      <c r="P398" s="109">
        <v>46113</v>
      </c>
      <c r="Q398" s="110">
        <f t="shared" si="156"/>
        <v>46843</v>
      </c>
      <c r="R398" s="111">
        <v>24</v>
      </c>
      <c r="S398" s="111">
        <v>2</v>
      </c>
      <c r="T398" s="123">
        <v>68157537.698210701</v>
      </c>
      <c r="U398" s="113"/>
      <c r="V398" s="123">
        <v>68157537.698210701</v>
      </c>
      <c r="W398" s="115">
        <f t="shared" si="135"/>
        <v>2839897.4040921126</v>
      </c>
      <c r="X398" s="115"/>
      <c r="Y398" s="115"/>
      <c r="Z398" s="124"/>
      <c r="AA398" s="115"/>
      <c r="AB398" s="167"/>
      <c r="AC398" s="118"/>
      <c r="AD398" s="85"/>
      <c r="AE398" s="118">
        <f t="shared" si="155"/>
        <v>68157537.698210701</v>
      </c>
      <c r="AF398" s="85">
        <f t="shared" si="137"/>
        <v>2839897.4040921126</v>
      </c>
      <c r="AG398" s="84">
        <f t="shared" si="143"/>
        <v>65317640.294118591</v>
      </c>
      <c r="AH398" s="85"/>
      <c r="AI398" s="84">
        <f t="shared" si="144"/>
        <v>65317640.294118591</v>
      </c>
      <c r="AJ398" s="124"/>
      <c r="AK398" s="84">
        <f t="shared" si="145"/>
        <v>65317640.294118591</v>
      </c>
      <c r="AL398" s="124"/>
      <c r="AM398" s="84">
        <f t="shared" si="146"/>
        <v>65317640.294118591</v>
      </c>
      <c r="AN398" s="85"/>
      <c r="AO398" s="84">
        <f t="shared" si="147"/>
        <v>65317640.294118591</v>
      </c>
      <c r="AP398" s="85"/>
      <c r="AQ398" s="84">
        <f t="shared" si="148"/>
        <v>65317640.294118591</v>
      </c>
      <c r="AR398" s="85"/>
      <c r="AS398" s="84">
        <f t="shared" si="149"/>
        <v>65317640.294118591</v>
      </c>
      <c r="AT398" s="85"/>
      <c r="AU398" s="84">
        <f t="shared" si="150"/>
        <v>65317640.294118591</v>
      </c>
      <c r="AV398" s="85"/>
      <c r="AW398" s="84">
        <f t="shared" si="151"/>
        <v>65317640.294118591</v>
      </c>
      <c r="AX398" s="86">
        <f t="shared" si="152"/>
        <v>2839897.4040921126</v>
      </c>
      <c r="AY398" s="87">
        <f t="shared" si="153"/>
        <v>65317640.294118591</v>
      </c>
      <c r="AZ398" s="65" t="b">
        <f t="shared" si="154"/>
        <v>1</v>
      </c>
    </row>
    <row r="399" spans="1:52" s="67" customFormat="1" ht="24.75" hidden="1" customHeight="1">
      <c r="A399" s="68">
        <v>395</v>
      </c>
      <c r="B399" s="69" t="s">
        <v>1067</v>
      </c>
      <c r="C399" s="156" t="s">
        <v>806</v>
      </c>
      <c r="D399" s="71" t="s">
        <v>95</v>
      </c>
      <c r="E399" s="150" t="s">
        <v>1068</v>
      </c>
      <c r="F399" s="104"/>
      <c r="G399" s="105">
        <v>46112</v>
      </c>
      <c r="H399" s="102" t="s">
        <v>1058</v>
      </c>
      <c r="I399" s="120" t="s">
        <v>98</v>
      </c>
      <c r="J399" s="102" t="s">
        <v>617</v>
      </c>
      <c r="K399" s="68" t="s">
        <v>99</v>
      </c>
      <c r="L399" s="70" t="s">
        <v>100</v>
      </c>
      <c r="M399" s="143" t="s">
        <v>1022</v>
      </c>
      <c r="N399" s="88" t="s">
        <v>1023</v>
      </c>
      <c r="O399" s="108"/>
      <c r="P399" s="109">
        <v>46113</v>
      </c>
      <c r="Q399" s="110">
        <f t="shared" si="156"/>
        <v>46843</v>
      </c>
      <c r="R399" s="111">
        <v>24</v>
      </c>
      <c r="S399" s="111">
        <v>2</v>
      </c>
      <c r="T399" s="123">
        <v>205898874.631161</v>
      </c>
      <c r="U399" s="113"/>
      <c r="V399" s="123">
        <v>205898874.631161</v>
      </c>
      <c r="W399" s="115">
        <f t="shared" si="135"/>
        <v>8579119.7762983758</v>
      </c>
      <c r="X399" s="115"/>
      <c r="Y399" s="115"/>
      <c r="Z399" s="124"/>
      <c r="AA399" s="115"/>
      <c r="AB399" s="167"/>
      <c r="AC399" s="118"/>
      <c r="AD399" s="85"/>
      <c r="AE399" s="118">
        <f t="shared" si="155"/>
        <v>205898874.631161</v>
      </c>
      <c r="AF399" s="85">
        <f t="shared" si="137"/>
        <v>8579119.7762983758</v>
      </c>
      <c r="AG399" s="84">
        <f t="shared" si="143"/>
        <v>197319754.85486263</v>
      </c>
      <c r="AH399" s="85"/>
      <c r="AI399" s="84">
        <f t="shared" si="144"/>
        <v>197319754.85486263</v>
      </c>
      <c r="AJ399" s="124"/>
      <c r="AK399" s="84">
        <f t="shared" si="145"/>
        <v>197319754.85486263</v>
      </c>
      <c r="AL399" s="124"/>
      <c r="AM399" s="84">
        <f t="shared" si="146"/>
        <v>197319754.85486263</v>
      </c>
      <c r="AN399" s="85"/>
      <c r="AO399" s="84">
        <f t="shared" si="147"/>
        <v>197319754.85486263</v>
      </c>
      <c r="AP399" s="85"/>
      <c r="AQ399" s="84">
        <f t="shared" si="148"/>
        <v>197319754.85486263</v>
      </c>
      <c r="AR399" s="85"/>
      <c r="AS399" s="84">
        <f t="shared" si="149"/>
        <v>197319754.85486263</v>
      </c>
      <c r="AT399" s="85"/>
      <c r="AU399" s="84">
        <f t="shared" si="150"/>
        <v>197319754.85486263</v>
      </c>
      <c r="AV399" s="85"/>
      <c r="AW399" s="84">
        <f t="shared" si="151"/>
        <v>197319754.85486263</v>
      </c>
      <c r="AX399" s="86">
        <f t="shared" si="152"/>
        <v>8579119.7762983758</v>
      </c>
      <c r="AY399" s="87">
        <f t="shared" si="153"/>
        <v>197319754.85486263</v>
      </c>
      <c r="AZ399" s="65" t="b">
        <f t="shared" si="154"/>
        <v>1</v>
      </c>
    </row>
    <row r="400" spans="1:52" s="67" customFormat="1" ht="24.75" hidden="1" customHeight="1">
      <c r="A400" s="68">
        <v>396</v>
      </c>
      <c r="B400" s="69" t="s">
        <v>1069</v>
      </c>
      <c r="C400" s="156" t="s">
        <v>806</v>
      </c>
      <c r="D400" s="71" t="s">
        <v>95</v>
      </c>
      <c r="E400" s="150" t="s">
        <v>1070</v>
      </c>
      <c r="F400" s="104"/>
      <c r="G400" s="105">
        <v>46112</v>
      </c>
      <c r="H400" s="102" t="s">
        <v>1058</v>
      </c>
      <c r="I400" s="120" t="s">
        <v>98</v>
      </c>
      <c r="J400" s="102" t="s">
        <v>617</v>
      </c>
      <c r="K400" s="68" t="s">
        <v>99</v>
      </c>
      <c r="L400" s="70" t="s">
        <v>100</v>
      </c>
      <c r="M400" s="143" t="s">
        <v>1013</v>
      </c>
      <c r="N400" s="88" t="s">
        <v>1014</v>
      </c>
      <c r="O400" s="108"/>
      <c r="P400" s="109">
        <v>46113</v>
      </c>
      <c r="Q400" s="110">
        <f t="shared" si="156"/>
        <v>46843</v>
      </c>
      <c r="R400" s="111">
        <v>24</v>
      </c>
      <c r="S400" s="111">
        <v>2</v>
      </c>
      <c r="T400" s="123">
        <v>149231695.92945799</v>
      </c>
      <c r="U400" s="113"/>
      <c r="V400" s="123">
        <v>149231695.92945799</v>
      </c>
      <c r="W400" s="115">
        <f t="shared" si="135"/>
        <v>6217987.3303940827</v>
      </c>
      <c r="X400" s="115"/>
      <c r="Y400" s="115"/>
      <c r="Z400" s="124"/>
      <c r="AA400" s="115"/>
      <c r="AB400" s="167"/>
      <c r="AC400" s="118"/>
      <c r="AD400" s="85"/>
      <c r="AE400" s="118">
        <f t="shared" si="155"/>
        <v>149231695.92945799</v>
      </c>
      <c r="AF400" s="85">
        <f t="shared" si="137"/>
        <v>6217987.3303940827</v>
      </c>
      <c r="AG400" s="84">
        <f t="shared" si="143"/>
        <v>143013708.5990639</v>
      </c>
      <c r="AH400" s="85"/>
      <c r="AI400" s="84">
        <f t="shared" si="144"/>
        <v>143013708.5990639</v>
      </c>
      <c r="AJ400" s="124"/>
      <c r="AK400" s="84">
        <f t="shared" si="145"/>
        <v>143013708.5990639</v>
      </c>
      <c r="AL400" s="124"/>
      <c r="AM400" s="84">
        <f t="shared" si="146"/>
        <v>143013708.5990639</v>
      </c>
      <c r="AN400" s="85"/>
      <c r="AO400" s="84">
        <f t="shared" si="147"/>
        <v>143013708.5990639</v>
      </c>
      <c r="AP400" s="85"/>
      <c r="AQ400" s="84">
        <f t="shared" si="148"/>
        <v>143013708.5990639</v>
      </c>
      <c r="AR400" s="85"/>
      <c r="AS400" s="84">
        <f t="shared" si="149"/>
        <v>143013708.5990639</v>
      </c>
      <c r="AT400" s="85"/>
      <c r="AU400" s="84">
        <f t="shared" si="150"/>
        <v>143013708.5990639</v>
      </c>
      <c r="AV400" s="85"/>
      <c r="AW400" s="84">
        <f t="shared" si="151"/>
        <v>143013708.5990639</v>
      </c>
      <c r="AX400" s="86">
        <f t="shared" si="152"/>
        <v>6217987.3303940827</v>
      </c>
      <c r="AY400" s="87">
        <f t="shared" si="153"/>
        <v>143013708.5990639</v>
      </c>
      <c r="AZ400" s="65" t="b">
        <f t="shared" si="154"/>
        <v>1</v>
      </c>
    </row>
    <row r="401" spans="1:52" s="67" customFormat="1" ht="24.75" hidden="1" customHeight="1">
      <c r="A401" s="68">
        <v>397</v>
      </c>
      <c r="B401" s="69" t="s">
        <v>1071</v>
      </c>
      <c r="C401" s="156" t="s">
        <v>806</v>
      </c>
      <c r="D401" s="71" t="s">
        <v>95</v>
      </c>
      <c r="E401" s="150" t="s">
        <v>1072</v>
      </c>
      <c r="F401" s="104"/>
      <c r="G401" s="105">
        <v>46112</v>
      </c>
      <c r="H401" s="102" t="s">
        <v>1058</v>
      </c>
      <c r="I401" s="120" t="s">
        <v>98</v>
      </c>
      <c r="J401" s="102" t="s">
        <v>617</v>
      </c>
      <c r="K401" s="68" t="s">
        <v>99</v>
      </c>
      <c r="L401" s="70" t="s">
        <v>100</v>
      </c>
      <c r="M401" s="143" t="s">
        <v>1022</v>
      </c>
      <c r="N401" s="88" t="s">
        <v>1023</v>
      </c>
      <c r="O401" s="108"/>
      <c r="P401" s="109">
        <v>46113</v>
      </c>
      <c r="Q401" s="110">
        <f t="shared" si="156"/>
        <v>46843</v>
      </c>
      <c r="R401" s="111">
        <v>24</v>
      </c>
      <c r="S401" s="111">
        <v>2</v>
      </c>
      <c r="T401" s="123">
        <v>260256814.363096</v>
      </c>
      <c r="U401" s="113"/>
      <c r="V401" s="123">
        <v>260256814.363096</v>
      </c>
      <c r="W401" s="115">
        <f t="shared" si="135"/>
        <v>10844033.931795666</v>
      </c>
      <c r="X401" s="115"/>
      <c r="Y401" s="115"/>
      <c r="Z401" s="124"/>
      <c r="AA401" s="115"/>
      <c r="AB401" s="167"/>
      <c r="AC401" s="118"/>
      <c r="AD401" s="85"/>
      <c r="AE401" s="118">
        <f t="shared" si="155"/>
        <v>260256814.363096</v>
      </c>
      <c r="AF401" s="85">
        <f t="shared" si="137"/>
        <v>10844033.931795666</v>
      </c>
      <c r="AG401" s="84">
        <f t="shared" si="143"/>
        <v>249412780.43130034</v>
      </c>
      <c r="AH401" s="85"/>
      <c r="AI401" s="84">
        <f t="shared" si="144"/>
        <v>249412780.43130034</v>
      </c>
      <c r="AJ401" s="124"/>
      <c r="AK401" s="84">
        <f t="shared" si="145"/>
        <v>249412780.43130034</v>
      </c>
      <c r="AL401" s="124"/>
      <c r="AM401" s="84">
        <f t="shared" si="146"/>
        <v>249412780.43130034</v>
      </c>
      <c r="AN401" s="85"/>
      <c r="AO401" s="84">
        <f t="shared" si="147"/>
        <v>249412780.43130034</v>
      </c>
      <c r="AP401" s="85"/>
      <c r="AQ401" s="84">
        <f t="shared" si="148"/>
        <v>249412780.43130034</v>
      </c>
      <c r="AR401" s="85"/>
      <c r="AS401" s="84">
        <f t="shared" si="149"/>
        <v>249412780.43130034</v>
      </c>
      <c r="AT401" s="85"/>
      <c r="AU401" s="84">
        <f t="shared" si="150"/>
        <v>249412780.43130034</v>
      </c>
      <c r="AV401" s="85"/>
      <c r="AW401" s="84">
        <f t="shared" si="151"/>
        <v>249412780.43130034</v>
      </c>
      <c r="AX401" s="86">
        <f t="shared" si="152"/>
        <v>10844033.931795666</v>
      </c>
      <c r="AY401" s="87">
        <f t="shared" si="153"/>
        <v>249412780.43130034</v>
      </c>
      <c r="AZ401" s="65" t="b">
        <f t="shared" si="154"/>
        <v>1</v>
      </c>
    </row>
    <row r="402" spans="1:52" s="67" customFormat="1" ht="24.75" hidden="1" customHeight="1">
      <c r="A402" s="68">
        <v>398</v>
      </c>
      <c r="B402" s="69" t="s">
        <v>1073</v>
      </c>
      <c r="C402" s="156" t="s">
        <v>806</v>
      </c>
      <c r="D402" s="71" t="s">
        <v>95</v>
      </c>
      <c r="E402" s="150" t="s">
        <v>1074</v>
      </c>
      <c r="F402" s="104"/>
      <c r="G402" s="105">
        <v>46112</v>
      </c>
      <c r="H402" s="102" t="s">
        <v>1058</v>
      </c>
      <c r="I402" s="120" t="s">
        <v>98</v>
      </c>
      <c r="J402" s="102" t="s">
        <v>617</v>
      </c>
      <c r="K402" s="68" t="s">
        <v>99</v>
      </c>
      <c r="L402" s="70" t="s">
        <v>100</v>
      </c>
      <c r="M402" s="143" t="s">
        <v>1013</v>
      </c>
      <c r="N402" s="88" t="s">
        <v>1014</v>
      </c>
      <c r="O402" s="108"/>
      <c r="P402" s="109">
        <v>46113</v>
      </c>
      <c r="Q402" s="110">
        <f t="shared" si="156"/>
        <v>46843</v>
      </c>
      <c r="R402" s="111">
        <v>24</v>
      </c>
      <c r="S402" s="111">
        <v>2</v>
      </c>
      <c r="T402" s="123">
        <v>44385530.186803497</v>
      </c>
      <c r="U402" s="113"/>
      <c r="V402" s="123">
        <v>44385530.186803497</v>
      </c>
      <c r="W402" s="115">
        <f t="shared" si="135"/>
        <v>1849397.0911168123</v>
      </c>
      <c r="X402" s="115"/>
      <c r="Y402" s="115"/>
      <c r="Z402" s="124"/>
      <c r="AA402" s="115"/>
      <c r="AB402" s="167"/>
      <c r="AC402" s="118"/>
      <c r="AD402" s="85"/>
      <c r="AE402" s="118">
        <f t="shared" si="155"/>
        <v>44385530.186803497</v>
      </c>
      <c r="AF402" s="85">
        <f t="shared" si="137"/>
        <v>1849397.0911168123</v>
      </c>
      <c r="AG402" s="84">
        <f t="shared" si="143"/>
        <v>42536133.095686682</v>
      </c>
      <c r="AH402" s="85"/>
      <c r="AI402" s="84">
        <f>AG402-AH402</f>
        <v>42536133.095686682</v>
      </c>
      <c r="AJ402" s="124"/>
      <c r="AK402" s="84">
        <f t="shared" si="145"/>
        <v>42536133.095686682</v>
      </c>
      <c r="AL402" s="124"/>
      <c r="AM402" s="84">
        <f t="shared" si="146"/>
        <v>42536133.095686682</v>
      </c>
      <c r="AN402" s="85"/>
      <c r="AO402" s="84">
        <f t="shared" si="147"/>
        <v>42536133.095686682</v>
      </c>
      <c r="AP402" s="85"/>
      <c r="AQ402" s="84">
        <f t="shared" si="148"/>
        <v>42536133.095686682</v>
      </c>
      <c r="AR402" s="85"/>
      <c r="AS402" s="84">
        <f t="shared" si="149"/>
        <v>42536133.095686682</v>
      </c>
      <c r="AT402" s="85"/>
      <c r="AU402" s="84">
        <f t="shared" si="150"/>
        <v>42536133.095686682</v>
      </c>
      <c r="AV402" s="85"/>
      <c r="AW402" s="84">
        <f t="shared" si="151"/>
        <v>42536133.095686682</v>
      </c>
      <c r="AX402" s="86">
        <f t="shared" si="152"/>
        <v>1849397.0911168123</v>
      </c>
      <c r="AY402" s="87">
        <f t="shared" si="153"/>
        <v>42536133.095686682</v>
      </c>
      <c r="AZ402" s="65" t="b">
        <f t="shared" si="154"/>
        <v>1</v>
      </c>
    </row>
    <row r="403" spans="1:52" s="67" customFormat="1" ht="24.75" hidden="1" customHeight="1">
      <c r="A403" s="68">
        <v>399</v>
      </c>
      <c r="B403" s="69" t="s">
        <v>1075</v>
      </c>
      <c r="C403" s="88" t="s">
        <v>806</v>
      </c>
      <c r="D403" s="71" t="s">
        <v>396</v>
      </c>
      <c r="E403" s="150" t="s">
        <v>1076</v>
      </c>
      <c r="F403" s="104"/>
      <c r="G403" s="105">
        <v>46112</v>
      </c>
      <c r="H403" s="102" t="s">
        <v>1077</v>
      </c>
      <c r="I403" s="120" t="s">
        <v>399</v>
      </c>
      <c r="J403" s="102" t="s">
        <v>400</v>
      </c>
      <c r="K403" s="68" t="s">
        <v>68</v>
      </c>
      <c r="L403" s="70" t="s">
        <v>69</v>
      </c>
      <c r="M403" s="88" t="s">
        <v>125</v>
      </c>
      <c r="N403" s="88" t="s">
        <v>126</v>
      </c>
      <c r="O403" s="108"/>
      <c r="P403" s="109">
        <v>46113</v>
      </c>
      <c r="Q403" s="110">
        <f t="shared" si="156"/>
        <v>46843</v>
      </c>
      <c r="R403" s="111">
        <v>24</v>
      </c>
      <c r="S403" s="111">
        <f>+R403/12</f>
        <v>2</v>
      </c>
      <c r="T403" s="123">
        <v>109600000</v>
      </c>
      <c r="U403" s="113"/>
      <c r="V403" s="123">
        <v>109600000</v>
      </c>
      <c r="W403" s="115">
        <f t="shared" si="135"/>
        <v>4566666.666666667</v>
      </c>
      <c r="X403" s="115"/>
      <c r="Y403" s="115"/>
      <c r="Z403" s="124"/>
      <c r="AA403" s="115"/>
      <c r="AB403" s="167"/>
      <c r="AC403" s="118"/>
      <c r="AD403" s="85"/>
      <c r="AE403" s="118">
        <f t="shared" si="155"/>
        <v>109600000</v>
      </c>
      <c r="AF403" s="85">
        <f t="shared" si="137"/>
        <v>4566666.666666667</v>
      </c>
      <c r="AG403" s="84">
        <f t="shared" si="143"/>
        <v>105033333.33333333</v>
      </c>
      <c r="AH403" s="85"/>
      <c r="AI403" s="84">
        <f t="shared" si="144"/>
        <v>105033333.33333333</v>
      </c>
      <c r="AJ403" s="124"/>
      <c r="AK403" s="84">
        <f t="shared" si="145"/>
        <v>105033333.33333333</v>
      </c>
      <c r="AL403" s="124"/>
      <c r="AM403" s="84">
        <f t="shared" si="146"/>
        <v>105033333.33333333</v>
      </c>
      <c r="AN403" s="85"/>
      <c r="AO403" s="84">
        <f t="shared" si="147"/>
        <v>105033333.33333333</v>
      </c>
      <c r="AP403" s="85"/>
      <c r="AQ403" s="84">
        <f t="shared" si="148"/>
        <v>105033333.33333333</v>
      </c>
      <c r="AR403" s="85"/>
      <c r="AS403" s="84">
        <f t="shared" si="149"/>
        <v>105033333.33333333</v>
      </c>
      <c r="AT403" s="85"/>
      <c r="AU403" s="84">
        <f t="shared" si="150"/>
        <v>105033333.33333333</v>
      </c>
      <c r="AV403" s="85"/>
      <c r="AW403" s="84">
        <f t="shared" si="151"/>
        <v>105033333.33333333</v>
      </c>
      <c r="AX403" s="86">
        <f t="shared" si="152"/>
        <v>4566666.666666667</v>
      </c>
      <c r="AY403" s="87">
        <f t="shared" si="153"/>
        <v>105033333.33333333</v>
      </c>
      <c r="AZ403" s="65" t="b">
        <f t="shared" si="154"/>
        <v>1</v>
      </c>
    </row>
    <row r="404" spans="1:52" s="67" customFormat="1" ht="24.75" hidden="1" customHeight="1">
      <c r="A404" s="68">
        <v>400</v>
      </c>
      <c r="B404" s="69" t="s">
        <v>1078</v>
      </c>
      <c r="C404" s="88" t="s">
        <v>806</v>
      </c>
      <c r="D404" s="71" t="s">
        <v>82</v>
      </c>
      <c r="E404" s="150" t="s">
        <v>1079</v>
      </c>
      <c r="F404" s="104"/>
      <c r="G404" s="105">
        <v>46112</v>
      </c>
      <c r="H404" s="102" t="s">
        <v>1077</v>
      </c>
      <c r="I404" s="120" t="s">
        <v>84</v>
      </c>
      <c r="J404" s="102" t="s">
        <v>85</v>
      </c>
      <c r="K404" s="68" t="s">
        <v>86</v>
      </c>
      <c r="L404" s="70" t="s">
        <v>87</v>
      </c>
      <c r="M404" s="88" t="s">
        <v>125</v>
      </c>
      <c r="N404" s="88" t="s">
        <v>126</v>
      </c>
      <c r="O404" s="108"/>
      <c r="P404" s="109">
        <v>46113</v>
      </c>
      <c r="Q404" s="110">
        <f t="shared" si="156"/>
        <v>46843</v>
      </c>
      <c r="R404" s="111">
        <v>24</v>
      </c>
      <c r="S404" s="111">
        <f>+R404/12</f>
        <v>2</v>
      </c>
      <c r="T404" s="123">
        <v>285000000</v>
      </c>
      <c r="U404" s="113"/>
      <c r="V404" s="123">
        <v>285000000</v>
      </c>
      <c r="W404" s="115">
        <f t="shared" si="135"/>
        <v>11875000</v>
      </c>
      <c r="X404" s="115"/>
      <c r="Y404" s="115"/>
      <c r="Z404" s="124"/>
      <c r="AA404" s="115"/>
      <c r="AB404" s="167"/>
      <c r="AC404" s="118"/>
      <c r="AD404" s="85"/>
      <c r="AE404" s="118">
        <f t="shared" si="155"/>
        <v>285000000</v>
      </c>
      <c r="AF404" s="85">
        <f t="shared" si="137"/>
        <v>11875000</v>
      </c>
      <c r="AG404" s="84">
        <f t="shared" si="143"/>
        <v>273125000</v>
      </c>
      <c r="AH404" s="85"/>
      <c r="AI404" s="84">
        <f t="shared" si="144"/>
        <v>273125000</v>
      </c>
      <c r="AJ404" s="124"/>
      <c r="AK404" s="84">
        <f t="shared" si="145"/>
        <v>273125000</v>
      </c>
      <c r="AL404" s="124"/>
      <c r="AM404" s="84">
        <f t="shared" si="146"/>
        <v>273125000</v>
      </c>
      <c r="AN404" s="85"/>
      <c r="AO404" s="84">
        <f t="shared" si="147"/>
        <v>273125000</v>
      </c>
      <c r="AP404" s="85"/>
      <c r="AQ404" s="84">
        <f t="shared" si="148"/>
        <v>273125000</v>
      </c>
      <c r="AR404" s="85"/>
      <c r="AS404" s="84">
        <f t="shared" si="149"/>
        <v>273125000</v>
      </c>
      <c r="AT404" s="85"/>
      <c r="AU404" s="84">
        <f t="shared" si="150"/>
        <v>273125000</v>
      </c>
      <c r="AV404" s="85"/>
      <c r="AW404" s="84">
        <f t="shared" si="151"/>
        <v>273125000</v>
      </c>
      <c r="AX404" s="86">
        <f t="shared" si="152"/>
        <v>11875000</v>
      </c>
      <c r="AY404" s="87">
        <f t="shared" si="153"/>
        <v>273125000</v>
      </c>
      <c r="AZ404" s="65" t="b">
        <f t="shared" si="154"/>
        <v>1</v>
      </c>
    </row>
    <row r="405" spans="1:52" s="67" customFormat="1" ht="24.75" hidden="1" customHeight="1">
      <c r="A405" s="68">
        <v>401</v>
      </c>
      <c r="B405" s="69" t="s">
        <v>1080</v>
      </c>
      <c r="C405" s="88" t="s">
        <v>806</v>
      </c>
      <c r="D405" s="71" t="s">
        <v>82</v>
      </c>
      <c r="E405" s="150" t="s">
        <v>1081</v>
      </c>
      <c r="F405" s="104"/>
      <c r="G405" s="105">
        <v>46112</v>
      </c>
      <c r="H405" s="102" t="s">
        <v>1077</v>
      </c>
      <c r="I405" s="120" t="s">
        <v>84</v>
      </c>
      <c r="J405" s="102" t="s">
        <v>85</v>
      </c>
      <c r="K405" s="68" t="s">
        <v>86</v>
      </c>
      <c r="L405" s="70" t="s">
        <v>87</v>
      </c>
      <c r="M405" s="88" t="s">
        <v>125</v>
      </c>
      <c r="N405" s="88" t="s">
        <v>126</v>
      </c>
      <c r="O405" s="108"/>
      <c r="P405" s="109">
        <v>46113</v>
      </c>
      <c r="Q405" s="110">
        <f t="shared" si="156"/>
        <v>46660</v>
      </c>
      <c r="R405" s="111">
        <v>18</v>
      </c>
      <c r="S405" s="153">
        <v>1.5</v>
      </c>
      <c r="T405" s="123">
        <v>90000000</v>
      </c>
      <c r="U405" s="113"/>
      <c r="V405" s="123">
        <v>90000000</v>
      </c>
      <c r="W405" s="115">
        <f t="shared" si="135"/>
        <v>5000000</v>
      </c>
      <c r="X405" s="115"/>
      <c r="Y405" s="115"/>
      <c r="Z405" s="124"/>
      <c r="AA405" s="115"/>
      <c r="AB405" s="167"/>
      <c r="AC405" s="118"/>
      <c r="AD405" s="85"/>
      <c r="AE405" s="118">
        <f t="shared" si="155"/>
        <v>90000000</v>
      </c>
      <c r="AF405" s="85">
        <f t="shared" si="137"/>
        <v>5000000</v>
      </c>
      <c r="AG405" s="84">
        <f t="shared" si="143"/>
        <v>85000000</v>
      </c>
      <c r="AH405" s="85"/>
      <c r="AI405" s="84">
        <f t="shared" si="144"/>
        <v>85000000</v>
      </c>
      <c r="AJ405" s="124"/>
      <c r="AK405" s="84">
        <f t="shared" si="145"/>
        <v>85000000</v>
      </c>
      <c r="AL405" s="124"/>
      <c r="AM405" s="84">
        <f t="shared" si="146"/>
        <v>85000000</v>
      </c>
      <c r="AN405" s="85"/>
      <c r="AO405" s="84">
        <f t="shared" si="147"/>
        <v>85000000</v>
      </c>
      <c r="AP405" s="85"/>
      <c r="AQ405" s="84">
        <f t="shared" si="148"/>
        <v>85000000</v>
      </c>
      <c r="AR405" s="85"/>
      <c r="AS405" s="84">
        <f t="shared" si="149"/>
        <v>85000000</v>
      </c>
      <c r="AT405" s="85"/>
      <c r="AU405" s="84">
        <f t="shared" si="150"/>
        <v>85000000</v>
      </c>
      <c r="AV405" s="85"/>
      <c r="AW405" s="84">
        <f t="shared" si="151"/>
        <v>85000000</v>
      </c>
      <c r="AX405" s="86">
        <f t="shared" si="152"/>
        <v>5000000</v>
      </c>
      <c r="AY405" s="87">
        <f t="shared" si="153"/>
        <v>85000000</v>
      </c>
      <c r="AZ405" s="65" t="b">
        <f t="shared" si="154"/>
        <v>1</v>
      </c>
    </row>
    <row r="406" spans="1:52" s="67" customFormat="1" ht="24.75" hidden="1" customHeight="1">
      <c r="A406" s="68">
        <v>402</v>
      </c>
      <c r="B406" s="69" t="s">
        <v>1082</v>
      </c>
      <c r="C406" s="156" t="s">
        <v>806</v>
      </c>
      <c r="D406" s="71" t="s">
        <v>681</v>
      </c>
      <c r="E406" s="150" t="s">
        <v>1083</v>
      </c>
      <c r="F406" s="104"/>
      <c r="G406" s="105">
        <v>46112</v>
      </c>
      <c r="H406" s="102" t="s">
        <v>1077</v>
      </c>
      <c r="I406" s="120" t="s">
        <v>84</v>
      </c>
      <c r="J406" s="102" t="s">
        <v>85</v>
      </c>
      <c r="K406" s="68" t="s">
        <v>86</v>
      </c>
      <c r="L406" s="70" t="s">
        <v>87</v>
      </c>
      <c r="M406" s="88" t="s">
        <v>130</v>
      </c>
      <c r="N406" s="88" t="s">
        <v>131</v>
      </c>
      <c r="O406" s="108"/>
      <c r="P406" s="109">
        <v>46113</v>
      </c>
      <c r="Q406" s="110">
        <f t="shared" si="156"/>
        <v>46660</v>
      </c>
      <c r="R406" s="111">
        <v>18</v>
      </c>
      <c r="S406" s="153">
        <v>1.5</v>
      </c>
      <c r="T406" s="123">
        <v>150000000</v>
      </c>
      <c r="U406" s="113"/>
      <c r="V406" s="123">
        <v>150000000</v>
      </c>
      <c r="W406" s="115">
        <f t="shared" si="135"/>
        <v>8333333.333333333</v>
      </c>
      <c r="X406" s="115"/>
      <c r="Y406" s="115"/>
      <c r="Z406" s="124"/>
      <c r="AA406" s="115"/>
      <c r="AB406" s="167"/>
      <c r="AC406" s="118"/>
      <c r="AD406" s="85"/>
      <c r="AE406" s="118">
        <f t="shared" si="155"/>
        <v>150000000</v>
      </c>
      <c r="AF406" s="85">
        <f t="shared" si="137"/>
        <v>8333333.333333333</v>
      </c>
      <c r="AG406" s="84">
        <f t="shared" si="143"/>
        <v>141666666.66666666</v>
      </c>
      <c r="AH406" s="85"/>
      <c r="AI406" s="84">
        <f t="shared" si="144"/>
        <v>141666666.66666666</v>
      </c>
      <c r="AJ406" s="124"/>
      <c r="AK406" s="84">
        <f t="shared" si="145"/>
        <v>141666666.66666666</v>
      </c>
      <c r="AL406" s="124"/>
      <c r="AM406" s="84">
        <f t="shared" si="146"/>
        <v>141666666.66666666</v>
      </c>
      <c r="AN406" s="85"/>
      <c r="AO406" s="84">
        <f t="shared" si="147"/>
        <v>141666666.66666666</v>
      </c>
      <c r="AP406" s="85"/>
      <c r="AQ406" s="84">
        <f t="shared" si="148"/>
        <v>141666666.66666666</v>
      </c>
      <c r="AR406" s="85"/>
      <c r="AS406" s="84">
        <f t="shared" si="149"/>
        <v>141666666.66666666</v>
      </c>
      <c r="AT406" s="85"/>
      <c r="AU406" s="84">
        <f t="shared" si="150"/>
        <v>141666666.66666666</v>
      </c>
      <c r="AV406" s="85"/>
      <c r="AW406" s="84">
        <f t="shared" si="151"/>
        <v>141666666.66666666</v>
      </c>
      <c r="AX406" s="86">
        <f t="shared" si="152"/>
        <v>8333333.333333333</v>
      </c>
      <c r="AY406" s="87">
        <f t="shared" si="153"/>
        <v>141666666.66666666</v>
      </c>
      <c r="AZ406" s="65" t="b">
        <f t="shared" si="154"/>
        <v>1</v>
      </c>
    </row>
    <row r="407" spans="1:52" s="67" customFormat="1" ht="24.75" hidden="1" customHeight="1">
      <c r="A407" s="68">
        <v>403</v>
      </c>
      <c r="B407" s="69" t="s">
        <v>1084</v>
      </c>
      <c r="C407" s="156" t="s">
        <v>806</v>
      </c>
      <c r="D407" s="71" t="s">
        <v>681</v>
      </c>
      <c r="E407" s="150" t="s">
        <v>1007</v>
      </c>
      <c r="F407" s="104"/>
      <c r="G407" s="105">
        <v>46112</v>
      </c>
      <c r="H407" s="102" t="s">
        <v>1077</v>
      </c>
      <c r="I407" s="120" t="s">
        <v>84</v>
      </c>
      <c r="J407" s="102" t="s">
        <v>85</v>
      </c>
      <c r="K407" s="68" t="s">
        <v>86</v>
      </c>
      <c r="L407" s="70" t="s">
        <v>87</v>
      </c>
      <c r="M407" s="88" t="s">
        <v>130</v>
      </c>
      <c r="N407" s="88" t="s">
        <v>131</v>
      </c>
      <c r="O407" s="108"/>
      <c r="P407" s="109">
        <v>46113</v>
      </c>
      <c r="Q407" s="110">
        <f t="shared" si="156"/>
        <v>46843</v>
      </c>
      <c r="R407" s="111">
        <v>24</v>
      </c>
      <c r="S407" s="111">
        <f>+R407/12</f>
        <v>2</v>
      </c>
      <c r="T407" s="123">
        <v>126600000</v>
      </c>
      <c r="U407" s="113"/>
      <c r="V407" s="123">
        <v>126600000</v>
      </c>
      <c r="W407" s="115">
        <f t="shared" si="135"/>
        <v>5275000</v>
      </c>
      <c r="X407" s="115"/>
      <c r="Y407" s="115"/>
      <c r="Z407" s="124"/>
      <c r="AA407" s="115"/>
      <c r="AB407" s="167"/>
      <c r="AC407" s="118"/>
      <c r="AD407" s="85"/>
      <c r="AE407" s="118">
        <f t="shared" si="155"/>
        <v>126600000</v>
      </c>
      <c r="AF407" s="85">
        <f t="shared" si="137"/>
        <v>5275000</v>
      </c>
      <c r="AG407" s="84">
        <f>AE407-AF407</f>
        <v>121325000</v>
      </c>
      <c r="AH407" s="85"/>
      <c r="AI407" s="84">
        <f t="shared" si="144"/>
        <v>121325000</v>
      </c>
      <c r="AJ407" s="124"/>
      <c r="AK407" s="84">
        <f t="shared" si="145"/>
        <v>121325000</v>
      </c>
      <c r="AL407" s="124"/>
      <c r="AM407" s="84">
        <f t="shared" si="146"/>
        <v>121325000</v>
      </c>
      <c r="AN407" s="85"/>
      <c r="AO407" s="84">
        <f t="shared" si="147"/>
        <v>121325000</v>
      </c>
      <c r="AP407" s="85"/>
      <c r="AQ407" s="84">
        <f t="shared" si="148"/>
        <v>121325000</v>
      </c>
      <c r="AR407" s="85"/>
      <c r="AS407" s="84">
        <f t="shared" si="149"/>
        <v>121325000</v>
      </c>
      <c r="AT407" s="85"/>
      <c r="AU407" s="84">
        <f t="shared" si="150"/>
        <v>121325000</v>
      </c>
      <c r="AV407" s="85"/>
      <c r="AW407" s="84">
        <f t="shared" si="151"/>
        <v>121325000</v>
      </c>
      <c r="AX407" s="86">
        <f t="shared" si="152"/>
        <v>5275000</v>
      </c>
      <c r="AY407" s="87">
        <f t="shared" si="153"/>
        <v>121325000</v>
      </c>
      <c r="AZ407" s="65" t="b">
        <f t="shared" si="154"/>
        <v>1</v>
      </c>
    </row>
    <row r="408" spans="1:52" s="67" customFormat="1" ht="24.75" hidden="1" customHeight="1">
      <c r="A408" s="68">
        <v>404</v>
      </c>
      <c r="B408" s="69" t="s">
        <v>1085</v>
      </c>
      <c r="C408" s="156" t="s">
        <v>806</v>
      </c>
      <c r="D408" s="71" t="s">
        <v>681</v>
      </c>
      <c r="E408" s="150" t="s">
        <v>1086</v>
      </c>
      <c r="F408" s="104"/>
      <c r="G408" s="105">
        <v>46112</v>
      </c>
      <c r="H408" s="102" t="s">
        <v>1077</v>
      </c>
      <c r="I408" s="120" t="s">
        <v>84</v>
      </c>
      <c r="J408" s="102" t="s">
        <v>85</v>
      </c>
      <c r="K408" s="68" t="s">
        <v>86</v>
      </c>
      <c r="L408" s="70" t="s">
        <v>87</v>
      </c>
      <c r="M408" s="88" t="s">
        <v>70</v>
      </c>
      <c r="N408" s="88" t="s">
        <v>71</v>
      </c>
      <c r="O408" s="108"/>
      <c r="P408" s="109">
        <v>46113</v>
      </c>
      <c r="Q408" s="110">
        <f t="shared" si="156"/>
        <v>46843</v>
      </c>
      <c r="R408" s="111">
        <v>24</v>
      </c>
      <c r="S408" s="111">
        <f>+R408/12</f>
        <v>2</v>
      </c>
      <c r="T408" s="123">
        <v>168000000</v>
      </c>
      <c r="U408" s="113"/>
      <c r="V408" s="123">
        <v>168000000</v>
      </c>
      <c r="W408" s="115">
        <f t="shared" si="135"/>
        <v>7000000</v>
      </c>
      <c r="X408" s="115"/>
      <c r="Y408" s="115"/>
      <c r="Z408" s="124"/>
      <c r="AA408" s="115"/>
      <c r="AB408" s="167"/>
      <c r="AC408" s="118"/>
      <c r="AD408" s="85"/>
      <c r="AE408" s="118">
        <f t="shared" si="155"/>
        <v>168000000</v>
      </c>
      <c r="AF408" s="85">
        <f t="shared" si="137"/>
        <v>7000000</v>
      </c>
      <c r="AG408" s="84">
        <f t="shared" si="143"/>
        <v>161000000</v>
      </c>
      <c r="AH408" s="85"/>
      <c r="AI408" s="84">
        <f t="shared" si="144"/>
        <v>161000000</v>
      </c>
      <c r="AJ408" s="124"/>
      <c r="AK408" s="84">
        <f t="shared" si="145"/>
        <v>161000000</v>
      </c>
      <c r="AL408" s="124"/>
      <c r="AM408" s="84">
        <f t="shared" si="146"/>
        <v>161000000</v>
      </c>
      <c r="AN408" s="85"/>
      <c r="AO408" s="84">
        <f t="shared" si="147"/>
        <v>161000000</v>
      </c>
      <c r="AP408" s="85"/>
      <c r="AQ408" s="84">
        <f t="shared" si="148"/>
        <v>161000000</v>
      </c>
      <c r="AR408" s="85"/>
      <c r="AS408" s="84">
        <f t="shared" si="149"/>
        <v>161000000</v>
      </c>
      <c r="AT408" s="85"/>
      <c r="AU408" s="84">
        <f t="shared" si="150"/>
        <v>161000000</v>
      </c>
      <c r="AV408" s="85"/>
      <c r="AW408" s="84">
        <f t="shared" si="151"/>
        <v>161000000</v>
      </c>
      <c r="AX408" s="86">
        <f t="shared" si="152"/>
        <v>7000000</v>
      </c>
      <c r="AY408" s="87">
        <f t="shared" si="153"/>
        <v>161000000</v>
      </c>
      <c r="AZ408" s="65" t="b">
        <f t="shared" si="154"/>
        <v>1</v>
      </c>
    </row>
    <row r="409" spans="1:52" s="67" customFormat="1" ht="24.75" hidden="1" customHeight="1">
      <c r="A409" s="68">
        <v>405</v>
      </c>
      <c r="B409" s="69" t="s">
        <v>1087</v>
      </c>
      <c r="C409" s="156" t="s">
        <v>806</v>
      </c>
      <c r="D409" s="71" t="s">
        <v>681</v>
      </c>
      <c r="E409" s="150" t="s">
        <v>1088</v>
      </c>
      <c r="F409" s="104"/>
      <c r="G409" s="105">
        <v>46112</v>
      </c>
      <c r="H409" s="102" t="s">
        <v>1077</v>
      </c>
      <c r="I409" s="120" t="s">
        <v>84</v>
      </c>
      <c r="J409" s="102" t="s">
        <v>85</v>
      </c>
      <c r="K409" s="68" t="s">
        <v>86</v>
      </c>
      <c r="L409" s="70" t="s">
        <v>87</v>
      </c>
      <c r="M409" s="88" t="s">
        <v>70</v>
      </c>
      <c r="N409" s="88" t="s">
        <v>71</v>
      </c>
      <c r="O409" s="108"/>
      <c r="P409" s="109">
        <v>46113</v>
      </c>
      <c r="Q409" s="110">
        <f t="shared" si="156"/>
        <v>46843</v>
      </c>
      <c r="R409" s="111">
        <v>24</v>
      </c>
      <c r="S409" s="111">
        <f>+R409/12</f>
        <v>2</v>
      </c>
      <c r="T409" s="123">
        <v>376000000</v>
      </c>
      <c r="U409" s="113"/>
      <c r="V409" s="123">
        <v>376000000</v>
      </c>
      <c r="W409" s="115">
        <f t="shared" si="135"/>
        <v>15666666.666666666</v>
      </c>
      <c r="X409" s="115"/>
      <c r="Y409" s="115"/>
      <c r="Z409" s="124"/>
      <c r="AA409" s="115"/>
      <c r="AB409" s="167"/>
      <c r="AC409" s="118"/>
      <c r="AD409" s="85"/>
      <c r="AE409" s="118">
        <f>+V409-X409-Z409-AB409-AD409</f>
        <v>376000000</v>
      </c>
      <c r="AF409" s="85">
        <f t="shared" si="137"/>
        <v>15666666.666666666</v>
      </c>
      <c r="AG409" s="84">
        <f t="shared" si="143"/>
        <v>360333333.33333331</v>
      </c>
      <c r="AH409" s="85"/>
      <c r="AI409" s="84">
        <f t="shared" si="144"/>
        <v>360333333.33333331</v>
      </c>
      <c r="AJ409" s="124"/>
      <c r="AK409" s="84">
        <f t="shared" si="145"/>
        <v>360333333.33333331</v>
      </c>
      <c r="AL409" s="124"/>
      <c r="AM409" s="84">
        <f t="shared" si="146"/>
        <v>360333333.33333331</v>
      </c>
      <c r="AN409" s="85"/>
      <c r="AO409" s="84">
        <f t="shared" si="147"/>
        <v>360333333.33333331</v>
      </c>
      <c r="AP409" s="85"/>
      <c r="AQ409" s="84">
        <f t="shared" si="148"/>
        <v>360333333.33333331</v>
      </c>
      <c r="AR409" s="85"/>
      <c r="AS409" s="84">
        <f t="shared" si="149"/>
        <v>360333333.33333331</v>
      </c>
      <c r="AT409" s="85"/>
      <c r="AU409" s="84">
        <f t="shared" si="150"/>
        <v>360333333.33333331</v>
      </c>
      <c r="AV409" s="85"/>
      <c r="AW409" s="84">
        <f t="shared" si="151"/>
        <v>360333333.33333331</v>
      </c>
      <c r="AX409" s="86">
        <f t="shared" si="152"/>
        <v>15666666.666666666</v>
      </c>
      <c r="AY409" s="87">
        <f t="shared" si="153"/>
        <v>360333333.33333331</v>
      </c>
      <c r="AZ409" s="65" t="b">
        <f t="shared" si="154"/>
        <v>1</v>
      </c>
    </row>
    <row r="410" spans="1:52" s="67" customFormat="1" ht="24.75" hidden="1" customHeight="1">
      <c r="A410" s="68">
        <v>406</v>
      </c>
      <c r="B410" s="69" t="s">
        <v>1089</v>
      </c>
      <c r="C410" s="156" t="s">
        <v>806</v>
      </c>
      <c r="D410" s="71" t="s">
        <v>681</v>
      </c>
      <c r="E410" s="150" t="s">
        <v>1090</v>
      </c>
      <c r="F410" s="104"/>
      <c r="G410" s="105">
        <v>46112</v>
      </c>
      <c r="H410" s="102" t="s">
        <v>1077</v>
      </c>
      <c r="I410" s="120" t="s">
        <v>84</v>
      </c>
      <c r="J410" s="102" t="s">
        <v>85</v>
      </c>
      <c r="K410" s="68" t="s">
        <v>86</v>
      </c>
      <c r="L410" s="70" t="s">
        <v>87</v>
      </c>
      <c r="M410" s="88" t="s">
        <v>673</v>
      </c>
      <c r="N410" s="88" t="s">
        <v>674</v>
      </c>
      <c r="O410" s="108"/>
      <c r="P410" s="109">
        <v>46113</v>
      </c>
      <c r="Q410" s="110">
        <f t="shared" si="156"/>
        <v>46660</v>
      </c>
      <c r="R410" s="111">
        <v>18</v>
      </c>
      <c r="S410" s="153">
        <v>1.5</v>
      </c>
      <c r="T410" s="123">
        <v>18400000</v>
      </c>
      <c r="U410" s="113"/>
      <c r="V410" s="123">
        <v>18400000</v>
      </c>
      <c r="W410" s="115">
        <f t="shared" si="135"/>
        <v>1022222.2222222222</v>
      </c>
      <c r="X410" s="115"/>
      <c r="Y410" s="115"/>
      <c r="Z410" s="124"/>
      <c r="AA410" s="115"/>
      <c r="AB410" s="167"/>
      <c r="AC410" s="118"/>
      <c r="AD410" s="85"/>
      <c r="AE410" s="118">
        <f>+V410-X410-Z410-AB410-AD410</f>
        <v>18400000</v>
      </c>
      <c r="AF410" s="85">
        <f>+IF(AE410&lt;&gt;0,$W410,0)</f>
        <v>1022222.2222222222</v>
      </c>
      <c r="AG410" s="84">
        <f>AE410-AF410</f>
        <v>17377777.777777776</v>
      </c>
      <c r="AH410" s="85"/>
      <c r="AI410" s="84">
        <f t="shared" si="144"/>
        <v>17377777.777777776</v>
      </c>
      <c r="AJ410" s="124"/>
      <c r="AK410" s="84">
        <f t="shared" si="145"/>
        <v>17377777.777777776</v>
      </c>
      <c r="AL410" s="124"/>
      <c r="AM410" s="84">
        <f t="shared" si="146"/>
        <v>17377777.777777776</v>
      </c>
      <c r="AN410" s="85"/>
      <c r="AO410" s="84">
        <f t="shared" si="147"/>
        <v>17377777.777777776</v>
      </c>
      <c r="AP410" s="85"/>
      <c r="AQ410" s="84">
        <f t="shared" si="148"/>
        <v>17377777.777777776</v>
      </c>
      <c r="AR410" s="85"/>
      <c r="AS410" s="84">
        <f t="shared" si="149"/>
        <v>17377777.777777776</v>
      </c>
      <c r="AT410" s="85"/>
      <c r="AU410" s="84">
        <f t="shared" si="150"/>
        <v>17377777.777777776</v>
      </c>
      <c r="AV410" s="85"/>
      <c r="AW410" s="84">
        <f t="shared" si="151"/>
        <v>17377777.777777776</v>
      </c>
      <c r="AX410" s="86">
        <f>SUMIF($Z$4:$AW$4,"Amortization",Z410:AW410)</f>
        <v>1022222.2222222222</v>
      </c>
      <c r="AY410" s="87">
        <f>V410-X410-AX410</f>
        <v>17377777.777777776</v>
      </c>
      <c r="AZ410" s="65" t="b">
        <f t="shared" si="154"/>
        <v>1</v>
      </c>
    </row>
    <row r="411" spans="1:52" s="67" customFormat="1" ht="24.75" hidden="1" customHeight="1">
      <c r="A411" s="68">
        <v>407</v>
      </c>
      <c r="B411" s="69" t="s">
        <v>1091</v>
      </c>
      <c r="C411" s="156" t="s">
        <v>1092</v>
      </c>
      <c r="D411" s="71" t="s">
        <v>396</v>
      </c>
      <c r="E411" s="150" t="s">
        <v>1093</v>
      </c>
      <c r="F411" s="104"/>
      <c r="G411" s="105">
        <v>46141</v>
      </c>
      <c r="H411" s="102" t="s">
        <v>1094</v>
      </c>
      <c r="I411" s="120" t="s">
        <v>399</v>
      </c>
      <c r="J411" s="102" t="s">
        <v>400</v>
      </c>
      <c r="K411" s="68" t="s">
        <v>349</v>
      </c>
      <c r="L411" s="70" t="s">
        <v>69</v>
      </c>
      <c r="M411" s="88" t="s">
        <v>403</v>
      </c>
      <c r="N411" s="88" t="s">
        <v>404</v>
      </c>
      <c r="O411" s="108"/>
      <c r="P411" s="109">
        <v>46143</v>
      </c>
      <c r="Q411" s="110">
        <f t="shared" si="156"/>
        <v>46873</v>
      </c>
      <c r="R411" s="111">
        <v>24</v>
      </c>
      <c r="S411" s="111">
        <f>+R411/12</f>
        <v>2</v>
      </c>
      <c r="T411" s="123">
        <v>25660000</v>
      </c>
      <c r="U411" s="113"/>
      <c r="V411" s="123">
        <v>25660000</v>
      </c>
      <c r="W411" s="115">
        <f t="shared" si="135"/>
        <v>1069166.6666666667</v>
      </c>
      <c r="X411" s="115"/>
      <c r="Y411" s="115"/>
      <c r="Z411" s="124"/>
      <c r="AA411" s="115"/>
      <c r="AB411" s="167"/>
      <c r="AC411" s="118"/>
      <c r="AD411" s="85"/>
      <c r="AE411" s="118"/>
      <c r="AF411" s="85"/>
      <c r="AG411" s="84">
        <f>+V411-X411-Z411-AB411-AD411-AF411</f>
        <v>25660000</v>
      </c>
      <c r="AH411" s="85"/>
      <c r="AI411" s="84">
        <f t="shared" si="144"/>
        <v>25660000</v>
      </c>
      <c r="AJ411" s="124"/>
      <c r="AK411" s="84">
        <f t="shared" si="145"/>
        <v>25660000</v>
      </c>
      <c r="AL411" s="124"/>
      <c r="AM411" s="84">
        <f t="shared" si="146"/>
        <v>25660000</v>
      </c>
      <c r="AN411" s="85"/>
      <c r="AO411" s="84">
        <f t="shared" si="147"/>
        <v>25660000</v>
      </c>
      <c r="AP411" s="85"/>
      <c r="AQ411" s="84">
        <f t="shared" si="148"/>
        <v>25660000</v>
      </c>
      <c r="AR411" s="85"/>
      <c r="AS411" s="84">
        <f t="shared" si="149"/>
        <v>25660000</v>
      </c>
      <c r="AT411" s="85"/>
      <c r="AU411" s="84">
        <f t="shared" si="150"/>
        <v>25660000</v>
      </c>
      <c r="AV411" s="85"/>
      <c r="AW411" s="84">
        <f t="shared" si="151"/>
        <v>25660000</v>
      </c>
      <c r="AX411" s="86">
        <f t="shared" ref="AX411:AX453" si="157">SUMIF($Z$4:$AW$4,"Amortization",Z411:AW411)</f>
        <v>0</v>
      </c>
      <c r="AY411" s="168">
        <f>V411-X411-AX411</f>
        <v>25660000</v>
      </c>
      <c r="AZ411" s="65"/>
    </row>
    <row r="412" spans="1:52" s="67" customFormat="1" ht="24.75" hidden="1" customHeight="1">
      <c r="A412" s="68">
        <v>408</v>
      </c>
      <c r="B412" s="69" t="s">
        <v>1095</v>
      </c>
      <c r="C412" s="156" t="s">
        <v>1092</v>
      </c>
      <c r="D412" s="71" t="s">
        <v>396</v>
      </c>
      <c r="E412" s="150" t="s">
        <v>1096</v>
      </c>
      <c r="F412" s="104"/>
      <c r="G412" s="105">
        <v>46141</v>
      </c>
      <c r="H412" s="102" t="s">
        <v>1094</v>
      </c>
      <c r="I412" s="120" t="s">
        <v>399</v>
      </c>
      <c r="J412" s="102" t="s">
        <v>400</v>
      </c>
      <c r="K412" s="68" t="s">
        <v>68</v>
      </c>
      <c r="L412" s="70" t="s">
        <v>69</v>
      </c>
      <c r="M412" s="88" t="s">
        <v>125</v>
      </c>
      <c r="N412" s="88" t="s">
        <v>126</v>
      </c>
      <c r="O412" s="108"/>
      <c r="P412" s="109">
        <v>46143</v>
      </c>
      <c r="Q412" s="110">
        <f t="shared" si="156"/>
        <v>46873</v>
      </c>
      <c r="R412" s="111">
        <v>24</v>
      </c>
      <c r="S412" s="111">
        <f>+R412/12</f>
        <v>2</v>
      </c>
      <c r="T412" s="123">
        <v>19640000</v>
      </c>
      <c r="U412" s="113"/>
      <c r="V412" s="123">
        <v>19640000</v>
      </c>
      <c r="W412" s="115">
        <f t="shared" si="135"/>
        <v>818333.33333333337</v>
      </c>
      <c r="X412" s="115"/>
      <c r="Y412" s="115"/>
      <c r="Z412" s="124"/>
      <c r="AA412" s="115"/>
      <c r="AB412" s="167"/>
      <c r="AC412" s="118"/>
      <c r="AD412" s="85"/>
      <c r="AE412" s="118"/>
      <c r="AF412" s="85"/>
      <c r="AG412" s="84">
        <f t="shared" ref="AG412:AG453" si="158">+V412-X412-Z412-AB412-AD412-AF412</f>
        <v>19640000</v>
      </c>
      <c r="AH412" s="85"/>
      <c r="AI412" s="84"/>
      <c r="AJ412" s="124"/>
      <c r="AK412" s="84"/>
      <c r="AL412" s="124"/>
      <c r="AM412" s="84"/>
      <c r="AN412" s="85"/>
      <c r="AO412" s="84"/>
      <c r="AP412" s="85"/>
      <c r="AQ412" s="84"/>
      <c r="AR412" s="85"/>
      <c r="AS412" s="84"/>
      <c r="AT412" s="85"/>
      <c r="AU412" s="84"/>
      <c r="AV412" s="85"/>
      <c r="AW412" s="84"/>
      <c r="AX412" s="86">
        <f t="shared" si="157"/>
        <v>0</v>
      </c>
      <c r="AY412" s="87">
        <f t="shared" ref="AY412:AY453" si="159">V412-X412-AX412</f>
        <v>19640000</v>
      </c>
      <c r="AZ412" s="65"/>
    </row>
    <row r="413" spans="1:52" s="67" customFormat="1" ht="24.75" hidden="1" customHeight="1">
      <c r="A413" s="68">
        <v>409</v>
      </c>
      <c r="B413" s="69" t="s">
        <v>1097</v>
      </c>
      <c r="C413" s="156" t="s">
        <v>105</v>
      </c>
      <c r="D413" s="71" t="s">
        <v>106</v>
      </c>
      <c r="E413" s="150" t="s">
        <v>1098</v>
      </c>
      <c r="F413" s="104"/>
      <c r="G413" s="105">
        <v>46136</v>
      </c>
      <c r="H413" s="102" t="s">
        <v>1099</v>
      </c>
      <c r="I413" s="120" t="s">
        <v>66</v>
      </c>
      <c r="J413" s="102" t="s">
        <v>67</v>
      </c>
      <c r="K413" s="68" t="s">
        <v>109</v>
      </c>
      <c r="L413" s="70" t="s">
        <v>110</v>
      </c>
      <c r="M413" s="88" t="s">
        <v>60</v>
      </c>
      <c r="N413" s="88" t="s">
        <v>61</v>
      </c>
      <c r="O413" s="108"/>
      <c r="P413" s="109">
        <v>46143</v>
      </c>
      <c r="Q413" s="110">
        <f t="shared" si="156"/>
        <v>46142</v>
      </c>
      <c r="R413" s="111"/>
      <c r="S413" s="153"/>
      <c r="T413" s="123">
        <v>232000000</v>
      </c>
      <c r="U413" s="113"/>
      <c r="V413" s="123">
        <v>232000000</v>
      </c>
      <c r="W413" s="115" t="e">
        <f>V413/R413</f>
        <v>#DIV/0!</v>
      </c>
      <c r="X413" s="115"/>
      <c r="Y413" s="115"/>
      <c r="Z413" s="124"/>
      <c r="AA413" s="115"/>
      <c r="AB413" s="167"/>
      <c r="AC413" s="118"/>
      <c r="AD413" s="85"/>
      <c r="AE413" s="118"/>
      <c r="AF413" s="85"/>
      <c r="AG413" s="84">
        <f t="shared" si="158"/>
        <v>232000000</v>
      </c>
      <c r="AH413" s="85"/>
      <c r="AI413" s="84"/>
      <c r="AJ413" s="124"/>
      <c r="AK413" s="84"/>
      <c r="AL413" s="124"/>
      <c r="AM413" s="84"/>
      <c r="AN413" s="85"/>
      <c r="AO413" s="84"/>
      <c r="AP413" s="85"/>
      <c r="AQ413" s="84"/>
      <c r="AR413" s="85"/>
      <c r="AS413" s="84"/>
      <c r="AT413" s="85"/>
      <c r="AU413" s="84"/>
      <c r="AV413" s="85"/>
      <c r="AW413" s="84"/>
      <c r="AX413" s="86">
        <f t="shared" si="157"/>
        <v>0</v>
      </c>
      <c r="AY413" s="87">
        <f t="shared" si="159"/>
        <v>232000000</v>
      </c>
      <c r="AZ413" s="65"/>
    </row>
    <row r="414" spans="1:52" s="67" customFormat="1" ht="24.75" hidden="1" customHeight="1">
      <c r="A414" s="68">
        <v>410</v>
      </c>
      <c r="B414" s="69" t="s">
        <v>1100</v>
      </c>
      <c r="C414" s="156" t="s">
        <v>105</v>
      </c>
      <c r="D414" s="71" t="s">
        <v>106</v>
      </c>
      <c r="E414" s="150" t="s">
        <v>1101</v>
      </c>
      <c r="F414" s="104"/>
      <c r="G414" s="105">
        <v>46136</v>
      </c>
      <c r="H414" s="102" t="s">
        <v>1099</v>
      </c>
      <c r="I414" s="120" t="s">
        <v>66</v>
      </c>
      <c r="J414" s="102" t="s">
        <v>67</v>
      </c>
      <c r="K414" s="68" t="s">
        <v>109</v>
      </c>
      <c r="L414" s="70" t="s">
        <v>110</v>
      </c>
      <c r="M414" s="88" t="s">
        <v>60</v>
      </c>
      <c r="N414" s="88" t="s">
        <v>61</v>
      </c>
      <c r="O414" s="108"/>
      <c r="P414" s="109">
        <v>46143</v>
      </c>
      <c r="Q414" s="110">
        <f t="shared" si="156"/>
        <v>46142</v>
      </c>
      <c r="R414" s="111"/>
      <c r="S414" s="153"/>
      <c r="T414" s="123">
        <v>291000000</v>
      </c>
      <c r="U414" s="113"/>
      <c r="V414" s="123">
        <v>291000000</v>
      </c>
      <c r="W414" s="115" t="e">
        <f>V414/R414</f>
        <v>#DIV/0!</v>
      </c>
      <c r="X414" s="115"/>
      <c r="Y414" s="115"/>
      <c r="Z414" s="124"/>
      <c r="AA414" s="115"/>
      <c r="AB414" s="167"/>
      <c r="AC414" s="118"/>
      <c r="AD414" s="85"/>
      <c r="AE414" s="118"/>
      <c r="AF414" s="85"/>
      <c r="AG414" s="84">
        <f t="shared" si="158"/>
        <v>291000000</v>
      </c>
      <c r="AH414" s="85"/>
      <c r="AI414" s="84"/>
      <c r="AJ414" s="124"/>
      <c r="AK414" s="84"/>
      <c r="AL414" s="124"/>
      <c r="AM414" s="84"/>
      <c r="AN414" s="85"/>
      <c r="AO414" s="84"/>
      <c r="AP414" s="85"/>
      <c r="AQ414" s="84"/>
      <c r="AR414" s="85"/>
      <c r="AS414" s="84"/>
      <c r="AT414" s="85"/>
      <c r="AU414" s="84"/>
      <c r="AV414" s="85"/>
      <c r="AW414" s="84"/>
      <c r="AX414" s="86">
        <f t="shared" si="157"/>
        <v>0</v>
      </c>
      <c r="AY414" s="87">
        <f t="shared" si="159"/>
        <v>291000000</v>
      </c>
      <c r="AZ414" s="65"/>
    </row>
    <row r="415" spans="1:52" s="67" customFormat="1" ht="24.75" hidden="1" customHeight="1">
      <c r="A415" s="68">
        <v>411</v>
      </c>
      <c r="B415" s="69" t="s">
        <v>1102</v>
      </c>
      <c r="C415" s="156" t="s">
        <v>73</v>
      </c>
      <c r="D415" s="71" t="s">
        <v>64</v>
      </c>
      <c r="E415" s="150" t="s">
        <v>1103</v>
      </c>
      <c r="F415" s="104"/>
      <c r="G415" s="105">
        <v>46140</v>
      </c>
      <c r="H415" s="102" t="s">
        <v>1104</v>
      </c>
      <c r="I415" s="120" t="s">
        <v>66</v>
      </c>
      <c r="J415" s="102" t="s">
        <v>67</v>
      </c>
      <c r="K415" s="128">
        <v>55022207</v>
      </c>
      <c r="L415" s="70" t="s">
        <v>1105</v>
      </c>
      <c r="M415" s="88" t="s">
        <v>60</v>
      </c>
      <c r="N415" s="88" t="s">
        <v>61</v>
      </c>
      <c r="O415" s="108"/>
      <c r="P415" s="109">
        <v>46143</v>
      </c>
      <c r="Q415" s="110">
        <f t="shared" si="156"/>
        <v>46873</v>
      </c>
      <c r="R415" s="111">
        <f t="shared" ref="R415:R421" si="160">+S415*12</f>
        <v>24</v>
      </c>
      <c r="S415" s="111">
        <v>2</v>
      </c>
      <c r="T415" s="123">
        <v>150000000</v>
      </c>
      <c r="U415" s="113"/>
      <c r="V415" s="123">
        <v>150000000</v>
      </c>
      <c r="W415" s="115">
        <f t="shared" ref="W415:W453" si="161">V415/R415</f>
        <v>6250000</v>
      </c>
      <c r="X415" s="115"/>
      <c r="Y415" s="115"/>
      <c r="Z415" s="124"/>
      <c r="AA415" s="115"/>
      <c r="AB415" s="167"/>
      <c r="AC415" s="118"/>
      <c r="AD415" s="85"/>
      <c r="AE415" s="118"/>
      <c r="AF415" s="85"/>
      <c r="AG415" s="84">
        <f t="shared" si="158"/>
        <v>150000000</v>
      </c>
      <c r="AH415" s="85"/>
      <c r="AI415" s="84"/>
      <c r="AJ415" s="124"/>
      <c r="AK415" s="84"/>
      <c r="AL415" s="124"/>
      <c r="AM415" s="84"/>
      <c r="AN415" s="85"/>
      <c r="AO415" s="84"/>
      <c r="AP415" s="85"/>
      <c r="AQ415" s="84"/>
      <c r="AR415" s="85"/>
      <c r="AS415" s="84"/>
      <c r="AT415" s="85"/>
      <c r="AU415" s="84"/>
      <c r="AV415" s="85"/>
      <c r="AW415" s="84"/>
      <c r="AX415" s="86">
        <f t="shared" si="157"/>
        <v>0</v>
      </c>
      <c r="AY415" s="87">
        <f t="shared" si="159"/>
        <v>150000000</v>
      </c>
      <c r="AZ415" s="65"/>
    </row>
    <row r="416" spans="1:52" s="67" customFormat="1" ht="24.75" hidden="1" customHeight="1">
      <c r="A416" s="68">
        <v>412</v>
      </c>
      <c r="B416" s="69" t="s">
        <v>1106</v>
      </c>
      <c r="C416" s="156" t="s">
        <v>73</v>
      </c>
      <c r="D416" s="71" t="s">
        <v>64</v>
      </c>
      <c r="E416" s="150" t="s">
        <v>1107</v>
      </c>
      <c r="F416" s="104"/>
      <c r="G416" s="105">
        <v>46140</v>
      </c>
      <c r="H416" s="102" t="s">
        <v>1108</v>
      </c>
      <c r="I416" s="120" t="s">
        <v>66</v>
      </c>
      <c r="J416" s="102" t="s">
        <v>67</v>
      </c>
      <c r="K416" s="68" t="s">
        <v>476</v>
      </c>
      <c r="L416" s="70" t="s">
        <v>69</v>
      </c>
      <c r="M416" s="88" t="s">
        <v>130</v>
      </c>
      <c r="N416" s="88" t="s">
        <v>131</v>
      </c>
      <c r="O416" s="108"/>
      <c r="P416" s="109">
        <v>46143</v>
      </c>
      <c r="Q416" s="110">
        <f t="shared" si="156"/>
        <v>46873</v>
      </c>
      <c r="R416" s="111">
        <f t="shared" si="160"/>
        <v>24</v>
      </c>
      <c r="S416" s="111">
        <v>2</v>
      </c>
      <c r="T416" s="123">
        <v>300000000</v>
      </c>
      <c r="U416" s="113"/>
      <c r="V416" s="123">
        <v>300000000</v>
      </c>
      <c r="W416" s="115">
        <f t="shared" si="161"/>
        <v>12500000</v>
      </c>
      <c r="X416" s="115"/>
      <c r="Y416" s="115"/>
      <c r="Z416" s="124"/>
      <c r="AA416" s="115"/>
      <c r="AB416" s="167"/>
      <c r="AC416" s="118"/>
      <c r="AD416" s="85"/>
      <c r="AE416" s="118"/>
      <c r="AF416" s="85"/>
      <c r="AG416" s="84">
        <f t="shared" si="158"/>
        <v>300000000</v>
      </c>
      <c r="AH416" s="85"/>
      <c r="AI416" s="84"/>
      <c r="AJ416" s="124"/>
      <c r="AK416" s="84"/>
      <c r="AL416" s="124"/>
      <c r="AM416" s="84"/>
      <c r="AN416" s="85"/>
      <c r="AO416" s="84"/>
      <c r="AP416" s="85"/>
      <c r="AQ416" s="84"/>
      <c r="AR416" s="85"/>
      <c r="AS416" s="84"/>
      <c r="AT416" s="85"/>
      <c r="AU416" s="84"/>
      <c r="AV416" s="85"/>
      <c r="AW416" s="84"/>
      <c r="AX416" s="86">
        <f t="shared" si="157"/>
        <v>0</v>
      </c>
      <c r="AY416" s="87">
        <f t="shared" si="159"/>
        <v>300000000</v>
      </c>
      <c r="AZ416" s="65"/>
    </row>
    <row r="417" spans="1:52" s="67" customFormat="1" ht="24.75" hidden="1" customHeight="1">
      <c r="A417" s="68">
        <v>413</v>
      </c>
      <c r="B417" s="69" t="s">
        <v>1109</v>
      </c>
      <c r="C417" s="156" t="s">
        <v>73</v>
      </c>
      <c r="D417" s="71" t="s">
        <v>64</v>
      </c>
      <c r="E417" s="150" t="s">
        <v>1110</v>
      </c>
      <c r="F417" s="104"/>
      <c r="G417" s="105">
        <v>46141</v>
      </c>
      <c r="H417" s="102" t="s">
        <v>1111</v>
      </c>
      <c r="I417" s="120" t="s">
        <v>66</v>
      </c>
      <c r="J417" s="102" t="s">
        <v>67</v>
      </c>
      <c r="K417" s="68" t="s">
        <v>476</v>
      </c>
      <c r="L417" s="70" t="s">
        <v>69</v>
      </c>
      <c r="M417" s="88" t="s">
        <v>673</v>
      </c>
      <c r="N417" s="88" t="s">
        <v>674</v>
      </c>
      <c r="O417" s="108"/>
      <c r="P417" s="109">
        <v>46143</v>
      </c>
      <c r="Q417" s="110">
        <f t="shared" si="156"/>
        <v>46873</v>
      </c>
      <c r="R417" s="111">
        <f t="shared" si="160"/>
        <v>24</v>
      </c>
      <c r="S417" s="111">
        <v>2</v>
      </c>
      <c r="T417" s="123">
        <v>120000000</v>
      </c>
      <c r="U417" s="113"/>
      <c r="V417" s="123">
        <v>120000000</v>
      </c>
      <c r="W417" s="115">
        <f t="shared" si="161"/>
        <v>5000000</v>
      </c>
      <c r="X417" s="115"/>
      <c r="Y417" s="115"/>
      <c r="Z417" s="124"/>
      <c r="AA417" s="115"/>
      <c r="AB417" s="167"/>
      <c r="AC417" s="118"/>
      <c r="AD417" s="85"/>
      <c r="AE417" s="118"/>
      <c r="AF417" s="85"/>
      <c r="AG417" s="84">
        <f t="shared" si="158"/>
        <v>120000000</v>
      </c>
      <c r="AH417" s="85"/>
      <c r="AI417" s="84"/>
      <c r="AJ417" s="124"/>
      <c r="AK417" s="84"/>
      <c r="AL417" s="124"/>
      <c r="AM417" s="84"/>
      <c r="AN417" s="85"/>
      <c r="AO417" s="84"/>
      <c r="AP417" s="85"/>
      <c r="AQ417" s="84"/>
      <c r="AR417" s="85"/>
      <c r="AS417" s="84"/>
      <c r="AT417" s="85"/>
      <c r="AU417" s="84"/>
      <c r="AV417" s="85"/>
      <c r="AW417" s="84"/>
      <c r="AX417" s="86">
        <f t="shared" si="157"/>
        <v>0</v>
      </c>
      <c r="AY417" s="87">
        <f t="shared" si="159"/>
        <v>120000000</v>
      </c>
      <c r="AZ417" s="65"/>
    </row>
    <row r="418" spans="1:52" s="67" customFormat="1" ht="24.75" hidden="1" customHeight="1">
      <c r="A418" s="68">
        <v>414</v>
      </c>
      <c r="B418" s="69" t="s">
        <v>1112</v>
      </c>
      <c r="C418" s="156" t="s">
        <v>73</v>
      </c>
      <c r="D418" s="71" t="s">
        <v>64</v>
      </c>
      <c r="E418" s="150" t="s">
        <v>1113</v>
      </c>
      <c r="F418" s="104"/>
      <c r="G418" s="105">
        <v>46141</v>
      </c>
      <c r="H418" s="102" t="s">
        <v>1114</v>
      </c>
      <c r="I418" s="120" t="s">
        <v>66</v>
      </c>
      <c r="J418" s="102" t="s">
        <v>67</v>
      </c>
      <c r="K418" s="68" t="s">
        <v>476</v>
      </c>
      <c r="L418" s="70" t="s">
        <v>69</v>
      </c>
      <c r="M418" s="88" t="s">
        <v>70</v>
      </c>
      <c r="N418" s="88" t="s">
        <v>71</v>
      </c>
      <c r="O418" s="108"/>
      <c r="P418" s="109">
        <v>46143</v>
      </c>
      <c r="Q418" s="110">
        <f t="shared" si="156"/>
        <v>46873</v>
      </c>
      <c r="R418" s="111">
        <f t="shared" si="160"/>
        <v>24</v>
      </c>
      <c r="S418" s="111">
        <v>2</v>
      </c>
      <c r="T418" s="123">
        <v>150000000</v>
      </c>
      <c r="U418" s="113"/>
      <c r="V418" s="123">
        <v>150000000</v>
      </c>
      <c r="W418" s="115">
        <f t="shared" si="161"/>
        <v>6250000</v>
      </c>
      <c r="X418" s="115"/>
      <c r="Y418" s="115"/>
      <c r="Z418" s="124"/>
      <c r="AA418" s="115"/>
      <c r="AB418" s="167"/>
      <c r="AC418" s="118"/>
      <c r="AD418" s="85"/>
      <c r="AE418" s="118"/>
      <c r="AF418" s="85"/>
      <c r="AG418" s="84">
        <f t="shared" si="158"/>
        <v>150000000</v>
      </c>
      <c r="AH418" s="85"/>
      <c r="AI418" s="84"/>
      <c r="AJ418" s="124"/>
      <c r="AK418" s="84"/>
      <c r="AL418" s="124"/>
      <c r="AM418" s="84"/>
      <c r="AN418" s="85"/>
      <c r="AO418" s="84"/>
      <c r="AP418" s="85"/>
      <c r="AQ418" s="84"/>
      <c r="AR418" s="85"/>
      <c r="AS418" s="84"/>
      <c r="AT418" s="85"/>
      <c r="AU418" s="84"/>
      <c r="AV418" s="85"/>
      <c r="AW418" s="84"/>
      <c r="AX418" s="86">
        <f t="shared" si="157"/>
        <v>0</v>
      </c>
      <c r="AY418" s="87">
        <f t="shared" si="159"/>
        <v>150000000</v>
      </c>
      <c r="AZ418" s="65"/>
    </row>
    <row r="419" spans="1:52" s="67" customFormat="1" ht="24.75" hidden="1" customHeight="1">
      <c r="A419" s="68">
        <v>415</v>
      </c>
      <c r="B419" s="69" t="s">
        <v>1115</v>
      </c>
      <c r="C419" s="156" t="s">
        <v>73</v>
      </c>
      <c r="D419" s="71" t="s">
        <v>64</v>
      </c>
      <c r="E419" s="150" t="s">
        <v>1116</v>
      </c>
      <c r="F419" s="104"/>
      <c r="G419" s="105">
        <v>46113</v>
      </c>
      <c r="H419" s="102" t="s">
        <v>1117</v>
      </c>
      <c r="I419" s="120" t="s">
        <v>66</v>
      </c>
      <c r="J419" s="102" t="s">
        <v>67</v>
      </c>
      <c r="K419" s="68" t="s">
        <v>476</v>
      </c>
      <c r="L419" s="70" t="s">
        <v>69</v>
      </c>
      <c r="M419" s="156" t="s">
        <v>55</v>
      </c>
      <c r="N419" s="156" t="s">
        <v>56</v>
      </c>
      <c r="O419" s="108"/>
      <c r="P419" s="109">
        <v>46143</v>
      </c>
      <c r="Q419" s="110">
        <f t="shared" si="156"/>
        <v>46873</v>
      </c>
      <c r="R419" s="111">
        <f t="shared" si="160"/>
        <v>24</v>
      </c>
      <c r="S419" s="111">
        <v>2</v>
      </c>
      <c r="T419" s="123">
        <v>175000000</v>
      </c>
      <c r="U419" s="113"/>
      <c r="V419" s="123">
        <v>175000000</v>
      </c>
      <c r="W419" s="115">
        <f t="shared" si="161"/>
        <v>7291666.666666667</v>
      </c>
      <c r="X419" s="115"/>
      <c r="Y419" s="115"/>
      <c r="Z419" s="124"/>
      <c r="AA419" s="115"/>
      <c r="AB419" s="167"/>
      <c r="AC419" s="118"/>
      <c r="AD419" s="85"/>
      <c r="AE419" s="118"/>
      <c r="AF419" s="85"/>
      <c r="AG419" s="84">
        <f t="shared" si="158"/>
        <v>175000000</v>
      </c>
      <c r="AH419" s="85"/>
      <c r="AI419" s="84"/>
      <c r="AJ419" s="124"/>
      <c r="AK419" s="84"/>
      <c r="AL419" s="124"/>
      <c r="AM419" s="84"/>
      <c r="AN419" s="85"/>
      <c r="AO419" s="84"/>
      <c r="AP419" s="85"/>
      <c r="AQ419" s="84"/>
      <c r="AR419" s="85"/>
      <c r="AS419" s="84"/>
      <c r="AT419" s="85"/>
      <c r="AU419" s="84"/>
      <c r="AV419" s="85"/>
      <c r="AW419" s="84"/>
      <c r="AX419" s="86">
        <f t="shared" si="157"/>
        <v>0</v>
      </c>
      <c r="AY419" s="87">
        <f t="shared" si="159"/>
        <v>175000000</v>
      </c>
      <c r="AZ419" s="65"/>
    </row>
    <row r="420" spans="1:52" s="67" customFormat="1" ht="24.75" hidden="1" customHeight="1">
      <c r="A420" s="68">
        <v>416</v>
      </c>
      <c r="B420" s="69" t="s">
        <v>1118</v>
      </c>
      <c r="C420" s="156" t="s">
        <v>73</v>
      </c>
      <c r="D420" s="71" t="s">
        <v>64</v>
      </c>
      <c r="E420" s="150" t="s">
        <v>1119</v>
      </c>
      <c r="F420" s="104"/>
      <c r="G420" s="105">
        <v>46113</v>
      </c>
      <c r="H420" s="102" t="s">
        <v>1120</v>
      </c>
      <c r="I420" s="120" t="s">
        <v>66</v>
      </c>
      <c r="J420" s="102" t="s">
        <v>67</v>
      </c>
      <c r="K420" s="68" t="s">
        <v>476</v>
      </c>
      <c r="L420" s="70" t="s">
        <v>69</v>
      </c>
      <c r="M420" s="88" t="s">
        <v>70</v>
      </c>
      <c r="N420" s="88" t="s">
        <v>71</v>
      </c>
      <c r="O420" s="108"/>
      <c r="P420" s="109">
        <v>46143</v>
      </c>
      <c r="Q420" s="110">
        <f t="shared" si="156"/>
        <v>46873</v>
      </c>
      <c r="R420" s="111">
        <f t="shared" si="160"/>
        <v>24</v>
      </c>
      <c r="S420" s="111">
        <v>2</v>
      </c>
      <c r="T420" s="123">
        <v>200000000</v>
      </c>
      <c r="U420" s="113"/>
      <c r="V420" s="123">
        <v>200000000</v>
      </c>
      <c r="W420" s="115">
        <f t="shared" si="161"/>
        <v>8333333.333333333</v>
      </c>
      <c r="X420" s="115"/>
      <c r="Y420" s="115"/>
      <c r="Z420" s="124"/>
      <c r="AA420" s="115"/>
      <c r="AB420" s="167"/>
      <c r="AC420" s="118"/>
      <c r="AD420" s="85"/>
      <c r="AE420" s="118"/>
      <c r="AF420" s="85"/>
      <c r="AG420" s="84">
        <f t="shared" si="158"/>
        <v>200000000</v>
      </c>
      <c r="AH420" s="85"/>
      <c r="AI420" s="84"/>
      <c r="AJ420" s="124"/>
      <c r="AK420" s="84"/>
      <c r="AL420" s="124"/>
      <c r="AM420" s="84"/>
      <c r="AN420" s="85"/>
      <c r="AO420" s="84"/>
      <c r="AP420" s="85"/>
      <c r="AQ420" s="84"/>
      <c r="AR420" s="85"/>
      <c r="AS420" s="84"/>
      <c r="AT420" s="85"/>
      <c r="AU420" s="84"/>
      <c r="AV420" s="85"/>
      <c r="AW420" s="84"/>
      <c r="AX420" s="86">
        <f t="shared" si="157"/>
        <v>0</v>
      </c>
      <c r="AY420" s="87">
        <f t="shared" si="159"/>
        <v>200000000</v>
      </c>
      <c r="AZ420" s="65"/>
    </row>
    <row r="421" spans="1:52" s="67" customFormat="1" ht="24.75" hidden="1" customHeight="1">
      <c r="A421" s="68">
        <v>417</v>
      </c>
      <c r="B421" s="69" t="s">
        <v>1121</v>
      </c>
      <c r="C421" s="156" t="s">
        <v>73</v>
      </c>
      <c r="D421" s="71" t="s">
        <v>64</v>
      </c>
      <c r="E421" s="150" t="s">
        <v>1122</v>
      </c>
      <c r="F421" s="104"/>
      <c r="G421" s="105">
        <v>46113</v>
      </c>
      <c r="H421" s="102" t="s">
        <v>1123</v>
      </c>
      <c r="I421" s="120" t="s">
        <v>66</v>
      </c>
      <c r="J421" s="102" t="s">
        <v>67</v>
      </c>
      <c r="K421" s="68" t="s">
        <v>476</v>
      </c>
      <c r="L421" s="70" t="s">
        <v>69</v>
      </c>
      <c r="M421" s="88" t="s">
        <v>125</v>
      </c>
      <c r="N421" s="88" t="s">
        <v>126</v>
      </c>
      <c r="O421" s="108"/>
      <c r="P421" s="109">
        <v>46143</v>
      </c>
      <c r="Q421" s="110">
        <f t="shared" si="156"/>
        <v>46873</v>
      </c>
      <c r="R421" s="111">
        <f t="shared" si="160"/>
        <v>24</v>
      </c>
      <c r="S421" s="111">
        <v>2</v>
      </c>
      <c r="T421" s="123">
        <v>150000000</v>
      </c>
      <c r="U421" s="113"/>
      <c r="V421" s="123">
        <v>150000000</v>
      </c>
      <c r="W421" s="115">
        <f t="shared" si="161"/>
        <v>6250000</v>
      </c>
      <c r="X421" s="115"/>
      <c r="Y421" s="115"/>
      <c r="Z421" s="124"/>
      <c r="AA421" s="115"/>
      <c r="AB421" s="167"/>
      <c r="AC421" s="118"/>
      <c r="AD421" s="85"/>
      <c r="AE421" s="118"/>
      <c r="AF421" s="85"/>
      <c r="AG421" s="84">
        <f t="shared" si="158"/>
        <v>150000000</v>
      </c>
      <c r="AH421" s="85"/>
      <c r="AI421" s="84"/>
      <c r="AJ421" s="124"/>
      <c r="AK421" s="84"/>
      <c r="AL421" s="124"/>
      <c r="AM421" s="84"/>
      <c r="AN421" s="85"/>
      <c r="AO421" s="84"/>
      <c r="AP421" s="85"/>
      <c r="AQ421" s="84"/>
      <c r="AR421" s="85"/>
      <c r="AS421" s="84"/>
      <c r="AT421" s="85"/>
      <c r="AU421" s="84"/>
      <c r="AV421" s="85"/>
      <c r="AW421" s="84"/>
      <c r="AX421" s="86">
        <f t="shared" si="157"/>
        <v>0</v>
      </c>
      <c r="AY421" s="87">
        <f t="shared" si="159"/>
        <v>150000000</v>
      </c>
      <c r="AZ421" s="65"/>
    </row>
    <row r="422" spans="1:52" s="67" customFormat="1" ht="24.75" hidden="1" customHeight="1">
      <c r="A422" s="68">
        <v>418</v>
      </c>
      <c r="B422" s="69" t="s">
        <v>1124</v>
      </c>
      <c r="C422" s="156" t="s">
        <v>806</v>
      </c>
      <c r="D422" s="71" t="s">
        <v>95</v>
      </c>
      <c r="E422" s="150" t="s">
        <v>1125</v>
      </c>
      <c r="F422" s="104"/>
      <c r="G422" s="105">
        <v>46141</v>
      </c>
      <c r="H422" s="102" t="s">
        <v>1126</v>
      </c>
      <c r="I422" s="120" t="s">
        <v>98</v>
      </c>
      <c r="J422" s="102" t="s">
        <v>617</v>
      </c>
      <c r="K422" s="68" t="s">
        <v>99</v>
      </c>
      <c r="L422" s="70" t="s">
        <v>100</v>
      </c>
      <c r="M422" s="88" t="s">
        <v>1013</v>
      </c>
      <c r="N422" s="88" t="s">
        <v>1014</v>
      </c>
      <c r="O422" s="108"/>
      <c r="P422" s="109">
        <v>46143</v>
      </c>
      <c r="Q422" s="110">
        <f t="shared" si="156"/>
        <v>46873</v>
      </c>
      <c r="R422" s="111">
        <v>24</v>
      </c>
      <c r="S422" s="111">
        <f t="shared" ref="S422:S453" si="162">+R422/12</f>
        <v>2</v>
      </c>
      <c r="T422" s="123">
        <v>65562003.324813403</v>
      </c>
      <c r="U422" s="113"/>
      <c r="V422" s="123">
        <v>65562003.324813403</v>
      </c>
      <c r="W422" s="115">
        <f t="shared" si="161"/>
        <v>2731750.1385338916</v>
      </c>
      <c r="X422" s="115"/>
      <c r="Y422" s="115"/>
      <c r="Z422" s="124"/>
      <c r="AA422" s="115"/>
      <c r="AB422" s="167"/>
      <c r="AC422" s="118"/>
      <c r="AD422" s="85"/>
      <c r="AE422" s="118"/>
      <c r="AF422" s="85"/>
      <c r="AG422" s="84">
        <f t="shared" si="158"/>
        <v>65562003.324813403</v>
      </c>
      <c r="AH422" s="85"/>
      <c r="AI422" s="84"/>
      <c r="AJ422" s="124"/>
      <c r="AK422" s="84"/>
      <c r="AL422" s="124"/>
      <c r="AM422" s="84"/>
      <c r="AN422" s="85"/>
      <c r="AO422" s="84"/>
      <c r="AP422" s="85"/>
      <c r="AQ422" s="84"/>
      <c r="AR422" s="85"/>
      <c r="AS422" s="84"/>
      <c r="AT422" s="85"/>
      <c r="AU422" s="84"/>
      <c r="AV422" s="85"/>
      <c r="AW422" s="84"/>
      <c r="AX422" s="86">
        <f t="shared" si="157"/>
        <v>0</v>
      </c>
      <c r="AY422" s="87">
        <f t="shared" si="159"/>
        <v>65562003.324813403</v>
      </c>
      <c r="AZ422" s="65"/>
    </row>
    <row r="423" spans="1:52" s="67" customFormat="1" ht="24.75" hidden="1" customHeight="1">
      <c r="A423" s="68">
        <v>419</v>
      </c>
      <c r="B423" s="69" t="s">
        <v>1127</v>
      </c>
      <c r="C423" s="156" t="s">
        <v>806</v>
      </c>
      <c r="D423" s="71" t="s">
        <v>95</v>
      </c>
      <c r="E423" s="150" t="s">
        <v>1128</v>
      </c>
      <c r="F423" s="104"/>
      <c r="G423" s="105">
        <v>46141</v>
      </c>
      <c r="H423" s="102" t="s">
        <v>1126</v>
      </c>
      <c r="I423" s="120" t="s">
        <v>98</v>
      </c>
      <c r="J423" s="102" t="s">
        <v>617</v>
      </c>
      <c r="K423" s="68" t="s">
        <v>99</v>
      </c>
      <c r="L423" s="70" t="s">
        <v>100</v>
      </c>
      <c r="M423" s="88" t="s">
        <v>1129</v>
      </c>
      <c r="N423" s="88" t="s">
        <v>1130</v>
      </c>
      <c r="O423" s="108"/>
      <c r="P423" s="109">
        <v>46143</v>
      </c>
      <c r="Q423" s="110">
        <f t="shared" si="156"/>
        <v>46873</v>
      </c>
      <c r="R423" s="111">
        <v>24</v>
      </c>
      <c r="S423" s="111">
        <f t="shared" si="162"/>
        <v>2</v>
      </c>
      <c r="T423" s="123">
        <v>109332434.99729</v>
      </c>
      <c r="U423" s="113"/>
      <c r="V423" s="123">
        <v>109332434.99729</v>
      </c>
      <c r="W423" s="115">
        <f t="shared" si="161"/>
        <v>4555518.1248870837</v>
      </c>
      <c r="X423" s="115"/>
      <c r="Y423" s="115"/>
      <c r="Z423" s="124"/>
      <c r="AA423" s="115"/>
      <c r="AB423" s="167"/>
      <c r="AC423" s="118"/>
      <c r="AD423" s="85"/>
      <c r="AE423" s="118"/>
      <c r="AF423" s="85"/>
      <c r="AG423" s="84">
        <f t="shared" si="158"/>
        <v>109332434.99729</v>
      </c>
      <c r="AH423" s="85"/>
      <c r="AI423" s="84"/>
      <c r="AJ423" s="124"/>
      <c r="AK423" s="84"/>
      <c r="AL423" s="124"/>
      <c r="AM423" s="84"/>
      <c r="AN423" s="85"/>
      <c r="AO423" s="84"/>
      <c r="AP423" s="85"/>
      <c r="AQ423" s="84"/>
      <c r="AR423" s="85"/>
      <c r="AS423" s="84"/>
      <c r="AT423" s="85"/>
      <c r="AU423" s="84"/>
      <c r="AV423" s="85"/>
      <c r="AW423" s="84"/>
      <c r="AX423" s="86">
        <f t="shared" si="157"/>
        <v>0</v>
      </c>
      <c r="AY423" s="87">
        <f t="shared" si="159"/>
        <v>109332434.99729</v>
      </c>
      <c r="AZ423" s="65"/>
    </row>
    <row r="424" spans="1:52" s="67" customFormat="1" ht="24.75" hidden="1" customHeight="1">
      <c r="A424" s="68">
        <v>420</v>
      </c>
      <c r="B424" s="69" t="s">
        <v>1131</v>
      </c>
      <c r="C424" s="156" t="s">
        <v>806</v>
      </c>
      <c r="D424" s="71" t="s">
        <v>95</v>
      </c>
      <c r="E424" s="150" t="s">
        <v>1132</v>
      </c>
      <c r="F424" s="104"/>
      <c r="G424" s="105">
        <v>46141</v>
      </c>
      <c r="H424" s="102" t="s">
        <v>1126</v>
      </c>
      <c r="I424" s="120" t="s">
        <v>98</v>
      </c>
      <c r="J424" s="102" t="s">
        <v>617</v>
      </c>
      <c r="K424" s="68" t="s">
        <v>99</v>
      </c>
      <c r="L424" s="70" t="s">
        <v>100</v>
      </c>
      <c r="M424" s="88" t="s">
        <v>1013</v>
      </c>
      <c r="N424" s="88" t="s">
        <v>1014</v>
      </c>
      <c r="O424" s="108"/>
      <c r="P424" s="109">
        <v>46143</v>
      </c>
      <c r="Q424" s="110">
        <f t="shared" si="156"/>
        <v>46873</v>
      </c>
      <c r="R424" s="111">
        <v>24</v>
      </c>
      <c r="S424" s="111">
        <f t="shared" si="162"/>
        <v>2</v>
      </c>
      <c r="T424" s="123">
        <v>44389392.213702299</v>
      </c>
      <c r="U424" s="113"/>
      <c r="V424" s="123">
        <v>44389392.213702299</v>
      </c>
      <c r="W424" s="115">
        <f t="shared" si="161"/>
        <v>1849558.0089042624</v>
      </c>
      <c r="X424" s="115"/>
      <c r="Y424" s="115"/>
      <c r="Z424" s="124"/>
      <c r="AA424" s="115"/>
      <c r="AB424" s="167"/>
      <c r="AC424" s="118"/>
      <c r="AD424" s="85"/>
      <c r="AE424" s="118"/>
      <c r="AF424" s="85"/>
      <c r="AG424" s="84">
        <f t="shared" si="158"/>
        <v>44389392.213702299</v>
      </c>
      <c r="AH424" s="85"/>
      <c r="AI424" s="84"/>
      <c r="AJ424" s="124"/>
      <c r="AK424" s="84"/>
      <c r="AL424" s="124"/>
      <c r="AM424" s="84"/>
      <c r="AN424" s="85"/>
      <c r="AO424" s="84"/>
      <c r="AP424" s="85"/>
      <c r="AQ424" s="84"/>
      <c r="AR424" s="85"/>
      <c r="AS424" s="84"/>
      <c r="AT424" s="85"/>
      <c r="AU424" s="84"/>
      <c r="AV424" s="85"/>
      <c r="AW424" s="84"/>
      <c r="AX424" s="86">
        <f t="shared" si="157"/>
        <v>0</v>
      </c>
      <c r="AY424" s="87">
        <f t="shared" si="159"/>
        <v>44389392.213702299</v>
      </c>
      <c r="AZ424" s="65"/>
    </row>
    <row r="425" spans="1:52" s="67" customFormat="1" ht="24.75" hidden="1" customHeight="1">
      <c r="A425" s="68">
        <v>421</v>
      </c>
      <c r="B425" s="69" t="s">
        <v>1133</v>
      </c>
      <c r="C425" s="156" t="s">
        <v>806</v>
      </c>
      <c r="D425" s="71" t="s">
        <v>681</v>
      </c>
      <c r="E425" s="150" t="s">
        <v>1134</v>
      </c>
      <c r="F425" s="104"/>
      <c r="G425" s="105">
        <v>46141</v>
      </c>
      <c r="H425" s="102" t="s">
        <v>1135</v>
      </c>
      <c r="I425" s="120" t="s">
        <v>84</v>
      </c>
      <c r="J425" s="102" t="s">
        <v>85</v>
      </c>
      <c r="K425" s="68" t="s">
        <v>86</v>
      </c>
      <c r="L425" s="70" t="s">
        <v>87</v>
      </c>
      <c r="M425" s="88" t="s">
        <v>1136</v>
      </c>
      <c r="N425" s="88" t="s">
        <v>1137</v>
      </c>
      <c r="O425" s="108"/>
      <c r="P425" s="109">
        <v>46143</v>
      </c>
      <c r="Q425" s="110">
        <f t="shared" si="156"/>
        <v>46691</v>
      </c>
      <c r="R425" s="111">
        <v>18</v>
      </c>
      <c r="S425" s="111">
        <f t="shared" si="162"/>
        <v>1.5</v>
      </c>
      <c r="T425" s="123">
        <v>28960000</v>
      </c>
      <c r="U425" s="113"/>
      <c r="V425" s="123">
        <v>28960000</v>
      </c>
      <c r="W425" s="115">
        <f t="shared" si="161"/>
        <v>1608888.888888889</v>
      </c>
      <c r="X425" s="115"/>
      <c r="Y425" s="115"/>
      <c r="Z425" s="124"/>
      <c r="AA425" s="115"/>
      <c r="AB425" s="167"/>
      <c r="AC425" s="118"/>
      <c r="AD425" s="85"/>
      <c r="AE425" s="118"/>
      <c r="AF425" s="85"/>
      <c r="AG425" s="84">
        <f t="shared" si="158"/>
        <v>28960000</v>
      </c>
      <c r="AH425" s="85"/>
      <c r="AI425" s="84"/>
      <c r="AJ425" s="124"/>
      <c r="AK425" s="84"/>
      <c r="AL425" s="124"/>
      <c r="AM425" s="84"/>
      <c r="AN425" s="85"/>
      <c r="AO425" s="84"/>
      <c r="AP425" s="85"/>
      <c r="AQ425" s="84"/>
      <c r="AR425" s="85"/>
      <c r="AS425" s="84"/>
      <c r="AT425" s="85"/>
      <c r="AU425" s="84"/>
      <c r="AV425" s="85"/>
      <c r="AW425" s="84"/>
      <c r="AX425" s="86">
        <f t="shared" si="157"/>
        <v>0</v>
      </c>
      <c r="AY425" s="87">
        <f t="shared" si="159"/>
        <v>28960000</v>
      </c>
      <c r="AZ425" s="65"/>
    </row>
    <row r="426" spans="1:52" s="67" customFormat="1" ht="24.75" hidden="1" customHeight="1">
      <c r="A426" s="68">
        <v>422</v>
      </c>
      <c r="B426" s="69" t="s">
        <v>1138</v>
      </c>
      <c r="C426" s="156" t="s">
        <v>806</v>
      </c>
      <c r="D426" s="71" t="s">
        <v>681</v>
      </c>
      <c r="E426" s="150" t="s">
        <v>1139</v>
      </c>
      <c r="F426" s="104"/>
      <c r="G426" s="105">
        <v>46141</v>
      </c>
      <c r="H426" s="102" t="s">
        <v>1135</v>
      </c>
      <c r="I426" s="120" t="s">
        <v>84</v>
      </c>
      <c r="J426" s="102" t="s">
        <v>85</v>
      </c>
      <c r="K426" s="68" t="s">
        <v>86</v>
      </c>
      <c r="L426" s="70" t="s">
        <v>87</v>
      </c>
      <c r="M426" s="88" t="s">
        <v>1136</v>
      </c>
      <c r="N426" s="88" t="s">
        <v>1137</v>
      </c>
      <c r="O426" s="108"/>
      <c r="P426" s="109">
        <v>46143</v>
      </c>
      <c r="Q426" s="110">
        <f t="shared" si="156"/>
        <v>46691</v>
      </c>
      <c r="R426" s="111">
        <v>18</v>
      </c>
      <c r="S426" s="111">
        <f t="shared" si="162"/>
        <v>1.5</v>
      </c>
      <c r="T426" s="123">
        <v>14400000</v>
      </c>
      <c r="U426" s="113"/>
      <c r="V426" s="123">
        <v>14400000</v>
      </c>
      <c r="W426" s="115">
        <f t="shared" si="161"/>
        <v>800000</v>
      </c>
      <c r="X426" s="115"/>
      <c r="Y426" s="115"/>
      <c r="Z426" s="124"/>
      <c r="AA426" s="115"/>
      <c r="AB426" s="167"/>
      <c r="AC426" s="118"/>
      <c r="AD426" s="85"/>
      <c r="AE426" s="118"/>
      <c r="AF426" s="85"/>
      <c r="AG426" s="84">
        <f t="shared" si="158"/>
        <v>14400000</v>
      </c>
      <c r="AH426" s="85"/>
      <c r="AI426" s="84"/>
      <c r="AJ426" s="124"/>
      <c r="AK426" s="84"/>
      <c r="AL426" s="124"/>
      <c r="AM426" s="84"/>
      <c r="AN426" s="85"/>
      <c r="AO426" s="84"/>
      <c r="AP426" s="85"/>
      <c r="AQ426" s="84"/>
      <c r="AR426" s="85"/>
      <c r="AS426" s="84"/>
      <c r="AT426" s="85"/>
      <c r="AU426" s="84"/>
      <c r="AV426" s="85"/>
      <c r="AW426" s="84"/>
      <c r="AX426" s="86">
        <f t="shared" si="157"/>
        <v>0</v>
      </c>
      <c r="AY426" s="87">
        <f t="shared" si="159"/>
        <v>14400000</v>
      </c>
      <c r="AZ426" s="65"/>
    </row>
    <row r="427" spans="1:52" s="67" customFormat="1" ht="24.75" hidden="1" customHeight="1">
      <c r="A427" s="68">
        <v>423</v>
      </c>
      <c r="B427" s="69" t="s">
        <v>1140</v>
      </c>
      <c r="C427" s="156" t="s">
        <v>806</v>
      </c>
      <c r="D427" s="71" t="s">
        <v>681</v>
      </c>
      <c r="E427" s="150" t="s">
        <v>1141</v>
      </c>
      <c r="F427" s="104"/>
      <c r="G427" s="105">
        <v>46141</v>
      </c>
      <c r="H427" s="102" t="s">
        <v>1135</v>
      </c>
      <c r="I427" s="120" t="s">
        <v>84</v>
      </c>
      <c r="J427" s="102" t="s">
        <v>85</v>
      </c>
      <c r="K427" s="68" t="s">
        <v>86</v>
      </c>
      <c r="L427" s="70" t="s">
        <v>87</v>
      </c>
      <c r="M427" s="88" t="s">
        <v>478</v>
      </c>
      <c r="N427" s="88" t="s">
        <v>479</v>
      </c>
      <c r="O427" s="108"/>
      <c r="P427" s="109">
        <v>46143</v>
      </c>
      <c r="Q427" s="110">
        <f t="shared" si="156"/>
        <v>46691</v>
      </c>
      <c r="R427" s="111">
        <v>18</v>
      </c>
      <c r="S427" s="111">
        <f t="shared" si="162"/>
        <v>1.5</v>
      </c>
      <c r="T427" s="123">
        <v>21960000</v>
      </c>
      <c r="U427" s="113"/>
      <c r="V427" s="123">
        <v>21960000</v>
      </c>
      <c r="W427" s="115">
        <f t="shared" si="161"/>
        <v>1220000</v>
      </c>
      <c r="X427" s="115"/>
      <c r="Y427" s="115"/>
      <c r="Z427" s="124"/>
      <c r="AA427" s="115"/>
      <c r="AB427" s="167"/>
      <c r="AC427" s="118"/>
      <c r="AD427" s="85"/>
      <c r="AE427" s="118"/>
      <c r="AF427" s="85"/>
      <c r="AG427" s="84">
        <f t="shared" si="158"/>
        <v>21960000</v>
      </c>
      <c r="AH427" s="85"/>
      <c r="AI427" s="84"/>
      <c r="AJ427" s="124"/>
      <c r="AK427" s="84"/>
      <c r="AL427" s="124"/>
      <c r="AM427" s="84"/>
      <c r="AN427" s="85"/>
      <c r="AO427" s="84"/>
      <c r="AP427" s="85"/>
      <c r="AQ427" s="84"/>
      <c r="AR427" s="85"/>
      <c r="AS427" s="84"/>
      <c r="AT427" s="85"/>
      <c r="AU427" s="84"/>
      <c r="AV427" s="85"/>
      <c r="AW427" s="84"/>
      <c r="AX427" s="86">
        <f t="shared" si="157"/>
        <v>0</v>
      </c>
      <c r="AY427" s="87">
        <f t="shared" si="159"/>
        <v>21960000</v>
      </c>
      <c r="AZ427" s="65"/>
    </row>
    <row r="428" spans="1:52" s="67" customFormat="1" ht="24.75" hidden="1" customHeight="1">
      <c r="A428" s="68">
        <v>424</v>
      </c>
      <c r="B428" s="69" t="s">
        <v>1142</v>
      </c>
      <c r="C428" s="156" t="s">
        <v>806</v>
      </c>
      <c r="D428" s="71" t="s">
        <v>95</v>
      </c>
      <c r="E428" s="150" t="s">
        <v>1143</v>
      </c>
      <c r="F428" s="104"/>
      <c r="G428" s="105">
        <v>46141</v>
      </c>
      <c r="H428" s="102" t="s">
        <v>1135</v>
      </c>
      <c r="I428" s="120" t="s">
        <v>98</v>
      </c>
      <c r="J428" s="102" t="s">
        <v>617</v>
      </c>
      <c r="K428" s="68" t="s">
        <v>99</v>
      </c>
      <c r="L428" s="70" t="s">
        <v>100</v>
      </c>
      <c r="M428" s="88" t="s">
        <v>130</v>
      </c>
      <c r="N428" s="88" t="s">
        <v>131</v>
      </c>
      <c r="O428" s="108"/>
      <c r="P428" s="109">
        <v>46143</v>
      </c>
      <c r="Q428" s="110">
        <f t="shared" si="156"/>
        <v>46691</v>
      </c>
      <c r="R428" s="111">
        <v>18</v>
      </c>
      <c r="S428" s="111">
        <f t="shared" si="162"/>
        <v>1.5</v>
      </c>
      <c r="T428" s="123">
        <v>26900000</v>
      </c>
      <c r="U428" s="113"/>
      <c r="V428" s="123">
        <v>26900000</v>
      </c>
      <c r="W428" s="115">
        <f t="shared" si="161"/>
        <v>1494444.4444444445</v>
      </c>
      <c r="X428" s="115"/>
      <c r="Y428" s="115"/>
      <c r="Z428" s="124"/>
      <c r="AA428" s="115"/>
      <c r="AB428" s="167"/>
      <c r="AC428" s="118"/>
      <c r="AD428" s="85"/>
      <c r="AE428" s="118"/>
      <c r="AF428" s="85"/>
      <c r="AG428" s="84">
        <f t="shared" si="158"/>
        <v>26900000</v>
      </c>
      <c r="AH428" s="85"/>
      <c r="AI428" s="84"/>
      <c r="AJ428" s="124"/>
      <c r="AK428" s="84"/>
      <c r="AL428" s="124"/>
      <c r="AM428" s="84"/>
      <c r="AN428" s="85"/>
      <c r="AO428" s="84"/>
      <c r="AP428" s="85"/>
      <c r="AQ428" s="84"/>
      <c r="AR428" s="85"/>
      <c r="AS428" s="84"/>
      <c r="AT428" s="85"/>
      <c r="AU428" s="84"/>
      <c r="AV428" s="85"/>
      <c r="AW428" s="84"/>
      <c r="AX428" s="86">
        <f t="shared" si="157"/>
        <v>0</v>
      </c>
      <c r="AY428" s="87">
        <f t="shared" si="159"/>
        <v>26900000</v>
      </c>
      <c r="AZ428" s="65"/>
    </row>
    <row r="429" spans="1:52" s="67" customFormat="1" ht="24.75" hidden="1" customHeight="1">
      <c r="A429" s="68">
        <v>425</v>
      </c>
      <c r="B429" s="69" t="s">
        <v>1144</v>
      </c>
      <c r="C429" s="156" t="s">
        <v>806</v>
      </c>
      <c r="D429" s="71" t="s">
        <v>95</v>
      </c>
      <c r="E429" s="150" t="s">
        <v>1145</v>
      </c>
      <c r="F429" s="104"/>
      <c r="G429" s="105">
        <v>46141</v>
      </c>
      <c r="H429" s="102" t="s">
        <v>1135</v>
      </c>
      <c r="I429" s="120" t="s">
        <v>98</v>
      </c>
      <c r="J429" s="102" t="s">
        <v>617</v>
      </c>
      <c r="K429" s="68" t="s">
        <v>99</v>
      </c>
      <c r="L429" s="70" t="s">
        <v>100</v>
      </c>
      <c r="M429" s="88" t="s">
        <v>130</v>
      </c>
      <c r="N429" s="88" t="s">
        <v>131</v>
      </c>
      <c r="O429" s="108"/>
      <c r="P429" s="109">
        <v>46143</v>
      </c>
      <c r="Q429" s="110">
        <f t="shared" si="156"/>
        <v>46691</v>
      </c>
      <c r="R429" s="111">
        <v>18</v>
      </c>
      <c r="S429" s="111">
        <f t="shared" si="162"/>
        <v>1.5</v>
      </c>
      <c r="T429" s="123">
        <v>38500000</v>
      </c>
      <c r="U429" s="113"/>
      <c r="V429" s="123">
        <v>38500000</v>
      </c>
      <c r="W429" s="115">
        <f t="shared" si="161"/>
        <v>2138888.888888889</v>
      </c>
      <c r="X429" s="115"/>
      <c r="Y429" s="115"/>
      <c r="Z429" s="124"/>
      <c r="AA429" s="115"/>
      <c r="AB429" s="167"/>
      <c r="AC429" s="118"/>
      <c r="AD429" s="85"/>
      <c r="AE429" s="118"/>
      <c r="AF429" s="85"/>
      <c r="AG429" s="84">
        <f t="shared" si="158"/>
        <v>38500000</v>
      </c>
      <c r="AH429" s="85"/>
      <c r="AI429" s="84"/>
      <c r="AJ429" s="124"/>
      <c r="AK429" s="84"/>
      <c r="AL429" s="124"/>
      <c r="AM429" s="84"/>
      <c r="AN429" s="85"/>
      <c r="AO429" s="84"/>
      <c r="AP429" s="85"/>
      <c r="AQ429" s="84"/>
      <c r="AR429" s="85"/>
      <c r="AS429" s="84"/>
      <c r="AT429" s="85"/>
      <c r="AU429" s="84"/>
      <c r="AV429" s="85"/>
      <c r="AW429" s="84"/>
      <c r="AX429" s="86">
        <f t="shared" si="157"/>
        <v>0</v>
      </c>
      <c r="AY429" s="87">
        <f t="shared" si="159"/>
        <v>38500000</v>
      </c>
      <c r="AZ429" s="65"/>
    </row>
    <row r="430" spans="1:52" s="67" customFormat="1" ht="24.75" hidden="1" customHeight="1">
      <c r="A430" s="68">
        <v>426</v>
      </c>
      <c r="B430" s="69" t="s">
        <v>1146</v>
      </c>
      <c r="C430" s="156" t="s">
        <v>806</v>
      </c>
      <c r="D430" s="71" t="s">
        <v>681</v>
      </c>
      <c r="E430" s="150" t="s">
        <v>1147</v>
      </c>
      <c r="F430" s="104"/>
      <c r="G430" s="105">
        <v>46141</v>
      </c>
      <c r="H430" s="102" t="s">
        <v>1135</v>
      </c>
      <c r="I430" s="120" t="s">
        <v>84</v>
      </c>
      <c r="J430" s="102" t="s">
        <v>85</v>
      </c>
      <c r="K430" s="68" t="s">
        <v>86</v>
      </c>
      <c r="L430" s="70" t="s">
        <v>87</v>
      </c>
      <c r="M430" s="88" t="s">
        <v>125</v>
      </c>
      <c r="N430" s="88" t="s">
        <v>126</v>
      </c>
      <c r="O430" s="108"/>
      <c r="P430" s="109">
        <v>46143</v>
      </c>
      <c r="Q430" s="110">
        <f t="shared" si="156"/>
        <v>46691</v>
      </c>
      <c r="R430" s="111">
        <v>18</v>
      </c>
      <c r="S430" s="111">
        <f t="shared" si="162"/>
        <v>1.5</v>
      </c>
      <c r="T430" s="123">
        <v>77600000</v>
      </c>
      <c r="U430" s="113"/>
      <c r="V430" s="123">
        <v>77600000</v>
      </c>
      <c r="W430" s="115">
        <f t="shared" si="161"/>
        <v>4311111.111111111</v>
      </c>
      <c r="X430" s="115"/>
      <c r="Y430" s="115"/>
      <c r="Z430" s="124"/>
      <c r="AA430" s="115"/>
      <c r="AB430" s="167"/>
      <c r="AC430" s="118"/>
      <c r="AD430" s="85"/>
      <c r="AE430" s="118"/>
      <c r="AF430" s="85"/>
      <c r="AG430" s="84">
        <f t="shared" si="158"/>
        <v>77600000</v>
      </c>
      <c r="AH430" s="85"/>
      <c r="AI430" s="84"/>
      <c r="AJ430" s="124"/>
      <c r="AK430" s="84"/>
      <c r="AL430" s="124"/>
      <c r="AM430" s="84"/>
      <c r="AN430" s="85"/>
      <c r="AO430" s="84"/>
      <c r="AP430" s="85"/>
      <c r="AQ430" s="84"/>
      <c r="AR430" s="85"/>
      <c r="AS430" s="84"/>
      <c r="AT430" s="85"/>
      <c r="AU430" s="84"/>
      <c r="AV430" s="85"/>
      <c r="AW430" s="84"/>
      <c r="AX430" s="86">
        <f t="shared" si="157"/>
        <v>0</v>
      </c>
      <c r="AY430" s="87">
        <f t="shared" si="159"/>
        <v>77600000</v>
      </c>
      <c r="AZ430" s="65"/>
    </row>
    <row r="431" spans="1:52" s="67" customFormat="1" ht="24.75" hidden="1" customHeight="1">
      <c r="A431" s="68">
        <v>427</v>
      </c>
      <c r="B431" s="69" t="s">
        <v>1148</v>
      </c>
      <c r="C431" s="156" t="s">
        <v>806</v>
      </c>
      <c r="D431" s="71" t="s">
        <v>681</v>
      </c>
      <c r="E431" s="150" t="s">
        <v>1149</v>
      </c>
      <c r="F431" s="104"/>
      <c r="G431" s="105">
        <v>46141</v>
      </c>
      <c r="H431" s="102" t="s">
        <v>1135</v>
      </c>
      <c r="I431" s="120" t="s">
        <v>84</v>
      </c>
      <c r="J431" s="102" t="s">
        <v>85</v>
      </c>
      <c r="K431" s="68" t="s">
        <v>86</v>
      </c>
      <c r="L431" s="70" t="s">
        <v>87</v>
      </c>
      <c r="M431" s="88" t="s">
        <v>673</v>
      </c>
      <c r="N431" s="88" t="s">
        <v>674</v>
      </c>
      <c r="O431" s="108"/>
      <c r="P431" s="109">
        <v>46143</v>
      </c>
      <c r="Q431" s="110">
        <f t="shared" si="156"/>
        <v>46691</v>
      </c>
      <c r="R431" s="111">
        <v>18</v>
      </c>
      <c r="S431" s="111">
        <f t="shared" si="162"/>
        <v>1.5</v>
      </c>
      <c r="T431" s="123">
        <v>35000000</v>
      </c>
      <c r="U431" s="113"/>
      <c r="V431" s="123">
        <v>35000000</v>
      </c>
      <c r="W431" s="115">
        <f t="shared" si="161"/>
        <v>1944444.4444444445</v>
      </c>
      <c r="X431" s="115"/>
      <c r="Y431" s="115"/>
      <c r="Z431" s="124"/>
      <c r="AA431" s="115"/>
      <c r="AB431" s="167"/>
      <c r="AC431" s="118"/>
      <c r="AD431" s="85"/>
      <c r="AE431" s="118"/>
      <c r="AF431" s="85"/>
      <c r="AG431" s="84">
        <f t="shared" si="158"/>
        <v>35000000</v>
      </c>
      <c r="AH431" s="85"/>
      <c r="AI431" s="84"/>
      <c r="AJ431" s="124"/>
      <c r="AK431" s="84"/>
      <c r="AL431" s="124"/>
      <c r="AM431" s="84"/>
      <c r="AN431" s="85"/>
      <c r="AO431" s="84"/>
      <c r="AP431" s="85"/>
      <c r="AQ431" s="84"/>
      <c r="AR431" s="85"/>
      <c r="AS431" s="84"/>
      <c r="AT431" s="85"/>
      <c r="AU431" s="84"/>
      <c r="AV431" s="85"/>
      <c r="AW431" s="84"/>
      <c r="AX431" s="86">
        <f t="shared" si="157"/>
        <v>0</v>
      </c>
      <c r="AY431" s="87">
        <f t="shared" si="159"/>
        <v>35000000</v>
      </c>
      <c r="AZ431" s="65"/>
    </row>
    <row r="432" spans="1:52" s="67" customFormat="1" ht="24.75" hidden="1" customHeight="1">
      <c r="A432" s="68">
        <v>428</v>
      </c>
      <c r="B432" s="69" t="s">
        <v>1150</v>
      </c>
      <c r="C432" s="156" t="s">
        <v>806</v>
      </c>
      <c r="D432" s="71" t="s">
        <v>681</v>
      </c>
      <c r="E432" s="150" t="s">
        <v>1151</v>
      </c>
      <c r="F432" s="104"/>
      <c r="G432" s="105">
        <v>46141</v>
      </c>
      <c r="H432" s="102" t="s">
        <v>1135</v>
      </c>
      <c r="I432" s="120" t="s">
        <v>84</v>
      </c>
      <c r="J432" s="102" t="s">
        <v>85</v>
      </c>
      <c r="K432" s="68" t="s">
        <v>86</v>
      </c>
      <c r="L432" s="70" t="s">
        <v>87</v>
      </c>
      <c r="M432" s="88" t="s">
        <v>1136</v>
      </c>
      <c r="N432" s="88" t="s">
        <v>1137</v>
      </c>
      <c r="O432" s="108"/>
      <c r="P432" s="109">
        <v>46143</v>
      </c>
      <c r="Q432" s="110">
        <f t="shared" si="156"/>
        <v>46691</v>
      </c>
      <c r="R432" s="111">
        <v>18</v>
      </c>
      <c r="S432" s="111">
        <f t="shared" si="162"/>
        <v>1.5</v>
      </c>
      <c r="T432" s="123">
        <v>59000000</v>
      </c>
      <c r="U432" s="113"/>
      <c r="V432" s="123">
        <v>59000000</v>
      </c>
      <c r="W432" s="115">
        <f t="shared" si="161"/>
        <v>3277777.777777778</v>
      </c>
      <c r="X432" s="115"/>
      <c r="Y432" s="115"/>
      <c r="Z432" s="124"/>
      <c r="AA432" s="115"/>
      <c r="AB432" s="167"/>
      <c r="AC432" s="118"/>
      <c r="AD432" s="85"/>
      <c r="AE432" s="118"/>
      <c r="AF432" s="85"/>
      <c r="AG432" s="84">
        <f t="shared" si="158"/>
        <v>59000000</v>
      </c>
      <c r="AH432" s="85"/>
      <c r="AI432" s="84"/>
      <c r="AJ432" s="124"/>
      <c r="AK432" s="84"/>
      <c r="AL432" s="124"/>
      <c r="AM432" s="84"/>
      <c r="AN432" s="85"/>
      <c r="AO432" s="84"/>
      <c r="AP432" s="85"/>
      <c r="AQ432" s="84"/>
      <c r="AR432" s="85"/>
      <c r="AS432" s="84"/>
      <c r="AT432" s="85"/>
      <c r="AU432" s="84"/>
      <c r="AV432" s="85"/>
      <c r="AW432" s="84"/>
      <c r="AX432" s="86">
        <f t="shared" si="157"/>
        <v>0</v>
      </c>
      <c r="AY432" s="87">
        <f t="shared" si="159"/>
        <v>59000000</v>
      </c>
      <c r="AZ432" s="65"/>
    </row>
    <row r="433" spans="1:52" s="67" customFormat="1" ht="24.75" hidden="1" customHeight="1">
      <c r="A433" s="68">
        <v>429</v>
      </c>
      <c r="B433" s="69" t="s">
        <v>1152</v>
      </c>
      <c r="C433" s="156" t="s">
        <v>806</v>
      </c>
      <c r="D433" s="71" t="s">
        <v>681</v>
      </c>
      <c r="E433" s="150" t="s">
        <v>1153</v>
      </c>
      <c r="F433" s="104"/>
      <c r="G433" s="105">
        <v>46141</v>
      </c>
      <c r="H433" s="102" t="s">
        <v>1135</v>
      </c>
      <c r="I433" s="120" t="s">
        <v>84</v>
      </c>
      <c r="J433" s="102" t="s">
        <v>85</v>
      </c>
      <c r="K433" s="68" t="s">
        <v>86</v>
      </c>
      <c r="L433" s="70" t="s">
        <v>87</v>
      </c>
      <c r="M433" s="88" t="s">
        <v>101</v>
      </c>
      <c r="N433" s="88" t="s">
        <v>102</v>
      </c>
      <c r="O433" s="108"/>
      <c r="P433" s="109">
        <v>46143</v>
      </c>
      <c r="Q433" s="110">
        <f t="shared" si="156"/>
        <v>46691</v>
      </c>
      <c r="R433" s="111">
        <v>18</v>
      </c>
      <c r="S433" s="111">
        <f t="shared" si="162"/>
        <v>1.5</v>
      </c>
      <c r="T433" s="123">
        <v>16000000</v>
      </c>
      <c r="U433" s="113"/>
      <c r="V433" s="123">
        <v>16000000</v>
      </c>
      <c r="W433" s="115">
        <f t="shared" si="161"/>
        <v>888888.88888888888</v>
      </c>
      <c r="X433" s="115"/>
      <c r="Y433" s="115"/>
      <c r="Z433" s="124"/>
      <c r="AA433" s="115"/>
      <c r="AB433" s="167"/>
      <c r="AC433" s="118"/>
      <c r="AD433" s="85"/>
      <c r="AE433" s="118"/>
      <c r="AF433" s="85"/>
      <c r="AG433" s="84">
        <f t="shared" si="158"/>
        <v>16000000</v>
      </c>
      <c r="AH433" s="85"/>
      <c r="AI433" s="84"/>
      <c r="AJ433" s="124"/>
      <c r="AK433" s="84"/>
      <c r="AL433" s="124"/>
      <c r="AM433" s="84"/>
      <c r="AN433" s="85"/>
      <c r="AO433" s="84"/>
      <c r="AP433" s="85"/>
      <c r="AQ433" s="84"/>
      <c r="AR433" s="85"/>
      <c r="AS433" s="84"/>
      <c r="AT433" s="85"/>
      <c r="AU433" s="84"/>
      <c r="AV433" s="85"/>
      <c r="AW433" s="84"/>
      <c r="AX433" s="86">
        <f t="shared" si="157"/>
        <v>0</v>
      </c>
      <c r="AY433" s="87">
        <f t="shared" si="159"/>
        <v>16000000</v>
      </c>
      <c r="AZ433" s="65"/>
    </row>
    <row r="434" spans="1:52" s="67" customFormat="1" ht="24.75" hidden="1" customHeight="1">
      <c r="A434" s="68">
        <v>430</v>
      </c>
      <c r="B434" s="69" t="s">
        <v>1154</v>
      </c>
      <c r="C434" s="156" t="s">
        <v>806</v>
      </c>
      <c r="D434" s="71" t="s">
        <v>681</v>
      </c>
      <c r="E434" s="150" t="s">
        <v>1155</v>
      </c>
      <c r="F434" s="104"/>
      <c r="G434" s="105">
        <v>46141</v>
      </c>
      <c r="H434" s="102" t="s">
        <v>1135</v>
      </c>
      <c r="I434" s="120" t="s">
        <v>84</v>
      </c>
      <c r="J434" s="102" t="s">
        <v>85</v>
      </c>
      <c r="K434" s="68" t="s">
        <v>86</v>
      </c>
      <c r="L434" s="70" t="s">
        <v>87</v>
      </c>
      <c r="M434" s="88" t="s">
        <v>673</v>
      </c>
      <c r="N434" s="88" t="s">
        <v>674</v>
      </c>
      <c r="O434" s="108"/>
      <c r="P434" s="109">
        <v>46143</v>
      </c>
      <c r="Q434" s="110">
        <f t="shared" si="156"/>
        <v>46691</v>
      </c>
      <c r="R434" s="111">
        <v>18</v>
      </c>
      <c r="S434" s="111">
        <f t="shared" si="162"/>
        <v>1.5</v>
      </c>
      <c r="T434" s="123">
        <v>31500000</v>
      </c>
      <c r="U434" s="113"/>
      <c r="V434" s="123">
        <v>31500000</v>
      </c>
      <c r="W434" s="115">
        <f t="shared" si="161"/>
        <v>1750000</v>
      </c>
      <c r="X434" s="115"/>
      <c r="Y434" s="115"/>
      <c r="Z434" s="124"/>
      <c r="AA434" s="115"/>
      <c r="AB434" s="167"/>
      <c r="AC434" s="118"/>
      <c r="AD434" s="85"/>
      <c r="AE434" s="118"/>
      <c r="AF434" s="85"/>
      <c r="AG434" s="84">
        <f t="shared" si="158"/>
        <v>31500000</v>
      </c>
      <c r="AH434" s="85"/>
      <c r="AI434" s="84"/>
      <c r="AJ434" s="124"/>
      <c r="AK434" s="84"/>
      <c r="AL434" s="124"/>
      <c r="AM434" s="84"/>
      <c r="AN434" s="85"/>
      <c r="AO434" s="84"/>
      <c r="AP434" s="85"/>
      <c r="AQ434" s="84"/>
      <c r="AR434" s="85"/>
      <c r="AS434" s="84"/>
      <c r="AT434" s="85"/>
      <c r="AU434" s="84"/>
      <c r="AV434" s="85"/>
      <c r="AW434" s="84"/>
      <c r="AX434" s="86">
        <f t="shared" si="157"/>
        <v>0</v>
      </c>
      <c r="AY434" s="87">
        <f t="shared" si="159"/>
        <v>31500000</v>
      </c>
      <c r="AZ434" s="65"/>
    </row>
    <row r="435" spans="1:52" s="67" customFormat="1" ht="24.75" hidden="1" customHeight="1">
      <c r="A435" s="68">
        <v>431</v>
      </c>
      <c r="B435" s="69" t="s">
        <v>1156</v>
      </c>
      <c r="C435" s="156" t="s">
        <v>806</v>
      </c>
      <c r="D435" s="71" t="s">
        <v>95</v>
      </c>
      <c r="E435" s="150" t="s">
        <v>1157</v>
      </c>
      <c r="F435" s="104"/>
      <c r="G435" s="105">
        <v>46141</v>
      </c>
      <c r="H435" s="102" t="s">
        <v>1135</v>
      </c>
      <c r="I435" s="120" t="s">
        <v>98</v>
      </c>
      <c r="J435" s="102" t="s">
        <v>617</v>
      </c>
      <c r="K435" s="68" t="s">
        <v>99</v>
      </c>
      <c r="L435" s="70" t="s">
        <v>100</v>
      </c>
      <c r="M435" s="88" t="s">
        <v>130</v>
      </c>
      <c r="N435" s="88" t="s">
        <v>131</v>
      </c>
      <c r="O435" s="108"/>
      <c r="P435" s="109">
        <v>46143</v>
      </c>
      <c r="Q435" s="110">
        <f t="shared" si="156"/>
        <v>46873</v>
      </c>
      <c r="R435" s="111">
        <v>24</v>
      </c>
      <c r="S435" s="111">
        <f t="shared" si="162"/>
        <v>2</v>
      </c>
      <c r="T435" s="123">
        <v>97350700</v>
      </c>
      <c r="U435" s="113"/>
      <c r="V435" s="123">
        <v>97350700</v>
      </c>
      <c r="W435" s="115">
        <f t="shared" si="161"/>
        <v>4056279.1666666665</v>
      </c>
      <c r="X435" s="115"/>
      <c r="Y435" s="115"/>
      <c r="Z435" s="124"/>
      <c r="AA435" s="115"/>
      <c r="AB435" s="167"/>
      <c r="AC435" s="118"/>
      <c r="AD435" s="85"/>
      <c r="AE435" s="118"/>
      <c r="AF435" s="85"/>
      <c r="AG435" s="84">
        <f t="shared" si="158"/>
        <v>97350700</v>
      </c>
      <c r="AH435" s="85"/>
      <c r="AI435" s="84"/>
      <c r="AJ435" s="124"/>
      <c r="AK435" s="84"/>
      <c r="AL435" s="124"/>
      <c r="AM435" s="84"/>
      <c r="AN435" s="85"/>
      <c r="AO435" s="84"/>
      <c r="AP435" s="85"/>
      <c r="AQ435" s="84"/>
      <c r="AR435" s="85"/>
      <c r="AS435" s="84"/>
      <c r="AT435" s="85"/>
      <c r="AU435" s="84"/>
      <c r="AV435" s="85"/>
      <c r="AW435" s="84"/>
      <c r="AX435" s="86">
        <f t="shared" si="157"/>
        <v>0</v>
      </c>
      <c r="AY435" s="87">
        <f t="shared" si="159"/>
        <v>97350700</v>
      </c>
      <c r="AZ435" s="65"/>
    </row>
    <row r="436" spans="1:52" s="67" customFormat="1" ht="24.75" hidden="1" customHeight="1">
      <c r="A436" s="68">
        <v>432</v>
      </c>
      <c r="B436" s="69" t="s">
        <v>1158</v>
      </c>
      <c r="C436" s="156" t="s">
        <v>806</v>
      </c>
      <c r="D436" s="71" t="s">
        <v>95</v>
      </c>
      <c r="E436" s="150" t="s">
        <v>1159</v>
      </c>
      <c r="F436" s="104"/>
      <c r="G436" s="105">
        <v>46141</v>
      </c>
      <c r="H436" s="102" t="s">
        <v>1135</v>
      </c>
      <c r="I436" s="120" t="s">
        <v>98</v>
      </c>
      <c r="J436" s="102" t="s">
        <v>617</v>
      </c>
      <c r="K436" s="68" t="s">
        <v>99</v>
      </c>
      <c r="L436" s="70" t="s">
        <v>100</v>
      </c>
      <c r="M436" s="88" t="s">
        <v>130</v>
      </c>
      <c r="N436" s="88" t="s">
        <v>131</v>
      </c>
      <c r="O436" s="108"/>
      <c r="P436" s="109">
        <v>46143</v>
      </c>
      <c r="Q436" s="110">
        <f t="shared" si="156"/>
        <v>46873</v>
      </c>
      <c r="R436" s="111">
        <v>24</v>
      </c>
      <c r="S436" s="111">
        <f t="shared" si="162"/>
        <v>2</v>
      </c>
      <c r="T436" s="123">
        <v>56456302.030000001</v>
      </c>
      <c r="U436" s="113"/>
      <c r="V436" s="123">
        <v>56456302.030000001</v>
      </c>
      <c r="W436" s="115">
        <f t="shared" si="161"/>
        <v>2352345.9179166667</v>
      </c>
      <c r="X436" s="115"/>
      <c r="Y436" s="115"/>
      <c r="Z436" s="124"/>
      <c r="AA436" s="115"/>
      <c r="AB436" s="167"/>
      <c r="AC436" s="118"/>
      <c r="AD436" s="85"/>
      <c r="AE436" s="118"/>
      <c r="AF436" s="85"/>
      <c r="AG436" s="84">
        <f t="shared" si="158"/>
        <v>56456302.030000001</v>
      </c>
      <c r="AH436" s="85"/>
      <c r="AI436" s="84"/>
      <c r="AJ436" s="124"/>
      <c r="AK436" s="84"/>
      <c r="AL436" s="124"/>
      <c r="AM436" s="84"/>
      <c r="AN436" s="85"/>
      <c r="AO436" s="84"/>
      <c r="AP436" s="85"/>
      <c r="AQ436" s="84"/>
      <c r="AR436" s="85"/>
      <c r="AS436" s="84"/>
      <c r="AT436" s="85"/>
      <c r="AU436" s="84"/>
      <c r="AV436" s="85"/>
      <c r="AW436" s="84"/>
      <c r="AX436" s="86">
        <f t="shared" si="157"/>
        <v>0</v>
      </c>
      <c r="AY436" s="87">
        <f t="shared" si="159"/>
        <v>56456302.030000001</v>
      </c>
      <c r="AZ436" s="65"/>
    </row>
    <row r="437" spans="1:52" s="67" customFormat="1" ht="24.75" hidden="1" customHeight="1">
      <c r="A437" s="68">
        <v>433</v>
      </c>
      <c r="B437" s="69" t="s">
        <v>1160</v>
      </c>
      <c r="C437" s="156" t="s">
        <v>806</v>
      </c>
      <c r="D437" s="71" t="s">
        <v>95</v>
      </c>
      <c r="E437" s="150" t="s">
        <v>1161</v>
      </c>
      <c r="F437" s="104"/>
      <c r="G437" s="105">
        <v>46141</v>
      </c>
      <c r="H437" s="102" t="s">
        <v>1135</v>
      </c>
      <c r="I437" s="120" t="s">
        <v>98</v>
      </c>
      <c r="J437" s="102" t="s">
        <v>617</v>
      </c>
      <c r="K437" s="68" t="s">
        <v>99</v>
      </c>
      <c r="L437" s="70" t="s">
        <v>100</v>
      </c>
      <c r="M437" s="88" t="s">
        <v>130</v>
      </c>
      <c r="N437" s="88" t="s">
        <v>131</v>
      </c>
      <c r="O437" s="108"/>
      <c r="P437" s="109">
        <v>46143</v>
      </c>
      <c r="Q437" s="110">
        <f t="shared" si="156"/>
        <v>46873</v>
      </c>
      <c r="R437" s="111">
        <v>24</v>
      </c>
      <c r="S437" s="111">
        <f t="shared" si="162"/>
        <v>2</v>
      </c>
      <c r="T437" s="123">
        <v>81413337.969999999</v>
      </c>
      <c r="U437" s="113"/>
      <c r="V437" s="123">
        <v>81413337.969999999</v>
      </c>
      <c r="W437" s="115">
        <f t="shared" si="161"/>
        <v>3392222.4154166668</v>
      </c>
      <c r="X437" s="115"/>
      <c r="Y437" s="115"/>
      <c r="Z437" s="124"/>
      <c r="AA437" s="115"/>
      <c r="AB437" s="167"/>
      <c r="AC437" s="118"/>
      <c r="AD437" s="85"/>
      <c r="AE437" s="118"/>
      <c r="AF437" s="85"/>
      <c r="AG437" s="84">
        <f t="shared" si="158"/>
        <v>81413337.969999999</v>
      </c>
      <c r="AH437" s="85"/>
      <c r="AI437" s="84"/>
      <c r="AJ437" s="124"/>
      <c r="AK437" s="84"/>
      <c r="AL437" s="124"/>
      <c r="AM437" s="84"/>
      <c r="AN437" s="85"/>
      <c r="AO437" s="84"/>
      <c r="AP437" s="85"/>
      <c r="AQ437" s="84"/>
      <c r="AR437" s="85"/>
      <c r="AS437" s="84"/>
      <c r="AT437" s="85"/>
      <c r="AU437" s="84"/>
      <c r="AV437" s="85"/>
      <c r="AW437" s="84"/>
      <c r="AX437" s="86">
        <f t="shared" si="157"/>
        <v>0</v>
      </c>
      <c r="AY437" s="87">
        <f t="shared" si="159"/>
        <v>81413337.969999999</v>
      </c>
      <c r="AZ437" s="65"/>
    </row>
    <row r="438" spans="1:52" s="67" customFormat="1" ht="24.75" hidden="1" customHeight="1">
      <c r="A438" s="68">
        <v>434</v>
      </c>
      <c r="B438" s="69" t="s">
        <v>1162</v>
      </c>
      <c r="C438" s="156" t="s">
        <v>806</v>
      </c>
      <c r="D438" s="71" t="s">
        <v>95</v>
      </c>
      <c r="E438" s="150" t="s">
        <v>1163</v>
      </c>
      <c r="F438" s="104"/>
      <c r="G438" s="105">
        <v>46141</v>
      </c>
      <c r="H438" s="102" t="s">
        <v>1135</v>
      </c>
      <c r="I438" s="120" t="s">
        <v>98</v>
      </c>
      <c r="J438" s="102" t="s">
        <v>617</v>
      </c>
      <c r="K438" s="68" t="s">
        <v>99</v>
      </c>
      <c r="L438" s="70" t="s">
        <v>100</v>
      </c>
      <c r="M438" s="88" t="s">
        <v>1000</v>
      </c>
      <c r="N438" s="88" t="s">
        <v>1001</v>
      </c>
      <c r="O438" s="108"/>
      <c r="P438" s="109">
        <v>46143</v>
      </c>
      <c r="Q438" s="110">
        <f t="shared" si="156"/>
        <v>46873</v>
      </c>
      <c r="R438" s="111">
        <v>24</v>
      </c>
      <c r="S438" s="111">
        <f t="shared" si="162"/>
        <v>2</v>
      </c>
      <c r="T438" s="123">
        <v>388800000</v>
      </c>
      <c r="U438" s="113"/>
      <c r="V438" s="123">
        <v>388800000</v>
      </c>
      <c r="W438" s="115">
        <f t="shared" si="161"/>
        <v>16200000</v>
      </c>
      <c r="X438" s="115"/>
      <c r="Y438" s="115"/>
      <c r="Z438" s="124"/>
      <c r="AA438" s="115"/>
      <c r="AB438" s="167"/>
      <c r="AC438" s="118"/>
      <c r="AD438" s="85"/>
      <c r="AE438" s="118"/>
      <c r="AF438" s="85"/>
      <c r="AG438" s="84">
        <f t="shared" si="158"/>
        <v>388800000</v>
      </c>
      <c r="AH438" s="85"/>
      <c r="AI438" s="84"/>
      <c r="AJ438" s="124"/>
      <c r="AK438" s="84"/>
      <c r="AL438" s="124"/>
      <c r="AM438" s="84"/>
      <c r="AN438" s="85"/>
      <c r="AO438" s="84"/>
      <c r="AP438" s="85"/>
      <c r="AQ438" s="84"/>
      <c r="AR438" s="85"/>
      <c r="AS438" s="84"/>
      <c r="AT438" s="85"/>
      <c r="AU438" s="84"/>
      <c r="AV438" s="85"/>
      <c r="AW438" s="84"/>
      <c r="AX438" s="86">
        <f t="shared" si="157"/>
        <v>0</v>
      </c>
      <c r="AY438" s="87">
        <f t="shared" si="159"/>
        <v>388800000</v>
      </c>
      <c r="AZ438" s="65"/>
    </row>
    <row r="439" spans="1:52" s="67" customFormat="1" ht="24.75" hidden="1" customHeight="1">
      <c r="A439" s="68">
        <v>435</v>
      </c>
      <c r="B439" s="69" t="s">
        <v>1164</v>
      </c>
      <c r="C439" s="156" t="s">
        <v>806</v>
      </c>
      <c r="D439" s="71" t="s">
        <v>95</v>
      </c>
      <c r="E439" s="150" t="s">
        <v>1165</v>
      </c>
      <c r="F439" s="104"/>
      <c r="G439" s="105">
        <v>46141</v>
      </c>
      <c r="H439" s="102" t="s">
        <v>1135</v>
      </c>
      <c r="I439" s="120" t="s">
        <v>98</v>
      </c>
      <c r="J439" s="102" t="s">
        <v>617</v>
      </c>
      <c r="K439" s="68" t="s">
        <v>99</v>
      </c>
      <c r="L439" s="70" t="s">
        <v>100</v>
      </c>
      <c r="M439" s="88" t="s">
        <v>1000</v>
      </c>
      <c r="N439" s="88" t="s">
        <v>1001</v>
      </c>
      <c r="O439" s="108"/>
      <c r="P439" s="109">
        <v>46143</v>
      </c>
      <c r="Q439" s="110">
        <f t="shared" si="156"/>
        <v>46873</v>
      </c>
      <c r="R439" s="111">
        <v>24</v>
      </c>
      <c r="S439" s="111">
        <f t="shared" si="162"/>
        <v>2</v>
      </c>
      <c r="T439" s="123">
        <v>202000000</v>
      </c>
      <c r="U439" s="113"/>
      <c r="V439" s="123">
        <v>202000000</v>
      </c>
      <c r="W439" s="115">
        <f t="shared" si="161"/>
        <v>8416666.666666666</v>
      </c>
      <c r="X439" s="115"/>
      <c r="Y439" s="115"/>
      <c r="Z439" s="124"/>
      <c r="AA439" s="115"/>
      <c r="AB439" s="167"/>
      <c r="AC439" s="118"/>
      <c r="AD439" s="85"/>
      <c r="AE439" s="118"/>
      <c r="AF439" s="85"/>
      <c r="AG439" s="84">
        <f t="shared" si="158"/>
        <v>202000000</v>
      </c>
      <c r="AH439" s="85"/>
      <c r="AI439" s="84"/>
      <c r="AJ439" s="124"/>
      <c r="AK439" s="84"/>
      <c r="AL439" s="124"/>
      <c r="AM439" s="84"/>
      <c r="AN439" s="85"/>
      <c r="AO439" s="84"/>
      <c r="AP439" s="85"/>
      <c r="AQ439" s="84"/>
      <c r="AR439" s="85"/>
      <c r="AS439" s="84"/>
      <c r="AT439" s="85"/>
      <c r="AU439" s="84"/>
      <c r="AV439" s="85"/>
      <c r="AW439" s="84"/>
      <c r="AX439" s="86">
        <f t="shared" si="157"/>
        <v>0</v>
      </c>
      <c r="AY439" s="87">
        <f t="shared" si="159"/>
        <v>202000000</v>
      </c>
      <c r="AZ439" s="65"/>
    </row>
    <row r="440" spans="1:52" s="67" customFormat="1" ht="24.75" hidden="1" customHeight="1">
      <c r="A440" s="68">
        <v>436</v>
      </c>
      <c r="B440" s="69" t="s">
        <v>1166</v>
      </c>
      <c r="C440" s="156" t="s">
        <v>806</v>
      </c>
      <c r="D440" s="71" t="s">
        <v>95</v>
      </c>
      <c r="E440" s="150" t="s">
        <v>1167</v>
      </c>
      <c r="F440" s="104"/>
      <c r="G440" s="105">
        <v>46141</v>
      </c>
      <c r="H440" s="102" t="s">
        <v>1135</v>
      </c>
      <c r="I440" s="120" t="s">
        <v>98</v>
      </c>
      <c r="J440" s="102" t="s">
        <v>617</v>
      </c>
      <c r="K440" s="68" t="s">
        <v>99</v>
      </c>
      <c r="L440" s="70" t="s">
        <v>100</v>
      </c>
      <c r="M440" s="88" t="s">
        <v>1000</v>
      </c>
      <c r="N440" s="88" t="s">
        <v>1001</v>
      </c>
      <c r="O440" s="108"/>
      <c r="P440" s="109">
        <v>46143</v>
      </c>
      <c r="Q440" s="110">
        <f t="shared" si="156"/>
        <v>46873</v>
      </c>
      <c r="R440" s="111">
        <v>24</v>
      </c>
      <c r="S440" s="111">
        <f t="shared" si="162"/>
        <v>2</v>
      </c>
      <c r="T440" s="123">
        <v>121200000</v>
      </c>
      <c r="U440" s="113"/>
      <c r="V440" s="123">
        <v>121200000</v>
      </c>
      <c r="W440" s="115">
        <f t="shared" si="161"/>
        <v>5050000</v>
      </c>
      <c r="X440" s="115"/>
      <c r="Y440" s="115"/>
      <c r="Z440" s="124"/>
      <c r="AA440" s="115"/>
      <c r="AB440" s="167"/>
      <c r="AC440" s="118"/>
      <c r="AD440" s="85"/>
      <c r="AE440" s="118"/>
      <c r="AF440" s="85"/>
      <c r="AG440" s="84">
        <f t="shared" si="158"/>
        <v>121200000</v>
      </c>
      <c r="AH440" s="85"/>
      <c r="AI440" s="84"/>
      <c r="AJ440" s="124"/>
      <c r="AK440" s="84"/>
      <c r="AL440" s="124"/>
      <c r="AM440" s="84"/>
      <c r="AN440" s="85"/>
      <c r="AO440" s="84"/>
      <c r="AP440" s="85"/>
      <c r="AQ440" s="84"/>
      <c r="AR440" s="85"/>
      <c r="AS440" s="84"/>
      <c r="AT440" s="85"/>
      <c r="AU440" s="84"/>
      <c r="AV440" s="85"/>
      <c r="AW440" s="84"/>
      <c r="AX440" s="86">
        <f t="shared" si="157"/>
        <v>0</v>
      </c>
      <c r="AY440" s="87">
        <f t="shared" si="159"/>
        <v>121200000</v>
      </c>
      <c r="AZ440" s="65"/>
    </row>
    <row r="441" spans="1:52" s="67" customFormat="1" ht="24.75" customHeight="1">
      <c r="A441" s="68">
        <v>437</v>
      </c>
      <c r="B441" s="69" t="s">
        <v>1168</v>
      </c>
      <c r="C441" s="156" t="s">
        <v>806</v>
      </c>
      <c r="D441" s="71" t="s">
        <v>95</v>
      </c>
      <c r="E441" s="150" t="s">
        <v>1169</v>
      </c>
      <c r="F441" s="104"/>
      <c r="G441" s="105">
        <v>46141</v>
      </c>
      <c r="H441" s="102" t="s">
        <v>1135</v>
      </c>
      <c r="I441" s="120" t="s">
        <v>98</v>
      </c>
      <c r="J441" s="102" t="s">
        <v>617</v>
      </c>
      <c r="K441" s="68" t="s">
        <v>99</v>
      </c>
      <c r="L441" s="70" t="s">
        <v>100</v>
      </c>
      <c r="M441" s="88" t="s">
        <v>1000</v>
      </c>
      <c r="N441" s="88" t="s">
        <v>1001</v>
      </c>
      <c r="O441" s="108"/>
      <c r="P441" s="109">
        <v>46143</v>
      </c>
      <c r="Q441" s="110">
        <f t="shared" si="156"/>
        <v>46873</v>
      </c>
      <c r="R441" s="111">
        <v>24</v>
      </c>
      <c r="S441" s="111">
        <f t="shared" si="162"/>
        <v>2</v>
      </c>
      <c r="T441" s="123">
        <v>234000000</v>
      </c>
      <c r="U441" s="113"/>
      <c r="V441" s="123">
        <v>234000000</v>
      </c>
      <c r="W441" s="115">
        <f t="shared" si="161"/>
        <v>9750000</v>
      </c>
      <c r="X441" s="115"/>
      <c r="Y441" s="115"/>
      <c r="Z441" s="124"/>
      <c r="AA441" s="115"/>
      <c r="AB441" s="167"/>
      <c r="AC441" s="118"/>
      <c r="AD441" s="85"/>
      <c r="AE441" s="118"/>
      <c r="AF441" s="85"/>
      <c r="AG441" s="84">
        <f t="shared" si="158"/>
        <v>234000000</v>
      </c>
      <c r="AH441" s="85"/>
      <c r="AI441" s="84"/>
      <c r="AJ441" s="124"/>
      <c r="AK441" s="84"/>
      <c r="AL441" s="124"/>
      <c r="AM441" s="84"/>
      <c r="AN441" s="85"/>
      <c r="AO441" s="84"/>
      <c r="AP441" s="85"/>
      <c r="AQ441" s="84"/>
      <c r="AR441" s="85"/>
      <c r="AS441" s="84"/>
      <c r="AT441" s="85"/>
      <c r="AU441" s="84"/>
      <c r="AV441" s="85"/>
      <c r="AW441" s="84"/>
      <c r="AX441" s="86">
        <f t="shared" si="157"/>
        <v>0</v>
      </c>
      <c r="AY441" s="87">
        <f t="shared" si="159"/>
        <v>234000000</v>
      </c>
      <c r="AZ441" s="65"/>
    </row>
    <row r="442" spans="1:52" s="67" customFormat="1" ht="24.75" hidden="1" customHeight="1">
      <c r="A442" s="68">
        <v>438</v>
      </c>
      <c r="B442" s="69" t="s">
        <v>1170</v>
      </c>
      <c r="C442" s="156" t="s">
        <v>806</v>
      </c>
      <c r="D442" s="71" t="s">
        <v>95</v>
      </c>
      <c r="E442" s="150" t="s">
        <v>1171</v>
      </c>
      <c r="F442" s="104"/>
      <c r="G442" s="105">
        <v>46141</v>
      </c>
      <c r="H442" s="102" t="s">
        <v>1135</v>
      </c>
      <c r="I442" s="120" t="s">
        <v>98</v>
      </c>
      <c r="J442" s="102" t="s">
        <v>617</v>
      </c>
      <c r="K442" s="68" t="s">
        <v>99</v>
      </c>
      <c r="L442" s="70" t="s">
        <v>100</v>
      </c>
      <c r="M442" s="88" t="s">
        <v>1013</v>
      </c>
      <c r="N442" s="88" t="s">
        <v>1014</v>
      </c>
      <c r="O442" s="108"/>
      <c r="P442" s="109">
        <v>46143</v>
      </c>
      <c r="Q442" s="110">
        <f t="shared" si="156"/>
        <v>47238</v>
      </c>
      <c r="R442" s="111">
        <v>36</v>
      </c>
      <c r="S442" s="111">
        <f t="shared" si="162"/>
        <v>3</v>
      </c>
      <c r="T442" s="123">
        <v>445000000</v>
      </c>
      <c r="U442" s="113"/>
      <c r="V442" s="123">
        <v>445000000</v>
      </c>
      <c r="W442" s="115">
        <f t="shared" si="161"/>
        <v>12361111.111111112</v>
      </c>
      <c r="X442" s="115"/>
      <c r="Y442" s="115"/>
      <c r="Z442" s="124"/>
      <c r="AA442" s="115"/>
      <c r="AB442" s="167"/>
      <c r="AC442" s="118"/>
      <c r="AD442" s="85"/>
      <c r="AE442" s="118"/>
      <c r="AF442" s="85"/>
      <c r="AG442" s="84">
        <f t="shared" si="158"/>
        <v>445000000</v>
      </c>
      <c r="AH442" s="85"/>
      <c r="AI442" s="84"/>
      <c r="AJ442" s="124"/>
      <c r="AK442" s="84"/>
      <c r="AL442" s="124"/>
      <c r="AM442" s="84"/>
      <c r="AN442" s="85"/>
      <c r="AO442" s="84"/>
      <c r="AP442" s="85"/>
      <c r="AQ442" s="84"/>
      <c r="AR442" s="85"/>
      <c r="AS442" s="84"/>
      <c r="AT442" s="85"/>
      <c r="AU442" s="84"/>
      <c r="AV442" s="85"/>
      <c r="AW442" s="84"/>
      <c r="AX442" s="86">
        <f t="shared" si="157"/>
        <v>0</v>
      </c>
      <c r="AY442" s="87">
        <f t="shared" si="159"/>
        <v>445000000</v>
      </c>
      <c r="AZ442" s="65"/>
    </row>
    <row r="443" spans="1:52" s="67" customFormat="1" ht="24.75" hidden="1" customHeight="1">
      <c r="A443" s="68">
        <v>439</v>
      </c>
      <c r="B443" s="69" t="s">
        <v>1172</v>
      </c>
      <c r="C443" s="156" t="s">
        <v>806</v>
      </c>
      <c r="D443" s="71" t="s">
        <v>95</v>
      </c>
      <c r="E443" s="150" t="s">
        <v>1173</v>
      </c>
      <c r="F443" s="104"/>
      <c r="G443" s="105">
        <v>46141</v>
      </c>
      <c r="H443" s="102" t="s">
        <v>1135</v>
      </c>
      <c r="I443" s="120" t="s">
        <v>98</v>
      </c>
      <c r="J443" s="102" t="s">
        <v>617</v>
      </c>
      <c r="K443" s="68" t="s">
        <v>99</v>
      </c>
      <c r="L443" s="70" t="s">
        <v>100</v>
      </c>
      <c r="M443" s="88" t="s">
        <v>1013</v>
      </c>
      <c r="N443" s="88" t="s">
        <v>1014</v>
      </c>
      <c r="O443" s="108"/>
      <c r="P443" s="109">
        <v>46143</v>
      </c>
      <c r="Q443" s="110">
        <f t="shared" si="156"/>
        <v>46873</v>
      </c>
      <c r="R443" s="111">
        <v>24</v>
      </c>
      <c r="S443" s="111">
        <f t="shared" si="162"/>
        <v>2</v>
      </c>
      <c r="T443" s="123">
        <v>70000000</v>
      </c>
      <c r="U443" s="113"/>
      <c r="V443" s="123">
        <v>70000000</v>
      </c>
      <c r="W443" s="115">
        <f t="shared" si="161"/>
        <v>2916666.6666666665</v>
      </c>
      <c r="X443" s="115"/>
      <c r="Y443" s="115"/>
      <c r="Z443" s="124"/>
      <c r="AA443" s="115"/>
      <c r="AB443" s="167"/>
      <c r="AC443" s="118"/>
      <c r="AD443" s="85"/>
      <c r="AE443" s="118"/>
      <c r="AF443" s="85"/>
      <c r="AG443" s="84">
        <f t="shared" si="158"/>
        <v>70000000</v>
      </c>
      <c r="AH443" s="85"/>
      <c r="AI443" s="84"/>
      <c r="AJ443" s="124"/>
      <c r="AK443" s="84"/>
      <c r="AL443" s="124"/>
      <c r="AM443" s="84"/>
      <c r="AN443" s="85"/>
      <c r="AO443" s="84"/>
      <c r="AP443" s="85"/>
      <c r="AQ443" s="84"/>
      <c r="AR443" s="85"/>
      <c r="AS443" s="84"/>
      <c r="AT443" s="85"/>
      <c r="AU443" s="84"/>
      <c r="AV443" s="85"/>
      <c r="AW443" s="84"/>
      <c r="AX443" s="86">
        <f t="shared" si="157"/>
        <v>0</v>
      </c>
      <c r="AY443" s="87">
        <f t="shared" si="159"/>
        <v>70000000</v>
      </c>
      <c r="AZ443" s="65"/>
    </row>
    <row r="444" spans="1:52" s="67" customFormat="1" ht="24.75" hidden="1" customHeight="1">
      <c r="A444" s="68">
        <v>440</v>
      </c>
      <c r="B444" s="69" t="s">
        <v>1174</v>
      </c>
      <c r="C444" s="156" t="s">
        <v>806</v>
      </c>
      <c r="D444" s="71" t="s">
        <v>95</v>
      </c>
      <c r="E444" s="150" t="s">
        <v>1175</v>
      </c>
      <c r="F444" s="104"/>
      <c r="G444" s="105">
        <v>46141</v>
      </c>
      <c r="H444" s="102" t="s">
        <v>1135</v>
      </c>
      <c r="I444" s="120" t="s">
        <v>98</v>
      </c>
      <c r="J444" s="102" t="s">
        <v>617</v>
      </c>
      <c r="K444" s="68" t="s">
        <v>99</v>
      </c>
      <c r="L444" s="70" t="s">
        <v>100</v>
      </c>
      <c r="M444" s="88" t="s">
        <v>1013</v>
      </c>
      <c r="N444" s="88" t="s">
        <v>1014</v>
      </c>
      <c r="O444" s="108"/>
      <c r="P444" s="109">
        <v>46143</v>
      </c>
      <c r="Q444" s="110">
        <f t="shared" si="156"/>
        <v>47238</v>
      </c>
      <c r="R444" s="111">
        <v>36</v>
      </c>
      <c r="S444" s="111">
        <f t="shared" si="162"/>
        <v>3</v>
      </c>
      <c r="T444" s="123">
        <v>500000000</v>
      </c>
      <c r="U444" s="113"/>
      <c r="V444" s="123">
        <v>500000000</v>
      </c>
      <c r="W444" s="115">
        <f t="shared" si="161"/>
        <v>13888888.888888888</v>
      </c>
      <c r="X444" s="115"/>
      <c r="Y444" s="115"/>
      <c r="Z444" s="124"/>
      <c r="AA444" s="115"/>
      <c r="AB444" s="167"/>
      <c r="AC444" s="118"/>
      <c r="AD444" s="85"/>
      <c r="AE444" s="118"/>
      <c r="AF444" s="85"/>
      <c r="AG444" s="84">
        <f t="shared" si="158"/>
        <v>500000000</v>
      </c>
      <c r="AH444" s="85"/>
      <c r="AI444" s="84"/>
      <c r="AJ444" s="124"/>
      <c r="AK444" s="84"/>
      <c r="AL444" s="124"/>
      <c r="AM444" s="84"/>
      <c r="AN444" s="85"/>
      <c r="AO444" s="84"/>
      <c r="AP444" s="85"/>
      <c r="AQ444" s="84"/>
      <c r="AR444" s="85"/>
      <c r="AS444" s="84"/>
      <c r="AT444" s="85"/>
      <c r="AU444" s="84"/>
      <c r="AV444" s="85"/>
      <c r="AW444" s="84"/>
      <c r="AX444" s="86">
        <f t="shared" si="157"/>
        <v>0</v>
      </c>
      <c r="AY444" s="87">
        <f t="shared" si="159"/>
        <v>500000000</v>
      </c>
      <c r="AZ444" s="65"/>
    </row>
    <row r="445" spans="1:52" s="67" customFormat="1" ht="24.75" hidden="1" customHeight="1">
      <c r="A445" s="68">
        <v>441</v>
      </c>
      <c r="B445" s="69" t="s">
        <v>1176</v>
      </c>
      <c r="C445" s="156" t="s">
        <v>806</v>
      </c>
      <c r="D445" s="71" t="s">
        <v>95</v>
      </c>
      <c r="E445" s="150" t="s">
        <v>1177</v>
      </c>
      <c r="F445" s="104"/>
      <c r="G445" s="105">
        <v>46141</v>
      </c>
      <c r="H445" s="102" t="s">
        <v>1135</v>
      </c>
      <c r="I445" s="120" t="s">
        <v>98</v>
      </c>
      <c r="J445" s="102" t="s">
        <v>617</v>
      </c>
      <c r="K445" s="68" t="s">
        <v>99</v>
      </c>
      <c r="L445" s="70" t="s">
        <v>100</v>
      </c>
      <c r="M445" s="88" t="s">
        <v>1013</v>
      </c>
      <c r="N445" s="88" t="s">
        <v>1014</v>
      </c>
      <c r="O445" s="108"/>
      <c r="P445" s="109">
        <v>46143</v>
      </c>
      <c r="Q445" s="110">
        <f t="shared" si="156"/>
        <v>47238</v>
      </c>
      <c r="R445" s="111">
        <v>36</v>
      </c>
      <c r="S445" s="111">
        <f t="shared" si="162"/>
        <v>3</v>
      </c>
      <c r="T445" s="123">
        <v>550000000</v>
      </c>
      <c r="U445" s="113"/>
      <c r="V445" s="123">
        <v>550000000</v>
      </c>
      <c r="W445" s="115">
        <f t="shared" si="161"/>
        <v>15277777.777777778</v>
      </c>
      <c r="X445" s="115"/>
      <c r="Y445" s="115"/>
      <c r="Z445" s="124"/>
      <c r="AA445" s="115"/>
      <c r="AB445" s="167"/>
      <c r="AC445" s="118"/>
      <c r="AD445" s="85"/>
      <c r="AE445" s="118"/>
      <c r="AF445" s="85"/>
      <c r="AG445" s="84">
        <f t="shared" si="158"/>
        <v>550000000</v>
      </c>
      <c r="AH445" s="85"/>
      <c r="AI445" s="84"/>
      <c r="AJ445" s="124"/>
      <c r="AK445" s="84"/>
      <c r="AL445" s="124"/>
      <c r="AM445" s="84"/>
      <c r="AN445" s="85"/>
      <c r="AO445" s="84"/>
      <c r="AP445" s="85"/>
      <c r="AQ445" s="84"/>
      <c r="AR445" s="85"/>
      <c r="AS445" s="84"/>
      <c r="AT445" s="85"/>
      <c r="AU445" s="84"/>
      <c r="AV445" s="85"/>
      <c r="AW445" s="84"/>
      <c r="AX445" s="86">
        <f t="shared" si="157"/>
        <v>0</v>
      </c>
      <c r="AY445" s="87">
        <f t="shared" si="159"/>
        <v>550000000</v>
      </c>
      <c r="AZ445" s="65"/>
    </row>
    <row r="446" spans="1:52" s="67" customFormat="1" ht="24.75" hidden="1" customHeight="1">
      <c r="A446" s="68">
        <v>442</v>
      </c>
      <c r="B446" s="69" t="s">
        <v>1178</v>
      </c>
      <c r="C446" s="156" t="s">
        <v>806</v>
      </c>
      <c r="D446" s="71" t="s">
        <v>95</v>
      </c>
      <c r="E446" s="150" t="s">
        <v>1179</v>
      </c>
      <c r="F446" s="104"/>
      <c r="G446" s="105">
        <v>46141</v>
      </c>
      <c r="H446" s="102" t="s">
        <v>1135</v>
      </c>
      <c r="I446" s="120" t="s">
        <v>98</v>
      </c>
      <c r="J446" s="102" t="s">
        <v>617</v>
      </c>
      <c r="K446" s="68" t="s">
        <v>99</v>
      </c>
      <c r="L446" s="70" t="s">
        <v>100</v>
      </c>
      <c r="M446" s="88" t="s">
        <v>1013</v>
      </c>
      <c r="N446" s="88" t="s">
        <v>1014</v>
      </c>
      <c r="O446" s="108"/>
      <c r="P446" s="109">
        <v>46143</v>
      </c>
      <c r="Q446" s="110">
        <f t="shared" si="156"/>
        <v>47238</v>
      </c>
      <c r="R446" s="111">
        <v>36</v>
      </c>
      <c r="S446" s="111">
        <f t="shared" si="162"/>
        <v>3</v>
      </c>
      <c r="T446" s="123">
        <v>460000000</v>
      </c>
      <c r="U446" s="113"/>
      <c r="V446" s="123">
        <v>460000000</v>
      </c>
      <c r="W446" s="115">
        <f t="shared" si="161"/>
        <v>12777777.777777778</v>
      </c>
      <c r="X446" s="115"/>
      <c r="Y446" s="115"/>
      <c r="Z446" s="124"/>
      <c r="AA446" s="115"/>
      <c r="AB446" s="167"/>
      <c r="AC446" s="118"/>
      <c r="AD446" s="85"/>
      <c r="AE446" s="118"/>
      <c r="AF446" s="85"/>
      <c r="AG446" s="84">
        <f t="shared" si="158"/>
        <v>460000000</v>
      </c>
      <c r="AH446" s="85"/>
      <c r="AI446" s="84"/>
      <c r="AJ446" s="124"/>
      <c r="AK446" s="84"/>
      <c r="AL446" s="124"/>
      <c r="AM446" s="84"/>
      <c r="AN446" s="85"/>
      <c r="AO446" s="84"/>
      <c r="AP446" s="85"/>
      <c r="AQ446" s="84"/>
      <c r="AR446" s="85"/>
      <c r="AS446" s="84"/>
      <c r="AT446" s="85"/>
      <c r="AU446" s="84"/>
      <c r="AV446" s="85"/>
      <c r="AW446" s="84"/>
      <c r="AX446" s="86">
        <f t="shared" si="157"/>
        <v>0</v>
      </c>
      <c r="AY446" s="87">
        <f t="shared" si="159"/>
        <v>460000000</v>
      </c>
      <c r="AZ446" s="65"/>
    </row>
    <row r="447" spans="1:52" s="67" customFormat="1" ht="24.75" hidden="1" customHeight="1">
      <c r="A447" s="68">
        <v>443</v>
      </c>
      <c r="B447" s="69" t="s">
        <v>1180</v>
      </c>
      <c r="C447" s="156" t="s">
        <v>806</v>
      </c>
      <c r="D447" s="71" t="s">
        <v>95</v>
      </c>
      <c r="E447" s="150" t="s">
        <v>1181</v>
      </c>
      <c r="F447" s="104"/>
      <c r="G447" s="105">
        <v>46141</v>
      </c>
      <c r="H447" s="102" t="s">
        <v>1135</v>
      </c>
      <c r="I447" s="120" t="s">
        <v>98</v>
      </c>
      <c r="J447" s="102" t="s">
        <v>617</v>
      </c>
      <c r="K447" s="68" t="s">
        <v>99</v>
      </c>
      <c r="L447" s="70" t="s">
        <v>100</v>
      </c>
      <c r="M447" s="88" t="s">
        <v>1022</v>
      </c>
      <c r="N447" s="88" t="s">
        <v>1023</v>
      </c>
      <c r="O447" s="108"/>
      <c r="P447" s="109">
        <v>46143</v>
      </c>
      <c r="Q447" s="110">
        <f t="shared" si="156"/>
        <v>46873</v>
      </c>
      <c r="R447" s="111">
        <v>24</v>
      </c>
      <c r="S447" s="111">
        <f t="shared" si="162"/>
        <v>2</v>
      </c>
      <c r="T447" s="123">
        <v>90000000</v>
      </c>
      <c r="U447" s="113"/>
      <c r="V447" s="123">
        <v>90000000</v>
      </c>
      <c r="W447" s="115">
        <f t="shared" si="161"/>
        <v>3750000</v>
      </c>
      <c r="X447" s="115"/>
      <c r="Y447" s="115"/>
      <c r="Z447" s="124"/>
      <c r="AA447" s="115"/>
      <c r="AB447" s="167"/>
      <c r="AC447" s="118"/>
      <c r="AD447" s="85"/>
      <c r="AE447" s="118"/>
      <c r="AF447" s="85"/>
      <c r="AG447" s="84">
        <f t="shared" si="158"/>
        <v>90000000</v>
      </c>
      <c r="AH447" s="85"/>
      <c r="AI447" s="84"/>
      <c r="AJ447" s="124"/>
      <c r="AK447" s="84"/>
      <c r="AL447" s="124"/>
      <c r="AM447" s="84"/>
      <c r="AN447" s="85"/>
      <c r="AO447" s="84"/>
      <c r="AP447" s="85"/>
      <c r="AQ447" s="84"/>
      <c r="AR447" s="85"/>
      <c r="AS447" s="84"/>
      <c r="AT447" s="85"/>
      <c r="AU447" s="84"/>
      <c r="AV447" s="85"/>
      <c r="AW447" s="84"/>
      <c r="AX447" s="86">
        <f t="shared" si="157"/>
        <v>0</v>
      </c>
      <c r="AY447" s="87">
        <f t="shared" si="159"/>
        <v>90000000</v>
      </c>
      <c r="AZ447" s="65"/>
    </row>
    <row r="448" spans="1:52" s="67" customFormat="1" ht="24.75" hidden="1" customHeight="1">
      <c r="A448" s="68">
        <v>444</v>
      </c>
      <c r="B448" s="69" t="s">
        <v>1182</v>
      </c>
      <c r="C448" s="156" t="s">
        <v>806</v>
      </c>
      <c r="D448" s="71" t="s">
        <v>95</v>
      </c>
      <c r="E448" s="150" t="s">
        <v>1183</v>
      </c>
      <c r="F448" s="104"/>
      <c r="G448" s="105">
        <v>46141</v>
      </c>
      <c r="H448" s="102" t="s">
        <v>1135</v>
      </c>
      <c r="I448" s="120" t="s">
        <v>98</v>
      </c>
      <c r="J448" s="102" t="s">
        <v>617</v>
      </c>
      <c r="K448" s="68" t="s">
        <v>99</v>
      </c>
      <c r="L448" s="70" t="s">
        <v>100</v>
      </c>
      <c r="M448" s="88" t="s">
        <v>1000</v>
      </c>
      <c r="N448" s="88" t="s">
        <v>1001</v>
      </c>
      <c r="O448" s="108"/>
      <c r="P448" s="109">
        <v>46143</v>
      </c>
      <c r="Q448" s="110">
        <f t="shared" si="156"/>
        <v>46873</v>
      </c>
      <c r="R448" s="111">
        <v>24</v>
      </c>
      <c r="S448" s="111">
        <f t="shared" si="162"/>
        <v>2</v>
      </c>
      <c r="T448" s="123">
        <v>468000000</v>
      </c>
      <c r="U448" s="113"/>
      <c r="V448" s="123">
        <v>468000000</v>
      </c>
      <c r="W448" s="115">
        <f t="shared" si="161"/>
        <v>19500000</v>
      </c>
      <c r="X448" s="115"/>
      <c r="Y448" s="115"/>
      <c r="Z448" s="124"/>
      <c r="AA448" s="115"/>
      <c r="AB448" s="167"/>
      <c r="AC448" s="118"/>
      <c r="AD448" s="85"/>
      <c r="AE448" s="118"/>
      <c r="AF448" s="85"/>
      <c r="AG448" s="84">
        <f t="shared" si="158"/>
        <v>468000000</v>
      </c>
      <c r="AH448" s="85"/>
      <c r="AI448" s="84"/>
      <c r="AJ448" s="124"/>
      <c r="AK448" s="84"/>
      <c r="AL448" s="124"/>
      <c r="AM448" s="84"/>
      <c r="AN448" s="85"/>
      <c r="AO448" s="84"/>
      <c r="AP448" s="85"/>
      <c r="AQ448" s="84"/>
      <c r="AR448" s="85"/>
      <c r="AS448" s="84"/>
      <c r="AT448" s="85"/>
      <c r="AU448" s="84"/>
      <c r="AV448" s="85"/>
      <c r="AW448" s="84"/>
      <c r="AX448" s="86">
        <f t="shared" si="157"/>
        <v>0</v>
      </c>
      <c r="AY448" s="87">
        <f t="shared" si="159"/>
        <v>468000000</v>
      </c>
      <c r="AZ448" s="65"/>
    </row>
    <row r="449" spans="1:52" s="67" customFormat="1" ht="24.75" customHeight="1">
      <c r="A449" s="68">
        <v>445</v>
      </c>
      <c r="B449" s="69" t="s">
        <v>1184</v>
      </c>
      <c r="C449" s="156" t="s">
        <v>806</v>
      </c>
      <c r="D449" s="71" t="s">
        <v>95</v>
      </c>
      <c r="E449" s="150" t="s">
        <v>1185</v>
      </c>
      <c r="F449" s="104"/>
      <c r="G449" s="105">
        <v>46141</v>
      </c>
      <c r="H449" s="102" t="s">
        <v>1135</v>
      </c>
      <c r="I449" s="120" t="s">
        <v>98</v>
      </c>
      <c r="J449" s="102" t="s">
        <v>617</v>
      </c>
      <c r="K449" s="68" t="s">
        <v>99</v>
      </c>
      <c r="L449" s="70" t="s">
        <v>100</v>
      </c>
      <c r="M449" s="88" t="s">
        <v>1000</v>
      </c>
      <c r="N449" s="88" t="s">
        <v>1001</v>
      </c>
      <c r="O449" s="108"/>
      <c r="P449" s="109">
        <v>46143</v>
      </c>
      <c r="Q449" s="110">
        <f t="shared" si="156"/>
        <v>46873</v>
      </c>
      <c r="R449" s="111">
        <v>24</v>
      </c>
      <c r="S449" s="111">
        <f t="shared" si="162"/>
        <v>2</v>
      </c>
      <c r="T449" s="123">
        <v>63180000</v>
      </c>
      <c r="U449" s="113"/>
      <c r="V449" s="123">
        <v>63180000</v>
      </c>
      <c r="W449" s="115">
        <f t="shared" si="161"/>
        <v>2632500</v>
      </c>
      <c r="X449" s="115"/>
      <c r="Y449" s="115"/>
      <c r="Z449" s="124"/>
      <c r="AA449" s="115"/>
      <c r="AB449" s="167"/>
      <c r="AC449" s="118"/>
      <c r="AD449" s="85"/>
      <c r="AE449" s="118"/>
      <c r="AF449" s="85"/>
      <c r="AG449" s="84">
        <f t="shared" si="158"/>
        <v>63180000</v>
      </c>
      <c r="AH449" s="85"/>
      <c r="AI449" s="84"/>
      <c r="AJ449" s="124"/>
      <c r="AK449" s="84"/>
      <c r="AL449" s="124"/>
      <c r="AM449" s="84"/>
      <c r="AN449" s="85"/>
      <c r="AO449" s="84"/>
      <c r="AP449" s="85"/>
      <c r="AQ449" s="84"/>
      <c r="AR449" s="85"/>
      <c r="AS449" s="84"/>
      <c r="AT449" s="85"/>
      <c r="AU449" s="84"/>
      <c r="AV449" s="85"/>
      <c r="AW449" s="84"/>
      <c r="AX449" s="86">
        <f t="shared" si="157"/>
        <v>0</v>
      </c>
      <c r="AY449" s="87">
        <f t="shared" si="159"/>
        <v>63180000</v>
      </c>
      <c r="AZ449" s="65"/>
    </row>
    <row r="450" spans="1:52" s="67" customFormat="1" ht="24.75" customHeight="1">
      <c r="A450" s="68">
        <v>446</v>
      </c>
      <c r="B450" s="69" t="s">
        <v>1186</v>
      </c>
      <c r="C450" s="156" t="s">
        <v>806</v>
      </c>
      <c r="D450" s="71" t="s">
        <v>95</v>
      </c>
      <c r="E450" s="150" t="s">
        <v>1009</v>
      </c>
      <c r="F450" s="104"/>
      <c r="G450" s="105">
        <v>46141</v>
      </c>
      <c r="H450" s="102" t="s">
        <v>1135</v>
      </c>
      <c r="I450" s="120" t="s">
        <v>98</v>
      </c>
      <c r="J450" s="102" t="s">
        <v>617</v>
      </c>
      <c r="K450" s="68" t="s">
        <v>99</v>
      </c>
      <c r="L450" s="70" t="s">
        <v>100</v>
      </c>
      <c r="M450" s="88" t="s">
        <v>1000</v>
      </c>
      <c r="N450" s="88" t="s">
        <v>1001</v>
      </c>
      <c r="O450" s="108"/>
      <c r="P450" s="109">
        <v>46143</v>
      </c>
      <c r="Q450" s="110">
        <f t="shared" si="156"/>
        <v>46873</v>
      </c>
      <c r="R450" s="111">
        <v>24</v>
      </c>
      <c r="S450" s="111">
        <f t="shared" si="162"/>
        <v>2</v>
      </c>
      <c r="T450" s="123">
        <v>1861517714.2857168</v>
      </c>
      <c r="U450" s="113"/>
      <c r="V450" s="123">
        <v>1861517714.2857168</v>
      </c>
      <c r="W450" s="115">
        <f t="shared" si="161"/>
        <v>77563238.095238194</v>
      </c>
      <c r="X450" s="115"/>
      <c r="Y450" s="115"/>
      <c r="Z450" s="124"/>
      <c r="AA450" s="115"/>
      <c r="AB450" s="167"/>
      <c r="AC450" s="118"/>
      <c r="AD450" s="85"/>
      <c r="AE450" s="118"/>
      <c r="AF450" s="85"/>
      <c r="AG450" s="84">
        <f t="shared" si="158"/>
        <v>1861517714.2857168</v>
      </c>
      <c r="AH450" s="85"/>
      <c r="AI450" s="84"/>
      <c r="AJ450" s="124"/>
      <c r="AK450" s="84"/>
      <c r="AL450" s="124"/>
      <c r="AM450" s="84"/>
      <c r="AN450" s="85"/>
      <c r="AO450" s="84"/>
      <c r="AP450" s="85"/>
      <c r="AQ450" s="84"/>
      <c r="AR450" s="85"/>
      <c r="AS450" s="84"/>
      <c r="AT450" s="85"/>
      <c r="AU450" s="84"/>
      <c r="AV450" s="85"/>
      <c r="AW450" s="84"/>
      <c r="AX450" s="86">
        <f t="shared" si="157"/>
        <v>0</v>
      </c>
      <c r="AY450" s="87">
        <f t="shared" si="159"/>
        <v>1861517714.2857168</v>
      </c>
      <c r="AZ450" s="65"/>
    </row>
    <row r="451" spans="1:52" s="67" customFormat="1" ht="24.75" customHeight="1">
      <c r="A451" s="68">
        <v>447</v>
      </c>
      <c r="B451" s="69" t="s">
        <v>1187</v>
      </c>
      <c r="C451" s="156" t="s">
        <v>806</v>
      </c>
      <c r="D451" s="71" t="s">
        <v>95</v>
      </c>
      <c r="E451" s="150" t="s">
        <v>1188</v>
      </c>
      <c r="F451" s="104"/>
      <c r="G451" s="105">
        <v>46141</v>
      </c>
      <c r="H451" s="102" t="s">
        <v>1135</v>
      </c>
      <c r="I451" s="120" t="s">
        <v>98</v>
      </c>
      <c r="J451" s="102" t="s">
        <v>617</v>
      </c>
      <c r="K451" s="68" t="s">
        <v>99</v>
      </c>
      <c r="L451" s="70" t="s">
        <v>100</v>
      </c>
      <c r="M451" s="88" t="s">
        <v>1000</v>
      </c>
      <c r="N451" s="88" t="s">
        <v>1001</v>
      </c>
      <c r="O451" s="108"/>
      <c r="P451" s="109">
        <v>46143</v>
      </c>
      <c r="Q451" s="110">
        <f t="shared" si="156"/>
        <v>46873</v>
      </c>
      <c r="R451" s="111">
        <v>24</v>
      </c>
      <c r="S451" s="111">
        <f t="shared" si="162"/>
        <v>2</v>
      </c>
      <c r="T451" s="123">
        <v>577612500</v>
      </c>
      <c r="U451" s="113"/>
      <c r="V451" s="123">
        <v>577612500</v>
      </c>
      <c r="W451" s="115">
        <f t="shared" si="161"/>
        <v>24067187.5</v>
      </c>
      <c r="X451" s="115"/>
      <c r="Y451" s="115"/>
      <c r="Z451" s="124"/>
      <c r="AA451" s="115"/>
      <c r="AB451" s="167"/>
      <c r="AC451" s="118"/>
      <c r="AD451" s="85"/>
      <c r="AE451" s="118"/>
      <c r="AF451" s="85"/>
      <c r="AG451" s="84">
        <f t="shared" si="158"/>
        <v>577612500</v>
      </c>
      <c r="AH451" s="85"/>
      <c r="AI451" s="84"/>
      <c r="AJ451" s="124"/>
      <c r="AK451" s="84"/>
      <c r="AL451" s="124"/>
      <c r="AM451" s="84"/>
      <c r="AN451" s="85"/>
      <c r="AO451" s="84"/>
      <c r="AP451" s="85"/>
      <c r="AQ451" s="84"/>
      <c r="AR451" s="85"/>
      <c r="AS451" s="84"/>
      <c r="AT451" s="85"/>
      <c r="AU451" s="84"/>
      <c r="AV451" s="85"/>
      <c r="AW451" s="84"/>
      <c r="AX451" s="86">
        <f>SUMIF($Z$4:$AW$4,"Amortization",Z451:AW451)</f>
        <v>0</v>
      </c>
      <c r="AY451" s="87">
        <f t="shared" si="159"/>
        <v>577612500</v>
      </c>
      <c r="AZ451" s="65"/>
    </row>
    <row r="452" spans="1:52" s="67" customFormat="1" ht="24.75" customHeight="1">
      <c r="A452" s="68">
        <v>448</v>
      </c>
      <c r="B452" s="69" t="s">
        <v>1189</v>
      </c>
      <c r="C452" s="156" t="s">
        <v>806</v>
      </c>
      <c r="D452" s="71" t="s">
        <v>95</v>
      </c>
      <c r="E452" s="150" t="s">
        <v>1190</v>
      </c>
      <c r="F452" s="104"/>
      <c r="G452" s="105">
        <v>46141</v>
      </c>
      <c r="H452" s="102" t="s">
        <v>1135</v>
      </c>
      <c r="I452" s="120" t="s">
        <v>98</v>
      </c>
      <c r="J452" s="102" t="s">
        <v>617</v>
      </c>
      <c r="K452" s="68" t="s">
        <v>99</v>
      </c>
      <c r="L452" s="70" t="s">
        <v>100</v>
      </c>
      <c r="M452" s="88" t="s">
        <v>1000</v>
      </c>
      <c r="N452" s="88" t="s">
        <v>1001</v>
      </c>
      <c r="O452" s="108"/>
      <c r="P452" s="109">
        <v>46143</v>
      </c>
      <c r="Q452" s="110">
        <f t="shared" si="156"/>
        <v>46873</v>
      </c>
      <c r="R452" s="111">
        <v>24</v>
      </c>
      <c r="S452" s="111">
        <f t="shared" si="162"/>
        <v>2</v>
      </c>
      <c r="T452" s="123">
        <v>130556250</v>
      </c>
      <c r="U452" s="113"/>
      <c r="V452" s="123">
        <v>130556250</v>
      </c>
      <c r="W452" s="115">
        <f t="shared" si="161"/>
        <v>5439843.75</v>
      </c>
      <c r="X452" s="115"/>
      <c r="Y452" s="115"/>
      <c r="Z452" s="124"/>
      <c r="AA452" s="115"/>
      <c r="AB452" s="167"/>
      <c r="AC452" s="118"/>
      <c r="AD452" s="85"/>
      <c r="AE452" s="118"/>
      <c r="AF452" s="85"/>
      <c r="AG452" s="84">
        <f t="shared" si="158"/>
        <v>130556250</v>
      </c>
      <c r="AH452" s="85"/>
      <c r="AI452" s="84"/>
      <c r="AJ452" s="124"/>
      <c r="AK452" s="84"/>
      <c r="AL452" s="124"/>
      <c r="AM452" s="84"/>
      <c r="AN452" s="85"/>
      <c r="AO452" s="84"/>
      <c r="AP452" s="85"/>
      <c r="AQ452" s="84"/>
      <c r="AR452" s="85"/>
      <c r="AS452" s="84"/>
      <c r="AT452" s="85"/>
      <c r="AU452" s="84"/>
      <c r="AV452" s="85"/>
      <c r="AW452" s="84"/>
      <c r="AX452" s="86">
        <f t="shared" si="157"/>
        <v>0</v>
      </c>
      <c r="AY452" s="87">
        <f t="shared" si="159"/>
        <v>130556250</v>
      </c>
      <c r="AZ452" s="65"/>
    </row>
    <row r="453" spans="1:52" s="67" customFormat="1" ht="24.75" hidden="1" customHeight="1">
      <c r="A453" s="68">
        <v>449</v>
      </c>
      <c r="B453" s="69" t="s">
        <v>1191</v>
      </c>
      <c r="C453" s="156" t="s">
        <v>806</v>
      </c>
      <c r="D453" s="71" t="s">
        <v>95</v>
      </c>
      <c r="E453" s="150" t="s">
        <v>1192</v>
      </c>
      <c r="F453" s="104"/>
      <c r="G453" s="105">
        <v>46141</v>
      </c>
      <c r="H453" s="102" t="s">
        <v>1135</v>
      </c>
      <c r="I453" s="120" t="s">
        <v>98</v>
      </c>
      <c r="J453" s="102" t="s">
        <v>617</v>
      </c>
      <c r="K453" s="68" t="s">
        <v>99</v>
      </c>
      <c r="L453" s="70" t="s">
        <v>100</v>
      </c>
      <c r="M453" s="88" t="s">
        <v>1000</v>
      </c>
      <c r="N453" s="88" t="s">
        <v>1001</v>
      </c>
      <c r="O453" s="108"/>
      <c r="P453" s="109">
        <v>46143</v>
      </c>
      <c r="Q453" s="110">
        <f t="shared" si="156"/>
        <v>46873</v>
      </c>
      <c r="R453" s="111">
        <v>24</v>
      </c>
      <c r="S453" s="111">
        <f t="shared" si="162"/>
        <v>2</v>
      </c>
      <c r="T453" s="123">
        <v>879000000</v>
      </c>
      <c r="U453" s="113"/>
      <c r="V453" s="123">
        <v>879000000</v>
      </c>
      <c r="W453" s="115">
        <f t="shared" si="161"/>
        <v>36625000</v>
      </c>
      <c r="X453" s="115"/>
      <c r="Y453" s="115"/>
      <c r="Z453" s="124"/>
      <c r="AA453" s="115"/>
      <c r="AB453" s="167"/>
      <c r="AC453" s="118"/>
      <c r="AD453" s="85"/>
      <c r="AE453" s="118"/>
      <c r="AF453" s="85"/>
      <c r="AG453" s="84">
        <f t="shared" si="158"/>
        <v>879000000</v>
      </c>
      <c r="AH453" s="85"/>
      <c r="AI453" s="84"/>
      <c r="AJ453" s="124"/>
      <c r="AK453" s="84"/>
      <c r="AL453" s="124"/>
      <c r="AM453" s="84"/>
      <c r="AN453" s="85"/>
      <c r="AO453" s="84"/>
      <c r="AP453" s="85"/>
      <c r="AQ453" s="84"/>
      <c r="AR453" s="85"/>
      <c r="AS453" s="84"/>
      <c r="AT453" s="85"/>
      <c r="AU453" s="84"/>
      <c r="AV453" s="85"/>
      <c r="AW453" s="84"/>
      <c r="AX453" s="86">
        <f t="shared" si="157"/>
        <v>0</v>
      </c>
      <c r="AY453" s="87">
        <f t="shared" si="159"/>
        <v>879000000</v>
      </c>
      <c r="AZ453" s="65"/>
    </row>
    <row r="454" spans="1:52" s="67" customFormat="1" ht="24.75" hidden="1" customHeight="1">
      <c r="A454" s="68"/>
      <c r="B454" s="69"/>
      <c r="C454" s="156"/>
      <c r="D454" s="71"/>
      <c r="E454" s="150"/>
      <c r="F454" s="104"/>
      <c r="G454" s="105"/>
      <c r="H454" s="102"/>
      <c r="I454" s="120"/>
      <c r="J454" s="102"/>
      <c r="K454" s="68"/>
      <c r="L454" s="70"/>
      <c r="M454" s="88"/>
      <c r="N454" s="88"/>
      <c r="O454" s="108"/>
      <c r="P454" s="109"/>
      <c r="Q454" s="110"/>
      <c r="R454" s="111"/>
      <c r="S454" s="153"/>
      <c r="T454" s="123"/>
      <c r="U454" s="113"/>
      <c r="V454" s="123"/>
      <c r="W454" s="115"/>
      <c r="X454" s="115"/>
      <c r="Y454" s="115"/>
      <c r="Z454" s="124"/>
      <c r="AA454" s="115"/>
      <c r="AB454" s="167"/>
      <c r="AC454" s="118"/>
      <c r="AD454" s="85"/>
      <c r="AE454" s="118"/>
      <c r="AF454" s="85"/>
      <c r="AG454" s="84"/>
      <c r="AH454" s="85"/>
      <c r="AI454" s="84"/>
      <c r="AJ454" s="124"/>
      <c r="AK454" s="84"/>
      <c r="AL454" s="124"/>
      <c r="AM454" s="84"/>
      <c r="AN454" s="85"/>
      <c r="AO454" s="84"/>
      <c r="AP454" s="85"/>
      <c r="AQ454" s="84"/>
      <c r="AR454" s="85"/>
      <c r="AS454" s="84"/>
      <c r="AT454" s="85"/>
      <c r="AU454" s="84"/>
      <c r="AV454" s="85"/>
      <c r="AW454" s="84"/>
      <c r="AX454" s="86"/>
      <c r="AY454" s="87"/>
      <c r="AZ454" s="65"/>
    </row>
    <row r="455" spans="1:52" s="174" customFormat="1" ht="28.5" hidden="1" customHeight="1">
      <c r="A455" s="169"/>
      <c r="B455" s="169"/>
      <c r="C455" s="170" t="s">
        <v>1193</v>
      </c>
      <c r="D455" s="171"/>
      <c r="E455" s="170"/>
      <c r="F455" s="170"/>
      <c r="G455" s="169"/>
      <c r="H455" s="169"/>
      <c r="I455" s="171"/>
      <c r="J455" s="171"/>
      <c r="K455" s="169"/>
      <c r="L455" s="171"/>
      <c r="M455" s="169"/>
      <c r="N455" s="171"/>
      <c r="O455" s="169"/>
      <c r="P455" s="172"/>
      <c r="Q455" s="171"/>
      <c r="R455" s="169"/>
      <c r="S455" s="169"/>
      <c r="T455" s="173">
        <f>SUBTOTAL(9,T6:T454)</f>
        <v>4233915378.5714312</v>
      </c>
      <c r="U455" s="173"/>
      <c r="V455" s="173">
        <f t="shared" ref="V455:AY455" si="163">SUBTOTAL(9,V6:V454)</f>
        <v>4233915378.5714312</v>
      </c>
      <c r="W455" s="173">
        <f t="shared" si="163"/>
        <v>180746474.10714296</v>
      </c>
      <c r="X455" s="173">
        <f t="shared" si="163"/>
        <v>52000000</v>
      </c>
      <c r="Y455" s="173">
        <f t="shared" si="163"/>
        <v>260000000</v>
      </c>
      <c r="Z455" s="173">
        <f t="shared" si="163"/>
        <v>17333333.333333336</v>
      </c>
      <c r="AA455" s="173">
        <f t="shared" si="163"/>
        <v>1297715580.9523809</v>
      </c>
      <c r="AB455" s="173">
        <f t="shared" si="163"/>
        <v>61293704.761904761</v>
      </c>
      <c r="AC455" s="173">
        <f t="shared" si="163"/>
        <v>1236421876.1904759</v>
      </c>
      <c r="AD455" s="173">
        <f t="shared" si="163"/>
        <v>61293704.761904761</v>
      </c>
      <c r="AE455" s="173">
        <f t="shared" si="163"/>
        <v>1175128171.4285712</v>
      </c>
      <c r="AF455" s="173">
        <f t="shared" si="163"/>
        <v>61293704.761904761</v>
      </c>
      <c r="AG455" s="173">
        <f t="shared" si="163"/>
        <v>3980700930.952383</v>
      </c>
      <c r="AH455" s="173">
        <f t="shared" si="163"/>
        <v>0</v>
      </c>
      <c r="AI455" s="173">
        <f t="shared" si="163"/>
        <v>1113834466.6666665</v>
      </c>
      <c r="AJ455" s="173">
        <f t="shared" si="163"/>
        <v>0</v>
      </c>
      <c r="AK455" s="173">
        <f t="shared" si="163"/>
        <v>1113834466.6666665</v>
      </c>
      <c r="AL455" s="173">
        <f t="shared" si="163"/>
        <v>0</v>
      </c>
      <c r="AM455" s="173">
        <f t="shared" si="163"/>
        <v>1113834466.6666665</v>
      </c>
      <c r="AN455" s="173">
        <f t="shared" si="163"/>
        <v>0</v>
      </c>
      <c r="AO455" s="173">
        <f t="shared" si="163"/>
        <v>1113834466.6666665</v>
      </c>
      <c r="AP455" s="173">
        <f t="shared" si="163"/>
        <v>0</v>
      </c>
      <c r="AQ455" s="173">
        <f t="shared" si="163"/>
        <v>1113834466.6666665</v>
      </c>
      <c r="AR455" s="173">
        <f t="shared" si="163"/>
        <v>0</v>
      </c>
      <c r="AS455" s="173">
        <f t="shared" si="163"/>
        <v>1113834466.6666665</v>
      </c>
      <c r="AT455" s="173">
        <f t="shared" si="163"/>
        <v>0</v>
      </c>
      <c r="AU455" s="173">
        <f t="shared" si="163"/>
        <v>1113834466.6666665</v>
      </c>
      <c r="AV455" s="173">
        <f t="shared" si="163"/>
        <v>0</v>
      </c>
      <c r="AW455" s="173">
        <f t="shared" si="163"/>
        <v>1113834466.6666665</v>
      </c>
      <c r="AX455" s="173">
        <f t="shared" si="163"/>
        <v>201214447.61904761</v>
      </c>
      <c r="AY455" s="173">
        <f t="shared" si="163"/>
        <v>3980700930.952383</v>
      </c>
    </row>
    <row r="456" spans="1:52" ht="18" hidden="1" customHeight="1">
      <c r="A456" s="175"/>
      <c r="B456" s="176"/>
      <c r="F456" s="177"/>
      <c r="I456" s="4"/>
      <c r="K456" s="177"/>
      <c r="R456" s="179"/>
      <c r="X456" s="184" t="s">
        <v>1194</v>
      </c>
      <c r="Y456" s="185">
        <v>76238054784</v>
      </c>
      <c r="Z456" s="186">
        <v>3050374074</v>
      </c>
      <c r="AA456" s="187">
        <v>77284315592</v>
      </c>
      <c r="AB456" s="188">
        <v>3220050634</v>
      </c>
      <c r="AC456" s="189">
        <v>77831304482</v>
      </c>
      <c r="AD456" s="190">
        <v>3486710591</v>
      </c>
      <c r="AE456" s="191">
        <v>79540178517</v>
      </c>
      <c r="AF456" s="188">
        <v>3532302409</v>
      </c>
      <c r="AG456" s="191">
        <v>85666366744</v>
      </c>
      <c r="AH456" s="188"/>
      <c r="AI456" s="191"/>
      <c r="AJ456" s="186"/>
      <c r="AK456" s="191"/>
      <c r="AL456" s="186"/>
      <c r="AM456" s="191"/>
      <c r="AO456" s="180"/>
      <c r="AQ456" s="180"/>
      <c r="AS456" s="180"/>
      <c r="AU456" s="180"/>
      <c r="AW456" s="180"/>
      <c r="AX456" s="184" t="s">
        <v>1194</v>
      </c>
      <c r="AY456" s="189">
        <v>85666366744</v>
      </c>
    </row>
    <row r="457" spans="1:52" ht="21" hidden="1" customHeight="1">
      <c r="A457" s="175"/>
      <c r="B457" s="176"/>
      <c r="F457" s="177"/>
      <c r="I457" s="4"/>
      <c r="K457" s="177"/>
      <c r="R457" s="193"/>
      <c r="V457" s="194"/>
      <c r="W457" s="195"/>
      <c r="X457" s="196"/>
      <c r="Y457" s="197">
        <f t="shared" ref="Y457:AF457" si="164">+Y455-Y456</f>
        <v>-75978054784</v>
      </c>
      <c r="Z457" s="198">
        <f t="shared" si="164"/>
        <v>-3033040740.6666665</v>
      </c>
      <c r="AA457" s="199">
        <f t="shared" si="164"/>
        <v>-75986600011.047623</v>
      </c>
      <c r="AB457" s="199">
        <f t="shared" si="164"/>
        <v>-3158756929.2380953</v>
      </c>
      <c r="AC457" s="185">
        <f t="shared" si="164"/>
        <v>-76594882605.809525</v>
      </c>
      <c r="AD457" s="185">
        <f t="shared" si="164"/>
        <v>-3425416886.2380953</v>
      </c>
      <c r="AE457" s="185">
        <f t="shared" si="164"/>
        <v>-78365050345.571426</v>
      </c>
      <c r="AF457" s="185">
        <f t="shared" si="164"/>
        <v>-3471008704.2380953</v>
      </c>
      <c r="AG457" s="185">
        <f>+AG455-AG456</f>
        <v>-81685665813.047623</v>
      </c>
      <c r="AH457" s="200"/>
      <c r="AI457" s="185">
        <f>+AI455-AI456</f>
        <v>1113834466.6666665</v>
      </c>
      <c r="AJ457" s="201"/>
      <c r="AK457" s="185">
        <f>+AK455-AK456</f>
        <v>1113834466.6666665</v>
      </c>
      <c r="AL457" s="201"/>
      <c r="AM457" s="185">
        <f>+AM455-AM456</f>
        <v>1113834466.6666665</v>
      </c>
      <c r="AN457" s="201"/>
      <c r="AO457" s="185">
        <f>+AO455-AO456</f>
        <v>1113834466.6666665</v>
      </c>
      <c r="AP457" s="201"/>
      <c r="AQ457" s="185">
        <f>+AQ455-AQ456</f>
        <v>1113834466.6666665</v>
      </c>
      <c r="AR457" s="201"/>
      <c r="AS457" s="202">
        <f>+AS455-AS456</f>
        <v>1113834466.6666665</v>
      </c>
      <c r="AT457" s="201"/>
      <c r="AU457" s="202">
        <f>+AU455-AU456</f>
        <v>1113834466.6666665</v>
      </c>
      <c r="AV457" s="201"/>
      <c r="AW457" s="202">
        <f>+AW455-AW456</f>
        <v>1113834466.6666665</v>
      </c>
      <c r="AX457" s="185">
        <v>13289437708</v>
      </c>
      <c r="AY457" s="189">
        <f>+AY455-AY456</f>
        <v>-81685665813.047623</v>
      </c>
    </row>
    <row r="458" spans="1:52" ht="16.5" hidden="1">
      <c r="F458" s="177"/>
      <c r="I458" s="4"/>
      <c r="K458" s="203"/>
      <c r="L458" s="204"/>
      <c r="S458" s="181"/>
      <c r="T458" s="184"/>
      <c r="V458" s="194"/>
      <c r="W458" s="195"/>
      <c r="X458" s="196"/>
      <c r="Y458" s="205"/>
      <c r="AA458" s="206"/>
      <c r="AB458" s="206"/>
      <c r="AC458" s="207"/>
      <c r="AD458" s="185"/>
      <c r="AE458" s="206"/>
      <c r="AF458" s="185"/>
      <c r="AG458" s="208"/>
      <c r="AH458" s="208"/>
      <c r="AI458" s="209"/>
      <c r="AJ458" s="201"/>
      <c r="AK458" s="201"/>
      <c r="AL458" s="201"/>
      <c r="AM458" s="201"/>
      <c r="AN458" s="201"/>
      <c r="AO458" s="201"/>
      <c r="AP458" s="201"/>
      <c r="AQ458" s="201"/>
      <c r="AR458" s="201"/>
      <c r="AS458" s="201"/>
      <c r="AT458" s="201"/>
      <c r="AU458" s="201"/>
      <c r="AV458" s="201"/>
      <c r="AW458" s="201"/>
      <c r="AX458" s="185">
        <f>+AX455-AX457</f>
        <v>-13088223260.380953</v>
      </c>
    </row>
    <row r="459" spans="1:52" s="208" customFormat="1" ht="16.5">
      <c r="A459" s="177"/>
      <c r="B459" s="4"/>
      <c r="C459" s="3"/>
      <c r="D459" s="4"/>
      <c r="E459" s="3"/>
      <c r="F459" s="4"/>
      <c r="G459" s="177"/>
      <c r="H459" s="177"/>
      <c r="I459" s="210"/>
      <c r="J459" s="4"/>
      <c r="K459" s="203"/>
      <c r="L459" s="204"/>
      <c r="M459" s="177"/>
      <c r="N459" s="4"/>
      <c r="O459" s="177"/>
      <c r="P459" s="178"/>
      <c r="Q459" s="178"/>
      <c r="R459" s="177"/>
      <c r="S459" s="180"/>
      <c r="T459" s="181"/>
      <c r="U459" s="182"/>
      <c r="V459" s="195"/>
      <c r="W459" s="195"/>
      <c r="X459" s="205"/>
      <c r="Y459" s="205"/>
      <c r="Z459" s="192"/>
      <c r="AA459" s="188"/>
      <c r="AB459" s="192"/>
      <c r="AC459" s="211"/>
      <c r="AD459" s="192"/>
      <c r="AE459" s="212"/>
      <c r="AF459" s="192"/>
      <c r="AG459" s="177"/>
      <c r="AH459" s="192"/>
      <c r="AI459" s="177"/>
      <c r="AJ459" s="192"/>
      <c r="AK459" s="177"/>
      <c r="AL459" s="192"/>
      <c r="AM459" s="177"/>
      <c r="AN459" s="192"/>
      <c r="AO459" s="177"/>
      <c r="AP459" s="192"/>
      <c r="AQ459" s="177"/>
      <c r="AR459" s="192"/>
      <c r="AS459" s="187"/>
      <c r="AT459" s="188"/>
      <c r="AU459" s="177"/>
      <c r="AV459" s="192"/>
      <c r="AW459" s="177"/>
      <c r="AZ459" s="184"/>
    </row>
    <row r="460" spans="1:52" s="208" customFormat="1">
      <c r="A460" s="177"/>
      <c r="B460" s="4"/>
      <c r="C460" s="3"/>
      <c r="D460" s="4"/>
      <c r="E460" s="3"/>
      <c r="F460" s="4"/>
      <c r="G460" s="177"/>
      <c r="H460" s="177"/>
      <c r="I460" s="210"/>
      <c r="J460" s="4"/>
      <c r="K460" s="213"/>
      <c r="L460" s="4"/>
      <c r="M460" s="177"/>
      <c r="N460" s="4"/>
      <c r="O460" s="177"/>
      <c r="P460" s="178"/>
      <c r="Q460" s="178"/>
      <c r="R460" s="177"/>
      <c r="S460" s="180"/>
      <c r="T460" s="181"/>
      <c r="U460" s="182"/>
      <c r="V460" s="195"/>
      <c r="W460" s="195"/>
      <c r="X460" s="205"/>
      <c r="Y460" s="214"/>
      <c r="Z460" s="190"/>
      <c r="AA460" s="190"/>
      <c r="AB460" s="190"/>
      <c r="AC460" s="190"/>
      <c r="AD460" s="190"/>
      <c r="AE460" s="215"/>
      <c r="AF460" s="190"/>
      <c r="AG460" s="215"/>
      <c r="AH460" s="190"/>
      <c r="AI460" s="215"/>
      <c r="AJ460" s="190"/>
      <c r="AK460" s="215"/>
      <c r="AL460" s="190"/>
      <c r="AM460" s="215"/>
      <c r="AN460" s="190"/>
      <c r="AO460" s="215"/>
      <c r="AP460" s="190"/>
      <c r="AQ460" s="215"/>
      <c r="AR460" s="190"/>
      <c r="AS460" s="215"/>
      <c r="AT460" s="190"/>
      <c r="AU460" s="215"/>
      <c r="AV460" s="188"/>
      <c r="AW460" s="177"/>
    </row>
    <row r="461" spans="1:52" s="208" customFormat="1">
      <c r="A461" s="177"/>
      <c r="B461" s="4"/>
      <c r="C461" s="3"/>
      <c r="D461" s="4"/>
      <c r="E461" s="3"/>
      <c r="F461" s="4"/>
      <c r="G461" s="177"/>
      <c r="H461" s="177"/>
      <c r="I461" s="210"/>
      <c r="J461" s="4"/>
      <c r="K461" s="213"/>
      <c r="L461" s="4"/>
      <c r="M461" s="177"/>
      <c r="N461" s="4"/>
      <c r="O461" s="177"/>
      <c r="P461" s="178"/>
      <c r="Q461" s="178"/>
      <c r="R461" s="177"/>
      <c r="S461" s="180"/>
      <c r="T461" s="181"/>
      <c r="U461" s="182"/>
      <c r="V461" s="195"/>
      <c r="W461" s="195"/>
      <c r="X461" s="205"/>
      <c r="Y461" s="205"/>
      <c r="Z461" s="190"/>
      <c r="AA461" s="192"/>
      <c r="AB461" s="190"/>
      <c r="AC461" s="192"/>
      <c r="AD461" s="190"/>
      <c r="AE461" s="215"/>
      <c r="AF461" s="192"/>
      <c r="AG461" s="177"/>
      <c r="AH461" s="192"/>
      <c r="AI461" s="216"/>
      <c r="AJ461" s="188"/>
      <c r="AK461" s="177"/>
      <c r="AL461" s="188"/>
      <c r="AM461" s="180"/>
      <c r="AN461" s="192"/>
      <c r="AO461" s="215"/>
      <c r="AP461" s="192"/>
      <c r="AQ461" s="177"/>
      <c r="AR461" s="192"/>
      <c r="AS461" s="177"/>
      <c r="AT461" s="192"/>
      <c r="AU461" s="177"/>
      <c r="AV461" s="192"/>
      <c r="AW461" s="177"/>
    </row>
    <row r="462" spans="1:52" s="208" customFormat="1">
      <c r="A462" s="177"/>
      <c r="B462" s="4"/>
      <c r="C462" s="3"/>
      <c r="D462" s="4"/>
      <c r="E462" s="3"/>
      <c r="F462" s="4"/>
      <c r="G462" s="177"/>
      <c r="H462" s="177"/>
      <c r="I462" s="210"/>
      <c r="J462" s="4"/>
      <c r="K462" s="213"/>
      <c r="L462" s="4"/>
      <c r="M462" s="177"/>
      <c r="N462" s="4"/>
      <c r="O462" s="177"/>
      <c r="P462" s="178"/>
      <c r="Q462" s="178"/>
      <c r="R462" s="177"/>
      <c r="S462" s="180"/>
      <c r="T462" s="181"/>
      <c r="U462" s="182"/>
      <c r="V462" s="195"/>
      <c r="W462" s="205"/>
      <c r="X462" s="205"/>
      <c r="Y462" s="196"/>
      <c r="Z462" s="188"/>
      <c r="AA462" s="188"/>
      <c r="AB462" s="188"/>
      <c r="AC462" s="188"/>
      <c r="AD462" s="188"/>
      <c r="AE462" s="188"/>
      <c r="AF462" s="188"/>
      <c r="AG462" s="188"/>
      <c r="AH462" s="188"/>
      <c r="AI462" s="190"/>
      <c r="AJ462" s="188"/>
      <c r="AK462" s="188"/>
      <c r="AL462" s="188"/>
      <c r="AM462" s="188"/>
      <c r="AN462" s="188"/>
      <c r="AO462" s="188"/>
      <c r="AP462" s="188"/>
      <c r="AQ462" s="188"/>
      <c r="AR462" s="188"/>
      <c r="AS462" s="188"/>
      <c r="AT462" s="188"/>
      <c r="AU462" s="188"/>
      <c r="AV462" s="192"/>
      <c r="AW462" s="177"/>
    </row>
    <row r="463" spans="1:52" s="208" customFormat="1">
      <c r="A463" s="177"/>
      <c r="B463" s="4"/>
      <c r="C463" s="3"/>
      <c r="D463" s="4"/>
      <c r="E463" s="3"/>
      <c r="F463" s="4"/>
      <c r="G463" s="177"/>
      <c r="H463" s="177"/>
      <c r="I463" s="210"/>
      <c r="J463" s="4"/>
      <c r="K463" s="213"/>
      <c r="L463" s="4"/>
      <c r="M463" s="177"/>
      <c r="N463" s="4"/>
      <c r="O463" s="177"/>
      <c r="P463" s="178"/>
      <c r="Q463" s="178"/>
      <c r="R463" s="177"/>
      <c r="S463" s="180"/>
      <c r="T463" s="181"/>
      <c r="U463" s="182"/>
      <c r="V463" s="183"/>
      <c r="W463" s="184"/>
      <c r="X463" s="184"/>
      <c r="Y463" s="184"/>
      <c r="Z463" s="217"/>
      <c r="AA463" s="192"/>
      <c r="AB463" s="192"/>
      <c r="AC463" s="192"/>
      <c r="AD463" s="188"/>
      <c r="AE463" s="216"/>
      <c r="AF463" s="188"/>
      <c r="AG463" s="180"/>
      <c r="AH463" s="192"/>
      <c r="AI463" s="177"/>
      <c r="AJ463" s="192"/>
      <c r="AK463" s="177"/>
      <c r="AL463" s="192"/>
      <c r="AM463" s="177"/>
      <c r="AN463" s="192"/>
      <c r="AO463" s="177"/>
      <c r="AP463" s="188"/>
      <c r="AQ463" s="177"/>
      <c r="AR463" s="192"/>
      <c r="AS463" s="177"/>
      <c r="AT463" s="218"/>
      <c r="AU463" s="177"/>
      <c r="AV463" s="192"/>
      <c r="AW463" s="177"/>
    </row>
    <row r="464" spans="1:52" s="208" customFormat="1">
      <c r="A464" s="177"/>
      <c r="B464" s="4"/>
      <c r="C464" s="3"/>
      <c r="D464" s="4"/>
      <c r="E464" s="3"/>
      <c r="F464" s="4"/>
      <c r="G464" s="177"/>
      <c r="H464" s="177"/>
      <c r="I464" s="210"/>
      <c r="J464" s="4"/>
      <c r="K464" s="213"/>
      <c r="L464" s="4"/>
      <c r="M464" s="177"/>
      <c r="N464" s="4"/>
      <c r="O464" s="177"/>
      <c r="P464" s="178"/>
      <c r="Q464" s="178"/>
      <c r="R464" s="177"/>
      <c r="S464" s="180"/>
      <c r="T464" s="181"/>
      <c r="U464" s="182"/>
      <c r="V464" s="183"/>
      <c r="W464" s="184"/>
      <c r="X464" s="184"/>
      <c r="Y464" s="184"/>
      <c r="Z464" s="198"/>
      <c r="AA464" s="188"/>
      <c r="AB464" s="192"/>
      <c r="AC464" s="192"/>
      <c r="AD464" s="192"/>
      <c r="AE464" s="177"/>
      <c r="AF464" s="192"/>
      <c r="AG464" s="180"/>
      <c r="AH464" s="192"/>
      <c r="AI464" s="177"/>
      <c r="AJ464" s="192"/>
      <c r="AK464" s="177"/>
      <c r="AL464" s="192"/>
      <c r="AM464" s="177"/>
      <c r="AN464" s="192"/>
      <c r="AO464" s="177"/>
      <c r="AP464" s="192"/>
      <c r="AQ464" s="177"/>
      <c r="AR464" s="192"/>
      <c r="AS464" s="177"/>
      <c r="AT464" s="192"/>
      <c r="AU464" s="177"/>
      <c r="AV464" s="192"/>
      <c r="AW464" s="177"/>
      <c r="AX464" s="219"/>
    </row>
    <row r="465" spans="1:53" s="208" customFormat="1" ht="34.5" customHeight="1">
      <c r="A465" s="177"/>
      <c r="B465" s="4"/>
      <c r="C465" s="3"/>
      <c r="D465" s="4"/>
      <c r="E465" s="3"/>
      <c r="F465" s="4"/>
      <c r="G465" s="177"/>
      <c r="H465" s="177"/>
      <c r="I465" s="210"/>
      <c r="J465" s="4"/>
      <c r="K465" s="213"/>
      <c r="L465" s="4"/>
      <c r="M465" s="177"/>
      <c r="N465" s="4"/>
      <c r="O465" s="177"/>
      <c r="P465" s="178"/>
      <c r="Q465" s="178"/>
      <c r="R465" s="177"/>
      <c r="S465" s="180"/>
      <c r="T465" s="181"/>
      <c r="U465" s="182"/>
      <c r="V465" s="183"/>
      <c r="W465" s="184"/>
      <c r="X465" s="184"/>
      <c r="Y465" s="184"/>
      <c r="Z465" s="192"/>
      <c r="AA465" s="192"/>
      <c r="AB465" s="192"/>
      <c r="AC465" s="192"/>
      <c r="AD465" s="192"/>
      <c r="AE465" s="177"/>
      <c r="AF465" s="192"/>
      <c r="AG465" s="215"/>
      <c r="AH465" s="192"/>
      <c r="AI465" s="177"/>
      <c r="AJ465" s="192"/>
      <c r="AK465" s="177"/>
      <c r="AL465" s="218"/>
      <c r="AM465" s="177"/>
      <c r="AN465" s="192"/>
      <c r="AO465" s="177"/>
      <c r="AP465" s="192"/>
      <c r="AQ465" s="177"/>
      <c r="AR465" s="192"/>
      <c r="AS465" s="177"/>
      <c r="AT465" s="192"/>
      <c r="AU465" s="177"/>
      <c r="AV465" s="192"/>
      <c r="AW465" s="177"/>
    </row>
    <row r="466" spans="1:53" s="208" customFormat="1" ht="20.25" customHeight="1">
      <c r="A466" s="177"/>
      <c r="B466" s="4"/>
      <c r="C466" s="3"/>
      <c r="D466" s="4"/>
      <c r="E466" s="3"/>
      <c r="F466" s="4"/>
      <c r="G466" s="177"/>
      <c r="H466" s="177"/>
      <c r="I466" s="210"/>
      <c r="J466" s="4"/>
      <c r="K466" s="213"/>
      <c r="L466" s="4"/>
      <c r="M466" s="177"/>
      <c r="N466" s="4"/>
      <c r="O466" s="177"/>
      <c r="P466" s="178"/>
      <c r="Q466" s="178"/>
      <c r="R466" s="177"/>
      <c r="S466" s="180"/>
      <c r="T466" s="181"/>
      <c r="U466" s="182"/>
      <c r="V466" s="183"/>
      <c r="W466" s="184"/>
      <c r="X466" s="184"/>
      <c r="Y466" s="184"/>
      <c r="Z466" s="198"/>
      <c r="AA466" s="192"/>
      <c r="AB466" s="192"/>
      <c r="AC466" s="192"/>
      <c r="AD466" s="217"/>
      <c r="AE466" s="177"/>
      <c r="AF466" s="192"/>
      <c r="AG466" s="180"/>
      <c r="AH466" s="192"/>
      <c r="AI466" s="177"/>
      <c r="AJ466" s="188"/>
      <c r="AK466" s="177"/>
      <c r="AL466" s="188"/>
      <c r="AM466" s="177"/>
      <c r="AN466" s="192"/>
      <c r="AO466" s="177"/>
      <c r="AP466" s="192"/>
      <c r="AQ466" s="177"/>
      <c r="AR466" s="192"/>
      <c r="AS466" s="177"/>
      <c r="AT466" s="192"/>
      <c r="AU466" s="177"/>
      <c r="AV466" s="192"/>
      <c r="AW466" s="177"/>
    </row>
    <row r="467" spans="1:53">
      <c r="S467" s="220"/>
    </row>
    <row r="468" spans="1:53">
      <c r="Y468" s="202"/>
      <c r="AE468" s="180"/>
      <c r="AH468" s="188"/>
      <c r="AL468" s="190"/>
    </row>
    <row r="469" spans="1:53" s="177" customFormat="1">
      <c r="B469" s="4"/>
      <c r="C469" s="3"/>
      <c r="D469" s="4"/>
      <c r="E469" s="3"/>
      <c r="F469" s="4"/>
      <c r="I469" s="210"/>
      <c r="J469" s="4"/>
      <c r="K469" s="213"/>
      <c r="L469" s="4"/>
      <c r="N469" s="4"/>
      <c r="P469" s="178"/>
      <c r="Q469" s="178"/>
      <c r="S469" s="180"/>
      <c r="T469" s="181"/>
      <c r="U469" s="182"/>
      <c r="V469" s="183"/>
      <c r="W469" s="184"/>
      <c r="X469" s="184"/>
      <c r="Y469" s="184"/>
      <c r="Z469" s="192"/>
      <c r="AA469" s="192"/>
      <c r="AB469" s="192"/>
      <c r="AC469" s="192"/>
      <c r="AD469" s="192"/>
      <c r="AF469" s="192"/>
      <c r="AG469" s="180"/>
      <c r="AH469" s="192"/>
      <c r="AJ469" s="192"/>
      <c r="AL469" s="192"/>
      <c r="AN469" s="192"/>
      <c r="AP469" s="192"/>
      <c r="AR469" s="192"/>
      <c r="AT469" s="192"/>
      <c r="AV469" s="192"/>
      <c r="AX469" s="184"/>
      <c r="AY469" s="184"/>
      <c r="AZ469" s="184"/>
      <c r="BA469" s="184"/>
    </row>
    <row r="470" spans="1:53" s="177" customFormat="1">
      <c r="B470" s="4"/>
      <c r="C470" s="3"/>
      <c r="D470" s="4"/>
      <c r="E470" s="3"/>
      <c r="F470" s="4"/>
      <c r="I470" s="210"/>
      <c r="J470" s="4"/>
      <c r="K470" s="213"/>
      <c r="L470" s="4"/>
      <c r="N470" s="4"/>
      <c r="P470" s="178"/>
      <c r="Q470" s="178"/>
      <c r="S470" s="180"/>
      <c r="T470" s="181"/>
      <c r="U470" s="182"/>
      <c r="V470" s="183"/>
      <c r="W470" s="184"/>
      <c r="X470" s="184"/>
      <c r="Y470" s="184"/>
      <c r="Z470" s="192"/>
      <c r="AA470" s="188"/>
      <c r="AB470" s="192"/>
      <c r="AC470" s="192"/>
      <c r="AD470" s="192"/>
      <c r="AF470" s="192"/>
      <c r="AH470" s="192"/>
      <c r="AJ470" s="192"/>
      <c r="AL470" s="192"/>
      <c r="AN470" s="192"/>
      <c r="AP470" s="190"/>
      <c r="AR470" s="192"/>
      <c r="AT470" s="198"/>
      <c r="AV470" s="192"/>
      <c r="AX470" s="184"/>
      <c r="AY470" s="184"/>
      <c r="AZ470" s="184"/>
      <c r="BA470" s="184"/>
    </row>
    <row r="471" spans="1:53" s="177" customFormat="1">
      <c r="B471" s="4"/>
      <c r="C471" s="3"/>
      <c r="D471" s="4"/>
      <c r="E471" s="3"/>
      <c r="F471" s="4"/>
      <c r="I471" s="210"/>
      <c r="J471" s="4"/>
      <c r="K471" s="213"/>
      <c r="L471" s="4"/>
      <c r="N471" s="4"/>
      <c r="P471" s="178"/>
      <c r="Q471" s="178"/>
      <c r="S471" s="180"/>
      <c r="T471" s="181"/>
      <c r="U471" s="182"/>
      <c r="V471" s="183"/>
      <c r="W471" s="184"/>
      <c r="X471" s="184"/>
      <c r="Y471" s="184"/>
      <c r="Z471" s="192"/>
      <c r="AA471" s="188"/>
      <c r="AB471" s="192"/>
      <c r="AC471" s="217"/>
      <c r="AD471" s="192"/>
      <c r="AF471" s="192"/>
      <c r="AH471" s="192"/>
      <c r="AJ471" s="192"/>
      <c r="AL471" s="198"/>
      <c r="AN471" s="192"/>
      <c r="AP471" s="190"/>
      <c r="AR471" s="192"/>
      <c r="AT471" s="192"/>
      <c r="AV471" s="192"/>
      <c r="AX471" s="184"/>
      <c r="AY471" s="184"/>
      <c r="AZ471" s="184"/>
      <c r="BA471" s="184"/>
    </row>
    <row r="472" spans="1:53" s="177" customFormat="1">
      <c r="B472" s="4"/>
      <c r="C472" s="3"/>
      <c r="D472" s="4"/>
      <c r="E472" s="3"/>
      <c r="F472" s="4"/>
      <c r="I472" s="210"/>
      <c r="J472" s="4"/>
      <c r="K472" s="213"/>
      <c r="L472" s="4"/>
      <c r="N472" s="4"/>
      <c r="P472" s="178"/>
      <c r="Q472" s="178"/>
      <c r="S472" s="180"/>
      <c r="T472" s="181"/>
      <c r="U472" s="182"/>
      <c r="V472" s="183"/>
      <c r="W472" s="184"/>
      <c r="X472" s="184"/>
      <c r="Y472" s="184"/>
      <c r="Z472" s="192"/>
      <c r="AA472" s="192"/>
      <c r="AB472" s="192"/>
      <c r="AC472" s="192"/>
      <c r="AD472" s="192"/>
      <c r="AF472" s="192"/>
      <c r="AH472" s="192"/>
      <c r="AJ472" s="192"/>
      <c r="AL472" s="192"/>
      <c r="AN472" s="192"/>
      <c r="AP472" s="190"/>
      <c r="AR472" s="192"/>
      <c r="AT472" s="192"/>
      <c r="AV472" s="192"/>
      <c r="AX472" s="184"/>
      <c r="AY472" s="184"/>
      <c r="AZ472" s="184"/>
      <c r="BA472" s="184"/>
    </row>
    <row r="473" spans="1:53" s="177" customFormat="1">
      <c r="B473" s="4"/>
      <c r="C473" s="3"/>
      <c r="D473" s="4"/>
      <c r="E473" s="3"/>
      <c r="F473" s="4"/>
      <c r="I473" s="210"/>
      <c r="J473" s="4"/>
      <c r="K473" s="213"/>
      <c r="L473" s="4"/>
      <c r="N473" s="4"/>
      <c r="P473" s="178"/>
      <c r="Q473" s="178"/>
      <c r="S473" s="180"/>
      <c r="T473" s="181"/>
      <c r="U473" s="182"/>
      <c r="V473" s="183"/>
      <c r="W473" s="184"/>
      <c r="X473" s="184"/>
      <c r="Y473" s="184"/>
      <c r="Z473" s="192"/>
      <c r="AA473" s="192"/>
      <c r="AB473" s="192"/>
      <c r="AC473" s="192"/>
      <c r="AD473" s="192"/>
      <c r="AF473" s="192"/>
      <c r="AH473" s="192"/>
      <c r="AJ473" s="192"/>
      <c r="AL473" s="192"/>
      <c r="AN473" s="192"/>
      <c r="AP473" s="190"/>
      <c r="AR473" s="192"/>
      <c r="AT473" s="192"/>
      <c r="AV473" s="192"/>
      <c r="AX473" s="184"/>
      <c r="AY473" s="184"/>
      <c r="AZ473" s="184"/>
      <c r="BA473" s="184"/>
    </row>
    <row r="475" spans="1:53" s="177" customFormat="1">
      <c r="B475" s="4"/>
      <c r="C475" s="3"/>
      <c r="D475" s="4"/>
      <c r="E475" s="3"/>
      <c r="F475" s="4"/>
      <c r="I475" s="210"/>
      <c r="J475" s="4"/>
      <c r="K475" s="213"/>
      <c r="L475" s="4"/>
      <c r="N475" s="4"/>
      <c r="P475" s="178"/>
      <c r="Q475" s="178"/>
      <c r="S475" s="180"/>
      <c r="T475" s="181"/>
      <c r="U475" s="182"/>
      <c r="V475" s="183"/>
      <c r="W475" s="184"/>
      <c r="X475" s="184"/>
      <c r="Y475" s="184"/>
      <c r="Z475" s="192"/>
      <c r="AA475" s="192"/>
      <c r="AB475" s="192"/>
      <c r="AC475" s="188"/>
      <c r="AD475" s="192"/>
      <c r="AF475" s="192"/>
      <c r="AH475" s="192"/>
      <c r="AJ475" s="192"/>
      <c r="AL475" s="192"/>
      <c r="AN475" s="192"/>
      <c r="AP475" s="192"/>
      <c r="AR475" s="192"/>
      <c r="AT475" s="192"/>
      <c r="AV475" s="192"/>
      <c r="AX475" s="184"/>
      <c r="AY475" s="184"/>
      <c r="AZ475" s="184"/>
      <c r="BA475" s="184"/>
    </row>
    <row r="476" spans="1:53" s="177" customFormat="1">
      <c r="B476" s="4"/>
      <c r="C476" s="3"/>
      <c r="D476" s="4"/>
      <c r="E476" s="3"/>
      <c r="F476" s="4"/>
      <c r="I476" s="210"/>
      <c r="J476" s="4"/>
      <c r="K476" s="213"/>
      <c r="L476" s="4"/>
      <c r="N476" s="4"/>
      <c r="P476" s="178"/>
      <c r="Q476" s="178"/>
      <c r="S476" s="180"/>
      <c r="T476" s="181"/>
      <c r="U476" s="182"/>
      <c r="V476" s="183"/>
      <c r="W476" s="184"/>
      <c r="X476" s="184"/>
      <c r="Y476" s="184"/>
      <c r="Z476" s="192"/>
      <c r="AA476" s="192"/>
      <c r="AB476" s="192"/>
      <c r="AC476" s="192"/>
      <c r="AD476" s="192"/>
      <c r="AF476" s="192"/>
      <c r="AH476" s="192"/>
      <c r="AI476" s="215"/>
      <c r="AJ476" s="192"/>
      <c r="AL476" s="198"/>
      <c r="AN476" s="192"/>
      <c r="AP476" s="192"/>
      <c r="AR476" s="192"/>
      <c r="AT476" s="192"/>
      <c r="AV476" s="192"/>
      <c r="AX476" s="184"/>
      <c r="AY476" s="184"/>
      <c r="AZ476" s="184"/>
      <c r="BA476" s="184"/>
    </row>
    <row r="477" spans="1:53" s="177" customFormat="1">
      <c r="B477" s="4"/>
      <c r="C477" s="3"/>
      <c r="D477" s="4"/>
      <c r="E477" s="3"/>
      <c r="F477" s="4"/>
      <c r="I477" s="210"/>
      <c r="J477" s="4"/>
      <c r="K477" s="213"/>
      <c r="L477" s="4"/>
      <c r="N477" s="4"/>
      <c r="P477" s="178"/>
      <c r="Q477" s="178"/>
      <c r="S477" s="180"/>
      <c r="T477" s="181"/>
      <c r="U477" s="182"/>
      <c r="V477" s="183"/>
      <c r="W477" s="184"/>
      <c r="X477" s="184"/>
      <c r="Y477" s="184"/>
      <c r="Z477" s="192"/>
      <c r="AA477" s="192"/>
      <c r="AB477" s="192"/>
      <c r="AC477" s="192"/>
      <c r="AD477" s="192"/>
      <c r="AF477" s="192"/>
      <c r="AH477" s="192"/>
      <c r="AI477" s="215"/>
      <c r="AJ477" s="192"/>
      <c r="AL477" s="192"/>
      <c r="AN477" s="192"/>
      <c r="AP477" s="192"/>
      <c r="AR477" s="192"/>
      <c r="AT477" s="192"/>
      <c r="AV477" s="192"/>
      <c r="AX477" s="184"/>
      <c r="AY477" s="184"/>
      <c r="AZ477" s="184"/>
      <c r="BA477" s="184"/>
    </row>
    <row r="478" spans="1:53" s="177" customFormat="1">
      <c r="B478" s="4"/>
      <c r="C478" s="3"/>
      <c r="D478" s="4"/>
      <c r="E478" s="3"/>
      <c r="F478" s="4"/>
      <c r="I478" s="210"/>
      <c r="J478" s="4"/>
      <c r="K478" s="213"/>
      <c r="L478" s="4"/>
      <c r="N478" s="4"/>
      <c r="P478" s="178"/>
      <c r="Q478" s="178"/>
      <c r="S478" s="180"/>
      <c r="T478" s="181"/>
      <c r="U478" s="182"/>
      <c r="V478" s="183"/>
      <c r="W478" s="184"/>
      <c r="X478" s="184"/>
      <c r="Y478" s="184"/>
      <c r="Z478" s="192"/>
      <c r="AA478" s="192"/>
      <c r="AB478" s="192"/>
      <c r="AC478" s="188"/>
      <c r="AD478" s="192"/>
      <c r="AF478" s="192"/>
      <c r="AH478" s="192"/>
      <c r="AI478" s="215"/>
      <c r="AJ478" s="192"/>
      <c r="AL478" s="192"/>
      <c r="AN478" s="192"/>
      <c r="AP478" s="192"/>
      <c r="AR478" s="192"/>
      <c r="AT478" s="192"/>
      <c r="AV478" s="192"/>
      <c r="AX478" s="184"/>
      <c r="AY478" s="184"/>
      <c r="AZ478" s="184"/>
      <c r="BA478" s="184"/>
    </row>
    <row r="479" spans="1:53" s="177" customFormat="1">
      <c r="B479" s="4"/>
      <c r="C479" s="3"/>
      <c r="D479" s="4"/>
      <c r="E479" s="3"/>
      <c r="F479" s="4"/>
      <c r="I479" s="210"/>
      <c r="J479" s="4"/>
      <c r="K479" s="213"/>
      <c r="L479" s="4"/>
      <c r="N479" s="4"/>
      <c r="P479" s="178"/>
      <c r="Q479" s="178"/>
      <c r="S479" s="180"/>
      <c r="T479" s="181"/>
      <c r="U479" s="182"/>
      <c r="V479" s="183"/>
      <c r="W479" s="184"/>
      <c r="X479" s="184"/>
      <c r="Y479" s="184"/>
      <c r="Z479" s="192"/>
      <c r="AA479" s="192"/>
      <c r="AB479" s="192"/>
      <c r="AC479" s="192"/>
      <c r="AD479" s="192"/>
      <c r="AF479" s="192"/>
      <c r="AH479" s="192"/>
      <c r="AJ479" s="192"/>
      <c r="AL479" s="192"/>
      <c r="AN479" s="192"/>
      <c r="AP479" s="198"/>
      <c r="AR479" s="192"/>
      <c r="AT479" s="192"/>
      <c r="AV479" s="192"/>
      <c r="AX479" s="184"/>
      <c r="AY479" s="184"/>
      <c r="AZ479" s="184"/>
      <c r="BA479" s="184"/>
    </row>
    <row r="557" spans="23:23">
      <c r="W557" s="202">
        <f>+W287+W288</f>
        <v>322825365.83749998</v>
      </c>
    </row>
    <row r="558" spans="23:23">
      <c r="W558" s="184">
        <v>322825365.83749998</v>
      </c>
    </row>
  </sheetData>
  <autoFilter ref="A5:BA458" xr:uid="{00000000-0009-0000-0000-000001000000}">
    <filterColumn colId="3">
      <filters>
        <filter val="Jig"/>
        <filter val="Mold"/>
      </filters>
    </filterColumn>
    <filterColumn colId="4">
      <filters>
        <filter val="Công cụ dụng cụ xuất kho phân bổ T09.2025/ SM- A176B BRACKET DIE CASTING MOLD 1CAV (FULL SET)/ Khuôn đúc nhôm SM- A176B BRACKET"/>
        <filter val="Công cụ dụng cụ xuất kho phân bổ T09.2025/SM-A176B BRACKET DIE CASTING MOLD 1CAV  (CORE SET)/Chi tiết khuôn bằng thép (lõi khuôn trên và lõi khuôn dưới)"/>
        <filter val="SM- A176B BRACKET Degating mold/ Khuôn cắt gate SM- A176B BRACKET/ Maker: SONGJIA"/>
        <filter val="SM- A176B BRACKET DIE CASTING MOLD 2CAV (FULL SET)/ Khuôn đúc nhôm SM- A176B BRACKET/ Maker: SONGJIA"/>
        <filter val="SM-A176B BRACKET DIE CASTING MOLD 1CAV  (CORE SET)/Chi tiết khuôn bằng thép (lõi khuôn trên và lõi khuôn dưới)"/>
        <filter val="SM-A176B BRACKET DIE CASTING MOLD 2 CAV (LOWER CORE)/ Chi tiết khuôn bằng thép ( 1 tấm lõi khuôn dưới)"/>
        <filter val="SM-A176B BRACKET DIE CASTING MOLD 2CAV  (CORE SET)/Chi tiết khuôn bằng thép (lõi khuôn trên và lõi khuôn dưới)"/>
      </filters>
    </filterColumn>
  </autoFilter>
  <dataConsolidate/>
  <mergeCells count="33">
    <mergeCell ref="M3:M4"/>
    <mergeCell ref="A3:A4"/>
    <mergeCell ref="B3:B4"/>
    <mergeCell ref="C3:C4"/>
    <mergeCell ref="D3:D4"/>
    <mergeCell ref="E3:E4"/>
    <mergeCell ref="F3:F4"/>
    <mergeCell ref="G3:G4"/>
    <mergeCell ref="H3:H4"/>
    <mergeCell ref="I3:I4"/>
    <mergeCell ref="K3:K4"/>
    <mergeCell ref="L3:L4"/>
    <mergeCell ref="AD3:AE3"/>
    <mergeCell ref="N3:N4"/>
    <mergeCell ref="P3:Q3"/>
    <mergeCell ref="R3:R4"/>
    <mergeCell ref="S3:S4"/>
    <mergeCell ref="T3:U3"/>
    <mergeCell ref="V3:V4"/>
    <mergeCell ref="W3:W4"/>
    <mergeCell ref="X3:X4"/>
    <mergeCell ref="Y3:Y4"/>
    <mergeCell ref="Z3:AA3"/>
    <mergeCell ref="AB3:AC3"/>
    <mergeCell ref="AR3:AS3"/>
    <mergeCell ref="AT3:AU3"/>
    <mergeCell ref="AV3:AW3"/>
    <mergeCell ref="AF3:AG3"/>
    <mergeCell ref="AH3:AI3"/>
    <mergeCell ref="AJ3:AK3"/>
    <mergeCell ref="AL3:AM3"/>
    <mergeCell ref="AN3:AO3"/>
    <mergeCell ref="AP3:AQ3"/>
  </mergeCells>
  <phoneticPr fontId="25" type="noConversion"/>
  <conditionalFormatting sqref="X290:Z318">
    <cfRule type="containsBlanks" dxfId="22" priority="22">
      <formula>LEN(TRIM(X290))=0</formula>
    </cfRule>
  </conditionalFormatting>
  <conditionalFormatting sqref="X326:Z370">
    <cfRule type="containsBlanks" dxfId="21" priority="18">
      <formula>LEN(TRIM(X326))=0</formula>
    </cfRule>
  </conditionalFormatting>
  <conditionalFormatting sqref="X203:AA260">
    <cfRule type="containsBlanks" dxfId="20" priority="21">
      <formula>LEN(TRIM(X203))=0</formula>
    </cfRule>
  </conditionalFormatting>
  <conditionalFormatting sqref="X371:AA390">
    <cfRule type="containsBlanks" dxfId="19" priority="7">
      <formula>LEN(TRIM(X371))=0</formula>
    </cfRule>
  </conditionalFormatting>
  <conditionalFormatting sqref="X391:AE454 AG391:AW454">
    <cfRule type="containsBlanks" dxfId="18" priority="3">
      <formula>LEN(TRIM(X391))=0</formula>
    </cfRule>
  </conditionalFormatting>
  <conditionalFormatting sqref="Y325">
    <cfRule type="containsBlanks" dxfId="17" priority="23">
      <formula>LEN(TRIM(Y325))=0</formula>
    </cfRule>
  </conditionalFormatting>
  <conditionalFormatting sqref="Y6:AA11 X6:X202 Z12:AA202 Y140:Y202 X261:Z288 X289 Z289 AN291:AU323 X319:X322 Z319:Z322 X323:Z323 X324:X325 Z324:Z325">
    <cfRule type="containsBlanks" dxfId="16" priority="24">
      <formula>LEN(TRIM(X6))=0</formula>
    </cfRule>
  </conditionalFormatting>
  <conditionalFormatting sqref="AA261:AA370">
    <cfRule type="containsBlanks" dxfId="15" priority="19">
      <formula>LEN(TRIM(AA261))=0</formula>
    </cfRule>
  </conditionalFormatting>
  <conditionalFormatting sqref="AB6:AB390">
    <cfRule type="containsBlanks" dxfId="14" priority="6">
      <formula>LEN(TRIM(AB6))=0</formula>
    </cfRule>
  </conditionalFormatting>
  <conditionalFormatting sqref="AC6:AC378">
    <cfRule type="cellIs" dxfId="13" priority="13" operator="equal">
      <formula>0</formula>
    </cfRule>
    <cfRule type="cellIs" dxfId="12" priority="14" operator="equal">
      <formula>0</formula>
    </cfRule>
    <cfRule type="cellIs" dxfId="11" priority="15" operator="equal">
      <formula>0</formula>
    </cfRule>
    <cfRule type="cellIs" dxfId="10" priority="16" operator="equal">
      <formula>0</formula>
    </cfRule>
    <cfRule type="containsBlanks" dxfId="9" priority="17">
      <formula>LEN(TRIM(AC6))=0</formula>
    </cfRule>
  </conditionalFormatting>
  <conditionalFormatting sqref="AC379:AC390">
    <cfRule type="containsBlanks" dxfId="8" priority="5">
      <formula>LEN(TRIM(AC379))=0</formula>
    </cfRule>
  </conditionalFormatting>
  <conditionalFormatting sqref="AD6:AE390">
    <cfRule type="containsBlanks" dxfId="7" priority="1">
      <formula>LEN(TRIM(AD6))=0</formula>
    </cfRule>
  </conditionalFormatting>
  <conditionalFormatting sqref="AF6:AF454">
    <cfRule type="containsBlanks" dxfId="6" priority="2">
      <formula>LEN(TRIM(AF6))=0</formula>
    </cfRule>
  </conditionalFormatting>
  <conditionalFormatting sqref="AG291:AM390">
    <cfRule type="containsBlanks" dxfId="5" priority="9">
      <formula>LEN(TRIM(AG291))=0</formula>
    </cfRule>
  </conditionalFormatting>
  <conditionalFormatting sqref="AG6:AW290">
    <cfRule type="containsBlanks" dxfId="4" priority="20">
      <formula>LEN(TRIM(AG6))=0</formula>
    </cfRule>
  </conditionalFormatting>
  <conditionalFormatting sqref="AN324:AO390">
    <cfRule type="containsBlanks" dxfId="3" priority="8">
      <formula>LEN(TRIM(AN324))=0</formula>
    </cfRule>
  </conditionalFormatting>
  <conditionalFormatting sqref="AP324:AU388">
    <cfRule type="containsBlanks" dxfId="2" priority="12">
      <formula>LEN(TRIM(AP324))=0</formula>
    </cfRule>
  </conditionalFormatting>
  <conditionalFormatting sqref="AP389:AW390">
    <cfRule type="containsBlanks" dxfId="1" priority="10">
      <formula>LEN(TRIM(AP389))=0</formula>
    </cfRule>
  </conditionalFormatting>
  <conditionalFormatting sqref="AV291:AW388">
    <cfRule type="containsBlanks" dxfId="0" priority="11">
      <formula>LEN(TRIM(AV291))=0</formula>
    </cfRule>
  </conditionalFormatting>
  <printOptions horizontalCentered="1"/>
  <pageMargins left="0.1" right="0" top="0" bottom="0.25" header="0.5" footer="0.5"/>
  <pageSetup paperSize="9" scale="25" orientation="landscape" r:id="rId1"/>
  <headerFooter alignWithMargins="0"/>
  <colBreaks count="1" manualBreakCount="1">
    <brk id="16" max="358" man="1"/>
  </colBreaks>
  <customProperties>
    <customPr name="BudgetSheetCodeName" r:id="rId2"/>
  </customProperties>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DataSources/>
</file>

<file path=customXml/itemProps1.xml><?xml version="1.0" encoding="utf-8"?>
<ds:datastoreItem xmlns:ds="http://schemas.openxmlformats.org/officeDocument/2006/customXml" ds:itemID="{F94CC510-612B-4D2C-AF87-B04164259E0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2026 New-correct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MnC Electronics</dc:creator>
  <cp:lastModifiedBy>임재홍</cp:lastModifiedBy>
  <dcterms:created xsi:type="dcterms:W3CDTF">2026-05-11T10:05:35Z</dcterms:created>
  <dcterms:modified xsi:type="dcterms:W3CDTF">2026-05-12T01:26:20Z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UFIDA_U9App_DataSourceXMLPart">
    <vt:lpwstr>{F94CC510-612B-4D2C-AF87-B04164259E02}</vt:lpwstr>
  </property>
</Properties>
</file>