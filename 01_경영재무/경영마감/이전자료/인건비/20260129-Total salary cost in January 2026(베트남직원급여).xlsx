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6" rupBuild="9303"/>
  <workbookPr/>
  <bookViews>
    <workbookView xWindow="0" yWindow="0" windowWidth="20730" windowHeight="9390"/>
  </bookViews>
  <sheets>
    <sheet name="Sheet1" sheetId="1" r:id="rId1"/>
  </sheets>
  <definedNames>
    <definedName name="_xlnm._FilterDatabase" localSheetId="0" hidden="1">Sheet1!$B$10:$J$879</definedName>
    <definedName name="_xlnm.Print_Area" localSheetId="0">Sheet1!$A$1:$J$881</definedName>
  </definedNames>
  <calcPr calcId="14562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2" i="1" l="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11" i="1"/>
  <c r="G12" i="1" l="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11" i="1"/>
  <c r="E878" i="1"/>
  <c r="E879" i="1" s="1"/>
  <c r="F878" i="1" l="1"/>
  <c r="F879" i="1" s="1"/>
  <c r="H878" i="1" l="1"/>
  <c r="G878" i="1"/>
  <c r="G879" i="1" s="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194" i="1"/>
  <c r="A195" i="1"/>
  <c r="A196" i="1"/>
  <c r="A197" i="1"/>
  <c r="A198" i="1"/>
  <c r="A199" i="1"/>
  <c r="A200" i="1"/>
  <c r="A201" i="1"/>
  <c r="A202" i="1"/>
  <c r="A203" i="1"/>
  <c r="A204" i="1"/>
  <c r="A205" i="1"/>
  <c r="A206" i="1"/>
  <c r="A207" i="1"/>
  <c r="A208" i="1"/>
  <c r="A209" i="1"/>
  <c r="A210" i="1"/>
  <c r="A211" i="1"/>
  <c r="A212" i="1"/>
  <c r="A213" i="1"/>
  <c r="A214" i="1"/>
  <c r="A215" i="1"/>
  <c r="A216" i="1"/>
  <c r="A217" i="1"/>
  <c r="A218" i="1"/>
  <c r="A219" i="1"/>
  <c r="A220" i="1"/>
  <c r="A221" i="1"/>
  <c r="A222" i="1"/>
  <c r="A223" i="1"/>
  <c r="A224" i="1"/>
  <c r="A225" i="1"/>
  <c r="A226" i="1"/>
  <c r="A227" i="1"/>
  <c r="A228" i="1"/>
  <c r="A229" i="1"/>
  <c r="A230" i="1"/>
  <c r="A231" i="1"/>
  <c r="A232" i="1"/>
  <c r="A233" i="1"/>
  <c r="A234" i="1"/>
  <c r="A235" i="1"/>
  <c r="A236" i="1"/>
  <c r="A237" i="1"/>
  <c r="A238" i="1"/>
  <c r="A239" i="1"/>
  <c r="A240" i="1"/>
  <c r="A241" i="1"/>
  <c r="A242" i="1"/>
  <c r="A243" i="1"/>
  <c r="A244" i="1"/>
  <c r="A245" i="1"/>
  <c r="A246" i="1"/>
  <c r="A247" i="1"/>
  <c r="A248" i="1"/>
  <c r="A249" i="1"/>
  <c r="A250" i="1"/>
  <c r="A251" i="1"/>
  <c r="A252" i="1"/>
  <c r="A253" i="1"/>
  <c r="A254" i="1"/>
  <c r="A255" i="1"/>
  <c r="A256" i="1"/>
  <c r="A257" i="1"/>
  <c r="A258" i="1"/>
  <c r="A259" i="1"/>
  <c r="A260" i="1"/>
  <c r="A261" i="1"/>
  <c r="A262" i="1"/>
  <c r="A263" i="1"/>
  <c r="A264" i="1"/>
  <c r="A265" i="1"/>
  <c r="A266" i="1"/>
  <c r="A267" i="1"/>
  <c r="A268" i="1"/>
  <c r="A269" i="1"/>
  <c r="A270" i="1"/>
  <c r="A271" i="1"/>
  <c r="A272" i="1"/>
  <c r="A273" i="1"/>
  <c r="A274" i="1"/>
  <c r="A275" i="1"/>
  <c r="A276" i="1"/>
  <c r="A277" i="1"/>
  <c r="A278" i="1"/>
  <c r="A279" i="1"/>
  <c r="A280" i="1"/>
  <c r="A281" i="1"/>
  <c r="A282" i="1"/>
  <c r="A283" i="1"/>
  <c r="A284" i="1"/>
  <c r="A285" i="1"/>
  <c r="A286" i="1"/>
  <c r="A287" i="1"/>
  <c r="A288" i="1"/>
  <c r="A289" i="1"/>
  <c r="A290" i="1"/>
  <c r="A291" i="1"/>
  <c r="A292" i="1"/>
  <c r="A293" i="1"/>
  <c r="A294" i="1"/>
  <c r="A295" i="1"/>
  <c r="A296" i="1"/>
  <c r="A297" i="1"/>
  <c r="A298" i="1"/>
  <c r="A299" i="1"/>
  <c r="A300" i="1"/>
  <c r="A301" i="1"/>
  <c r="A302" i="1"/>
  <c r="A303" i="1"/>
  <c r="A304" i="1"/>
  <c r="A305" i="1"/>
  <c r="A306" i="1"/>
  <c r="A307" i="1"/>
  <c r="A308" i="1"/>
  <c r="A309" i="1"/>
  <c r="A310" i="1"/>
  <c r="A311" i="1"/>
  <c r="A312" i="1"/>
  <c r="A313" i="1"/>
  <c r="A314" i="1"/>
  <c r="A315" i="1"/>
  <c r="A316" i="1"/>
  <c r="A317" i="1"/>
  <c r="A318" i="1"/>
  <c r="A319" i="1"/>
  <c r="A320" i="1"/>
  <c r="A321" i="1"/>
  <c r="A322" i="1"/>
  <c r="A323" i="1"/>
  <c r="A324" i="1"/>
  <c r="A325" i="1"/>
  <c r="A326" i="1"/>
  <c r="A327" i="1"/>
  <c r="A328" i="1"/>
  <c r="A329" i="1"/>
  <c r="A330" i="1"/>
  <c r="A331" i="1"/>
  <c r="A332" i="1"/>
  <c r="A333" i="1"/>
  <c r="A334" i="1"/>
  <c r="A335" i="1"/>
  <c r="A336" i="1"/>
  <c r="A337" i="1"/>
  <c r="A338" i="1"/>
  <c r="A339" i="1"/>
  <c r="A340" i="1"/>
  <c r="A341" i="1"/>
  <c r="A342" i="1"/>
  <c r="A343" i="1"/>
  <c r="A344" i="1"/>
  <c r="A345" i="1"/>
  <c r="A346" i="1"/>
  <c r="A347" i="1"/>
  <c r="A348" i="1"/>
  <c r="A349" i="1"/>
  <c r="A350" i="1"/>
  <c r="A351" i="1"/>
  <c r="A352" i="1"/>
  <c r="A353" i="1"/>
  <c r="A354" i="1"/>
  <c r="A355" i="1"/>
  <c r="A356" i="1"/>
  <c r="A357" i="1"/>
  <c r="A358" i="1"/>
  <c r="A359" i="1"/>
  <c r="A360" i="1"/>
  <c r="A361" i="1"/>
  <c r="A362" i="1"/>
  <c r="A363" i="1"/>
  <c r="A364" i="1"/>
  <c r="A365" i="1"/>
  <c r="A366" i="1"/>
  <c r="A367" i="1"/>
  <c r="A368" i="1"/>
  <c r="A369" i="1"/>
  <c r="A370" i="1"/>
  <c r="A371" i="1"/>
  <c r="A372" i="1"/>
  <c r="A373" i="1"/>
  <c r="A374" i="1"/>
  <c r="A375" i="1"/>
  <c r="A376" i="1"/>
  <c r="A377" i="1"/>
  <c r="A378" i="1"/>
  <c r="A379" i="1"/>
  <c r="A380" i="1"/>
  <c r="A381" i="1"/>
  <c r="A382" i="1"/>
  <c r="A383" i="1"/>
  <c r="A384" i="1"/>
  <c r="A385" i="1"/>
  <c r="A386" i="1"/>
  <c r="A387" i="1"/>
  <c r="A388" i="1"/>
  <c r="A389" i="1"/>
  <c r="A390" i="1"/>
  <c r="A391" i="1"/>
  <c r="A392" i="1"/>
  <c r="A393" i="1"/>
  <c r="A394" i="1"/>
  <c r="A395" i="1"/>
  <c r="A396" i="1"/>
  <c r="A397" i="1"/>
  <c r="A398" i="1"/>
  <c r="A399" i="1"/>
  <c r="A400" i="1"/>
  <c r="A401" i="1"/>
  <c r="A402" i="1"/>
  <c r="A403" i="1"/>
  <c r="A404" i="1"/>
  <c r="A405" i="1"/>
  <c r="A406" i="1"/>
  <c r="A407" i="1"/>
  <c r="A408" i="1"/>
  <c r="A409" i="1"/>
  <c r="A410" i="1"/>
  <c r="A411" i="1"/>
  <c r="A412" i="1"/>
  <c r="A413" i="1"/>
  <c r="A414" i="1"/>
  <c r="A415" i="1"/>
  <c r="A416" i="1"/>
  <c r="A417" i="1"/>
  <c r="A418" i="1"/>
  <c r="A419" i="1"/>
  <c r="A420" i="1"/>
  <c r="A421" i="1"/>
  <c r="A422" i="1"/>
  <c r="A423" i="1"/>
  <c r="A424" i="1"/>
  <c r="A425" i="1"/>
  <c r="A426" i="1"/>
  <c r="A427" i="1"/>
  <c r="A428" i="1"/>
  <c r="A429" i="1"/>
  <c r="A430" i="1"/>
  <c r="A431" i="1"/>
  <c r="A432" i="1"/>
  <c r="A433" i="1"/>
  <c r="A434" i="1"/>
  <c r="A435" i="1"/>
  <c r="A436" i="1"/>
  <c r="A437" i="1"/>
  <c r="A438" i="1"/>
  <c r="A439" i="1"/>
  <c r="A440" i="1"/>
  <c r="A441" i="1"/>
  <c r="A442" i="1"/>
  <c r="A443" i="1"/>
  <c r="A444" i="1"/>
  <c r="A445" i="1"/>
  <c r="A446" i="1"/>
  <c r="A447" i="1"/>
  <c r="A448" i="1"/>
  <c r="A449" i="1"/>
  <c r="A450" i="1"/>
  <c r="A451" i="1"/>
  <c r="A452" i="1"/>
  <c r="A453" i="1"/>
  <c r="A454" i="1"/>
  <c r="A455" i="1"/>
  <c r="A456" i="1"/>
  <c r="A457" i="1"/>
  <c r="A458" i="1"/>
  <c r="A459" i="1"/>
  <c r="A460" i="1"/>
  <c r="A461" i="1"/>
  <c r="A462" i="1"/>
  <c r="A463" i="1"/>
  <c r="A464" i="1"/>
  <c r="A465" i="1"/>
  <c r="A466" i="1"/>
  <c r="A467" i="1"/>
  <c r="A468" i="1"/>
  <c r="A469" i="1"/>
  <c r="A470" i="1"/>
  <c r="A471" i="1"/>
  <c r="A472" i="1"/>
  <c r="A473" i="1"/>
  <c r="A474" i="1"/>
  <c r="A475" i="1"/>
  <c r="A476" i="1"/>
  <c r="A477" i="1"/>
  <c r="A478" i="1"/>
  <c r="A479" i="1"/>
  <c r="A480" i="1"/>
  <c r="A481" i="1"/>
  <c r="A482" i="1"/>
  <c r="A483" i="1"/>
  <c r="A484" i="1"/>
  <c r="A485" i="1"/>
  <c r="A486" i="1"/>
  <c r="A487" i="1"/>
  <c r="A488" i="1"/>
  <c r="A489" i="1"/>
  <c r="A490" i="1"/>
  <c r="A491" i="1"/>
  <c r="A492" i="1"/>
  <c r="A493" i="1"/>
  <c r="A494" i="1"/>
  <c r="A495" i="1"/>
  <c r="A496" i="1"/>
  <c r="A497" i="1"/>
  <c r="A498" i="1"/>
  <c r="A499" i="1"/>
  <c r="A500" i="1"/>
  <c r="A501" i="1"/>
  <c r="A502" i="1"/>
  <c r="A503" i="1"/>
  <c r="A504" i="1"/>
  <c r="A505" i="1"/>
  <c r="A506" i="1"/>
  <c r="A507" i="1"/>
  <c r="A508" i="1"/>
  <c r="A509" i="1"/>
  <c r="A510" i="1"/>
  <c r="A511" i="1"/>
  <c r="A512" i="1"/>
  <c r="A513" i="1"/>
  <c r="A514" i="1"/>
  <c r="A515" i="1"/>
  <c r="A516" i="1"/>
  <c r="A517" i="1"/>
  <c r="A518" i="1"/>
  <c r="A519" i="1"/>
  <c r="A520" i="1"/>
  <c r="A521" i="1"/>
  <c r="A522" i="1"/>
  <c r="A523" i="1"/>
  <c r="A524" i="1"/>
  <c r="A525" i="1"/>
  <c r="A526" i="1"/>
  <c r="A527" i="1"/>
  <c r="A528" i="1"/>
  <c r="A529" i="1"/>
  <c r="A530" i="1"/>
  <c r="A531" i="1"/>
  <c r="A532" i="1"/>
  <c r="A533" i="1"/>
  <c r="A534" i="1"/>
  <c r="A535" i="1"/>
  <c r="A536" i="1"/>
  <c r="A537" i="1"/>
  <c r="A538" i="1"/>
  <c r="A539" i="1"/>
  <c r="A540" i="1"/>
  <c r="A541" i="1"/>
  <c r="A542" i="1"/>
  <c r="A543" i="1"/>
  <c r="A544" i="1"/>
  <c r="A545" i="1"/>
  <c r="A546" i="1"/>
  <c r="A547" i="1"/>
  <c r="A548" i="1"/>
  <c r="A549" i="1"/>
  <c r="A550" i="1"/>
  <c r="A551" i="1"/>
  <c r="A552" i="1"/>
  <c r="A553" i="1"/>
  <c r="A554" i="1"/>
  <c r="A555" i="1"/>
  <c r="A556" i="1"/>
  <c r="A557" i="1"/>
  <c r="A558" i="1"/>
  <c r="A559" i="1"/>
  <c r="A560" i="1"/>
  <c r="A561" i="1"/>
  <c r="A562" i="1"/>
  <c r="A563" i="1"/>
  <c r="A564" i="1"/>
  <c r="A565" i="1"/>
  <c r="A566" i="1"/>
  <c r="A567" i="1"/>
  <c r="A568" i="1"/>
  <c r="A569" i="1"/>
  <c r="A570" i="1"/>
  <c r="A571" i="1"/>
  <c r="A572" i="1"/>
  <c r="A573" i="1"/>
  <c r="A574" i="1"/>
  <c r="A575" i="1"/>
  <c r="A576" i="1"/>
  <c r="A577" i="1"/>
  <c r="A578" i="1"/>
  <c r="A579" i="1"/>
  <c r="A580" i="1"/>
  <c r="A581" i="1"/>
  <c r="A582" i="1"/>
  <c r="A583" i="1"/>
  <c r="A584" i="1"/>
  <c r="A585" i="1"/>
  <c r="A586" i="1"/>
  <c r="A587" i="1"/>
  <c r="A588" i="1"/>
  <c r="A589" i="1"/>
  <c r="A590" i="1"/>
  <c r="A591" i="1"/>
  <c r="A592" i="1"/>
  <c r="A593" i="1"/>
  <c r="A594" i="1"/>
  <c r="A595" i="1"/>
  <c r="A596" i="1"/>
  <c r="A597" i="1"/>
  <c r="A598" i="1"/>
  <c r="A599" i="1"/>
  <c r="A600" i="1"/>
  <c r="A601" i="1"/>
  <c r="A602" i="1"/>
  <c r="A603" i="1"/>
  <c r="A604" i="1"/>
  <c r="A605" i="1"/>
  <c r="A606" i="1"/>
  <c r="A607" i="1"/>
  <c r="A608" i="1"/>
  <c r="A609" i="1"/>
  <c r="A610" i="1"/>
  <c r="A611" i="1"/>
  <c r="A612" i="1"/>
  <c r="A613" i="1"/>
  <c r="A614" i="1"/>
  <c r="A615" i="1"/>
  <c r="A616" i="1"/>
  <c r="A617" i="1"/>
  <c r="A618" i="1"/>
  <c r="A619" i="1"/>
  <c r="A620" i="1"/>
  <c r="A621" i="1"/>
  <c r="A622" i="1"/>
  <c r="A623" i="1"/>
  <c r="A624" i="1"/>
  <c r="A625" i="1"/>
  <c r="A626" i="1"/>
  <c r="A627" i="1"/>
  <c r="A628" i="1"/>
  <c r="A629" i="1"/>
  <c r="A630" i="1"/>
  <c r="A631" i="1"/>
  <c r="A632" i="1"/>
  <c r="A633" i="1"/>
  <c r="A634" i="1"/>
  <c r="A635" i="1"/>
  <c r="A636" i="1"/>
  <c r="A637" i="1"/>
  <c r="A638" i="1"/>
  <c r="A639" i="1"/>
  <c r="A640" i="1"/>
  <c r="A641" i="1"/>
  <c r="A642" i="1"/>
  <c r="A643" i="1"/>
  <c r="A644" i="1"/>
  <c r="A645" i="1"/>
  <c r="A646" i="1"/>
  <c r="A647" i="1"/>
  <c r="A648" i="1"/>
  <c r="A649" i="1"/>
  <c r="A650" i="1"/>
  <c r="A651" i="1"/>
  <c r="A652" i="1"/>
  <c r="A653" i="1"/>
  <c r="A654" i="1"/>
  <c r="A655" i="1"/>
  <c r="A656" i="1"/>
  <c r="A657" i="1"/>
  <c r="A658" i="1"/>
  <c r="A659" i="1"/>
  <c r="A660" i="1"/>
  <c r="A661" i="1"/>
  <c r="A662" i="1"/>
  <c r="A663" i="1"/>
  <c r="A664" i="1"/>
  <c r="A665" i="1"/>
  <c r="A666" i="1"/>
  <c r="A667" i="1"/>
  <c r="A668" i="1"/>
  <c r="A669" i="1"/>
  <c r="A670" i="1"/>
  <c r="A671" i="1"/>
  <c r="A672" i="1"/>
  <c r="A673" i="1"/>
  <c r="A674" i="1"/>
  <c r="A675" i="1"/>
  <c r="A676" i="1"/>
  <c r="A677" i="1"/>
  <c r="A678" i="1"/>
  <c r="A679" i="1"/>
  <c r="A680" i="1"/>
  <c r="A681" i="1"/>
  <c r="A682" i="1"/>
  <c r="A683" i="1"/>
  <c r="A684" i="1"/>
  <c r="A685" i="1"/>
  <c r="A686" i="1"/>
  <c r="A687" i="1"/>
  <c r="A688" i="1"/>
  <c r="A689" i="1"/>
  <c r="A690" i="1"/>
  <c r="A691" i="1"/>
  <c r="A692" i="1"/>
  <c r="A693" i="1"/>
  <c r="A694" i="1"/>
  <c r="A695" i="1"/>
  <c r="A696" i="1"/>
  <c r="A697" i="1"/>
  <c r="A698" i="1"/>
  <c r="A699" i="1"/>
  <c r="A700" i="1"/>
  <c r="A701" i="1"/>
  <c r="A702" i="1"/>
  <c r="A703" i="1"/>
  <c r="A704" i="1"/>
  <c r="A705" i="1"/>
  <c r="A706" i="1"/>
  <c r="A707" i="1"/>
  <c r="A708" i="1"/>
  <c r="A709" i="1"/>
  <c r="A710" i="1"/>
  <c r="A711" i="1"/>
  <c r="A712" i="1"/>
  <c r="A713" i="1"/>
  <c r="A714" i="1"/>
  <c r="A715" i="1"/>
  <c r="A716" i="1"/>
  <c r="A717" i="1"/>
  <c r="A718" i="1"/>
  <c r="A719" i="1"/>
  <c r="A720" i="1"/>
  <c r="A721" i="1"/>
  <c r="A722" i="1"/>
  <c r="A723" i="1"/>
  <c r="A724" i="1"/>
  <c r="A725" i="1"/>
  <c r="A726" i="1"/>
  <c r="A727" i="1"/>
  <c r="A728" i="1"/>
  <c r="A729" i="1"/>
  <c r="A730" i="1"/>
  <c r="A731" i="1"/>
  <c r="A732" i="1"/>
  <c r="A733" i="1"/>
  <c r="A734" i="1"/>
  <c r="A735" i="1"/>
  <c r="A736" i="1"/>
  <c r="A737" i="1"/>
  <c r="A738" i="1"/>
  <c r="A739" i="1"/>
  <c r="A740" i="1"/>
  <c r="A741" i="1"/>
  <c r="A742" i="1"/>
  <c r="A743" i="1"/>
  <c r="A744" i="1"/>
  <c r="A745" i="1"/>
  <c r="A746" i="1"/>
  <c r="A747" i="1"/>
  <c r="A748" i="1"/>
  <c r="A749" i="1"/>
  <c r="A750" i="1"/>
  <c r="A751" i="1"/>
  <c r="A752" i="1"/>
  <c r="A753" i="1"/>
  <c r="A754" i="1"/>
  <c r="A755" i="1"/>
  <c r="A756" i="1"/>
  <c r="A757" i="1"/>
  <c r="A758" i="1"/>
  <c r="A759" i="1"/>
  <c r="A760" i="1"/>
  <c r="A761" i="1"/>
  <c r="A762" i="1"/>
  <c r="A763" i="1"/>
  <c r="A764" i="1"/>
  <c r="A765" i="1"/>
  <c r="A766" i="1"/>
  <c r="A767" i="1"/>
  <c r="A768" i="1"/>
  <c r="A769" i="1"/>
  <c r="A770" i="1"/>
  <c r="A771" i="1"/>
  <c r="A772" i="1"/>
  <c r="A773" i="1"/>
  <c r="A774" i="1"/>
  <c r="A775" i="1"/>
  <c r="A776" i="1"/>
  <c r="A777" i="1"/>
  <c r="A778" i="1"/>
  <c r="A779" i="1"/>
  <c r="A780" i="1"/>
  <c r="A781" i="1"/>
  <c r="A782" i="1"/>
  <c r="A783" i="1"/>
  <c r="A784" i="1"/>
  <c r="A785" i="1"/>
  <c r="A786" i="1"/>
  <c r="A787" i="1"/>
  <c r="A788" i="1"/>
  <c r="A789" i="1"/>
  <c r="A790" i="1"/>
  <c r="A791" i="1"/>
  <c r="A792" i="1"/>
  <c r="A793" i="1"/>
  <c r="A794" i="1"/>
  <c r="A795" i="1"/>
  <c r="A796" i="1"/>
  <c r="A797" i="1"/>
  <c r="A798" i="1"/>
  <c r="A799" i="1"/>
  <c r="A800" i="1"/>
  <c r="A801" i="1"/>
  <c r="A802" i="1"/>
  <c r="A803" i="1"/>
  <c r="A804" i="1"/>
  <c r="A805" i="1"/>
  <c r="A806" i="1"/>
  <c r="A807" i="1"/>
  <c r="A808" i="1"/>
  <c r="A809" i="1"/>
  <c r="A810" i="1"/>
  <c r="A811" i="1"/>
  <c r="A812" i="1"/>
  <c r="A813" i="1"/>
  <c r="A814" i="1"/>
  <c r="A815" i="1"/>
  <c r="A816" i="1"/>
  <c r="A817" i="1"/>
  <c r="A818" i="1"/>
  <c r="A819" i="1"/>
  <c r="A820" i="1"/>
  <c r="A821" i="1"/>
  <c r="A822" i="1"/>
  <c r="A823" i="1"/>
  <c r="A824" i="1"/>
  <c r="A825" i="1"/>
  <c r="A826" i="1"/>
  <c r="A827" i="1"/>
  <c r="A828" i="1"/>
  <c r="A829" i="1"/>
  <c r="A830" i="1"/>
  <c r="A831" i="1"/>
  <c r="A832" i="1"/>
  <c r="A833" i="1"/>
  <c r="A834" i="1"/>
  <c r="A835" i="1"/>
  <c r="A836" i="1"/>
  <c r="A837" i="1"/>
  <c r="A838" i="1"/>
  <c r="A839" i="1"/>
  <c r="A840" i="1"/>
  <c r="A841" i="1"/>
  <c r="A842" i="1"/>
  <c r="A843" i="1"/>
  <c r="A844" i="1"/>
  <c r="A845" i="1"/>
  <c r="A846" i="1"/>
  <c r="A847" i="1"/>
  <c r="A848" i="1"/>
  <c r="A849" i="1"/>
  <c r="A850" i="1"/>
  <c r="A851" i="1"/>
  <c r="A852" i="1"/>
  <c r="A853" i="1"/>
  <c r="A854" i="1"/>
  <c r="A855" i="1"/>
  <c r="A856" i="1"/>
  <c r="A857" i="1"/>
  <c r="A858" i="1"/>
  <c r="A859" i="1"/>
  <c r="A860" i="1"/>
  <c r="A861" i="1"/>
  <c r="A862" i="1"/>
  <c r="A863" i="1"/>
  <c r="A864" i="1"/>
  <c r="A865" i="1"/>
  <c r="A866" i="1"/>
  <c r="A867" i="1"/>
  <c r="A868" i="1"/>
  <c r="A869" i="1"/>
  <c r="A870" i="1"/>
  <c r="A871" i="1"/>
  <c r="A872" i="1"/>
  <c r="A873" i="1"/>
  <c r="A874" i="1"/>
  <c r="A875" i="1"/>
  <c r="A876" i="1"/>
  <c r="A877" i="1"/>
  <c r="A12" i="1" l="1"/>
  <c r="A13" i="1"/>
  <c r="A14" i="1"/>
  <c r="A15" i="1"/>
  <c r="A16" i="1"/>
  <c r="A17" i="1"/>
  <c r="A18" i="1"/>
  <c r="A19" i="1"/>
  <c r="A20" i="1"/>
  <c r="A11" i="1"/>
</calcChain>
</file>

<file path=xl/sharedStrings.xml><?xml version="1.0" encoding="utf-8"?>
<sst xmlns="http://schemas.openxmlformats.org/spreadsheetml/2006/main" count="3489" uniqueCount="1813">
  <si>
    <t>ID</t>
  </si>
  <si>
    <t>Full name</t>
  </si>
  <si>
    <t>Dept.</t>
  </si>
  <si>
    <t>Total (VND)</t>
  </si>
  <si>
    <t>Total (USD)</t>
  </si>
  <si>
    <t>No.</t>
  </si>
  <si>
    <t>Bank account</t>
  </si>
  <si>
    <t>Bank Name</t>
  </si>
  <si>
    <t>R&amp;D</t>
  </si>
  <si>
    <t>Đúc</t>
  </si>
  <si>
    <t>HR</t>
  </si>
  <si>
    <t>Khuôn</t>
  </si>
  <si>
    <t>XLHH</t>
  </si>
  <si>
    <t>CNC</t>
  </si>
  <si>
    <t>Mài</t>
  </si>
  <si>
    <t>Kế hoạch SX</t>
  </si>
  <si>
    <t>Kho TP</t>
  </si>
  <si>
    <t>Kinh doanh</t>
  </si>
  <si>
    <t>PQC</t>
  </si>
  <si>
    <t>Đột dập</t>
  </si>
  <si>
    <t>OQC</t>
  </si>
  <si>
    <t>Lắp ráp</t>
  </si>
  <si>
    <t>GA</t>
  </si>
  <si>
    <t>CHN</t>
  </si>
  <si>
    <t>EHS</t>
  </si>
  <si>
    <t>Đúc nhựa</t>
  </si>
  <si>
    <t>IQC</t>
  </si>
  <si>
    <t>Cơ điện</t>
  </si>
  <si>
    <t>Kho NVL</t>
  </si>
  <si>
    <t>Độ tin cậy</t>
  </si>
  <si>
    <t>CS</t>
  </si>
  <si>
    <t>Kế toán</t>
  </si>
  <si>
    <t>IT</t>
  </si>
  <si>
    <t>Nguyễn Ngọc Mạnh</t>
  </si>
  <si>
    <t>Nguyễn Văn Lưu</t>
  </si>
  <si>
    <t>Trần Văn Hùng</t>
  </si>
  <si>
    <t>Nguyễn Thị Luận</t>
  </si>
  <si>
    <t>Nguyễn Thị Hà</t>
  </si>
  <si>
    <t>Nghiêm Xuân Tuyên</t>
  </si>
  <si>
    <t>Nguyễn Thùy Linh</t>
  </si>
  <si>
    <t>Phạm Thị Hằng</t>
  </si>
  <si>
    <t>Nguyễn Văn Duy</t>
  </si>
  <si>
    <t>Trần Văn Sơn</t>
  </si>
  <si>
    <t>Nguyễn Văn Thắng</t>
  </si>
  <si>
    <t>Đào Văn Tân</t>
  </si>
  <si>
    <t>Nguyễn Tài Chung</t>
  </si>
  <si>
    <t>Lê Văn Đại</t>
  </si>
  <si>
    <t>Đỗ Thị Lâm</t>
  </si>
  <si>
    <t>Nguyễn Thế San</t>
  </si>
  <si>
    <t>Lê Thị Dương</t>
  </si>
  <si>
    <t>Lê Thị Toan</t>
  </si>
  <si>
    <t>Nguyễn Thị Ngọc</t>
  </si>
  <si>
    <t>Nguyễn Thị Hương</t>
  </si>
  <si>
    <t>Tạ Đình Tráng</t>
  </si>
  <si>
    <t>Nguyễn Ngọc Chi</t>
  </si>
  <si>
    <t>Nguyễn Đức Đoàn</t>
  </si>
  <si>
    <t>Phạm Văn Nam</t>
  </si>
  <si>
    <t>Nguyễn Diệu Tiên</t>
  </si>
  <si>
    <t>Nguyễn Thị Liên</t>
  </si>
  <si>
    <t>Nguyễn Thị Nga</t>
  </si>
  <si>
    <t>Nguyễn Thị Thu</t>
  </si>
  <si>
    <t>Nguyễn Văn Phố</t>
  </si>
  <si>
    <t>Nguyễn Văn Tuyên</t>
  </si>
  <si>
    <t>Nguyễn Đắc Tựu</t>
  </si>
  <si>
    <t>Lê Văn Trung</t>
  </si>
  <si>
    <t>Nguyễn Thị Mai</t>
  </si>
  <si>
    <t>Hoàng Văn Trí</t>
  </si>
  <si>
    <t>Nguyễn Sỹ Sơn</t>
  </si>
  <si>
    <t>Đinh Công Hoàn</t>
  </si>
  <si>
    <t>Đặng Thị Oanh</t>
  </si>
  <si>
    <t>Hoàng Văn Duẩn</t>
  </si>
  <si>
    <t>Bùi Quang Đông</t>
  </si>
  <si>
    <t>Nguyễn Đăng Ước</t>
  </si>
  <si>
    <t>Nguyễn Văn Chất</t>
  </si>
  <si>
    <t>Nguyễn Thị Hiền</t>
  </si>
  <si>
    <t>Vũ Văn Giang</t>
  </si>
  <si>
    <t>Hà Như Minh</t>
  </si>
  <si>
    <t>Dương Văn Thành</t>
  </si>
  <si>
    <t>Nguyễn Quyết</t>
  </si>
  <si>
    <t>Lê Thị Ái Liên</t>
  </si>
  <si>
    <t>Nguyễn Văn Vương</t>
  </si>
  <si>
    <t>Dương Quang Thiện</t>
  </si>
  <si>
    <t>Nguyễn Hữu Oai</t>
  </si>
  <si>
    <t>Trần Thị Thủy</t>
  </si>
  <si>
    <t>Phùng Văn Tuyển</t>
  </si>
  <si>
    <t>Đỗ Văn Duyên</t>
  </si>
  <si>
    <t>Phạm Văn Thịnh</t>
  </si>
  <si>
    <t>Nguyễn Văn Nguyên</t>
  </si>
  <si>
    <t>Trịnh Thị Giáp</t>
  </si>
  <si>
    <t>Nguyễn Văn Cường</t>
  </si>
  <si>
    <t>Hoàng Viết Chúc</t>
  </si>
  <si>
    <t>Phạm Xuân Toàn</t>
  </si>
  <si>
    <t>Nguyễn Thị Thơm</t>
  </si>
  <si>
    <t>Nguyễn Thị Thảo</t>
  </si>
  <si>
    <t>Nguyễn Thị Lý</t>
  </si>
  <si>
    <t>Nguyễn Văn Tú</t>
  </si>
  <si>
    <t>Đào Ngọc Khánh</t>
  </si>
  <si>
    <t>Vi Quý Trọng</t>
  </si>
  <si>
    <t>Nguyễn Thị Nụ</t>
  </si>
  <si>
    <t>Lã Thị Nhiên</t>
  </si>
  <si>
    <t>Nguyễn Thị Thanh</t>
  </si>
  <si>
    <t>Lê Văn Nam</t>
  </si>
  <si>
    <t>Nguyễn Thị Nhận</t>
  </si>
  <si>
    <t>Trịnh Đình Ngàn</t>
  </si>
  <si>
    <t>Trần Thị Hiền</t>
  </si>
  <si>
    <t>Vũ Văn Sơn</t>
  </si>
  <si>
    <t>Nguyễn Văn Sơn</t>
  </si>
  <si>
    <t>Quan Văn Hương</t>
  </si>
  <si>
    <t>Trần Thu Hà</t>
  </si>
  <si>
    <t>Nguyễn Trọng Đức</t>
  </si>
  <si>
    <t>Nguyễn Tài Duy</t>
  </si>
  <si>
    <t>Nguyễn Công Thiện</t>
  </si>
  <si>
    <t>Vũ Thị Hà</t>
  </si>
  <si>
    <t>Vi Thị Thọ</t>
  </si>
  <si>
    <t>Nguyễn Viết Luân</t>
  </si>
  <si>
    <t>Nguyễn Đức Tiến</t>
  </si>
  <si>
    <t>Đào Xuân Phương</t>
  </si>
  <si>
    <t>Trần Văn Độ</t>
  </si>
  <si>
    <t>Ngô Văn Đông Đức</t>
  </si>
  <si>
    <t>Hoàng Văn Quỳnh</t>
  </si>
  <si>
    <t>Nguyễn Văn Mạnh</t>
  </si>
  <si>
    <t>Nguyễn Thị Năng</t>
  </si>
  <si>
    <t>Quan Thị Nhị</t>
  </si>
  <si>
    <t>Triệu Văn Dũng</t>
  </si>
  <si>
    <t>Mã Ngọc Thìn</t>
  </si>
  <si>
    <t>Nguyễn Thị Tâm</t>
  </si>
  <si>
    <t>Nguyễn Văn Nghĩa</t>
  </si>
  <si>
    <t>Lò Thị Lan</t>
  </si>
  <si>
    <t>Quách Thị Cúc</t>
  </si>
  <si>
    <t>Nghiêm Thị Diệu</t>
  </si>
  <si>
    <t>Ngô Thị Lan</t>
  </si>
  <si>
    <t>Phạm Thị Lụa</t>
  </si>
  <si>
    <t>Trịnh Văn Tuấn</t>
  </si>
  <si>
    <t>Trần Hữu Đạt</t>
  </si>
  <si>
    <t>Bùi Thị Ngọc Anh</t>
  </si>
  <si>
    <t>Phạm Thị Thắm</t>
  </si>
  <si>
    <t>La Thị Hậu</t>
  </si>
  <si>
    <t>Phạm Thị Huyền Trang</t>
  </si>
  <si>
    <t>Nguyễn Thị Huệ</t>
  </si>
  <si>
    <t>Thái Thị Phương</t>
  </si>
  <si>
    <t>Dương Thị Thanh</t>
  </si>
  <si>
    <t>Vũ Thị Hòa</t>
  </si>
  <si>
    <t>Nông Văn Kiên</t>
  </si>
  <si>
    <t>Nông Văn Nam</t>
  </si>
  <si>
    <t>Xa Mạnh Quyền</t>
  </si>
  <si>
    <t>Bùi Anh Tú</t>
  </si>
  <si>
    <t>Nguyễn Trung Thành</t>
  </si>
  <si>
    <t>Nông Đức Dai</t>
  </si>
  <si>
    <t>Vi Văn Thế</t>
  </si>
  <si>
    <t>Luân Văn Hòe</t>
  </si>
  <si>
    <t>Trần Bá Tam</t>
  </si>
  <si>
    <t>Nghiêm Thị Kim Cúc</t>
  </si>
  <si>
    <t>Trần Thị Mạnh</t>
  </si>
  <si>
    <t>Hồ Minh Hiếu</t>
  </si>
  <si>
    <t>Hoàng Văn Nổi</t>
  </si>
  <si>
    <t>Lương Hồng Tuyến</t>
  </si>
  <si>
    <t>Luận Văn Lim</t>
  </si>
  <si>
    <t>Phạm Thị Huệ</t>
  </si>
  <si>
    <t>Vũ Thị Tuyết</t>
  </si>
  <si>
    <t>Nguyễn Viết Cương</t>
  </si>
  <si>
    <t>Nguyễn Vân Luật</t>
  </si>
  <si>
    <t>Mã Văn Thọ</t>
  </si>
  <si>
    <t>Nguyễn Thị Hoa</t>
  </si>
  <si>
    <t>Hoàng Văn Thượng</t>
  </si>
  <si>
    <t>Trần Thị Thanh</t>
  </si>
  <si>
    <t>Dương Hữu Thêm</t>
  </si>
  <si>
    <t>Đinh Văn Đức</t>
  </si>
  <si>
    <t>Nguyễn Thị Hường</t>
  </si>
  <si>
    <t>Trịnh Đắc Huy</t>
  </si>
  <si>
    <t>Hoàng Văn Nam</t>
  </si>
  <si>
    <t>Nguyễn Đình Chinh</t>
  </si>
  <si>
    <t>Bùi Văn Nhật</t>
  </si>
  <si>
    <t>Hoàng Văn Tâm</t>
  </si>
  <si>
    <t>Bùi Thanh Quyết</t>
  </si>
  <si>
    <t>Vi Thị Quí</t>
  </si>
  <si>
    <t>Nguyễn Quốc Sửu</t>
  </si>
  <si>
    <t>Dương Văn Huyến</t>
  </si>
  <si>
    <t>Phạm Thị Hiệp</t>
  </si>
  <si>
    <t>Bùi Văn Đại</t>
  </si>
  <si>
    <t>Hoàng Thị Giang</t>
  </si>
  <si>
    <t>Đinh Văn Thăng</t>
  </si>
  <si>
    <t>Nguyễn Văn Dũng</t>
  </si>
  <si>
    <t>Đinh Văn Liên</t>
  </si>
  <si>
    <t>Đặng Văn Trường</t>
  </si>
  <si>
    <t>Hà Thị Hương</t>
  </si>
  <si>
    <t>Phan Thị Thảo</t>
  </si>
  <si>
    <t>Bùi Thị Vân</t>
  </si>
  <si>
    <t>Nguyễn Thế Thắng</t>
  </si>
  <si>
    <t>Nguyễn Vân Bằng</t>
  </si>
  <si>
    <t>Trần Thị Nhung</t>
  </si>
  <si>
    <t>Tạ Khánh Chi</t>
  </si>
  <si>
    <t>Bùi Văn Biển</t>
  </si>
  <si>
    <t>Vũ Thị Lương</t>
  </si>
  <si>
    <t>Hoàng Thị Chứ</t>
  </si>
  <si>
    <t>Hoàng Thị Thêm</t>
  </si>
  <si>
    <t>Lý Văn Trung</t>
  </si>
  <si>
    <t>Lâm Thị Khoan</t>
  </si>
  <si>
    <t>Lâm Thị Chang</t>
  </si>
  <si>
    <t>Đào Thị Lan Phương</t>
  </si>
  <si>
    <t>Nông Thị Soi</t>
  </si>
  <si>
    <t>Lục Thị Hương</t>
  </si>
  <si>
    <t>Triệu Xuân Quân</t>
  </si>
  <si>
    <t>Phạm Văn Phùng</t>
  </si>
  <si>
    <t>Hà Thị Vui</t>
  </si>
  <si>
    <t>Hoàng Thị Thi</t>
  </si>
  <si>
    <t>Seo Văn Kiến</t>
  </si>
  <si>
    <t>Bùi Thị Lụa</t>
  </si>
  <si>
    <t>Phạm Văn Tôn</t>
  </si>
  <si>
    <t>Lâm Thị Trà</t>
  </si>
  <si>
    <t>Triệu Thị Kiểm</t>
  </si>
  <si>
    <t>Ma Văn Nam</t>
  </si>
  <si>
    <t>Hà Văn Bui</t>
  </si>
  <si>
    <t>Nguyễn Thị Vân</t>
  </si>
  <si>
    <t>Triệu Văn Tuyên</t>
  </si>
  <si>
    <t>Hoàng Thị Anh</t>
  </si>
  <si>
    <t>Nguyễn Tiến Hoài</t>
  </si>
  <si>
    <t>Nguyễn Thị Huyên</t>
  </si>
  <si>
    <t>Hoàng Thị Hậu</t>
  </si>
  <si>
    <t>Hoàng Văn Thọ</t>
  </si>
  <si>
    <t>Nguyễn Thị Minh</t>
  </si>
  <si>
    <t>Nguyễn Thị Luyến</t>
  </si>
  <si>
    <t>Nguyễn Thế Duẩn</t>
  </si>
  <si>
    <t>Phùng Thị Tấm</t>
  </si>
  <si>
    <t>Riêu Văn Ngọc</t>
  </si>
  <si>
    <t>Bùi Văn Ngọc</t>
  </si>
  <si>
    <t>Nguyễn Công Phúc</t>
  </si>
  <si>
    <t>Mã Tiến Công</t>
  </si>
  <si>
    <t>Bùi Văn Chương</t>
  </si>
  <si>
    <t>Hoàng Văn Hưng</t>
  </si>
  <si>
    <t>Tạ Đình Đông</t>
  </si>
  <si>
    <t>Lương Văn Hòa</t>
  </si>
  <si>
    <t>Lê Thị Hồng Trang</t>
  </si>
  <si>
    <t>Nguyễn Viết Phương</t>
  </si>
  <si>
    <t>Nguyễn Văn Hiệp</t>
  </si>
  <si>
    <t>Hoàng Thanh Quyền</t>
  </si>
  <si>
    <t>Lê Thị Ngọc Trâm</t>
  </si>
  <si>
    <t>Phùng Huy Hiệu</t>
  </si>
  <si>
    <t>Nguyễn Thế Huấn</t>
  </si>
  <si>
    <t>Lường Thị Niềm</t>
  </si>
  <si>
    <t>Nguyễn Thành Đạt</t>
  </si>
  <si>
    <t>Nguyễn Tự Trọng</t>
  </si>
  <si>
    <t>Dương Thị Hiền</t>
  </si>
  <si>
    <t>Lưu Thị Máy</t>
  </si>
  <si>
    <t>Hoàng Văn Lực</t>
  </si>
  <si>
    <t>Triệu Sinh Chung</t>
  </si>
  <si>
    <t>Phạm Thị Thủy</t>
  </si>
  <si>
    <t>Đặng Văn Hùng</t>
  </si>
  <si>
    <t>Đinh Công Hôn</t>
  </si>
  <si>
    <t>Đàm Văn Luyến</t>
  </si>
  <si>
    <t>Bùi Thị Ngần</t>
  </si>
  <si>
    <t>Vi Văn Tiệu</t>
  </si>
  <si>
    <t>Lương Văn Panh</t>
  </si>
  <si>
    <t>Bùi Văn Anh</t>
  </si>
  <si>
    <t>Bùi Văn Khuých</t>
  </si>
  <si>
    <t>Phùng Thị Thoa</t>
  </si>
  <si>
    <t>Vi Thị Đào</t>
  </si>
  <si>
    <t>Lường Thị An</t>
  </si>
  <si>
    <t>Trịnh Đắc Cường</t>
  </si>
  <si>
    <t>Lữ Văn Hai</t>
  </si>
  <si>
    <t>Chu Ngọc Dũng</t>
  </si>
  <si>
    <t>Vũ Thị Thanh Vân</t>
  </si>
  <si>
    <t>Can Thị Lý</t>
  </si>
  <si>
    <t>Nông Thị Nở</t>
  </si>
  <si>
    <t>Lò Thị Hồng</t>
  </si>
  <si>
    <t>Phạm Thị Thu</t>
  </si>
  <si>
    <t>Phương Thị Luân</t>
  </si>
  <si>
    <t>Nguyễn Thị Hằng</t>
  </si>
  <si>
    <t>Nguyễn Thị Phương Anh</t>
  </si>
  <si>
    <t>Hoàng Thị Vinh</t>
  </si>
  <si>
    <t>Lô Văn Hùng</t>
  </si>
  <si>
    <t>Kim Văn Thiên</t>
  </si>
  <si>
    <t>Nguyễn Thị Bảo</t>
  </si>
  <si>
    <t>Hoàng Thị Viên</t>
  </si>
  <si>
    <t>Phạm Thị Thiết</t>
  </si>
  <si>
    <t>Trương Thị Bắc</t>
  </si>
  <si>
    <t>Đặng Ngọc Duy</t>
  </si>
  <si>
    <t>Đặng Văn Phương</t>
  </si>
  <si>
    <t>Hoàng Thị Kiều</t>
  </si>
  <si>
    <t>Lý Văn Bình</t>
  </si>
  <si>
    <t>Trương Văn Minh</t>
  </si>
  <si>
    <t>Nguyễn Khắc Sứng</t>
  </si>
  <si>
    <t>Nguyễn Mạnh Ngân</t>
  </si>
  <si>
    <t>Bùi Văn Đông</t>
  </si>
  <si>
    <t>Lý Văn Hồng</t>
  </si>
  <si>
    <t>Bế Thị Vân</t>
  </si>
  <si>
    <t>Hoàng Thị Nga</t>
  </si>
  <si>
    <t>Nguyễn Hữu Tuân</t>
  </si>
  <si>
    <t>Lê Xuân Tiến Lộc</t>
  </si>
  <si>
    <t>Bùi Quang Phương</t>
  </si>
  <si>
    <t>Vi Thị Thu</t>
  </si>
  <si>
    <t>Bùi Văn Hưng</t>
  </si>
  <si>
    <t>Vũ Xuân Quang</t>
  </si>
  <si>
    <t>Bùi Văn Huy</t>
  </si>
  <si>
    <t>Triệu Mùi Nhất</t>
  </si>
  <si>
    <t>Nguyễn Văn Hải</t>
  </si>
  <si>
    <t>Vi Thị Son</t>
  </si>
  <si>
    <t>Lô Thị Xăng</t>
  </si>
  <si>
    <t>Triệu Văn Nhất</t>
  </si>
  <si>
    <t>Bùi Thị Thúy</t>
  </si>
  <si>
    <t>Phạm Văn Toàn</t>
  </si>
  <si>
    <t>Hà Văn Thành</t>
  </si>
  <si>
    <t>Chu Quang Tình</t>
  </si>
  <si>
    <t>Lường Văn Tiếp</t>
  </si>
  <si>
    <t>Hoàng Quý Hòa</t>
  </si>
  <si>
    <t>Nguyễn Thị Dành</t>
  </si>
  <si>
    <t>Hoàng Văn Quang</t>
  </si>
  <si>
    <t>Vi Văn Niên</t>
  </si>
  <si>
    <t>Vi Văn Nghệ</t>
  </si>
  <si>
    <t>Lộc Văn Quang</t>
  </si>
  <si>
    <t>Ngân Thị Nhung</t>
  </si>
  <si>
    <t>Ma Thị Lường</t>
  </si>
  <si>
    <t>Triệu Kim Bình</t>
  </si>
  <si>
    <t>Nông Văn Đoàn</t>
  </si>
  <si>
    <t>Hà Thị Mật</t>
  </si>
  <si>
    <t>Nguyễn Công Trường</t>
  </si>
  <si>
    <t>Lê Văn Giang</t>
  </si>
  <si>
    <t>Hứa Hùng Sơn</t>
  </si>
  <si>
    <t>Ngân Văn Bốn</t>
  </si>
  <si>
    <t>Mã Văn Tình</t>
  </si>
  <si>
    <t>Hoàng Văn Hiệu</t>
  </si>
  <si>
    <t>Hoàng Văn Phân</t>
  </si>
  <si>
    <t>Phạm Văn Thanh</t>
  </si>
  <si>
    <t>Phan Thị Ninh</t>
  </si>
  <si>
    <t>Hù Văn Hà</t>
  </si>
  <si>
    <t>Phạm Văn Vũ</t>
  </si>
  <si>
    <t>Vi Văn Tám</t>
  </si>
  <si>
    <t>Phan Thị Hường</t>
  </si>
  <si>
    <t>Hoàng Đình Tiệp</t>
  </si>
  <si>
    <t>Bùi Thị Hà</t>
  </si>
  <si>
    <t>Trần Thị Hoàn</t>
  </si>
  <si>
    <t>Nguyễn Thị Dinh</t>
  </si>
  <si>
    <t>Nguyễn Thanh Hùng</t>
  </si>
  <si>
    <t>Phạm Văn Đại</t>
  </si>
  <si>
    <t>Nguyễn Thị Đợi</t>
  </si>
  <si>
    <t>Bùi Thị Thơ</t>
  </si>
  <si>
    <t>Nông Thị Bích Thu</t>
  </si>
  <si>
    <t>Phạm Sĩ Hải</t>
  </si>
  <si>
    <t>Vy Văn Kiên</t>
  </si>
  <si>
    <t>Nguyễn Văn Thế</t>
  </si>
  <si>
    <t>Lô Văn Sự</t>
  </si>
  <si>
    <t>Lê Thị Tuyết Nhung</t>
  </si>
  <si>
    <t>Trần Văn Hoàng</t>
  </si>
  <si>
    <t>Nguyễn Thị Trang Nhung</t>
  </si>
  <si>
    <t>Đào Bá Trọng</t>
  </si>
  <si>
    <t>Nguyễn Đình Hùng</t>
  </si>
  <si>
    <t>Võ Bình Dương</t>
  </si>
  <si>
    <t>Trần Văn Sinh</t>
  </si>
  <si>
    <t>Lê Thị Duyên</t>
  </si>
  <si>
    <t>Hoàng Hải Toàn</t>
  </si>
  <si>
    <t>Lý Thị Chiêm</t>
  </si>
  <si>
    <t>Phạm Ngọc Sơn</t>
  </si>
  <si>
    <t>Vi Ngọc Hiếu</t>
  </si>
  <si>
    <t>Dương Trường Thọ</t>
  </si>
  <si>
    <t>Nguyễn Thị Tiền</t>
  </si>
  <si>
    <t>Ngần Thị Luyến</t>
  </si>
  <si>
    <t>Trương Văn Vinh</t>
  </si>
  <si>
    <t>Lê Văn Hưng</t>
  </si>
  <si>
    <t>Triệu Văn Tư</t>
  </si>
  <si>
    <t>Triệu Văn Quốc</t>
  </si>
  <si>
    <t>Bùi Thị Lệ</t>
  </si>
  <si>
    <t>Đinh Đức Đại</t>
  </si>
  <si>
    <t>Tô Thị Tím</t>
  </si>
  <si>
    <t>Hứa Thị Uyên</t>
  </si>
  <si>
    <t>Nguyễn Đức Thành</t>
  </si>
  <si>
    <t>Hà Thị Nghệ</t>
  </si>
  <si>
    <t>Hoàng Văn Hữu</t>
  </si>
  <si>
    <t>Hoàng Trung Hiếu</t>
  </si>
  <si>
    <t>Dương Văn Khoa</t>
  </si>
  <si>
    <t>Lê Văn Vỉnh</t>
  </si>
  <si>
    <t>Vũ Thị Tuyến</t>
  </si>
  <si>
    <t>Phạm Văn An</t>
  </si>
  <si>
    <t>Hà Thị Thầm</t>
  </si>
  <si>
    <t>Dương Văn Tô</t>
  </si>
  <si>
    <t>Triệu Thị Hải Yến</t>
  </si>
  <si>
    <t>Hà Thị Liêm</t>
  </si>
  <si>
    <t>Lương Thị Hưng</t>
  </si>
  <si>
    <t>Nguyễn Thị Thoa</t>
  </si>
  <si>
    <t>Hoàng Thị Trang</t>
  </si>
  <si>
    <t>Hà Thị Loan</t>
  </si>
  <si>
    <t>Trịnh Đình Minh</t>
  </si>
  <si>
    <t>Bế Thị Phượng</t>
  </si>
  <si>
    <t>Hoàng Văn Cung</t>
  </si>
  <si>
    <t>Trần Thị Hồng Loan</t>
  </si>
  <si>
    <t>Lò Văn Tuyết</t>
  </si>
  <si>
    <t>Nông Thị Bào</t>
  </si>
  <si>
    <t>Hoàng Thị Luyến</t>
  </si>
  <si>
    <t>Lô Thị Tin</t>
  </si>
  <si>
    <t>Long Thị Hương</t>
  </si>
  <si>
    <t>Trương Văn Sơn</t>
  </si>
  <si>
    <t>Hoàng Thị Huệ</t>
  </si>
  <si>
    <t>Nguyễn Thị Lan Anh</t>
  </si>
  <si>
    <t>Thân Thị Hương Lan</t>
  </si>
  <si>
    <t>Nguyễn Khắc Hoàng</t>
  </si>
  <si>
    <t>Nguyễn Văn Vinh</t>
  </si>
  <si>
    <t>Hoàng Văn Dấu</t>
  </si>
  <si>
    <t>Nguyễn Văn Liền</t>
  </si>
  <si>
    <t>Hà Văn Quân</t>
  </si>
  <si>
    <t>Ngọc Văn Du</t>
  </si>
  <si>
    <t>Vi Thị Nhung</t>
  </si>
  <si>
    <t>Phùng Văn Quan</t>
  </si>
  <si>
    <t>Bùi Văn Thắng</t>
  </si>
  <si>
    <t>Hà Văn Ngoan</t>
  </si>
  <si>
    <t>Lô Thị Nguyên</t>
  </si>
  <si>
    <t>Lù Thị Bích</t>
  </si>
  <si>
    <t>Bùi Văn Đoàn</t>
  </si>
  <si>
    <t>Nguyễn Đức Thắng</t>
  </si>
  <si>
    <t>Hoàng Văn Cầu</t>
  </si>
  <si>
    <t>Bùi Tuấn Anh</t>
  </si>
  <si>
    <t>Bùi Thị Vượng</t>
  </si>
  <si>
    <t>Lữ Văn Thao</t>
  </si>
  <si>
    <t>Phùng Văn Vũ</t>
  </si>
  <si>
    <t>Mùng Văn Thước</t>
  </si>
  <si>
    <t>Bùi Thị Hương Liễu</t>
  </si>
  <si>
    <t>Lê Thị Nguyệt</t>
  </si>
  <si>
    <t>Mai Văn Cát</t>
  </si>
  <si>
    <t>Lường Thị Thắm</t>
  </si>
  <si>
    <t>Nguyễn Thị Tam</t>
  </si>
  <si>
    <t>Hoàng Thị Tuyết</t>
  </si>
  <si>
    <t>Lương Thị Nguyễn</t>
  </si>
  <si>
    <t>Nguyễn Đức Khánh</t>
  </si>
  <si>
    <t>Vũ Thị Ánh Lâm</t>
  </si>
  <si>
    <t>Trần Thị Huyên</t>
  </si>
  <si>
    <t>Dương Thị Lê</t>
  </si>
  <si>
    <t>Vietcombank - Bắc Ninh</t>
  </si>
  <si>
    <t xml:space="preserve"> Sacombank - CN Long Biên,HN</t>
  </si>
  <si>
    <t>Techcombank - Bắc Ninh</t>
  </si>
  <si>
    <t>020078024616</t>
  </si>
  <si>
    <t>700002100763</t>
  </si>
  <si>
    <t>Shinhan bank Vietnam, Bacninh</t>
  </si>
  <si>
    <t>020085490118</t>
  </si>
  <si>
    <t>Sacombank - CN Long Biên, Hà Nội</t>
  </si>
  <si>
    <t>020078028247</t>
  </si>
  <si>
    <t>020078029669</t>
  </si>
  <si>
    <t>19032172925014</t>
  </si>
  <si>
    <t>020078031973</t>
  </si>
  <si>
    <t>020078030322</t>
  </si>
  <si>
    <t>020078028727</t>
  </si>
  <si>
    <t>700003754997</t>
  </si>
  <si>
    <t>Shinhanbank  - Bắc Ninh</t>
  </si>
  <si>
    <t>020078031515</t>
  </si>
  <si>
    <t>020078030837</t>
  </si>
  <si>
    <t>020078027593</t>
  </si>
  <si>
    <t>020078029871</t>
  </si>
  <si>
    <t>020078024624</t>
  </si>
  <si>
    <t>020078024659</t>
  </si>
  <si>
    <t>020078024667</t>
  </si>
  <si>
    <t>020078027607</t>
  </si>
  <si>
    <t>020078030845</t>
  </si>
  <si>
    <t>020078031523</t>
  </si>
  <si>
    <t>020078031531</t>
  </si>
  <si>
    <t>020078030349</t>
  </si>
  <si>
    <t>0351000859375</t>
  </si>
  <si>
    <t>Vietcombank - KCN Quế Võ, Bắc Ninh</t>
  </si>
  <si>
    <t>020078024675</t>
  </si>
  <si>
    <t>020078029881</t>
  </si>
  <si>
    <t>020078028956</t>
  </si>
  <si>
    <t>020078031541</t>
  </si>
  <si>
    <t>020078028549</t>
  </si>
  <si>
    <t>020078027399</t>
  </si>
  <si>
    <t>020078029545</t>
  </si>
  <si>
    <t>020078027216</t>
  </si>
  <si>
    <t>020078032007</t>
  </si>
  <si>
    <t>020078028778</t>
  </si>
  <si>
    <t>020078030985</t>
  </si>
  <si>
    <t>020078031043</t>
  </si>
  <si>
    <t>020078028409</t>
  </si>
  <si>
    <t>020078024713</t>
  </si>
  <si>
    <t>020078024721</t>
  </si>
  <si>
    <t>0351000842396</t>
  </si>
  <si>
    <t>020078024772</t>
  </si>
  <si>
    <t>020078024799</t>
  </si>
  <si>
    <t>020085968700</t>
  </si>
  <si>
    <t>Sacombank - Long Biên, HN</t>
  </si>
  <si>
    <t>020078024802</t>
  </si>
  <si>
    <t>020078029911</t>
  </si>
  <si>
    <t>020078031051</t>
  </si>
  <si>
    <t>020078024845</t>
  </si>
  <si>
    <t>020078024861</t>
  </si>
  <si>
    <t>020078028417</t>
  </si>
  <si>
    <t>020078030861</t>
  </si>
  <si>
    <t>020078027402</t>
  </si>
  <si>
    <t>020078030871</t>
  </si>
  <si>
    <t>020078024888</t>
  </si>
  <si>
    <t>020078024896</t>
  </si>
  <si>
    <t>020078024901</t>
  </si>
  <si>
    <t>020078031477</t>
  </si>
  <si>
    <t>020078029928</t>
  </si>
  <si>
    <t>020078028972</t>
  </si>
  <si>
    <t>020080585242</t>
  </si>
  <si>
    <t>0351000888091</t>
  </si>
  <si>
    <t>020078027240</t>
  </si>
  <si>
    <t>020078027259</t>
  </si>
  <si>
    <t>020078031116</t>
  </si>
  <si>
    <t>020078028557</t>
  </si>
  <si>
    <t>020078026880</t>
  </si>
  <si>
    <t>020078029553</t>
  </si>
  <si>
    <t>020078024942</t>
  </si>
  <si>
    <t>020078024950</t>
  </si>
  <si>
    <t>020078025000</t>
  </si>
  <si>
    <t>020078298211</t>
  </si>
  <si>
    <t>020078025027</t>
  </si>
  <si>
    <t>020078298155</t>
  </si>
  <si>
    <t>020078025035</t>
  </si>
  <si>
    <t>020078298260</t>
  </si>
  <si>
    <t>020078025051</t>
  </si>
  <si>
    <t>020078025061</t>
  </si>
  <si>
    <t>020078025078</t>
  </si>
  <si>
    <t>020078298236</t>
  </si>
  <si>
    <t>0351000914873</t>
  </si>
  <si>
    <t>020078025132</t>
  </si>
  <si>
    <t>020078029561</t>
  </si>
  <si>
    <t>020078030896</t>
  </si>
  <si>
    <t>020078027631</t>
  </si>
  <si>
    <t>0351000320769</t>
  </si>
  <si>
    <t>020078025213</t>
  </si>
  <si>
    <t>020078025221</t>
  </si>
  <si>
    <t>020078025231</t>
  </si>
  <si>
    <t>020078025248</t>
  </si>
  <si>
    <t>020078298538</t>
  </si>
  <si>
    <t>020078025310</t>
  </si>
  <si>
    <t>020078030241</t>
  </si>
  <si>
    <t>020078029952</t>
  </si>
  <si>
    <t>020078026899</t>
  </si>
  <si>
    <t>020078025345</t>
  </si>
  <si>
    <t>020078032058</t>
  </si>
  <si>
    <t>020078029685</t>
  </si>
  <si>
    <t>020078026910</t>
  </si>
  <si>
    <t>020078025361</t>
  </si>
  <si>
    <t>020078032082</t>
  </si>
  <si>
    <t>020078028999</t>
  </si>
  <si>
    <t>0351000998275</t>
  </si>
  <si>
    <t>020078025401</t>
  </si>
  <si>
    <t>020078026988</t>
  </si>
  <si>
    <t>020078026996</t>
  </si>
  <si>
    <t>020078027011</t>
  </si>
  <si>
    <t>020078027021</t>
  </si>
  <si>
    <t>020078025418</t>
  </si>
  <si>
    <t>Sacombank - Bắc Ninh</t>
  </si>
  <si>
    <t>020078030128</t>
  </si>
  <si>
    <t>020078032147</t>
  </si>
  <si>
    <t>020078029707</t>
  </si>
  <si>
    <t>020078025515</t>
  </si>
  <si>
    <t>020078030934</t>
  </si>
  <si>
    <t>020078025531</t>
  </si>
  <si>
    <t>020078032181</t>
  </si>
  <si>
    <t>020078032198</t>
  </si>
  <si>
    <t>020078025541</t>
  </si>
  <si>
    <t>020078027046</t>
  </si>
  <si>
    <t>020078025558</t>
  </si>
  <si>
    <t>020078025566</t>
  </si>
  <si>
    <t>020078025620</t>
  </si>
  <si>
    <t>020078032211</t>
  </si>
  <si>
    <t>020078025681</t>
  </si>
  <si>
    <t>19024351085018</t>
  </si>
  <si>
    <t>Techcombank - Cầu Giấy, Hà Nội</t>
  </si>
  <si>
    <t>020078027674</t>
  </si>
  <si>
    <t>020078029731</t>
  </si>
  <si>
    <t>020078029499</t>
  </si>
  <si>
    <t>020078031620</t>
  </si>
  <si>
    <t>020078029049</t>
  </si>
  <si>
    <t>020078025779</t>
  </si>
  <si>
    <t>020078029340</t>
  </si>
  <si>
    <t>020078029601</t>
  </si>
  <si>
    <t>Shinhanbank - Bắc Ninh</t>
  </si>
  <si>
    <t>020078032279</t>
  </si>
  <si>
    <t>020078032287</t>
  </si>
  <si>
    <t>020078030411</t>
  </si>
  <si>
    <t>020078031681</t>
  </si>
  <si>
    <t>020078298597</t>
  </si>
  <si>
    <t>020078027526</t>
  </si>
  <si>
    <t>020078298521</t>
  </si>
  <si>
    <t>020078025851</t>
  </si>
  <si>
    <t>020078032351</t>
  </si>
  <si>
    <t>020078025876</t>
  </si>
  <si>
    <t>020078025922</t>
  </si>
  <si>
    <t>020078031736</t>
  </si>
  <si>
    <t>020078031760</t>
  </si>
  <si>
    <t>020078026023</t>
  </si>
  <si>
    <t>020078032422</t>
  </si>
  <si>
    <t>020078031817</t>
  </si>
  <si>
    <t>020078298287</t>
  </si>
  <si>
    <t>020078026104</t>
  </si>
  <si>
    <t>020078026163</t>
  </si>
  <si>
    <t>030080452779</t>
  </si>
  <si>
    <t>020078032457</t>
  </si>
  <si>
    <t>020078028360</t>
  </si>
  <si>
    <t>020078298627</t>
  </si>
  <si>
    <t>020078026279</t>
  </si>
  <si>
    <t>020078030209</t>
  </si>
  <si>
    <t xml:space="preserve"> '0351000683665</t>
  </si>
  <si>
    <t>020078029405</t>
  </si>
  <si>
    <t>020078028514</t>
  </si>
  <si>
    <t>020078031280</t>
  </si>
  <si>
    <t>020078031906</t>
  </si>
  <si>
    <t>020078031957</t>
  </si>
  <si>
    <t>020078027771</t>
  </si>
  <si>
    <t>020078027781</t>
  </si>
  <si>
    <t>020078029200</t>
  </si>
  <si>
    <t>020078031337</t>
  </si>
  <si>
    <t>020078027933</t>
  </si>
  <si>
    <t>020078027348</t>
  </si>
  <si>
    <t>020078028689</t>
  </si>
  <si>
    <t>020078028190</t>
  </si>
  <si>
    <t>020078026376</t>
  </si>
  <si>
    <t>020078026406</t>
  </si>
  <si>
    <t>020078030071</t>
  </si>
  <si>
    <t>020078033259</t>
  </si>
  <si>
    <t>020078030101</t>
  </si>
  <si>
    <t>020078033305</t>
  </si>
  <si>
    <t>020078026724</t>
  </si>
  <si>
    <t>020078026821</t>
  </si>
  <si>
    <t>102869889672</t>
  </si>
  <si>
    <t>Vietinbank - Bắc Ninh</t>
  </si>
  <si>
    <t>020078026805</t>
  </si>
  <si>
    <t>020078298740</t>
  </si>
  <si>
    <t>020078298481</t>
  </si>
  <si>
    <t>020078299038</t>
  </si>
  <si>
    <t>0011004333312</t>
  </si>
  <si>
    <t>Vietcombank - Sở giao dịch, Hà Nội</t>
  </si>
  <si>
    <t>0351001079867</t>
  </si>
  <si>
    <t>Vietcombank - Băc Ninh</t>
  </si>
  <si>
    <t>030064563803</t>
  </si>
  <si>
    <t>020078298880</t>
  </si>
  <si>
    <t>700005804250</t>
  </si>
  <si>
    <t>106870441141</t>
  </si>
  <si>
    <t>Sacombank - Long Biên</t>
  </si>
  <si>
    <t>020082403941</t>
  </si>
  <si>
    <t>0351000293423</t>
  </si>
  <si>
    <t>020085045051</t>
  </si>
  <si>
    <t>020085045041</t>
  </si>
  <si>
    <t>020085490274</t>
  </si>
  <si>
    <t>020085490061</t>
  </si>
  <si>
    <t>020087237983</t>
  </si>
  <si>
    <t>020087238025</t>
  </si>
  <si>
    <t>020087627277</t>
  </si>
  <si>
    <t>020087627323</t>
  </si>
  <si>
    <t>020087776744</t>
  </si>
  <si>
    <t>020087766870</t>
  </si>
  <si>
    <t>020087766811</t>
  </si>
  <si>
    <t>020088067161</t>
  </si>
  <si>
    <t>020088067542</t>
  </si>
  <si>
    <t>020088215983</t>
  </si>
  <si>
    <t>020088215851</t>
  </si>
  <si>
    <t>020088216122</t>
  </si>
  <si>
    <t>020088358458</t>
  </si>
  <si>
    <t>020088778686</t>
  </si>
  <si>
    <t>020088908571</t>
  </si>
  <si>
    <t>020088908997</t>
  </si>
  <si>
    <t>020088908725</t>
  </si>
  <si>
    <t>020088908733</t>
  </si>
  <si>
    <t>020089719926</t>
  </si>
  <si>
    <t>020091265101</t>
  </si>
  <si>
    <t>020091264391</t>
  </si>
  <si>
    <t>020091264359</t>
  </si>
  <si>
    <t>020091406048</t>
  </si>
  <si>
    <t>020091387140</t>
  </si>
  <si>
    <t>020091383791</t>
  </si>
  <si>
    <t>020091382807</t>
  </si>
  <si>
    <t>020091403154</t>
  </si>
  <si>
    <t>020091384362</t>
  </si>
  <si>
    <t>Sacombank - Long Biên, Hà Nội</t>
  </si>
  <si>
    <t>020091485681</t>
  </si>
  <si>
    <t>020091482879</t>
  </si>
  <si>
    <t>020078030330</t>
  </si>
  <si>
    <t>Shinhan Bank - Bắc Ninh</t>
  </si>
  <si>
    <t>020092270298</t>
  </si>
  <si>
    <t>020092270379</t>
  </si>
  <si>
    <t>0351001190120</t>
  </si>
  <si>
    <t>1019359091</t>
  </si>
  <si>
    <t>020092270557</t>
  </si>
  <si>
    <t>0351001191757</t>
  </si>
  <si>
    <t>020092270867</t>
  </si>
  <si>
    <t>020092320236</t>
  </si>
  <si>
    <t>020092270591</t>
  </si>
  <si>
    <t>020092270387</t>
  </si>
  <si>
    <t>19033234808016</t>
  </si>
  <si>
    <t>101873034067</t>
  </si>
  <si>
    <t>020093468342</t>
  </si>
  <si>
    <t>BIDV - Bắc Ninh</t>
  </si>
  <si>
    <t>0591000321902</t>
  </si>
  <si>
    <t>Vietcombank - Hưng Yên</t>
  </si>
  <si>
    <t>700004193684</t>
  </si>
  <si>
    <t>Shinbank - Bắc Ninh</t>
  </si>
  <si>
    <t>43210001943212</t>
  </si>
  <si>
    <t>0351000052467</t>
  </si>
  <si>
    <t>100869295928</t>
  </si>
  <si>
    <t>1020491195</t>
  </si>
  <si>
    <t>102006497755</t>
  </si>
  <si>
    <t>107871127269</t>
  </si>
  <si>
    <t>5800163475101</t>
  </si>
  <si>
    <t>MB Bank - Bắc Ninh</t>
  </si>
  <si>
    <t>101873615925</t>
  </si>
  <si>
    <t>1016181233</t>
  </si>
  <si>
    <t>0650120913004</t>
  </si>
  <si>
    <t>Agribank - Bắc Ninh</t>
  </si>
  <si>
    <t>39810001047753</t>
  </si>
  <si>
    <t>Vietcombank</t>
  </si>
  <si>
    <t>1014200201</t>
  </si>
  <si>
    <t>0301000435419</t>
  </si>
  <si>
    <t>0351000816723</t>
  </si>
  <si>
    <t>020099139324</t>
  </si>
  <si>
    <t>3003205173790</t>
  </si>
  <si>
    <t>1026187680</t>
  </si>
  <si>
    <t>0000148486784</t>
  </si>
  <si>
    <t>020099143135</t>
  </si>
  <si>
    <t>105002075909</t>
  </si>
  <si>
    <t>76210001283376</t>
  </si>
  <si>
    <t>102872579819</t>
  </si>
  <si>
    <t>1026262562</t>
  </si>
  <si>
    <t>43210000833833</t>
  </si>
  <si>
    <t>1019436026</t>
  </si>
  <si>
    <t>0911000019695</t>
  </si>
  <si>
    <t>1026289538</t>
  </si>
  <si>
    <t>8411236001995</t>
  </si>
  <si>
    <t>4567820101999</t>
  </si>
  <si>
    <t>1019633600</t>
  </si>
  <si>
    <t>020099141655</t>
  </si>
  <si>
    <t>0351001135698</t>
  </si>
  <si>
    <t>39510000554365</t>
  </si>
  <si>
    <t>19036392466016</t>
  </si>
  <si>
    <t>8410231019634</t>
  </si>
  <si>
    <t>19035020313012</t>
  </si>
  <si>
    <t>19034612059015</t>
  </si>
  <si>
    <t>109867727571</t>
  </si>
  <si>
    <t>700015334149</t>
  </si>
  <si>
    <t>Shinhanbank</t>
  </si>
  <si>
    <t>43210001826641</t>
  </si>
  <si>
    <t>104871301925</t>
  </si>
  <si>
    <t>020085124383</t>
  </si>
  <si>
    <t>Sacombank, Quế Võ</t>
  </si>
  <si>
    <t>102871492348</t>
  </si>
  <si>
    <t>020099139405</t>
  </si>
  <si>
    <t>8707205186546</t>
  </si>
  <si>
    <t>Agribank - Lục Yên, Yên Bái</t>
  </si>
  <si>
    <t>1026449521</t>
  </si>
  <si>
    <t>020099143161</t>
  </si>
  <si>
    <t>020099141124</t>
  </si>
  <si>
    <t>43210002084743</t>
  </si>
  <si>
    <t>107871492449</t>
  </si>
  <si>
    <t>Viettinbank</t>
  </si>
  <si>
    <t>0351001113401</t>
  </si>
  <si>
    <t>0351000913020</t>
  </si>
  <si>
    <t>VIETCOMBANK PGD QUẾ VÕ</t>
  </si>
  <si>
    <t>108001595248</t>
  </si>
  <si>
    <t>19031709586010</t>
  </si>
  <si>
    <t>700006105188</t>
  </si>
  <si>
    <t>Shinh Bank - Bắc Ninh</t>
  </si>
  <si>
    <t>1022251825</t>
  </si>
  <si>
    <t>103871914204</t>
  </si>
  <si>
    <t>Vietinbank</t>
  </si>
  <si>
    <t>BIDV</t>
  </si>
  <si>
    <t>0351000819362</t>
  </si>
  <si>
    <t>102006466159</t>
  </si>
  <si>
    <t>020078030373</t>
  </si>
  <si>
    <t>Techcombank</t>
  </si>
  <si>
    <t>1018031256</t>
  </si>
  <si>
    <t xml:space="preserve">Vietcombank </t>
  </si>
  <si>
    <t>MB Bank</t>
  </si>
  <si>
    <t>1015899564</t>
  </si>
  <si>
    <t>25610001706040</t>
  </si>
  <si>
    <t>0351000915890</t>
  </si>
  <si>
    <t>19035449842013</t>
  </si>
  <si>
    <t>Techcombank - Quế Võ</t>
  </si>
  <si>
    <t>Sacombank</t>
  </si>
  <si>
    <t>0020196070792</t>
  </si>
  <si>
    <t>MBBank</t>
  </si>
  <si>
    <t>43210002090616</t>
  </si>
  <si>
    <t>1012966799</t>
  </si>
  <si>
    <t>2609205073053</t>
  </si>
  <si>
    <t>Agribank - CN Bắc Ninh</t>
  </si>
  <si>
    <t>25610001751730</t>
  </si>
  <si>
    <t>8310205040749</t>
  </si>
  <si>
    <t xml:space="preserve">Agribank </t>
  </si>
  <si>
    <t>106874716893</t>
  </si>
  <si>
    <t>1019746373</t>
  </si>
  <si>
    <t xml:space="preserve">Techcombank </t>
  </si>
  <si>
    <t>102870192609</t>
  </si>
  <si>
    <t>700004285361</t>
  </si>
  <si>
    <t>LienVietPostBank</t>
  </si>
  <si>
    <t>0821000114749</t>
  </si>
  <si>
    <t>700010670007</t>
  </si>
  <si>
    <t xml:space="preserve">Shinhan Bank </t>
  </si>
  <si>
    <t>02995158001</t>
  </si>
  <si>
    <t>TP Bank</t>
  </si>
  <si>
    <t>102875498278</t>
  </si>
  <si>
    <t>0378347935</t>
  </si>
  <si>
    <t>102876263596</t>
  </si>
  <si>
    <t>1019824574</t>
  </si>
  <si>
    <t>020099139456</t>
  </si>
  <si>
    <t>700019371045</t>
  </si>
  <si>
    <t>000979409999</t>
  </si>
  <si>
    <t>105872221697</t>
  </si>
  <si>
    <t>0731000934263</t>
  </si>
  <si>
    <t>8105205117764</t>
  </si>
  <si>
    <t>045933990002</t>
  </si>
  <si>
    <t>0351001185034</t>
  </si>
  <si>
    <t>1029272919</t>
  </si>
  <si>
    <t>0351001151757</t>
  </si>
  <si>
    <t>0351000573389</t>
  </si>
  <si>
    <t>020099137267</t>
  </si>
  <si>
    <t>020088215800</t>
  </si>
  <si>
    <t>020099141396</t>
  </si>
  <si>
    <t>020099143267</t>
  </si>
  <si>
    <t>700012504817</t>
  </si>
  <si>
    <t>700011384910</t>
  </si>
  <si>
    <t>43210001997769</t>
  </si>
  <si>
    <t>19034651250016</t>
  </si>
  <si>
    <t>1022463491</t>
  </si>
  <si>
    <t>370001060001669</t>
  </si>
  <si>
    <t xml:space="preserve">Bắc Á </t>
  </si>
  <si>
    <t>8105205110345</t>
  </si>
  <si>
    <t>020091501180</t>
  </si>
  <si>
    <t>101874084305</t>
  </si>
  <si>
    <t>2602205403425</t>
  </si>
  <si>
    <t>0332896502</t>
  </si>
  <si>
    <t>1023719750</t>
  </si>
  <si>
    <t>43210001002353</t>
  </si>
  <si>
    <t>101870388742</t>
  </si>
  <si>
    <t>1030763852</t>
  </si>
  <si>
    <t>0351001223099</t>
  </si>
  <si>
    <t>0376664697</t>
  </si>
  <si>
    <t>0591001761131</t>
  </si>
  <si>
    <t>700019857530</t>
  </si>
  <si>
    <t>020099143224</t>
  </si>
  <si>
    <t>020097999075</t>
  </si>
  <si>
    <t xml:space="preserve">Sacombank </t>
  </si>
  <si>
    <t>020099426536</t>
  </si>
  <si>
    <t>020099426846</t>
  </si>
  <si>
    <t>020085124571</t>
  </si>
  <si>
    <t>0351000983821</t>
  </si>
  <si>
    <t>020099427044</t>
  </si>
  <si>
    <t>020099426560</t>
  </si>
  <si>
    <t>020099426331</t>
  </si>
  <si>
    <t>020099426552</t>
  </si>
  <si>
    <t>020099426821</t>
  </si>
  <si>
    <t>020099426641</t>
  </si>
  <si>
    <t>020099426651</t>
  </si>
  <si>
    <t>020099426285</t>
  </si>
  <si>
    <t>1031643428</t>
  </si>
  <si>
    <t>020099931559</t>
  </si>
  <si>
    <t>020099932024</t>
  </si>
  <si>
    <t>020099931494</t>
  </si>
  <si>
    <t>020099931540</t>
  </si>
  <si>
    <t>020099932105</t>
  </si>
  <si>
    <t>020099931907</t>
  </si>
  <si>
    <t>020099931893</t>
  </si>
  <si>
    <t>020099932148</t>
  </si>
  <si>
    <t>020099929821</t>
  </si>
  <si>
    <t>020099930307</t>
  </si>
  <si>
    <t>020078031485</t>
  </si>
  <si>
    <t>020078029960</t>
  </si>
  <si>
    <t>43210002106595</t>
  </si>
  <si>
    <t>USD</t>
  </si>
  <si>
    <t>VNĐ</t>
  </si>
  <si>
    <t>I (we) apply for remittance bearing any responsibility under this remittance and also agreeing that is subject to the Bank's terms and conditions and the Government law as well.</t>
  </si>
  <si>
    <t>Đề nghị Ngân hàng chuyển tiền cho chúng tôi theo nội dung dưới đây, chúng tôi cam kết chịu trách nhiệm cũng như tuân theo các qui chế về chuyển tiền của Nhà nước và qui định của Ngân hàng.</t>
  </si>
  <si>
    <t xml:space="preserve">Company Name: Công ty TNHH M&amp;C ELECTRONICS VINA   </t>
  </si>
  <si>
    <t>Debit from Account No: 0351000788899                           and remit to the beneficiary as the following:</t>
  </si>
  <si>
    <t>Prepared by</t>
  </si>
  <si>
    <t>Approved by</t>
  </si>
  <si>
    <t>Nguyễn Thị Duyện</t>
  </si>
  <si>
    <t>Vy Thị Lâm</t>
  </si>
  <si>
    <t>Quách Thị Việt</t>
  </si>
  <si>
    <t>Phạm Văn Ngọc</t>
  </si>
  <si>
    <t>Vi Văn Vĩnh</t>
  </si>
  <si>
    <t>Phan Văn Vũ</t>
  </si>
  <si>
    <t>Giàng Mí Lử</t>
  </si>
  <si>
    <t>Hà Văn Chiến</t>
  </si>
  <si>
    <t>Lò Văn Phong</t>
  </si>
  <si>
    <t>Phạm Văn Tuấn</t>
  </si>
  <si>
    <t>Hà Văn Puông</t>
  </si>
  <si>
    <t>Nông Thị Lý</t>
  </si>
  <si>
    <t>Vi Thị Tính</t>
  </si>
  <si>
    <t>Phạm Thị Huyền Trinh</t>
  </si>
  <si>
    <t>Ngân Thị Hoa</t>
  </si>
  <si>
    <t>Lộc Văn Mậu</t>
  </si>
  <si>
    <t>Trần Thị Chương</t>
  </si>
  <si>
    <t>Lô Thị Hồng Nhung</t>
  </si>
  <si>
    <t>Lê Thị Bích Nhuần</t>
  </si>
  <si>
    <t>Lê Văn Sơn</t>
  </si>
  <si>
    <t>Phạm Văn Thuần</t>
  </si>
  <si>
    <t>Nguyễn Văn Chính</t>
  </si>
  <si>
    <t>Lê Thị Hồng</t>
  </si>
  <si>
    <t>Quan Văn Cao</t>
  </si>
  <si>
    <t>Bùi Ngọc Cương</t>
  </si>
  <si>
    <t>Hoàng Thị Cương</t>
  </si>
  <si>
    <t>Bùi Minh Thế</t>
  </si>
  <si>
    <t>Hoàng Đoạn An</t>
  </si>
  <si>
    <t>Nông Thị Hồng</t>
  </si>
  <si>
    <t>Quan Thị Huế</t>
  </si>
  <si>
    <t>Lê Văn Nguyên</t>
  </si>
  <si>
    <t>Lô Văn Cóng</t>
  </si>
  <si>
    <t>Lò Văn Luân</t>
  </si>
  <si>
    <t>Hà Văn Hùng</t>
  </si>
  <si>
    <t>Lò Thị Hoa</t>
  </si>
  <si>
    <t>Lường Thị Hà</t>
  </si>
  <si>
    <t>La Thị Ngoan</t>
  </si>
  <si>
    <t>Dương Thị Bích</t>
  </si>
  <si>
    <t>Hoàng Thị Bắc</t>
  </si>
  <si>
    <t>Hà Thị Mầu</t>
  </si>
  <si>
    <t>Lò Văn Tuấn</t>
  </si>
  <si>
    <t>Bùi Trung Tuyến</t>
  </si>
  <si>
    <t>Hà Thị Uyên</t>
  </si>
  <si>
    <t>Lý Thị Hằng</t>
  </si>
  <si>
    <t>Hà Văn Trường</t>
  </si>
  <si>
    <t>Trần Thị Yến</t>
  </si>
  <si>
    <t>Lữ Thị Mười</t>
  </si>
  <si>
    <t>Bùi Văn Kiềm</t>
  </si>
  <si>
    <t>Lữ Văn Thân</t>
  </si>
  <si>
    <t>Bùi Văn Chiểu</t>
  </si>
  <si>
    <t>Dương Thị Lệ</t>
  </si>
  <si>
    <t>Bùi Văn Hạnh</t>
  </si>
  <si>
    <t>Lê Viết Cường</t>
  </si>
  <si>
    <t>Lộc Thị Giang</t>
  </si>
  <si>
    <t>Bùi Văn Hiệp</t>
  </si>
  <si>
    <t>Vi Văn Đạt</t>
  </si>
  <si>
    <t>Kiềng Thị Lệ</t>
  </si>
  <si>
    <t>Nông Văn Đạt</t>
  </si>
  <si>
    <t>Bùi Văn Lương</t>
  </si>
  <si>
    <t>Ngân Văn Hạnh</t>
  </si>
  <si>
    <t>Đàm Văn Minh</t>
  </si>
  <si>
    <t>Bùi Công Hoàng</t>
  </si>
  <si>
    <t>Trần Thị Hoài</t>
  </si>
  <si>
    <t>Nông Văn Mạnh</t>
  </si>
  <si>
    <t>Nguyễn Thành Việt</t>
  </si>
  <si>
    <t>Nông Thị Chính</t>
  </si>
  <si>
    <t>Hoàng Thị Phường</t>
  </si>
  <si>
    <t>Hoàng Khắc Vui</t>
  </si>
  <si>
    <t>Lữ Hồng Sơn</t>
  </si>
  <si>
    <t>Quan Văn Quân</t>
  </si>
  <si>
    <t>Hà Đình Danh</t>
  </si>
  <si>
    <t>Trần Văn Dũng</t>
  </si>
  <si>
    <t>Nguyễn Sư Công</t>
  </si>
  <si>
    <t>Nguyễn Thị Thủy</t>
  </si>
  <si>
    <t>Hoàng Thị Tố Quyên</t>
  </si>
  <si>
    <t>Hạng A Lềnh</t>
  </si>
  <si>
    <t>Nguyễn Tiến Mão</t>
  </si>
  <si>
    <t>Đinh Văn Hiền</t>
  </si>
  <si>
    <t>Xìn Văn Úy</t>
  </si>
  <si>
    <t>Quách Văn Hùng</t>
  </si>
  <si>
    <t>Lục Văn Cheng</t>
  </si>
  <si>
    <t>Quan Thị Xuân</t>
  </si>
  <si>
    <t>Hà Thị Đào</t>
  </si>
  <si>
    <t>Nguyễn Thị Trang</t>
  </si>
  <si>
    <t>Trần Đình Quân</t>
  </si>
  <si>
    <t>Cao Văn Hào</t>
  </si>
  <si>
    <t>Phạm Văn Thái</t>
  </si>
  <si>
    <t>Lò Thị Tuyến</t>
  </si>
  <si>
    <t>Quách Văn Sơn</t>
  </si>
  <si>
    <t>Phạm Duy Hoàng</t>
  </si>
  <si>
    <t>Dương Văn Cương</t>
  </si>
  <si>
    <t>Nguyễn Minh Hiếu</t>
  </si>
  <si>
    <t>Lê Hồng Minh</t>
  </si>
  <si>
    <t>Trịnh Văn Hưng</t>
  </si>
  <si>
    <t>Nguyễn Hồng Phong</t>
  </si>
  <si>
    <t>Trần Ngọc Hưởng</t>
  </si>
  <si>
    <t>Triệu Văn Ký</t>
  </si>
  <si>
    <t>Nguyễn Văn Thống</t>
  </si>
  <si>
    <t>Hoàng Văn Thín</t>
  </si>
  <si>
    <t>Lù Thị Minh</t>
  </si>
  <si>
    <t>Nguyễn Thu Nghĩa</t>
  </si>
  <si>
    <t>Lê Thành Công</t>
  </si>
  <si>
    <t>Lô Ngọc Hồi</t>
  </si>
  <si>
    <t>Tô Thị Làn</t>
  </si>
  <si>
    <t>Dương Thời Đường</t>
  </si>
  <si>
    <t>Hoàng Thị Nội</t>
  </si>
  <si>
    <t>Phạm Văn Tình</t>
  </si>
  <si>
    <t>Ma Văn Sinh</t>
  </si>
  <si>
    <t>Trần Anh Phú</t>
  </si>
  <si>
    <t>Lường Văn Thịnh</t>
  </si>
  <si>
    <t>Bùi Văn Luật</t>
  </si>
  <si>
    <t>Bùi Thị Giang</t>
  </si>
  <si>
    <t>Ly Thị Chợ</t>
  </si>
  <si>
    <t>Hoàng Hữu Phong</t>
  </si>
  <si>
    <t>Phạm Thị Duyên</t>
  </si>
  <si>
    <t>Nguyễn Văn Đạt</t>
  </si>
  <si>
    <t>Bùi Văn Cường</t>
  </si>
  <si>
    <t>Phạm Văn Hiền</t>
  </si>
  <si>
    <t>Hà Thị Bình</t>
  </si>
  <si>
    <t>Hoàng Văn Quy</t>
  </si>
  <si>
    <t>Hoàng Văn Đô</t>
  </si>
  <si>
    <t>Bùi Văn Vựng</t>
  </si>
  <si>
    <t>Nghinh Văn Kiên</t>
  </si>
  <si>
    <t>Hạng A Chứ</t>
  </si>
  <si>
    <t>Lê Thị Thảo</t>
  </si>
  <si>
    <t>Đỗ Đình Quang</t>
  </si>
  <si>
    <t>Trần Văn Khởi</t>
  </si>
  <si>
    <t>Phạm Quốc Trung</t>
  </si>
  <si>
    <t>Dương Công Đại</t>
  </si>
  <si>
    <t>Nguyễn Thị Tuyết</t>
  </si>
  <si>
    <t>Võ Sĩ Luân</t>
  </si>
  <si>
    <t>Phạm Văn Chinh</t>
  </si>
  <si>
    <t>Phạm Thị Thành</t>
  </si>
  <si>
    <t>Ma Dương Hiệp</t>
  </si>
  <si>
    <t>Lâm Quang Thấm</t>
  </si>
  <si>
    <t>Bàn Văn Phương</t>
  </si>
  <si>
    <t>Cung Văn Nguyện</t>
  </si>
  <si>
    <t>Lò Văn Tiến</t>
  </si>
  <si>
    <t>Phạm Văn Thơm</t>
  </si>
  <si>
    <t>Phan Văn Giai</t>
  </si>
  <si>
    <t>Nông Văn Ơn</t>
  </si>
  <si>
    <t>Phan Thị Tuyền</t>
  </si>
  <si>
    <t>Trần Duy Phương</t>
  </si>
  <si>
    <t>Hoàng Thị Vương</t>
  </si>
  <si>
    <t>Nguyễn Văn Hội</t>
  </si>
  <si>
    <t>Chu Phương Anh</t>
  </si>
  <si>
    <t>Tạ Văn Hòa</t>
  </si>
  <si>
    <t>Mua hàng</t>
  </si>
  <si>
    <t>Đúc 2</t>
  </si>
  <si>
    <t>XNK</t>
  </si>
  <si>
    <t>1041529827</t>
  </si>
  <si>
    <t>43210002090670</t>
  </si>
  <si>
    <t>0351000977110</t>
  </si>
  <si>
    <t>020101108113</t>
  </si>
  <si>
    <t>020078026236</t>
  </si>
  <si>
    <t>020092270492</t>
  </si>
  <si>
    <t>020101099531</t>
  </si>
  <si>
    <t>020101100211</t>
  </si>
  <si>
    <t>020101104363</t>
  </si>
  <si>
    <t>020101104681</t>
  </si>
  <si>
    <t>020101104861</t>
  </si>
  <si>
    <t>020101105564</t>
  </si>
  <si>
    <t>020101106498</t>
  </si>
  <si>
    <t>020101106935</t>
  </si>
  <si>
    <t>020101107151</t>
  </si>
  <si>
    <t>020101107192</t>
  </si>
  <si>
    <t>020101107338</t>
  </si>
  <si>
    <t>020101107370</t>
  </si>
  <si>
    <t>030084046112</t>
  </si>
  <si>
    <t>020101100333</t>
  </si>
  <si>
    <t>020101100481</t>
  </si>
  <si>
    <t>020101100562</t>
  </si>
  <si>
    <t>020101100805</t>
  </si>
  <si>
    <t>020101101240</t>
  </si>
  <si>
    <t>020101101437</t>
  </si>
  <si>
    <t>020101102069</t>
  </si>
  <si>
    <t>020101102107</t>
  </si>
  <si>
    <t>020101117899</t>
  </si>
  <si>
    <t>020101117961</t>
  </si>
  <si>
    <t>020101118003</t>
  </si>
  <si>
    <t>020101118046</t>
  </si>
  <si>
    <t>020101118062</t>
  </si>
  <si>
    <t>020101118658</t>
  </si>
  <si>
    <t>020096762233</t>
  </si>
  <si>
    <t>020101115241</t>
  </si>
  <si>
    <t>020101115659</t>
  </si>
  <si>
    <t>020101120768</t>
  </si>
  <si>
    <t>020101120008</t>
  </si>
  <si>
    <t>020101120199</t>
  </si>
  <si>
    <t>020101514022</t>
  </si>
  <si>
    <t>020101514121</t>
  </si>
  <si>
    <t>020101514529</t>
  </si>
  <si>
    <t>020101515551</t>
  </si>
  <si>
    <t>020101515711</t>
  </si>
  <si>
    <t>020101521053</t>
  </si>
  <si>
    <t>020101521282</t>
  </si>
  <si>
    <t>020101521606</t>
  </si>
  <si>
    <t>020101521691</t>
  </si>
  <si>
    <t>020101522130</t>
  </si>
  <si>
    <t>020101538282</t>
  </si>
  <si>
    <t>020080217782</t>
  </si>
  <si>
    <t>020089713200</t>
  </si>
  <si>
    <t>020101538681</t>
  </si>
  <si>
    <t>020101946631</t>
  </si>
  <si>
    <t>020101946674</t>
  </si>
  <si>
    <t>020101946763</t>
  </si>
  <si>
    <t>020101947786</t>
  </si>
  <si>
    <t>020101947931</t>
  </si>
  <si>
    <t>020101948340</t>
  </si>
  <si>
    <t>020078029324</t>
  </si>
  <si>
    <t>020102995628</t>
  </si>
  <si>
    <t>020102995784</t>
  </si>
  <si>
    <t>020102997388</t>
  </si>
  <si>
    <t>020102997973</t>
  </si>
  <si>
    <t>020103000697</t>
  </si>
  <si>
    <t>020103000921</t>
  </si>
  <si>
    <t>1016025151</t>
  </si>
  <si>
    <t>020103001510</t>
  </si>
  <si>
    <t>020103001626</t>
  </si>
  <si>
    <t>020103001650</t>
  </si>
  <si>
    <t>020103001677</t>
  </si>
  <si>
    <t>020103001707</t>
  </si>
  <si>
    <t>0961435867</t>
  </si>
  <si>
    <t>0385795453</t>
  </si>
  <si>
    <t>020078030901</t>
  </si>
  <si>
    <t>1012955701</t>
  </si>
  <si>
    <t>020103001898</t>
  </si>
  <si>
    <t>020103001944</t>
  </si>
  <si>
    <t>020103426661</t>
  </si>
  <si>
    <t>700029067750</t>
  </si>
  <si>
    <t>020103426805</t>
  </si>
  <si>
    <t>1029089924</t>
  </si>
  <si>
    <t>020103428751</t>
  </si>
  <si>
    <t>020103428824</t>
  </si>
  <si>
    <t>020078028530</t>
  </si>
  <si>
    <t>020103429472</t>
  </si>
  <si>
    <t>020078031582</t>
  </si>
  <si>
    <t>Sacombank-CN Long Biên, Hà Nội</t>
  </si>
  <si>
    <t>020103655881</t>
  </si>
  <si>
    <t>020103656436</t>
  </si>
  <si>
    <t>020103430659</t>
  </si>
  <si>
    <t>020103656861</t>
  </si>
  <si>
    <t>103873002494</t>
  </si>
  <si>
    <t>020103430772</t>
  </si>
  <si>
    <t>020103656908</t>
  </si>
  <si>
    <t>020101105637</t>
  </si>
  <si>
    <t>020103432112</t>
  </si>
  <si>
    <t>020103432120</t>
  </si>
  <si>
    <t>Agribank</t>
  </si>
  <si>
    <t>020103432244</t>
  </si>
  <si>
    <t>020103657076</t>
  </si>
  <si>
    <t>020103657149</t>
  </si>
  <si>
    <t>020103433348</t>
  </si>
  <si>
    <t>020103430888</t>
  </si>
  <si>
    <t>020103431231</t>
  </si>
  <si>
    <t>1029388025</t>
  </si>
  <si>
    <t>0351000613411</t>
  </si>
  <si>
    <t>020103431469</t>
  </si>
  <si>
    <t>020103431477</t>
  </si>
  <si>
    <t>1012807507</t>
  </si>
  <si>
    <t xml:space="preserve">020104284842 </t>
  </si>
  <si>
    <t xml:space="preserve">020104285660 </t>
  </si>
  <si>
    <t xml:space="preserve">020104285679 </t>
  </si>
  <si>
    <t xml:space="preserve">020104285792 </t>
  </si>
  <si>
    <t xml:space="preserve">020104285921 </t>
  </si>
  <si>
    <t>020104285938</t>
  </si>
  <si>
    <t xml:space="preserve">020104285962 </t>
  </si>
  <si>
    <t>102878812652</t>
  </si>
  <si>
    <t>0867816694</t>
  </si>
  <si>
    <t>VPBank</t>
  </si>
  <si>
    <t xml:space="preserve">020104286233 </t>
  </si>
  <si>
    <t xml:space="preserve">020104286284 </t>
  </si>
  <si>
    <t xml:space="preserve">020104286314 </t>
  </si>
  <si>
    <t>8850025869</t>
  </si>
  <si>
    <t>103870379601</t>
  </si>
  <si>
    <t>1035373798</t>
  </si>
  <si>
    <t xml:space="preserve">020104286403 </t>
  </si>
  <si>
    <t xml:space="preserve">020104286535 </t>
  </si>
  <si>
    <t xml:space="preserve">020104287248 </t>
  </si>
  <si>
    <t>020101108131</t>
  </si>
  <si>
    <t xml:space="preserve">020104287345 </t>
  </si>
  <si>
    <t xml:space="preserve">020104287711 </t>
  </si>
  <si>
    <t xml:space="preserve">020104287736 </t>
  </si>
  <si>
    <t xml:space="preserve">020104288244 </t>
  </si>
  <si>
    <t xml:space="preserve">020104288880 </t>
  </si>
  <si>
    <t xml:space="preserve">020104288902 </t>
  </si>
  <si>
    <t>100005377594</t>
  </si>
  <si>
    <t>020078030950</t>
  </si>
  <si>
    <t>2142127329</t>
  </si>
  <si>
    <t>3510205475377</t>
  </si>
  <si>
    <t>104870388790</t>
  </si>
  <si>
    <t>0351001163147</t>
  </si>
  <si>
    <t>1029343361</t>
  </si>
  <si>
    <t>0351001138136</t>
  </si>
  <si>
    <t>106868629945</t>
  </si>
  <si>
    <t>1025384042</t>
  </si>
  <si>
    <t>TPBank</t>
  </si>
  <si>
    <t>1013363164</t>
  </si>
  <si>
    <t>1043035535</t>
  </si>
  <si>
    <t>103871107529</t>
  </si>
  <si>
    <t>0341007123114</t>
  </si>
  <si>
    <t>1031263268</t>
  </si>
  <si>
    <t>0351001077035</t>
  </si>
  <si>
    <t>0731000624913</t>
  </si>
  <si>
    <t>1017412764</t>
  </si>
  <si>
    <t>0351001187424</t>
  </si>
  <si>
    <t>PT</t>
  </si>
  <si>
    <t>Đồng Văn Trường</t>
  </si>
  <si>
    <t>Hứa Thị Oanh</t>
  </si>
  <si>
    <t>Trần Thị Duyên</t>
  </si>
  <si>
    <t>Bùi Thị Dung</t>
  </si>
  <si>
    <t>Hứa Phan Thị Vân</t>
  </si>
  <si>
    <t>Hoàng Văn Thơ</t>
  </si>
  <si>
    <t>Sằm Thị Đồng</t>
  </si>
  <si>
    <t>Triệu Thị Mai Bắc</t>
  </si>
  <si>
    <t>Vi Văn Nghĩa</t>
  </si>
  <si>
    <t>Hoàng Thị Lan Hương</t>
  </si>
  <si>
    <t>Hoàng Thị Hiến</t>
  </si>
  <si>
    <t>Lương Thị Minh</t>
  </si>
  <si>
    <t>Ngân Văn Táo</t>
  </si>
  <si>
    <t>Phạm Thị Quyên</t>
  </si>
  <si>
    <t>Dương Công Tiếp</t>
  </si>
  <si>
    <t>Lang Thị Duyên</t>
  </si>
  <si>
    <t>Vũ Văn Khánh</t>
  </si>
  <si>
    <t>Nguyễn Đức Anh</t>
  </si>
  <si>
    <t>Lê Quang Hậu</t>
  </si>
  <si>
    <t>Bùi Văn Tuyền</t>
  </si>
  <si>
    <t>Hà Thị Dung</t>
  </si>
  <si>
    <t>Nông Văn Lớn</t>
  </si>
  <si>
    <t>Dương Thị Mến</t>
  </si>
  <si>
    <t>Vi Mạnh Cường</t>
  </si>
  <si>
    <t>Hứa Thị Hợp</t>
  </si>
  <si>
    <t>Trần Xuân Lực</t>
  </si>
  <si>
    <t>Hoàng Xuân Đông</t>
  </si>
  <si>
    <t>Hà Văn Tâm</t>
  </si>
  <si>
    <t>Ma Thị Dung</t>
  </si>
  <si>
    <t>Hà Thị Kim</t>
  </si>
  <si>
    <t>Hà Văn Liệu</t>
  </si>
  <si>
    <t>Lục Thị Vân</t>
  </si>
  <si>
    <t>Phạm Hữu Thuận</t>
  </si>
  <si>
    <t>Hà Văn Long</t>
  </si>
  <si>
    <t>Vàng Thị Vĩnh</t>
  </si>
  <si>
    <t>Nguyễn Hùng Cường</t>
  </si>
  <si>
    <t>Hoàng Văn Nhất</t>
  </si>
  <si>
    <t>Bùi Văn Cương</t>
  </si>
  <si>
    <t>Phan Thị Tiêu</t>
  </si>
  <si>
    <t>Chảo Lở Mẩy</t>
  </si>
  <si>
    <t>Trần Thị Hoa</t>
  </si>
  <si>
    <t>Nguyễn Bá Quảng</t>
  </si>
  <si>
    <t>Lương Minh Quân</t>
  </si>
  <si>
    <t>Quan Văn Lượng</t>
  </si>
  <si>
    <t>Lý Bảo Sơn</t>
  </si>
  <si>
    <t>Lường Đình Nhanh</t>
  </si>
  <si>
    <t>Dương Công Anh</t>
  </si>
  <si>
    <t>Vương Hồng Lê</t>
  </si>
  <si>
    <t>Vương Thành Vươn</t>
  </si>
  <si>
    <t>Sùng Chính Thương</t>
  </si>
  <si>
    <t>Vi Thị Duyệt</t>
  </si>
  <si>
    <t>Nguyễn Thành Sơn</t>
  </si>
  <si>
    <t>Lô Thị Dương</t>
  </si>
  <si>
    <t>Kim Thị Thu</t>
  </si>
  <si>
    <t>Lê Thị Luyến</t>
  </si>
  <si>
    <t>Hà Văn Thiêm</t>
  </si>
  <si>
    <t>Hà Văn Tú</t>
  </si>
  <si>
    <t>Hà Minh Tiến</t>
  </si>
  <si>
    <t>Kha Văn Hắng</t>
  </si>
  <si>
    <t>Nguyễn Thị Quyên</t>
  </si>
  <si>
    <t>Mạc Văn Huyết</t>
  </si>
  <si>
    <t>Hà Thị Như</t>
  </si>
  <si>
    <t>Hà Thị Huyền</t>
  </si>
  <si>
    <t>Phạm Văn Hùng</t>
  </si>
  <si>
    <t>Nông Thị Lành</t>
  </si>
  <si>
    <t>Lương Văn Thính</t>
  </si>
  <si>
    <t>Bùi Minh Dương</t>
  </si>
  <si>
    <t>Vũ Thị Thùy</t>
  </si>
  <si>
    <t>Lê Thị Thùy Loan</t>
  </si>
  <si>
    <t>Hoàng Thế Chương</t>
  </si>
  <si>
    <t>Lý A Gia</t>
  </si>
  <si>
    <t>Hoàng Văn Nghiệp</t>
  </si>
  <si>
    <t>Nông Thị Mới</t>
  </si>
  <si>
    <t>Triệu Thị Thu Mến</t>
  </si>
  <si>
    <t>Thào Văn Thành</t>
  </si>
  <si>
    <t>Bùi Thị Như Cảnh</t>
  </si>
  <si>
    <t>Hoàng Văn Thạch</t>
  </si>
  <si>
    <t>Sủng A Sở</t>
  </si>
  <si>
    <t>Vũ Văn Quân</t>
  </si>
  <si>
    <t>Lê Thị Hương Ly</t>
  </si>
  <si>
    <t>Lê Đăng Sơn</t>
  </si>
  <si>
    <t>Bùi Thị Vui</t>
  </si>
  <si>
    <t>Lý Thị Vân</t>
  </si>
  <si>
    <t>Thào Thị Cang</t>
  </si>
  <si>
    <t>Lê Mạnh Cường</t>
  </si>
  <si>
    <t>Hà Thị Lợi</t>
  </si>
  <si>
    <t>Bùi Văn Công</t>
  </si>
  <si>
    <t>Đinh Thị Thoan</t>
  </si>
  <si>
    <t>Nông Văn Toàn</t>
  </si>
  <si>
    <t>Bùi Văn Tứ</t>
  </si>
  <si>
    <t>Nguyễn Thành Đông</t>
  </si>
  <si>
    <t>Lương Tiểu Vương</t>
  </si>
  <si>
    <t>Lục Thị Quý</t>
  </si>
  <si>
    <t>Luận Thị Uyên</t>
  </si>
  <si>
    <t>Nguyễn Văn Hảo</t>
  </si>
  <si>
    <t>Nông Thị Thương</t>
  </si>
  <si>
    <t>Lường Thị Hồng</t>
  </si>
  <si>
    <t>Phón Văn Trường</t>
  </si>
  <si>
    <t>Lường Văn Thơ</t>
  </si>
  <si>
    <t>Lê Thanh Nhàn</t>
  </si>
  <si>
    <t>Bùi Văn Long</t>
  </si>
  <si>
    <t>Nguyễn Văn Bội</t>
  </si>
  <si>
    <t>Phùng Thị Huế</t>
  </si>
  <si>
    <t>Lương Ngọc Khánh</t>
  </si>
  <si>
    <t>Nguyễn Thị Tươi</t>
  </si>
  <si>
    <t>Ngô Bá Huấn</t>
  </si>
  <si>
    <t>Lương Thị Hằng</t>
  </si>
  <si>
    <t>Triệu Thị Chẹ</t>
  </si>
  <si>
    <t>Nguyễn Công Vinh</t>
  </si>
  <si>
    <t>Triệu Phúc Quân</t>
  </si>
  <si>
    <t>Bùi Thảo Nhi</t>
  </si>
  <si>
    <t>Nông Văn Giang</t>
  </si>
  <si>
    <t>Bàn Văn Thu</t>
  </si>
  <si>
    <t>La Kim An</t>
  </si>
  <si>
    <t>Nông Văn Ngọc</t>
  </si>
  <si>
    <t>Lò Văn Khẩn</t>
  </si>
  <si>
    <t>Lò Văn Sáu</t>
  </si>
  <si>
    <t>Hoàng Thị Diễm</t>
  </si>
  <si>
    <t>Triệu Cằn Nhất</t>
  </si>
  <si>
    <t>Hoàng Văn Chân</t>
  </si>
  <si>
    <t>Triệu Văn Huân</t>
  </si>
  <si>
    <t>Quách Hùng Dũng</t>
  </si>
  <si>
    <t>Trần Văn Phiên</t>
  </si>
  <si>
    <t>Hoàng Văn Hoạch</t>
  </si>
  <si>
    <t>Hứa Văn Đồng</t>
  </si>
  <si>
    <t>Cù Thị Thúy Hiền</t>
  </si>
  <si>
    <t>Hoàng Đức Cường</t>
  </si>
  <si>
    <t>Trần Văn Tuấn</t>
  </si>
  <si>
    <t>Nguyễn Trọng Triệu</t>
  </si>
  <si>
    <t>Dương Thị Hạnh</t>
  </si>
  <si>
    <t>Nguyễn Khắc Huấn</t>
  </si>
  <si>
    <t>Nguyễn Văn Điểm</t>
  </si>
  <si>
    <t>Nguyễn Thị Ngọc Mai</t>
  </si>
  <si>
    <t>Nguyễn Thị Mỹ Lệ</t>
  </si>
  <si>
    <t>Nguyễn Tài Mạnh</t>
  </si>
  <si>
    <t>Hà Thị Thu Diệu</t>
  </si>
  <si>
    <t>0650120845009</t>
  </si>
  <si>
    <t xml:space="preserve">MB Bank </t>
  </si>
  <si>
    <t>321990999999</t>
  </si>
  <si>
    <t>020078032295</t>
  </si>
  <si>
    <t>020078031248</t>
  </si>
  <si>
    <t>46110000404295</t>
  </si>
  <si>
    <t>BIDV - CN Bắc Hải Dương</t>
  </si>
  <si>
    <t>0971668004</t>
  </si>
  <si>
    <t>103881750014</t>
  </si>
  <si>
    <t>700030337791</t>
  </si>
  <si>
    <t>0351001077856</t>
  </si>
  <si>
    <t>Vietcombank- Bắc Ninh</t>
  </si>
  <si>
    <t>0943243222</t>
  </si>
  <si>
    <t>043566700002</t>
  </si>
  <si>
    <t>105878301557</t>
  </si>
  <si>
    <t>ViettinBank</t>
  </si>
  <si>
    <t>1012792108</t>
  </si>
  <si>
    <t>1319918899</t>
  </si>
  <si>
    <t>9961316795</t>
  </si>
  <si>
    <t>1019435991</t>
  </si>
  <si>
    <t>0351001075460</t>
  </si>
  <si>
    <t>0351001077161</t>
  </si>
  <si>
    <t>1025787399</t>
  </si>
  <si>
    <t>1026171074</t>
  </si>
  <si>
    <t>4323524163</t>
  </si>
  <si>
    <t>1016795818</t>
  </si>
  <si>
    <t>2141446119</t>
  </si>
  <si>
    <t>0461000551410</t>
  </si>
  <si>
    <t>072356240001</t>
  </si>
  <si>
    <t>LP Bank</t>
  </si>
  <si>
    <t>0351000993010</t>
  </si>
  <si>
    <t>60904041999</t>
  </si>
  <si>
    <t>0481000795000</t>
  </si>
  <si>
    <t>3710908728</t>
  </si>
  <si>
    <t>104866716179</t>
  </si>
  <si>
    <t>106875778146</t>
  </si>
  <si>
    <t>102875778807</t>
  </si>
  <si>
    <t>25610004486606</t>
  </si>
  <si>
    <t>4321450606</t>
  </si>
  <si>
    <t>1022599587</t>
  </si>
  <si>
    <t>104871996536</t>
  </si>
  <si>
    <t>0982466325</t>
  </si>
  <si>
    <t>1045047898</t>
  </si>
  <si>
    <t>0964286978</t>
  </si>
  <si>
    <t>0399820301</t>
  </si>
  <si>
    <t>0358066956</t>
  </si>
  <si>
    <t>4323402320</t>
  </si>
  <si>
    <t>1019865015</t>
  </si>
  <si>
    <t>2501215229068</t>
  </si>
  <si>
    <t>7908236006488</t>
  </si>
  <si>
    <t>2601511962</t>
  </si>
  <si>
    <t>9356661554</t>
  </si>
  <si>
    <t>1045084092</t>
  </si>
  <si>
    <t>108881301853</t>
  </si>
  <si>
    <t>0981194069</t>
  </si>
  <si>
    <t>5012675496</t>
  </si>
  <si>
    <t>51110000814977</t>
  </si>
  <si>
    <t>0347004492</t>
  </si>
  <si>
    <t>0383871425</t>
  </si>
  <si>
    <t>1023708599</t>
  </si>
  <si>
    <t>1024139667</t>
  </si>
  <si>
    <t>3450593220</t>
  </si>
  <si>
    <t>1037768440</t>
  </si>
  <si>
    <t>585120519999</t>
  </si>
  <si>
    <t>101002530979</t>
  </si>
  <si>
    <t>0731000726248</t>
  </si>
  <si>
    <t>1018391158</t>
  </si>
  <si>
    <t>3509205062217</t>
  </si>
  <si>
    <t>1030043205</t>
  </si>
  <si>
    <t>38386996789</t>
  </si>
  <si>
    <t>HD Bank</t>
  </si>
  <si>
    <t>0819252245</t>
  </si>
  <si>
    <t>078232190001</t>
  </si>
  <si>
    <t>258086837</t>
  </si>
  <si>
    <t>VP Bank</t>
  </si>
  <si>
    <t>43210002099640</t>
  </si>
  <si>
    <t>105872966322</t>
  </si>
  <si>
    <t>0821000164681</t>
  </si>
  <si>
    <t>0341007011639</t>
  </si>
  <si>
    <t>0351001030607</t>
  </si>
  <si>
    <t>9917436534</t>
  </si>
  <si>
    <t>108868630055</t>
  </si>
  <si>
    <t>700019039954</t>
  </si>
  <si>
    <t>0351000736330</t>
  </si>
  <si>
    <t>0351001176146</t>
  </si>
  <si>
    <t>8809205139747</t>
  </si>
  <si>
    <t>0591000404336</t>
  </si>
  <si>
    <t>700020325621</t>
  </si>
  <si>
    <t>1039588109</t>
  </si>
  <si>
    <t>1124102001</t>
  </si>
  <si>
    <t>107875233244</t>
  </si>
  <si>
    <t>8310205080868</t>
  </si>
  <si>
    <t>Agribank - Cao Bằng</t>
  </si>
  <si>
    <t>12345678966204</t>
  </si>
  <si>
    <t>1029920165</t>
  </si>
  <si>
    <t>2609205234233</t>
  </si>
  <si>
    <t>100879251174</t>
  </si>
  <si>
    <t>0334696289</t>
  </si>
  <si>
    <t>1026759042</t>
  </si>
  <si>
    <t>8821571883</t>
  </si>
  <si>
    <t>105876968122</t>
  </si>
  <si>
    <t>1023207002</t>
  </si>
  <si>
    <t>0351001206859</t>
  </si>
  <si>
    <t>1030900394</t>
  </si>
  <si>
    <t>4321767342</t>
  </si>
  <si>
    <t>700020325613</t>
  </si>
  <si>
    <t>107878820796</t>
  </si>
  <si>
    <t>0356498686</t>
  </si>
  <si>
    <t>106875246315</t>
  </si>
  <si>
    <t>0351001066489</t>
  </si>
  <si>
    <t>1025576150</t>
  </si>
  <si>
    <t>19038484714019</t>
  </si>
  <si>
    <t>101870596712</t>
  </si>
  <si>
    <t>52961993666888</t>
  </si>
  <si>
    <t>0351000865144</t>
  </si>
  <si>
    <t>103871240384</t>
  </si>
  <si>
    <t>0351000899765</t>
  </si>
  <si>
    <t>020101538835</t>
  </si>
  <si>
    <t>3711748583</t>
  </si>
  <si>
    <t>0563244022</t>
  </si>
  <si>
    <t>1044934568</t>
  </si>
  <si>
    <t>106873791002</t>
  </si>
  <si>
    <t>102871240619</t>
  </si>
  <si>
    <t>1041722851</t>
  </si>
  <si>
    <t>19050227105011</t>
  </si>
  <si>
    <t>700015441069</t>
  </si>
  <si>
    <t>3950476502</t>
  </si>
  <si>
    <t>3509205154300</t>
  </si>
  <si>
    <t>1047557196</t>
  </si>
  <si>
    <t>1016854430</t>
  </si>
  <si>
    <t>8812850460</t>
  </si>
  <si>
    <t>0002030921693</t>
  </si>
  <si>
    <t>4181205200</t>
  </si>
  <si>
    <t>8603205129298</t>
  </si>
  <si>
    <t>8603205124525</t>
  </si>
  <si>
    <t>106871286287</t>
  </si>
  <si>
    <t>0356097858</t>
  </si>
  <si>
    <t>8802992990</t>
  </si>
  <si>
    <t>4323217694</t>
  </si>
  <si>
    <t>8105205079795</t>
  </si>
  <si>
    <t>8105281003592</t>
  </si>
  <si>
    <t>4224032005</t>
  </si>
  <si>
    <t>8882827463</t>
  </si>
  <si>
    <t>0337688683</t>
  </si>
  <si>
    <t>2143699168</t>
  </si>
  <si>
    <t>020081486981</t>
  </si>
  <si>
    <t>0801000264464</t>
  </si>
  <si>
    <t>0871004211808</t>
  </si>
  <si>
    <t>0351000935058</t>
  </si>
  <si>
    <t>6202091992</t>
  </si>
  <si>
    <t>97272626789</t>
  </si>
  <si>
    <t>102003659724</t>
  </si>
  <si>
    <t>1043296062</t>
  </si>
  <si>
    <t>19033857743012</t>
  </si>
  <si>
    <t>0343943551</t>
  </si>
  <si>
    <t>8851689642</t>
  </si>
  <si>
    <t>PAYROLL SLIP IN JAN - 2026 (From 21/12/2025-20/01/2026)</t>
  </si>
  <si>
    <t>(PAY DATE: 30-Jan-2026)</t>
  </si>
  <si>
    <t>Salary table 1
(21.Dec-31.Dec.2025)</t>
  </si>
  <si>
    <t>Salary table 2
(01.Jan-20.Jan.2026)</t>
  </si>
  <si>
    <t>Tel: 0222 3952000</t>
  </si>
  <si>
    <t xml:space="preserve">Address: Lô J1, KCN Quế Võ (khu vực mở rộng), Phường Phương Liễu, Tỉnh Bắc Ninh </t>
  </si>
  <si>
    <t>Hoàng Kiều Vân</t>
  </si>
  <si>
    <t>Hoàng Thị Bông</t>
  </si>
  <si>
    <t>Thào A Già</t>
  </si>
  <si>
    <t>Đặng Thị Thùy</t>
  </si>
  <si>
    <t>Dặm Hoàng Anh</t>
  </si>
  <si>
    <t>Phạm Văn Tuyển</t>
  </si>
  <si>
    <t>Vàng Seo Thắng</t>
  </si>
  <si>
    <t>Hoàng Thị Xuân</t>
  </si>
  <si>
    <t>Bế Thị Trinh</t>
  </si>
  <si>
    <t>Phạm Văn Hiện</t>
  </si>
  <si>
    <t>Lô Văn Phương</t>
  </si>
  <si>
    <t>Nguyễn Thị Nghệ</t>
  </si>
  <si>
    <t>Lý Văn Hành</t>
  </si>
  <si>
    <t>Vàng Thị Trường</t>
  </si>
  <si>
    <t>Lù Văn Hụng</t>
  </si>
  <si>
    <t>Vi Văn Học</t>
  </si>
  <si>
    <t>Chẩu Văn Đường</t>
  </si>
  <si>
    <t>Trần Thị An</t>
  </si>
  <si>
    <t>Hà Văn Hiếu</t>
  </si>
  <si>
    <t>Vàng Thị Sáo</t>
  </si>
  <si>
    <t>Nguyễn Văn Chung</t>
  </si>
  <si>
    <t>Trương Thị Anh</t>
  </si>
  <si>
    <t>Lò Trung HiếU</t>
  </si>
  <si>
    <t>Phạm Văn Hoàn</t>
  </si>
  <si>
    <t>Vũ Văn Ngọc</t>
  </si>
  <si>
    <t>Nguyễn Thị Phượng</t>
  </si>
  <si>
    <t>Đinh Thị Kim Anh</t>
  </si>
  <si>
    <t>Lê Văn Thái</t>
  </si>
  <si>
    <t>Lù Mạnh Thu</t>
  </si>
  <si>
    <t>Triệu Thị Oanh</t>
  </si>
  <si>
    <t>Phạm Văn Lợi</t>
  </si>
  <si>
    <t>Lầu A Hoa</t>
  </si>
  <si>
    <t>Nhạc Văn Vùng</t>
  </si>
  <si>
    <t>Trang Thị Khía</t>
  </si>
  <si>
    <t>Đàm Thế Anh</t>
  </si>
  <si>
    <t>Hoàng Thị Tú</t>
  </si>
  <si>
    <t>Tô Văn Lê</t>
  </si>
  <si>
    <t>Hoàng Thị Duyên</t>
  </si>
  <si>
    <t>Lê Thị Yến</t>
  </si>
  <si>
    <t>Mông Văn Chuẩn</t>
  </si>
  <si>
    <t>Trần Thị Thành</t>
  </si>
  <si>
    <t>Phạm Văn Quản</t>
  </si>
  <si>
    <t>Bùi Văn Tài</t>
  </si>
  <si>
    <t>Hoàng Thị Ánh</t>
  </si>
  <si>
    <t>Bùi Thị Đặng</t>
  </si>
  <si>
    <t>Nguyễn Thị Mọc</t>
  </si>
  <si>
    <t>Triệu Thị Giang</t>
  </si>
  <si>
    <t>Văn Đình Bình</t>
  </si>
  <si>
    <t>Bùi Văn Đặng</t>
  </si>
  <si>
    <t>Ngô Trọng Tọa</t>
  </si>
  <si>
    <t>Giàng Seo Pao</t>
  </si>
  <si>
    <t>Nguyễn Kim Linh</t>
  </si>
  <si>
    <t>Phan Thị Ba</t>
  </si>
  <si>
    <t>Vàng Seo Sùng</t>
  </si>
  <si>
    <t>Phạm Văn Sơn</t>
  </si>
  <si>
    <t>Lê Quách Đại Lĩnh</t>
  </si>
  <si>
    <t>Nguyễn Thế Phương</t>
  </si>
  <si>
    <t>Hoàng Thị Yêu</t>
  </si>
  <si>
    <t>Quang Văn Thắng</t>
  </si>
  <si>
    <t>Nguyễn Thị Ngọc Ánh</t>
  </si>
  <si>
    <t>Nguyễn Như Chiến</t>
  </si>
  <si>
    <t>Nguyễn Văn Tiềm</t>
  </si>
  <si>
    <t>Đặng Thị Lợi</t>
  </si>
  <si>
    <t>Vàng Thị Pàng</t>
  </si>
  <si>
    <t>Phạm Văn Thiêm</t>
  </si>
  <si>
    <t>Đàm Thị Sơn</t>
  </si>
  <si>
    <t>Vi Văn Tá</t>
  </si>
  <si>
    <t>Lê Văn Điệp</t>
  </si>
  <si>
    <t>Tống Thế Bình</t>
  </si>
  <si>
    <t>Ngô Hoài Châu</t>
  </si>
  <si>
    <t>Nguyễn Ngọc Minh Quân</t>
  </si>
  <si>
    <t>Vi Văn Lộc</t>
  </si>
  <si>
    <t>Lu Văn Tám</t>
  </si>
  <si>
    <t>Nguyễn Thị Thảo Nguyên</t>
  </si>
  <si>
    <t>Trương Văn Tuấn</t>
  </si>
  <si>
    <t>Hà Văn Hân</t>
  </si>
  <si>
    <t>Hứa Thành Luân</t>
  </si>
  <si>
    <t>Triệu Phúc Hiếu</t>
  </si>
  <si>
    <t>Trương Huyền Trang</t>
  </si>
  <si>
    <t>Trịnh Bá Đồng</t>
  </si>
  <si>
    <t>Ma Tiến Chung</t>
  </si>
  <si>
    <t>Vi Thị Trang</t>
  </si>
  <si>
    <t>Lường Thị Thơi</t>
  </si>
  <si>
    <t>Đàm Văn Khầu</t>
  </si>
  <si>
    <t>Nguyễn Trường Công</t>
  </si>
  <si>
    <t>Lâm Văn Hải</t>
  </si>
  <si>
    <t>Hà Văn Thuận</t>
  </si>
  <si>
    <t>Hà Văn Thạch</t>
  </si>
  <si>
    <t>Bùi Quang Vinh</t>
  </si>
  <si>
    <t>Nguyễn Mạnh Cường</t>
  </si>
  <si>
    <t>Phàn Đức Hưng</t>
  </si>
  <si>
    <t>Nguyễn Đức Chiến</t>
  </si>
  <si>
    <t>Trương Thị Tâm</t>
  </si>
  <si>
    <t>Vương Xuân Thành</t>
  </si>
  <si>
    <t>Nông Thị Mến</t>
  </si>
  <si>
    <t>Lục Thị Chương</t>
  </si>
  <si>
    <t>Hà Kim Nhiên</t>
  </si>
  <si>
    <t>Lương Văn Mun</t>
  </si>
  <si>
    <t>Vàng Seo Mạnh</t>
  </si>
  <si>
    <t>Đàm Thị Điềm</t>
  </si>
  <si>
    <t>Nguyễn Thị Minh Hằng</t>
  </si>
  <si>
    <t>Phạm Hữu Văn</t>
  </si>
  <si>
    <t>Lê Thùy Dương</t>
  </si>
  <si>
    <t>Nguyễn Thị Huyền</t>
  </si>
  <si>
    <t>Lê Văn Hữu</t>
  </si>
  <si>
    <t>Lê Văn Tâm</t>
  </si>
  <si>
    <t>Hoàng Văn Học</t>
  </si>
  <si>
    <t>Hoàng Văn Hiếu</t>
  </si>
  <si>
    <t>Nông Thị Hoài Duyên</t>
  </si>
  <si>
    <t>Triệu Kim Định</t>
  </si>
  <si>
    <t>Nguyễn Kim Cương</t>
  </si>
  <si>
    <t>Vàng Thị Váng</t>
  </si>
  <si>
    <t>Bùi Văn Vị</t>
  </si>
  <si>
    <t>Phạm Thị Mai</t>
  </si>
  <si>
    <t>Trương Ngọc Thông</t>
  </si>
  <si>
    <t>Sộng Bả Dia</t>
  </si>
  <si>
    <t>Nguyễn Tiến Nhật</t>
  </si>
  <si>
    <t>Sùng Thị Chá</t>
  </si>
  <si>
    <t>Lò Văn Sự</t>
  </si>
  <si>
    <t>Ngô Văn Quý</t>
  </si>
  <si>
    <t>Nguyễn Thành Nam</t>
  </si>
  <si>
    <t xml:space="preserve"> La Thị Tâm</t>
  </si>
  <si>
    <t>Nông Thị Hạnh</t>
  </si>
  <si>
    <t>Hoàng Thị Bình</t>
  </si>
  <si>
    <t>Quàng Thị Tranh</t>
  </si>
  <si>
    <t>Hoàng Thị Hòa</t>
  </si>
  <si>
    <t>Hoàng Thị Hương Thầm</t>
  </si>
  <si>
    <t>Lương Thị Hợp</t>
  </si>
  <si>
    <t>Phạm Thị Hoa</t>
  </si>
  <si>
    <t>Hoàng Thị Đồng</t>
  </si>
  <si>
    <t>Triệu Hữu Long</t>
  </si>
  <si>
    <t>Nguyễn Cao Cường</t>
  </si>
  <si>
    <t>Bùi Văn Tiệm</t>
  </si>
  <si>
    <t>Lương Thị Ánh Tuyết</t>
  </si>
  <si>
    <t>Hoàng Văn Thức</t>
  </si>
  <si>
    <t>Hoàng Công Chúc</t>
  </si>
  <si>
    <t>Mã Văn Thanh</t>
  </si>
  <si>
    <t>Bế Thị Sim</t>
  </si>
  <si>
    <t>Triệu Tòn Chài</t>
  </si>
  <si>
    <t>Cao Triệu Vỹ</t>
  </si>
  <si>
    <t>Vàng Trung Đồng Minh</t>
  </si>
  <si>
    <t>Hoàng Văn Doanh</t>
  </si>
  <si>
    <t>Hoàng Văn Ánh</t>
  </si>
  <si>
    <t>Đàm Đình Khiêm</t>
  </si>
  <si>
    <t>Nguyễn Văn Đông</t>
  </si>
  <si>
    <t>Ly Seo Phá</t>
  </si>
  <si>
    <t>Chá Thị Mo</t>
  </si>
  <si>
    <t>Mã Văn Thuấn</t>
  </si>
  <si>
    <t>Lê Thị Trang</t>
  </si>
  <si>
    <t>Hoàng Đức Nghệ</t>
  </si>
  <si>
    <t>Triệu Đức Tài</t>
  </si>
  <si>
    <t>Dương Công Sinh</t>
  </si>
  <si>
    <t>Lò Thị Vy</t>
  </si>
  <si>
    <t>Hà Thị Cành</t>
  </si>
  <si>
    <t>Trần Tuấn Anh</t>
  </si>
  <si>
    <t>Nông Thị Thân</t>
  </si>
  <si>
    <t>Hoàng Thị Hiền</t>
  </si>
  <si>
    <t>Triệu Thị Hoài</t>
  </si>
  <si>
    <t>Trần Vi Hiền</t>
  </si>
  <si>
    <t>Bùi Minh Luận</t>
  </si>
  <si>
    <t>Trương Văn Bắc</t>
  </si>
  <si>
    <t>Lắp Ráp</t>
  </si>
  <si>
    <t>Cơ Điện</t>
  </si>
  <si>
    <t>Độ Tin Cậy</t>
  </si>
  <si>
    <t>1058961486</t>
  </si>
  <si>
    <t>123477068888</t>
  </si>
  <si>
    <t>123417638888</t>
  </si>
  <si>
    <t>030096246672</t>
  </si>
  <si>
    <t>104882135594</t>
  </si>
  <si>
    <t>3711402144</t>
  </si>
  <si>
    <t>103870413732</t>
  </si>
  <si>
    <t>8910205099953</t>
  </si>
  <si>
    <t>030078182195</t>
  </si>
  <si>
    <t>89921312006</t>
  </si>
  <si>
    <t>3510205588670</t>
  </si>
  <si>
    <t>1054620574</t>
  </si>
  <si>
    <t>8205205081580</t>
  </si>
  <si>
    <t>2171098043</t>
  </si>
  <si>
    <t>1019435900</t>
  </si>
  <si>
    <t>19033760021012</t>
  </si>
  <si>
    <t>0348362942</t>
  </si>
  <si>
    <t>6504138600</t>
  </si>
  <si>
    <t>020092071988</t>
  </si>
  <si>
    <t>020092071147</t>
  </si>
  <si>
    <t>0369641465</t>
  </si>
  <si>
    <t>101899229988</t>
  </si>
  <si>
    <t>020101099319</t>
  </si>
  <si>
    <t>1026503827</t>
  </si>
  <si>
    <t>103878743662</t>
  </si>
  <si>
    <t>109872625792</t>
  </si>
  <si>
    <t>0341007078754</t>
  </si>
  <si>
    <t>4322989219</t>
  </si>
  <si>
    <t>020103427208</t>
  </si>
  <si>
    <t>4521053126</t>
  </si>
  <si>
    <t>0862274534</t>
  </si>
  <si>
    <t>0731000889601</t>
  </si>
  <si>
    <t>1039425201</t>
  </si>
  <si>
    <t>0731000845462</t>
  </si>
  <si>
    <t>1045168336</t>
  </si>
  <si>
    <t>104875509134</t>
  </si>
  <si>
    <t>103883859717</t>
  </si>
  <si>
    <t>4321497029</t>
  </si>
  <si>
    <t>1055494960</t>
  </si>
  <si>
    <t>0981388507</t>
  </si>
  <si>
    <t>1033155218</t>
  </si>
  <si>
    <t>2609281051602</t>
  </si>
  <si>
    <t>1047424215</t>
  </si>
  <si>
    <t>1041356489</t>
  </si>
  <si>
    <t>101401959999</t>
  </si>
  <si>
    <t>NCB</t>
  </si>
  <si>
    <t>700034445711</t>
  </si>
  <si>
    <t>700036456043</t>
  </si>
  <si>
    <t>0971344536</t>
  </si>
  <si>
    <t>0375502983</t>
  </si>
  <si>
    <t>3507205389029</t>
  </si>
  <si>
    <t>020089638756</t>
  </si>
  <si>
    <t>8833982994</t>
  </si>
  <si>
    <t>4321520952</t>
  </si>
  <si>
    <t>0002002195842</t>
  </si>
  <si>
    <t>6116021996</t>
  </si>
  <si>
    <t>302955522</t>
  </si>
  <si>
    <t>1049699957</t>
  </si>
  <si>
    <t>2141540747</t>
  </si>
  <si>
    <t>101882000971</t>
  </si>
  <si>
    <t>700015031262</t>
  </si>
  <si>
    <t>2143188611</t>
  </si>
  <si>
    <t>8813426453</t>
  </si>
  <si>
    <t>4273719794</t>
  </si>
  <si>
    <t>4320846248</t>
  </si>
  <si>
    <t>0711000277588</t>
  </si>
  <si>
    <t>1049252691</t>
  </si>
  <si>
    <t>1048376360</t>
  </si>
  <si>
    <t>1746868686</t>
  </si>
  <si>
    <t>0351001042748</t>
  </si>
  <si>
    <t>1014384494</t>
  </si>
  <si>
    <t>237140109</t>
  </si>
  <si>
    <t>103875509135</t>
  </si>
  <si>
    <t>109878866816</t>
  </si>
  <si>
    <t>1050871391</t>
  </si>
  <si>
    <t>108870981193</t>
  </si>
  <si>
    <t>2141355978</t>
  </si>
  <si>
    <t>9704229207989509579</t>
  </si>
  <si>
    <t>19038196602011</t>
  </si>
  <si>
    <t>1015582892</t>
  </si>
  <si>
    <t>1016399980</t>
  </si>
  <si>
    <t>1039027710</t>
  </si>
  <si>
    <t>1012577357</t>
  </si>
  <si>
    <t>1033142769</t>
  </si>
  <si>
    <t>27722548888</t>
  </si>
  <si>
    <t>700026446027</t>
  </si>
  <si>
    <t>0862783711</t>
  </si>
  <si>
    <t>0337841322</t>
  </si>
  <si>
    <t>2601424644</t>
  </si>
  <si>
    <t>1053502174</t>
  </si>
  <si>
    <t>0383974250</t>
  </si>
  <si>
    <t>23418122002</t>
  </si>
  <si>
    <t>1055438494</t>
  </si>
  <si>
    <t>0382133297</t>
  </si>
  <si>
    <t>020078025183</t>
  </si>
  <si>
    <t>104800161003</t>
  </si>
  <si>
    <t>0356221640</t>
  </si>
  <si>
    <t>0357037600</t>
  </si>
  <si>
    <t>LPBank</t>
  </si>
  <si>
    <t>1028200297</t>
  </si>
  <si>
    <t>020080624736</t>
  </si>
  <si>
    <t>0020117735703</t>
  </si>
  <si>
    <t>1023149029</t>
  </si>
  <si>
    <t>1015639936</t>
  </si>
  <si>
    <t>0351001135677</t>
  </si>
  <si>
    <t>0351001198768</t>
  </si>
  <si>
    <t>1016907191</t>
  </si>
  <si>
    <t>102885060261</t>
  </si>
  <si>
    <t>0351000884695</t>
  </si>
  <si>
    <t>0351001102098</t>
  </si>
  <si>
    <t>19072391017011</t>
  </si>
  <si>
    <t>4323468298</t>
  </si>
  <si>
    <t>109003229711</t>
  </si>
  <si>
    <t>9704229201258611596</t>
  </si>
  <si>
    <t>700038210275</t>
  </si>
  <si>
    <t>8809205211556</t>
  </si>
  <si>
    <t>0373536803</t>
  </si>
  <si>
    <t>1022350317</t>
  </si>
  <si>
    <t>88888898555555</t>
  </si>
  <si>
    <t>1043161449</t>
  </si>
  <si>
    <t>1017936174</t>
  </si>
  <si>
    <t>0914163975</t>
  </si>
  <si>
    <t>19072864326015</t>
  </si>
  <si>
    <t>0361001733996</t>
  </si>
  <si>
    <t>103878001451</t>
  </si>
  <si>
    <t>8835172387</t>
  </si>
  <si>
    <t>19074786865012</t>
  </si>
  <si>
    <t>0351001218337</t>
  </si>
  <si>
    <t>1045332055</t>
  </si>
  <si>
    <t>1059047486</t>
  </si>
  <si>
    <t>4323494424</t>
  </si>
  <si>
    <t>0351001238993</t>
  </si>
  <si>
    <t>109879258918</t>
  </si>
  <si>
    <t>1018892680</t>
  </si>
  <si>
    <t>8864037669</t>
  </si>
  <si>
    <t>0984838794</t>
  </si>
  <si>
    <t>1029499438</t>
  </si>
  <si>
    <t>19035960236024</t>
  </si>
  <si>
    <t>1042700651</t>
  </si>
  <si>
    <t>8105205140901</t>
  </si>
  <si>
    <t>8884222863</t>
  </si>
  <si>
    <t>1050774819</t>
  </si>
  <si>
    <t>105875209024</t>
  </si>
  <si>
    <t>700004280826</t>
  </si>
  <si>
    <t>7965335710</t>
  </si>
  <si>
    <t>1057127865</t>
  </si>
  <si>
    <t>8408205094215</t>
  </si>
  <si>
    <t>102873652378</t>
  </si>
  <si>
    <t>0985419791</t>
  </si>
  <si>
    <t>106885259176</t>
  </si>
  <si>
    <t>020078025264</t>
  </si>
  <si>
    <t>4321622876</t>
  </si>
  <si>
    <t>198956699</t>
  </si>
  <si>
    <t>0364791861</t>
  </si>
  <si>
    <t>9704229209751760091</t>
  </si>
  <si>
    <t>2609205342838</t>
  </si>
  <si>
    <t>108880428285</t>
  </si>
  <si>
    <t>8885680222</t>
  </si>
  <si>
    <t>8851544205</t>
  </si>
  <si>
    <t>5012625464</t>
  </si>
  <si>
    <t>0916307873</t>
  </si>
  <si>
    <t>101875720856</t>
  </si>
  <si>
    <t>9816923236</t>
  </si>
  <si>
    <t>041342520001</t>
  </si>
  <si>
    <t>1042700156</t>
  </si>
  <si>
    <t>109884377101</t>
  </si>
  <si>
    <t>020104285725</t>
  </si>
  <si>
    <t>100003404861</t>
  </si>
  <si>
    <t>8842595302</t>
  </si>
  <si>
    <t>19036586452016</t>
  </si>
  <si>
    <t>8805680223</t>
  </si>
  <si>
    <t>3901741907</t>
  </si>
  <si>
    <t>700030629030</t>
  </si>
  <si>
    <t>0348823800</t>
  </si>
  <si>
    <t>1912802200006</t>
  </si>
  <si>
    <t>2561512238</t>
  </si>
  <si>
    <t>8881883650</t>
  </si>
  <si>
    <t>1038623331</t>
  </si>
  <si>
    <t>1058603406</t>
  </si>
  <si>
    <t>700003575624</t>
  </si>
  <si>
    <t>109867773755</t>
  </si>
  <si>
    <t>0582919812</t>
  </si>
  <si>
    <t>9354718760</t>
  </si>
  <si>
    <t>1059970175</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</si>
</sst>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3" formatCode="_(* #,##0.00_);_(* \(#,##0.00\);_(* &quot;-&quot;??_);_(@_)"/>
    <numFmt numFmtId="164" formatCode="_(* #,##0_);_(* \(#,##0\);_(* &quot;-&quot;??_);_(@_)"/>
  </numFmts>
  <fonts count="7" x14ac:knownFonts="1">
    <font>
      <sz val="11"/>
      <color theme="1"/>
      <name val="Calibri"/>
      <family val="2"/>
      <scheme val="minor"/>
    </font>
    <font>
      <sz val="11"/>
      <color theme="1"/>
      <name val="Calibri"/>
      <family val="2"/>
      <scheme val="minor"/>
    </font>
    <font>
      <sz val="11"/>
      <color theme="1"/>
      <name val="Times New Roman"/>
      <family val="1"/>
    </font>
    <font>
      <b/>
      <sz val="11"/>
      <color theme="1"/>
      <name val="Times New Roman"/>
      <family val="1"/>
    </font>
    <font>
      <b/>
      <sz val="10"/>
      <color theme="1"/>
      <name val="Times New Roman"/>
      <family val="1"/>
    </font>
    <font>
      <sz val="10"/>
      <color theme="1"/>
      <name val="Times New Roman"/>
      <family val="1"/>
    </font>
    <font>
      <i/>
      <sz val="11"/>
      <color theme="1"/>
      <name val="Times New Roman"/>
      <family val="1"/>
    </font>
  </fonts>
  <fills count="4">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s>
  <borders count="4">
    <border>
      <left/>
      <right/>
      <top/>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bottom style="hair">
        <color auto="1"/>
      </bottom>
      <diagonal/>
    </border>
  </borders>
  <cellStyleXfs count="2">
    <xf numFmtId="0" fontId="0" fillId="0" borderId="0"/>
    <xf numFmtId="43" fontId="1" fillId="0" borderId="0" applyFont="0" applyFill="0" applyBorder="0" applyAlignment="0" applyProtection="0"/>
  </cellStyleXfs>
  <cellXfs count="21">
    <xf numFmtId="0" fontId="0" fillId="0" borderId="0" xfId="0"/>
    <xf numFmtId="0" fontId="2" fillId="0" borderId="0" xfId="0" applyFont="1"/>
    <xf numFmtId="164" fontId="2" fillId="0" borderId="0" xfId="1" applyNumberFormat="1" applyFont="1"/>
    <xf numFmtId="164" fontId="2" fillId="0" borderId="0" xfId="0" applyNumberFormat="1" applyFont="1"/>
    <xf numFmtId="164" fontId="3" fillId="0" borderId="0" xfId="0" applyNumberFormat="1" applyFont="1"/>
    <xf numFmtId="0" fontId="3" fillId="0" borderId="0" xfId="0" applyFont="1"/>
    <xf numFmtId="0" fontId="2" fillId="0" borderId="0" xfId="0" applyFont="1" applyAlignment="1">
      <alignment horizontal="center"/>
    </xf>
    <xf numFmtId="0" fontId="4" fillId="2" borderId="1" xfId="0" applyFont="1" applyFill="1" applyBorder="1" applyAlignment="1">
      <alignment horizontal="center" vertical="center"/>
    </xf>
    <xf numFmtId="0" fontId="4" fillId="2" borderId="1" xfId="0" applyFont="1" applyFill="1" applyBorder="1" applyAlignment="1">
      <alignment horizontal="center" vertical="center" wrapText="1"/>
    </xf>
    <xf numFmtId="43" fontId="2" fillId="0" borderId="0" xfId="0" applyNumberFormat="1" applyFont="1"/>
    <xf numFmtId="0" fontId="3" fillId="0" borderId="0" xfId="0" applyFont="1" applyAlignment="1">
      <alignment horizontal="center"/>
    </xf>
    <xf numFmtId="0" fontId="5" fillId="0" borderId="3" xfId="0" applyFont="1" applyBorder="1" applyAlignment="1">
      <alignment horizontal="center" vertical="center"/>
    </xf>
    <xf numFmtId="164" fontId="5" fillId="0" borderId="3" xfId="1" applyNumberFormat="1" applyFont="1" applyBorder="1" applyAlignment="1">
      <alignment vertical="center"/>
    </xf>
    <xf numFmtId="164" fontId="5" fillId="0" borderId="3" xfId="1" applyNumberFormat="1" applyFont="1" applyBorder="1" applyAlignment="1">
      <alignment horizontal="center" vertical="center"/>
    </xf>
    <xf numFmtId="164" fontId="4" fillId="3" borderId="3" xfId="0" applyNumberFormat="1" applyFont="1" applyFill="1" applyBorder="1" applyAlignment="1">
      <alignment vertical="center"/>
    </xf>
    <xf numFmtId="0" fontId="5" fillId="0" borderId="2" xfId="0" applyFont="1" applyBorder="1" applyAlignment="1">
      <alignment horizontal="center" vertical="center"/>
    </xf>
    <xf numFmtId="0" fontId="2" fillId="0" borderId="0" xfId="0" applyFont="1" applyAlignment="1">
      <alignment horizontal="left"/>
    </xf>
    <xf numFmtId="0" fontId="3" fillId="0" borderId="0" xfId="0" applyFont="1" applyAlignment="1">
      <alignment horizontal="center"/>
    </xf>
    <xf numFmtId="0" fontId="2" fillId="0" borderId="0" xfId="0" applyFont="1" applyAlignment="1">
      <alignment horizontal="center"/>
    </xf>
    <xf numFmtId="0" fontId="6" fillId="0" borderId="0" xfId="0" applyFont="1" applyAlignment="1">
      <alignment horizontal="left"/>
    </xf>
    <xf numFmtId="43" fontId="3" fillId="0" borderId="0" xfId="0" applyNumberFormat="1" applyFont="1"/>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86"/>
  <sheetViews>
    <sheetView tabSelected="1" zoomScale="85" zoomScaleNormal="85" workbookViewId="0">
      <pane xSplit="4" ySplit="10" topLeftCell="E847" activePane="bottomRight" state="frozen"/>
      <selection pane="topRight" activeCell="E1" sqref="E1"/>
      <selection pane="bottomLeft" activeCell="A4" sqref="A4"/>
      <selection pane="bottomRight" activeCell="I864" sqref="I864"/>
    </sheetView>
  </sheetViews>
  <sheetFormatPr defaultColWidth="8.85546875" defaultRowHeight="15" x14ac:dyDescent="0.25"/>
  <cols>
    <col min="1" max="1" width="9.28515625" style="1" customWidth="1"/>
    <col min="2" max="2" width="11" style="6" customWidth="1"/>
    <col min="3" max="3" width="23.85546875" style="1" customWidth="1"/>
    <col min="4" max="4" width="17.28515625" style="1" customWidth="1"/>
    <col min="5" max="8" width="22.7109375" style="1" customWidth="1"/>
    <col min="9" max="9" width="22.140625" style="6" customWidth="1"/>
    <col min="10" max="10" width="26.140625" style="1" customWidth="1"/>
    <col min="11" max="16384" width="8.85546875" style="1"/>
  </cols>
  <sheetData>
    <row r="1" spans="1:10" x14ac:dyDescent="0.25">
      <c r="A1" s="17" t="s">
        <v>1459</v>
      </c>
      <c r="B1" s="17"/>
      <c r="C1" s="17"/>
      <c r="D1" s="17"/>
      <c r="E1" s="17"/>
      <c r="F1" s="17"/>
      <c r="G1" s="17"/>
      <c r="H1" s="17"/>
      <c r="I1" s="17"/>
      <c r="J1" s="2">
        <v>26000</v>
      </c>
    </row>
    <row r="2" spans="1:10" x14ac:dyDescent="0.25">
      <c r="A2" s="18" t="s">
        <v>1460</v>
      </c>
      <c r="B2" s="18"/>
      <c r="C2" s="18"/>
      <c r="D2" s="18"/>
      <c r="E2" s="18"/>
      <c r="F2" s="18"/>
      <c r="G2" s="18"/>
      <c r="H2" s="18"/>
      <c r="I2" s="18"/>
      <c r="J2" s="2"/>
    </row>
    <row r="3" spans="1:10" x14ac:dyDescent="0.25">
      <c r="A3" s="16" t="s">
        <v>854</v>
      </c>
      <c r="B3" s="16"/>
      <c r="C3" s="16"/>
      <c r="D3" s="16"/>
      <c r="E3" s="16"/>
      <c r="F3" s="16"/>
      <c r="G3" s="16"/>
      <c r="H3" s="16"/>
      <c r="I3" s="16"/>
      <c r="J3" s="2"/>
    </row>
    <row r="4" spans="1:10" x14ac:dyDescent="0.25">
      <c r="A4" s="19" t="s">
        <v>855</v>
      </c>
      <c r="B4" s="19"/>
      <c r="C4" s="19"/>
      <c r="D4" s="19"/>
      <c r="E4" s="19"/>
      <c r="F4" s="19"/>
      <c r="G4" s="19"/>
      <c r="H4" s="19"/>
      <c r="I4" s="19"/>
      <c r="J4" s="2"/>
    </row>
    <row r="5" spans="1:10" x14ac:dyDescent="0.25">
      <c r="A5" s="16" t="s">
        <v>856</v>
      </c>
      <c r="B5" s="16"/>
      <c r="C5" s="16"/>
      <c r="D5" s="16"/>
      <c r="E5" s="16"/>
      <c r="F5" s="16"/>
      <c r="G5" s="16"/>
      <c r="H5" s="16"/>
      <c r="I5" s="16"/>
      <c r="J5" s="2"/>
    </row>
    <row r="6" spans="1:10" x14ac:dyDescent="0.25">
      <c r="A6" s="16" t="s">
        <v>1464</v>
      </c>
      <c r="B6" s="16"/>
      <c r="C6" s="16"/>
      <c r="D6" s="16"/>
      <c r="E6" s="16"/>
      <c r="F6" s="16"/>
      <c r="G6" s="16"/>
      <c r="H6" s="16"/>
      <c r="I6" s="16"/>
      <c r="J6" s="2"/>
    </row>
    <row r="7" spans="1:10" x14ac:dyDescent="0.25">
      <c r="A7" s="16" t="s">
        <v>1463</v>
      </c>
      <c r="B7" s="16"/>
      <c r="C7" s="16"/>
      <c r="D7" s="16"/>
      <c r="E7" s="16"/>
      <c r="F7" s="16"/>
      <c r="G7" s="16"/>
      <c r="H7" s="16"/>
      <c r="I7" s="16"/>
      <c r="J7" s="2"/>
    </row>
    <row r="8" spans="1:10" x14ac:dyDescent="0.25">
      <c r="A8" s="16" t="s">
        <v>857</v>
      </c>
      <c r="B8" s="16"/>
      <c r="C8" s="16"/>
      <c r="D8" s="16"/>
      <c r="E8" s="16"/>
      <c r="F8" s="16"/>
      <c r="G8" s="16"/>
      <c r="H8" s="16"/>
      <c r="I8" s="16"/>
      <c r="J8" s="2"/>
    </row>
    <row r="9" spans="1:10" x14ac:dyDescent="0.25">
      <c r="E9" s="3"/>
      <c r="F9" s="3"/>
      <c r="G9" s="4"/>
      <c r="H9" s="4"/>
      <c r="J9" s="2"/>
    </row>
    <row r="10" spans="1:10" s="5" customFormat="1" ht="34.9" customHeight="1" x14ac:dyDescent="0.2">
      <c r="A10" s="7" t="s">
        <v>5</v>
      </c>
      <c r="B10" s="7" t="s">
        <v>0</v>
      </c>
      <c r="C10" s="7" t="s">
        <v>1</v>
      </c>
      <c r="D10" s="7" t="s">
        <v>2</v>
      </c>
      <c r="E10" s="8" t="s">
        <v>1461</v>
      </c>
      <c r="F10" s="8" t="s">
        <v>1462</v>
      </c>
      <c r="G10" s="7" t="s">
        <v>3</v>
      </c>
      <c r="H10" s="7" t="s">
        <v>4</v>
      </c>
      <c r="I10" s="7" t="s">
        <v>6</v>
      </c>
      <c r="J10" s="7" t="s">
        <v>7</v>
      </c>
    </row>
    <row r="11" spans="1:10" ht="18" customHeight="1" x14ac:dyDescent="0.25">
      <c r="A11" s="11">
        <f>SUBTOTAL(3,$B$11:B11)</f>
        <v>1</v>
      </c>
      <c r="B11" s="11">
        <v>1007</v>
      </c>
      <c r="C11" s="12" t="s">
        <v>33</v>
      </c>
      <c r="D11" s="13" t="s">
        <v>11</v>
      </c>
      <c r="E11" s="12">
        <v>16168991</v>
      </c>
      <c r="F11" s="12">
        <v>19224223</v>
      </c>
      <c r="G11" s="14">
        <f>E11+F11</f>
        <v>35393214</v>
      </c>
      <c r="H11" s="14">
        <f>G11/$J$1</f>
        <v>1361.2774615384615</v>
      </c>
      <c r="I11" s="11" t="s">
        <v>1303</v>
      </c>
      <c r="J11" s="11" t="s">
        <v>1304</v>
      </c>
    </row>
    <row r="12" spans="1:10" ht="18" customHeight="1" x14ac:dyDescent="0.25">
      <c r="A12" s="15">
        <f>SUBTOTAL(3,$B$11:B12)</f>
        <v>2</v>
      </c>
      <c r="B12" s="15">
        <v>1063</v>
      </c>
      <c r="C12" s="12" t="s">
        <v>34</v>
      </c>
      <c r="D12" s="13" t="s">
        <v>13</v>
      </c>
      <c r="E12" s="12">
        <v>4323113</v>
      </c>
      <c r="F12" s="12">
        <v>7325906</v>
      </c>
      <c r="G12" s="14">
        <f t="shared" ref="G12:G75" si="0">E12+F12</f>
        <v>11649019</v>
      </c>
      <c r="H12" s="14">
        <f t="shared" ref="H12:H75" si="1">G12/$J$1</f>
        <v>448.0391923076923</v>
      </c>
      <c r="I12" s="11" t="s">
        <v>426</v>
      </c>
      <c r="J12" s="11" t="s">
        <v>424</v>
      </c>
    </row>
    <row r="13" spans="1:10" ht="18" customHeight="1" x14ac:dyDescent="0.25">
      <c r="A13" s="15">
        <f>SUBTOTAL(3,$B$11:B13)</f>
        <v>3</v>
      </c>
      <c r="B13" s="15">
        <v>1080</v>
      </c>
      <c r="C13" s="12" t="s">
        <v>35</v>
      </c>
      <c r="D13" s="13" t="s">
        <v>14</v>
      </c>
      <c r="E13" s="12">
        <v>8504971</v>
      </c>
      <c r="F13" s="12">
        <v>16986416</v>
      </c>
      <c r="G13" s="14">
        <f t="shared" si="0"/>
        <v>25491387</v>
      </c>
      <c r="H13" s="14">
        <f t="shared" si="1"/>
        <v>980.43796153846154</v>
      </c>
      <c r="I13" s="11" t="s">
        <v>1010</v>
      </c>
      <c r="J13" s="11" t="s">
        <v>696</v>
      </c>
    </row>
    <row r="14" spans="1:10" ht="18" customHeight="1" x14ac:dyDescent="0.25">
      <c r="A14" s="15">
        <f>SUBTOTAL(3,$B$11:B14)</f>
        <v>4</v>
      </c>
      <c r="B14" s="15">
        <v>1100</v>
      </c>
      <c r="C14" s="12" t="s">
        <v>36</v>
      </c>
      <c r="D14" s="13" t="s">
        <v>15</v>
      </c>
      <c r="E14" s="12">
        <v>6583462</v>
      </c>
      <c r="F14" s="12">
        <v>8803283</v>
      </c>
      <c r="G14" s="14">
        <f t="shared" si="0"/>
        <v>15386745</v>
      </c>
      <c r="H14" s="14">
        <f t="shared" si="1"/>
        <v>591.79788461538465</v>
      </c>
      <c r="I14" s="11" t="s">
        <v>427</v>
      </c>
      <c r="J14" s="11" t="s">
        <v>428</v>
      </c>
    </row>
    <row r="15" spans="1:10" ht="18" customHeight="1" x14ac:dyDescent="0.25">
      <c r="A15" s="15">
        <f>SUBTOTAL(3,$B$11:B15)</f>
        <v>5</v>
      </c>
      <c r="B15" s="15">
        <v>1103</v>
      </c>
      <c r="C15" s="12" t="s">
        <v>37</v>
      </c>
      <c r="D15" s="13" t="s">
        <v>8</v>
      </c>
      <c r="E15" s="12">
        <v>9802175</v>
      </c>
      <c r="F15" s="12">
        <v>15883371</v>
      </c>
      <c r="G15" s="14">
        <f t="shared" si="0"/>
        <v>25685546</v>
      </c>
      <c r="H15" s="14">
        <f t="shared" si="1"/>
        <v>987.90561538461543</v>
      </c>
      <c r="I15" s="11" t="s">
        <v>429</v>
      </c>
      <c r="J15" s="11" t="s">
        <v>430</v>
      </c>
    </row>
    <row r="16" spans="1:10" ht="18" customHeight="1" x14ac:dyDescent="0.25">
      <c r="A16" s="15">
        <f>SUBTOTAL(3,$B$11:B16)</f>
        <v>6</v>
      </c>
      <c r="B16" s="15">
        <v>1113</v>
      </c>
      <c r="C16" s="12" t="s">
        <v>38</v>
      </c>
      <c r="D16" s="13" t="s">
        <v>16</v>
      </c>
      <c r="E16" s="12">
        <v>7196154</v>
      </c>
      <c r="F16" s="12">
        <v>16029423</v>
      </c>
      <c r="G16" s="14">
        <f t="shared" si="0"/>
        <v>23225577</v>
      </c>
      <c r="H16" s="14">
        <f t="shared" si="1"/>
        <v>893.29142307692302</v>
      </c>
      <c r="I16" s="11" t="s">
        <v>431</v>
      </c>
      <c r="J16" s="11" t="s">
        <v>424</v>
      </c>
    </row>
    <row r="17" spans="1:10" ht="18" customHeight="1" x14ac:dyDescent="0.25">
      <c r="A17" s="15">
        <f>SUBTOTAL(3,$B$11:B17)</f>
        <v>7</v>
      </c>
      <c r="B17" s="15">
        <v>1116</v>
      </c>
      <c r="C17" s="12" t="s">
        <v>39</v>
      </c>
      <c r="D17" s="13" t="s">
        <v>8</v>
      </c>
      <c r="E17" s="12">
        <v>5141285</v>
      </c>
      <c r="F17" s="12">
        <v>9743819</v>
      </c>
      <c r="G17" s="14">
        <f t="shared" si="0"/>
        <v>14885104</v>
      </c>
      <c r="H17" s="14">
        <f t="shared" si="1"/>
        <v>572.50400000000002</v>
      </c>
      <c r="I17" s="11" t="s">
        <v>432</v>
      </c>
      <c r="J17" s="11" t="s">
        <v>424</v>
      </c>
    </row>
    <row r="18" spans="1:10" ht="18" customHeight="1" x14ac:dyDescent="0.25">
      <c r="A18" s="15">
        <f>SUBTOTAL(3,$B$11:B18)</f>
        <v>8</v>
      </c>
      <c r="B18" s="15">
        <v>1119</v>
      </c>
      <c r="C18" s="12" t="s">
        <v>40</v>
      </c>
      <c r="D18" s="13" t="s">
        <v>17</v>
      </c>
      <c r="E18" s="12">
        <v>6230769</v>
      </c>
      <c r="F18" s="12">
        <v>10984423</v>
      </c>
      <c r="G18" s="14">
        <f t="shared" si="0"/>
        <v>17215192</v>
      </c>
      <c r="H18" s="14">
        <f t="shared" si="1"/>
        <v>662.12276923076922</v>
      </c>
      <c r="I18" s="11" t="s">
        <v>433</v>
      </c>
      <c r="J18" s="11" t="s">
        <v>425</v>
      </c>
    </row>
    <row r="19" spans="1:10" ht="18" customHeight="1" x14ac:dyDescent="0.25">
      <c r="A19" s="15">
        <f>SUBTOTAL(3,$B$11:B19)</f>
        <v>9</v>
      </c>
      <c r="B19" s="15">
        <v>1151</v>
      </c>
      <c r="C19" s="12" t="s">
        <v>41</v>
      </c>
      <c r="D19" s="13" t="s">
        <v>14</v>
      </c>
      <c r="E19" s="12">
        <v>7414255</v>
      </c>
      <c r="F19" s="12">
        <v>14554808</v>
      </c>
      <c r="G19" s="14">
        <f t="shared" si="0"/>
        <v>21969063</v>
      </c>
      <c r="H19" s="14">
        <f t="shared" si="1"/>
        <v>844.96396153846149</v>
      </c>
      <c r="I19" s="11" t="s">
        <v>434</v>
      </c>
      <c r="J19" s="11" t="s">
        <v>424</v>
      </c>
    </row>
    <row r="20" spans="1:10" ht="18" customHeight="1" x14ac:dyDescent="0.25">
      <c r="A20" s="15">
        <f>SUBTOTAL(3,$B$11:B20)</f>
        <v>10</v>
      </c>
      <c r="B20" s="15">
        <v>1165</v>
      </c>
      <c r="C20" s="12" t="s">
        <v>42</v>
      </c>
      <c r="D20" s="13" t="s">
        <v>9</v>
      </c>
      <c r="E20" s="12">
        <v>13640625</v>
      </c>
      <c r="F20" s="12">
        <v>21280807</v>
      </c>
      <c r="G20" s="14">
        <f t="shared" si="0"/>
        <v>34921432</v>
      </c>
      <c r="H20" s="14">
        <f t="shared" si="1"/>
        <v>1343.1320000000001</v>
      </c>
      <c r="I20" s="11" t="s">
        <v>435</v>
      </c>
      <c r="J20" s="11" t="s">
        <v>424</v>
      </c>
    </row>
    <row r="21" spans="1:10" ht="18" customHeight="1" x14ac:dyDescent="0.25">
      <c r="A21" s="15">
        <f>SUBTOTAL(3,$B$11:B21)</f>
        <v>11</v>
      </c>
      <c r="B21" s="15">
        <v>1167</v>
      </c>
      <c r="C21" s="12" t="s">
        <v>43</v>
      </c>
      <c r="D21" s="13" t="s">
        <v>12</v>
      </c>
      <c r="E21" s="12">
        <v>6847381</v>
      </c>
      <c r="F21" s="12">
        <v>13704197</v>
      </c>
      <c r="G21" s="14">
        <f t="shared" si="0"/>
        <v>20551578</v>
      </c>
      <c r="H21" s="14">
        <f t="shared" si="1"/>
        <v>790.44530769230767</v>
      </c>
      <c r="I21" s="11" t="s">
        <v>436</v>
      </c>
      <c r="J21" s="11" t="s">
        <v>424</v>
      </c>
    </row>
    <row r="22" spans="1:10" ht="18" customHeight="1" x14ac:dyDescent="0.25">
      <c r="A22" s="15">
        <f>SUBTOTAL(3,$B$11:B22)</f>
        <v>12</v>
      </c>
      <c r="B22" s="15">
        <v>1200</v>
      </c>
      <c r="C22" s="12" t="s">
        <v>44</v>
      </c>
      <c r="D22" s="13" t="s">
        <v>18</v>
      </c>
      <c r="E22" s="12">
        <v>10136539</v>
      </c>
      <c r="F22" s="12">
        <v>15467072</v>
      </c>
      <c r="G22" s="14">
        <f t="shared" si="0"/>
        <v>25603611</v>
      </c>
      <c r="H22" s="14">
        <f t="shared" si="1"/>
        <v>984.75426923076918</v>
      </c>
      <c r="I22" s="11" t="s">
        <v>437</v>
      </c>
      <c r="J22" s="11" t="s">
        <v>438</v>
      </c>
    </row>
    <row r="23" spans="1:10" ht="18" customHeight="1" x14ac:dyDescent="0.25">
      <c r="A23" s="15">
        <f>SUBTOTAL(3,$B$11:B23)</f>
        <v>13</v>
      </c>
      <c r="B23" s="15">
        <v>1201</v>
      </c>
      <c r="C23" s="12" t="s">
        <v>45</v>
      </c>
      <c r="D23" s="13" t="s">
        <v>19</v>
      </c>
      <c r="E23" s="12">
        <v>9615505</v>
      </c>
      <c r="F23" s="12">
        <v>18996827</v>
      </c>
      <c r="G23" s="14">
        <f t="shared" si="0"/>
        <v>28612332</v>
      </c>
      <c r="H23" s="14">
        <f t="shared" si="1"/>
        <v>1100.4743076923078</v>
      </c>
      <c r="I23" s="11" t="s">
        <v>439</v>
      </c>
      <c r="J23" s="11" t="s">
        <v>424</v>
      </c>
    </row>
    <row r="24" spans="1:10" ht="18" customHeight="1" x14ac:dyDescent="0.25">
      <c r="A24" s="15">
        <f>SUBTOTAL(3,$B$11:B24)</f>
        <v>14</v>
      </c>
      <c r="B24" s="15">
        <v>1226</v>
      </c>
      <c r="C24" s="12" t="s">
        <v>46</v>
      </c>
      <c r="D24" s="13" t="s">
        <v>13</v>
      </c>
      <c r="E24" s="12">
        <v>7912528</v>
      </c>
      <c r="F24" s="12">
        <v>14113629</v>
      </c>
      <c r="G24" s="14">
        <f t="shared" si="0"/>
        <v>22026157</v>
      </c>
      <c r="H24" s="14">
        <f t="shared" si="1"/>
        <v>847.15988461538461</v>
      </c>
      <c r="I24" s="11" t="s">
        <v>440</v>
      </c>
      <c r="J24" s="11" t="s">
        <v>424</v>
      </c>
    </row>
    <row r="25" spans="1:10" ht="18" customHeight="1" x14ac:dyDescent="0.25">
      <c r="A25" s="15">
        <f>SUBTOTAL(3,$B$11:B25)</f>
        <v>15</v>
      </c>
      <c r="B25" s="15">
        <v>1228</v>
      </c>
      <c r="C25" s="12" t="s">
        <v>47</v>
      </c>
      <c r="D25" s="13" t="s">
        <v>13</v>
      </c>
      <c r="E25" s="12">
        <v>4799519</v>
      </c>
      <c r="F25" s="12">
        <v>9355769</v>
      </c>
      <c r="G25" s="14">
        <f t="shared" si="0"/>
        <v>14155288</v>
      </c>
      <c r="H25" s="14">
        <f t="shared" si="1"/>
        <v>544.43415384615389</v>
      </c>
      <c r="I25" s="11" t="s">
        <v>441</v>
      </c>
      <c r="J25" s="11" t="s">
        <v>424</v>
      </c>
    </row>
    <row r="26" spans="1:10" ht="18" customHeight="1" x14ac:dyDescent="0.25">
      <c r="A26" s="15">
        <f>SUBTOTAL(3,$B$11:B26)</f>
        <v>16</v>
      </c>
      <c r="B26" s="15">
        <v>1242</v>
      </c>
      <c r="C26" s="12" t="s">
        <v>48</v>
      </c>
      <c r="D26" s="13" t="s">
        <v>30</v>
      </c>
      <c r="E26" s="12">
        <v>8044471</v>
      </c>
      <c r="F26" s="12">
        <v>14129942</v>
      </c>
      <c r="G26" s="14">
        <f t="shared" si="0"/>
        <v>22174413</v>
      </c>
      <c r="H26" s="14">
        <f t="shared" si="1"/>
        <v>852.86203846153842</v>
      </c>
      <c r="I26" s="11" t="s">
        <v>442</v>
      </c>
      <c r="J26" s="11" t="s">
        <v>424</v>
      </c>
    </row>
    <row r="27" spans="1:10" ht="18" customHeight="1" x14ac:dyDescent="0.25">
      <c r="A27" s="15">
        <f>SUBTOTAL(3,$B$11:B27)</f>
        <v>17</v>
      </c>
      <c r="B27" s="15">
        <v>1283</v>
      </c>
      <c r="C27" s="12" t="s">
        <v>49</v>
      </c>
      <c r="D27" s="13" t="s">
        <v>13</v>
      </c>
      <c r="E27" s="12">
        <v>5199603</v>
      </c>
      <c r="F27" s="12">
        <v>8740233</v>
      </c>
      <c r="G27" s="14">
        <f t="shared" si="0"/>
        <v>13939836</v>
      </c>
      <c r="H27" s="14">
        <f t="shared" si="1"/>
        <v>536.14753846153849</v>
      </c>
      <c r="I27" s="11" t="s">
        <v>443</v>
      </c>
      <c r="J27" s="11" t="s">
        <v>424</v>
      </c>
    </row>
    <row r="28" spans="1:10" ht="18" customHeight="1" x14ac:dyDescent="0.25">
      <c r="A28" s="15">
        <f>SUBTOTAL(3,$B$11:B28)</f>
        <v>18</v>
      </c>
      <c r="B28" s="15">
        <v>1304</v>
      </c>
      <c r="C28" s="12" t="s">
        <v>50</v>
      </c>
      <c r="D28" s="13" t="s">
        <v>13</v>
      </c>
      <c r="E28" s="12">
        <v>4408906</v>
      </c>
      <c r="F28" s="12">
        <v>9014993</v>
      </c>
      <c r="G28" s="14">
        <f t="shared" si="0"/>
        <v>13423899</v>
      </c>
      <c r="H28" s="14">
        <f t="shared" si="1"/>
        <v>516.30380769230771</v>
      </c>
      <c r="I28" s="11" t="s">
        <v>444</v>
      </c>
      <c r="J28" s="11" t="s">
        <v>424</v>
      </c>
    </row>
    <row r="29" spans="1:10" ht="18" customHeight="1" x14ac:dyDescent="0.25">
      <c r="A29" s="15">
        <f>SUBTOTAL(3,$B$11:B29)</f>
        <v>19</v>
      </c>
      <c r="B29" s="15">
        <v>1311</v>
      </c>
      <c r="C29" s="12" t="s">
        <v>51</v>
      </c>
      <c r="D29" s="13" t="s">
        <v>13</v>
      </c>
      <c r="E29" s="12">
        <v>5429783</v>
      </c>
      <c r="F29" s="12">
        <v>8002986</v>
      </c>
      <c r="G29" s="14">
        <f t="shared" si="0"/>
        <v>13432769</v>
      </c>
      <c r="H29" s="14">
        <f t="shared" si="1"/>
        <v>516.64496153846153</v>
      </c>
      <c r="I29" s="11" t="s">
        <v>445</v>
      </c>
      <c r="J29" s="11" t="s">
        <v>424</v>
      </c>
    </row>
    <row r="30" spans="1:10" ht="18" customHeight="1" x14ac:dyDescent="0.25">
      <c r="A30" s="15">
        <f>SUBTOTAL(3,$B$11:B30)</f>
        <v>20</v>
      </c>
      <c r="B30" s="15">
        <v>1338</v>
      </c>
      <c r="C30" s="12" t="s">
        <v>52</v>
      </c>
      <c r="D30" s="13" t="s">
        <v>21</v>
      </c>
      <c r="E30" s="12">
        <v>5043840</v>
      </c>
      <c r="F30" s="12">
        <v>8743221</v>
      </c>
      <c r="G30" s="14">
        <f t="shared" si="0"/>
        <v>13787061</v>
      </c>
      <c r="H30" s="14">
        <f t="shared" si="1"/>
        <v>530.27157692307696</v>
      </c>
      <c r="I30" s="11" t="s">
        <v>446</v>
      </c>
      <c r="J30" s="11" t="s">
        <v>424</v>
      </c>
    </row>
    <row r="31" spans="1:10" ht="18" customHeight="1" x14ac:dyDescent="0.25">
      <c r="A31" s="15">
        <f>SUBTOTAL(3,$B$11:B31)</f>
        <v>21</v>
      </c>
      <c r="B31" s="15">
        <v>1340</v>
      </c>
      <c r="C31" s="12" t="s">
        <v>53</v>
      </c>
      <c r="D31" s="13" t="s">
        <v>11</v>
      </c>
      <c r="E31" s="12">
        <v>13401427</v>
      </c>
      <c r="F31" s="12">
        <v>19372019</v>
      </c>
      <c r="G31" s="14">
        <f t="shared" si="0"/>
        <v>32773446</v>
      </c>
      <c r="H31" s="14">
        <f t="shared" si="1"/>
        <v>1260.5171538461539</v>
      </c>
      <c r="I31" s="11" t="s">
        <v>447</v>
      </c>
      <c r="J31" s="11" t="s">
        <v>424</v>
      </c>
    </row>
    <row r="32" spans="1:10" ht="18" customHeight="1" x14ac:dyDescent="0.25">
      <c r="A32" s="15">
        <f>SUBTOTAL(3,$B$11:B32)</f>
        <v>22</v>
      </c>
      <c r="B32" s="15">
        <v>1342</v>
      </c>
      <c r="C32" s="12" t="s">
        <v>54</v>
      </c>
      <c r="D32" s="13" t="s">
        <v>19</v>
      </c>
      <c r="E32" s="12">
        <v>7729038</v>
      </c>
      <c r="F32" s="12">
        <v>15300000</v>
      </c>
      <c r="G32" s="14">
        <f t="shared" si="0"/>
        <v>23029038</v>
      </c>
      <c r="H32" s="14">
        <f t="shared" si="1"/>
        <v>885.7322307692308</v>
      </c>
      <c r="I32" s="11" t="s">
        <v>448</v>
      </c>
      <c r="J32" s="11" t="s">
        <v>424</v>
      </c>
    </row>
    <row r="33" spans="1:10" ht="18" customHeight="1" x14ac:dyDescent="0.25">
      <c r="A33" s="15">
        <f>SUBTOTAL(3,$B$11:B33)</f>
        <v>23</v>
      </c>
      <c r="B33" s="15">
        <v>1354</v>
      </c>
      <c r="C33" s="12" t="s">
        <v>55</v>
      </c>
      <c r="D33" s="13" t="s">
        <v>19</v>
      </c>
      <c r="E33" s="12">
        <v>8570845</v>
      </c>
      <c r="F33" s="12">
        <v>19133991</v>
      </c>
      <c r="G33" s="14">
        <f t="shared" si="0"/>
        <v>27704836</v>
      </c>
      <c r="H33" s="14">
        <f t="shared" si="1"/>
        <v>1065.5706153846154</v>
      </c>
      <c r="I33" s="11" t="s">
        <v>449</v>
      </c>
      <c r="J33" s="11" t="s">
        <v>424</v>
      </c>
    </row>
    <row r="34" spans="1:10" ht="18" customHeight="1" x14ac:dyDescent="0.25">
      <c r="A34" s="15">
        <f>SUBTOTAL(3,$B$11:B34)</f>
        <v>24</v>
      </c>
      <c r="B34" s="15">
        <v>1416</v>
      </c>
      <c r="C34" s="12" t="s">
        <v>57</v>
      </c>
      <c r="D34" s="13" t="s">
        <v>10</v>
      </c>
      <c r="E34" s="12">
        <v>9641827</v>
      </c>
      <c r="F34" s="12">
        <v>11971877</v>
      </c>
      <c r="G34" s="14">
        <f t="shared" si="0"/>
        <v>21613704</v>
      </c>
      <c r="H34" s="14">
        <f t="shared" si="1"/>
        <v>831.29630769230766</v>
      </c>
      <c r="I34" s="11" t="s">
        <v>451</v>
      </c>
      <c r="J34" s="11" t="s">
        <v>452</v>
      </c>
    </row>
    <row r="35" spans="1:10" ht="18" customHeight="1" x14ac:dyDescent="0.25">
      <c r="A35" s="15">
        <f>SUBTOTAL(3,$B$11:B35)</f>
        <v>25</v>
      </c>
      <c r="B35" s="15">
        <v>1424</v>
      </c>
      <c r="C35" s="12" t="s">
        <v>58</v>
      </c>
      <c r="D35" s="13" t="s">
        <v>13</v>
      </c>
      <c r="E35" s="12">
        <v>4757993</v>
      </c>
      <c r="F35" s="12">
        <v>7814212</v>
      </c>
      <c r="G35" s="14">
        <f t="shared" si="0"/>
        <v>12572205</v>
      </c>
      <c r="H35" s="14">
        <f t="shared" si="1"/>
        <v>483.54634615384617</v>
      </c>
      <c r="I35" s="11" t="s">
        <v>453</v>
      </c>
      <c r="J35" s="11" t="s">
        <v>424</v>
      </c>
    </row>
    <row r="36" spans="1:10" ht="18" customHeight="1" x14ac:dyDescent="0.25">
      <c r="A36" s="15">
        <f>SUBTOTAL(3,$B$11:B36)</f>
        <v>26</v>
      </c>
      <c r="B36" s="15">
        <v>1451</v>
      </c>
      <c r="C36" s="12" t="s">
        <v>59</v>
      </c>
      <c r="D36" s="13" t="s">
        <v>18</v>
      </c>
      <c r="E36" s="12">
        <v>5143750</v>
      </c>
      <c r="F36" s="12">
        <v>9753629</v>
      </c>
      <c r="G36" s="14">
        <f t="shared" si="0"/>
        <v>14897379</v>
      </c>
      <c r="H36" s="14">
        <f t="shared" si="1"/>
        <v>572.97611538461535</v>
      </c>
      <c r="I36" s="11" t="s">
        <v>454</v>
      </c>
      <c r="J36" s="11" t="s">
        <v>424</v>
      </c>
    </row>
    <row r="37" spans="1:10" ht="18" customHeight="1" x14ac:dyDescent="0.25">
      <c r="A37" s="15">
        <f>SUBTOTAL(3,$B$11:B37)</f>
        <v>27</v>
      </c>
      <c r="B37" s="15">
        <v>1462</v>
      </c>
      <c r="C37" s="12" t="s">
        <v>60</v>
      </c>
      <c r="D37" s="13" t="s">
        <v>20</v>
      </c>
      <c r="E37" s="12">
        <v>4328459</v>
      </c>
      <c r="F37" s="12">
        <v>6596566</v>
      </c>
      <c r="G37" s="14">
        <f t="shared" si="0"/>
        <v>10925025</v>
      </c>
      <c r="H37" s="14">
        <f t="shared" si="1"/>
        <v>420.1932692307692</v>
      </c>
      <c r="I37" s="11" t="s">
        <v>455</v>
      </c>
      <c r="J37" s="11" t="s">
        <v>424</v>
      </c>
    </row>
    <row r="38" spans="1:10" ht="18" customHeight="1" x14ac:dyDescent="0.25">
      <c r="A38" s="15">
        <f>SUBTOTAL(3,$B$11:B38)</f>
        <v>28</v>
      </c>
      <c r="B38" s="15">
        <v>1500</v>
      </c>
      <c r="C38" s="12" t="s">
        <v>61</v>
      </c>
      <c r="D38" s="13" t="s">
        <v>19</v>
      </c>
      <c r="E38" s="12">
        <v>6652139</v>
      </c>
      <c r="F38" s="12">
        <v>14135096</v>
      </c>
      <c r="G38" s="14">
        <f t="shared" si="0"/>
        <v>20787235</v>
      </c>
      <c r="H38" s="14">
        <f t="shared" si="1"/>
        <v>799.50903846153847</v>
      </c>
      <c r="I38" s="11" t="s">
        <v>456</v>
      </c>
      <c r="J38" s="11" t="s">
        <v>424</v>
      </c>
    </row>
    <row r="39" spans="1:10" ht="18" customHeight="1" x14ac:dyDescent="0.25">
      <c r="A39" s="15">
        <f>SUBTOTAL(3,$B$11:B39)</f>
        <v>29</v>
      </c>
      <c r="B39" s="15">
        <v>1502</v>
      </c>
      <c r="C39" s="12" t="s">
        <v>62</v>
      </c>
      <c r="D39" s="13" t="s">
        <v>23</v>
      </c>
      <c r="E39" s="12">
        <v>6023245</v>
      </c>
      <c r="F39" s="12">
        <v>14240865</v>
      </c>
      <c r="G39" s="14">
        <f t="shared" si="0"/>
        <v>20264110</v>
      </c>
      <c r="H39" s="14">
        <f t="shared" si="1"/>
        <v>779.3888461538462</v>
      </c>
      <c r="I39" s="11" t="s">
        <v>457</v>
      </c>
      <c r="J39" s="11" t="s">
        <v>424</v>
      </c>
    </row>
    <row r="40" spans="1:10" ht="18" customHeight="1" x14ac:dyDescent="0.25">
      <c r="A40" s="15">
        <f>SUBTOTAL(3,$B$11:B40)</f>
        <v>30</v>
      </c>
      <c r="B40" s="15">
        <v>1611</v>
      </c>
      <c r="C40" s="12" t="s">
        <v>63</v>
      </c>
      <c r="D40" s="13" t="s">
        <v>21</v>
      </c>
      <c r="E40" s="12">
        <v>6208692</v>
      </c>
      <c r="F40" s="12">
        <v>15067141</v>
      </c>
      <c r="G40" s="14">
        <f t="shared" si="0"/>
        <v>21275833</v>
      </c>
      <c r="H40" s="14">
        <f t="shared" si="1"/>
        <v>818.30126923076921</v>
      </c>
      <c r="I40" s="11" t="s">
        <v>458</v>
      </c>
      <c r="J40" s="11" t="s">
        <v>424</v>
      </c>
    </row>
    <row r="41" spans="1:10" ht="18" customHeight="1" x14ac:dyDescent="0.25">
      <c r="A41" s="15">
        <f>SUBTOTAL(3,$B$11:B41)</f>
        <v>31</v>
      </c>
      <c r="B41" s="15">
        <v>1660</v>
      </c>
      <c r="C41" s="12" t="s">
        <v>64</v>
      </c>
      <c r="D41" s="13" t="s">
        <v>1008</v>
      </c>
      <c r="E41" s="12">
        <v>10000726</v>
      </c>
      <c r="F41" s="12">
        <v>19760649</v>
      </c>
      <c r="G41" s="14">
        <f t="shared" si="0"/>
        <v>29761375</v>
      </c>
      <c r="H41" s="14">
        <f t="shared" si="1"/>
        <v>1144.6682692307693</v>
      </c>
      <c r="I41" s="11" t="s">
        <v>459</v>
      </c>
      <c r="J41" s="11" t="s">
        <v>424</v>
      </c>
    </row>
    <row r="42" spans="1:10" ht="18" customHeight="1" x14ac:dyDescent="0.25">
      <c r="A42" s="15">
        <f>SUBTOTAL(3,$B$11:B42)</f>
        <v>32</v>
      </c>
      <c r="B42" s="15">
        <v>1685</v>
      </c>
      <c r="C42" s="12" t="s">
        <v>65</v>
      </c>
      <c r="D42" s="13" t="s">
        <v>25</v>
      </c>
      <c r="E42" s="12">
        <v>3875865</v>
      </c>
      <c r="F42" s="12">
        <v>7728202</v>
      </c>
      <c r="G42" s="14">
        <f t="shared" si="0"/>
        <v>11604067</v>
      </c>
      <c r="H42" s="14">
        <f t="shared" si="1"/>
        <v>446.31026923076922</v>
      </c>
      <c r="I42" s="11" t="s">
        <v>460</v>
      </c>
      <c r="J42" s="11" t="s">
        <v>424</v>
      </c>
    </row>
    <row r="43" spans="1:10" ht="18" customHeight="1" x14ac:dyDescent="0.25">
      <c r="A43" s="15">
        <f>SUBTOTAL(3,$B$11:B43)</f>
        <v>33</v>
      </c>
      <c r="B43" s="15">
        <v>1702</v>
      </c>
      <c r="C43" s="12" t="s">
        <v>66</v>
      </c>
      <c r="D43" s="13" t="s">
        <v>14</v>
      </c>
      <c r="E43" s="12">
        <v>10462104</v>
      </c>
      <c r="F43" s="12">
        <v>18957509</v>
      </c>
      <c r="G43" s="14">
        <f t="shared" si="0"/>
        <v>29419613</v>
      </c>
      <c r="H43" s="14">
        <f t="shared" si="1"/>
        <v>1131.5235769230769</v>
      </c>
      <c r="I43" s="11" t="s">
        <v>461</v>
      </c>
      <c r="J43" s="11" t="s">
        <v>424</v>
      </c>
    </row>
    <row r="44" spans="1:10" ht="18" customHeight="1" x14ac:dyDescent="0.25">
      <c r="A44" s="15">
        <f>SUBTOTAL(3,$B$11:B44)</f>
        <v>34</v>
      </c>
      <c r="B44" s="15">
        <v>1725</v>
      </c>
      <c r="C44" s="12" t="s">
        <v>67</v>
      </c>
      <c r="D44" s="13" t="s">
        <v>12</v>
      </c>
      <c r="E44" s="12">
        <v>8754016</v>
      </c>
      <c r="F44" s="12">
        <v>17617169</v>
      </c>
      <c r="G44" s="14">
        <f t="shared" si="0"/>
        <v>26371185</v>
      </c>
      <c r="H44" s="14">
        <f t="shared" si="1"/>
        <v>1014.2763461538461</v>
      </c>
      <c r="I44" s="11" t="s">
        <v>462</v>
      </c>
      <c r="J44" s="11" t="s">
        <v>424</v>
      </c>
    </row>
    <row r="45" spans="1:10" ht="18" customHeight="1" x14ac:dyDescent="0.25">
      <c r="A45" s="15">
        <f>SUBTOTAL(3,$B$11:B45)</f>
        <v>35</v>
      </c>
      <c r="B45" s="15">
        <v>1741</v>
      </c>
      <c r="C45" s="12" t="s">
        <v>68</v>
      </c>
      <c r="D45" s="13" t="s">
        <v>24</v>
      </c>
      <c r="E45" s="12">
        <v>11001517</v>
      </c>
      <c r="F45" s="12">
        <v>18992969</v>
      </c>
      <c r="G45" s="14">
        <f t="shared" si="0"/>
        <v>29994486</v>
      </c>
      <c r="H45" s="14">
        <f t="shared" si="1"/>
        <v>1153.6340769230769</v>
      </c>
      <c r="I45" s="11" t="s">
        <v>463</v>
      </c>
      <c r="J45" s="11" t="s">
        <v>424</v>
      </c>
    </row>
    <row r="46" spans="1:10" ht="18" customHeight="1" x14ac:dyDescent="0.25">
      <c r="A46" s="15">
        <f>SUBTOTAL(3,$B$11:B46)</f>
        <v>36</v>
      </c>
      <c r="B46" s="15">
        <v>1758</v>
      </c>
      <c r="C46" s="12" t="s">
        <v>69</v>
      </c>
      <c r="D46" s="13" t="s">
        <v>21</v>
      </c>
      <c r="E46" s="12">
        <v>4962180</v>
      </c>
      <c r="F46" s="12">
        <v>8442858</v>
      </c>
      <c r="G46" s="14">
        <f t="shared" si="0"/>
        <v>13405038</v>
      </c>
      <c r="H46" s="14">
        <f t="shared" si="1"/>
        <v>515.57838461538461</v>
      </c>
      <c r="I46" s="11" t="s">
        <v>464</v>
      </c>
      <c r="J46" s="11" t="s">
        <v>424</v>
      </c>
    </row>
    <row r="47" spans="1:10" ht="18" customHeight="1" x14ac:dyDescent="0.25">
      <c r="A47" s="15">
        <f>SUBTOTAL(3,$B$11:B47)</f>
        <v>37</v>
      </c>
      <c r="B47" s="15">
        <v>1800</v>
      </c>
      <c r="C47" s="12" t="s">
        <v>70</v>
      </c>
      <c r="D47" s="13" t="s">
        <v>28</v>
      </c>
      <c r="E47" s="12">
        <v>6138192</v>
      </c>
      <c r="F47" s="12">
        <v>10574423</v>
      </c>
      <c r="G47" s="14">
        <f t="shared" si="0"/>
        <v>16712615</v>
      </c>
      <c r="H47" s="14">
        <f t="shared" si="1"/>
        <v>642.79288461538465</v>
      </c>
      <c r="I47" s="11" t="s">
        <v>465</v>
      </c>
      <c r="J47" s="11" t="s">
        <v>424</v>
      </c>
    </row>
    <row r="48" spans="1:10" ht="18" customHeight="1" x14ac:dyDescent="0.25">
      <c r="A48" s="15">
        <f>SUBTOTAL(3,$B$11:B48)</f>
        <v>38</v>
      </c>
      <c r="B48" s="15">
        <v>1810</v>
      </c>
      <c r="C48" s="12" t="s">
        <v>71</v>
      </c>
      <c r="D48" s="13" t="s">
        <v>13</v>
      </c>
      <c r="E48" s="12">
        <v>6995160</v>
      </c>
      <c r="F48" s="12">
        <v>15529904</v>
      </c>
      <c r="G48" s="14">
        <f t="shared" si="0"/>
        <v>22525064</v>
      </c>
      <c r="H48" s="14">
        <f t="shared" si="1"/>
        <v>866.34861538461541</v>
      </c>
      <c r="I48" s="11" t="s">
        <v>466</v>
      </c>
      <c r="J48" s="11" t="s">
        <v>424</v>
      </c>
    </row>
    <row r="49" spans="1:10" ht="18" customHeight="1" x14ac:dyDescent="0.25">
      <c r="A49" s="15">
        <f>SUBTOTAL(3,$B$11:B49)</f>
        <v>39</v>
      </c>
      <c r="B49" s="15">
        <v>1811</v>
      </c>
      <c r="C49" s="12" t="s">
        <v>72</v>
      </c>
      <c r="D49" s="13" t="s">
        <v>13</v>
      </c>
      <c r="E49" s="12">
        <v>4019663</v>
      </c>
      <c r="F49" s="12">
        <v>6344404</v>
      </c>
      <c r="G49" s="14">
        <f t="shared" si="0"/>
        <v>10364067</v>
      </c>
      <c r="H49" s="14">
        <f t="shared" si="1"/>
        <v>398.61796153846154</v>
      </c>
      <c r="I49" s="11" t="s">
        <v>467</v>
      </c>
      <c r="J49" s="11" t="s">
        <v>424</v>
      </c>
    </row>
    <row r="50" spans="1:10" ht="18" customHeight="1" x14ac:dyDescent="0.25">
      <c r="A50" s="15">
        <f>SUBTOTAL(3,$B$11:B50)</f>
        <v>40</v>
      </c>
      <c r="B50" s="15">
        <v>1844</v>
      </c>
      <c r="C50" s="12" t="s">
        <v>73</v>
      </c>
      <c r="D50" s="13" t="s">
        <v>13</v>
      </c>
      <c r="E50" s="12">
        <v>15661803</v>
      </c>
      <c r="F50" s="12">
        <v>24107760</v>
      </c>
      <c r="G50" s="14">
        <f t="shared" si="0"/>
        <v>39769563</v>
      </c>
      <c r="H50" s="14">
        <f t="shared" si="1"/>
        <v>1529.598576923077</v>
      </c>
      <c r="I50" s="11" t="s">
        <v>468</v>
      </c>
      <c r="J50" s="11" t="s">
        <v>423</v>
      </c>
    </row>
    <row r="51" spans="1:10" ht="18" customHeight="1" x14ac:dyDescent="0.25">
      <c r="A51" s="15">
        <f>SUBTOTAL(3,$B$11:B51)</f>
        <v>41</v>
      </c>
      <c r="B51" s="15">
        <v>1958</v>
      </c>
      <c r="C51" s="12" t="s">
        <v>75</v>
      </c>
      <c r="D51" s="13" t="s">
        <v>1166</v>
      </c>
      <c r="E51" s="12">
        <v>11860577</v>
      </c>
      <c r="F51" s="12">
        <v>29417596</v>
      </c>
      <c r="G51" s="14">
        <f t="shared" si="0"/>
        <v>41278173</v>
      </c>
      <c r="H51" s="14">
        <f t="shared" si="1"/>
        <v>1587.6220384615385</v>
      </c>
      <c r="I51" s="11" t="s">
        <v>469</v>
      </c>
      <c r="J51" s="11" t="s">
        <v>424</v>
      </c>
    </row>
    <row r="52" spans="1:10" ht="18" customHeight="1" x14ac:dyDescent="0.25">
      <c r="A52" s="15">
        <f>SUBTOTAL(3,$B$11:B52)</f>
        <v>42</v>
      </c>
      <c r="B52" s="15">
        <v>1967</v>
      </c>
      <c r="C52" s="12" t="s">
        <v>76</v>
      </c>
      <c r="D52" s="13" t="s">
        <v>13</v>
      </c>
      <c r="E52" s="12">
        <v>8007516</v>
      </c>
      <c r="F52" s="12">
        <v>16128413</v>
      </c>
      <c r="G52" s="14">
        <f t="shared" si="0"/>
        <v>24135929</v>
      </c>
      <c r="H52" s="14">
        <f t="shared" si="1"/>
        <v>928.3049615384615</v>
      </c>
      <c r="I52" s="11" t="s">
        <v>470</v>
      </c>
      <c r="J52" s="11" t="s">
        <v>424</v>
      </c>
    </row>
    <row r="53" spans="1:10" ht="18" customHeight="1" x14ac:dyDescent="0.25">
      <c r="A53" s="15">
        <f>SUBTOTAL(3,$B$11:B53)</f>
        <v>43</v>
      </c>
      <c r="B53" s="15">
        <v>2010</v>
      </c>
      <c r="C53" s="12" t="s">
        <v>77</v>
      </c>
      <c r="D53" s="13" t="s">
        <v>13</v>
      </c>
      <c r="E53" s="12">
        <v>7209857</v>
      </c>
      <c r="F53" s="12">
        <v>16361076</v>
      </c>
      <c r="G53" s="14">
        <f t="shared" si="0"/>
        <v>23570933</v>
      </c>
      <c r="H53" s="14">
        <f t="shared" si="1"/>
        <v>906.57434615384614</v>
      </c>
      <c r="I53" s="11" t="s">
        <v>471</v>
      </c>
      <c r="J53" s="11" t="s">
        <v>472</v>
      </c>
    </row>
    <row r="54" spans="1:10" ht="18" customHeight="1" x14ac:dyDescent="0.25">
      <c r="A54" s="15">
        <f>SUBTOTAL(3,$B$11:B54)</f>
        <v>44</v>
      </c>
      <c r="B54" s="15">
        <v>2011</v>
      </c>
      <c r="C54" s="12" t="s">
        <v>78</v>
      </c>
      <c r="D54" s="13" t="s">
        <v>13</v>
      </c>
      <c r="E54" s="12">
        <v>13171154</v>
      </c>
      <c r="F54" s="12">
        <v>21527413</v>
      </c>
      <c r="G54" s="14">
        <f t="shared" si="0"/>
        <v>34698567</v>
      </c>
      <c r="H54" s="14">
        <f t="shared" si="1"/>
        <v>1334.5602692307693</v>
      </c>
      <c r="I54" s="11" t="s">
        <v>473</v>
      </c>
      <c r="J54" s="11" t="s">
        <v>424</v>
      </c>
    </row>
    <row r="55" spans="1:10" ht="18" customHeight="1" x14ac:dyDescent="0.25">
      <c r="A55" s="15">
        <f>SUBTOTAL(3,$B$11:B55)</f>
        <v>45</v>
      </c>
      <c r="B55" s="15">
        <v>2067</v>
      </c>
      <c r="C55" s="12" t="s">
        <v>79</v>
      </c>
      <c r="D55" s="13" t="s">
        <v>26</v>
      </c>
      <c r="E55" s="12">
        <v>6596995</v>
      </c>
      <c r="F55" s="12">
        <v>10334159</v>
      </c>
      <c r="G55" s="14">
        <f t="shared" si="0"/>
        <v>16931154</v>
      </c>
      <c r="H55" s="14">
        <f t="shared" si="1"/>
        <v>651.1982307692308</v>
      </c>
      <c r="I55" s="11" t="s">
        <v>474</v>
      </c>
      <c r="J55" s="11" t="s">
        <v>424</v>
      </c>
    </row>
    <row r="56" spans="1:10" ht="18" customHeight="1" x14ac:dyDescent="0.25">
      <c r="A56" s="15">
        <f>SUBTOTAL(3,$B$11:B56)</f>
        <v>46</v>
      </c>
      <c r="B56" s="15">
        <v>2073</v>
      </c>
      <c r="C56" s="12" t="s">
        <v>80</v>
      </c>
      <c r="D56" s="13" t="s">
        <v>13</v>
      </c>
      <c r="E56" s="12">
        <v>7982500</v>
      </c>
      <c r="F56" s="12">
        <v>18988318</v>
      </c>
      <c r="G56" s="14">
        <f t="shared" si="0"/>
        <v>26970818</v>
      </c>
      <c r="H56" s="14">
        <f t="shared" si="1"/>
        <v>1037.3391538461537</v>
      </c>
      <c r="I56" s="11" t="s">
        <v>475</v>
      </c>
      <c r="J56" s="11" t="s">
        <v>424</v>
      </c>
    </row>
    <row r="57" spans="1:10" ht="18" customHeight="1" x14ac:dyDescent="0.25">
      <c r="A57" s="15">
        <f>SUBTOTAL(3,$B$11:B57)</f>
        <v>47</v>
      </c>
      <c r="B57" s="15">
        <v>2119</v>
      </c>
      <c r="C57" s="12" t="s">
        <v>81</v>
      </c>
      <c r="D57" s="13" t="s">
        <v>27</v>
      </c>
      <c r="E57" s="12">
        <v>8152433</v>
      </c>
      <c r="F57" s="12">
        <v>11905018</v>
      </c>
      <c r="G57" s="14">
        <f t="shared" si="0"/>
        <v>20057451</v>
      </c>
      <c r="H57" s="14">
        <f t="shared" si="1"/>
        <v>771.44042307692303</v>
      </c>
      <c r="I57" s="11" t="s">
        <v>476</v>
      </c>
      <c r="J57" s="11" t="s">
        <v>424</v>
      </c>
    </row>
    <row r="58" spans="1:10" ht="18" customHeight="1" x14ac:dyDescent="0.25">
      <c r="A58" s="15">
        <f>SUBTOTAL(3,$B$11:B58)</f>
        <v>48</v>
      </c>
      <c r="B58" s="15">
        <v>2144</v>
      </c>
      <c r="C58" s="12" t="s">
        <v>82</v>
      </c>
      <c r="D58" s="13" t="s">
        <v>27</v>
      </c>
      <c r="E58" s="12">
        <v>7778846</v>
      </c>
      <c r="F58" s="12">
        <v>13460312</v>
      </c>
      <c r="G58" s="14">
        <f t="shared" si="0"/>
        <v>21239158</v>
      </c>
      <c r="H58" s="14">
        <f t="shared" si="1"/>
        <v>816.89069230769235</v>
      </c>
      <c r="I58" s="11" t="s">
        <v>477</v>
      </c>
      <c r="J58" s="11" t="s">
        <v>424</v>
      </c>
    </row>
    <row r="59" spans="1:10" ht="18" customHeight="1" x14ac:dyDescent="0.25">
      <c r="A59" s="15">
        <f>SUBTOTAL(3,$B$11:B59)</f>
        <v>49</v>
      </c>
      <c r="B59" s="15">
        <v>2176</v>
      </c>
      <c r="C59" s="12" t="s">
        <v>83</v>
      </c>
      <c r="D59" s="13" t="s">
        <v>15</v>
      </c>
      <c r="E59" s="12">
        <v>8669123</v>
      </c>
      <c r="F59" s="12">
        <v>11813473</v>
      </c>
      <c r="G59" s="14">
        <f t="shared" si="0"/>
        <v>20482596</v>
      </c>
      <c r="H59" s="14">
        <f t="shared" si="1"/>
        <v>787.79215384615384</v>
      </c>
      <c r="I59" s="11" t="s">
        <v>478</v>
      </c>
      <c r="J59" s="11" t="s">
        <v>424</v>
      </c>
    </row>
    <row r="60" spans="1:10" ht="18" customHeight="1" x14ac:dyDescent="0.25">
      <c r="A60" s="15">
        <f>SUBTOTAL(3,$B$11:B60)</f>
        <v>50</v>
      </c>
      <c r="B60" s="15">
        <v>2189</v>
      </c>
      <c r="C60" s="12" t="s">
        <v>84</v>
      </c>
      <c r="D60" s="13" t="s">
        <v>14</v>
      </c>
      <c r="E60" s="12">
        <v>9251815</v>
      </c>
      <c r="F60" s="12">
        <v>17316178</v>
      </c>
      <c r="G60" s="14">
        <f t="shared" si="0"/>
        <v>26567993</v>
      </c>
      <c r="H60" s="14">
        <f t="shared" si="1"/>
        <v>1021.8458846153846</v>
      </c>
      <c r="I60" s="11" t="s">
        <v>1629</v>
      </c>
      <c r="J60" s="11" t="s">
        <v>696</v>
      </c>
    </row>
    <row r="61" spans="1:10" ht="18" customHeight="1" x14ac:dyDescent="0.25">
      <c r="A61" s="15">
        <f>SUBTOTAL(3,$B$11:B61)</f>
        <v>51</v>
      </c>
      <c r="B61" s="15">
        <v>2197</v>
      </c>
      <c r="C61" s="12" t="s">
        <v>85</v>
      </c>
      <c r="D61" s="13" t="s">
        <v>11</v>
      </c>
      <c r="E61" s="12">
        <v>8501535</v>
      </c>
      <c r="F61" s="12">
        <v>18139279</v>
      </c>
      <c r="G61" s="14">
        <f t="shared" si="0"/>
        <v>26640814</v>
      </c>
      <c r="H61" s="14">
        <f t="shared" si="1"/>
        <v>1024.6466923076923</v>
      </c>
      <c r="I61" s="11" t="s">
        <v>479</v>
      </c>
      <c r="J61" s="11" t="s">
        <v>424</v>
      </c>
    </row>
    <row r="62" spans="1:10" ht="18" customHeight="1" x14ac:dyDescent="0.25">
      <c r="A62" s="15">
        <f>SUBTOTAL(3,$B$11:B62)</f>
        <v>52</v>
      </c>
      <c r="B62" s="15">
        <v>2215</v>
      </c>
      <c r="C62" s="12" t="s">
        <v>86</v>
      </c>
      <c r="D62" s="13" t="s">
        <v>21</v>
      </c>
      <c r="E62" s="12">
        <v>6791117</v>
      </c>
      <c r="F62" s="12">
        <v>12772535</v>
      </c>
      <c r="G62" s="14">
        <f t="shared" si="0"/>
        <v>19563652</v>
      </c>
      <c r="H62" s="14">
        <f t="shared" si="1"/>
        <v>752.4481538461539</v>
      </c>
      <c r="I62" s="11" t="s">
        <v>480</v>
      </c>
      <c r="J62" s="11" t="s">
        <v>424</v>
      </c>
    </row>
    <row r="63" spans="1:10" ht="18" customHeight="1" x14ac:dyDescent="0.25">
      <c r="A63" s="15">
        <f>SUBTOTAL(3,$B$11:B63)</f>
        <v>53</v>
      </c>
      <c r="B63" s="15">
        <v>2262</v>
      </c>
      <c r="C63" s="12" t="s">
        <v>87</v>
      </c>
      <c r="D63" s="13" t="s">
        <v>11</v>
      </c>
      <c r="E63" s="12">
        <v>8800876</v>
      </c>
      <c r="F63" s="12">
        <v>16242195</v>
      </c>
      <c r="G63" s="14">
        <f t="shared" si="0"/>
        <v>25043071</v>
      </c>
      <c r="H63" s="14">
        <f t="shared" si="1"/>
        <v>963.1950384615385</v>
      </c>
      <c r="I63" s="11" t="s">
        <v>481</v>
      </c>
      <c r="J63" s="11" t="s">
        <v>424</v>
      </c>
    </row>
    <row r="64" spans="1:10" ht="18" customHeight="1" x14ac:dyDescent="0.25">
      <c r="A64" s="15">
        <f>SUBTOTAL(3,$B$11:B64)</f>
        <v>54</v>
      </c>
      <c r="B64" s="15">
        <v>2296</v>
      </c>
      <c r="C64" s="12" t="s">
        <v>88</v>
      </c>
      <c r="D64" s="13" t="s">
        <v>13</v>
      </c>
      <c r="E64" s="12">
        <v>4408906</v>
      </c>
      <c r="F64" s="12">
        <v>8862348</v>
      </c>
      <c r="G64" s="14">
        <f t="shared" si="0"/>
        <v>13271254</v>
      </c>
      <c r="H64" s="14">
        <f t="shared" si="1"/>
        <v>510.43284615384613</v>
      </c>
      <c r="I64" s="11" t="s">
        <v>482</v>
      </c>
      <c r="J64" s="11" t="s">
        <v>424</v>
      </c>
    </row>
    <row r="65" spans="1:10" ht="18" customHeight="1" x14ac:dyDescent="0.25">
      <c r="A65" s="15">
        <f>SUBTOTAL(3,$B$11:B65)</f>
        <v>55</v>
      </c>
      <c r="B65" s="15">
        <v>2304</v>
      </c>
      <c r="C65" s="12" t="s">
        <v>89</v>
      </c>
      <c r="D65" s="13" t="s">
        <v>13</v>
      </c>
      <c r="E65" s="12">
        <v>4272740</v>
      </c>
      <c r="F65" s="12">
        <v>7615534</v>
      </c>
      <c r="G65" s="14">
        <f t="shared" si="0"/>
        <v>11888274</v>
      </c>
      <c r="H65" s="14">
        <f t="shared" si="1"/>
        <v>457.24130769230771</v>
      </c>
      <c r="I65" s="11" t="s">
        <v>483</v>
      </c>
      <c r="J65" s="11" t="s">
        <v>424</v>
      </c>
    </row>
    <row r="66" spans="1:10" ht="18" customHeight="1" x14ac:dyDescent="0.25">
      <c r="A66" s="15">
        <f>SUBTOTAL(3,$B$11:B66)</f>
        <v>56</v>
      </c>
      <c r="B66" s="15">
        <v>2305</v>
      </c>
      <c r="C66" s="12" t="s">
        <v>90</v>
      </c>
      <c r="D66" s="13" t="s">
        <v>13</v>
      </c>
      <c r="E66" s="12">
        <v>6251980</v>
      </c>
      <c r="F66" s="12">
        <v>11002866</v>
      </c>
      <c r="G66" s="14">
        <f t="shared" si="0"/>
        <v>17254846</v>
      </c>
      <c r="H66" s="14">
        <f t="shared" si="1"/>
        <v>663.64792307692312</v>
      </c>
      <c r="I66" s="11" t="s">
        <v>484</v>
      </c>
      <c r="J66" s="11" t="s">
        <v>424</v>
      </c>
    </row>
    <row r="67" spans="1:10" ht="18" customHeight="1" x14ac:dyDescent="0.25">
      <c r="A67" s="15">
        <f>SUBTOTAL(3,$B$11:B67)</f>
        <v>57</v>
      </c>
      <c r="B67" s="15">
        <v>2390</v>
      </c>
      <c r="C67" s="12" t="s">
        <v>91</v>
      </c>
      <c r="D67" s="13" t="s">
        <v>25</v>
      </c>
      <c r="E67" s="12">
        <v>3749354</v>
      </c>
      <c r="F67" s="12">
        <v>7588359</v>
      </c>
      <c r="G67" s="14">
        <f t="shared" si="0"/>
        <v>11337713</v>
      </c>
      <c r="H67" s="14">
        <f t="shared" si="1"/>
        <v>436.06588461538462</v>
      </c>
      <c r="I67" s="11" t="s">
        <v>485</v>
      </c>
      <c r="J67" s="11" t="s">
        <v>424</v>
      </c>
    </row>
    <row r="68" spans="1:10" ht="18" customHeight="1" x14ac:dyDescent="0.25">
      <c r="A68" s="15">
        <f>SUBTOTAL(3,$B$11:B68)</f>
        <v>58</v>
      </c>
      <c r="B68" s="15">
        <v>2433</v>
      </c>
      <c r="C68" s="12" t="s">
        <v>92</v>
      </c>
      <c r="D68" s="13" t="s">
        <v>18</v>
      </c>
      <c r="E68" s="12">
        <v>4829231</v>
      </c>
      <c r="F68" s="12">
        <v>8928839</v>
      </c>
      <c r="G68" s="14">
        <f t="shared" si="0"/>
        <v>13758070</v>
      </c>
      <c r="H68" s="14">
        <f t="shared" si="1"/>
        <v>529.1565384615385</v>
      </c>
      <c r="I68" s="11" t="s">
        <v>486</v>
      </c>
      <c r="J68" s="11" t="s">
        <v>424</v>
      </c>
    </row>
    <row r="69" spans="1:10" ht="18" customHeight="1" x14ac:dyDescent="0.25">
      <c r="A69" s="15">
        <f>SUBTOTAL(3,$B$11:B69)</f>
        <v>59</v>
      </c>
      <c r="B69" s="15">
        <v>2512</v>
      </c>
      <c r="C69" s="12" t="s">
        <v>93</v>
      </c>
      <c r="D69" s="13" t="s">
        <v>13</v>
      </c>
      <c r="E69" s="12">
        <v>4703510</v>
      </c>
      <c r="F69" s="12">
        <v>8979019</v>
      </c>
      <c r="G69" s="14">
        <f t="shared" si="0"/>
        <v>13682529</v>
      </c>
      <c r="H69" s="14">
        <f t="shared" si="1"/>
        <v>526.25111538461533</v>
      </c>
      <c r="I69" s="11" t="s">
        <v>487</v>
      </c>
      <c r="J69" s="11" t="s">
        <v>424</v>
      </c>
    </row>
    <row r="70" spans="1:10" ht="18" customHeight="1" x14ac:dyDescent="0.25">
      <c r="A70" s="15">
        <f>SUBTOTAL(3,$B$11:B70)</f>
        <v>60</v>
      </c>
      <c r="B70" s="15">
        <v>2549</v>
      </c>
      <c r="C70" s="12" t="s">
        <v>94</v>
      </c>
      <c r="D70" s="13" t="s">
        <v>13</v>
      </c>
      <c r="E70" s="12">
        <v>6293870</v>
      </c>
      <c r="F70" s="12">
        <v>9587764</v>
      </c>
      <c r="G70" s="14">
        <f t="shared" si="0"/>
        <v>15881634</v>
      </c>
      <c r="H70" s="14">
        <f t="shared" si="1"/>
        <v>610.8320769230769</v>
      </c>
      <c r="I70" s="11" t="s">
        <v>488</v>
      </c>
      <c r="J70" s="11" t="s">
        <v>472</v>
      </c>
    </row>
    <row r="71" spans="1:10" ht="18" customHeight="1" x14ac:dyDescent="0.25">
      <c r="A71" s="15">
        <f>SUBTOTAL(3,$B$11:B71)</f>
        <v>61</v>
      </c>
      <c r="B71" s="15">
        <v>2604</v>
      </c>
      <c r="C71" s="12" t="s">
        <v>95</v>
      </c>
      <c r="D71" s="13" t="s">
        <v>15</v>
      </c>
      <c r="E71" s="12">
        <v>14164327</v>
      </c>
      <c r="F71" s="12">
        <v>27178247</v>
      </c>
      <c r="G71" s="14">
        <f t="shared" si="0"/>
        <v>41342574</v>
      </c>
      <c r="H71" s="14">
        <f t="shared" si="1"/>
        <v>1590.0989999999999</v>
      </c>
      <c r="I71" s="11" t="s">
        <v>489</v>
      </c>
      <c r="J71" s="11" t="s">
        <v>452</v>
      </c>
    </row>
    <row r="72" spans="1:10" ht="18" customHeight="1" x14ac:dyDescent="0.25">
      <c r="A72" s="15">
        <f>SUBTOTAL(3,$B$11:B72)</f>
        <v>62</v>
      </c>
      <c r="B72" s="15">
        <v>2609</v>
      </c>
      <c r="C72" s="12" t="s">
        <v>96</v>
      </c>
      <c r="D72" s="13" t="s">
        <v>25</v>
      </c>
      <c r="E72" s="12">
        <v>8281005</v>
      </c>
      <c r="F72" s="12">
        <v>16590611</v>
      </c>
      <c r="G72" s="14">
        <f t="shared" si="0"/>
        <v>24871616</v>
      </c>
      <c r="H72" s="14">
        <f t="shared" si="1"/>
        <v>956.60061538461537</v>
      </c>
      <c r="I72" s="11" t="s">
        <v>490</v>
      </c>
      <c r="J72" s="11" t="s">
        <v>424</v>
      </c>
    </row>
    <row r="73" spans="1:10" ht="18" customHeight="1" x14ac:dyDescent="0.25">
      <c r="A73" s="15">
        <f>SUBTOTAL(3,$B$11:B73)</f>
        <v>63</v>
      </c>
      <c r="B73" s="15">
        <v>2713</v>
      </c>
      <c r="C73" s="12" t="s">
        <v>97</v>
      </c>
      <c r="D73" s="13" t="s">
        <v>25</v>
      </c>
      <c r="E73" s="12">
        <v>7349853</v>
      </c>
      <c r="F73" s="12">
        <v>15327256</v>
      </c>
      <c r="G73" s="14">
        <f t="shared" si="0"/>
        <v>22677109</v>
      </c>
      <c r="H73" s="14">
        <f t="shared" si="1"/>
        <v>872.19650000000001</v>
      </c>
      <c r="I73" s="11" t="s">
        <v>491</v>
      </c>
      <c r="J73" s="11" t="s">
        <v>424</v>
      </c>
    </row>
    <row r="74" spans="1:10" ht="18" customHeight="1" x14ac:dyDescent="0.25">
      <c r="A74" s="15">
        <f>SUBTOTAL(3,$B$11:B74)</f>
        <v>64</v>
      </c>
      <c r="B74" s="15">
        <v>2783</v>
      </c>
      <c r="C74" s="12" t="s">
        <v>98</v>
      </c>
      <c r="D74" s="13" t="s">
        <v>21</v>
      </c>
      <c r="E74" s="12">
        <v>4833257</v>
      </c>
      <c r="F74" s="12">
        <v>10623990</v>
      </c>
      <c r="G74" s="14">
        <f t="shared" si="0"/>
        <v>15457247</v>
      </c>
      <c r="H74" s="14">
        <f t="shared" si="1"/>
        <v>594.5095</v>
      </c>
      <c r="I74" s="11" t="s">
        <v>492</v>
      </c>
      <c r="J74" s="11" t="s">
        <v>424</v>
      </c>
    </row>
    <row r="75" spans="1:10" ht="18" customHeight="1" x14ac:dyDescent="0.25">
      <c r="A75" s="15">
        <f>SUBTOTAL(3,$B$11:B75)</f>
        <v>65</v>
      </c>
      <c r="B75" s="15">
        <v>2788</v>
      </c>
      <c r="C75" s="12" t="s">
        <v>99</v>
      </c>
      <c r="D75" s="13" t="s">
        <v>13</v>
      </c>
      <c r="E75" s="12">
        <v>755769</v>
      </c>
      <c r="F75" s="12">
        <v>8102217</v>
      </c>
      <c r="G75" s="14">
        <f t="shared" si="0"/>
        <v>8857986</v>
      </c>
      <c r="H75" s="14">
        <f t="shared" si="1"/>
        <v>340.69176923076924</v>
      </c>
      <c r="I75" s="11" t="s">
        <v>493</v>
      </c>
      <c r="J75" s="11" t="s">
        <v>424</v>
      </c>
    </row>
    <row r="76" spans="1:10" ht="18" customHeight="1" x14ac:dyDescent="0.25">
      <c r="A76" s="15">
        <f>SUBTOTAL(3,$B$11:B76)</f>
        <v>66</v>
      </c>
      <c r="B76" s="15">
        <v>2841</v>
      </c>
      <c r="C76" s="12" t="s">
        <v>100</v>
      </c>
      <c r="D76" s="13" t="s">
        <v>21</v>
      </c>
      <c r="E76" s="12">
        <v>4926057</v>
      </c>
      <c r="F76" s="12">
        <v>7447890</v>
      </c>
      <c r="G76" s="14">
        <f t="shared" ref="G76:G139" si="2">E76+F76</f>
        <v>12373947</v>
      </c>
      <c r="H76" s="14">
        <f t="shared" ref="H76:H139" si="3">G76/$J$1</f>
        <v>475.92103846153844</v>
      </c>
      <c r="I76" s="11" t="s">
        <v>494</v>
      </c>
      <c r="J76" s="11" t="s">
        <v>424</v>
      </c>
    </row>
    <row r="77" spans="1:10" ht="18" customHeight="1" x14ac:dyDescent="0.25">
      <c r="A77" s="15">
        <f>SUBTOTAL(3,$B$11:B77)</f>
        <v>67</v>
      </c>
      <c r="B77" s="15">
        <v>3107</v>
      </c>
      <c r="C77" s="12" t="s">
        <v>101</v>
      </c>
      <c r="D77" s="13" t="s">
        <v>27</v>
      </c>
      <c r="E77" s="12">
        <v>8310577</v>
      </c>
      <c r="F77" s="12">
        <v>19889676</v>
      </c>
      <c r="G77" s="14">
        <f t="shared" si="2"/>
        <v>28200253</v>
      </c>
      <c r="H77" s="14">
        <f t="shared" si="3"/>
        <v>1084.6251153846154</v>
      </c>
      <c r="I77" s="11" t="s">
        <v>495</v>
      </c>
      <c r="J77" s="11" t="s">
        <v>424</v>
      </c>
    </row>
    <row r="78" spans="1:10" ht="18" customHeight="1" x14ac:dyDescent="0.25">
      <c r="A78" s="15">
        <f>SUBTOTAL(3,$B$11:B78)</f>
        <v>68</v>
      </c>
      <c r="B78" s="15">
        <v>3187</v>
      </c>
      <c r="C78" s="12" t="s">
        <v>102</v>
      </c>
      <c r="D78" s="13" t="s">
        <v>13</v>
      </c>
      <c r="E78" s="12">
        <v>5199603</v>
      </c>
      <c r="F78" s="12">
        <v>9152372</v>
      </c>
      <c r="G78" s="14">
        <f t="shared" si="2"/>
        <v>14351975</v>
      </c>
      <c r="H78" s="14">
        <f t="shared" si="3"/>
        <v>551.99903846153848</v>
      </c>
      <c r="I78" s="11" t="s">
        <v>496</v>
      </c>
      <c r="J78" s="11" t="s">
        <v>424</v>
      </c>
    </row>
    <row r="79" spans="1:10" ht="18" customHeight="1" x14ac:dyDescent="0.25">
      <c r="A79" s="15">
        <f>SUBTOTAL(3,$B$11:B79)</f>
        <v>69</v>
      </c>
      <c r="B79" s="15">
        <v>3200</v>
      </c>
      <c r="C79" s="12" t="s">
        <v>37</v>
      </c>
      <c r="D79" s="13" t="s">
        <v>13</v>
      </c>
      <c r="E79" s="12">
        <v>4758149</v>
      </c>
      <c r="F79" s="12">
        <v>7736928</v>
      </c>
      <c r="G79" s="14">
        <f t="shared" si="2"/>
        <v>12495077</v>
      </c>
      <c r="H79" s="14">
        <f t="shared" si="3"/>
        <v>480.57988461538463</v>
      </c>
      <c r="I79" s="11" t="s">
        <v>497</v>
      </c>
      <c r="J79" s="11" t="s">
        <v>424</v>
      </c>
    </row>
    <row r="80" spans="1:10" ht="18" customHeight="1" x14ac:dyDescent="0.25">
      <c r="A80" s="15">
        <f>SUBTOTAL(3,$B$11:B80)</f>
        <v>70</v>
      </c>
      <c r="B80" s="15">
        <v>3216</v>
      </c>
      <c r="C80" s="12" t="s">
        <v>103</v>
      </c>
      <c r="D80" s="13" t="s">
        <v>13</v>
      </c>
      <c r="E80" s="12">
        <v>7765231</v>
      </c>
      <c r="F80" s="12">
        <v>14749394</v>
      </c>
      <c r="G80" s="14">
        <f t="shared" si="2"/>
        <v>22514625</v>
      </c>
      <c r="H80" s="14">
        <f t="shared" si="3"/>
        <v>865.94711538461536</v>
      </c>
      <c r="I80" s="11" t="s">
        <v>498</v>
      </c>
      <c r="J80" s="11" t="s">
        <v>424</v>
      </c>
    </row>
    <row r="81" spans="1:10" ht="18" customHeight="1" x14ac:dyDescent="0.25">
      <c r="A81" s="15">
        <f>SUBTOTAL(3,$B$11:B81)</f>
        <v>71</v>
      </c>
      <c r="B81" s="15">
        <v>3227</v>
      </c>
      <c r="C81" s="12" t="s">
        <v>104</v>
      </c>
      <c r="D81" s="13" t="s">
        <v>13</v>
      </c>
      <c r="E81" s="12">
        <v>5269507</v>
      </c>
      <c r="F81" s="12">
        <v>7067745</v>
      </c>
      <c r="G81" s="14">
        <f t="shared" si="2"/>
        <v>12337252</v>
      </c>
      <c r="H81" s="14">
        <f t="shared" si="3"/>
        <v>474.50969230769232</v>
      </c>
      <c r="I81" s="11" t="s">
        <v>499</v>
      </c>
      <c r="J81" s="11" t="s">
        <v>424</v>
      </c>
    </row>
    <row r="82" spans="1:10" ht="18" customHeight="1" x14ac:dyDescent="0.25">
      <c r="A82" s="15">
        <f>SUBTOTAL(3,$B$11:B82)</f>
        <v>72</v>
      </c>
      <c r="B82" s="15">
        <v>3229</v>
      </c>
      <c r="C82" s="12" t="s">
        <v>92</v>
      </c>
      <c r="D82" s="13" t="s">
        <v>13</v>
      </c>
      <c r="E82" s="12">
        <v>5429783</v>
      </c>
      <c r="F82" s="12">
        <v>8415101</v>
      </c>
      <c r="G82" s="14">
        <f t="shared" si="2"/>
        <v>13844884</v>
      </c>
      <c r="H82" s="14">
        <f t="shared" si="3"/>
        <v>532.49553846153844</v>
      </c>
      <c r="I82" s="11" t="s">
        <v>500</v>
      </c>
      <c r="J82" s="11" t="s">
        <v>424</v>
      </c>
    </row>
    <row r="83" spans="1:10" ht="18" customHeight="1" x14ac:dyDescent="0.25">
      <c r="A83" s="15">
        <f>SUBTOTAL(3,$B$11:B83)</f>
        <v>73</v>
      </c>
      <c r="B83" s="15">
        <v>3244</v>
      </c>
      <c r="C83" s="12" t="s">
        <v>105</v>
      </c>
      <c r="D83" s="13" t="s">
        <v>13</v>
      </c>
      <c r="E83" s="12">
        <v>11060397</v>
      </c>
      <c r="F83" s="12">
        <v>23907740</v>
      </c>
      <c r="G83" s="14">
        <f t="shared" si="2"/>
        <v>34968137</v>
      </c>
      <c r="H83" s="14">
        <f t="shared" si="3"/>
        <v>1344.9283461538462</v>
      </c>
      <c r="I83" s="11" t="s">
        <v>501</v>
      </c>
      <c r="J83" s="11" t="s">
        <v>424</v>
      </c>
    </row>
    <row r="84" spans="1:10" ht="18" customHeight="1" x14ac:dyDescent="0.25">
      <c r="A84" s="15">
        <f>SUBTOTAL(3,$B$11:B84)</f>
        <v>74</v>
      </c>
      <c r="B84" s="15">
        <v>3248</v>
      </c>
      <c r="C84" s="12" t="s">
        <v>106</v>
      </c>
      <c r="D84" s="13" t="s">
        <v>13</v>
      </c>
      <c r="E84" s="12">
        <v>9598077</v>
      </c>
      <c r="F84" s="12">
        <v>17755957</v>
      </c>
      <c r="G84" s="14">
        <f t="shared" si="2"/>
        <v>27354034</v>
      </c>
      <c r="H84" s="14">
        <f t="shared" si="3"/>
        <v>1052.0782307692307</v>
      </c>
      <c r="I84" s="11" t="s">
        <v>502</v>
      </c>
      <c r="J84" s="11" t="s">
        <v>424</v>
      </c>
    </row>
    <row r="85" spans="1:10" ht="18" customHeight="1" x14ac:dyDescent="0.25">
      <c r="A85" s="15">
        <f>SUBTOTAL(3,$B$11:B85)</f>
        <v>75</v>
      </c>
      <c r="B85" s="15">
        <v>3288</v>
      </c>
      <c r="C85" s="12" t="s">
        <v>107</v>
      </c>
      <c r="D85" s="13" t="s">
        <v>13</v>
      </c>
      <c r="E85" s="12">
        <v>12046635</v>
      </c>
      <c r="F85" s="12">
        <v>22507524</v>
      </c>
      <c r="G85" s="14">
        <f t="shared" si="2"/>
        <v>34554159</v>
      </c>
      <c r="H85" s="14">
        <f t="shared" si="3"/>
        <v>1329.0061153846154</v>
      </c>
      <c r="I85" s="11" t="s">
        <v>503</v>
      </c>
      <c r="J85" s="11" t="s">
        <v>424</v>
      </c>
    </row>
    <row r="86" spans="1:10" ht="18" customHeight="1" x14ac:dyDescent="0.25">
      <c r="A86" s="15">
        <f>SUBTOTAL(3,$B$11:B86)</f>
        <v>76</v>
      </c>
      <c r="B86" s="15">
        <v>3291</v>
      </c>
      <c r="C86" s="12" t="s">
        <v>108</v>
      </c>
      <c r="D86" s="13" t="s">
        <v>13</v>
      </c>
      <c r="E86" s="12">
        <v>5429783</v>
      </c>
      <c r="F86" s="12">
        <v>9924471</v>
      </c>
      <c r="G86" s="14">
        <f t="shared" si="2"/>
        <v>15354254</v>
      </c>
      <c r="H86" s="14">
        <f t="shared" si="3"/>
        <v>590.54823076923071</v>
      </c>
      <c r="I86" s="11" t="s">
        <v>504</v>
      </c>
      <c r="J86" s="11" t="s">
        <v>424</v>
      </c>
    </row>
    <row r="87" spans="1:10" ht="18" customHeight="1" x14ac:dyDescent="0.25">
      <c r="A87" s="15">
        <f>SUBTOTAL(3,$B$11:B87)</f>
        <v>77</v>
      </c>
      <c r="B87" s="15">
        <v>3317</v>
      </c>
      <c r="C87" s="12" t="s">
        <v>109</v>
      </c>
      <c r="D87" s="13" t="s">
        <v>13</v>
      </c>
      <c r="E87" s="12">
        <v>8554880</v>
      </c>
      <c r="F87" s="12">
        <v>14444219</v>
      </c>
      <c r="G87" s="14">
        <f t="shared" si="2"/>
        <v>22999099</v>
      </c>
      <c r="H87" s="14">
        <f t="shared" si="3"/>
        <v>884.58073076923074</v>
      </c>
      <c r="I87" s="11" t="s">
        <v>505</v>
      </c>
      <c r="J87" s="11" t="s">
        <v>424</v>
      </c>
    </row>
    <row r="88" spans="1:10" ht="18" customHeight="1" x14ac:dyDescent="0.25">
      <c r="A88" s="15">
        <f>SUBTOTAL(3,$B$11:B88)</f>
        <v>78</v>
      </c>
      <c r="B88" s="15">
        <v>3337</v>
      </c>
      <c r="C88" s="12" t="s">
        <v>110</v>
      </c>
      <c r="D88" s="13" t="s">
        <v>1166</v>
      </c>
      <c r="E88" s="12">
        <v>691924</v>
      </c>
      <c r="F88" s="12">
        <v>10984585</v>
      </c>
      <c r="G88" s="14">
        <f t="shared" si="2"/>
        <v>11676509</v>
      </c>
      <c r="H88" s="14">
        <f t="shared" si="3"/>
        <v>449.09649999999999</v>
      </c>
      <c r="I88" s="11" t="s">
        <v>506</v>
      </c>
      <c r="J88" s="11" t="s">
        <v>424</v>
      </c>
    </row>
    <row r="89" spans="1:10" ht="18" customHeight="1" x14ac:dyDescent="0.25">
      <c r="A89" s="15">
        <f>SUBTOTAL(3,$B$11:B89)</f>
        <v>79</v>
      </c>
      <c r="B89" s="15">
        <v>3411</v>
      </c>
      <c r="C89" s="12" t="s">
        <v>111</v>
      </c>
      <c r="D89" s="13" t="s">
        <v>13</v>
      </c>
      <c r="E89" s="12">
        <v>6661262</v>
      </c>
      <c r="F89" s="12">
        <v>11170914</v>
      </c>
      <c r="G89" s="14">
        <f t="shared" si="2"/>
        <v>17832176</v>
      </c>
      <c r="H89" s="14">
        <f t="shared" si="3"/>
        <v>685.85292307692305</v>
      </c>
      <c r="I89" s="11" t="s">
        <v>507</v>
      </c>
      <c r="J89" s="11" t="s">
        <v>424</v>
      </c>
    </row>
    <row r="90" spans="1:10" ht="18" customHeight="1" x14ac:dyDescent="0.25">
      <c r="A90" s="15">
        <f>SUBTOTAL(3,$B$11:B90)</f>
        <v>80</v>
      </c>
      <c r="B90" s="15">
        <v>3453</v>
      </c>
      <c r="C90" s="12" t="s">
        <v>112</v>
      </c>
      <c r="D90" s="13" t="s">
        <v>13</v>
      </c>
      <c r="E90" s="12">
        <v>5406887</v>
      </c>
      <c r="F90" s="12">
        <v>8415101</v>
      </c>
      <c r="G90" s="14">
        <f t="shared" si="2"/>
        <v>13821988</v>
      </c>
      <c r="H90" s="14">
        <f t="shared" si="3"/>
        <v>531.61492307692311</v>
      </c>
      <c r="I90" s="11" t="s">
        <v>508</v>
      </c>
      <c r="J90" s="11" t="s">
        <v>452</v>
      </c>
    </row>
    <row r="91" spans="1:10" ht="18" customHeight="1" x14ac:dyDescent="0.25">
      <c r="A91" s="15">
        <f>SUBTOTAL(3,$B$11:B91)</f>
        <v>81</v>
      </c>
      <c r="B91" s="15">
        <v>3458</v>
      </c>
      <c r="C91" s="12" t="s">
        <v>113</v>
      </c>
      <c r="D91" s="13" t="s">
        <v>20</v>
      </c>
      <c r="E91" s="12">
        <v>5277139</v>
      </c>
      <c r="F91" s="12">
        <v>7992120</v>
      </c>
      <c r="G91" s="14">
        <f t="shared" si="2"/>
        <v>13269259</v>
      </c>
      <c r="H91" s="14">
        <f t="shared" si="3"/>
        <v>510.35611538461541</v>
      </c>
      <c r="I91" s="11" t="s">
        <v>509</v>
      </c>
      <c r="J91" s="11" t="s">
        <v>424</v>
      </c>
    </row>
    <row r="92" spans="1:10" ht="18" customHeight="1" x14ac:dyDescent="0.25">
      <c r="A92" s="15">
        <f>SUBTOTAL(3,$B$11:B92)</f>
        <v>82</v>
      </c>
      <c r="B92" s="15">
        <v>3483</v>
      </c>
      <c r="C92" s="12" t="s">
        <v>114</v>
      </c>
      <c r="D92" s="13" t="s">
        <v>27</v>
      </c>
      <c r="E92" s="12">
        <v>13234976</v>
      </c>
      <c r="F92" s="12">
        <v>18128070</v>
      </c>
      <c r="G92" s="14">
        <f t="shared" si="2"/>
        <v>31363046</v>
      </c>
      <c r="H92" s="14">
        <f t="shared" si="3"/>
        <v>1206.271</v>
      </c>
      <c r="I92" s="11" t="s">
        <v>510</v>
      </c>
      <c r="J92" s="11" t="s">
        <v>424</v>
      </c>
    </row>
    <row r="93" spans="1:10" ht="18" customHeight="1" x14ac:dyDescent="0.25">
      <c r="A93" s="15">
        <f>SUBTOTAL(3,$B$11:B93)</f>
        <v>83</v>
      </c>
      <c r="B93" s="15">
        <v>3543</v>
      </c>
      <c r="C93" s="12" t="s">
        <v>115</v>
      </c>
      <c r="D93" s="13" t="s">
        <v>11</v>
      </c>
      <c r="E93" s="12">
        <v>11432932</v>
      </c>
      <c r="F93" s="12">
        <v>17594038</v>
      </c>
      <c r="G93" s="14">
        <f t="shared" si="2"/>
        <v>29026970</v>
      </c>
      <c r="H93" s="14">
        <f t="shared" si="3"/>
        <v>1116.4219230769231</v>
      </c>
      <c r="I93" s="11" t="s">
        <v>511</v>
      </c>
      <c r="J93" s="11" t="s">
        <v>424</v>
      </c>
    </row>
    <row r="94" spans="1:10" ht="18" customHeight="1" x14ac:dyDescent="0.25">
      <c r="A94" s="15">
        <f>SUBTOTAL(3,$B$11:B94)</f>
        <v>84</v>
      </c>
      <c r="B94" s="15">
        <v>3574</v>
      </c>
      <c r="C94" s="12" t="s">
        <v>116</v>
      </c>
      <c r="D94" s="13" t="s">
        <v>19</v>
      </c>
      <c r="E94" s="12">
        <v>4288886</v>
      </c>
      <c r="F94" s="12">
        <v>6418269</v>
      </c>
      <c r="G94" s="14">
        <f t="shared" si="2"/>
        <v>10707155</v>
      </c>
      <c r="H94" s="14">
        <f t="shared" si="3"/>
        <v>411.81365384615384</v>
      </c>
      <c r="I94" s="11" t="s">
        <v>512</v>
      </c>
      <c r="J94" s="11" t="s">
        <v>424</v>
      </c>
    </row>
    <row r="95" spans="1:10" ht="18" customHeight="1" x14ac:dyDescent="0.25">
      <c r="A95" s="15">
        <f>SUBTOTAL(3,$B$11:B95)</f>
        <v>85</v>
      </c>
      <c r="B95" s="15">
        <v>3611</v>
      </c>
      <c r="C95" s="12" t="s">
        <v>117</v>
      </c>
      <c r="D95" s="13" t="s">
        <v>19</v>
      </c>
      <c r="E95" s="12">
        <v>7709504</v>
      </c>
      <c r="F95" s="12">
        <v>17982307</v>
      </c>
      <c r="G95" s="14">
        <f t="shared" si="2"/>
        <v>25691811</v>
      </c>
      <c r="H95" s="14">
        <f t="shared" si="3"/>
        <v>988.14657692307696</v>
      </c>
      <c r="I95" s="11" t="s">
        <v>1305</v>
      </c>
      <c r="J95" s="11" t="s">
        <v>754</v>
      </c>
    </row>
    <row r="96" spans="1:10" ht="18" customHeight="1" x14ac:dyDescent="0.25">
      <c r="A96" s="15">
        <f>SUBTOTAL(3,$B$11:B96)</f>
        <v>86</v>
      </c>
      <c r="B96" s="15">
        <v>3636</v>
      </c>
      <c r="C96" s="12" t="s">
        <v>118</v>
      </c>
      <c r="D96" s="13" t="s">
        <v>22</v>
      </c>
      <c r="E96" s="12">
        <v>20778712</v>
      </c>
      <c r="F96" s="12">
        <v>33181725</v>
      </c>
      <c r="G96" s="14">
        <f t="shared" si="2"/>
        <v>53960437</v>
      </c>
      <c r="H96" s="14">
        <f t="shared" si="3"/>
        <v>2075.401423076923</v>
      </c>
      <c r="I96" s="11" t="s">
        <v>513</v>
      </c>
      <c r="J96" s="11" t="s">
        <v>423</v>
      </c>
    </row>
    <row r="97" spans="1:10" ht="18" customHeight="1" x14ac:dyDescent="0.25">
      <c r="A97" s="15">
        <f>SUBTOTAL(3,$B$11:B97)</f>
        <v>87</v>
      </c>
      <c r="B97" s="15">
        <v>3669</v>
      </c>
      <c r="C97" s="12" t="s">
        <v>119</v>
      </c>
      <c r="D97" s="13" t="s">
        <v>13</v>
      </c>
      <c r="E97" s="12">
        <v>4689459</v>
      </c>
      <c r="F97" s="12">
        <v>6957348</v>
      </c>
      <c r="G97" s="14">
        <f t="shared" si="2"/>
        <v>11646807</v>
      </c>
      <c r="H97" s="14">
        <f t="shared" si="3"/>
        <v>447.95411538461536</v>
      </c>
      <c r="I97" s="11" t="s">
        <v>514</v>
      </c>
      <c r="J97" s="11" t="s">
        <v>424</v>
      </c>
    </row>
    <row r="98" spans="1:10" ht="18" customHeight="1" x14ac:dyDescent="0.25">
      <c r="A98" s="15">
        <f>SUBTOTAL(3,$B$11:B98)</f>
        <v>88</v>
      </c>
      <c r="B98" s="15">
        <v>3719</v>
      </c>
      <c r="C98" s="12" t="s">
        <v>121</v>
      </c>
      <c r="D98" s="13" t="s">
        <v>13</v>
      </c>
      <c r="E98" s="12">
        <v>5199603</v>
      </c>
      <c r="F98" s="12">
        <v>8969199</v>
      </c>
      <c r="G98" s="14">
        <f t="shared" si="2"/>
        <v>14168802</v>
      </c>
      <c r="H98" s="14">
        <f t="shared" si="3"/>
        <v>544.95392307692305</v>
      </c>
      <c r="I98" s="11" t="s">
        <v>516</v>
      </c>
      <c r="J98" s="11" t="s">
        <v>424</v>
      </c>
    </row>
    <row r="99" spans="1:10" ht="18" customHeight="1" x14ac:dyDescent="0.25">
      <c r="A99" s="15">
        <f>SUBTOTAL(3,$B$11:B99)</f>
        <v>89</v>
      </c>
      <c r="B99" s="15">
        <v>3742</v>
      </c>
      <c r="C99" s="12" t="s">
        <v>122</v>
      </c>
      <c r="D99" s="13" t="s">
        <v>13</v>
      </c>
      <c r="E99" s="12">
        <v>5269507</v>
      </c>
      <c r="F99" s="12">
        <v>8048755</v>
      </c>
      <c r="G99" s="14">
        <f t="shared" si="2"/>
        <v>13318262</v>
      </c>
      <c r="H99" s="14">
        <f t="shared" si="3"/>
        <v>512.24084615384618</v>
      </c>
      <c r="I99" s="11" t="s">
        <v>517</v>
      </c>
      <c r="J99" s="11" t="s">
        <v>424</v>
      </c>
    </row>
    <row r="100" spans="1:10" ht="18" customHeight="1" x14ac:dyDescent="0.25">
      <c r="A100" s="15">
        <f>SUBTOTAL(3,$B$11:B100)</f>
        <v>90</v>
      </c>
      <c r="B100" s="15">
        <v>3825</v>
      </c>
      <c r="C100" s="12" t="s">
        <v>123</v>
      </c>
      <c r="D100" s="13" t="s">
        <v>14</v>
      </c>
      <c r="E100" s="12">
        <v>7848317</v>
      </c>
      <c r="F100" s="12">
        <v>13157798</v>
      </c>
      <c r="G100" s="14">
        <f t="shared" si="2"/>
        <v>21006115</v>
      </c>
      <c r="H100" s="14">
        <f t="shared" si="3"/>
        <v>807.92750000000001</v>
      </c>
      <c r="I100" s="11" t="s">
        <v>518</v>
      </c>
      <c r="J100" s="11" t="s">
        <v>424</v>
      </c>
    </row>
    <row r="101" spans="1:10" ht="18" customHeight="1" x14ac:dyDescent="0.25">
      <c r="A101" s="15">
        <f>SUBTOTAL(3,$B$11:B101)</f>
        <v>91</v>
      </c>
      <c r="B101" s="15">
        <v>3944</v>
      </c>
      <c r="C101" s="12" t="s">
        <v>124</v>
      </c>
      <c r="D101" s="13" t="s">
        <v>13</v>
      </c>
      <c r="E101" s="12">
        <v>5085120</v>
      </c>
      <c r="F101" s="12">
        <v>7657144</v>
      </c>
      <c r="G101" s="14">
        <f t="shared" si="2"/>
        <v>12742264</v>
      </c>
      <c r="H101" s="14">
        <f t="shared" si="3"/>
        <v>490.08707692307695</v>
      </c>
      <c r="I101" s="11" t="s">
        <v>519</v>
      </c>
      <c r="J101" s="11" t="s">
        <v>424</v>
      </c>
    </row>
    <row r="102" spans="1:10" ht="18" customHeight="1" x14ac:dyDescent="0.25">
      <c r="A102" s="15">
        <f>SUBTOTAL(3,$B$11:B102)</f>
        <v>92</v>
      </c>
      <c r="B102" s="15">
        <v>3975</v>
      </c>
      <c r="C102" s="12" t="s">
        <v>125</v>
      </c>
      <c r="D102" s="13" t="s">
        <v>20</v>
      </c>
      <c r="E102" s="12">
        <v>9940024</v>
      </c>
      <c r="F102" s="12">
        <v>15831611</v>
      </c>
      <c r="G102" s="14">
        <f t="shared" si="2"/>
        <v>25771635</v>
      </c>
      <c r="H102" s="14">
        <f t="shared" si="3"/>
        <v>991.21673076923082</v>
      </c>
      <c r="I102" s="11" t="s">
        <v>520</v>
      </c>
      <c r="J102" s="11" t="s">
        <v>424</v>
      </c>
    </row>
    <row r="103" spans="1:10" ht="18" customHeight="1" x14ac:dyDescent="0.25">
      <c r="A103" s="15">
        <f>SUBTOTAL(3,$B$11:B103)</f>
        <v>93</v>
      </c>
      <c r="B103" s="15">
        <v>4023</v>
      </c>
      <c r="C103" s="12" t="s">
        <v>126</v>
      </c>
      <c r="D103" s="13" t="s">
        <v>18</v>
      </c>
      <c r="E103" s="12">
        <v>7488011</v>
      </c>
      <c r="F103" s="12">
        <v>20181683</v>
      </c>
      <c r="G103" s="14">
        <f t="shared" si="2"/>
        <v>27669694</v>
      </c>
      <c r="H103" s="14">
        <f t="shared" si="3"/>
        <v>1064.2190000000001</v>
      </c>
      <c r="I103" s="11" t="s">
        <v>521</v>
      </c>
      <c r="J103" s="11" t="s">
        <v>424</v>
      </c>
    </row>
    <row r="104" spans="1:10" ht="18" customHeight="1" x14ac:dyDescent="0.25">
      <c r="A104" s="15">
        <f>SUBTOTAL(3,$B$11:B104)</f>
        <v>94</v>
      </c>
      <c r="B104" s="15">
        <v>4070</v>
      </c>
      <c r="C104" s="12" t="s">
        <v>127</v>
      </c>
      <c r="D104" s="13" t="s">
        <v>13</v>
      </c>
      <c r="E104" s="12">
        <v>2457692</v>
      </c>
      <c r="F104" s="12">
        <v>3949058</v>
      </c>
      <c r="G104" s="14">
        <f t="shared" si="2"/>
        <v>6406750</v>
      </c>
      <c r="H104" s="14">
        <f t="shared" si="3"/>
        <v>246.41346153846155</v>
      </c>
      <c r="I104" s="11" t="s">
        <v>522</v>
      </c>
      <c r="J104" s="11" t="s">
        <v>424</v>
      </c>
    </row>
    <row r="105" spans="1:10" ht="18" customHeight="1" x14ac:dyDescent="0.25">
      <c r="A105" s="15">
        <f>SUBTOTAL(3,$B$11:B105)</f>
        <v>95</v>
      </c>
      <c r="B105" s="15">
        <v>4124</v>
      </c>
      <c r="C105" s="12" t="s">
        <v>128</v>
      </c>
      <c r="D105" s="13" t="s">
        <v>13</v>
      </c>
      <c r="E105" s="12">
        <v>4226947</v>
      </c>
      <c r="F105" s="12">
        <v>7888478</v>
      </c>
      <c r="G105" s="14">
        <f t="shared" si="2"/>
        <v>12115425</v>
      </c>
      <c r="H105" s="14">
        <f t="shared" si="3"/>
        <v>465.9778846153846</v>
      </c>
      <c r="I105" s="11" t="s">
        <v>523</v>
      </c>
      <c r="J105" s="11" t="s">
        <v>424</v>
      </c>
    </row>
    <row r="106" spans="1:10" ht="18" customHeight="1" x14ac:dyDescent="0.25">
      <c r="A106" s="15">
        <f>SUBTOTAL(3,$B$11:B106)</f>
        <v>96</v>
      </c>
      <c r="B106" s="15">
        <v>4152</v>
      </c>
      <c r="C106" s="12" t="s">
        <v>129</v>
      </c>
      <c r="D106" s="13" t="s">
        <v>14</v>
      </c>
      <c r="E106" s="12">
        <v>790697</v>
      </c>
      <c r="F106" s="12">
        <v>4678322</v>
      </c>
      <c r="G106" s="14">
        <f t="shared" si="2"/>
        <v>5469019</v>
      </c>
      <c r="H106" s="14">
        <f t="shared" si="3"/>
        <v>210.34688461538462</v>
      </c>
      <c r="I106" s="11" t="s">
        <v>524</v>
      </c>
      <c r="J106" s="11" t="s">
        <v>424</v>
      </c>
    </row>
    <row r="107" spans="1:10" ht="18" customHeight="1" x14ac:dyDescent="0.25">
      <c r="A107" s="15">
        <f>SUBTOTAL(3,$B$11:B107)</f>
        <v>97</v>
      </c>
      <c r="B107" s="15">
        <v>4159</v>
      </c>
      <c r="C107" s="12" t="s">
        <v>130</v>
      </c>
      <c r="D107" s="13" t="s">
        <v>11</v>
      </c>
      <c r="E107" s="12">
        <v>3942308</v>
      </c>
      <c r="F107" s="12">
        <v>7019952</v>
      </c>
      <c r="G107" s="14">
        <f t="shared" si="2"/>
        <v>10962260</v>
      </c>
      <c r="H107" s="14">
        <f t="shared" si="3"/>
        <v>421.62538461538463</v>
      </c>
      <c r="I107" s="11" t="s">
        <v>525</v>
      </c>
      <c r="J107" s="11" t="s">
        <v>424</v>
      </c>
    </row>
    <row r="108" spans="1:10" ht="18" customHeight="1" x14ac:dyDescent="0.25">
      <c r="A108" s="15">
        <f>SUBTOTAL(3,$B$11:B108)</f>
        <v>98</v>
      </c>
      <c r="B108" s="15">
        <v>4178</v>
      </c>
      <c r="C108" s="12" t="s">
        <v>131</v>
      </c>
      <c r="D108" s="13" t="s">
        <v>21</v>
      </c>
      <c r="E108" s="12">
        <v>6505967</v>
      </c>
      <c r="F108" s="12">
        <v>13040708</v>
      </c>
      <c r="G108" s="14">
        <f t="shared" si="2"/>
        <v>19546675</v>
      </c>
      <c r="H108" s="14">
        <f t="shared" si="3"/>
        <v>751.79519230769233</v>
      </c>
      <c r="I108" s="11" t="s">
        <v>526</v>
      </c>
      <c r="J108" s="11" t="s">
        <v>424</v>
      </c>
    </row>
    <row r="109" spans="1:10" ht="18" customHeight="1" x14ac:dyDescent="0.25">
      <c r="A109" s="15">
        <f>SUBTOTAL(3,$B$11:B109)</f>
        <v>99</v>
      </c>
      <c r="B109" s="15">
        <v>4183</v>
      </c>
      <c r="C109" s="12" t="s">
        <v>420</v>
      </c>
      <c r="D109" s="13" t="s">
        <v>11</v>
      </c>
      <c r="E109" s="12">
        <v>3677885</v>
      </c>
      <c r="F109" s="12">
        <v>6749038</v>
      </c>
      <c r="G109" s="14">
        <f t="shared" si="2"/>
        <v>10426923</v>
      </c>
      <c r="H109" s="14">
        <f t="shared" si="3"/>
        <v>401.03550000000001</v>
      </c>
      <c r="I109" s="11" t="s">
        <v>849</v>
      </c>
      <c r="J109" s="11" t="s">
        <v>424</v>
      </c>
    </row>
    <row r="110" spans="1:10" ht="18" customHeight="1" x14ac:dyDescent="0.25">
      <c r="A110" s="15">
        <f>SUBTOTAL(3,$B$11:B110)</f>
        <v>100</v>
      </c>
      <c r="B110" s="15">
        <v>4264</v>
      </c>
      <c r="C110" s="12" t="s">
        <v>132</v>
      </c>
      <c r="D110" s="13" t="s">
        <v>13</v>
      </c>
      <c r="E110" s="12">
        <v>6326640</v>
      </c>
      <c r="F110" s="12">
        <v>11806586</v>
      </c>
      <c r="G110" s="14">
        <f t="shared" si="2"/>
        <v>18133226</v>
      </c>
      <c r="H110" s="14">
        <f t="shared" si="3"/>
        <v>697.43176923076919</v>
      </c>
      <c r="I110" s="11" t="s">
        <v>527</v>
      </c>
      <c r="J110" s="11" t="s">
        <v>424</v>
      </c>
    </row>
    <row r="111" spans="1:10" ht="18" customHeight="1" x14ac:dyDescent="0.25">
      <c r="A111" s="15">
        <f>SUBTOTAL(3,$B$11:B111)</f>
        <v>101</v>
      </c>
      <c r="B111" s="15">
        <v>4288</v>
      </c>
      <c r="C111" s="12" t="s">
        <v>421</v>
      </c>
      <c r="D111" s="13" t="s">
        <v>18</v>
      </c>
      <c r="E111" s="12">
        <v>4322068</v>
      </c>
      <c r="F111" s="12">
        <v>7548081</v>
      </c>
      <c r="G111" s="14">
        <f t="shared" si="2"/>
        <v>11870149</v>
      </c>
      <c r="H111" s="14">
        <f t="shared" si="3"/>
        <v>456.5441923076923</v>
      </c>
      <c r="I111" s="11" t="s">
        <v>850</v>
      </c>
      <c r="J111" s="11" t="s">
        <v>424</v>
      </c>
    </row>
    <row r="112" spans="1:10" ht="18" customHeight="1" x14ac:dyDescent="0.25">
      <c r="A112" s="15">
        <f>SUBTOTAL(3,$B$11:B112)</f>
        <v>102</v>
      </c>
      <c r="B112" s="15">
        <v>4960</v>
      </c>
      <c r="C112" s="12" t="s">
        <v>133</v>
      </c>
      <c r="D112" s="13" t="s">
        <v>14</v>
      </c>
      <c r="E112" s="12">
        <v>5391226</v>
      </c>
      <c r="F112" s="12">
        <v>8219375</v>
      </c>
      <c r="G112" s="14">
        <f t="shared" si="2"/>
        <v>13610601</v>
      </c>
      <c r="H112" s="14">
        <f t="shared" si="3"/>
        <v>523.48465384615383</v>
      </c>
      <c r="I112" s="11" t="s">
        <v>528</v>
      </c>
      <c r="J112" s="11" t="s">
        <v>424</v>
      </c>
    </row>
    <row r="113" spans="1:10" ht="18" customHeight="1" x14ac:dyDescent="0.25">
      <c r="A113" s="15">
        <f>SUBTOTAL(3,$B$11:B113)</f>
        <v>103</v>
      </c>
      <c r="B113" s="15">
        <v>5048</v>
      </c>
      <c r="C113" s="12" t="s">
        <v>134</v>
      </c>
      <c r="D113" s="13" t="s">
        <v>20</v>
      </c>
      <c r="E113" s="12">
        <v>5647500</v>
      </c>
      <c r="F113" s="12">
        <v>11635394</v>
      </c>
      <c r="G113" s="14">
        <f t="shared" si="2"/>
        <v>17282894</v>
      </c>
      <c r="H113" s="14">
        <f t="shared" si="3"/>
        <v>664.72669230769236</v>
      </c>
      <c r="I113" s="11" t="s">
        <v>529</v>
      </c>
      <c r="J113" s="11" t="s">
        <v>424</v>
      </c>
    </row>
    <row r="114" spans="1:10" ht="18" customHeight="1" x14ac:dyDescent="0.25">
      <c r="A114" s="15">
        <f>SUBTOTAL(3,$B$11:B114)</f>
        <v>104</v>
      </c>
      <c r="B114" s="15">
        <v>5090</v>
      </c>
      <c r="C114" s="12" t="s">
        <v>135</v>
      </c>
      <c r="D114" s="13" t="s">
        <v>20</v>
      </c>
      <c r="E114" s="12">
        <v>5374729</v>
      </c>
      <c r="F114" s="12">
        <v>10218750</v>
      </c>
      <c r="G114" s="14">
        <f t="shared" si="2"/>
        <v>15593479</v>
      </c>
      <c r="H114" s="14">
        <f t="shared" si="3"/>
        <v>599.74919230769228</v>
      </c>
      <c r="I114" s="11" t="s">
        <v>530</v>
      </c>
      <c r="J114" s="11" t="s">
        <v>423</v>
      </c>
    </row>
    <row r="115" spans="1:10" ht="18" customHeight="1" x14ac:dyDescent="0.25">
      <c r="A115" s="15">
        <f>SUBTOTAL(3,$B$11:B115)</f>
        <v>105</v>
      </c>
      <c r="B115" s="15">
        <v>5133</v>
      </c>
      <c r="C115" s="12" t="s">
        <v>136</v>
      </c>
      <c r="D115" s="13" t="s">
        <v>13</v>
      </c>
      <c r="E115" s="12">
        <v>5199603</v>
      </c>
      <c r="F115" s="12">
        <v>8743322</v>
      </c>
      <c r="G115" s="14">
        <f t="shared" si="2"/>
        <v>13942925</v>
      </c>
      <c r="H115" s="14">
        <f t="shared" si="3"/>
        <v>536.26634615384614</v>
      </c>
      <c r="I115" s="11" t="s">
        <v>531</v>
      </c>
      <c r="J115" s="11" t="s">
        <v>424</v>
      </c>
    </row>
    <row r="116" spans="1:10" ht="18" customHeight="1" x14ac:dyDescent="0.25">
      <c r="A116" s="15">
        <f>SUBTOTAL(3,$B$11:B116)</f>
        <v>106</v>
      </c>
      <c r="B116" s="15">
        <v>5192</v>
      </c>
      <c r="C116" s="12" t="s">
        <v>137</v>
      </c>
      <c r="D116" s="13" t="s">
        <v>13</v>
      </c>
      <c r="E116" s="12">
        <v>5678582</v>
      </c>
      <c r="F116" s="12">
        <v>8799418</v>
      </c>
      <c r="G116" s="14">
        <f t="shared" si="2"/>
        <v>14478000</v>
      </c>
      <c r="H116" s="14">
        <f t="shared" si="3"/>
        <v>556.84615384615381</v>
      </c>
      <c r="I116" s="11" t="s">
        <v>532</v>
      </c>
      <c r="J116" s="11" t="s">
        <v>424</v>
      </c>
    </row>
    <row r="117" spans="1:10" ht="18" customHeight="1" x14ac:dyDescent="0.25">
      <c r="A117" s="15">
        <f>SUBTOTAL(3,$B$11:B117)</f>
        <v>107</v>
      </c>
      <c r="B117" s="15">
        <v>5193</v>
      </c>
      <c r="C117" s="12" t="s">
        <v>138</v>
      </c>
      <c r="D117" s="13" t="s">
        <v>13</v>
      </c>
      <c r="E117" s="12">
        <v>5678582</v>
      </c>
      <c r="F117" s="12">
        <v>8799418</v>
      </c>
      <c r="G117" s="14">
        <f t="shared" si="2"/>
        <v>14478000</v>
      </c>
      <c r="H117" s="14">
        <f t="shared" si="3"/>
        <v>556.84615384615381</v>
      </c>
      <c r="I117" s="11" t="s">
        <v>533</v>
      </c>
      <c r="J117" s="11" t="s">
        <v>424</v>
      </c>
    </row>
    <row r="118" spans="1:10" ht="18" customHeight="1" x14ac:dyDescent="0.25">
      <c r="A118" s="15">
        <f>SUBTOTAL(3,$B$11:B118)</f>
        <v>108</v>
      </c>
      <c r="B118" s="15">
        <v>5196</v>
      </c>
      <c r="C118" s="12" t="s">
        <v>139</v>
      </c>
      <c r="D118" s="13" t="s">
        <v>21</v>
      </c>
      <c r="E118" s="12">
        <v>4833257</v>
      </c>
      <c r="F118" s="12">
        <v>10713510</v>
      </c>
      <c r="G118" s="14">
        <f t="shared" si="2"/>
        <v>15546767</v>
      </c>
      <c r="H118" s="14">
        <f t="shared" si="3"/>
        <v>597.95257692307689</v>
      </c>
      <c r="I118" s="11" t="s">
        <v>534</v>
      </c>
      <c r="J118" s="11" t="s">
        <v>424</v>
      </c>
    </row>
    <row r="119" spans="1:10" ht="18" customHeight="1" x14ac:dyDescent="0.25">
      <c r="A119" s="15">
        <f>SUBTOTAL(3,$B$11:B119)</f>
        <v>109</v>
      </c>
      <c r="B119" s="15">
        <v>5255</v>
      </c>
      <c r="C119" s="12" t="s">
        <v>140</v>
      </c>
      <c r="D119" s="13" t="s">
        <v>21</v>
      </c>
      <c r="E119" s="12">
        <v>4856154</v>
      </c>
      <c r="F119" s="12">
        <v>7905558</v>
      </c>
      <c r="G119" s="14">
        <f t="shared" si="2"/>
        <v>12761712</v>
      </c>
      <c r="H119" s="14">
        <f t="shared" si="3"/>
        <v>490.83507692307694</v>
      </c>
      <c r="I119" s="11" t="s">
        <v>535</v>
      </c>
      <c r="J119" s="11" t="s">
        <v>424</v>
      </c>
    </row>
    <row r="120" spans="1:10" ht="18" customHeight="1" x14ac:dyDescent="0.25">
      <c r="A120" s="15">
        <f>SUBTOTAL(3,$B$11:B120)</f>
        <v>110</v>
      </c>
      <c r="B120" s="15">
        <v>5266</v>
      </c>
      <c r="C120" s="12" t="s">
        <v>141</v>
      </c>
      <c r="D120" s="13" t="s">
        <v>13</v>
      </c>
      <c r="E120" s="12">
        <v>5429783</v>
      </c>
      <c r="F120" s="12">
        <v>6919187</v>
      </c>
      <c r="G120" s="14">
        <f t="shared" si="2"/>
        <v>12348970</v>
      </c>
      <c r="H120" s="14">
        <f t="shared" si="3"/>
        <v>474.96038461538461</v>
      </c>
      <c r="I120" s="11" t="s">
        <v>536</v>
      </c>
      <c r="J120" s="11" t="s">
        <v>424</v>
      </c>
    </row>
    <row r="121" spans="1:10" ht="18" customHeight="1" x14ac:dyDescent="0.25">
      <c r="A121" s="15">
        <f>SUBTOTAL(3,$B$11:B121)</f>
        <v>111</v>
      </c>
      <c r="B121" s="15">
        <v>5447</v>
      </c>
      <c r="C121" s="12" t="s">
        <v>142</v>
      </c>
      <c r="D121" s="13" t="s">
        <v>18</v>
      </c>
      <c r="E121" s="12">
        <v>6106154</v>
      </c>
      <c r="F121" s="12">
        <v>9519254</v>
      </c>
      <c r="G121" s="14">
        <f t="shared" si="2"/>
        <v>15625408</v>
      </c>
      <c r="H121" s="14">
        <f t="shared" si="3"/>
        <v>600.9772307692308</v>
      </c>
      <c r="I121" s="11" t="s">
        <v>538</v>
      </c>
      <c r="J121" s="11" t="s">
        <v>424</v>
      </c>
    </row>
    <row r="122" spans="1:10" ht="18" customHeight="1" x14ac:dyDescent="0.25">
      <c r="A122" s="15">
        <f>SUBTOTAL(3,$B$11:B122)</f>
        <v>112</v>
      </c>
      <c r="B122" s="15">
        <v>5470</v>
      </c>
      <c r="C122" s="12" t="s">
        <v>143</v>
      </c>
      <c r="D122" s="13" t="s">
        <v>14</v>
      </c>
      <c r="E122" s="12">
        <v>5063437</v>
      </c>
      <c r="F122" s="12">
        <v>9077116</v>
      </c>
      <c r="G122" s="14">
        <f t="shared" si="2"/>
        <v>14140553</v>
      </c>
      <c r="H122" s="14">
        <f t="shared" si="3"/>
        <v>543.86742307692305</v>
      </c>
      <c r="I122" s="11" t="s">
        <v>539</v>
      </c>
      <c r="J122" s="11" t="s">
        <v>424</v>
      </c>
    </row>
    <row r="123" spans="1:10" ht="18" customHeight="1" x14ac:dyDescent="0.25">
      <c r="A123" s="15">
        <f>SUBTOTAL(3,$B$11:B123)</f>
        <v>113</v>
      </c>
      <c r="B123" s="15">
        <v>5516</v>
      </c>
      <c r="C123" s="12" t="s">
        <v>144</v>
      </c>
      <c r="D123" s="13" t="s">
        <v>8</v>
      </c>
      <c r="E123" s="12">
        <v>11188702</v>
      </c>
      <c r="F123" s="12">
        <v>17910275</v>
      </c>
      <c r="G123" s="14">
        <f t="shared" si="2"/>
        <v>29098977</v>
      </c>
      <c r="H123" s="14">
        <f t="shared" si="3"/>
        <v>1119.191423076923</v>
      </c>
      <c r="I123" s="11" t="s">
        <v>540</v>
      </c>
      <c r="J123" s="11" t="s">
        <v>424</v>
      </c>
    </row>
    <row r="124" spans="1:10" ht="18" customHeight="1" x14ac:dyDescent="0.25">
      <c r="A124" s="15">
        <f>SUBTOTAL(3,$B$11:B124)</f>
        <v>114</v>
      </c>
      <c r="B124" s="15">
        <v>5546</v>
      </c>
      <c r="C124" s="12" t="s">
        <v>145</v>
      </c>
      <c r="D124" s="13" t="s">
        <v>13</v>
      </c>
      <c r="E124" s="12">
        <v>5176707</v>
      </c>
      <c r="F124" s="12">
        <v>9149692</v>
      </c>
      <c r="G124" s="14">
        <f t="shared" si="2"/>
        <v>14326399</v>
      </c>
      <c r="H124" s="14">
        <f t="shared" si="3"/>
        <v>551.01534615384617</v>
      </c>
      <c r="I124" s="11" t="s">
        <v>541</v>
      </c>
      <c r="J124" s="11" t="s">
        <v>424</v>
      </c>
    </row>
    <row r="125" spans="1:10" ht="18" customHeight="1" x14ac:dyDescent="0.25">
      <c r="A125" s="15">
        <f>SUBTOTAL(3,$B$11:B125)</f>
        <v>115</v>
      </c>
      <c r="B125" s="15">
        <v>5557</v>
      </c>
      <c r="C125" s="12" t="s">
        <v>146</v>
      </c>
      <c r="D125" s="13" t="s">
        <v>11</v>
      </c>
      <c r="E125" s="12">
        <v>7409951</v>
      </c>
      <c r="F125" s="12">
        <v>14293750</v>
      </c>
      <c r="G125" s="14">
        <f t="shared" si="2"/>
        <v>21703701</v>
      </c>
      <c r="H125" s="14">
        <f t="shared" si="3"/>
        <v>834.75773076923076</v>
      </c>
      <c r="I125" s="11" t="s">
        <v>542</v>
      </c>
      <c r="J125" s="11" t="s">
        <v>424</v>
      </c>
    </row>
    <row r="126" spans="1:10" ht="18" customHeight="1" x14ac:dyDescent="0.25">
      <c r="A126" s="15">
        <f>SUBTOTAL(3,$B$11:B126)</f>
        <v>116</v>
      </c>
      <c r="B126" s="15">
        <v>5595</v>
      </c>
      <c r="C126" s="12" t="s">
        <v>147</v>
      </c>
      <c r="D126" s="13" t="s">
        <v>13</v>
      </c>
      <c r="E126" s="12">
        <v>6718237</v>
      </c>
      <c r="F126" s="12">
        <v>9252865</v>
      </c>
      <c r="G126" s="14">
        <f t="shared" si="2"/>
        <v>15971102</v>
      </c>
      <c r="H126" s="14">
        <f t="shared" si="3"/>
        <v>614.27315384615383</v>
      </c>
      <c r="I126" s="11" t="s">
        <v>543</v>
      </c>
      <c r="J126" s="11" t="s">
        <v>424</v>
      </c>
    </row>
    <row r="127" spans="1:10" ht="18" customHeight="1" x14ac:dyDescent="0.25">
      <c r="A127" s="15">
        <f>SUBTOTAL(3,$B$11:B127)</f>
        <v>117</v>
      </c>
      <c r="B127" s="15">
        <v>5596</v>
      </c>
      <c r="C127" s="12" t="s">
        <v>148</v>
      </c>
      <c r="D127" s="13" t="s">
        <v>14</v>
      </c>
      <c r="E127" s="12">
        <v>5244069</v>
      </c>
      <c r="F127" s="12">
        <v>8335067</v>
      </c>
      <c r="G127" s="14">
        <f t="shared" si="2"/>
        <v>13579136</v>
      </c>
      <c r="H127" s="14">
        <f t="shared" si="3"/>
        <v>522.27446153846154</v>
      </c>
      <c r="I127" s="11" t="s">
        <v>544</v>
      </c>
      <c r="J127" s="11" t="s">
        <v>424</v>
      </c>
    </row>
    <row r="128" spans="1:10" ht="18" customHeight="1" x14ac:dyDescent="0.25">
      <c r="A128" s="15">
        <f>SUBTOTAL(3,$B$11:B128)</f>
        <v>118</v>
      </c>
      <c r="B128" s="15">
        <v>5601</v>
      </c>
      <c r="C128" s="12" t="s">
        <v>149</v>
      </c>
      <c r="D128" s="13" t="s">
        <v>14</v>
      </c>
      <c r="E128" s="12">
        <v>4910793</v>
      </c>
      <c r="F128" s="12">
        <v>8468563</v>
      </c>
      <c r="G128" s="14">
        <f t="shared" si="2"/>
        <v>13379356</v>
      </c>
      <c r="H128" s="14">
        <f t="shared" si="3"/>
        <v>514.59061538461538</v>
      </c>
      <c r="I128" s="11" t="s">
        <v>545</v>
      </c>
      <c r="J128" s="11" t="s">
        <v>424</v>
      </c>
    </row>
    <row r="129" spans="1:10" ht="18" customHeight="1" x14ac:dyDescent="0.25">
      <c r="A129" s="15">
        <f>SUBTOTAL(3,$B$11:B129)</f>
        <v>119</v>
      </c>
      <c r="B129" s="15">
        <v>5640</v>
      </c>
      <c r="C129" s="12" t="s">
        <v>150</v>
      </c>
      <c r="D129" s="13" t="s">
        <v>13</v>
      </c>
      <c r="E129" s="12">
        <v>5429783</v>
      </c>
      <c r="F129" s="12">
        <v>8343721</v>
      </c>
      <c r="G129" s="14">
        <f t="shared" si="2"/>
        <v>13773504</v>
      </c>
      <c r="H129" s="14">
        <f t="shared" si="3"/>
        <v>529.75015384615381</v>
      </c>
      <c r="I129" s="11" t="s">
        <v>546</v>
      </c>
      <c r="J129" s="11" t="s">
        <v>424</v>
      </c>
    </row>
    <row r="130" spans="1:10" ht="18" customHeight="1" x14ac:dyDescent="0.25">
      <c r="A130" s="15">
        <f>SUBTOTAL(3,$B$11:B130)</f>
        <v>120</v>
      </c>
      <c r="B130" s="15">
        <v>5663</v>
      </c>
      <c r="C130" s="12" t="s">
        <v>151</v>
      </c>
      <c r="D130" s="13" t="s">
        <v>21</v>
      </c>
      <c r="E130" s="12">
        <v>4833257</v>
      </c>
      <c r="F130" s="12">
        <v>9930721</v>
      </c>
      <c r="G130" s="14">
        <f t="shared" si="2"/>
        <v>14763978</v>
      </c>
      <c r="H130" s="14">
        <f t="shared" si="3"/>
        <v>567.84530769230764</v>
      </c>
      <c r="I130" s="11" t="s">
        <v>547</v>
      </c>
      <c r="J130" s="11" t="s">
        <v>424</v>
      </c>
    </row>
    <row r="131" spans="1:10" ht="18" customHeight="1" x14ac:dyDescent="0.25">
      <c r="A131" s="15">
        <f>SUBTOTAL(3,$B$11:B131)</f>
        <v>121</v>
      </c>
      <c r="B131" s="15">
        <v>5693</v>
      </c>
      <c r="C131" s="12" t="s">
        <v>152</v>
      </c>
      <c r="D131" s="13" t="s">
        <v>13</v>
      </c>
      <c r="E131" s="12">
        <v>5277139</v>
      </c>
      <c r="F131" s="12">
        <v>8392217</v>
      </c>
      <c r="G131" s="14">
        <f t="shared" si="2"/>
        <v>13669356</v>
      </c>
      <c r="H131" s="14">
        <f t="shared" si="3"/>
        <v>525.74446153846156</v>
      </c>
      <c r="I131" s="11" t="s">
        <v>548</v>
      </c>
      <c r="J131" s="11" t="s">
        <v>424</v>
      </c>
    </row>
    <row r="132" spans="1:10" ht="18" customHeight="1" x14ac:dyDescent="0.25">
      <c r="A132" s="15">
        <f>SUBTOTAL(3,$B$11:B132)</f>
        <v>122</v>
      </c>
      <c r="B132" s="15">
        <v>5701</v>
      </c>
      <c r="C132" s="12" t="s">
        <v>153</v>
      </c>
      <c r="D132" s="13" t="s">
        <v>13</v>
      </c>
      <c r="E132" s="12">
        <v>5039327</v>
      </c>
      <c r="F132" s="12">
        <v>9021567</v>
      </c>
      <c r="G132" s="14">
        <f t="shared" si="2"/>
        <v>14060894</v>
      </c>
      <c r="H132" s="14">
        <f t="shared" si="3"/>
        <v>540.80361538461534</v>
      </c>
      <c r="I132" s="11" t="s">
        <v>549</v>
      </c>
      <c r="J132" s="11" t="s">
        <v>424</v>
      </c>
    </row>
    <row r="133" spans="1:10" ht="18" customHeight="1" x14ac:dyDescent="0.25">
      <c r="A133" s="15">
        <f>SUBTOTAL(3,$B$11:B133)</f>
        <v>123</v>
      </c>
      <c r="B133" s="15">
        <v>5792</v>
      </c>
      <c r="C133" s="12" t="s">
        <v>154</v>
      </c>
      <c r="D133" s="13" t="s">
        <v>13</v>
      </c>
      <c r="E133" s="12">
        <v>8579327</v>
      </c>
      <c r="F133" s="12">
        <v>13182016</v>
      </c>
      <c r="G133" s="14">
        <f t="shared" si="2"/>
        <v>21761343</v>
      </c>
      <c r="H133" s="14">
        <f t="shared" si="3"/>
        <v>836.97473076923075</v>
      </c>
      <c r="I133" s="11" t="s">
        <v>550</v>
      </c>
      <c r="J133" s="11" t="s">
        <v>424</v>
      </c>
    </row>
    <row r="134" spans="1:10" ht="18" customHeight="1" x14ac:dyDescent="0.25">
      <c r="A134" s="15">
        <f>SUBTOTAL(3,$B$11:B134)</f>
        <v>124</v>
      </c>
      <c r="B134" s="15">
        <v>5801</v>
      </c>
      <c r="C134" s="12" t="s">
        <v>155</v>
      </c>
      <c r="D134" s="13" t="s">
        <v>14</v>
      </c>
      <c r="E134" s="12">
        <v>4718774</v>
      </c>
      <c r="F134" s="12">
        <v>9175269</v>
      </c>
      <c r="G134" s="14">
        <f t="shared" si="2"/>
        <v>13894043</v>
      </c>
      <c r="H134" s="14">
        <f t="shared" si="3"/>
        <v>534.38626923076924</v>
      </c>
      <c r="I134" s="11" t="s">
        <v>551</v>
      </c>
      <c r="J134" s="11" t="s">
        <v>424</v>
      </c>
    </row>
    <row r="135" spans="1:10" ht="18" customHeight="1" x14ac:dyDescent="0.25">
      <c r="A135" s="15">
        <f>SUBTOTAL(3,$B$11:B135)</f>
        <v>125</v>
      </c>
      <c r="B135" s="15">
        <v>5945</v>
      </c>
      <c r="C135" s="12" t="s">
        <v>156</v>
      </c>
      <c r="D135" s="13" t="s">
        <v>13</v>
      </c>
      <c r="E135" s="12">
        <v>9767060</v>
      </c>
      <c r="F135" s="12">
        <v>16330375</v>
      </c>
      <c r="G135" s="14">
        <f t="shared" si="2"/>
        <v>26097435</v>
      </c>
      <c r="H135" s="14">
        <f t="shared" si="3"/>
        <v>1003.7474999999999</v>
      </c>
      <c r="I135" s="11" t="s">
        <v>552</v>
      </c>
      <c r="J135" s="11" t="s">
        <v>424</v>
      </c>
    </row>
    <row r="136" spans="1:10" ht="18" customHeight="1" x14ac:dyDescent="0.25">
      <c r="A136" s="15">
        <f>SUBTOTAL(3,$B$11:B136)</f>
        <v>126</v>
      </c>
      <c r="B136" s="15">
        <v>6197</v>
      </c>
      <c r="C136" s="12" t="s">
        <v>157</v>
      </c>
      <c r="D136" s="13" t="s">
        <v>8</v>
      </c>
      <c r="E136" s="12">
        <v>7433092</v>
      </c>
      <c r="F136" s="12">
        <v>10772903</v>
      </c>
      <c r="G136" s="14">
        <f t="shared" si="2"/>
        <v>18205995</v>
      </c>
      <c r="H136" s="14">
        <f t="shared" si="3"/>
        <v>700.23057692307691</v>
      </c>
      <c r="I136" s="11" t="s">
        <v>553</v>
      </c>
      <c r="J136" s="11" t="s">
        <v>554</v>
      </c>
    </row>
    <row r="137" spans="1:10" ht="18" customHeight="1" x14ac:dyDescent="0.25">
      <c r="A137" s="15">
        <f>SUBTOTAL(3,$B$11:B137)</f>
        <v>127</v>
      </c>
      <c r="B137" s="15">
        <v>6205</v>
      </c>
      <c r="C137" s="12" t="s">
        <v>158</v>
      </c>
      <c r="D137" s="13" t="s">
        <v>21</v>
      </c>
      <c r="E137" s="12">
        <v>10008570</v>
      </c>
      <c r="F137" s="12">
        <v>16541141</v>
      </c>
      <c r="G137" s="14">
        <f t="shared" si="2"/>
        <v>26549711</v>
      </c>
      <c r="H137" s="14">
        <f t="shared" si="3"/>
        <v>1021.1427307692308</v>
      </c>
      <c r="I137" s="11" t="s">
        <v>555</v>
      </c>
      <c r="J137" s="11" t="s">
        <v>424</v>
      </c>
    </row>
    <row r="138" spans="1:10" ht="18" customHeight="1" x14ac:dyDescent="0.25">
      <c r="A138" s="15">
        <f>SUBTOTAL(3,$B$11:B138)</f>
        <v>128</v>
      </c>
      <c r="B138" s="15">
        <v>6206</v>
      </c>
      <c r="C138" s="12" t="s">
        <v>159</v>
      </c>
      <c r="D138" s="13" t="s">
        <v>8</v>
      </c>
      <c r="E138" s="12">
        <v>11089680</v>
      </c>
      <c r="F138" s="12">
        <v>16141761</v>
      </c>
      <c r="G138" s="14">
        <f t="shared" si="2"/>
        <v>27231441</v>
      </c>
      <c r="H138" s="14">
        <f t="shared" si="3"/>
        <v>1047.3631153846154</v>
      </c>
      <c r="I138" s="11" t="s">
        <v>556</v>
      </c>
      <c r="J138" s="11" t="s">
        <v>424</v>
      </c>
    </row>
    <row r="139" spans="1:10" ht="18" customHeight="1" x14ac:dyDescent="0.25">
      <c r="A139" s="15">
        <f>SUBTOTAL(3,$B$11:B139)</f>
        <v>129</v>
      </c>
      <c r="B139" s="15">
        <v>6215</v>
      </c>
      <c r="C139" s="12" t="s">
        <v>160</v>
      </c>
      <c r="D139" s="13" t="s">
        <v>28</v>
      </c>
      <c r="E139" s="12">
        <v>4729812</v>
      </c>
      <c r="F139" s="12">
        <v>9641136</v>
      </c>
      <c r="G139" s="14">
        <f t="shared" si="2"/>
        <v>14370948</v>
      </c>
      <c r="H139" s="14">
        <f t="shared" si="3"/>
        <v>552.72876923076922</v>
      </c>
      <c r="I139" s="11" t="s">
        <v>557</v>
      </c>
      <c r="J139" s="11" t="s">
        <v>424</v>
      </c>
    </row>
    <row r="140" spans="1:10" ht="18" customHeight="1" x14ac:dyDescent="0.25">
      <c r="A140" s="15">
        <f>SUBTOTAL(3,$B$11:B140)</f>
        <v>130</v>
      </c>
      <c r="B140" s="15">
        <v>6229</v>
      </c>
      <c r="C140" s="12" t="s">
        <v>161</v>
      </c>
      <c r="D140" s="13" t="s">
        <v>11</v>
      </c>
      <c r="E140" s="12">
        <v>6113102</v>
      </c>
      <c r="F140" s="12">
        <v>14948557</v>
      </c>
      <c r="G140" s="14">
        <f t="shared" ref="G140:G203" si="4">E140+F140</f>
        <v>21061659</v>
      </c>
      <c r="H140" s="14">
        <f t="shared" ref="H140:H203" si="5">G140/$J$1</f>
        <v>810.06380769230771</v>
      </c>
      <c r="I140" s="11" t="s">
        <v>558</v>
      </c>
      <c r="J140" s="11" t="s">
        <v>424</v>
      </c>
    </row>
    <row r="141" spans="1:10" ht="18" customHeight="1" x14ac:dyDescent="0.25">
      <c r="A141" s="15">
        <f>SUBTOTAL(3,$B$11:B141)</f>
        <v>131</v>
      </c>
      <c r="B141" s="15">
        <v>6345</v>
      </c>
      <c r="C141" s="12" t="s">
        <v>162</v>
      </c>
      <c r="D141" s="13" t="s">
        <v>20</v>
      </c>
      <c r="E141" s="12">
        <v>4476755</v>
      </c>
      <c r="F141" s="12">
        <v>8836615</v>
      </c>
      <c r="G141" s="14">
        <f t="shared" si="4"/>
        <v>13313370</v>
      </c>
      <c r="H141" s="14">
        <f t="shared" si="5"/>
        <v>512.05269230769227</v>
      </c>
      <c r="I141" s="11" t="s">
        <v>559</v>
      </c>
      <c r="J141" s="11" t="s">
        <v>424</v>
      </c>
    </row>
    <row r="142" spans="1:10" ht="18" customHeight="1" x14ac:dyDescent="0.25">
      <c r="A142" s="15">
        <f>SUBTOTAL(3,$B$11:B142)</f>
        <v>132</v>
      </c>
      <c r="B142" s="15">
        <v>6396</v>
      </c>
      <c r="C142" s="12" t="s">
        <v>163</v>
      </c>
      <c r="D142" s="13" t="s">
        <v>13</v>
      </c>
      <c r="E142" s="12">
        <v>5176707</v>
      </c>
      <c r="F142" s="12">
        <v>9137144</v>
      </c>
      <c r="G142" s="14">
        <f t="shared" si="4"/>
        <v>14313851</v>
      </c>
      <c r="H142" s="14">
        <f t="shared" si="5"/>
        <v>550.53273076923074</v>
      </c>
      <c r="I142" s="11" t="s">
        <v>560</v>
      </c>
      <c r="J142" s="11" t="s">
        <v>424</v>
      </c>
    </row>
    <row r="143" spans="1:10" ht="18" customHeight="1" x14ac:dyDescent="0.25">
      <c r="A143" s="15">
        <f>SUBTOTAL(3,$B$11:B143)</f>
        <v>133</v>
      </c>
      <c r="B143" s="15">
        <v>6454</v>
      </c>
      <c r="C143" s="12" t="s">
        <v>164</v>
      </c>
      <c r="D143" s="13" t="s">
        <v>29</v>
      </c>
      <c r="E143" s="12">
        <v>6038992</v>
      </c>
      <c r="F143" s="12">
        <v>12938777</v>
      </c>
      <c r="G143" s="14">
        <f t="shared" si="4"/>
        <v>18977769</v>
      </c>
      <c r="H143" s="14">
        <f t="shared" si="5"/>
        <v>729.91419230769236</v>
      </c>
      <c r="I143" s="11" t="s">
        <v>561</v>
      </c>
      <c r="J143" s="11" t="s">
        <v>424</v>
      </c>
    </row>
    <row r="144" spans="1:10" ht="18" customHeight="1" x14ac:dyDescent="0.25">
      <c r="A144" s="15">
        <f>SUBTOTAL(3,$B$11:B144)</f>
        <v>134</v>
      </c>
      <c r="B144" s="15">
        <v>6477</v>
      </c>
      <c r="C144" s="12" t="s">
        <v>74</v>
      </c>
      <c r="D144" s="13" t="s">
        <v>1007</v>
      </c>
      <c r="E144" s="12">
        <v>4054089</v>
      </c>
      <c r="F144" s="12">
        <v>6632067</v>
      </c>
      <c r="G144" s="14">
        <f t="shared" si="4"/>
        <v>10686156</v>
      </c>
      <c r="H144" s="14">
        <f t="shared" si="5"/>
        <v>411.00599999999997</v>
      </c>
      <c r="I144" s="11" t="s">
        <v>562</v>
      </c>
      <c r="J144" s="11" t="s">
        <v>424</v>
      </c>
    </row>
    <row r="145" spans="1:10" ht="18" customHeight="1" x14ac:dyDescent="0.25">
      <c r="A145" s="15">
        <f>SUBTOTAL(3,$B$11:B145)</f>
        <v>135</v>
      </c>
      <c r="B145" s="15">
        <v>6514</v>
      </c>
      <c r="C145" s="12" t="s">
        <v>165</v>
      </c>
      <c r="D145" s="13" t="s">
        <v>27</v>
      </c>
      <c r="E145" s="12">
        <v>4187127</v>
      </c>
      <c r="F145" s="12">
        <v>8088758</v>
      </c>
      <c r="G145" s="14">
        <f t="shared" si="4"/>
        <v>12275885</v>
      </c>
      <c r="H145" s="14">
        <f t="shared" si="5"/>
        <v>472.14942307692309</v>
      </c>
      <c r="I145" s="11" t="s">
        <v>564</v>
      </c>
      <c r="J145" s="11" t="s">
        <v>424</v>
      </c>
    </row>
    <row r="146" spans="1:10" ht="18" customHeight="1" x14ac:dyDescent="0.25">
      <c r="A146" s="15">
        <f>SUBTOTAL(3,$B$11:B146)</f>
        <v>136</v>
      </c>
      <c r="B146" s="15">
        <v>6516</v>
      </c>
      <c r="C146" s="12" t="s">
        <v>166</v>
      </c>
      <c r="D146" s="13" t="s">
        <v>14</v>
      </c>
      <c r="E146" s="12">
        <v>5267921</v>
      </c>
      <c r="F146" s="12">
        <v>8754581</v>
      </c>
      <c r="G146" s="14">
        <f t="shared" si="4"/>
        <v>14022502</v>
      </c>
      <c r="H146" s="14">
        <f t="shared" si="5"/>
        <v>539.327</v>
      </c>
      <c r="I146" s="11" t="s">
        <v>565</v>
      </c>
      <c r="J146" s="11" t="s">
        <v>424</v>
      </c>
    </row>
    <row r="147" spans="1:10" ht="18" customHeight="1" x14ac:dyDescent="0.25">
      <c r="A147" s="15">
        <f>SUBTOTAL(3,$B$11:B147)</f>
        <v>137</v>
      </c>
      <c r="B147" s="15">
        <v>6554</v>
      </c>
      <c r="C147" s="12" t="s">
        <v>167</v>
      </c>
      <c r="D147" s="13" t="s">
        <v>14</v>
      </c>
      <c r="E147" s="12">
        <v>2720192</v>
      </c>
      <c r="F147" s="12">
        <v>5249789</v>
      </c>
      <c r="G147" s="14">
        <f t="shared" si="4"/>
        <v>7969981</v>
      </c>
      <c r="H147" s="14">
        <f t="shared" si="5"/>
        <v>306.53773076923079</v>
      </c>
      <c r="I147" s="11" t="s">
        <v>1306</v>
      </c>
      <c r="J147" s="11" t="s">
        <v>424</v>
      </c>
    </row>
    <row r="148" spans="1:10" ht="18" customHeight="1" x14ac:dyDescent="0.25">
      <c r="A148" s="15">
        <f>SUBTOTAL(3,$B$11:B148)</f>
        <v>138</v>
      </c>
      <c r="B148" s="15">
        <v>6654</v>
      </c>
      <c r="C148" s="12" t="s">
        <v>1167</v>
      </c>
      <c r="D148" s="13" t="s">
        <v>19</v>
      </c>
      <c r="E148" s="12">
        <v>5664807</v>
      </c>
      <c r="F148" s="12">
        <v>11038134</v>
      </c>
      <c r="G148" s="14">
        <f t="shared" si="4"/>
        <v>16702941</v>
      </c>
      <c r="H148" s="14">
        <f t="shared" si="5"/>
        <v>642.42080769230768</v>
      </c>
      <c r="I148" s="11" t="s">
        <v>567</v>
      </c>
      <c r="J148" s="11" t="s">
        <v>424</v>
      </c>
    </row>
    <row r="149" spans="1:10" ht="18" customHeight="1" x14ac:dyDescent="0.25">
      <c r="A149" s="15">
        <f>SUBTOTAL(3,$B$11:B149)</f>
        <v>139</v>
      </c>
      <c r="B149" s="15">
        <v>6672</v>
      </c>
      <c r="C149" s="12" t="s">
        <v>169</v>
      </c>
      <c r="D149" s="13" t="s">
        <v>23</v>
      </c>
      <c r="E149" s="12">
        <v>5863471</v>
      </c>
      <c r="F149" s="12">
        <v>11584452</v>
      </c>
      <c r="G149" s="14">
        <f t="shared" si="4"/>
        <v>17447923</v>
      </c>
      <c r="H149" s="14">
        <f t="shared" si="5"/>
        <v>671.0739615384615</v>
      </c>
      <c r="I149" s="11" t="s">
        <v>568</v>
      </c>
      <c r="J149" s="11" t="s">
        <v>424</v>
      </c>
    </row>
    <row r="150" spans="1:10" ht="18" customHeight="1" x14ac:dyDescent="0.25">
      <c r="A150" s="15">
        <f>SUBTOTAL(3,$B$11:B150)</f>
        <v>140</v>
      </c>
      <c r="B150" s="15">
        <v>6708</v>
      </c>
      <c r="C150" s="12" t="s">
        <v>170</v>
      </c>
      <c r="D150" s="13" t="s">
        <v>20</v>
      </c>
      <c r="E150" s="12">
        <v>5429783</v>
      </c>
      <c r="F150" s="12">
        <v>8468563</v>
      </c>
      <c r="G150" s="14">
        <f t="shared" si="4"/>
        <v>13898346</v>
      </c>
      <c r="H150" s="14">
        <f t="shared" si="5"/>
        <v>534.5517692307692</v>
      </c>
      <c r="I150" s="11" t="s">
        <v>569</v>
      </c>
      <c r="J150" s="11" t="s">
        <v>424</v>
      </c>
    </row>
    <row r="151" spans="1:10" ht="18" customHeight="1" x14ac:dyDescent="0.25">
      <c r="A151" s="15">
        <f>SUBTOTAL(3,$B$11:B151)</f>
        <v>141</v>
      </c>
      <c r="B151" s="15">
        <v>6746</v>
      </c>
      <c r="C151" s="12" t="s">
        <v>172</v>
      </c>
      <c r="D151" s="13" t="s">
        <v>12</v>
      </c>
      <c r="E151" s="12">
        <v>7020967</v>
      </c>
      <c r="F151" s="12">
        <v>11834928</v>
      </c>
      <c r="G151" s="14">
        <f t="shared" si="4"/>
        <v>18855895</v>
      </c>
      <c r="H151" s="14">
        <f t="shared" si="5"/>
        <v>725.22673076923081</v>
      </c>
      <c r="I151" s="11" t="s">
        <v>570</v>
      </c>
      <c r="J151" s="11" t="s">
        <v>424</v>
      </c>
    </row>
    <row r="152" spans="1:10" ht="18" customHeight="1" x14ac:dyDescent="0.25">
      <c r="A152" s="15">
        <f>SUBTOTAL(3,$B$11:B152)</f>
        <v>142</v>
      </c>
      <c r="B152" s="15">
        <v>6941</v>
      </c>
      <c r="C152" s="12" t="s">
        <v>173</v>
      </c>
      <c r="D152" s="13" t="s">
        <v>13</v>
      </c>
      <c r="E152" s="12">
        <v>5062223</v>
      </c>
      <c r="F152" s="12">
        <v>8530954</v>
      </c>
      <c r="G152" s="14">
        <f t="shared" si="4"/>
        <v>13593177</v>
      </c>
      <c r="H152" s="14">
        <f t="shared" si="5"/>
        <v>522.81449999999995</v>
      </c>
      <c r="I152" s="11" t="s">
        <v>571</v>
      </c>
      <c r="J152" s="11" t="s">
        <v>424</v>
      </c>
    </row>
    <row r="153" spans="1:10" ht="18" customHeight="1" x14ac:dyDescent="0.25">
      <c r="A153" s="15">
        <f>SUBTOTAL(3,$B$11:B153)</f>
        <v>143</v>
      </c>
      <c r="B153" s="15">
        <v>6945</v>
      </c>
      <c r="C153" s="12" t="s">
        <v>174</v>
      </c>
      <c r="D153" s="13" t="s">
        <v>14</v>
      </c>
      <c r="E153" s="12">
        <v>4788677</v>
      </c>
      <c r="F153" s="12">
        <v>7865582</v>
      </c>
      <c r="G153" s="14">
        <f t="shared" si="4"/>
        <v>12654259</v>
      </c>
      <c r="H153" s="14">
        <f t="shared" si="5"/>
        <v>486.70226923076922</v>
      </c>
      <c r="I153" s="11" t="s">
        <v>572</v>
      </c>
      <c r="J153" s="11" t="s">
        <v>424</v>
      </c>
    </row>
    <row r="154" spans="1:10" ht="18" customHeight="1" x14ac:dyDescent="0.25">
      <c r="A154" s="15">
        <f>SUBTOTAL(3,$B$11:B154)</f>
        <v>144</v>
      </c>
      <c r="B154" s="15">
        <v>6986</v>
      </c>
      <c r="C154" s="12" t="s">
        <v>175</v>
      </c>
      <c r="D154" s="13" t="s">
        <v>13</v>
      </c>
      <c r="E154" s="12">
        <v>3860601</v>
      </c>
      <c r="F154" s="12">
        <v>8327890</v>
      </c>
      <c r="G154" s="14">
        <f t="shared" si="4"/>
        <v>12188491</v>
      </c>
      <c r="H154" s="14">
        <f t="shared" si="5"/>
        <v>468.78811538461537</v>
      </c>
      <c r="I154" s="11" t="s">
        <v>573</v>
      </c>
      <c r="J154" s="11" t="s">
        <v>424</v>
      </c>
    </row>
    <row r="155" spans="1:10" ht="18" customHeight="1" x14ac:dyDescent="0.25">
      <c r="A155" s="15">
        <f>SUBTOTAL(3,$B$11:B155)</f>
        <v>145</v>
      </c>
      <c r="B155" s="15">
        <v>7032</v>
      </c>
      <c r="C155" s="12" t="s">
        <v>176</v>
      </c>
      <c r="D155" s="13" t="s">
        <v>13</v>
      </c>
      <c r="E155" s="12">
        <v>5085120</v>
      </c>
      <c r="F155" s="12">
        <v>8639717</v>
      </c>
      <c r="G155" s="14">
        <f t="shared" si="4"/>
        <v>13724837</v>
      </c>
      <c r="H155" s="14">
        <f t="shared" si="5"/>
        <v>527.87834615384611</v>
      </c>
      <c r="I155" s="11" t="s">
        <v>574</v>
      </c>
      <c r="J155" s="11" t="s">
        <v>424</v>
      </c>
    </row>
    <row r="156" spans="1:10" ht="18" customHeight="1" x14ac:dyDescent="0.25">
      <c r="A156" s="15">
        <f>SUBTOTAL(3,$B$11:B156)</f>
        <v>146</v>
      </c>
      <c r="B156" s="15">
        <v>7042</v>
      </c>
      <c r="C156" s="12" t="s">
        <v>177</v>
      </c>
      <c r="D156" s="13" t="s">
        <v>19</v>
      </c>
      <c r="E156" s="12">
        <v>4929808</v>
      </c>
      <c r="F156" s="12">
        <v>8167991</v>
      </c>
      <c r="G156" s="14">
        <f t="shared" si="4"/>
        <v>13097799</v>
      </c>
      <c r="H156" s="14">
        <f t="shared" si="5"/>
        <v>503.76150000000001</v>
      </c>
      <c r="I156" s="11" t="s">
        <v>575</v>
      </c>
      <c r="J156" s="11" t="s">
        <v>424</v>
      </c>
    </row>
    <row r="157" spans="1:10" ht="18" customHeight="1" x14ac:dyDescent="0.25">
      <c r="A157" s="15">
        <f>SUBTOTAL(3,$B$11:B157)</f>
        <v>147</v>
      </c>
      <c r="B157" s="15">
        <v>7055</v>
      </c>
      <c r="C157" s="12" t="s">
        <v>178</v>
      </c>
      <c r="D157" s="13" t="s">
        <v>19</v>
      </c>
      <c r="E157" s="12">
        <v>2276322</v>
      </c>
      <c r="F157" s="12">
        <v>9368807</v>
      </c>
      <c r="G157" s="14">
        <f t="shared" si="4"/>
        <v>11645129</v>
      </c>
      <c r="H157" s="14">
        <f t="shared" si="5"/>
        <v>447.8895769230769</v>
      </c>
      <c r="I157" s="11" t="s">
        <v>576</v>
      </c>
      <c r="J157" s="11" t="s">
        <v>424</v>
      </c>
    </row>
    <row r="158" spans="1:10" ht="18" customHeight="1" x14ac:dyDescent="0.25">
      <c r="A158" s="15">
        <f>SUBTOTAL(3,$B$11:B158)</f>
        <v>148</v>
      </c>
      <c r="B158" s="15">
        <v>7200</v>
      </c>
      <c r="C158" s="12" t="s">
        <v>179</v>
      </c>
      <c r="D158" s="13" t="s">
        <v>20</v>
      </c>
      <c r="E158" s="12">
        <v>4260841</v>
      </c>
      <c r="F158" s="12">
        <v>9091351</v>
      </c>
      <c r="G158" s="14">
        <f t="shared" si="4"/>
        <v>13352192</v>
      </c>
      <c r="H158" s="14">
        <f t="shared" si="5"/>
        <v>513.54584615384613</v>
      </c>
      <c r="I158" s="11" t="s">
        <v>577</v>
      </c>
      <c r="J158" s="11" t="s">
        <v>424</v>
      </c>
    </row>
    <row r="159" spans="1:10" ht="18" customHeight="1" x14ac:dyDescent="0.25">
      <c r="A159" s="15">
        <f>SUBTOTAL(3,$B$11:B159)</f>
        <v>149</v>
      </c>
      <c r="B159" s="15">
        <v>7202</v>
      </c>
      <c r="C159" s="12" t="s">
        <v>180</v>
      </c>
      <c r="D159" s="13" t="s">
        <v>14</v>
      </c>
      <c r="E159" s="12">
        <v>5154695</v>
      </c>
      <c r="F159" s="12">
        <v>9546473</v>
      </c>
      <c r="G159" s="14">
        <f t="shared" si="4"/>
        <v>14701168</v>
      </c>
      <c r="H159" s="14">
        <f t="shared" si="5"/>
        <v>565.42953846153841</v>
      </c>
      <c r="I159" s="11" t="s">
        <v>578</v>
      </c>
      <c r="J159" s="11" t="s">
        <v>424</v>
      </c>
    </row>
    <row r="160" spans="1:10" ht="18" customHeight="1" x14ac:dyDescent="0.25">
      <c r="A160" s="15">
        <f>SUBTOTAL(3,$B$11:B160)</f>
        <v>150</v>
      </c>
      <c r="B160" s="15">
        <v>7224</v>
      </c>
      <c r="C160" s="12" t="s">
        <v>181</v>
      </c>
      <c r="D160" s="13" t="s">
        <v>19</v>
      </c>
      <c r="E160" s="12">
        <v>5141212</v>
      </c>
      <c r="F160" s="12">
        <v>9617980</v>
      </c>
      <c r="G160" s="14">
        <f t="shared" si="4"/>
        <v>14759192</v>
      </c>
      <c r="H160" s="14">
        <f t="shared" si="5"/>
        <v>567.66123076923077</v>
      </c>
      <c r="I160" s="11" t="s">
        <v>579</v>
      </c>
      <c r="J160" s="11" t="s">
        <v>424</v>
      </c>
    </row>
    <row r="161" spans="1:10" ht="18" customHeight="1" x14ac:dyDescent="0.25">
      <c r="A161" s="15">
        <f>SUBTOTAL(3,$B$11:B161)</f>
        <v>151</v>
      </c>
      <c r="B161" s="15">
        <v>7246</v>
      </c>
      <c r="C161" s="12" t="s">
        <v>182</v>
      </c>
      <c r="D161" s="13" t="s">
        <v>13</v>
      </c>
      <c r="E161" s="12">
        <v>6455265</v>
      </c>
      <c r="F161" s="12">
        <v>11549759</v>
      </c>
      <c r="G161" s="14">
        <f t="shared" si="4"/>
        <v>18005024</v>
      </c>
      <c r="H161" s="14">
        <f t="shared" si="5"/>
        <v>692.50092307692307</v>
      </c>
      <c r="I161" s="11" t="s">
        <v>580</v>
      </c>
      <c r="J161" s="11" t="s">
        <v>424</v>
      </c>
    </row>
    <row r="162" spans="1:10" ht="18" customHeight="1" x14ac:dyDescent="0.25">
      <c r="A162" s="15">
        <f>SUBTOTAL(3,$B$11:B162)</f>
        <v>152</v>
      </c>
      <c r="B162" s="15">
        <v>7248</v>
      </c>
      <c r="C162" s="12" t="s">
        <v>183</v>
      </c>
      <c r="D162" s="13" t="s">
        <v>13</v>
      </c>
      <c r="E162" s="12">
        <v>4909579</v>
      </c>
      <c r="F162" s="12">
        <v>8915810</v>
      </c>
      <c r="G162" s="14">
        <f t="shared" si="4"/>
        <v>13825389</v>
      </c>
      <c r="H162" s="14">
        <f t="shared" si="5"/>
        <v>531.74573076923082</v>
      </c>
      <c r="I162" s="11" t="s">
        <v>581</v>
      </c>
      <c r="J162" s="11" t="s">
        <v>424</v>
      </c>
    </row>
    <row r="163" spans="1:10" ht="18" customHeight="1" x14ac:dyDescent="0.25">
      <c r="A163" s="15">
        <f>SUBTOTAL(3,$B$11:B163)</f>
        <v>153</v>
      </c>
      <c r="B163" s="15">
        <v>7315</v>
      </c>
      <c r="C163" s="12" t="s">
        <v>184</v>
      </c>
      <c r="D163" s="13" t="s">
        <v>13</v>
      </c>
      <c r="E163" s="12">
        <v>4718774</v>
      </c>
      <c r="F163" s="12">
        <v>6532997</v>
      </c>
      <c r="G163" s="14">
        <f t="shared" si="4"/>
        <v>11251771</v>
      </c>
      <c r="H163" s="14">
        <f t="shared" si="5"/>
        <v>432.76042307692308</v>
      </c>
      <c r="I163" s="11" t="s">
        <v>582</v>
      </c>
      <c r="J163" s="11" t="s">
        <v>424</v>
      </c>
    </row>
    <row r="164" spans="1:10" ht="18" customHeight="1" x14ac:dyDescent="0.25">
      <c r="A164" s="15">
        <f>SUBTOTAL(3,$B$11:B164)</f>
        <v>154</v>
      </c>
      <c r="B164" s="15">
        <v>7317</v>
      </c>
      <c r="C164" s="12" t="s">
        <v>185</v>
      </c>
      <c r="D164" s="13" t="s">
        <v>14</v>
      </c>
      <c r="E164" s="12">
        <v>4810361</v>
      </c>
      <c r="F164" s="12">
        <v>8503635</v>
      </c>
      <c r="G164" s="14">
        <f t="shared" si="4"/>
        <v>13313996</v>
      </c>
      <c r="H164" s="14">
        <f t="shared" si="5"/>
        <v>512.07676923076929</v>
      </c>
      <c r="I164" s="11" t="s">
        <v>583</v>
      </c>
      <c r="J164" s="11" t="s">
        <v>537</v>
      </c>
    </row>
    <row r="165" spans="1:10" ht="18" customHeight="1" x14ac:dyDescent="0.25">
      <c r="A165" s="15">
        <f>SUBTOTAL(3,$B$11:B165)</f>
        <v>155</v>
      </c>
      <c r="B165" s="15">
        <v>7322</v>
      </c>
      <c r="C165" s="12" t="s">
        <v>186</v>
      </c>
      <c r="D165" s="13" t="s">
        <v>14</v>
      </c>
      <c r="E165" s="12">
        <v>2353846</v>
      </c>
      <c r="F165" s="12">
        <v>3734404</v>
      </c>
      <c r="G165" s="14">
        <f t="shared" si="4"/>
        <v>6088250</v>
      </c>
      <c r="H165" s="14">
        <f t="shared" si="5"/>
        <v>234.16346153846155</v>
      </c>
      <c r="I165" s="11" t="s">
        <v>584</v>
      </c>
      <c r="J165" s="11" t="s">
        <v>424</v>
      </c>
    </row>
    <row r="166" spans="1:10" ht="18" customHeight="1" x14ac:dyDescent="0.25">
      <c r="A166" s="15">
        <f>SUBTOTAL(3,$B$11:B166)</f>
        <v>156</v>
      </c>
      <c r="B166" s="15">
        <v>7485</v>
      </c>
      <c r="C166" s="12" t="s">
        <v>1168</v>
      </c>
      <c r="D166" s="13" t="s">
        <v>21</v>
      </c>
      <c r="E166" s="12">
        <v>4101622</v>
      </c>
      <c r="F166" s="12">
        <v>9099711</v>
      </c>
      <c r="G166" s="14">
        <f t="shared" si="4"/>
        <v>13201333</v>
      </c>
      <c r="H166" s="14">
        <f t="shared" si="5"/>
        <v>507.74357692307694</v>
      </c>
      <c r="I166" s="11" t="s">
        <v>1307</v>
      </c>
      <c r="J166" s="11" t="s">
        <v>424</v>
      </c>
    </row>
    <row r="167" spans="1:10" ht="18" customHeight="1" x14ac:dyDescent="0.25">
      <c r="A167" s="15">
        <f>SUBTOTAL(3,$B$11:B167)</f>
        <v>157</v>
      </c>
      <c r="B167" s="15">
        <v>7595</v>
      </c>
      <c r="C167" s="12" t="s">
        <v>187</v>
      </c>
      <c r="D167" s="13" t="s">
        <v>16</v>
      </c>
      <c r="E167" s="12">
        <v>5995757</v>
      </c>
      <c r="F167" s="12">
        <v>9721868</v>
      </c>
      <c r="G167" s="14">
        <f t="shared" si="4"/>
        <v>15717625</v>
      </c>
      <c r="H167" s="14">
        <f t="shared" si="5"/>
        <v>604.52403846153845</v>
      </c>
      <c r="I167" s="11" t="s">
        <v>585</v>
      </c>
      <c r="J167" s="11" t="s">
        <v>424</v>
      </c>
    </row>
    <row r="168" spans="1:10" ht="18" customHeight="1" x14ac:dyDescent="0.25">
      <c r="A168" s="15">
        <f>SUBTOTAL(3,$B$11:B168)</f>
        <v>158</v>
      </c>
      <c r="B168" s="15">
        <v>7667</v>
      </c>
      <c r="C168" s="12" t="s">
        <v>188</v>
      </c>
      <c r="D168" s="13" t="s">
        <v>13</v>
      </c>
      <c r="E168" s="12">
        <v>6997582</v>
      </c>
      <c r="F168" s="12">
        <v>11607728</v>
      </c>
      <c r="G168" s="14">
        <f t="shared" si="4"/>
        <v>18605310</v>
      </c>
      <c r="H168" s="14">
        <f t="shared" si="5"/>
        <v>715.58884615384613</v>
      </c>
      <c r="I168" s="11" t="s">
        <v>586</v>
      </c>
      <c r="J168" s="11" t="s">
        <v>424</v>
      </c>
    </row>
    <row r="169" spans="1:10" ht="18" customHeight="1" x14ac:dyDescent="0.25">
      <c r="A169" s="15">
        <f>SUBTOTAL(3,$B$11:B169)</f>
        <v>159</v>
      </c>
      <c r="B169" s="15">
        <v>7675</v>
      </c>
      <c r="C169" s="12" t="s">
        <v>189</v>
      </c>
      <c r="D169" s="13" t="s">
        <v>13</v>
      </c>
      <c r="E169" s="12">
        <v>4376741</v>
      </c>
      <c r="F169" s="12">
        <v>8369591</v>
      </c>
      <c r="G169" s="14">
        <f t="shared" si="4"/>
        <v>12746332</v>
      </c>
      <c r="H169" s="14">
        <f t="shared" si="5"/>
        <v>490.24353846153844</v>
      </c>
      <c r="I169" s="11" t="s">
        <v>587</v>
      </c>
      <c r="J169" s="11" t="s">
        <v>424</v>
      </c>
    </row>
    <row r="170" spans="1:10" ht="18" customHeight="1" x14ac:dyDescent="0.25">
      <c r="A170" s="15">
        <f>SUBTOTAL(3,$B$11:B170)</f>
        <v>160</v>
      </c>
      <c r="B170" s="15">
        <v>7685</v>
      </c>
      <c r="C170" s="12" t="s">
        <v>190</v>
      </c>
      <c r="D170" s="13" t="s">
        <v>31</v>
      </c>
      <c r="E170" s="12">
        <v>20197904</v>
      </c>
      <c r="F170" s="12">
        <v>43708627</v>
      </c>
      <c r="G170" s="14">
        <f t="shared" si="4"/>
        <v>63906531</v>
      </c>
      <c r="H170" s="14">
        <f t="shared" si="5"/>
        <v>2457.9434999999999</v>
      </c>
      <c r="I170" s="11" t="s">
        <v>588</v>
      </c>
      <c r="J170" s="11" t="s">
        <v>424</v>
      </c>
    </row>
    <row r="171" spans="1:10" ht="18" customHeight="1" x14ac:dyDescent="0.25">
      <c r="A171" s="15">
        <f>SUBTOTAL(3,$B$11:B171)</f>
        <v>161</v>
      </c>
      <c r="B171" s="15">
        <v>7689</v>
      </c>
      <c r="C171" s="12" t="s">
        <v>74</v>
      </c>
      <c r="D171" s="13" t="s">
        <v>15</v>
      </c>
      <c r="E171" s="12">
        <v>6230769</v>
      </c>
      <c r="F171" s="12">
        <v>8807661</v>
      </c>
      <c r="G171" s="14">
        <f t="shared" si="4"/>
        <v>15038430</v>
      </c>
      <c r="H171" s="14">
        <f t="shared" si="5"/>
        <v>578.40115384615387</v>
      </c>
      <c r="I171" s="11" t="s">
        <v>589</v>
      </c>
      <c r="J171" s="11" t="s">
        <v>423</v>
      </c>
    </row>
    <row r="172" spans="1:10" ht="18" customHeight="1" x14ac:dyDescent="0.25">
      <c r="A172" s="15">
        <f>SUBTOTAL(3,$B$11:B172)</f>
        <v>162</v>
      </c>
      <c r="B172" s="15">
        <v>7690</v>
      </c>
      <c r="C172" s="12" t="s">
        <v>1169</v>
      </c>
      <c r="D172" s="13" t="s">
        <v>1007</v>
      </c>
      <c r="E172" s="12">
        <v>7430262</v>
      </c>
      <c r="F172" s="12">
        <v>14132019</v>
      </c>
      <c r="G172" s="14">
        <f t="shared" si="4"/>
        <v>21562281</v>
      </c>
      <c r="H172" s="14">
        <f t="shared" si="5"/>
        <v>829.31849999999997</v>
      </c>
      <c r="I172" s="11" t="s">
        <v>1308</v>
      </c>
      <c r="J172" s="11" t="s">
        <v>1309</v>
      </c>
    </row>
    <row r="173" spans="1:10" ht="18" customHeight="1" x14ac:dyDescent="0.25">
      <c r="A173" s="15">
        <f>SUBTOTAL(3,$B$11:B173)</f>
        <v>163</v>
      </c>
      <c r="B173" s="15">
        <v>7715</v>
      </c>
      <c r="C173" s="12" t="s">
        <v>191</v>
      </c>
      <c r="D173" s="13" t="s">
        <v>13</v>
      </c>
      <c r="E173" s="12">
        <v>5176707</v>
      </c>
      <c r="F173" s="12">
        <v>8320991</v>
      </c>
      <c r="G173" s="14">
        <f t="shared" si="4"/>
        <v>13497698</v>
      </c>
      <c r="H173" s="14">
        <f t="shared" si="5"/>
        <v>519.14223076923076</v>
      </c>
      <c r="I173" s="11" t="s">
        <v>590</v>
      </c>
      <c r="J173" s="11" t="s">
        <v>424</v>
      </c>
    </row>
    <row r="174" spans="1:10" ht="18" customHeight="1" x14ac:dyDescent="0.25">
      <c r="A174" s="15">
        <f>SUBTOTAL(3,$B$11:B174)</f>
        <v>164</v>
      </c>
      <c r="B174" s="15">
        <v>7751</v>
      </c>
      <c r="C174" s="12" t="s">
        <v>192</v>
      </c>
      <c r="D174" s="13" t="s">
        <v>29</v>
      </c>
      <c r="E174" s="12">
        <v>7108337</v>
      </c>
      <c r="F174" s="12">
        <v>10050064</v>
      </c>
      <c r="G174" s="14">
        <f t="shared" si="4"/>
        <v>17158401</v>
      </c>
      <c r="H174" s="14">
        <f t="shared" si="5"/>
        <v>659.93849999999998</v>
      </c>
      <c r="I174" s="11" t="s">
        <v>591</v>
      </c>
      <c r="J174" s="11" t="s">
        <v>424</v>
      </c>
    </row>
    <row r="175" spans="1:10" ht="18" customHeight="1" x14ac:dyDescent="0.25">
      <c r="A175" s="15">
        <f>SUBTOTAL(3,$B$11:B175)</f>
        <v>165</v>
      </c>
      <c r="B175" s="15">
        <v>7853</v>
      </c>
      <c r="C175" s="12" t="s">
        <v>193</v>
      </c>
      <c r="D175" s="13" t="s">
        <v>14</v>
      </c>
      <c r="E175" s="12">
        <v>4718774</v>
      </c>
      <c r="F175" s="12">
        <v>8776351</v>
      </c>
      <c r="G175" s="14">
        <f t="shared" si="4"/>
        <v>13495125</v>
      </c>
      <c r="H175" s="14">
        <f t="shared" si="5"/>
        <v>519.04326923076928</v>
      </c>
      <c r="I175" s="11" t="s">
        <v>592</v>
      </c>
      <c r="J175" s="11" t="s">
        <v>424</v>
      </c>
    </row>
    <row r="176" spans="1:10" ht="18" customHeight="1" x14ac:dyDescent="0.25">
      <c r="A176" s="15">
        <f>SUBTOTAL(3,$B$11:B176)</f>
        <v>166</v>
      </c>
      <c r="B176" s="15">
        <v>7874</v>
      </c>
      <c r="C176" s="12" t="s">
        <v>194</v>
      </c>
      <c r="D176" s="13" t="s">
        <v>19</v>
      </c>
      <c r="E176" s="12">
        <v>5117344</v>
      </c>
      <c r="F176" s="12">
        <v>8543207</v>
      </c>
      <c r="G176" s="14">
        <f t="shared" si="4"/>
        <v>13660551</v>
      </c>
      <c r="H176" s="14">
        <f t="shared" si="5"/>
        <v>525.40580769230769</v>
      </c>
      <c r="I176" s="11" t="s">
        <v>593</v>
      </c>
      <c r="J176" s="11" t="s">
        <v>424</v>
      </c>
    </row>
    <row r="177" spans="1:10" ht="18" customHeight="1" x14ac:dyDescent="0.25">
      <c r="A177" s="15">
        <f>SUBTOTAL(3,$B$11:B177)</f>
        <v>167</v>
      </c>
      <c r="B177" s="15">
        <v>7952</v>
      </c>
      <c r="C177" s="12" t="s">
        <v>195</v>
      </c>
      <c r="D177" s="13" t="s">
        <v>19</v>
      </c>
      <c r="E177" s="12">
        <v>3843197</v>
      </c>
      <c r="F177" s="12">
        <v>8136232</v>
      </c>
      <c r="G177" s="14">
        <f t="shared" si="4"/>
        <v>11979429</v>
      </c>
      <c r="H177" s="14">
        <f t="shared" si="5"/>
        <v>460.74726923076923</v>
      </c>
      <c r="I177" s="11" t="s">
        <v>594</v>
      </c>
      <c r="J177" s="11" t="s">
        <v>424</v>
      </c>
    </row>
    <row r="178" spans="1:10" ht="18" customHeight="1" x14ac:dyDescent="0.25">
      <c r="A178" s="15">
        <f>SUBTOTAL(3,$B$11:B178)</f>
        <v>168</v>
      </c>
      <c r="B178" s="15">
        <v>7981</v>
      </c>
      <c r="C178" s="12" t="s">
        <v>196</v>
      </c>
      <c r="D178" s="13" t="s">
        <v>21</v>
      </c>
      <c r="E178" s="12">
        <v>4842103</v>
      </c>
      <c r="F178" s="12">
        <v>8048755</v>
      </c>
      <c r="G178" s="14">
        <f t="shared" si="4"/>
        <v>12890858</v>
      </c>
      <c r="H178" s="14">
        <f t="shared" si="5"/>
        <v>495.80223076923079</v>
      </c>
      <c r="I178" s="11" t="s">
        <v>595</v>
      </c>
      <c r="J178" s="11" t="s">
        <v>424</v>
      </c>
    </row>
    <row r="179" spans="1:10" ht="18" customHeight="1" x14ac:dyDescent="0.25">
      <c r="A179" s="15">
        <f>SUBTOTAL(3,$B$11:B179)</f>
        <v>169</v>
      </c>
      <c r="B179" s="15">
        <v>7982</v>
      </c>
      <c r="C179" s="12" t="s">
        <v>197</v>
      </c>
      <c r="D179" s="13" t="s">
        <v>21</v>
      </c>
      <c r="E179" s="12">
        <v>3269711</v>
      </c>
      <c r="F179" s="12">
        <v>5387168</v>
      </c>
      <c r="G179" s="14">
        <f t="shared" si="4"/>
        <v>8656879</v>
      </c>
      <c r="H179" s="14">
        <f t="shared" si="5"/>
        <v>332.95688461538464</v>
      </c>
      <c r="I179" s="11" t="s">
        <v>596</v>
      </c>
      <c r="J179" s="11" t="s">
        <v>424</v>
      </c>
    </row>
    <row r="180" spans="1:10" ht="18" customHeight="1" x14ac:dyDescent="0.25">
      <c r="A180" s="15">
        <f>SUBTOTAL(3,$B$11:B180)</f>
        <v>170</v>
      </c>
      <c r="B180" s="15">
        <v>8012</v>
      </c>
      <c r="C180" s="12" t="s">
        <v>198</v>
      </c>
      <c r="D180" s="13" t="s">
        <v>20</v>
      </c>
      <c r="E180" s="12">
        <v>4672981</v>
      </c>
      <c r="F180" s="12">
        <v>9008466</v>
      </c>
      <c r="G180" s="14">
        <f t="shared" si="4"/>
        <v>13681447</v>
      </c>
      <c r="H180" s="14">
        <f t="shared" si="5"/>
        <v>526.20950000000005</v>
      </c>
      <c r="I180" s="11" t="s">
        <v>597</v>
      </c>
      <c r="J180" s="11" t="s">
        <v>424</v>
      </c>
    </row>
    <row r="181" spans="1:10" ht="18" customHeight="1" x14ac:dyDescent="0.25">
      <c r="A181" s="15">
        <f>SUBTOTAL(3,$B$11:B181)</f>
        <v>171</v>
      </c>
      <c r="B181" s="15">
        <v>8017</v>
      </c>
      <c r="C181" s="12" t="s">
        <v>199</v>
      </c>
      <c r="D181" s="13" t="s">
        <v>21</v>
      </c>
      <c r="E181" s="12">
        <v>4819206</v>
      </c>
      <c r="F181" s="12">
        <v>8698651</v>
      </c>
      <c r="G181" s="14">
        <f t="shared" si="4"/>
        <v>13517857</v>
      </c>
      <c r="H181" s="14">
        <f t="shared" si="5"/>
        <v>519.91757692307692</v>
      </c>
      <c r="I181" s="11" t="s">
        <v>598</v>
      </c>
      <c r="J181" s="11" t="s">
        <v>424</v>
      </c>
    </row>
    <row r="182" spans="1:10" ht="18" customHeight="1" x14ac:dyDescent="0.25">
      <c r="A182" s="15">
        <f>SUBTOTAL(3,$B$11:B182)</f>
        <v>172</v>
      </c>
      <c r="B182" s="15">
        <v>8100</v>
      </c>
      <c r="C182" s="12" t="s">
        <v>200</v>
      </c>
      <c r="D182" s="13" t="s">
        <v>21</v>
      </c>
      <c r="E182" s="12">
        <v>4833257</v>
      </c>
      <c r="F182" s="12">
        <v>10660048</v>
      </c>
      <c r="G182" s="14">
        <f t="shared" si="4"/>
        <v>15493305</v>
      </c>
      <c r="H182" s="14">
        <f t="shared" si="5"/>
        <v>595.89634615384614</v>
      </c>
      <c r="I182" s="11" t="s">
        <v>599</v>
      </c>
      <c r="J182" s="11" t="s">
        <v>424</v>
      </c>
    </row>
    <row r="183" spans="1:10" ht="18" customHeight="1" x14ac:dyDescent="0.25">
      <c r="A183" s="15">
        <f>SUBTOTAL(3,$B$11:B183)</f>
        <v>173</v>
      </c>
      <c r="B183" s="15">
        <v>8126</v>
      </c>
      <c r="C183" s="12" t="s">
        <v>201</v>
      </c>
      <c r="D183" s="13" t="s">
        <v>25</v>
      </c>
      <c r="E183" s="12">
        <v>3712380</v>
      </c>
      <c r="F183" s="12">
        <v>6710678</v>
      </c>
      <c r="G183" s="14">
        <f t="shared" si="4"/>
        <v>10423058</v>
      </c>
      <c r="H183" s="14">
        <f t="shared" si="5"/>
        <v>400.88684615384614</v>
      </c>
      <c r="I183" s="11" t="s">
        <v>600</v>
      </c>
      <c r="J183" s="11" t="s">
        <v>424</v>
      </c>
    </row>
    <row r="184" spans="1:10" ht="18" customHeight="1" x14ac:dyDescent="0.25">
      <c r="A184" s="15">
        <f>SUBTOTAL(3,$B$11:B184)</f>
        <v>174</v>
      </c>
      <c r="B184" s="15">
        <v>8177</v>
      </c>
      <c r="C184" s="12" t="s">
        <v>202</v>
      </c>
      <c r="D184" s="13" t="s">
        <v>23</v>
      </c>
      <c r="E184" s="12">
        <v>4856154</v>
      </c>
      <c r="F184" s="12">
        <v>8475293</v>
      </c>
      <c r="G184" s="14">
        <f t="shared" si="4"/>
        <v>13331447</v>
      </c>
      <c r="H184" s="14">
        <f t="shared" si="5"/>
        <v>512.74796153846148</v>
      </c>
      <c r="I184" s="11" t="s">
        <v>601</v>
      </c>
      <c r="J184" s="11" t="s">
        <v>424</v>
      </c>
    </row>
    <row r="185" spans="1:10" ht="18" customHeight="1" x14ac:dyDescent="0.25">
      <c r="A185" s="15">
        <f>SUBTOTAL(3,$B$11:B185)</f>
        <v>175</v>
      </c>
      <c r="B185" s="15">
        <v>8231</v>
      </c>
      <c r="C185" s="12" t="s">
        <v>203</v>
      </c>
      <c r="D185" s="13" t="s">
        <v>13</v>
      </c>
      <c r="E185" s="12">
        <v>5429783</v>
      </c>
      <c r="F185" s="12">
        <v>8415101</v>
      </c>
      <c r="G185" s="14">
        <f t="shared" si="4"/>
        <v>13844884</v>
      </c>
      <c r="H185" s="14">
        <f t="shared" si="5"/>
        <v>532.49553846153844</v>
      </c>
      <c r="I185" s="11" t="s">
        <v>602</v>
      </c>
      <c r="J185" s="11" t="s">
        <v>424</v>
      </c>
    </row>
    <row r="186" spans="1:10" ht="18" customHeight="1" x14ac:dyDescent="0.25">
      <c r="A186" s="15">
        <f>SUBTOTAL(3,$B$11:B186)</f>
        <v>176</v>
      </c>
      <c r="B186" s="15">
        <v>8261</v>
      </c>
      <c r="C186" s="12" t="s">
        <v>204</v>
      </c>
      <c r="D186" s="13" t="s">
        <v>13</v>
      </c>
      <c r="E186" s="12">
        <v>4408906</v>
      </c>
      <c r="F186" s="12">
        <v>6285462</v>
      </c>
      <c r="G186" s="14">
        <f t="shared" si="4"/>
        <v>10694368</v>
      </c>
      <c r="H186" s="14">
        <f t="shared" si="5"/>
        <v>411.32184615384614</v>
      </c>
      <c r="I186" s="11" t="s">
        <v>603</v>
      </c>
      <c r="J186" s="11" t="s">
        <v>424</v>
      </c>
    </row>
    <row r="187" spans="1:10" ht="18" customHeight="1" x14ac:dyDescent="0.25">
      <c r="A187" s="15">
        <f>SUBTOTAL(3,$B$11:B187)</f>
        <v>177</v>
      </c>
      <c r="B187" s="15">
        <v>8265</v>
      </c>
      <c r="C187" s="12" t="s">
        <v>205</v>
      </c>
      <c r="D187" s="13" t="s">
        <v>13</v>
      </c>
      <c r="E187" s="12">
        <v>4159580</v>
      </c>
      <c r="F187" s="12">
        <v>8922360</v>
      </c>
      <c r="G187" s="14">
        <f t="shared" si="4"/>
        <v>13081940</v>
      </c>
      <c r="H187" s="14">
        <f t="shared" si="5"/>
        <v>503.15153846153845</v>
      </c>
      <c r="I187" s="11" t="s">
        <v>604</v>
      </c>
      <c r="J187" s="11" t="s">
        <v>424</v>
      </c>
    </row>
    <row r="188" spans="1:10" ht="18" customHeight="1" x14ac:dyDescent="0.25">
      <c r="A188" s="15">
        <f>SUBTOTAL(3,$B$11:B188)</f>
        <v>178</v>
      </c>
      <c r="B188" s="15">
        <v>8289</v>
      </c>
      <c r="C188" s="12" t="s">
        <v>206</v>
      </c>
      <c r="D188" s="13" t="s">
        <v>18</v>
      </c>
      <c r="E188" s="12">
        <v>5855192</v>
      </c>
      <c r="F188" s="12">
        <v>11783231</v>
      </c>
      <c r="G188" s="14">
        <f t="shared" si="4"/>
        <v>17638423</v>
      </c>
      <c r="H188" s="14">
        <f t="shared" si="5"/>
        <v>678.4008846153846</v>
      </c>
      <c r="I188" s="11" t="s">
        <v>605</v>
      </c>
      <c r="J188" s="11" t="s">
        <v>424</v>
      </c>
    </row>
    <row r="189" spans="1:10" ht="18" customHeight="1" x14ac:dyDescent="0.25">
      <c r="A189" s="15">
        <f>SUBTOTAL(3,$B$11:B189)</f>
        <v>179</v>
      </c>
      <c r="B189" s="15">
        <v>8416</v>
      </c>
      <c r="C189" s="12" t="s">
        <v>207</v>
      </c>
      <c r="D189" s="13" t="s">
        <v>14</v>
      </c>
      <c r="E189" s="12">
        <v>3992885</v>
      </c>
      <c r="F189" s="12">
        <v>8048755</v>
      </c>
      <c r="G189" s="14">
        <f t="shared" si="4"/>
        <v>12041640</v>
      </c>
      <c r="H189" s="14">
        <f t="shared" si="5"/>
        <v>463.14</v>
      </c>
      <c r="I189" s="11" t="s">
        <v>606</v>
      </c>
      <c r="J189" s="11" t="s">
        <v>424</v>
      </c>
    </row>
    <row r="190" spans="1:10" ht="18" customHeight="1" x14ac:dyDescent="0.25">
      <c r="A190" s="15">
        <f>SUBTOTAL(3,$B$11:B190)</f>
        <v>180</v>
      </c>
      <c r="B190" s="15">
        <v>8423</v>
      </c>
      <c r="C190" s="12" t="s">
        <v>208</v>
      </c>
      <c r="D190" s="13" t="s">
        <v>20</v>
      </c>
      <c r="E190" s="12">
        <v>5696250</v>
      </c>
      <c r="F190" s="12">
        <v>8918491</v>
      </c>
      <c r="G190" s="14">
        <f t="shared" si="4"/>
        <v>14614741</v>
      </c>
      <c r="H190" s="14">
        <f t="shared" si="5"/>
        <v>562.1054230769231</v>
      </c>
      <c r="I190" s="11" t="s">
        <v>607</v>
      </c>
      <c r="J190" s="11" t="s">
        <v>424</v>
      </c>
    </row>
    <row r="191" spans="1:10" ht="18" customHeight="1" x14ac:dyDescent="0.25">
      <c r="A191" s="15">
        <f>SUBTOTAL(3,$B$11:B191)</f>
        <v>181</v>
      </c>
      <c r="B191" s="15">
        <v>8451</v>
      </c>
      <c r="C191" s="12" t="s">
        <v>209</v>
      </c>
      <c r="D191" s="13" t="s">
        <v>14</v>
      </c>
      <c r="E191" s="12">
        <v>4718774</v>
      </c>
      <c r="F191" s="12">
        <v>9175269</v>
      </c>
      <c r="G191" s="14">
        <f t="shared" si="4"/>
        <v>13894043</v>
      </c>
      <c r="H191" s="14">
        <f t="shared" si="5"/>
        <v>534.38626923076924</v>
      </c>
      <c r="I191" s="11" t="s">
        <v>608</v>
      </c>
      <c r="J191" s="11" t="s">
        <v>424</v>
      </c>
    </row>
    <row r="192" spans="1:10" ht="18" customHeight="1" x14ac:dyDescent="0.25">
      <c r="A192" s="15">
        <f>SUBTOTAL(3,$B$11:B192)</f>
        <v>182</v>
      </c>
      <c r="B192" s="15">
        <v>8455</v>
      </c>
      <c r="C192" s="12" t="s">
        <v>210</v>
      </c>
      <c r="D192" s="13" t="s">
        <v>13</v>
      </c>
      <c r="E192" s="12">
        <v>5406887</v>
      </c>
      <c r="F192" s="12">
        <v>6593058</v>
      </c>
      <c r="G192" s="14">
        <f t="shared" si="4"/>
        <v>11999945</v>
      </c>
      <c r="H192" s="14">
        <f t="shared" si="5"/>
        <v>461.53634615384618</v>
      </c>
      <c r="I192" s="11" t="s">
        <v>609</v>
      </c>
      <c r="J192" s="11" t="s">
        <v>424</v>
      </c>
    </row>
    <row r="193" spans="1:10" ht="18" customHeight="1" x14ac:dyDescent="0.25">
      <c r="A193" s="15">
        <f>SUBTOTAL(3,$B$11:B193)</f>
        <v>183</v>
      </c>
      <c r="B193" s="15">
        <v>8469</v>
      </c>
      <c r="C193" s="12" t="s">
        <v>171</v>
      </c>
      <c r="D193" s="13" t="s">
        <v>13</v>
      </c>
      <c r="E193" s="12">
        <v>5429783</v>
      </c>
      <c r="F193" s="12">
        <v>8331183</v>
      </c>
      <c r="G193" s="14">
        <f t="shared" si="4"/>
        <v>13760966</v>
      </c>
      <c r="H193" s="14">
        <f t="shared" si="5"/>
        <v>529.26792307692313</v>
      </c>
      <c r="I193" s="11" t="s">
        <v>610</v>
      </c>
      <c r="J193" s="11" t="s">
        <v>424</v>
      </c>
    </row>
    <row r="194" spans="1:10" ht="18" customHeight="1" x14ac:dyDescent="0.25">
      <c r="A194" s="15">
        <f>SUBTOTAL(3,$B$11:B194)</f>
        <v>184</v>
      </c>
      <c r="B194" s="15">
        <v>8503</v>
      </c>
      <c r="C194" s="12" t="s">
        <v>211</v>
      </c>
      <c r="D194" s="13" t="s">
        <v>13</v>
      </c>
      <c r="E194" s="12">
        <v>5406887</v>
      </c>
      <c r="F194" s="12">
        <v>8277721</v>
      </c>
      <c r="G194" s="14">
        <f t="shared" si="4"/>
        <v>13684608</v>
      </c>
      <c r="H194" s="14">
        <f t="shared" si="5"/>
        <v>526.33107692307692</v>
      </c>
      <c r="I194" s="11" t="s">
        <v>611</v>
      </c>
      <c r="J194" s="11" t="s">
        <v>612</v>
      </c>
    </row>
    <row r="195" spans="1:10" ht="18" customHeight="1" x14ac:dyDescent="0.25">
      <c r="A195" s="15">
        <f>SUBTOTAL(3,$B$11:B195)</f>
        <v>185</v>
      </c>
      <c r="B195" s="15">
        <v>8519</v>
      </c>
      <c r="C195" s="12" t="s">
        <v>43</v>
      </c>
      <c r="D195" s="13" t="s">
        <v>14</v>
      </c>
      <c r="E195" s="12">
        <v>5124808</v>
      </c>
      <c r="F195" s="12">
        <v>7929580</v>
      </c>
      <c r="G195" s="14">
        <f t="shared" si="4"/>
        <v>13054388</v>
      </c>
      <c r="H195" s="14">
        <f t="shared" si="5"/>
        <v>502.09184615384618</v>
      </c>
      <c r="I195" s="11" t="s">
        <v>613</v>
      </c>
      <c r="J195" s="11" t="s">
        <v>424</v>
      </c>
    </row>
    <row r="196" spans="1:10" ht="18" customHeight="1" x14ac:dyDescent="0.25">
      <c r="A196" s="15">
        <f>SUBTOTAL(3,$B$11:B196)</f>
        <v>186</v>
      </c>
      <c r="B196" s="15">
        <v>8542</v>
      </c>
      <c r="C196" s="12" t="s">
        <v>212</v>
      </c>
      <c r="D196" s="13" t="s">
        <v>13</v>
      </c>
      <c r="E196" s="12">
        <v>3205889</v>
      </c>
      <c r="F196" s="12">
        <v>8679344</v>
      </c>
      <c r="G196" s="14">
        <f t="shared" si="4"/>
        <v>11885233</v>
      </c>
      <c r="H196" s="14">
        <f t="shared" si="5"/>
        <v>457.12434615384615</v>
      </c>
      <c r="I196" s="11" t="s">
        <v>614</v>
      </c>
      <c r="J196" s="11" t="s">
        <v>424</v>
      </c>
    </row>
    <row r="197" spans="1:10" ht="18" customHeight="1" x14ac:dyDescent="0.25">
      <c r="A197" s="15">
        <f>SUBTOTAL(3,$B$11:B197)</f>
        <v>187</v>
      </c>
      <c r="B197" s="15">
        <v>8611</v>
      </c>
      <c r="C197" s="12" t="s">
        <v>213</v>
      </c>
      <c r="D197" s="13" t="s">
        <v>14</v>
      </c>
      <c r="E197" s="12">
        <v>5124808</v>
      </c>
      <c r="F197" s="12">
        <v>8120990</v>
      </c>
      <c r="G197" s="14">
        <f t="shared" si="4"/>
        <v>13245798</v>
      </c>
      <c r="H197" s="14">
        <f t="shared" si="5"/>
        <v>509.45376923076924</v>
      </c>
      <c r="I197" s="11" t="s">
        <v>615</v>
      </c>
      <c r="J197" s="11" t="s">
        <v>424</v>
      </c>
    </row>
    <row r="198" spans="1:10" ht="18" customHeight="1" x14ac:dyDescent="0.25">
      <c r="A198" s="15">
        <f>SUBTOTAL(3,$B$11:B198)</f>
        <v>188</v>
      </c>
      <c r="B198" s="15">
        <v>8620</v>
      </c>
      <c r="C198" s="12" t="s">
        <v>214</v>
      </c>
      <c r="D198" s="13" t="s">
        <v>13</v>
      </c>
      <c r="E198" s="12">
        <v>5429783</v>
      </c>
      <c r="F198" s="12">
        <v>8117444</v>
      </c>
      <c r="G198" s="14">
        <f t="shared" si="4"/>
        <v>13547227</v>
      </c>
      <c r="H198" s="14">
        <f t="shared" si="5"/>
        <v>521.04719230769228</v>
      </c>
      <c r="I198" s="11" t="s">
        <v>616</v>
      </c>
      <c r="J198" s="11" t="s">
        <v>424</v>
      </c>
    </row>
    <row r="199" spans="1:10" ht="18" customHeight="1" x14ac:dyDescent="0.25">
      <c r="A199" s="15">
        <f>SUBTOTAL(3,$B$11:B199)</f>
        <v>189</v>
      </c>
      <c r="B199" s="15">
        <v>8651</v>
      </c>
      <c r="C199" s="12" t="s">
        <v>215</v>
      </c>
      <c r="D199" s="13" t="s">
        <v>8</v>
      </c>
      <c r="E199" s="12">
        <v>9832932</v>
      </c>
      <c r="F199" s="12">
        <v>18879809</v>
      </c>
      <c r="G199" s="14">
        <f t="shared" si="4"/>
        <v>28712741</v>
      </c>
      <c r="H199" s="14">
        <f t="shared" si="5"/>
        <v>1104.3361923076923</v>
      </c>
      <c r="I199" s="11" t="s">
        <v>617</v>
      </c>
      <c r="J199" s="11" t="s">
        <v>618</v>
      </c>
    </row>
    <row r="200" spans="1:10" ht="18" customHeight="1" x14ac:dyDescent="0.25">
      <c r="A200" s="15">
        <f>SUBTOTAL(3,$B$11:B200)</f>
        <v>190</v>
      </c>
      <c r="B200" s="15">
        <v>8652</v>
      </c>
      <c r="C200" s="12" t="s">
        <v>216</v>
      </c>
      <c r="D200" s="13" t="s">
        <v>29</v>
      </c>
      <c r="E200" s="12">
        <v>5113852</v>
      </c>
      <c r="F200" s="12">
        <v>9909315</v>
      </c>
      <c r="G200" s="14">
        <f t="shared" si="4"/>
        <v>15023167</v>
      </c>
      <c r="H200" s="14">
        <f t="shared" si="5"/>
        <v>577.81411538461543</v>
      </c>
      <c r="I200" s="11" t="s">
        <v>619</v>
      </c>
      <c r="J200" s="11" t="s">
        <v>620</v>
      </c>
    </row>
    <row r="201" spans="1:10" ht="18" customHeight="1" x14ac:dyDescent="0.25">
      <c r="A201" s="15">
        <f>SUBTOTAL(3,$B$11:B201)</f>
        <v>191</v>
      </c>
      <c r="B201" s="15">
        <v>8661</v>
      </c>
      <c r="C201" s="12" t="s">
        <v>181</v>
      </c>
      <c r="D201" s="13" t="s">
        <v>30</v>
      </c>
      <c r="E201" s="12">
        <v>6735577</v>
      </c>
      <c r="F201" s="12">
        <v>13273760</v>
      </c>
      <c r="G201" s="14">
        <f t="shared" si="4"/>
        <v>20009337</v>
      </c>
      <c r="H201" s="14">
        <f t="shared" si="5"/>
        <v>769.58988461538456</v>
      </c>
      <c r="I201" s="11" t="s">
        <v>621</v>
      </c>
      <c r="J201" s="11" t="s">
        <v>537</v>
      </c>
    </row>
    <row r="202" spans="1:10" ht="18" customHeight="1" x14ac:dyDescent="0.25">
      <c r="A202" s="15">
        <f>SUBTOTAL(3,$B$11:B202)</f>
        <v>192</v>
      </c>
      <c r="B202" s="15">
        <v>8739</v>
      </c>
      <c r="C202" s="12" t="s">
        <v>218</v>
      </c>
      <c r="D202" s="13" t="s">
        <v>13</v>
      </c>
      <c r="E202" s="12">
        <v>3997980</v>
      </c>
      <c r="F202" s="12">
        <v>8079320</v>
      </c>
      <c r="G202" s="14">
        <f t="shared" si="4"/>
        <v>12077300</v>
      </c>
      <c r="H202" s="14">
        <f t="shared" si="5"/>
        <v>464.51153846153846</v>
      </c>
      <c r="I202" s="11" t="s">
        <v>622</v>
      </c>
      <c r="J202" s="11" t="s">
        <v>424</v>
      </c>
    </row>
    <row r="203" spans="1:10" ht="18" customHeight="1" x14ac:dyDescent="0.25">
      <c r="A203" s="15">
        <f>SUBTOTAL(3,$B$11:B203)</f>
        <v>193</v>
      </c>
      <c r="B203" s="15">
        <v>8771</v>
      </c>
      <c r="C203" s="12" t="s">
        <v>219</v>
      </c>
      <c r="D203" s="13" t="s">
        <v>13</v>
      </c>
      <c r="E203" s="12">
        <v>4397236</v>
      </c>
      <c r="F203" s="12">
        <v>7050990</v>
      </c>
      <c r="G203" s="14">
        <f t="shared" si="4"/>
        <v>11448226</v>
      </c>
      <c r="H203" s="14">
        <f t="shared" si="5"/>
        <v>440.31638461538461</v>
      </c>
      <c r="I203" s="11" t="s">
        <v>623</v>
      </c>
      <c r="J203" s="11" t="s">
        <v>563</v>
      </c>
    </row>
    <row r="204" spans="1:10" ht="18" customHeight="1" x14ac:dyDescent="0.25">
      <c r="A204" s="15">
        <f>SUBTOTAL(3,$B$11:B204)</f>
        <v>194</v>
      </c>
      <c r="B204" s="15">
        <v>8825</v>
      </c>
      <c r="C204" s="12" t="s">
        <v>220</v>
      </c>
      <c r="D204" s="13" t="s">
        <v>21</v>
      </c>
      <c r="E204" s="12">
        <v>4293750</v>
      </c>
      <c r="F204" s="12">
        <v>10713510</v>
      </c>
      <c r="G204" s="14">
        <f t="shared" ref="G204:G267" si="6">E204+F204</f>
        <v>15007260</v>
      </c>
      <c r="H204" s="14">
        <f t="shared" ref="H204:H267" si="7">G204/$J$1</f>
        <v>577.20230769230773</v>
      </c>
      <c r="I204" s="11" t="s">
        <v>624</v>
      </c>
      <c r="J204" s="11" t="s">
        <v>612</v>
      </c>
    </row>
    <row r="205" spans="1:10" ht="18" customHeight="1" x14ac:dyDescent="0.25">
      <c r="A205" s="15">
        <f>SUBTOTAL(3,$B$11:B205)</f>
        <v>195</v>
      </c>
      <c r="B205" s="15">
        <v>8864</v>
      </c>
      <c r="C205" s="12" t="s">
        <v>221</v>
      </c>
      <c r="D205" s="13" t="s">
        <v>30</v>
      </c>
      <c r="E205" s="12">
        <v>15165865</v>
      </c>
      <c r="F205" s="12">
        <v>21140594</v>
      </c>
      <c r="G205" s="14">
        <f t="shared" si="6"/>
        <v>36306459</v>
      </c>
      <c r="H205" s="14">
        <f t="shared" si="7"/>
        <v>1396.4022692307692</v>
      </c>
      <c r="I205" s="11" t="s">
        <v>626</v>
      </c>
      <c r="J205" s="11" t="s">
        <v>625</v>
      </c>
    </row>
    <row r="206" spans="1:10" ht="18" customHeight="1" x14ac:dyDescent="0.25">
      <c r="A206" s="15">
        <f>SUBTOTAL(3,$B$11:B206)</f>
        <v>196</v>
      </c>
      <c r="B206" s="15">
        <v>8908</v>
      </c>
      <c r="C206" s="12" t="s">
        <v>222</v>
      </c>
      <c r="D206" s="13" t="s">
        <v>17</v>
      </c>
      <c r="E206" s="12">
        <v>20466707</v>
      </c>
      <c r="F206" s="12">
        <v>31165197</v>
      </c>
      <c r="G206" s="14">
        <f t="shared" si="6"/>
        <v>51631904</v>
      </c>
      <c r="H206" s="14">
        <f t="shared" si="7"/>
        <v>1985.8424615384615</v>
      </c>
      <c r="I206" s="11" t="s">
        <v>627</v>
      </c>
      <c r="J206" s="11" t="s">
        <v>423</v>
      </c>
    </row>
    <row r="207" spans="1:10" ht="18" customHeight="1" x14ac:dyDescent="0.25">
      <c r="A207" s="15">
        <f>SUBTOTAL(3,$B$11:B207)</f>
        <v>197</v>
      </c>
      <c r="B207" s="15">
        <v>8919</v>
      </c>
      <c r="C207" s="12" t="s">
        <v>223</v>
      </c>
      <c r="D207" s="13" t="s">
        <v>13</v>
      </c>
      <c r="E207" s="12">
        <v>4568341</v>
      </c>
      <c r="F207" s="12">
        <v>8415137</v>
      </c>
      <c r="G207" s="14">
        <f t="shared" si="6"/>
        <v>12983478</v>
      </c>
      <c r="H207" s="14">
        <f t="shared" si="7"/>
        <v>499.36453846153847</v>
      </c>
      <c r="I207" s="11" t="s">
        <v>628</v>
      </c>
      <c r="J207" s="11" t="s">
        <v>472</v>
      </c>
    </row>
    <row r="208" spans="1:10" ht="18" customHeight="1" x14ac:dyDescent="0.25">
      <c r="A208" s="15">
        <f>SUBTOTAL(3,$B$11:B208)</f>
        <v>198</v>
      </c>
      <c r="B208" s="15">
        <v>8964</v>
      </c>
      <c r="C208" s="12" t="s">
        <v>224</v>
      </c>
      <c r="D208" s="13" t="s">
        <v>27</v>
      </c>
      <c r="E208" s="12">
        <v>11010577</v>
      </c>
      <c r="F208" s="12">
        <v>18864340</v>
      </c>
      <c r="G208" s="14">
        <f t="shared" si="6"/>
        <v>29874917</v>
      </c>
      <c r="H208" s="14">
        <f t="shared" si="7"/>
        <v>1149.0352692307692</v>
      </c>
      <c r="I208" s="11" t="s">
        <v>629</v>
      </c>
      <c r="J208" s="11" t="s">
        <v>472</v>
      </c>
    </row>
    <row r="209" spans="1:10" ht="18" customHeight="1" x14ac:dyDescent="0.25">
      <c r="A209" s="15">
        <f>SUBTOTAL(3,$B$11:B209)</f>
        <v>199</v>
      </c>
      <c r="B209" s="15">
        <v>9049</v>
      </c>
      <c r="C209" s="12" t="s">
        <v>225</v>
      </c>
      <c r="D209" s="13" t="s">
        <v>1166</v>
      </c>
      <c r="E209" s="12">
        <v>5538089</v>
      </c>
      <c r="F209" s="12">
        <v>8892414</v>
      </c>
      <c r="G209" s="14">
        <f t="shared" si="6"/>
        <v>14430503</v>
      </c>
      <c r="H209" s="14">
        <f t="shared" si="7"/>
        <v>555.01934615384619</v>
      </c>
      <c r="I209" s="11" t="s">
        <v>630</v>
      </c>
      <c r="J209" s="11" t="s">
        <v>472</v>
      </c>
    </row>
    <row r="210" spans="1:10" ht="18" customHeight="1" x14ac:dyDescent="0.25">
      <c r="A210" s="15">
        <f>SUBTOTAL(3,$B$11:B210)</f>
        <v>200</v>
      </c>
      <c r="B210" s="15">
        <v>9050</v>
      </c>
      <c r="C210" s="12" t="s">
        <v>226</v>
      </c>
      <c r="D210" s="13" t="s">
        <v>13</v>
      </c>
      <c r="E210" s="12">
        <v>5157692</v>
      </c>
      <c r="F210" s="12">
        <v>9797644</v>
      </c>
      <c r="G210" s="14">
        <f t="shared" si="6"/>
        <v>14955336</v>
      </c>
      <c r="H210" s="14">
        <f t="shared" si="7"/>
        <v>575.20523076923075</v>
      </c>
      <c r="I210" s="11" t="s">
        <v>631</v>
      </c>
      <c r="J210" s="11" t="s">
        <v>472</v>
      </c>
    </row>
    <row r="211" spans="1:10" ht="18" customHeight="1" x14ac:dyDescent="0.25">
      <c r="A211" s="15">
        <f>SUBTOTAL(3,$B$11:B211)</f>
        <v>201</v>
      </c>
      <c r="B211" s="15">
        <v>9166</v>
      </c>
      <c r="C211" s="12" t="s">
        <v>227</v>
      </c>
      <c r="D211" s="13" t="s">
        <v>13</v>
      </c>
      <c r="E211" s="12">
        <v>5153810</v>
      </c>
      <c r="F211" s="12">
        <v>9152372</v>
      </c>
      <c r="G211" s="14">
        <f t="shared" si="6"/>
        <v>14306182</v>
      </c>
      <c r="H211" s="14">
        <f t="shared" si="7"/>
        <v>550.23776923076923</v>
      </c>
      <c r="I211" s="11" t="s">
        <v>632</v>
      </c>
      <c r="J211" s="11" t="s">
        <v>472</v>
      </c>
    </row>
    <row r="212" spans="1:10" ht="18" customHeight="1" x14ac:dyDescent="0.25">
      <c r="A212" s="15">
        <f>SUBTOTAL(3,$B$11:B212)</f>
        <v>202</v>
      </c>
      <c r="B212" s="15">
        <v>9169</v>
      </c>
      <c r="C212" s="12" t="s">
        <v>228</v>
      </c>
      <c r="D212" s="13" t="s">
        <v>13</v>
      </c>
      <c r="E212" s="12">
        <v>5429783</v>
      </c>
      <c r="F212" s="12">
        <v>7377120</v>
      </c>
      <c r="G212" s="14">
        <f t="shared" si="6"/>
        <v>12806903</v>
      </c>
      <c r="H212" s="14">
        <f t="shared" si="7"/>
        <v>492.5731923076923</v>
      </c>
      <c r="I212" s="11" t="s">
        <v>633</v>
      </c>
      <c r="J212" s="11" t="s">
        <v>472</v>
      </c>
    </row>
    <row r="213" spans="1:10" ht="18" customHeight="1" x14ac:dyDescent="0.25">
      <c r="A213" s="15">
        <f>SUBTOTAL(3,$B$11:B213)</f>
        <v>203</v>
      </c>
      <c r="B213" s="15">
        <v>9225</v>
      </c>
      <c r="C213" s="12" t="s">
        <v>229</v>
      </c>
      <c r="D213" s="13" t="s">
        <v>13</v>
      </c>
      <c r="E213" s="12">
        <v>4591238</v>
      </c>
      <c r="F213" s="12">
        <v>8255522</v>
      </c>
      <c r="G213" s="14">
        <f t="shared" si="6"/>
        <v>12846760</v>
      </c>
      <c r="H213" s="14">
        <f t="shared" si="7"/>
        <v>494.10615384615386</v>
      </c>
      <c r="I213" s="11" t="s">
        <v>634</v>
      </c>
      <c r="J213" s="11" t="s">
        <v>472</v>
      </c>
    </row>
    <row r="214" spans="1:10" ht="18" customHeight="1" x14ac:dyDescent="0.25">
      <c r="A214" s="15">
        <f>SUBTOTAL(3,$B$11:B214)</f>
        <v>204</v>
      </c>
      <c r="B214" s="15">
        <v>9234</v>
      </c>
      <c r="C214" s="12" t="s">
        <v>230</v>
      </c>
      <c r="D214" s="13" t="s">
        <v>25</v>
      </c>
      <c r="E214" s="12">
        <v>4787464</v>
      </c>
      <c r="F214" s="12">
        <v>8992096</v>
      </c>
      <c r="G214" s="14">
        <f t="shared" si="6"/>
        <v>13779560</v>
      </c>
      <c r="H214" s="14">
        <f t="shared" si="7"/>
        <v>529.98307692307696</v>
      </c>
      <c r="I214" s="11" t="s">
        <v>635</v>
      </c>
      <c r="J214" s="11" t="s">
        <v>472</v>
      </c>
    </row>
    <row r="215" spans="1:10" ht="18" customHeight="1" x14ac:dyDescent="0.25">
      <c r="A215" s="15">
        <f>SUBTOTAL(3,$B$11:B215)</f>
        <v>205</v>
      </c>
      <c r="B215" s="15">
        <v>9253</v>
      </c>
      <c r="C215" s="12" t="s">
        <v>231</v>
      </c>
      <c r="D215" s="13" t="s">
        <v>18</v>
      </c>
      <c r="E215" s="12">
        <v>3590264</v>
      </c>
      <c r="F215" s="12">
        <v>4379717</v>
      </c>
      <c r="G215" s="14">
        <f t="shared" si="6"/>
        <v>7969981</v>
      </c>
      <c r="H215" s="14">
        <f t="shared" si="7"/>
        <v>306.53773076923079</v>
      </c>
      <c r="I215" s="11" t="s">
        <v>636</v>
      </c>
      <c r="J215" s="11" t="s">
        <v>472</v>
      </c>
    </row>
    <row r="216" spans="1:10" ht="18" customHeight="1" x14ac:dyDescent="0.25">
      <c r="A216" s="15">
        <f>SUBTOTAL(3,$B$11:B216)</f>
        <v>206</v>
      </c>
      <c r="B216" s="15">
        <v>9263</v>
      </c>
      <c r="C216" s="12" t="s">
        <v>232</v>
      </c>
      <c r="D216" s="13" t="s">
        <v>9</v>
      </c>
      <c r="E216" s="12">
        <v>7452716</v>
      </c>
      <c r="F216" s="12">
        <v>15759891</v>
      </c>
      <c r="G216" s="14">
        <f t="shared" si="6"/>
        <v>23212607</v>
      </c>
      <c r="H216" s="14">
        <f t="shared" si="7"/>
        <v>892.79257692307692</v>
      </c>
      <c r="I216" s="11" t="s">
        <v>637</v>
      </c>
      <c r="J216" s="11" t="s">
        <v>472</v>
      </c>
    </row>
    <row r="217" spans="1:10" ht="18" customHeight="1" x14ac:dyDescent="0.25">
      <c r="A217" s="15">
        <f>SUBTOTAL(3,$B$11:B217)</f>
        <v>207</v>
      </c>
      <c r="B217" s="15">
        <v>9265</v>
      </c>
      <c r="C217" s="12" t="s">
        <v>169</v>
      </c>
      <c r="D217" s="13" t="s">
        <v>23</v>
      </c>
      <c r="E217" s="12">
        <v>5029552</v>
      </c>
      <c r="F217" s="12">
        <v>9595721</v>
      </c>
      <c r="G217" s="14">
        <f t="shared" si="6"/>
        <v>14625273</v>
      </c>
      <c r="H217" s="14">
        <f t="shared" si="7"/>
        <v>562.51049999999998</v>
      </c>
      <c r="I217" s="11" t="s">
        <v>638</v>
      </c>
      <c r="J217" s="11" t="s">
        <v>472</v>
      </c>
    </row>
    <row r="218" spans="1:10" ht="18" customHeight="1" x14ac:dyDescent="0.25">
      <c r="A218" s="15">
        <f>SUBTOTAL(3,$B$11:B218)</f>
        <v>208</v>
      </c>
      <c r="B218" s="15">
        <v>9315</v>
      </c>
      <c r="C218" s="12" t="s">
        <v>233</v>
      </c>
      <c r="D218" s="13" t="s">
        <v>23</v>
      </c>
      <c r="E218" s="12">
        <v>4065457</v>
      </c>
      <c r="F218" s="12">
        <v>8808923</v>
      </c>
      <c r="G218" s="14">
        <f t="shared" si="6"/>
        <v>12874380</v>
      </c>
      <c r="H218" s="14">
        <f t="shared" si="7"/>
        <v>495.16846153846154</v>
      </c>
      <c r="I218" s="11" t="s">
        <v>639</v>
      </c>
      <c r="J218" s="11" t="s">
        <v>472</v>
      </c>
    </row>
    <row r="219" spans="1:10" ht="18" customHeight="1" x14ac:dyDescent="0.25">
      <c r="A219" s="15">
        <f>SUBTOTAL(3,$B$11:B219)</f>
        <v>209</v>
      </c>
      <c r="B219" s="15">
        <v>9329</v>
      </c>
      <c r="C219" s="12" t="s">
        <v>234</v>
      </c>
      <c r="D219" s="13" t="s">
        <v>19</v>
      </c>
      <c r="E219" s="12">
        <v>4790265</v>
      </c>
      <c r="F219" s="12">
        <v>9315346</v>
      </c>
      <c r="G219" s="14">
        <f t="shared" si="6"/>
        <v>14105611</v>
      </c>
      <c r="H219" s="14">
        <f t="shared" si="7"/>
        <v>542.52350000000001</v>
      </c>
      <c r="I219" s="11" t="s">
        <v>640</v>
      </c>
      <c r="J219" s="11" t="s">
        <v>472</v>
      </c>
    </row>
    <row r="220" spans="1:10" ht="18" customHeight="1" x14ac:dyDescent="0.25">
      <c r="A220" s="15">
        <f>SUBTOTAL(3,$B$11:B220)</f>
        <v>210</v>
      </c>
      <c r="B220" s="15">
        <v>9353</v>
      </c>
      <c r="C220" s="12" t="s">
        <v>235</v>
      </c>
      <c r="D220" s="13" t="s">
        <v>13</v>
      </c>
      <c r="E220" s="12">
        <v>5153810</v>
      </c>
      <c r="F220" s="12">
        <v>8992132</v>
      </c>
      <c r="G220" s="14">
        <f t="shared" si="6"/>
        <v>14145942</v>
      </c>
      <c r="H220" s="14">
        <f t="shared" si="7"/>
        <v>544.07469230769232</v>
      </c>
      <c r="I220" s="11" t="s">
        <v>641</v>
      </c>
      <c r="J220" s="11" t="s">
        <v>472</v>
      </c>
    </row>
    <row r="221" spans="1:10" ht="18" customHeight="1" x14ac:dyDescent="0.25">
      <c r="A221" s="15">
        <f>SUBTOTAL(3,$B$11:B221)</f>
        <v>211</v>
      </c>
      <c r="B221" s="15">
        <v>9365</v>
      </c>
      <c r="C221" s="12" t="s">
        <v>236</v>
      </c>
      <c r="D221" s="13" t="s">
        <v>13</v>
      </c>
      <c r="E221" s="12">
        <v>5016430</v>
      </c>
      <c r="F221" s="12">
        <v>8496002</v>
      </c>
      <c r="G221" s="14">
        <f t="shared" si="6"/>
        <v>13512432</v>
      </c>
      <c r="H221" s="14">
        <f t="shared" si="7"/>
        <v>519.70892307692304</v>
      </c>
      <c r="I221" s="11" t="s">
        <v>642</v>
      </c>
      <c r="J221" s="11" t="s">
        <v>472</v>
      </c>
    </row>
    <row r="222" spans="1:10" ht="18" customHeight="1" x14ac:dyDescent="0.25">
      <c r="A222" s="15">
        <f>SUBTOTAL(3,$B$11:B222)</f>
        <v>212</v>
      </c>
      <c r="B222" s="15">
        <v>9396</v>
      </c>
      <c r="C222" s="12" t="s">
        <v>101</v>
      </c>
      <c r="D222" s="13" t="s">
        <v>13</v>
      </c>
      <c r="E222" s="12">
        <v>5475576</v>
      </c>
      <c r="F222" s="12">
        <v>7835322</v>
      </c>
      <c r="G222" s="14">
        <f t="shared" si="6"/>
        <v>13310898</v>
      </c>
      <c r="H222" s="14">
        <f t="shared" si="7"/>
        <v>511.95761538461539</v>
      </c>
      <c r="I222" s="11" t="s">
        <v>643</v>
      </c>
      <c r="J222" s="11" t="s">
        <v>472</v>
      </c>
    </row>
    <row r="223" spans="1:10" ht="18" customHeight="1" x14ac:dyDescent="0.25">
      <c r="A223" s="15">
        <f>SUBTOTAL(3,$B$11:B223)</f>
        <v>213</v>
      </c>
      <c r="B223" s="15">
        <v>9415</v>
      </c>
      <c r="C223" s="12" t="s">
        <v>237</v>
      </c>
      <c r="D223" s="13" t="s">
        <v>9</v>
      </c>
      <c r="E223" s="12">
        <v>10389626</v>
      </c>
      <c r="F223" s="12">
        <v>16384939</v>
      </c>
      <c r="G223" s="14">
        <f t="shared" si="6"/>
        <v>26774565</v>
      </c>
      <c r="H223" s="14">
        <f t="shared" si="7"/>
        <v>1029.7909615384615</v>
      </c>
      <c r="I223" s="11" t="s">
        <v>644</v>
      </c>
      <c r="J223" s="11" t="s">
        <v>472</v>
      </c>
    </row>
    <row r="224" spans="1:10" ht="18" customHeight="1" x14ac:dyDescent="0.25">
      <c r="A224" s="15">
        <f>SUBTOTAL(3,$B$11:B224)</f>
        <v>214</v>
      </c>
      <c r="B224" s="15">
        <v>9461</v>
      </c>
      <c r="C224" s="12" t="s">
        <v>238</v>
      </c>
      <c r="D224" s="13" t="s">
        <v>20</v>
      </c>
      <c r="E224" s="12">
        <v>4703510</v>
      </c>
      <c r="F224" s="12">
        <v>8534163</v>
      </c>
      <c r="G224" s="14">
        <f t="shared" si="6"/>
        <v>13237673</v>
      </c>
      <c r="H224" s="14">
        <f t="shared" si="7"/>
        <v>509.14126923076924</v>
      </c>
      <c r="I224" s="11" t="s">
        <v>645</v>
      </c>
      <c r="J224" s="11" t="s">
        <v>472</v>
      </c>
    </row>
    <row r="225" spans="1:10" ht="18" customHeight="1" x14ac:dyDescent="0.25">
      <c r="A225" s="15">
        <f>SUBTOTAL(3,$B$11:B225)</f>
        <v>215</v>
      </c>
      <c r="B225" s="15">
        <v>9464</v>
      </c>
      <c r="C225" s="12" t="s">
        <v>239</v>
      </c>
      <c r="D225" s="13" t="s">
        <v>30</v>
      </c>
      <c r="E225" s="12">
        <v>5149868</v>
      </c>
      <c r="F225" s="12">
        <v>8706553</v>
      </c>
      <c r="G225" s="14">
        <f t="shared" si="6"/>
        <v>13856421</v>
      </c>
      <c r="H225" s="14">
        <f t="shared" si="7"/>
        <v>532.93926923076924</v>
      </c>
      <c r="I225" s="11" t="s">
        <v>646</v>
      </c>
      <c r="J225" s="11" t="s">
        <v>472</v>
      </c>
    </row>
    <row r="226" spans="1:10" ht="18" customHeight="1" x14ac:dyDescent="0.25">
      <c r="A226" s="15">
        <f>SUBTOTAL(3,$B$11:B226)</f>
        <v>216</v>
      </c>
      <c r="B226" s="15">
        <v>9494</v>
      </c>
      <c r="C226" s="12" t="s">
        <v>240</v>
      </c>
      <c r="D226" s="13" t="s">
        <v>14</v>
      </c>
      <c r="E226" s="12">
        <v>4955373</v>
      </c>
      <c r="F226" s="12">
        <v>10802235</v>
      </c>
      <c r="G226" s="14">
        <f t="shared" si="6"/>
        <v>15757608</v>
      </c>
      <c r="H226" s="14">
        <f t="shared" si="7"/>
        <v>606.0618461538462</v>
      </c>
      <c r="I226" s="11" t="s">
        <v>647</v>
      </c>
      <c r="J226" s="11" t="s">
        <v>472</v>
      </c>
    </row>
    <row r="227" spans="1:10" ht="18" customHeight="1" x14ac:dyDescent="0.25">
      <c r="A227" s="15">
        <f>SUBTOTAL(3,$B$11:B227)</f>
        <v>217</v>
      </c>
      <c r="B227" s="15">
        <v>9501</v>
      </c>
      <c r="C227" s="12" t="s">
        <v>217</v>
      </c>
      <c r="D227" s="13" t="s">
        <v>18</v>
      </c>
      <c r="E227" s="12">
        <v>5062223</v>
      </c>
      <c r="F227" s="12">
        <v>8517860</v>
      </c>
      <c r="G227" s="14">
        <f t="shared" si="6"/>
        <v>13580083</v>
      </c>
      <c r="H227" s="14">
        <f t="shared" si="7"/>
        <v>522.31088461538457</v>
      </c>
      <c r="I227" s="11" t="s">
        <v>648</v>
      </c>
      <c r="J227" s="11" t="s">
        <v>472</v>
      </c>
    </row>
    <row r="228" spans="1:10" ht="18" customHeight="1" x14ac:dyDescent="0.25">
      <c r="A228" s="15">
        <f>SUBTOTAL(3,$B$11:B228)</f>
        <v>218</v>
      </c>
      <c r="B228" s="15">
        <v>9520</v>
      </c>
      <c r="C228" s="12" t="s">
        <v>241</v>
      </c>
      <c r="D228" s="13" t="s">
        <v>20</v>
      </c>
      <c r="E228" s="12">
        <v>4856154</v>
      </c>
      <c r="F228" s="12">
        <v>8900509</v>
      </c>
      <c r="G228" s="14">
        <f t="shared" si="6"/>
        <v>13756663</v>
      </c>
      <c r="H228" s="14">
        <f t="shared" si="7"/>
        <v>529.10242307692306</v>
      </c>
      <c r="I228" s="11" t="s">
        <v>649</v>
      </c>
      <c r="J228" s="11" t="s">
        <v>472</v>
      </c>
    </row>
    <row r="229" spans="1:10" ht="18" customHeight="1" x14ac:dyDescent="0.25">
      <c r="A229" s="15">
        <f>SUBTOTAL(3,$B$11:B229)</f>
        <v>219</v>
      </c>
      <c r="B229" s="15">
        <v>9615</v>
      </c>
      <c r="C229" s="12" t="s">
        <v>242</v>
      </c>
      <c r="D229" s="13" t="s">
        <v>20</v>
      </c>
      <c r="E229" s="12">
        <v>5161538</v>
      </c>
      <c r="F229" s="12">
        <v>7730822</v>
      </c>
      <c r="G229" s="14">
        <f t="shared" si="6"/>
        <v>12892360</v>
      </c>
      <c r="H229" s="14">
        <f t="shared" si="7"/>
        <v>495.86</v>
      </c>
      <c r="I229" s="11" t="s">
        <v>650</v>
      </c>
      <c r="J229" s="11" t="s">
        <v>472</v>
      </c>
    </row>
    <row r="230" spans="1:10" ht="18" customHeight="1" x14ac:dyDescent="0.25">
      <c r="A230" s="15">
        <f>SUBTOTAL(3,$B$11:B230)</f>
        <v>220</v>
      </c>
      <c r="B230" s="15">
        <v>9638</v>
      </c>
      <c r="C230" s="12" t="s">
        <v>244</v>
      </c>
      <c r="D230" s="13" t="s">
        <v>13</v>
      </c>
      <c r="E230" s="12">
        <v>4940252</v>
      </c>
      <c r="F230" s="12">
        <v>6963557</v>
      </c>
      <c r="G230" s="14">
        <f t="shared" si="6"/>
        <v>11903809</v>
      </c>
      <c r="H230" s="14">
        <f t="shared" si="7"/>
        <v>457.83880769230768</v>
      </c>
      <c r="I230" s="11" t="s">
        <v>652</v>
      </c>
      <c r="J230" s="11" t="s">
        <v>424</v>
      </c>
    </row>
    <row r="231" spans="1:10" ht="18" customHeight="1" x14ac:dyDescent="0.25">
      <c r="A231" s="15">
        <f>SUBTOTAL(3,$B$11:B231)</f>
        <v>221</v>
      </c>
      <c r="B231" s="15">
        <v>9639</v>
      </c>
      <c r="C231" s="12" t="s">
        <v>245</v>
      </c>
      <c r="D231" s="13" t="s">
        <v>14</v>
      </c>
      <c r="E231" s="12">
        <v>4647283</v>
      </c>
      <c r="F231" s="12">
        <v>9035192</v>
      </c>
      <c r="G231" s="14">
        <f t="shared" si="6"/>
        <v>13682475</v>
      </c>
      <c r="H231" s="14">
        <f t="shared" si="7"/>
        <v>526.24903846153848</v>
      </c>
      <c r="I231" s="11" t="s">
        <v>653</v>
      </c>
      <c r="J231" s="11" t="s">
        <v>424</v>
      </c>
    </row>
    <row r="232" spans="1:10" ht="18" customHeight="1" x14ac:dyDescent="0.25">
      <c r="A232" s="15">
        <f>SUBTOTAL(3,$B$11:B232)</f>
        <v>222</v>
      </c>
      <c r="B232" s="15">
        <v>9654</v>
      </c>
      <c r="C232" s="12" t="s">
        <v>247</v>
      </c>
      <c r="D232" s="13" t="s">
        <v>22</v>
      </c>
      <c r="E232" s="12">
        <v>5096844</v>
      </c>
      <c r="F232" s="12">
        <v>8263173</v>
      </c>
      <c r="G232" s="14">
        <f t="shared" si="6"/>
        <v>13360017</v>
      </c>
      <c r="H232" s="14">
        <f t="shared" si="7"/>
        <v>513.84680769230772</v>
      </c>
      <c r="I232" s="11" t="s">
        <v>1310</v>
      </c>
      <c r="J232" s="11" t="s">
        <v>1129</v>
      </c>
    </row>
    <row r="233" spans="1:10" ht="18" customHeight="1" x14ac:dyDescent="0.25">
      <c r="A233" s="15">
        <f>SUBTOTAL(3,$B$11:B233)</f>
        <v>223</v>
      </c>
      <c r="B233" s="15">
        <v>9693</v>
      </c>
      <c r="C233" s="12" t="s">
        <v>249</v>
      </c>
      <c r="D233" s="13" t="s">
        <v>19</v>
      </c>
      <c r="E233" s="12">
        <v>4856154</v>
      </c>
      <c r="F233" s="12">
        <v>8569116</v>
      </c>
      <c r="G233" s="14">
        <f t="shared" si="6"/>
        <v>13425270</v>
      </c>
      <c r="H233" s="14">
        <f t="shared" si="7"/>
        <v>516.35653846153843</v>
      </c>
      <c r="I233" s="11" t="s">
        <v>655</v>
      </c>
      <c r="J233" s="11" t="s">
        <v>424</v>
      </c>
    </row>
    <row r="234" spans="1:10" ht="18" customHeight="1" x14ac:dyDescent="0.25">
      <c r="A234" s="15">
        <f>SUBTOTAL(3,$B$11:B234)</f>
        <v>224</v>
      </c>
      <c r="B234" s="15">
        <v>9697</v>
      </c>
      <c r="C234" s="12" t="s">
        <v>250</v>
      </c>
      <c r="D234" s="13" t="s">
        <v>9</v>
      </c>
      <c r="E234" s="12">
        <v>7788942</v>
      </c>
      <c r="F234" s="12">
        <v>12880726</v>
      </c>
      <c r="G234" s="14">
        <f t="shared" si="6"/>
        <v>20669668</v>
      </c>
      <c r="H234" s="14">
        <f t="shared" si="7"/>
        <v>794.98723076923079</v>
      </c>
      <c r="I234" s="11" t="s">
        <v>656</v>
      </c>
      <c r="J234" s="11" t="s">
        <v>424</v>
      </c>
    </row>
    <row r="235" spans="1:10" ht="18" customHeight="1" x14ac:dyDescent="0.25">
      <c r="A235" s="15">
        <f>SUBTOTAL(3,$B$11:B235)</f>
        <v>225</v>
      </c>
      <c r="B235" s="15">
        <v>9705</v>
      </c>
      <c r="C235" s="12" t="s">
        <v>251</v>
      </c>
      <c r="D235" s="13" t="s">
        <v>13</v>
      </c>
      <c r="E235" s="12">
        <v>4962788</v>
      </c>
      <c r="F235" s="12">
        <v>8704663</v>
      </c>
      <c r="G235" s="14">
        <f t="shared" si="6"/>
        <v>13667451</v>
      </c>
      <c r="H235" s="14">
        <f t="shared" si="7"/>
        <v>525.67119230769231</v>
      </c>
      <c r="I235" s="11" t="s">
        <v>657</v>
      </c>
      <c r="J235" s="11" t="s">
        <v>424</v>
      </c>
    </row>
    <row r="236" spans="1:10" ht="18" customHeight="1" x14ac:dyDescent="0.25">
      <c r="A236" s="15">
        <f>SUBTOTAL(3,$B$11:B236)</f>
        <v>226</v>
      </c>
      <c r="B236" s="15">
        <v>9718</v>
      </c>
      <c r="C236" s="12" t="s">
        <v>252</v>
      </c>
      <c r="D236" s="13" t="s">
        <v>21</v>
      </c>
      <c r="E236" s="12">
        <v>4541547</v>
      </c>
      <c r="F236" s="12">
        <v>7772228</v>
      </c>
      <c r="G236" s="14">
        <f t="shared" si="6"/>
        <v>12313775</v>
      </c>
      <c r="H236" s="14">
        <f t="shared" si="7"/>
        <v>473.60673076923075</v>
      </c>
      <c r="I236" s="11" t="s">
        <v>658</v>
      </c>
      <c r="J236" s="11" t="s">
        <v>424</v>
      </c>
    </row>
    <row r="237" spans="1:10" ht="18" customHeight="1" x14ac:dyDescent="0.25">
      <c r="A237" s="15">
        <f>SUBTOTAL(3,$B$11:B237)</f>
        <v>227</v>
      </c>
      <c r="B237" s="15">
        <v>9726</v>
      </c>
      <c r="C237" s="12" t="s">
        <v>253</v>
      </c>
      <c r="D237" s="13" t="s">
        <v>14</v>
      </c>
      <c r="E237" s="12">
        <v>4166440</v>
      </c>
      <c r="F237" s="12">
        <v>9406396</v>
      </c>
      <c r="G237" s="14">
        <f t="shared" si="6"/>
        <v>13572836</v>
      </c>
      <c r="H237" s="14">
        <f t="shared" si="7"/>
        <v>522.03215384615385</v>
      </c>
      <c r="I237" s="11" t="s">
        <v>659</v>
      </c>
      <c r="J237" s="11" t="s">
        <v>424</v>
      </c>
    </row>
    <row r="238" spans="1:10" ht="18" customHeight="1" x14ac:dyDescent="0.25">
      <c r="A238" s="15">
        <f>SUBTOTAL(3,$B$11:B238)</f>
        <v>228</v>
      </c>
      <c r="B238" s="15">
        <v>9779</v>
      </c>
      <c r="C238" s="12" t="s">
        <v>254</v>
      </c>
      <c r="D238" s="13" t="s">
        <v>12</v>
      </c>
      <c r="E238" s="12">
        <v>3929290</v>
      </c>
      <c r="F238" s="12">
        <v>7140558</v>
      </c>
      <c r="G238" s="14">
        <f t="shared" si="6"/>
        <v>11069848</v>
      </c>
      <c r="H238" s="14">
        <f t="shared" si="7"/>
        <v>425.76338461538461</v>
      </c>
      <c r="I238" s="11" t="s">
        <v>661</v>
      </c>
      <c r="J238" s="11" t="s">
        <v>660</v>
      </c>
    </row>
    <row r="239" spans="1:10" ht="18" customHeight="1" x14ac:dyDescent="0.25">
      <c r="A239" s="15">
        <f>SUBTOTAL(3,$B$11:B239)</f>
        <v>229</v>
      </c>
      <c r="B239" s="15">
        <v>9781</v>
      </c>
      <c r="C239" s="12" t="s">
        <v>255</v>
      </c>
      <c r="D239" s="13" t="s">
        <v>21</v>
      </c>
      <c r="E239" s="12">
        <v>4759964</v>
      </c>
      <c r="F239" s="12">
        <v>8899976</v>
      </c>
      <c r="G239" s="14">
        <f t="shared" si="6"/>
        <v>13659940</v>
      </c>
      <c r="H239" s="14">
        <f t="shared" si="7"/>
        <v>525.38230769230768</v>
      </c>
      <c r="I239" s="11" t="s">
        <v>662</v>
      </c>
      <c r="J239" s="11" t="s">
        <v>660</v>
      </c>
    </row>
    <row r="240" spans="1:10" ht="18" customHeight="1" x14ac:dyDescent="0.25">
      <c r="A240" s="15">
        <f>SUBTOTAL(3,$B$11:B240)</f>
        <v>230</v>
      </c>
      <c r="B240" s="15">
        <v>9793</v>
      </c>
      <c r="C240" s="12" t="s">
        <v>257</v>
      </c>
      <c r="D240" s="13" t="s">
        <v>9</v>
      </c>
      <c r="E240" s="12">
        <v>11285457</v>
      </c>
      <c r="F240" s="12">
        <v>15761661</v>
      </c>
      <c r="G240" s="14">
        <f t="shared" si="6"/>
        <v>27047118</v>
      </c>
      <c r="H240" s="14">
        <f t="shared" si="7"/>
        <v>1040.2737692307692</v>
      </c>
      <c r="I240" s="11" t="s">
        <v>663</v>
      </c>
      <c r="J240" s="11" t="s">
        <v>424</v>
      </c>
    </row>
    <row r="241" spans="1:10" ht="18" customHeight="1" x14ac:dyDescent="0.25">
      <c r="A241" s="15">
        <f>SUBTOTAL(3,$B$11:B241)</f>
        <v>231</v>
      </c>
      <c r="B241" s="15">
        <v>9830</v>
      </c>
      <c r="C241" s="12" t="s">
        <v>258</v>
      </c>
      <c r="D241" s="13" t="s">
        <v>19</v>
      </c>
      <c r="E241" s="12">
        <v>1259615</v>
      </c>
      <c r="F241" s="12">
        <v>6118923</v>
      </c>
      <c r="G241" s="14">
        <f t="shared" si="6"/>
        <v>7378538</v>
      </c>
      <c r="H241" s="14">
        <f t="shared" si="7"/>
        <v>283.78992307692306</v>
      </c>
      <c r="I241" s="11" t="s">
        <v>665</v>
      </c>
      <c r="J241" s="11" t="s">
        <v>660</v>
      </c>
    </row>
    <row r="242" spans="1:10" ht="18" customHeight="1" x14ac:dyDescent="0.25">
      <c r="A242" s="15">
        <f>SUBTOTAL(3,$B$11:B242)</f>
        <v>232</v>
      </c>
      <c r="B242" s="15">
        <v>9831</v>
      </c>
      <c r="C242" s="12" t="s">
        <v>259</v>
      </c>
      <c r="D242" s="13" t="s">
        <v>19</v>
      </c>
      <c r="E242" s="12">
        <v>4205746</v>
      </c>
      <c r="F242" s="12">
        <v>7851346</v>
      </c>
      <c r="G242" s="14">
        <f t="shared" si="6"/>
        <v>12057092</v>
      </c>
      <c r="H242" s="14">
        <f t="shared" si="7"/>
        <v>463.73430769230771</v>
      </c>
      <c r="I242" s="11" t="s">
        <v>666</v>
      </c>
      <c r="J242" s="11" t="s">
        <v>660</v>
      </c>
    </row>
    <row r="243" spans="1:10" ht="18" customHeight="1" x14ac:dyDescent="0.25">
      <c r="A243" s="15">
        <f>SUBTOTAL(3,$B$11:B243)</f>
        <v>233</v>
      </c>
      <c r="B243" s="15">
        <v>9840</v>
      </c>
      <c r="C243" s="12" t="s">
        <v>260</v>
      </c>
      <c r="D243" s="13" t="s">
        <v>13</v>
      </c>
      <c r="E243" s="12">
        <v>4134075</v>
      </c>
      <c r="F243" s="12">
        <v>8158402</v>
      </c>
      <c r="G243" s="14">
        <f t="shared" si="6"/>
        <v>12292477</v>
      </c>
      <c r="H243" s="14">
        <f t="shared" si="7"/>
        <v>472.78757692307693</v>
      </c>
      <c r="I243" s="11" t="s">
        <v>667</v>
      </c>
      <c r="J243" s="11" t="s">
        <v>423</v>
      </c>
    </row>
    <row r="244" spans="1:10" ht="18" customHeight="1" x14ac:dyDescent="0.25">
      <c r="A244" s="15">
        <f>SUBTOTAL(3,$B$11:B244)</f>
        <v>234</v>
      </c>
      <c r="B244" s="15">
        <v>9842</v>
      </c>
      <c r="C244" s="12" t="s">
        <v>261</v>
      </c>
      <c r="D244" s="13" t="s">
        <v>13</v>
      </c>
      <c r="E244" s="12">
        <v>4730697</v>
      </c>
      <c r="F244" s="12">
        <v>8352995</v>
      </c>
      <c r="G244" s="14">
        <f t="shared" si="6"/>
        <v>13083692</v>
      </c>
      <c r="H244" s="14">
        <f t="shared" si="7"/>
        <v>503.21892307692309</v>
      </c>
      <c r="I244" s="11" t="s">
        <v>668</v>
      </c>
      <c r="J244" s="11" t="s">
        <v>620</v>
      </c>
    </row>
    <row r="245" spans="1:10" ht="18" customHeight="1" x14ac:dyDescent="0.25">
      <c r="A245" s="15">
        <f>SUBTOTAL(3,$B$11:B245)</f>
        <v>235</v>
      </c>
      <c r="B245" s="15">
        <v>9845</v>
      </c>
      <c r="C245" s="12" t="s">
        <v>262</v>
      </c>
      <c r="D245" s="13" t="s">
        <v>19</v>
      </c>
      <c r="E245" s="12">
        <v>4507284</v>
      </c>
      <c r="F245" s="12">
        <v>8608443</v>
      </c>
      <c r="G245" s="14">
        <f t="shared" si="6"/>
        <v>13115727</v>
      </c>
      <c r="H245" s="14">
        <f t="shared" si="7"/>
        <v>504.45103846153847</v>
      </c>
      <c r="I245" s="11" t="s">
        <v>669</v>
      </c>
      <c r="J245" s="11" t="s">
        <v>660</v>
      </c>
    </row>
    <row r="246" spans="1:10" ht="18" customHeight="1" x14ac:dyDescent="0.25">
      <c r="A246" s="15">
        <f>SUBTOTAL(3,$B$11:B246)</f>
        <v>236</v>
      </c>
      <c r="B246" s="15">
        <v>9848</v>
      </c>
      <c r="C246" s="12" t="s">
        <v>263</v>
      </c>
      <c r="D246" s="13" t="s">
        <v>19</v>
      </c>
      <c r="E246" s="12">
        <v>2353846</v>
      </c>
      <c r="F246" s="12">
        <v>3211327</v>
      </c>
      <c r="G246" s="14">
        <f t="shared" si="6"/>
        <v>5565173</v>
      </c>
      <c r="H246" s="14">
        <f t="shared" si="7"/>
        <v>214.04511538461537</v>
      </c>
      <c r="I246" s="11" t="s">
        <v>670</v>
      </c>
      <c r="J246" s="11" t="s">
        <v>423</v>
      </c>
    </row>
    <row r="247" spans="1:10" ht="18" customHeight="1" x14ac:dyDescent="0.25">
      <c r="A247" s="15">
        <f>SUBTOTAL(3,$B$11:B247)</f>
        <v>237</v>
      </c>
      <c r="B247" s="15">
        <v>9873</v>
      </c>
      <c r="C247" s="12" t="s">
        <v>264</v>
      </c>
      <c r="D247" s="13" t="s">
        <v>21</v>
      </c>
      <c r="E247" s="12">
        <v>4851057</v>
      </c>
      <c r="F247" s="12">
        <v>7926418</v>
      </c>
      <c r="G247" s="14">
        <f t="shared" si="6"/>
        <v>12777475</v>
      </c>
      <c r="H247" s="14">
        <f t="shared" si="7"/>
        <v>491.44134615384615</v>
      </c>
      <c r="I247" s="11" t="s">
        <v>671</v>
      </c>
      <c r="J247" s="11" t="s">
        <v>660</v>
      </c>
    </row>
    <row r="248" spans="1:10" ht="18" customHeight="1" x14ac:dyDescent="0.25">
      <c r="A248" s="15">
        <f>SUBTOTAL(3,$B$11:B248)</f>
        <v>238</v>
      </c>
      <c r="B248" s="15">
        <v>9877</v>
      </c>
      <c r="C248" s="12" t="s">
        <v>266</v>
      </c>
      <c r="D248" s="13" t="s">
        <v>13</v>
      </c>
      <c r="E248" s="12">
        <v>5301779</v>
      </c>
      <c r="F248" s="12">
        <v>6487668</v>
      </c>
      <c r="G248" s="14">
        <f t="shared" si="6"/>
        <v>11789447</v>
      </c>
      <c r="H248" s="14">
        <f t="shared" si="7"/>
        <v>453.44026923076922</v>
      </c>
      <c r="I248" s="11" t="s">
        <v>673</v>
      </c>
      <c r="J248" s="11" t="s">
        <v>660</v>
      </c>
    </row>
    <row r="249" spans="1:10" ht="18" customHeight="1" x14ac:dyDescent="0.25">
      <c r="A249" s="15">
        <f>SUBTOTAL(3,$B$11:B249)</f>
        <v>239</v>
      </c>
      <c r="B249" s="15">
        <v>9879</v>
      </c>
      <c r="C249" s="12" t="s">
        <v>267</v>
      </c>
      <c r="D249" s="13" t="s">
        <v>22</v>
      </c>
      <c r="E249" s="12">
        <v>6259578</v>
      </c>
      <c r="F249" s="12">
        <v>13929471</v>
      </c>
      <c r="G249" s="14">
        <f t="shared" si="6"/>
        <v>20189049</v>
      </c>
      <c r="H249" s="14">
        <f t="shared" si="7"/>
        <v>776.5018846153846</v>
      </c>
      <c r="I249" s="11" t="s">
        <v>674</v>
      </c>
      <c r="J249" s="11" t="s">
        <v>660</v>
      </c>
    </row>
    <row r="250" spans="1:10" ht="18" customHeight="1" x14ac:dyDescent="0.25">
      <c r="A250" s="15">
        <f>SUBTOTAL(3,$B$11:B250)</f>
        <v>240</v>
      </c>
      <c r="B250" s="15">
        <v>9901</v>
      </c>
      <c r="C250" s="12" t="s">
        <v>268</v>
      </c>
      <c r="D250" s="13" t="s">
        <v>13</v>
      </c>
      <c r="E250" s="12">
        <v>5346851</v>
      </c>
      <c r="F250" s="12">
        <v>8340457</v>
      </c>
      <c r="G250" s="14">
        <f t="shared" si="6"/>
        <v>13687308</v>
      </c>
      <c r="H250" s="14">
        <f t="shared" si="7"/>
        <v>526.43492307692304</v>
      </c>
      <c r="I250" s="11" t="s">
        <v>675</v>
      </c>
      <c r="J250" s="11" t="s">
        <v>425</v>
      </c>
    </row>
    <row r="251" spans="1:10" ht="18" customHeight="1" x14ac:dyDescent="0.25">
      <c r="A251" s="15">
        <f>SUBTOTAL(3,$B$11:B251)</f>
        <v>241</v>
      </c>
      <c r="B251" s="15">
        <v>9935</v>
      </c>
      <c r="C251" s="12" t="s">
        <v>269</v>
      </c>
      <c r="D251" s="13" t="s">
        <v>9</v>
      </c>
      <c r="E251" s="12">
        <v>5987420</v>
      </c>
      <c r="F251" s="12">
        <v>12018750</v>
      </c>
      <c r="G251" s="14">
        <f t="shared" si="6"/>
        <v>18006170</v>
      </c>
      <c r="H251" s="14">
        <f t="shared" si="7"/>
        <v>692.54499999999996</v>
      </c>
      <c r="I251" s="11" t="s">
        <v>676</v>
      </c>
      <c r="J251" s="11" t="s">
        <v>612</v>
      </c>
    </row>
    <row r="252" spans="1:10" ht="18" customHeight="1" x14ac:dyDescent="0.25">
      <c r="A252" s="15">
        <f>SUBTOTAL(3,$B$11:B252)</f>
        <v>242</v>
      </c>
      <c r="B252" s="15">
        <v>9936</v>
      </c>
      <c r="C252" s="12" t="s">
        <v>270</v>
      </c>
      <c r="D252" s="13" t="s">
        <v>9</v>
      </c>
      <c r="E252" s="12">
        <v>6489423</v>
      </c>
      <c r="F252" s="12">
        <v>13396635</v>
      </c>
      <c r="G252" s="14">
        <f t="shared" si="6"/>
        <v>19886058</v>
      </c>
      <c r="H252" s="14">
        <f t="shared" si="7"/>
        <v>764.84838461538459</v>
      </c>
      <c r="I252" s="11" t="s">
        <v>677</v>
      </c>
      <c r="J252" s="11" t="s">
        <v>660</v>
      </c>
    </row>
    <row r="253" spans="1:10" ht="18" customHeight="1" x14ac:dyDescent="0.25">
      <c r="A253" s="15">
        <f>SUBTOTAL(3,$B$11:B253)</f>
        <v>243</v>
      </c>
      <c r="B253" s="15">
        <v>9951</v>
      </c>
      <c r="C253" s="12" t="s">
        <v>271</v>
      </c>
      <c r="D253" s="13" t="s">
        <v>23</v>
      </c>
      <c r="E253" s="12">
        <v>3989423</v>
      </c>
      <c r="F253" s="12">
        <v>9282062</v>
      </c>
      <c r="G253" s="14">
        <f t="shared" si="6"/>
        <v>13271485</v>
      </c>
      <c r="H253" s="14">
        <f t="shared" si="7"/>
        <v>510.44173076923079</v>
      </c>
      <c r="I253" s="11" t="s">
        <v>679</v>
      </c>
      <c r="J253" s="11" t="s">
        <v>680</v>
      </c>
    </row>
    <row r="254" spans="1:10" ht="18" customHeight="1" x14ac:dyDescent="0.25">
      <c r="A254" s="15">
        <f>SUBTOTAL(3,$B$11:B254)</f>
        <v>244</v>
      </c>
      <c r="B254" s="15">
        <v>9956</v>
      </c>
      <c r="C254" s="12" t="s">
        <v>272</v>
      </c>
      <c r="D254" s="13" t="s">
        <v>14</v>
      </c>
      <c r="E254" s="12">
        <v>4836033</v>
      </c>
      <c r="F254" s="12">
        <v>8151778</v>
      </c>
      <c r="G254" s="14">
        <f t="shared" si="6"/>
        <v>12987811</v>
      </c>
      <c r="H254" s="14">
        <f t="shared" si="7"/>
        <v>499.53119230769232</v>
      </c>
      <c r="I254" s="11" t="s">
        <v>681</v>
      </c>
      <c r="J254" s="11" t="s">
        <v>682</v>
      </c>
    </row>
    <row r="255" spans="1:10" ht="18" customHeight="1" x14ac:dyDescent="0.25">
      <c r="A255" s="15">
        <f>SUBTOTAL(3,$B$11:B255)</f>
        <v>245</v>
      </c>
      <c r="B255" s="15">
        <v>9967</v>
      </c>
      <c r="C255" s="12" t="s">
        <v>273</v>
      </c>
      <c r="D255" s="13" t="s">
        <v>14</v>
      </c>
      <c r="E255" s="12">
        <v>4647283</v>
      </c>
      <c r="F255" s="12">
        <v>7625937</v>
      </c>
      <c r="G255" s="14">
        <f t="shared" si="6"/>
        <v>12273220</v>
      </c>
      <c r="H255" s="14">
        <f t="shared" si="7"/>
        <v>472.04692307692306</v>
      </c>
      <c r="I255" s="11" t="s">
        <v>683</v>
      </c>
      <c r="J255" s="11" t="s">
        <v>678</v>
      </c>
    </row>
    <row r="256" spans="1:10" ht="18" customHeight="1" x14ac:dyDescent="0.25">
      <c r="A256" s="15">
        <f>SUBTOTAL(3,$B$11:B256)</f>
        <v>246</v>
      </c>
      <c r="B256" s="15">
        <v>9969</v>
      </c>
      <c r="C256" s="12" t="s">
        <v>274</v>
      </c>
      <c r="D256" s="13" t="s">
        <v>14</v>
      </c>
      <c r="E256" s="12">
        <v>4072812</v>
      </c>
      <c r="F256" s="12">
        <v>7926418</v>
      </c>
      <c r="G256" s="14">
        <f t="shared" si="6"/>
        <v>11999230</v>
      </c>
      <c r="H256" s="14">
        <f t="shared" si="7"/>
        <v>461.50884615384615</v>
      </c>
      <c r="I256" s="11" t="s">
        <v>684</v>
      </c>
      <c r="J256" s="11" t="s">
        <v>423</v>
      </c>
    </row>
    <row r="257" spans="1:10" ht="18" customHeight="1" x14ac:dyDescent="0.25">
      <c r="A257" s="15">
        <f>SUBTOTAL(3,$B$11:B257)</f>
        <v>247</v>
      </c>
      <c r="B257" s="15">
        <v>9973</v>
      </c>
      <c r="C257" s="12" t="s">
        <v>275</v>
      </c>
      <c r="D257" s="13" t="s">
        <v>12</v>
      </c>
      <c r="E257" s="12">
        <v>4890041</v>
      </c>
      <c r="F257" s="12">
        <v>7522612</v>
      </c>
      <c r="G257" s="14">
        <f t="shared" si="6"/>
        <v>12412653</v>
      </c>
      <c r="H257" s="14">
        <f t="shared" si="7"/>
        <v>477.40973076923075</v>
      </c>
      <c r="I257" s="11" t="s">
        <v>1630</v>
      </c>
      <c r="J257" s="11" t="s">
        <v>763</v>
      </c>
    </row>
    <row r="258" spans="1:10" ht="18" customHeight="1" x14ac:dyDescent="0.25">
      <c r="A258" s="15">
        <f>SUBTOTAL(3,$B$11:B258)</f>
        <v>248</v>
      </c>
      <c r="B258" s="15">
        <v>9984</v>
      </c>
      <c r="C258" s="12" t="s">
        <v>276</v>
      </c>
      <c r="D258" s="13" t="s">
        <v>12</v>
      </c>
      <c r="E258" s="12">
        <v>5149498</v>
      </c>
      <c r="F258" s="12">
        <v>9826627</v>
      </c>
      <c r="G258" s="14">
        <f t="shared" si="6"/>
        <v>14976125</v>
      </c>
      <c r="H258" s="14">
        <f t="shared" si="7"/>
        <v>576.00480769230774</v>
      </c>
      <c r="I258" s="11" t="s">
        <v>1631</v>
      </c>
      <c r="J258" s="11" t="s">
        <v>763</v>
      </c>
    </row>
    <row r="259" spans="1:10" ht="18" customHeight="1" x14ac:dyDescent="0.25">
      <c r="A259" s="15">
        <f>SUBTOTAL(3,$B$11:B259)</f>
        <v>249</v>
      </c>
      <c r="B259" s="15">
        <v>10005</v>
      </c>
      <c r="C259" s="12" t="s">
        <v>277</v>
      </c>
      <c r="D259" s="13" t="s">
        <v>18</v>
      </c>
      <c r="E259" s="12">
        <v>2682692</v>
      </c>
      <c r="F259" s="12">
        <v>4305808</v>
      </c>
      <c r="G259" s="14">
        <f t="shared" si="6"/>
        <v>6988500</v>
      </c>
      <c r="H259" s="14">
        <f t="shared" si="7"/>
        <v>268.78846153846155</v>
      </c>
      <c r="I259" s="11" t="s">
        <v>685</v>
      </c>
      <c r="J259" s="11" t="s">
        <v>612</v>
      </c>
    </row>
    <row r="260" spans="1:10" ht="18" customHeight="1" x14ac:dyDescent="0.25">
      <c r="A260" s="15">
        <f>SUBTOTAL(3,$B$11:B260)</f>
        <v>250</v>
      </c>
      <c r="B260" s="15">
        <v>10047</v>
      </c>
      <c r="C260" s="12" t="s">
        <v>278</v>
      </c>
      <c r="D260" s="13" t="s">
        <v>18</v>
      </c>
      <c r="E260" s="12">
        <v>5082067</v>
      </c>
      <c r="F260" s="12">
        <v>9335808</v>
      </c>
      <c r="G260" s="14">
        <f t="shared" si="6"/>
        <v>14417875</v>
      </c>
      <c r="H260" s="14">
        <f t="shared" si="7"/>
        <v>554.53365384615381</v>
      </c>
      <c r="I260" s="11" t="s">
        <v>686</v>
      </c>
      <c r="J260" s="11" t="s">
        <v>423</v>
      </c>
    </row>
    <row r="261" spans="1:10" ht="18" customHeight="1" x14ac:dyDescent="0.25">
      <c r="A261" s="15">
        <f>SUBTOTAL(3,$B$11:B261)</f>
        <v>251</v>
      </c>
      <c r="B261" s="15">
        <v>10059</v>
      </c>
      <c r="C261" s="12" t="s">
        <v>279</v>
      </c>
      <c r="D261" s="13" t="s">
        <v>9</v>
      </c>
      <c r="E261" s="12">
        <v>8656591</v>
      </c>
      <c r="F261" s="12">
        <v>18801683</v>
      </c>
      <c r="G261" s="14">
        <f t="shared" si="6"/>
        <v>27458274</v>
      </c>
      <c r="H261" s="14">
        <f t="shared" si="7"/>
        <v>1056.0874615384616</v>
      </c>
      <c r="I261" s="11" t="s">
        <v>687</v>
      </c>
      <c r="J261" s="11" t="s">
        <v>612</v>
      </c>
    </row>
    <row r="262" spans="1:10" ht="18" customHeight="1" x14ac:dyDescent="0.25">
      <c r="A262" s="15">
        <f>SUBTOTAL(3,$B$11:B262)</f>
        <v>252</v>
      </c>
      <c r="B262" s="15">
        <v>10060</v>
      </c>
      <c r="C262" s="12" t="s">
        <v>280</v>
      </c>
      <c r="D262" s="13" t="s">
        <v>27</v>
      </c>
      <c r="E262" s="12">
        <v>6861539</v>
      </c>
      <c r="F262" s="12">
        <v>15139308</v>
      </c>
      <c r="G262" s="14">
        <f t="shared" si="6"/>
        <v>22000847</v>
      </c>
      <c r="H262" s="14">
        <f t="shared" si="7"/>
        <v>846.18642307692312</v>
      </c>
      <c r="I262" s="11" t="s">
        <v>688</v>
      </c>
      <c r="J262" s="11" t="s">
        <v>612</v>
      </c>
    </row>
    <row r="263" spans="1:10" ht="18" customHeight="1" x14ac:dyDescent="0.25">
      <c r="A263" s="15">
        <f>SUBTOTAL(3,$B$11:B263)</f>
        <v>253</v>
      </c>
      <c r="B263" s="15">
        <v>10064</v>
      </c>
      <c r="C263" s="12" t="s">
        <v>281</v>
      </c>
      <c r="D263" s="13" t="s">
        <v>9</v>
      </c>
      <c r="E263" s="12">
        <v>11406490</v>
      </c>
      <c r="F263" s="12">
        <v>17167229</v>
      </c>
      <c r="G263" s="14">
        <f t="shared" si="6"/>
        <v>28573719</v>
      </c>
      <c r="H263" s="14">
        <f t="shared" si="7"/>
        <v>1098.9891923076923</v>
      </c>
      <c r="I263" s="11" t="s">
        <v>689</v>
      </c>
      <c r="J263" s="11" t="s">
        <v>690</v>
      </c>
    </row>
    <row r="264" spans="1:10" ht="18" customHeight="1" x14ac:dyDescent="0.25">
      <c r="A264" s="15">
        <f>SUBTOTAL(3,$B$11:B264)</f>
        <v>254</v>
      </c>
      <c r="B264" s="15">
        <v>10071</v>
      </c>
      <c r="C264" s="12" t="s">
        <v>282</v>
      </c>
      <c r="D264" s="13" t="s">
        <v>13</v>
      </c>
      <c r="E264" s="12">
        <v>5098004</v>
      </c>
      <c r="F264" s="12">
        <v>8672452</v>
      </c>
      <c r="G264" s="14">
        <f t="shared" si="6"/>
        <v>13770456</v>
      </c>
      <c r="H264" s="14">
        <f t="shared" si="7"/>
        <v>529.63292307692302</v>
      </c>
      <c r="I264" s="11" t="s">
        <v>691</v>
      </c>
      <c r="J264" s="11" t="s">
        <v>612</v>
      </c>
    </row>
    <row r="265" spans="1:10" ht="18" customHeight="1" x14ac:dyDescent="0.25">
      <c r="A265" s="15">
        <f>SUBTOTAL(3,$B$11:B265)</f>
        <v>255</v>
      </c>
      <c r="B265" s="15">
        <v>10085</v>
      </c>
      <c r="C265" s="12" t="s">
        <v>283</v>
      </c>
      <c r="D265" s="13" t="s">
        <v>13</v>
      </c>
      <c r="E265" s="12">
        <v>4174807</v>
      </c>
      <c r="F265" s="12">
        <v>6299315</v>
      </c>
      <c r="G265" s="14">
        <f t="shared" si="6"/>
        <v>10474122</v>
      </c>
      <c r="H265" s="14">
        <f t="shared" si="7"/>
        <v>402.85084615384613</v>
      </c>
      <c r="I265" s="11" t="s">
        <v>692</v>
      </c>
      <c r="J265" s="11" t="s">
        <v>423</v>
      </c>
    </row>
    <row r="266" spans="1:10" ht="18" customHeight="1" x14ac:dyDescent="0.25">
      <c r="A266" s="15">
        <f>SUBTOTAL(3,$B$11:B266)</f>
        <v>256</v>
      </c>
      <c r="B266" s="15">
        <v>10088</v>
      </c>
      <c r="C266" s="12" t="s">
        <v>284</v>
      </c>
      <c r="D266" s="13" t="s">
        <v>13</v>
      </c>
      <c r="E266" s="12">
        <v>4985324</v>
      </c>
      <c r="F266" s="12">
        <v>8767944</v>
      </c>
      <c r="G266" s="14">
        <f t="shared" si="6"/>
        <v>13753268</v>
      </c>
      <c r="H266" s="14">
        <f t="shared" si="7"/>
        <v>528.97184615384617</v>
      </c>
      <c r="I266" s="11" t="s">
        <v>693</v>
      </c>
      <c r="J266" s="11" t="s">
        <v>690</v>
      </c>
    </row>
    <row r="267" spans="1:10" ht="18" customHeight="1" x14ac:dyDescent="0.25">
      <c r="A267" s="15">
        <f>SUBTOTAL(3,$B$11:B267)</f>
        <v>257</v>
      </c>
      <c r="B267" s="15">
        <v>10179</v>
      </c>
      <c r="C267" s="12" t="s">
        <v>285</v>
      </c>
      <c r="D267" s="13" t="s">
        <v>13</v>
      </c>
      <c r="E267" s="12">
        <v>4342295</v>
      </c>
      <c r="F267" s="12">
        <v>8557428</v>
      </c>
      <c r="G267" s="14">
        <f t="shared" si="6"/>
        <v>12899723</v>
      </c>
      <c r="H267" s="14">
        <f t="shared" si="7"/>
        <v>496.14319230769229</v>
      </c>
      <c r="I267" s="11" t="s">
        <v>695</v>
      </c>
      <c r="J267" s="11" t="s">
        <v>678</v>
      </c>
    </row>
    <row r="268" spans="1:10" ht="18" customHeight="1" x14ac:dyDescent="0.25">
      <c r="A268" s="15">
        <f>SUBTOTAL(3,$B$11:B268)</f>
        <v>258</v>
      </c>
      <c r="B268" s="15">
        <v>10184</v>
      </c>
      <c r="C268" s="12" t="s">
        <v>286</v>
      </c>
      <c r="D268" s="13" t="s">
        <v>11</v>
      </c>
      <c r="E268" s="12">
        <v>6508914</v>
      </c>
      <c r="F268" s="12">
        <v>13796923</v>
      </c>
      <c r="G268" s="14">
        <f t="shared" ref="G268:G331" si="8">E268+F268</f>
        <v>20305837</v>
      </c>
      <c r="H268" s="14">
        <f t="shared" ref="H268:H331" si="9">G268/$J$1</f>
        <v>780.99373076923075</v>
      </c>
      <c r="I268" s="11" t="s">
        <v>697</v>
      </c>
      <c r="J268" s="11" t="s">
        <v>423</v>
      </c>
    </row>
    <row r="269" spans="1:10" ht="18" customHeight="1" x14ac:dyDescent="0.25">
      <c r="A269" s="15">
        <f>SUBTOTAL(3,$B$11:B269)</f>
        <v>259</v>
      </c>
      <c r="B269" s="15">
        <v>10189</v>
      </c>
      <c r="C269" s="12" t="s">
        <v>287</v>
      </c>
      <c r="D269" s="13" t="s">
        <v>27</v>
      </c>
      <c r="E269" s="12">
        <v>11636418</v>
      </c>
      <c r="F269" s="12">
        <v>22253414</v>
      </c>
      <c r="G269" s="14">
        <f t="shared" si="8"/>
        <v>33889832</v>
      </c>
      <c r="H269" s="14">
        <f t="shared" si="9"/>
        <v>1303.4550769230768</v>
      </c>
      <c r="I269" s="11" t="s">
        <v>698</v>
      </c>
      <c r="J269" s="11" t="s">
        <v>423</v>
      </c>
    </row>
    <row r="270" spans="1:10" ht="18" customHeight="1" x14ac:dyDescent="0.25">
      <c r="A270" s="15">
        <f>SUBTOTAL(3,$B$11:B270)</f>
        <v>260</v>
      </c>
      <c r="B270" s="15">
        <v>10198</v>
      </c>
      <c r="C270" s="12" t="s">
        <v>288</v>
      </c>
      <c r="D270" s="13" t="s">
        <v>13</v>
      </c>
      <c r="E270" s="12">
        <v>4101022</v>
      </c>
      <c r="F270" s="12">
        <v>8557428</v>
      </c>
      <c r="G270" s="14">
        <f t="shared" si="8"/>
        <v>12658450</v>
      </c>
      <c r="H270" s="14">
        <f t="shared" si="9"/>
        <v>486.86346153846154</v>
      </c>
      <c r="I270" s="11" t="s">
        <v>699</v>
      </c>
      <c r="J270" s="11" t="s">
        <v>423</v>
      </c>
    </row>
    <row r="271" spans="1:10" ht="18" customHeight="1" x14ac:dyDescent="0.25">
      <c r="A271" s="15">
        <f>SUBTOTAL(3,$B$11:B271)</f>
        <v>261</v>
      </c>
      <c r="B271" s="15">
        <v>10205</v>
      </c>
      <c r="C271" s="12" t="s">
        <v>289</v>
      </c>
      <c r="D271" s="13" t="s">
        <v>14</v>
      </c>
      <c r="E271" s="12">
        <v>4986274</v>
      </c>
      <c r="F271" s="12">
        <v>8286995</v>
      </c>
      <c r="G271" s="14">
        <f t="shared" si="8"/>
        <v>13273269</v>
      </c>
      <c r="H271" s="14">
        <f t="shared" si="9"/>
        <v>510.51034615384617</v>
      </c>
      <c r="I271" s="11" t="s">
        <v>700</v>
      </c>
      <c r="J271" s="11" t="s">
        <v>430</v>
      </c>
    </row>
    <row r="272" spans="1:10" ht="18" customHeight="1" x14ac:dyDescent="0.25">
      <c r="A272" s="15">
        <f>SUBTOTAL(3,$B$11:B272)</f>
        <v>262</v>
      </c>
      <c r="B272" s="15">
        <v>10222</v>
      </c>
      <c r="C272" s="12" t="s">
        <v>290</v>
      </c>
      <c r="D272" s="13" t="s">
        <v>13</v>
      </c>
      <c r="E272" s="12">
        <v>4889784</v>
      </c>
      <c r="F272" s="12">
        <v>8820925</v>
      </c>
      <c r="G272" s="14">
        <f t="shared" si="8"/>
        <v>13710709</v>
      </c>
      <c r="H272" s="14">
        <f t="shared" si="9"/>
        <v>527.33496153846158</v>
      </c>
      <c r="I272" s="11" t="s">
        <v>701</v>
      </c>
      <c r="J272" s="11" t="s">
        <v>694</v>
      </c>
    </row>
    <row r="273" spans="1:10" ht="18" customHeight="1" x14ac:dyDescent="0.25">
      <c r="A273" s="15">
        <f>SUBTOTAL(3,$B$11:B273)</f>
        <v>263</v>
      </c>
      <c r="B273" s="15">
        <v>10225</v>
      </c>
      <c r="C273" s="12" t="s">
        <v>422</v>
      </c>
      <c r="D273" s="13" t="s">
        <v>14</v>
      </c>
      <c r="E273" s="12">
        <v>4986274</v>
      </c>
      <c r="F273" s="12">
        <v>8340457</v>
      </c>
      <c r="G273" s="14">
        <f t="shared" si="8"/>
        <v>13326731</v>
      </c>
      <c r="H273" s="14">
        <f t="shared" si="9"/>
        <v>512.56657692307692</v>
      </c>
      <c r="I273" s="11" t="s">
        <v>851</v>
      </c>
      <c r="J273" s="11" t="s">
        <v>678</v>
      </c>
    </row>
    <row r="274" spans="1:10" ht="18" customHeight="1" x14ac:dyDescent="0.25">
      <c r="A274" s="15">
        <f>SUBTOTAL(3,$B$11:B274)</f>
        <v>264</v>
      </c>
      <c r="B274" s="15">
        <v>10232</v>
      </c>
      <c r="C274" s="12" t="s">
        <v>291</v>
      </c>
      <c r="D274" s="13" t="s">
        <v>13</v>
      </c>
      <c r="E274" s="12">
        <v>4827572</v>
      </c>
      <c r="F274" s="12">
        <v>8175541</v>
      </c>
      <c r="G274" s="14">
        <f t="shared" si="8"/>
        <v>13003113</v>
      </c>
      <c r="H274" s="14">
        <f t="shared" si="9"/>
        <v>500.11973076923078</v>
      </c>
      <c r="I274" s="11" t="s">
        <v>702</v>
      </c>
      <c r="J274" s="11" t="s">
        <v>423</v>
      </c>
    </row>
    <row r="275" spans="1:10" ht="18" customHeight="1" x14ac:dyDescent="0.25">
      <c r="A275" s="15">
        <f>SUBTOTAL(3,$B$11:B275)</f>
        <v>265</v>
      </c>
      <c r="B275" s="15">
        <v>10239</v>
      </c>
      <c r="C275" s="12" t="s">
        <v>293</v>
      </c>
      <c r="D275" s="13" t="s">
        <v>14</v>
      </c>
      <c r="E275" s="12">
        <v>4123558</v>
      </c>
      <c r="F275" s="12">
        <v>9035192</v>
      </c>
      <c r="G275" s="14">
        <f t="shared" si="8"/>
        <v>13158750</v>
      </c>
      <c r="H275" s="14">
        <f t="shared" si="9"/>
        <v>506.10576923076923</v>
      </c>
      <c r="I275" s="11" t="s">
        <v>704</v>
      </c>
      <c r="J275" s="11" t="s">
        <v>430</v>
      </c>
    </row>
    <row r="276" spans="1:10" ht="18" customHeight="1" x14ac:dyDescent="0.25">
      <c r="A276" s="15">
        <f>SUBTOTAL(3,$B$11:B276)</f>
        <v>266</v>
      </c>
      <c r="B276" s="15">
        <v>10252</v>
      </c>
      <c r="C276" s="12" t="s">
        <v>295</v>
      </c>
      <c r="D276" s="13" t="s">
        <v>13</v>
      </c>
      <c r="E276" s="12">
        <v>4595481</v>
      </c>
      <c r="F276" s="12">
        <v>8225793</v>
      </c>
      <c r="G276" s="14">
        <f t="shared" si="8"/>
        <v>12821274</v>
      </c>
      <c r="H276" s="14">
        <f t="shared" si="9"/>
        <v>493.12592307692307</v>
      </c>
      <c r="I276" s="11" t="s">
        <v>705</v>
      </c>
      <c r="J276" s="11" t="s">
        <v>612</v>
      </c>
    </row>
    <row r="277" spans="1:10" ht="18" customHeight="1" x14ac:dyDescent="0.25">
      <c r="A277" s="15">
        <f>SUBTOTAL(3,$B$11:B277)</f>
        <v>267</v>
      </c>
      <c r="B277" s="15">
        <v>10253</v>
      </c>
      <c r="C277" s="12" t="s">
        <v>296</v>
      </c>
      <c r="D277" s="13" t="s">
        <v>13</v>
      </c>
      <c r="E277" s="12">
        <v>5324315</v>
      </c>
      <c r="F277" s="12">
        <v>8286995</v>
      </c>
      <c r="G277" s="14">
        <f t="shared" si="8"/>
        <v>13611310</v>
      </c>
      <c r="H277" s="14">
        <f t="shared" si="9"/>
        <v>523.51192307692304</v>
      </c>
      <c r="I277" s="11" t="s">
        <v>706</v>
      </c>
      <c r="J277" s="11" t="s">
        <v>678</v>
      </c>
    </row>
    <row r="278" spans="1:10" ht="18" customHeight="1" x14ac:dyDescent="0.25">
      <c r="A278" s="15">
        <f>SUBTOTAL(3,$B$11:B278)</f>
        <v>268</v>
      </c>
      <c r="B278" s="15">
        <v>10268</v>
      </c>
      <c r="C278" s="12" t="s">
        <v>297</v>
      </c>
      <c r="D278" s="13" t="s">
        <v>13</v>
      </c>
      <c r="E278" s="12">
        <v>3493930</v>
      </c>
      <c r="F278" s="12">
        <v>5330865</v>
      </c>
      <c r="G278" s="14">
        <f t="shared" si="8"/>
        <v>8824795</v>
      </c>
      <c r="H278" s="14">
        <f t="shared" si="9"/>
        <v>339.41519230769228</v>
      </c>
      <c r="I278" s="11" t="s">
        <v>707</v>
      </c>
      <c r="J278" s="11" t="s">
        <v>612</v>
      </c>
    </row>
    <row r="279" spans="1:10" ht="18" customHeight="1" x14ac:dyDescent="0.25">
      <c r="A279" s="15">
        <f>SUBTOTAL(3,$B$11:B279)</f>
        <v>269</v>
      </c>
      <c r="B279" s="15">
        <v>10285</v>
      </c>
      <c r="C279" s="12" t="s">
        <v>298</v>
      </c>
      <c r="D279" s="13" t="s">
        <v>13</v>
      </c>
      <c r="E279" s="12">
        <v>5007860</v>
      </c>
      <c r="F279" s="12">
        <v>8819460</v>
      </c>
      <c r="G279" s="14">
        <f t="shared" si="8"/>
        <v>13827320</v>
      </c>
      <c r="H279" s="14">
        <f t="shared" si="9"/>
        <v>531.82000000000005</v>
      </c>
      <c r="I279" s="11" t="s">
        <v>708</v>
      </c>
      <c r="J279" s="11" t="s">
        <v>423</v>
      </c>
    </row>
    <row r="280" spans="1:10" ht="18" customHeight="1" x14ac:dyDescent="0.25">
      <c r="A280" s="15">
        <f>SUBTOTAL(3,$B$11:B280)</f>
        <v>270</v>
      </c>
      <c r="B280" s="15">
        <v>10293</v>
      </c>
      <c r="C280" s="12" t="s">
        <v>299</v>
      </c>
      <c r="D280" s="13" t="s">
        <v>13</v>
      </c>
      <c r="E280" s="12">
        <v>5120540</v>
      </c>
      <c r="F280" s="12">
        <v>8557428</v>
      </c>
      <c r="G280" s="14">
        <f t="shared" si="8"/>
        <v>13677968</v>
      </c>
      <c r="H280" s="14">
        <f t="shared" si="9"/>
        <v>526.07569230769229</v>
      </c>
      <c r="I280" s="11" t="s">
        <v>709</v>
      </c>
      <c r="J280" s="11" t="s">
        <v>678</v>
      </c>
    </row>
    <row r="281" spans="1:10" ht="18" customHeight="1" x14ac:dyDescent="0.25">
      <c r="A281" s="15">
        <f>SUBTOTAL(3,$B$11:B281)</f>
        <v>271</v>
      </c>
      <c r="B281" s="15">
        <v>10298</v>
      </c>
      <c r="C281" s="12" t="s">
        <v>300</v>
      </c>
      <c r="D281" s="13" t="s">
        <v>13</v>
      </c>
      <c r="E281" s="12">
        <v>4624747</v>
      </c>
      <c r="F281" s="12">
        <v>9012656</v>
      </c>
      <c r="G281" s="14">
        <f t="shared" si="8"/>
        <v>13637403</v>
      </c>
      <c r="H281" s="14">
        <f t="shared" si="9"/>
        <v>524.51549999999997</v>
      </c>
      <c r="I281" s="11" t="s">
        <v>710</v>
      </c>
      <c r="J281" s="11" t="s">
        <v>423</v>
      </c>
    </row>
    <row r="282" spans="1:10" ht="18" customHeight="1" x14ac:dyDescent="0.25">
      <c r="A282" s="15">
        <f>SUBTOTAL(3,$B$11:B282)</f>
        <v>272</v>
      </c>
      <c r="B282" s="15">
        <v>10307</v>
      </c>
      <c r="C282" s="12" t="s">
        <v>301</v>
      </c>
      <c r="D282" s="13" t="s">
        <v>19</v>
      </c>
      <c r="E282" s="12">
        <v>4856154</v>
      </c>
      <c r="F282" s="12">
        <v>7712937</v>
      </c>
      <c r="G282" s="14">
        <f t="shared" si="8"/>
        <v>12569091</v>
      </c>
      <c r="H282" s="14">
        <f t="shared" si="9"/>
        <v>483.42657692307694</v>
      </c>
      <c r="I282" s="11" t="s">
        <v>711</v>
      </c>
      <c r="J282" s="11" t="s">
        <v>423</v>
      </c>
    </row>
    <row r="283" spans="1:10" ht="18" customHeight="1" x14ac:dyDescent="0.25">
      <c r="A283" s="15">
        <f>SUBTOTAL(3,$B$11:B283)</f>
        <v>273</v>
      </c>
      <c r="B283" s="15">
        <v>10334</v>
      </c>
      <c r="C283" s="12" t="s">
        <v>302</v>
      </c>
      <c r="D283" s="13" t="s">
        <v>13</v>
      </c>
      <c r="E283" s="12">
        <v>5196610</v>
      </c>
      <c r="F283" s="12">
        <v>7926418</v>
      </c>
      <c r="G283" s="14">
        <f t="shared" si="8"/>
        <v>13123028</v>
      </c>
      <c r="H283" s="14">
        <f t="shared" si="9"/>
        <v>504.73184615384616</v>
      </c>
      <c r="I283" s="11" t="s">
        <v>712</v>
      </c>
      <c r="J283" s="11" t="s">
        <v>423</v>
      </c>
    </row>
    <row r="284" spans="1:10" ht="18" customHeight="1" x14ac:dyDescent="0.25">
      <c r="A284" s="15">
        <f>SUBTOTAL(3,$B$11:B284)</f>
        <v>274</v>
      </c>
      <c r="B284" s="15">
        <v>10336</v>
      </c>
      <c r="C284" s="12" t="s">
        <v>303</v>
      </c>
      <c r="D284" s="13" t="s">
        <v>13</v>
      </c>
      <c r="E284" s="12">
        <v>1896936</v>
      </c>
      <c r="F284" s="12">
        <v>4549230</v>
      </c>
      <c r="G284" s="14">
        <f t="shared" si="8"/>
        <v>6446166</v>
      </c>
      <c r="H284" s="14">
        <f t="shared" si="9"/>
        <v>247.92946153846154</v>
      </c>
      <c r="I284" s="11" t="s">
        <v>1312</v>
      </c>
      <c r="J284" s="11" t="s">
        <v>725</v>
      </c>
    </row>
    <row r="285" spans="1:10" ht="18" customHeight="1" x14ac:dyDescent="0.25">
      <c r="A285" s="15">
        <f>SUBTOTAL(3,$B$11:B285)</f>
        <v>275</v>
      </c>
      <c r="B285" s="15">
        <v>10338</v>
      </c>
      <c r="C285" s="12" t="s">
        <v>304</v>
      </c>
      <c r="D285" s="13" t="s">
        <v>13</v>
      </c>
      <c r="E285" s="12">
        <v>5324315</v>
      </c>
      <c r="F285" s="12">
        <v>7508750</v>
      </c>
      <c r="G285" s="14">
        <f t="shared" si="8"/>
        <v>12833065</v>
      </c>
      <c r="H285" s="14">
        <f t="shared" si="9"/>
        <v>493.57942307692309</v>
      </c>
      <c r="I285" s="11" t="s">
        <v>713</v>
      </c>
      <c r="J285" s="11" t="s">
        <v>694</v>
      </c>
    </row>
    <row r="286" spans="1:10" ht="18" customHeight="1" x14ac:dyDescent="0.25">
      <c r="A286" s="15">
        <f>SUBTOTAL(3,$B$11:B286)</f>
        <v>276</v>
      </c>
      <c r="B286" s="15">
        <v>10352</v>
      </c>
      <c r="C286" s="12" t="s">
        <v>306</v>
      </c>
      <c r="D286" s="13" t="s">
        <v>13</v>
      </c>
      <c r="E286" s="12">
        <v>5346851</v>
      </c>
      <c r="F286" s="12">
        <v>7233029</v>
      </c>
      <c r="G286" s="14">
        <f t="shared" si="8"/>
        <v>12579880</v>
      </c>
      <c r="H286" s="14">
        <f t="shared" si="9"/>
        <v>483.84153846153845</v>
      </c>
      <c r="I286" s="11" t="s">
        <v>714</v>
      </c>
      <c r="J286" s="11" t="s">
        <v>690</v>
      </c>
    </row>
    <row r="287" spans="1:10" ht="18" customHeight="1" x14ac:dyDescent="0.25">
      <c r="A287" s="15">
        <f>SUBTOTAL(3,$B$11:B287)</f>
        <v>277</v>
      </c>
      <c r="B287" s="15">
        <v>10361</v>
      </c>
      <c r="C287" s="12" t="s">
        <v>307</v>
      </c>
      <c r="D287" s="13" t="s">
        <v>14</v>
      </c>
      <c r="E287" s="12">
        <v>4647283</v>
      </c>
      <c r="F287" s="12">
        <v>9035192</v>
      </c>
      <c r="G287" s="14">
        <f t="shared" si="8"/>
        <v>13682475</v>
      </c>
      <c r="H287" s="14">
        <f t="shared" si="9"/>
        <v>526.24903846153848</v>
      </c>
      <c r="I287" s="11" t="s">
        <v>715</v>
      </c>
      <c r="J287" s="11" t="s">
        <v>423</v>
      </c>
    </row>
    <row r="288" spans="1:10" ht="18" customHeight="1" x14ac:dyDescent="0.25">
      <c r="A288" s="15">
        <f>SUBTOTAL(3,$B$11:B288)</f>
        <v>278</v>
      </c>
      <c r="B288" s="15">
        <v>10365</v>
      </c>
      <c r="C288" s="12" t="s">
        <v>308</v>
      </c>
      <c r="D288" s="13" t="s">
        <v>14</v>
      </c>
      <c r="E288" s="12">
        <v>4057788</v>
      </c>
      <c r="F288" s="12">
        <v>7926418</v>
      </c>
      <c r="G288" s="14">
        <f t="shared" si="8"/>
        <v>11984206</v>
      </c>
      <c r="H288" s="14">
        <f t="shared" si="9"/>
        <v>460.93099999999998</v>
      </c>
      <c r="I288" s="11" t="s">
        <v>716</v>
      </c>
      <c r="J288" s="11" t="s">
        <v>430</v>
      </c>
    </row>
    <row r="289" spans="1:10" ht="18" customHeight="1" x14ac:dyDescent="0.25">
      <c r="A289" s="15">
        <f>SUBTOTAL(3,$B$11:B289)</f>
        <v>279</v>
      </c>
      <c r="B289" s="15">
        <v>10374</v>
      </c>
      <c r="C289" s="12" t="s">
        <v>310</v>
      </c>
      <c r="D289" s="13" t="s">
        <v>21</v>
      </c>
      <c r="E289" s="12">
        <v>4458149</v>
      </c>
      <c r="F289" s="12">
        <v>7085072</v>
      </c>
      <c r="G289" s="14">
        <f t="shared" si="8"/>
        <v>11543221</v>
      </c>
      <c r="H289" s="14">
        <f t="shared" si="9"/>
        <v>443.97003846153848</v>
      </c>
      <c r="I289" s="11" t="s">
        <v>718</v>
      </c>
      <c r="J289" s="11" t="s">
        <v>678</v>
      </c>
    </row>
    <row r="290" spans="1:10" ht="18" customHeight="1" x14ac:dyDescent="0.25">
      <c r="A290" s="15">
        <f>SUBTOTAL(3,$B$11:B290)</f>
        <v>280</v>
      </c>
      <c r="B290" s="15">
        <v>10389</v>
      </c>
      <c r="C290" s="12" t="s">
        <v>311</v>
      </c>
      <c r="D290" s="13" t="s">
        <v>19</v>
      </c>
      <c r="E290" s="12">
        <v>4890949</v>
      </c>
      <c r="F290" s="12">
        <v>8415101</v>
      </c>
      <c r="G290" s="14">
        <f t="shared" si="8"/>
        <v>13306050</v>
      </c>
      <c r="H290" s="14">
        <f t="shared" si="9"/>
        <v>511.77115384615382</v>
      </c>
      <c r="I290" s="11" t="s">
        <v>719</v>
      </c>
      <c r="J290" s="11" t="s">
        <v>425</v>
      </c>
    </row>
    <row r="291" spans="1:10" ht="18" customHeight="1" x14ac:dyDescent="0.25">
      <c r="A291" s="15">
        <f>SUBTOTAL(3,$B$11:B291)</f>
        <v>281</v>
      </c>
      <c r="B291" s="15">
        <v>10390</v>
      </c>
      <c r="C291" s="12" t="s">
        <v>312</v>
      </c>
      <c r="D291" s="13" t="s">
        <v>19</v>
      </c>
      <c r="E291" s="12">
        <v>4856154</v>
      </c>
      <c r="F291" s="12">
        <v>9037889</v>
      </c>
      <c r="G291" s="14">
        <f t="shared" si="8"/>
        <v>13894043</v>
      </c>
      <c r="H291" s="14">
        <f t="shared" si="9"/>
        <v>534.38626923076924</v>
      </c>
      <c r="I291" s="11" t="s">
        <v>720</v>
      </c>
      <c r="J291" s="11" t="s">
        <v>694</v>
      </c>
    </row>
    <row r="292" spans="1:10" ht="18" customHeight="1" x14ac:dyDescent="0.25">
      <c r="A292" s="15">
        <f>SUBTOTAL(3,$B$11:B292)</f>
        <v>282</v>
      </c>
      <c r="B292" s="15">
        <v>10397</v>
      </c>
      <c r="C292" s="12" t="s">
        <v>313</v>
      </c>
      <c r="D292" s="13" t="s">
        <v>20</v>
      </c>
      <c r="E292" s="12">
        <v>4986274</v>
      </c>
      <c r="F292" s="12">
        <v>7491058</v>
      </c>
      <c r="G292" s="14">
        <f t="shared" si="8"/>
        <v>12477332</v>
      </c>
      <c r="H292" s="14">
        <f t="shared" si="9"/>
        <v>479.89738461538462</v>
      </c>
      <c r="I292" s="11" t="s">
        <v>721</v>
      </c>
      <c r="J292" s="11" t="s">
        <v>425</v>
      </c>
    </row>
    <row r="293" spans="1:10" ht="18" customHeight="1" x14ac:dyDescent="0.25">
      <c r="A293" s="15">
        <f>SUBTOTAL(3,$B$11:B293)</f>
        <v>283</v>
      </c>
      <c r="B293" s="15">
        <v>10414</v>
      </c>
      <c r="C293" s="12" t="s">
        <v>314</v>
      </c>
      <c r="D293" s="13" t="s">
        <v>11</v>
      </c>
      <c r="E293" s="12">
        <v>8232116</v>
      </c>
      <c r="F293" s="12">
        <v>17021539</v>
      </c>
      <c r="G293" s="14">
        <f t="shared" si="8"/>
        <v>25253655</v>
      </c>
      <c r="H293" s="14">
        <f t="shared" si="9"/>
        <v>971.29442307692307</v>
      </c>
      <c r="I293" s="11" t="s">
        <v>722</v>
      </c>
      <c r="J293" s="11" t="s">
        <v>425</v>
      </c>
    </row>
    <row r="294" spans="1:10" ht="18" customHeight="1" x14ac:dyDescent="0.25">
      <c r="A294" s="15">
        <f>SUBTOTAL(3,$B$11:B294)</f>
        <v>284</v>
      </c>
      <c r="B294" s="15">
        <v>10416</v>
      </c>
      <c r="C294" s="12" t="s">
        <v>315</v>
      </c>
      <c r="D294" s="13" t="s">
        <v>11</v>
      </c>
      <c r="E294" s="12">
        <v>5946101</v>
      </c>
      <c r="F294" s="12">
        <v>11824639</v>
      </c>
      <c r="G294" s="14">
        <f t="shared" si="8"/>
        <v>17770740</v>
      </c>
      <c r="H294" s="14">
        <f t="shared" si="9"/>
        <v>683.49</v>
      </c>
      <c r="I294" s="11" t="s">
        <v>723</v>
      </c>
      <c r="J294" s="11" t="s">
        <v>612</v>
      </c>
    </row>
    <row r="295" spans="1:10" ht="18" customHeight="1" x14ac:dyDescent="0.25">
      <c r="A295" s="15">
        <f>SUBTOTAL(3,$B$11:B295)</f>
        <v>285</v>
      </c>
      <c r="B295" s="15">
        <v>10425</v>
      </c>
      <c r="C295" s="12" t="s">
        <v>316</v>
      </c>
      <c r="D295" s="13" t="s">
        <v>19</v>
      </c>
      <c r="E295" s="12">
        <v>4272740</v>
      </c>
      <c r="F295" s="12">
        <v>7514668</v>
      </c>
      <c r="G295" s="14">
        <f t="shared" si="8"/>
        <v>11787408</v>
      </c>
      <c r="H295" s="14">
        <f t="shared" si="9"/>
        <v>453.36184615384616</v>
      </c>
      <c r="I295" s="11" t="s">
        <v>724</v>
      </c>
      <c r="J295" s="11" t="s">
        <v>725</v>
      </c>
    </row>
    <row r="296" spans="1:10" ht="18" customHeight="1" x14ac:dyDescent="0.25">
      <c r="A296" s="15">
        <f>SUBTOTAL(3,$B$11:B296)</f>
        <v>286</v>
      </c>
      <c r="B296" s="15">
        <v>10426</v>
      </c>
      <c r="C296" s="12" t="s">
        <v>317</v>
      </c>
      <c r="D296" s="13" t="s">
        <v>19</v>
      </c>
      <c r="E296" s="12">
        <v>5040540</v>
      </c>
      <c r="F296" s="12">
        <v>7624404</v>
      </c>
      <c r="G296" s="14">
        <f t="shared" si="8"/>
        <v>12664944</v>
      </c>
      <c r="H296" s="14">
        <f t="shared" si="9"/>
        <v>487.11323076923077</v>
      </c>
      <c r="I296" s="11" t="s">
        <v>726</v>
      </c>
      <c r="J296" s="11" t="s">
        <v>678</v>
      </c>
    </row>
    <row r="297" spans="1:10" ht="18" customHeight="1" x14ac:dyDescent="0.25">
      <c r="A297" s="15">
        <f>SUBTOTAL(3,$B$11:B297)</f>
        <v>287</v>
      </c>
      <c r="B297" s="15">
        <v>10429</v>
      </c>
      <c r="C297" s="12" t="s">
        <v>318</v>
      </c>
      <c r="D297" s="13" t="s">
        <v>14</v>
      </c>
      <c r="E297" s="12">
        <v>4836033</v>
      </c>
      <c r="F297" s="12">
        <v>7926418</v>
      </c>
      <c r="G297" s="14">
        <f t="shared" si="8"/>
        <v>12762451</v>
      </c>
      <c r="H297" s="14">
        <f t="shared" si="9"/>
        <v>490.86349999999999</v>
      </c>
      <c r="I297" s="11" t="s">
        <v>727</v>
      </c>
      <c r="J297" s="11" t="s">
        <v>612</v>
      </c>
    </row>
    <row r="298" spans="1:10" ht="18" customHeight="1" x14ac:dyDescent="0.25">
      <c r="A298" s="15">
        <f>SUBTOTAL(3,$B$11:B298)</f>
        <v>288</v>
      </c>
      <c r="B298" s="15">
        <v>10432</v>
      </c>
      <c r="C298" s="12" t="s">
        <v>319</v>
      </c>
      <c r="D298" s="13" t="s">
        <v>21</v>
      </c>
      <c r="E298" s="12">
        <v>4759964</v>
      </c>
      <c r="F298" s="12">
        <v>7546587</v>
      </c>
      <c r="G298" s="14">
        <f t="shared" si="8"/>
        <v>12306551</v>
      </c>
      <c r="H298" s="14">
        <f t="shared" si="9"/>
        <v>473.3288846153846</v>
      </c>
      <c r="I298" s="11" t="s">
        <v>728</v>
      </c>
      <c r="J298" s="11" t="s">
        <v>729</v>
      </c>
    </row>
    <row r="299" spans="1:10" ht="18" customHeight="1" x14ac:dyDescent="0.25">
      <c r="A299" s="15">
        <f>SUBTOTAL(3,$B$11:B299)</f>
        <v>289</v>
      </c>
      <c r="B299" s="15">
        <v>10433</v>
      </c>
      <c r="C299" s="12" t="s">
        <v>320</v>
      </c>
      <c r="D299" s="13" t="s">
        <v>12</v>
      </c>
      <c r="E299" s="12">
        <v>4401636</v>
      </c>
      <c r="F299" s="12">
        <v>8846971</v>
      </c>
      <c r="G299" s="14">
        <f t="shared" si="8"/>
        <v>13248607</v>
      </c>
      <c r="H299" s="14">
        <f t="shared" si="9"/>
        <v>509.5618076923077</v>
      </c>
      <c r="I299" s="11" t="s">
        <v>730</v>
      </c>
      <c r="J299" s="11" t="s">
        <v>612</v>
      </c>
    </row>
    <row r="300" spans="1:10" ht="18" customHeight="1" x14ac:dyDescent="0.25">
      <c r="A300" s="15">
        <f>SUBTOTAL(3,$B$11:B300)</f>
        <v>290</v>
      </c>
      <c r="B300" s="15">
        <v>10434</v>
      </c>
      <c r="C300" s="12" t="s">
        <v>321</v>
      </c>
      <c r="D300" s="13" t="s">
        <v>14</v>
      </c>
      <c r="E300" s="12">
        <v>5102971</v>
      </c>
      <c r="F300" s="12">
        <v>9406396</v>
      </c>
      <c r="G300" s="14">
        <f t="shared" si="8"/>
        <v>14509367</v>
      </c>
      <c r="H300" s="14">
        <f t="shared" si="9"/>
        <v>558.05257692307691</v>
      </c>
      <c r="I300" s="11" t="s">
        <v>731</v>
      </c>
      <c r="J300" s="11" t="s">
        <v>430</v>
      </c>
    </row>
    <row r="301" spans="1:10" ht="18" customHeight="1" x14ac:dyDescent="0.25">
      <c r="A301" s="15">
        <f>SUBTOTAL(3,$B$11:B301)</f>
        <v>291</v>
      </c>
      <c r="B301" s="15">
        <v>10440</v>
      </c>
      <c r="C301" s="12" t="s">
        <v>322</v>
      </c>
      <c r="D301" s="13" t="s">
        <v>21</v>
      </c>
      <c r="E301" s="12">
        <v>4196562</v>
      </c>
      <c r="F301" s="12">
        <v>8899976</v>
      </c>
      <c r="G301" s="14">
        <f t="shared" si="8"/>
        <v>13096538</v>
      </c>
      <c r="H301" s="14">
        <f t="shared" si="9"/>
        <v>503.71300000000002</v>
      </c>
      <c r="I301" s="11" t="s">
        <v>732</v>
      </c>
      <c r="J301" s="11" t="s">
        <v>733</v>
      </c>
    </row>
    <row r="302" spans="1:10" ht="18" customHeight="1" x14ac:dyDescent="0.25">
      <c r="A302" s="15">
        <f>SUBTOTAL(3,$B$11:B302)</f>
        <v>292</v>
      </c>
      <c r="B302" s="15">
        <v>10462</v>
      </c>
      <c r="C302" s="12" t="s">
        <v>323</v>
      </c>
      <c r="D302" s="13" t="s">
        <v>12</v>
      </c>
      <c r="E302" s="12">
        <v>5133116</v>
      </c>
      <c r="F302" s="12">
        <v>9826627</v>
      </c>
      <c r="G302" s="14">
        <f t="shared" si="8"/>
        <v>14959743</v>
      </c>
      <c r="H302" s="14">
        <f t="shared" si="9"/>
        <v>575.37473076923072</v>
      </c>
      <c r="I302" s="11" t="s">
        <v>734</v>
      </c>
      <c r="J302" s="11" t="s">
        <v>423</v>
      </c>
    </row>
    <row r="303" spans="1:10" ht="18" customHeight="1" x14ac:dyDescent="0.25">
      <c r="A303" s="15">
        <f>SUBTOTAL(3,$B$11:B303)</f>
        <v>293</v>
      </c>
      <c r="B303" s="15">
        <v>10475</v>
      </c>
      <c r="C303" s="12" t="s">
        <v>325</v>
      </c>
      <c r="D303" s="13" t="s">
        <v>14</v>
      </c>
      <c r="E303" s="12">
        <v>5190758</v>
      </c>
      <c r="F303" s="12">
        <v>8626476</v>
      </c>
      <c r="G303" s="14">
        <f t="shared" si="8"/>
        <v>13817234</v>
      </c>
      <c r="H303" s="14">
        <f t="shared" si="9"/>
        <v>531.43207692307692</v>
      </c>
      <c r="I303" s="11" t="s">
        <v>736</v>
      </c>
      <c r="J303" s="11" t="s">
        <v>430</v>
      </c>
    </row>
    <row r="304" spans="1:10" ht="18" customHeight="1" x14ac:dyDescent="0.25">
      <c r="A304" s="15">
        <f>SUBTOTAL(3,$B$11:B304)</f>
        <v>294</v>
      </c>
      <c r="B304" s="15">
        <v>10494</v>
      </c>
      <c r="C304" s="12" t="s">
        <v>326</v>
      </c>
      <c r="D304" s="13" t="s">
        <v>20</v>
      </c>
      <c r="E304" s="12">
        <v>4782500</v>
      </c>
      <c r="F304" s="12">
        <v>8869928</v>
      </c>
      <c r="G304" s="14">
        <f t="shared" si="8"/>
        <v>13652428</v>
      </c>
      <c r="H304" s="14">
        <f t="shared" si="9"/>
        <v>525.09338461538459</v>
      </c>
      <c r="I304" s="11" t="s">
        <v>737</v>
      </c>
      <c r="J304" s="11" t="s">
        <v>678</v>
      </c>
    </row>
    <row r="305" spans="1:10" ht="18" customHeight="1" x14ac:dyDescent="0.25">
      <c r="A305" s="15">
        <f>SUBTOTAL(3,$B$11:B305)</f>
        <v>295</v>
      </c>
      <c r="B305" s="15">
        <v>10497</v>
      </c>
      <c r="C305" s="12" t="s">
        <v>327</v>
      </c>
      <c r="D305" s="13" t="s">
        <v>13</v>
      </c>
      <c r="E305" s="12">
        <v>5196610</v>
      </c>
      <c r="F305" s="12">
        <v>8286995</v>
      </c>
      <c r="G305" s="14">
        <f t="shared" si="8"/>
        <v>13483605</v>
      </c>
      <c r="H305" s="14">
        <f t="shared" si="9"/>
        <v>518.60019230769228</v>
      </c>
      <c r="I305" s="11" t="s">
        <v>738</v>
      </c>
      <c r="J305" s="11" t="s">
        <v>739</v>
      </c>
    </row>
    <row r="306" spans="1:10" ht="18" customHeight="1" x14ac:dyDescent="0.25">
      <c r="A306" s="15">
        <f>SUBTOTAL(3,$B$11:B306)</f>
        <v>296</v>
      </c>
      <c r="B306" s="15">
        <v>10523</v>
      </c>
      <c r="C306" s="12" t="s">
        <v>328</v>
      </c>
      <c r="D306" s="13" t="s">
        <v>20</v>
      </c>
      <c r="E306" s="12">
        <v>3012139</v>
      </c>
      <c r="F306" s="12">
        <v>4825529</v>
      </c>
      <c r="G306" s="14">
        <f t="shared" si="8"/>
        <v>7837668</v>
      </c>
      <c r="H306" s="14">
        <f t="shared" si="9"/>
        <v>301.44876923076924</v>
      </c>
      <c r="I306" s="11" t="s">
        <v>740</v>
      </c>
      <c r="J306" s="11" t="s">
        <v>423</v>
      </c>
    </row>
    <row r="307" spans="1:10" ht="18" customHeight="1" x14ac:dyDescent="0.25">
      <c r="A307" s="15">
        <f>SUBTOTAL(3,$B$11:B307)</f>
        <v>297</v>
      </c>
      <c r="B307" s="15">
        <v>10530</v>
      </c>
      <c r="C307" s="12" t="s">
        <v>329</v>
      </c>
      <c r="D307" s="13" t="s">
        <v>31</v>
      </c>
      <c r="E307" s="12">
        <v>6878437</v>
      </c>
      <c r="F307" s="12">
        <v>11909856</v>
      </c>
      <c r="G307" s="14">
        <f t="shared" si="8"/>
        <v>18788293</v>
      </c>
      <c r="H307" s="14">
        <f t="shared" si="9"/>
        <v>722.62665384615389</v>
      </c>
      <c r="I307" s="11" t="s">
        <v>741</v>
      </c>
      <c r="J307" s="11" t="s">
        <v>742</v>
      </c>
    </row>
    <row r="308" spans="1:10" ht="18" customHeight="1" x14ac:dyDescent="0.25">
      <c r="A308" s="15">
        <f>SUBTOTAL(3,$B$11:B308)</f>
        <v>298</v>
      </c>
      <c r="B308" s="15">
        <v>10534</v>
      </c>
      <c r="C308" s="12" t="s">
        <v>330</v>
      </c>
      <c r="D308" s="13" t="s">
        <v>15</v>
      </c>
      <c r="E308" s="12">
        <v>7843846</v>
      </c>
      <c r="F308" s="12">
        <v>12857036</v>
      </c>
      <c r="G308" s="14">
        <f t="shared" si="8"/>
        <v>20700882</v>
      </c>
      <c r="H308" s="14">
        <f t="shared" si="9"/>
        <v>796.18776923076928</v>
      </c>
      <c r="I308" s="11" t="s">
        <v>743</v>
      </c>
      <c r="J308" s="11" t="s">
        <v>612</v>
      </c>
    </row>
    <row r="309" spans="1:10" ht="18" customHeight="1" x14ac:dyDescent="0.25">
      <c r="A309" s="15">
        <f>SUBTOTAL(3,$B$11:B309)</f>
        <v>299</v>
      </c>
      <c r="B309" s="15">
        <v>10537</v>
      </c>
      <c r="C309" s="12" t="s">
        <v>331</v>
      </c>
      <c r="D309" s="13" t="s">
        <v>24</v>
      </c>
      <c r="E309" s="12">
        <v>6987981</v>
      </c>
      <c r="F309" s="12">
        <v>10938029</v>
      </c>
      <c r="G309" s="14">
        <f t="shared" si="8"/>
        <v>17926010</v>
      </c>
      <c r="H309" s="14">
        <f t="shared" si="9"/>
        <v>689.46192307692309</v>
      </c>
      <c r="I309" s="11" t="s">
        <v>744</v>
      </c>
      <c r="J309" s="11" t="s">
        <v>425</v>
      </c>
    </row>
    <row r="310" spans="1:10" ht="18" customHeight="1" x14ac:dyDescent="0.25">
      <c r="A310" s="15">
        <f>SUBTOTAL(3,$B$11:B310)</f>
        <v>300</v>
      </c>
      <c r="B310" s="15">
        <v>10546</v>
      </c>
      <c r="C310" s="12" t="s">
        <v>333</v>
      </c>
      <c r="D310" s="13" t="s">
        <v>22</v>
      </c>
      <c r="E310" s="12">
        <v>5610577</v>
      </c>
      <c r="F310" s="12">
        <v>10627500</v>
      </c>
      <c r="G310" s="14">
        <f t="shared" si="8"/>
        <v>16238077</v>
      </c>
      <c r="H310" s="14">
        <f t="shared" si="9"/>
        <v>624.54142307692302</v>
      </c>
      <c r="I310" s="11" t="s">
        <v>745</v>
      </c>
      <c r="J310" s="11" t="s">
        <v>746</v>
      </c>
    </row>
    <row r="311" spans="1:10" ht="18" customHeight="1" x14ac:dyDescent="0.25">
      <c r="A311" s="15">
        <f>SUBTOTAL(3,$B$11:B311)</f>
        <v>301</v>
      </c>
      <c r="B311" s="15">
        <v>10549</v>
      </c>
      <c r="C311" s="12" t="s">
        <v>334</v>
      </c>
      <c r="D311" s="13" t="s">
        <v>26</v>
      </c>
      <c r="E311" s="12">
        <v>4301503</v>
      </c>
      <c r="F311" s="12">
        <v>8433630</v>
      </c>
      <c r="G311" s="14">
        <f t="shared" si="8"/>
        <v>12735133</v>
      </c>
      <c r="H311" s="14">
        <f t="shared" si="9"/>
        <v>489.81280769230767</v>
      </c>
      <c r="I311" s="11" t="s">
        <v>747</v>
      </c>
      <c r="J311" s="11" t="s">
        <v>696</v>
      </c>
    </row>
    <row r="312" spans="1:10" ht="18" customHeight="1" x14ac:dyDescent="0.25">
      <c r="A312" s="15">
        <f>SUBTOTAL(3,$B$11:B312)</f>
        <v>302</v>
      </c>
      <c r="B312" s="15">
        <v>10551</v>
      </c>
      <c r="C312" s="12" t="s">
        <v>335</v>
      </c>
      <c r="D312" s="13" t="s">
        <v>20</v>
      </c>
      <c r="E312" s="12">
        <v>5143077</v>
      </c>
      <c r="F312" s="12">
        <v>8899976</v>
      </c>
      <c r="G312" s="14">
        <f t="shared" si="8"/>
        <v>14043053</v>
      </c>
      <c r="H312" s="14">
        <f t="shared" si="9"/>
        <v>540.11742307692305</v>
      </c>
      <c r="I312" s="11" t="s">
        <v>748</v>
      </c>
      <c r="J312" s="11" t="s">
        <v>749</v>
      </c>
    </row>
    <row r="313" spans="1:10" ht="18" customHeight="1" x14ac:dyDescent="0.25">
      <c r="A313" s="15">
        <f>SUBTOTAL(3,$B$11:B313)</f>
        <v>303</v>
      </c>
      <c r="B313" s="15">
        <v>10556</v>
      </c>
      <c r="C313" s="12" t="s">
        <v>336</v>
      </c>
      <c r="D313" s="13" t="s">
        <v>13</v>
      </c>
      <c r="E313" s="12">
        <v>10406331</v>
      </c>
      <c r="F313" s="12">
        <v>16480792</v>
      </c>
      <c r="G313" s="14">
        <f t="shared" si="8"/>
        <v>26887123</v>
      </c>
      <c r="H313" s="14">
        <f t="shared" si="9"/>
        <v>1034.1201153846155</v>
      </c>
      <c r="I313" s="11" t="s">
        <v>751</v>
      </c>
      <c r="J313" s="11" t="s">
        <v>696</v>
      </c>
    </row>
    <row r="314" spans="1:10" ht="18" customHeight="1" x14ac:dyDescent="0.25">
      <c r="A314" s="15">
        <f>SUBTOTAL(3,$B$11:B314)</f>
        <v>304</v>
      </c>
      <c r="B314" s="15">
        <v>10561</v>
      </c>
      <c r="C314" s="12" t="s">
        <v>294</v>
      </c>
      <c r="D314" s="13" t="s">
        <v>9</v>
      </c>
      <c r="E314" s="12">
        <v>10491128</v>
      </c>
      <c r="F314" s="12">
        <v>21916195</v>
      </c>
      <c r="G314" s="14">
        <f t="shared" si="8"/>
        <v>32407323</v>
      </c>
      <c r="H314" s="14">
        <f t="shared" si="9"/>
        <v>1246.4355</v>
      </c>
      <c r="I314" s="11" t="s">
        <v>752</v>
      </c>
      <c r="J314" s="11" t="s">
        <v>612</v>
      </c>
    </row>
    <row r="315" spans="1:10" ht="18" customHeight="1" x14ac:dyDescent="0.25">
      <c r="A315" s="15">
        <f>SUBTOTAL(3,$B$11:B315)</f>
        <v>305</v>
      </c>
      <c r="B315" s="15">
        <v>10562</v>
      </c>
      <c r="C315" s="12" t="s">
        <v>337</v>
      </c>
      <c r="D315" s="13" t="s">
        <v>9</v>
      </c>
      <c r="E315" s="12">
        <v>11793727</v>
      </c>
      <c r="F315" s="12">
        <v>19689367</v>
      </c>
      <c r="G315" s="14">
        <f t="shared" si="8"/>
        <v>31483094</v>
      </c>
      <c r="H315" s="14">
        <f t="shared" si="9"/>
        <v>1210.8882307692309</v>
      </c>
      <c r="I315" s="11" t="s">
        <v>753</v>
      </c>
      <c r="J315" s="11" t="s">
        <v>424</v>
      </c>
    </row>
    <row r="316" spans="1:10" ht="18" customHeight="1" x14ac:dyDescent="0.25">
      <c r="A316" s="15">
        <f>SUBTOTAL(3,$B$11:B316)</f>
        <v>306</v>
      </c>
      <c r="B316" s="15">
        <v>10579</v>
      </c>
      <c r="C316" s="12" t="s">
        <v>338</v>
      </c>
      <c r="D316" s="13" t="s">
        <v>23</v>
      </c>
      <c r="E316" s="12">
        <v>4836033</v>
      </c>
      <c r="F316" s="12">
        <v>6177380</v>
      </c>
      <c r="G316" s="14">
        <f t="shared" si="8"/>
        <v>11013413</v>
      </c>
      <c r="H316" s="14">
        <f t="shared" si="9"/>
        <v>423.5928076923077</v>
      </c>
      <c r="I316" s="11" t="s">
        <v>755</v>
      </c>
      <c r="J316" s="11" t="s">
        <v>756</v>
      </c>
    </row>
    <row r="317" spans="1:10" ht="18" customHeight="1" x14ac:dyDescent="0.25">
      <c r="A317" s="15">
        <f>SUBTOTAL(3,$B$11:B317)</f>
        <v>307</v>
      </c>
      <c r="B317" s="15">
        <v>10604</v>
      </c>
      <c r="C317" s="12" t="s">
        <v>339</v>
      </c>
      <c r="D317" s="13" t="s">
        <v>23</v>
      </c>
      <c r="E317" s="12">
        <v>4688798</v>
      </c>
      <c r="F317" s="12">
        <v>7310264</v>
      </c>
      <c r="G317" s="14">
        <f t="shared" si="8"/>
        <v>11999062</v>
      </c>
      <c r="H317" s="14">
        <f t="shared" si="9"/>
        <v>461.50238461538464</v>
      </c>
      <c r="I317" s="11" t="s">
        <v>758</v>
      </c>
      <c r="J317" s="11" t="s">
        <v>423</v>
      </c>
    </row>
    <row r="318" spans="1:10" ht="18" customHeight="1" x14ac:dyDescent="0.25">
      <c r="A318" s="15">
        <f>SUBTOTAL(3,$B$11:B318)</f>
        <v>308</v>
      </c>
      <c r="B318" s="15">
        <v>10610</v>
      </c>
      <c r="C318" s="12" t="s">
        <v>340</v>
      </c>
      <c r="D318" s="13" t="s">
        <v>31</v>
      </c>
      <c r="E318" s="12">
        <v>3667067</v>
      </c>
      <c r="F318" s="12">
        <v>7431515</v>
      </c>
      <c r="G318" s="14">
        <f t="shared" si="8"/>
        <v>11098582</v>
      </c>
      <c r="H318" s="14">
        <f t="shared" si="9"/>
        <v>426.86853846153844</v>
      </c>
      <c r="I318" s="11" t="s">
        <v>759</v>
      </c>
      <c r="J318" s="11" t="s">
        <v>678</v>
      </c>
    </row>
    <row r="319" spans="1:10" ht="18" customHeight="1" x14ac:dyDescent="0.25">
      <c r="A319" s="15">
        <f>SUBTOTAL(3,$B$11:B319)</f>
        <v>309</v>
      </c>
      <c r="B319" s="15">
        <v>10612</v>
      </c>
      <c r="C319" s="12" t="s">
        <v>341</v>
      </c>
      <c r="D319" s="13" t="s">
        <v>9</v>
      </c>
      <c r="E319" s="12">
        <v>9378877</v>
      </c>
      <c r="F319" s="12">
        <v>18519507</v>
      </c>
      <c r="G319" s="14">
        <f t="shared" si="8"/>
        <v>27898384</v>
      </c>
      <c r="H319" s="14">
        <f t="shared" si="9"/>
        <v>1073.0147692307692</v>
      </c>
      <c r="I319" s="11" t="s">
        <v>760</v>
      </c>
      <c r="J319" s="11" t="s">
        <v>452</v>
      </c>
    </row>
    <row r="320" spans="1:10" ht="18" customHeight="1" x14ac:dyDescent="0.25">
      <c r="A320" s="15">
        <f>SUBTOTAL(3,$B$11:B320)</f>
        <v>310</v>
      </c>
      <c r="B320" s="15">
        <v>10615</v>
      </c>
      <c r="C320" s="12" t="s">
        <v>342</v>
      </c>
      <c r="D320" s="13" t="s">
        <v>30</v>
      </c>
      <c r="E320" s="12">
        <v>6571281</v>
      </c>
      <c r="F320" s="12">
        <v>11807067</v>
      </c>
      <c r="G320" s="14">
        <f t="shared" si="8"/>
        <v>18378348</v>
      </c>
      <c r="H320" s="14">
        <f t="shared" si="9"/>
        <v>706.85953846153848</v>
      </c>
      <c r="I320" s="11" t="s">
        <v>761</v>
      </c>
      <c r="J320" s="11" t="s">
        <v>762</v>
      </c>
    </row>
    <row r="321" spans="1:10" ht="18" customHeight="1" x14ac:dyDescent="0.25">
      <c r="A321" s="15">
        <f>SUBTOTAL(3,$B$11:B321)</f>
        <v>311</v>
      </c>
      <c r="B321" s="15">
        <v>10632</v>
      </c>
      <c r="C321" s="12" t="s">
        <v>343</v>
      </c>
      <c r="D321" s="13" t="s">
        <v>1166</v>
      </c>
      <c r="E321" s="12">
        <v>11067308</v>
      </c>
      <c r="F321" s="12">
        <v>25647860</v>
      </c>
      <c r="G321" s="14">
        <f t="shared" si="8"/>
        <v>36715168</v>
      </c>
      <c r="H321" s="14">
        <f t="shared" si="9"/>
        <v>1412.1218461538463</v>
      </c>
      <c r="I321" s="11" t="s">
        <v>1011</v>
      </c>
      <c r="J321" s="11" t="s">
        <v>750</v>
      </c>
    </row>
    <row r="322" spans="1:10" ht="18" customHeight="1" x14ac:dyDescent="0.25">
      <c r="A322" s="15">
        <f>SUBTOTAL(3,$B$11:B322)</f>
        <v>312</v>
      </c>
      <c r="B322" s="15">
        <v>10634</v>
      </c>
      <c r="C322" s="12" t="s">
        <v>37</v>
      </c>
      <c r="D322" s="13" t="s">
        <v>10</v>
      </c>
      <c r="E322" s="12">
        <v>4960385</v>
      </c>
      <c r="F322" s="12">
        <v>10180384</v>
      </c>
      <c r="G322" s="14">
        <f t="shared" si="8"/>
        <v>15140769</v>
      </c>
      <c r="H322" s="14">
        <f t="shared" si="9"/>
        <v>582.33726923076927</v>
      </c>
      <c r="I322" s="11" t="s">
        <v>1313</v>
      </c>
      <c r="J322" s="11" t="s">
        <v>1314</v>
      </c>
    </row>
    <row r="323" spans="1:10" ht="18" customHeight="1" x14ac:dyDescent="0.25">
      <c r="A323" s="15">
        <f>SUBTOTAL(3,$B$11:B323)</f>
        <v>313</v>
      </c>
      <c r="B323" s="15">
        <v>10642</v>
      </c>
      <c r="C323" s="12" t="s">
        <v>344</v>
      </c>
      <c r="D323" s="13" t="s">
        <v>32</v>
      </c>
      <c r="E323" s="12">
        <v>7055289</v>
      </c>
      <c r="F323" s="12">
        <v>11503101</v>
      </c>
      <c r="G323" s="14">
        <f t="shared" si="8"/>
        <v>18558390</v>
      </c>
      <c r="H323" s="14">
        <f t="shared" si="9"/>
        <v>713.78423076923082</v>
      </c>
      <c r="I323" s="11" t="s">
        <v>1315</v>
      </c>
      <c r="J323" s="11" t="s">
        <v>1129</v>
      </c>
    </row>
    <row r="324" spans="1:10" ht="18" customHeight="1" x14ac:dyDescent="0.25">
      <c r="A324" s="15">
        <f>SUBTOTAL(3,$B$11:B324)</f>
        <v>314</v>
      </c>
      <c r="B324" s="15">
        <v>10653</v>
      </c>
      <c r="C324" s="12" t="s">
        <v>345</v>
      </c>
      <c r="D324" s="13" t="s">
        <v>19</v>
      </c>
      <c r="E324" s="12">
        <v>8667067</v>
      </c>
      <c r="F324" s="12">
        <v>10674642</v>
      </c>
      <c r="G324" s="14">
        <f t="shared" si="8"/>
        <v>19341709</v>
      </c>
      <c r="H324" s="14">
        <f t="shared" si="9"/>
        <v>743.91188461538457</v>
      </c>
      <c r="I324" s="11" t="s">
        <v>764</v>
      </c>
      <c r="J324" s="11" t="s">
        <v>765</v>
      </c>
    </row>
    <row r="325" spans="1:10" ht="18" customHeight="1" x14ac:dyDescent="0.25">
      <c r="A325" s="15">
        <f>SUBTOTAL(3,$B$11:B325)</f>
        <v>315</v>
      </c>
      <c r="B325" s="15">
        <v>10654</v>
      </c>
      <c r="C325" s="12" t="s">
        <v>346</v>
      </c>
      <c r="D325" s="13" t="s">
        <v>13</v>
      </c>
      <c r="E325" s="12">
        <v>8502251</v>
      </c>
      <c r="F325" s="12">
        <v>13892099</v>
      </c>
      <c r="G325" s="14">
        <f t="shared" si="8"/>
        <v>22394350</v>
      </c>
      <c r="H325" s="14">
        <f t="shared" si="9"/>
        <v>861.32115384615383</v>
      </c>
      <c r="I325" s="11" t="s">
        <v>766</v>
      </c>
      <c r="J325" s="11" t="s">
        <v>750</v>
      </c>
    </row>
    <row r="326" spans="1:10" ht="18" customHeight="1" x14ac:dyDescent="0.25">
      <c r="A326" s="15">
        <f>SUBTOTAL(3,$B$11:B326)</f>
        <v>316</v>
      </c>
      <c r="B326" s="15">
        <v>10664</v>
      </c>
      <c r="C326" s="12" t="s">
        <v>347</v>
      </c>
      <c r="D326" s="13" t="s">
        <v>20</v>
      </c>
      <c r="E326" s="12">
        <v>5346851</v>
      </c>
      <c r="F326" s="12">
        <v>7564735</v>
      </c>
      <c r="G326" s="14">
        <f t="shared" si="8"/>
        <v>12911586</v>
      </c>
      <c r="H326" s="14">
        <f t="shared" si="9"/>
        <v>496.59946153846153</v>
      </c>
      <c r="I326" s="11" t="s">
        <v>767</v>
      </c>
      <c r="J326" s="11" t="s">
        <v>696</v>
      </c>
    </row>
    <row r="327" spans="1:10" ht="18" customHeight="1" x14ac:dyDescent="0.25">
      <c r="A327" s="15">
        <f>SUBTOTAL(3,$B$11:B327)</f>
        <v>317</v>
      </c>
      <c r="B327" s="15">
        <v>10665</v>
      </c>
      <c r="C327" s="12" t="s">
        <v>52</v>
      </c>
      <c r="D327" s="13" t="s">
        <v>20</v>
      </c>
      <c r="E327" s="12">
        <v>4759964</v>
      </c>
      <c r="F327" s="12">
        <v>8629543</v>
      </c>
      <c r="G327" s="14">
        <f t="shared" si="8"/>
        <v>13389507</v>
      </c>
      <c r="H327" s="14">
        <f t="shared" si="9"/>
        <v>514.98103846153845</v>
      </c>
      <c r="I327" s="11" t="s">
        <v>768</v>
      </c>
      <c r="J327" s="11" t="s">
        <v>769</v>
      </c>
    </row>
    <row r="328" spans="1:10" ht="18" customHeight="1" x14ac:dyDescent="0.25">
      <c r="A328" s="15">
        <f>SUBTOTAL(3,$B$11:B328)</f>
        <v>318</v>
      </c>
      <c r="B328" s="15">
        <v>10691</v>
      </c>
      <c r="C328" s="12" t="s">
        <v>348</v>
      </c>
      <c r="D328" s="13" t="s">
        <v>9</v>
      </c>
      <c r="E328" s="12">
        <v>4944808</v>
      </c>
      <c r="F328" s="12">
        <v>10506000</v>
      </c>
      <c r="G328" s="14">
        <f t="shared" si="8"/>
        <v>15450808</v>
      </c>
      <c r="H328" s="14">
        <f t="shared" si="9"/>
        <v>594.26184615384614</v>
      </c>
      <c r="I328" s="11" t="s">
        <v>770</v>
      </c>
      <c r="J328" s="11" t="s">
        <v>750</v>
      </c>
    </row>
    <row r="329" spans="1:10" ht="18" customHeight="1" x14ac:dyDescent="0.25">
      <c r="A329" s="15">
        <f>SUBTOTAL(3,$B$11:B329)</f>
        <v>319</v>
      </c>
      <c r="B329" s="15">
        <v>10699</v>
      </c>
      <c r="C329" s="12" t="s">
        <v>349</v>
      </c>
      <c r="D329" s="13" t="s">
        <v>18</v>
      </c>
      <c r="E329" s="12">
        <v>5712836</v>
      </c>
      <c r="F329" s="12">
        <v>8043209</v>
      </c>
      <c r="G329" s="14">
        <f t="shared" si="8"/>
        <v>13756045</v>
      </c>
      <c r="H329" s="14">
        <f t="shared" si="9"/>
        <v>529.07865384615388</v>
      </c>
      <c r="I329" s="11" t="s">
        <v>771</v>
      </c>
      <c r="J329" s="11" t="s">
        <v>772</v>
      </c>
    </row>
    <row r="330" spans="1:10" ht="18" customHeight="1" x14ac:dyDescent="0.25">
      <c r="A330" s="15">
        <f>SUBTOTAL(3,$B$11:B330)</f>
        <v>320</v>
      </c>
      <c r="B330" s="15">
        <v>10702</v>
      </c>
      <c r="C330" s="12" t="s">
        <v>350</v>
      </c>
      <c r="D330" s="13" t="s">
        <v>9</v>
      </c>
      <c r="E330" s="12">
        <v>10246038</v>
      </c>
      <c r="F330" s="12">
        <v>20932404</v>
      </c>
      <c r="G330" s="14">
        <f t="shared" si="8"/>
        <v>31178442</v>
      </c>
      <c r="H330" s="14">
        <f t="shared" si="9"/>
        <v>1199.1708461538462</v>
      </c>
      <c r="I330" s="11" t="s">
        <v>1012</v>
      </c>
      <c r="J330" s="11" t="s">
        <v>696</v>
      </c>
    </row>
    <row r="331" spans="1:10" ht="18" customHeight="1" x14ac:dyDescent="0.25">
      <c r="A331" s="15">
        <f>SUBTOTAL(3,$B$11:B331)</f>
        <v>321</v>
      </c>
      <c r="B331" s="15">
        <v>10704</v>
      </c>
      <c r="C331" s="12" t="s">
        <v>351</v>
      </c>
      <c r="D331" s="13" t="s">
        <v>9</v>
      </c>
      <c r="E331" s="12">
        <v>0</v>
      </c>
      <c r="F331" s="12">
        <v>5324279</v>
      </c>
      <c r="G331" s="14">
        <f t="shared" si="8"/>
        <v>5324279</v>
      </c>
      <c r="H331" s="14">
        <f t="shared" si="9"/>
        <v>204.77996153846155</v>
      </c>
      <c r="I331" s="11" t="s">
        <v>773</v>
      </c>
      <c r="J331" s="11" t="s">
        <v>749</v>
      </c>
    </row>
    <row r="332" spans="1:10" ht="18" customHeight="1" x14ac:dyDescent="0.25">
      <c r="A332" s="15">
        <f>SUBTOTAL(3,$B$11:B332)</f>
        <v>322</v>
      </c>
      <c r="B332" s="15">
        <v>10716</v>
      </c>
      <c r="C332" s="12" t="s">
        <v>352</v>
      </c>
      <c r="D332" s="13" t="s">
        <v>9</v>
      </c>
      <c r="E332" s="12">
        <v>5539645</v>
      </c>
      <c r="F332" s="12">
        <v>9549425</v>
      </c>
      <c r="G332" s="14">
        <f t="shared" ref="G332:G395" si="10">E332+F332</f>
        <v>15089070</v>
      </c>
      <c r="H332" s="14">
        <f t="shared" ref="H332:H395" si="11">G332/$J$1</f>
        <v>580.34884615384613</v>
      </c>
      <c r="I332" s="11" t="s">
        <v>774</v>
      </c>
      <c r="J332" s="11" t="s">
        <v>696</v>
      </c>
    </row>
    <row r="333" spans="1:10" ht="18" customHeight="1" x14ac:dyDescent="0.25">
      <c r="A333" s="15">
        <f>SUBTOTAL(3,$B$11:B333)</f>
        <v>323</v>
      </c>
      <c r="B333" s="15">
        <v>10761</v>
      </c>
      <c r="C333" s="12" t="s">
        <v>353</v>
      </c>
      <c r="D333" s="13" t="s">
        <v>13</v>
      </c>
      <c r="E333" s="12">
        <v>4986274</v>
      </c>
      <c r="F333" s="12">
        <v>8286995</v>
      </c>
      <c r="G333" s="14">
        <f t="shared" si="10"/>
        <v>13273269</v>
      </c>
      <c r="H333" s="14">
        <f t="shared" si="11"/>
        <v>510.51034615384617</v>
      </c>
      <c r="I333" s="11" t="s">
        <v>777</v>
      </c>
      <c r="J333" s="11" t="s">
        <v>664</v>
      </c>
    </row>
    <row r="334" spans="1:10" ht="18" customHeight="1" x14ac:dyDescent="0.25">
      <c r="A334" s="15">
        <f>SUBTOTAL(3,$B$11:B334)</f>
        <v>324</v>
      </c>
      <c r="B334" s="15">
        <v>10765</v>
      </c>
      <c r="C334" s="12" t="s">
        <v>1170</v>
      </c>
      <c r="D334" s="13" t="s">
        <v>18</v>
      </c>
      <c r="E334" s="12">
        <v>5166562</v>
      </c>
      <c r="F334" s="12">
        <v>7425673</v>
      </c>
      <c r="G334" s="14">
        <f t="shared" si="10"/>
        <v>12592235</v>
      </c>
      <c r="H334" s="14">
        <f t="shared" si="11"/>
        <v>484.31673076923079</v>
      </c>
      <c r="I334" s="11" t="s">
        <v>1316</v>
      </c>
      <c r="J334" s="11" t="s">
        <v>778</v>
      </c>
    </row>
    <row r="335" spans="1:10" ht="18" customHeight="1" x14ac:dyDescent="0.25">
      <c r="A335" s="15">
        <f>SUBTOTAL(3,$B$11:B335)</f>
        <v>325</v>
      </c>
      <c r="B335" s="15">
        <v>10773</v>
      </c>
      <c r="C335" s="12" t="s">
        <v>354</v>
      </c>
      <c r="D335" s="13" t="s">
        <v>20</v>
      </c>
      <c r="E335" s="12">
        <v>5346851</v>
      </c>
      <c r="F335" s="12">
        <v>8084170</v>
      </c>
      <c r="G335" s="14">
        <f t="shared" si="10"/>
        <v>13431021</v>
      </c>
      <c r="H335" s="14">
        <f t="shared" si="11"/>
        <v>516.57773076923081</v>
      </c>
      <c r="I335" s="11" t="s">
        <v>779</v>
      </c>
      <c r="J335" s="11" t="s">
        <v>696</v>
      </c>
    </row>
    <row r="336" spans="1:10" ht="18" customHeight="1" x14ac:dyDescent="0.25">
      <c r="A336" s="15">
        <f>SUBTOTAL(3,$B$11:B336)</f>
        <v>326</v>
      </c>
      <c r="B336" s="15">
        <v>10775</v>
      </c>
      <c r="C336" s="12" t="s">
        <v>355</v>
      </c>
      <c r="D336" s="13" t="s">
        <v>13</v>
      </c>
      <c r="E336" s="12">
        <v>4682560</v>
      </c>
      <c r="F336" s="12">
        <v>8557428</v>
      </c>
      <c r="G336" s="14">
        <f t="shared" si="10"/>
        <v>13239988</v>
      </c>
      <c r="H336" s="14">
        <f t="shared" si="11"/>
        <v>509.23030769230769</v>
      </c>
      <c r="I336" s="11" t="s">
        <v>780</v>
      </c>
      <c r="J336" s="11" t="s">
        <v>781</v>
      </c>
    </row>
    <row r="337" spans="1:10" ht="18" customHeight="1" x14ac:dyDescent="0.25">
      <c r="A337" s="15">
        <f>SUBTOTAL(3,$B$11:B337)</f>
        <v>327</v>
      </c>
      <c r="B337" s="15">
        <v>10782</v>
      </c>
      <c r="C337" s="12" t="s">
        <v>356</v>
      </c>
      <c r="D337" s="13" t="s">
        <v>13</v>
      </c>
      <c r="E337" s="12">
        <v>3823966</v>
      </c>
      <c r="F337" s="12">
        <v>8211875</v>
      </c>
      <c r="G337" s="14">
        <f t="shared" si="10"/>
        <v>12035841</v>
      </c>
      <c r="H337" s="14">
        <f t="shared" si="11"/>
        <v>462.91696153846152</v>
      </c>
      <c r="I337" s="11" t="s">
        <v>782</v>
      </c>
      <c r="J337" s="11" t="s">
        <v>783</v>
      </c>
    </row>
    <row r="338" spans="1:10" ht="18" customHeight="1" x14ac:dyDescent="0.25">
      <c r="A338" s="15">
        <f>SUBTOTAL(3,$B$11:B338)</f>
        <v>328</v>
      </c>
      <c r="B338" s="15">
        <v>10791</v>
      </c>
      <c r="C338" s="12" t="s">
        <v>357</v>
      </c>
      <c r="D338" s="13" t="s">
        <v>13</v>
      </c>
      <c r="E338" s="12">
        <v>5120540</v>
      </c>
      <c r="F338" s="12">
        <v>9012656</v>
      </c>
      <c r="G338" s="14">
        <f t="shared" si="10"/>
        <v>14133196</v>
      </c>
      <c r="H338" s="14">
        <f t="shared" si="11"/>
        <v>543.58446153846148</v>
      </c>
      <c r="I338" s="11" t="s">
        <v>784</v>
      </c>
      <c r="J338" s="11" t="s">
        <v>749</v>
      </c>
    </row>
    <row r="339" spans="1:10" ht="18" customHeight="1" x14ac:dyDescent="0.25">
      <c r="A339" s="15">
        <f>SUBTOTAL(3,$B$11:B339)</f>
        <v>329</v>
      </c>
      <c r="B339" s="15">
        <v>10810</v>
      </c>
      <c r="C339" s="12" t="s">
        <v>359</v>
      </c>
      <c r="D339" s="13" t="s">
        <v>13</v>
      </c>
      <c r="E339" s="12">
        <v>5120540</v>
      </c>
      <c r="F339" s="12">
        <v>9058606</v>
      </c>
      <c r="G339" s="14">
        <f t="shared" si="10"/>
        <v>14179146</v>
      </c>
      <c r="H339" s="14">
        <f t="shared" si="11"/>
        <v>545.35176923076926</v>
      </c>
      <c r="I339" s="11" t="s">
        <v>786</v>
      </c>
      <c r="J339" s="11" t="s">
        <v>749</v>
      </c>
    </row>
    <row r="340" spans="1:10" ht="18" customHeight="1" x14ac:dyDescent="0.25">
      <c r="A340" s="15">
        <f>SUBTOTAL(3,$B$11:B340)</f>
        <v>330</v>
      </c>
      <c r="B340" s="15">
        <v>10823</v>
      </c>
      <c r="C340" s="12" t="s">
        <v>360</v>
      </c>
      <c r="D340" s="13" t="s">
        <v>9</v>
      </c>
      <c r="E340" s="12">
        <v>5828365</v>
      </c>
      <c r="F340" s="12">
        <v>9991994</v>
      </c>
      <c r="G340" s="14">
        <f t="shared" si="10"/>
        <v>15820359</v>
      </c>
      <c r="H340" s="14">
        <f t="shared" si="11"/>
        <v>608.4753461538462</v>
      </c>
      <c r="I340" s="11" t="s">
        <v>787</v>
      </c>
      <c r="J340" s="11" t="s">
        <v>696</v>
      </c>
    </row>
    <row r="341" spans="1:10" ht="18" customHeight="1" x14ac:dyDescent="0.25">
      <c r="A341" s="15">
        <f>SUBTOTAL(3,$B$11:B341)</f>
        <v>331</v>
      </c>
      <c r="B341" s="15">
        <v>10859</v>
      </c>
      <c r="C341" s="12" t="s">
        <v>361</v>
      </c>
      <c r="D341" s="13" t="s">
        <v>14</v>
      </c>
      <c r="E341" s="12">
        <v>4986274</v>
      </c>
      <c r="F341" s="12">
        <v>8106706</v>
      </c>
      <c r="G341" s="14">
        <f t="shared" si="10"/>
        <v>13092980</v>
      </c>
      <c r="H341" s="14">
        <f t="shared" si="11"/>
        <v>503.57615384615383</v>
      </c>
      <c r="I341" s="11" t="s">
        <v>788</v>
      </c>
      <c r="J341" s="11" t="s">
        <v>430</v>
      </c>
    </row>
    <row r="342" spans="1:10" ht="18" customHeight="1" x14ac:dyDescent="0.25">
      <c r="A342" s="15">
        <f>SUBTOTAL(3,$B$11:B342)</f>
        <v>332</v>
      </c>
      <c r="B342" s="15">
        <v>10867</v>
      </c>
      <c r="C342" s="12" t="s">
        <v>362</v>
      </c>
      <c r="D342" s="13" t="s">
        <v>19</v>
      </c>
      <c r="E342" s="12">
        <v>2353846</v>
      </c>
      <c r="F342" s="12">
        <v>3734404</v>
      </c>
      <c r="G342" s="14">
        <f t="shared" si="10"/>
        <v>6088250</v>
      </c>
      <c r="H342" s="14">
        <f t="shared" si="11"/>
        <v>234.16346153846155</v>
      </c>
      <c r="I342" s="11" t="s">
        <v>789</v>
      </c>
      <c r="J342" s="11" t="s">
        <v>781</v>
      </c>
    </row>
    <row r="343" spans="1:10" ht="18" customHeight="1" x14ac:dyDescent="0.25">
      <c r="A343" s="15">
        <f>SUBTOTAL(3,$B$11:B343)</f>
        <v>333</v>
      </c>
      <c r="B343" s="15">
        <v>10876</v>
      </c>
      <c r="C343" s="12" t="s">
        <v>363</v>
      </c>
      <c r="D343" s="13" t="s">
        <v>9</v>
      </c>
      <c r="E343" s="12">
        <v>8167308</v>
      </c>
      <c r="F343" s="12">
        <v>15889231</v>
      </c>
      <c r="G343" s="14">
        <f t="shared" si="10"/>
        <v>24056539</v>
      </c>
      <c r="H343" s="14">
        <f t="shared" si="11"/>
        <v>925.25149999999996</v>
      </c>
      <c r="I343" s="11" t="s">
        <v>790</v>
      </c>
      <c r="J343" s="11" t="s">
        <v>778</v>
      </c>
    </row>
    <row r="344" spans="1:10" ht="18" customHeight="1" x14ac:dyDescent="0.25">
      <c r="A344" s="15">
        <f>SUBTOTAL(3,$B$11:B344)</f>
        <v>334</v>
      </c>
      <c r="B344" s="15">
        <v>10900</v>
      </c>
      <c r="C344" s="12" t="s">
        <v>364</v>
      </c>
      <c r="D344" s="13" t="s">
        <v>13</v>
      </c>
      <c r="E344" s="12">
        <v>4850108</v>
      </c>
      <c r="F344" s="12">
        <v>9035192</v>
      </c>
      <c r="G344" s="14">
        <f t="shared" si="10"/>
        <v>13885300</v>
      </c>
      <c r="H344" s="14">
        <f t="shared" si="11"/>
        <v>534.04999999999995</v>
      </c>
      <c r="I344" s="11" t="s">
        <v>791</v>
      </c>
      <c r="J344" s="11" t="s">
        <v>749</v>
      </c>
    </row>
    <row r="345" spans="1:10" ht="18" customHeight="1" x14ac:dyDescent="0.25">
      <c r="A345" s="15">
        <f>SUBTOTAL(3,$B$11:B345)</f>
        <v>335</v>
      </c>
      <c r="B345" s="15">
        <v>10908</v>
      </c>
      <c r="C345" s="12" t="s">
        <v>117</v>
      </c>
      <c r="D345" s="13" t="s">
        <v>11</v>
      </c>
      <c r="E345" s="12">
        <v>5431731</v>
      </c>
      <c r="F345" s="12">
        <v>10817307</v>
      </c>
      <c r="G345" s="14">
        <f t="shared" si="10"/>
        <v>16249038</v>
      </c>
      <c r="H345" s="14">
        <f t="shared" si="11"/>
        <v>624.96299999999997</v>
      </c>
      <c r="I345" s="11" t="s">
        <v>792</v>
      </c>
      <c r="J345" s="11" t="s">
        <v>696</v>
      </c>
    </row>
    <row r="346" spans="1:10" ht="18" customHeight="1" x14ac:dyDescent="0.25">
      <c r="A346" s="15">
        <f>SUBTOTAL(3,$B$11:B346)</f>
        <v>336</v>
      </c>
      <c r="B346" s="15">
        <v>10927</v>
      </c>
      <c r="C346" s="12" t="s">
        <v>366</v>
      </c>
      <c r="D346" s="13" t="s">
        <v>13</v>
      </c>
      <c r="E346" s="12">
        <v>4835865</v>
      </c>
      <c r="F346" s="12">
        <v>7926418</v>
      </c>
      <c r="G346" s="14">
        <f t="shared" si="10"/>
        <v>12762283</v>
      </c>
      <c r="H346" s="14">
        <f t="shared" si="11"/>
        <v>490.85703846153848</v>
      </c>
      <c r="I346" s="11" t="s">
        <v>794</v>
      </c>
      <c r="J346" s="11" t="s">
        <v>778</v>
      </c>
    </row>
    <row r="347" spans="1:10" ht="18" customHeight="1" x14ac:dyDescent="0.25">
      <c r="A347" s="15">
        <f>SUBTOTAL(3,$B$11:B347)</f>
        <v>337</v>
      </c>
      <c r="B347" s="15">
        <v>10935</v>
      </c>
      <c r="C347" s="12" t="s">
        <v>367</v>
      </c>
      <c r="D347" s="13" t="s">
        <v>13</v>
      </c>
      <c r="E347" s="12">
        <v>5346851</v>
      </c>
      <c r="F347" s="12">
        <v>7791202</v>
      </c>
      <c r="G347" s="14">
        <f t="shared" si="10"/>
        <v>13138053</v>
      </c>
      <c r="H347" s="14">
        <f t="shared" si="11"/>
        <v>505.30973076923078</v>
      </c>
      <c r="I347" s="11" t="s">
        <v>795</v>
      </c>
      <c r="J347" s="11" t="s">
        <v>696</v>
      </c>
    </row>
    <row r="348" spans="1:10" ht="18" customHeight="1" x14ac:dyDescent="0.25">
      <c r="A348" s="15">
        <f>SUBTOTAL(3,$B$11:B348)</f>
        <v>338</v>
      </c>
      <c r="B348" s="15">
        <v>10936</v>
      </c>
      <c r="C348" s="12" t="s">
        <v>368</v>
      </c>
      <c r="D348" s="13" t="s">
        <v>13</v>
      </c>
      <c r="E348" s="12">
        <v>4985324</v>
      </c>
      <c r="F348" s="12">
        <v>8862416</v>
      </c>
      <c r="G348" s="14">
        <f t="shared" si="10"/>
        <v>13847740</v>
      </c>
      <c r="H348" s="14">
        <f t="shared" si="11"/>
        <v>532.60538461538465</v>
      </c>
      <c r="I348" s="11" t="s">
        <v>796</v>
      </c>
      <c r="J348" s="11" t="s">
        <v>696</v>
      </c>
    </row>
    <row r="349" spans="1:10" ht="18" customHeight="1" x14ac:dyDescent="0.25">
      <c r="A349" s="15">
        <f>SUBTOTAL(3,$B$11:B349)</f>
        <v>339</v>
      </c>
      <c r="B349" s="15">
        <v>10969</v>
      </c>
      <c r="C349" s="12" t="s">
        <v>369</v>
      </c>
      <c r="D349" s="13" t="s">
        <v>31</v>
      </c>
      <c r="E349" s="12">
        <v>8559727</v>
      </c>
      <c r="F349" s="12">
        <v>11747616</v>
      </c>
      <c r="G349" s="14">
        <f t="shared" si="10"/>
        <v>20307343</v>
      </c>
      <c r="H349" s="14">
        <f t="shared" si="11"/>
        <v>781.05165384615384</v>
      </c>
      <c r="I349" s="11" t="s">
        <v>797</v>
      </c>
      <c r="J349" s="11" t="s">
        <v>696</v>
      </c>
    </row>
    <row r="350" spans="1:10" ht="18" customHeight="1" x14ac:dyDescent="0.25">
      <c r="A350" s="15">
        <f>SUBTOTAL(3,$B$11:B350)</f>
        <v>340</v>
      </c>
      <c r="B350" s="15">
        <v>10971</v>
      </c>
      <c r="C350" s="12" t="s">
        <v>370</v>
      </c>
      <c r="D350" s="13" t="s">
        <v>11</v>
      </c>
      <c r="E350" s="12">
        <v>6864193</v>
      </c>
      <c r="F350" s="12">
        <v>14179132</v>
      </c>
      <c r="G350" s="14">
        <f t="shared" si="10"/>
        <v>21043325</v>
      </c>
      <c r="H350" s="14">
        <f t="shared" si="11"/>
        <v>809.35865384615386</v>
      </c>
      <c r="I350" s="11" t="s">
        <v>798</v>
      </c>
      <c r="J350" s="11" t="s">
        <v>696</v>
      </c>
    </row>
    <row r="351" spans="1:10" ht="18" customHeight="1" x14ac:dyDescent="0.25">
      <c r="A351" s="15">
        <f>SUBTOTAL(3,$B$11:B351)</f>
        <v>341</v>
      </c>
      <c r="B351" s="15">
        <v>10984</v>
      </c>
      <c r="C351" s="12" t="s">
        <v>371</v>
      </c>
      <c r="D351" s="13" t="s">
        <v>14</v>
      </c>
      <c r="E351" s="12">
        <v>3864592</v>
      </c>
      <c r="F351" s="12">
        <v>7806226</v>
      </c>
      <c r="G351" s="14">
        <f t="shared" si="10"/>
        <v>11670818</v>
      </c>
      <c r="H351" s="14">
        <f t="shared" si="11"/>
        <v>448.87761538461541</v>
      </c>
      <c r="I351" s="11" t="s">
        <v>799</v>
      </c>
      <c r="J351" s="11" t="s">
        <v>430</v>
      </c>
    </row>
    <row r="352" spans="1:10" ht="18" customHeight="1" x14ac:dyDescent="0.25">
      <c r="A352" s="15">
        <f>SUBTOTAL(3,$B$11:B352)</f>
        <v>342</v>
      </c>
      <c r="B352" s="15">
        <v>10989</v>
      </c>
      <c r="C352" s="12" t="s">
        <v>372</v>
      </c>
      <c r="D352" s="13" t="s">
        <v>14</v>
      </c>
      <c r="E352" s="12">
        <v>2801320</v>
      </c>
      <c r="F352" s="12">
        <v>9959857</v>
      </c>
      <c r="G352" s="14">
        <f t="shared" si="10"/>
        <v>12761177</v>
      </c>
      <c r="H352" s="14">
        <f t="shared" si="11"/>
        <v>490.81450000000001</v>
      </c>
      <c r="I352" s="11" t="s">
        <v>800</v>
      </c>
      <c r="J352" s="11" t="s">
        <v>763</v>
      </c>
    </row>
    <row r="353" spans="1:10" ht="18" customHeight="1" x14ac:dyDescent="0.25">
      <c r="A353" s="15">
        <f>SUBTOTAL(3,$B$11:B353)</f>
        <v>343</v>
      </c>
      <c r="B353" s="15">
        <v>11005</v>
      </c>
      <c r="C353" s="12" t="s">
        <v>373</v>
      </c>
      <c r="D353" s="13" t="s">
        <v>14</v>
      </c>
      <c r="E353" s="12">
        <v>3869038</v>
      </c>
      <c r="F353" s="12">
        <v>8618750</v>
      </c>
      <c r="G353" s="14">
        <f t="shared" si="10"/>
        <v>12487788</v>
      </c>
      <c r="H353" s="14">
        <f t="shared" si="11"/>
        <v>480.29953846153848</v>
      </c>
      <c r="I353" s="11" t="s">
        <v>801</v>
      </c>
      <c r="J353" s="11" t="s">
        <v>430</v>
      </c>
    </row>
    <row r="354" spans="1:10" ht="18" customHeight="1" x14ac:dyDescent="0.25">
      <c r="A354" s="15">
        <f>SUBTOTAL(3,$B$11:B354)</f>
        <v>344</v>
      </c>
      <c r="B354" s="15">
        <v>11010</v>
      </c>
      <c r="C354" s="12" t="s">
        <v>374</v>
      </c>
      <c r="D354" s="13" t="s">
        <v>14</v>
      </c>
      <c r="E354" s="12">
        <v>3869038</v>
      </c>
      <c r="F354" s="12">
        <v>8863918</v>
      </c>
      <c r="G354" s="14">
        <f t="shared" si="10"/>
        <v>12732956</v>
      </c>
      <c r="H354" s="14">
        <f t="shared" si="11"/>
        <v>489.72907692307695</v>
      </c>
      <c r="I354" s="11" t="s">
        <v>802</v>
      </c>
      <c r="J354" s="11" t="s">
        <v>430</v>
      </c>
    </row>
    <row r="355" spans="1:10" ht="18" customHeight="1" x14ac:dyDescent="0.25">
      <c r="A355" s="15">
        <f>SUBTOTAL(3,$B$11:B355)</f>
        <v>345</v>
      </c>
      <c r="B355" s="15">
        <v>11023</v>
      </c>
      <c r="C355" s="12" t="s">
        <v>375</v>
      </c>
      <c r="D355" s="13" t="s">
        <v>21</v>
      </c>
      <c r="E355" s="12">
        <v>4759964</v>
      </c>
      <c r="F355" s="12">
        <v>8953438</v>
      </c>
      <c r="G355" s="14">
        <f t="shared" si="10"/>
        <v>13713402</v>
      </c>
      <c r="H355" s="14">
        <f t="shared" si="11"/>
        <v>527.43853846153843</v>
      </c>
      <c r="I355" s="11" t="s">
        <v>803</v>
      </c>
      <c r="J355" s="11" t="s">
        <v>781</v>
      </c>
    </row>
    <row r="356" spans="1:10" ht="18" customHeight="1" x14ac:dyDescent="0.25">
      <c r="A356" s="15">
        <f>SUBTOTAL(3,$B$11:B356)</f>
        <v>346</v>
      </c>
      <c r="B356" s="15">
        <v>11032</v>
      </c>
      <c r="C356" s="12" t="s">
        <v>376</v>
      </c>
      <c r="D356" s="13" t="s">
        <v>21</v>
      </c>
      <c r="E356" s="12">
        <v>4759964</v>
      </c>
      <c r="F356" s="12">
        <v>7224519</v>
      </c>
      <c r="G356" s="14">
        <f t="shared" si="10"/>
        <v>11984483</v>
      </c>
      <c r="H356" s="14">
        <f t="shared" si="11"/>
        <v>460.94165384615383</v>
      </c>
      <c r="I356" s="11" t="s">
        <v>804</v>
      </c>
      <c r="J356" s="11" t="s">
        <v>781</v>
      </c>
    </row>
    <row r="357" spans="1:10" ht="18" customHeight="1" x14ac:dyDescent="0.25">
      <c r="A357" s="15">
        <f>SUBTOTAL(3,$B$11:B357)</f>
        <v>347</v>
      </c>
      <c r="B357" s="15">
        <v>11036</v>
      </c>
      <c r="C357" s="12" t="s">
        <v>377</v>
      </c>
      <c r="D357" s="13" t="s">
        <v>14</v>
      </c>
      <c r="E357" s="12">
        <v>4836033</v>
      </c>
      <c r="F357" s="12">
        <v>8078774</v>
      </c>
      <c r="G357" s="14">
        <f t="shared" si="10"/>
        <v>12914807</v>
      </c>
      <c r="H357" s="14">
        <f t="shared" si="11"/>
        <v>496.72334615384614</v>
      </c>
      <c r="I357" s="11" t="s">
        <v>805</v>
      </c>
      <c r="J357" s="11" t="s">
        <v>750</v>
      </c>
    </row>
    <row r="358" spans="1:10" ht="18" customHeight="1" x14ac:dyDescent="0.25">
      <c r="A358" s="15">
        <f>SUBTOTAL(3,$B$11:B358)</f>
        <v>348</v>
      </c>
      <c r="B358" s="15">
        <v>11044</v>
      </c>
      <c r="C358" s="12" t="s">
        <v>378</v>
      </c>
      <c r="D358" s="13" t="s">
        <v>18</v>
      </c>
      <c r="E358" s="12">
        <v>4759964</v>
      </c>
      <c r="F358" s="12">
        <v>8877440</v>
      </c>
      <c r="G358" s="14">
        <f t="shared" si="10"/>
        <v>13637404</v>
      </c>
      <c r="H358" s="14">
        <f t="shared" si="11"/>
        <v>524.51553846153843</v>
      </c>
      <c r="I358" s="11" t="s">
        <v>806</v>
      </c>
      <c r="J358" s="11" t="s">
        <v>775</v>
      </c>
    </row>
    <row r="359" spans="1:10" ht="18" customHeight="1" x14ac:dyDescent="0.25">
      <c r="A359" s="15">
        <f>SUBTOTAL(3,$B$11:B359)</f>
        <v>349</v>
      </c>
      <c r="B359" s="15">
        <v>11047</v>
      </c>
      <c r="C359" s="12" t="s">
        <v>379</v>
      </c>
      <c r="D359" s="13" t="s">
        <v>18</v>
      </c>
      <c r="E359" s="12">
        <v>4851057</v>
      </c>
      <c r="F359" s="12">
        <v>7881346</v>
      </c>
      <c r="G359" s="14">
        <f t="shared" si="10"/>
        <v>12732403</v>
      </c>
      <c r="H359" s="14">
        <f t="shared" si="11"/>
        <v>489.70780769230771</v>
      </c>
      <c r="I359" s="11" t="s">
        <v>807</v>
      </c>
      <c r="J359" s="11" t="s">
        <v>696</v>
      </c>
    </row>
    <row r="360" spans="1:10" ht="18" customHeight="1" x14ac:dyDescent="0.25">
      <c r="A360" s="15">
        <f>SUBTOTAL(3,$B$11:B360)</f>
        <v>350</v>
      </c>
      <c r="B360" s="15">
        <v>11056</v>
      </c>
      <c r="C360" s="12" t="s">
        <v>380</v>
      </c>
      <c r="D360" s="13" t="s">
        <v>12</v>
      </c>
      <c r="E360" s="12">
        <v>5063437</v>
      </c>
      <c r="F360" s="12">
        <v>8415101</v>
      </c>
      <c r="G360" s="14">
        <f t="shared" si="10"/>
        <v>13478538</v>
      </c>
      <c r="H360" s="14">
        <f t="shared" si="11"/>
        <v>518.4053076923077</v>
      </c>
      <c r="I360" s="11" t="s">
        <v>808</v>
      </c>
      <c r="J360" s="11" t="s">
        <v>809</v>
      </c>
    </row>
    <row r="361" spans="1:10" ht="18" customHeight="1" x14ac:dyDescent="0.25">
      <c r="A361" s="15">
        <f>SUBTOTAL(3,$B$11:B361)</f>
        <v>351</v>
      </c>
      <c r="B361" s="15">
        <v>11059</v>
      </c>
      <c r="C361" s="12" t="s">
        <v>381</v>
      </c>
      <c r="D361" s="13" t="s">
        <v>9</v>
      </c>
      <c r="E361" s="12">
        <v>5723077</v>
      </c>
      <c r="F361" s="12">
        <v>12276539</v>
      </c>
      <c r="G361" s="14">
        <f t="shared" si="10"/>
        <v>17999616</v>
      </c>
      <c r="H361" s="14">
        <f t="shared" si="11"/>
        <v>692.2929230769231</v>
      </c>
      <c r="I361" s="11" t="s">
        <v>810</v>
      </c>
      <c r="J361" s="11" t="s">
        <v>772</v>
      </c>
    </row>
    <row r="362" spans="1:10" ht="18" customHeight="1" x14ac:dyDescent="0.25">
      <c r="A362" s="15">
        <f>SUBTOTAL(3,$B$11:B362)</f>
        <v>352</v>
      </c>
      <c r="B362" s="15">
        <v>11060</v>
      </c>
      <c r="C362" s="12" t="s">
        <v>382</v>
      </c>
      <c r="D362" s="13" t="s">
        <v>11</v>
      </c>
      <c r="E362" s="12">
        <v>8288462</v>
      </c>
      <c r="F362" s="12">
        <v>14283389</v>
      </c>
      <c r="G362" s="14">
        <f t="shared" si="10"/>
        <v>22571851</v>
      </c>
      <c r="H362" s="14">
        <f t="shared" si="11"/>
        <v>868.14811538461538</v>
      </c>
      <c r="I362" s="11" t="s">
        <v>811</v>
      </c>
      <c r="J362" s="11" t="s">
        <v>472</v>
      </c>
    </row>
    <row r="363" spans="1:10" ht="18" customHeight="1" x14ac:dyDescent="0.25">
      <c r="A363" s="15">
        <f>SUBTOTAL(3,$B$11:B363)</f>
        <v>353</v>
      </c>
      <c r="B363" s="15">
        <v>11086</v>
      </c>
      <c r="C363" s="12" t="s">
        <v>383</v>
      </c>
      <c r="D363" s="13" t="s">
        <v>13</v>
      </c>
      <c r="E363" s="12">
        <v>5098004</v>
      </c>
      <c r="F363" s="12">
        <v>9035192</v>
      </c>
      <c r="G363" s="14">
        <f t="shared" si="10"/>
        <v>14133196</v>
      </c>
      <c r="H363" s="14">
        <f t="shared" si="11"/>
        <v>543.58446153846148</v>
      </c>
      <c r="I363" s="11" t="s">
        <v>812</v>
      </c>
      <c r="J363" s="11" t="s">
        <v>749</v>
      </c>
    </row>
    <row r="364" spans="1:10" ht="18" customHeight="1" x14ac:dyDescent="0.25">
      <c r="A364" s="15">
        <f>SUBTOTAL(3,$B$11:B364)</f>
        <v>354</v>
      </c>
      <c r="B364" s="15">
        <v>11089</v>
      </c>
      <c r="C364" s="12" t="s">
        <v>384</v>
      </c>
      <c r="D364" s="13" t="s">
        <v>14</v>
      </c>
      <c r="E364" s="12">
        <v>4986274</v>
      </c>
      <c r="F364" s="12">
        <v>8340457</v>
      </c>
      <c r="G364" s="14">
        <f t="shared" si="10"/>
        <v>13326731</v>
      </c>
      <c r="H364" s="14">
        <f t="shared" si="11"/>
        <v>512.56657692307692</v>
      </c>
      <c r="I364" s="11" t="s">
        <v>813</v>
      </c>
      <c r="J364" s="11" t="s">
        <v>772</v>
      </c>
    </row>
    <row r="365" spans="1:10" ht="18" customHeight="1" x14ac:dyDescent="0.25">
      <c r="A365" s="15">
        <f>SUBTOTAL(3,$B$11:B365)</f>
        <v>355</v>
      </c>
      <c r="B365" s="15">
        <v>11093</v>
      </c>
      <c r="C365" s="12" t="s">
        <v>385</v>
      </c>
      <c r="D365" s="13" t="s">
        <v>14</v>
      </c>
      <c r="E365" s="12">
        <v>4647283</v>
      </c>
      <c r="F365" s="12">
        <v>9035192</v>
      </c>
      <c r="G365" s="14">
        <f t="shared" si="10"/>
        <v>13682475</v>
      </c>
      <c r="H365" s="14">
        <f t="shared" si="11"/>
        <v>526.24903846153848</v>
      </c>
      <c r="I365" s="11" t="s">
        <v>814</v>
      </c>
      <c r="J365" s="11" t="s">
        <v>757</v>
      </c>
    </row>
    <row r="366" spans="1:10" ht="18" customHeight="1" x14ac:dyDescent="0.25">
      <c r="A366" s="15">
        <f>SUBTOTAL(3,$B$11:B366)</f>
        <v>356</v>
      </c>
      <c r="B366" s="15">
        <v>11095</v>
      </c>
      <c r="C366" s="12" t="s">
        <v>386</v>
      </c>
      <c r="D366" s="13" t="s">
        <v>14</v>
      </c>
      <c r="E366" s="12">
        <v>4647283</v>
      </c>
      <c r="F366" s="12">
        <v>9035192</v>
      </c>
      <c r="G366" s="14">
        <f t="shared" si="10"/>
        <v>13682475</v>
      </c>
      <c r="H366" s="14">
        <f t="shared" si="11"/>
        <v>526.24903846153848</v>
      </c>
      <c r="I366" s="11" t="s">
        <v>815</v>
      </c>
      <c r="J366" s="11" t="s">
        <v>696</v>
      </c>
    </row>
    <row r="367" spans="1:10" ht="18" customHeight="1" x14ac:dyDescent="0.25">
      <c r="A367" s="15">
        <f>SUBTOTAL(3,$B$11:B367)</f>
        <v>357</v>
      </c>
      <c r="B367" s="15">
        <v>11125</v>
      </c>
      <c r="C367" s="12" t="s">
        <v>387</v>
      </c>
      <c r="D367" s="13" t="s">
        <v>14</v>
      </c>
      <c r="E367" s="12">
        <v>4647283</v>
      </c>
      <c r="F367" s="12">
        <v>9035192</v>
      </c>
      <c r="G367" s="14">
        <f t="shared" si="10"/>
        <v>13682475</v>
      </c>
      <c r="H367" s="14">
        <f t="shared" si="11"/>
        <v>526.24903846153848</v>
      </c>
      <c r="I367" s="11" t="s">
        <v>816</v>
      </c>
      <c r="J367" s="11" t="s">
        <v>750</v>
      </c>
    </row>
    <row r="368" spans="1:10" ht="18" customHeight="1" x14ac:dyDescent="0.25">
      <c r="A368" s="15">
        <f>SUBTOTAL(3,$B$11:B368)</f>
        <v>358</v>
      </c>
      <c r="B368" s="15">
        <v>11144</v>
      </c>
      <c r="C368" s="12" t="s">
        <v>388</v>
      </c>
      <c r="D368" s="13" t="s">
        <v>14</v>
      </c>
      <c r="E368" s="12">
        <v>4328221</v>
      </c>
      <c r="F368" s="12">
        <v>8174255</v>
      </c>
      <c r="G368" s="14">
        <f t="shared" si="10"/>
        <v>12502476</v>
      </c>
      <c r="H368" s="14">
        <f t="shared" si="11"/>
        <v>480.86446153846151</v>
      </c>
      <c r="I368" s="11" t="s">
        <v>817</v>
      </c>
      <c r="J368" s="11" t="s">
        <v>749</v>
      </c>
    </row>
    <row r="369" spans="1:10" ht="18" customHeight="1" x14ac:dyDescent="0.25">
      <c r="A369" s="15">
        <f>SUBTOTAL(3,$B$11:B369)</f>
        <v>359</v>
      </c>
      <c r="B369" s="15">
        <v>11150</v>
      </c>
      <c r="C369" s="12" t="s">
        <v>389</v>
      </c>
      <c r="D369" s="13" t="s">
        <v>18</v>
      </c>
      <c r="E369" s="12">
        <v>5324315</v>
      </c>
      <c r="F369" s="12">
        <v>8264459</v>
      </c>
      <c r="G369" s="14">
        <f t="shared" si="10"/>
        <v>13588774</v>
      </c>
      <c r="H369" s="14">
        <f t="shared" si="11"/>
        <v>522.64515384615379</v>
      </c>
      <c r="I369" s="11" t="s">
        <v>818</v>
      </c>
      <c r="J369" s="11" t="s">
        <v>696</v>
      </c>
    </row>
    <row r="370" spans="1:10" ht="18" customHeight="1" x14ac:dyDescent="0.25">
      <c r="A370" s="15">
        <f>SUBTOTAL(3,$B$11:B370)</f>
        <v>360</v>
      </c>
      <c r="B370" s="15">
        <v>11156</v>
      </c>
      <c r="C370" s="12" t="s">
        <v>390</v>
      </c>
      <c r="D370" s="13" t="s">
        <v>8</v>
      </c>
      <c r="E370" s="12">
        <v>7601757</v>
      </c>
      <c r="F370" s="12">
        <v>14814782</v>
      </c>
      <c r="G370" s="14">
        <f t="shared" si="10"/>
        <v>22416539</v>
      </c>
      <c r="H370" s="14">
        <f t="shared" si="11"/>
        <v>862.17457692307687</v>
      </c>
      <c r="I370" s="11" t="s">
        <v>819</v>
      </c>
      <c r="J370" s="11" t="s">
        <v>696</v>
      </c>
    </row>
    <row r="371" spans="1:10" ht="18" customHeight="1" x14ac:dyDescent="0.25">
      <c r="A371" s="15">
        <f>SUBTOTAL(3,$B$11:B371)</f>
        <v>361</v>
      </c>
      <c r="B371" s="15">
        <v>11157</v>
      </c>
      <c r="C371" s="12" t="s">
        <v>391</v>
      </c>
      <c r="D371" s="13" t="s">
        <v>17</v>
      </c>
      <c r="E371" s="12">
        <v>2139231</v>
      </c>
      <c r="F371" s="12">
        <v>10335138</v>
      </c>
      <c r="G371" s="14">
        <f t="shared" si="10"/>
        <v>12474369</v>
      </c>
      <c r="H371" s="14">
        <f t="shared" si="11"/>
        <v>479.7834230769231</v>
      </c>
      <c r="I371" s="11" t="s">
        <v>820</v>
      </c>
      <c r="J371" s="11" t="s">
        <v>757</v>
      </c>
    </row>
    <row r="372" spans="1:10" ht="18" customHeight="1" x14ac:dyDescent="0.25">
      <c r="A372" s="15">
        <f>SUBTOTAL(3,$B$11:B372)</f>
        <v>362</v>
      </c>
      <c r="B372" s="15">
        <v>11158</v>
      </c>
      <c r="C372" s="12" t="s">
        <v>392</v>
      </c>
      <c r="D372" s="13" t="s">
        <v>1008</v>
      </c>
      <c r="E372" s="12">
        <v>10792097</v>
      </c>
      <c r="F372" s="12">
        <v>19376433</v>
      </c>
      <c r="G372" s="14">
        <f t="shared" si="10"/>
        <v>30168530</v>
      </c>
      <c r="H372" s="14">
        <f t="shared" si="11"/>
        <v>1160.3280769230769</v>
      </c>
      <c r="I372" s="11" t="s">
        <v>821</v>
      </c>
      <c r="J372" s="11" t="s">
        <v>696</v>
      </c>
    </row>
    <row r="373" spans="1:10" ht="18" customHeight="1" x14ac:dyDescent="0.25">
      <c r="A373" s="15">
        <f>SUBTOTAL(3,$B$11:B373)</f>
        <v>363</v>
      </c>
      <c r="B373" s="15">
        <v>11161</v>
      </c>
      <c r="C373" s="12" t="s">
        <v>393</v>
      </c>
      <c r="D373" s="13" t="s">
        <v>18</v>
      </c>
      <c r="E373" s="12">
        <v>7763539</v>
      </c>
      <c r="F373" s="12">
        <v>18608029</v>
      </c>
      <c r="G373" s="14">
        <f t="shared" si="10"/>
        <v>26371568</v>
      </c>
      <c r="H373" s="14">
        <f t="shared" si="11"/>
        <v>1014.291076923077</v>
      </c>
      <c r="I373" s="11" t="s">
        <v>822</v>
      </c>
      <c r="J373" s="11" t="s">
        <v>781</v>
      </c>
    </row>
    <row r="374" spans="1:10" ht="18" customHeight="1" x14ac:dyDescent="0.25">
      <c r="A374" s="15">
        <f>SUBTOTAL(3,$B$11:B374)</f>
        <v>364</v>
      </c>
      <c r="B374" s="15">
        <v>11169</v>
      </c>
      <c r="C374" s="12" t="s">
        <v>394</v>
      </c>
      <c r="D374" s="13" t="s">
        <v>9</v>
      </c>
      <c r="E374" s="12">
        <v>5796490</v>
      </c>
      <c r="F374" s="12">
        <v>9579461</v>
      </c>
      <c r="G374" s="14">
        <f t="shared" si="10"/>
        <v>15375951</v>
      </c>
      <c r="H374" s="14">
        <f t="shared" si="11"/>
        <v>591.38273076923076</v>
      </c>
      <c r="I374" s="11" t="s">
        <v>823</v>
      </c>
      <c r="J374" s="11" t="s">
        <v>430</v>
      </c>
    </row>
    <row r="375" spans="1:10" ht="18" customHeight="1" x14ac:dyDescent="0.25">
      <c r="A375" s="15">
        <f>SUBTOTAL(3,$B$11:B375)</f>
        <v>365</v>
      </c>
      <c r="B375" s="15">
        <v>11215</v>
      </c>
      <c r="C375" s="12" t="s">
        <v>395</v>
      </c>
      <c r="D375" s="13" t="s">
        <v>1008</v>
      </c>
      <c r="E375" s="12">
        <v>4887500</v>
      </c>
      <c r="F375" s="12">
        <v>8690760</v>
      </c>
      <c r="G375" s="14">
        <f t="shared" si="10"/>
        <v>13578260</v>
      </c>
      <c r="H375" s="14">
        <f t="shared" si="11"/>
        <v>522.24076923076927</v>
      </c>
      <c r="I375" s="11" t="s">
        <v>824</v>
      </c>
      <c r="J375" s="11" t="s">
        <v>825</v>
      </c>
    </row>
    <row r="376" spans="1:10" ht="18" customHeight="1" x14ac:dyDescent="0.25">
      <c r="A376" s="15">
        <f>SUBTOTAL(3,$B$11:B376)</f>
        <v>366</v>
      </c>
      <c r="B376" s="15">
        <v>11236</v>
      </c>
      <c r="C376" s="12" t="s">
        <v>396</v>
      </c>
      <c r="D376" s="13" t="s">
        <v>13</v>
      </c>
      <c r="E376" s="12">
        <v>5075468</v>
      </c>
      <c r="F376" s="12">
        <v>7643966</v>
      </c>
      <c r="G376" s="14">
        <f t="shared" si="10"/>
        <v>12719434</v>
      </c>
      <c r="H376" s="14">
        <f t="shared" si="11"/>
        <v>489.209</v>
      </c>
      <c r="I376" s="11" t="s">
        <v>826</v>
      </c>
      <c r="J376" s="11" t="s">
        <v>424</v>
      </c>
    </row>
    <row r="377" spans="1:10" ht="18" customHeight="1" x14ac:dyDescent="0.25">
      <c r="A377" s="15">
        <f>SUBTOTAL(3,$B$11:B377)</f>
        <v>367</v>
      </c>
      <c r="B377" s="15">
        <v>11253</v>
      </c>
      <c r="C377" s="12" t="s">
        <v>860</v>
      </c>
      <c r="D377" s="13" t="s">
        <v>13</v>
      </c>
      <c r="E377" s="12">
        <v>4342295</v>
      </c>
      <c r="F377" s="12">
        <v>7779182</v>
      </c>
      <c r="G377" s="14">
        <f t="shared" si="10"/>
        <v>12121477</v>
      </c>
      <c r="H377" s="14">
        <f t="shared" si="11"/>
        <v>466.21065384615383</v>
      </c>
      <c r="I377" s="11" t="s">
        <v>827</v>
      </c>
      <c r="J377" s="11" t="s">
        <v>424</v>
      </c>
    </row>
    <row r="378" spans="1:10" ht="18" customHeight="1" x14ac:dyDescent="0.25">
      <c r="A378" s="15">
        <f>SUBTOTAL(3,$B$11:B378)</f>
        <v>368</v>
      </c>
      <c r="B378" s="15">
        <v>11254</v>
      </c>
      <c r="C378" s="12" t="s">
        <v>397</v>
      </c>
      <c r="D378" s="13" t="s">
        <v>13</v>
      </c>
      <c r="E378" s="12">
        <v>5324315</v>
      </c>
      <c r="F378" s="12">
        <v>7088089</v>
      </c>
      <c r="G378" s="14">
        <f t="shared" si="10"/>
        <v>12412404</v>
      </c>
      <c r="H378" s="14">
        <f t="shared" si="11"/>
        <v>477.40015384615384</v>
      </c>
      <c r="I378" s="11" t="s">
        <v>828</v>
      </c>
      <c r="J378" s="11" t="s">
        <v>825</v>
      </c>
    </row>
    <row r="379" spans="1:10" ht="18" customHeight="1" x14ac:dyDescent="0.25">
      <c r="A379" s="15">
        <f>SUBTOTAL(3,$B$11:B379)</f>
        <v>369</v>
      </c>
      <c r="B379" s="15">
        <v>11255</v>
      </c>
      <c r="C379" s="12" t="s">
        <v>398</v>
      </c>
      <c r="D379" s="13" t="s">
        <v>13</v>
      </c>
      <c r="E379" s="12">
        <v>5346851</v>
      </c>
      <c r="F379" s="12">
        <v>8087356</v>
      </c>
      <c r="G379" s="14">
        <f t="shared" si="10"/>
        <v>13434207</v>
      </c>
      <c r="H379" s="14">
        <f t="shared" si="11"/>
        <v>516.70026923076921</v>
      </c>
      <c r="I379" s="11" t="s">
        <v>829</v>
      </c>
      <c r="J379" s="11" t="s">
        <v>696</v>
      </c>
    </row>
    <row r="380" spans="1:10" ht="18" customHeight="1" x14ac:dyDescent="0.25">
      <c r="A380" s="15">
        <f>SUBTOTAL(3,$B$11:B380)</f>
        <v>370</v>
      </c>
      <c r="B380" s="15">
        <v>11262</v>
      </c>
      <c r="C380" s="12" t="s">
        <v>399</v>
      </c>
      <c r="D380" s="13" t="s">
        <v>13</v>
      </c>
      <c r="E380" s="12">
        <v>4208029</v>
      </c>
      <c r="F380" s="12">
        <v>7926418</v>
      </c>
      <c r="G380" s="14">
        <f t="shared" si="10"/>
        <v>12134447</v>
      </c>
      <c r="H380" s="14">
        <f t="shared" si="11"/>
        <v>466.70949999999999</v>
      </c>
      <c r="I380" s="11" t="s">
        <v>830</v>
      </c>
      <c r="J380" s="11" t="s">
        <v>424</v>
      </c>
    </row>
    <row r="381" spans="1:10" ht="18" customHeight="1" x14ac:dyDescent="0.25">
      <c r="A381" s="15">
        <f>SUBTOTAL(3,$B$11:B381)</f>
        <v>371</v>
      </c>
      <c r="B381" s="15">
        <v>11292</v>
      </c>
      <c r="C381" s="12" t="s">
        <v>401</v>
      </c>
      <c r="D381" s="13" t="s">
        <v>13</v>
      </c>
      <c r="E381" s="12">
        <v>5346851</v>
      </c>
      <c r="F381" s="12">
        <v>7512091</v>
      </c>
      <c r="G381" s="14">
        <f t="shared" si="10"/>
        <v>12858942</v>
      </c>
      <c r="H381" s="14">
        <f t="shared" si="11"/>
        <v>494.57469230769232</v>
      </c>
      <c r="I381" s="11" t="s">
        <v>831</v>
      </c>
      <c r="J381" s="11" t="s">
        <v>424</v>
      </c>
    </row>
    <row r="382" spans="1:10" ht="18" customHeight="1" x14ac:dyDescent="0.25">
      <c r="A382" s="15">
        <f>SUBTOTAL(3,$B$11:B382)</f>
        <v>372</v>
      </c>
      <c r="B382" s="15">
        <v>11298</v>
      </c>
      <c r="C382" s="12" t="s">
        <v>402</v>
      </c>
      <c r="D382" s="13" t="s">
        <v>20</v>
      </c>
      <c r="E382" s="12">
        <v>4986274</v>
      </c>
      <c r="F382" s="12">
        <v>7896370</v>
      </c>
      <c r="G382" s="14">
        <f t="shared" si="10"/>
        <v>12882644</v>
      </c>
      <c r="H382" s="14">
        <f t="shared" si="11"/>
        <v>495.48630769230772</v>
      </c>
      <c r="I382" s="11" t="s">
        <v>832</v>
      </c>
      <c r="J382" s="11" t="s">
        <v>424</v>
      </c>
    </row>
    <row r="383" spans="1:10" ht="18" customHeight="1" x14ac:dyDescent="0.25">
      <c r="A383" s="15">
        <f>SUBTOTAL(3,$B$11:B383)</f>
        <v>373</v>
      </c>
      <c r="B383" s="15">
        <v>11299</v>
      </c>
      <c r="C383" s="12" t="s">
        <v>403</v>
      </c>
      <c r="D383" s="13" t="s">
        <v>18</v>
      </c>
      <c r="E383" s="12">
        <v>5301779</v>
      </c>
      <c r="F383" s="12">
        <v>7979880</v>
      </c>
      <c r="G383" s="14">
        <f t="shared" si="10"/>
        <v>13281659</v>
      </c>
      <c r="H383" s="14">
        <f t="shared" si="11"/>
        <v>510.83303846153848</v>
      </c>
      <c r="I383" s="11" t="s">
        <v>833</v>
      </c>
      <c r="J383" s="11" t="s">
        <v>424</v>
      </c>
    </row>
    <row r="384" spans="1:10" ht="18" customHeight="1" x14ac:dyDescent="0.25">
      <c r="A384" s="15">
        <f>SUBTOTAL(3,$B$11:B384)</f>
        <v>374</v>
      </c>
      <c r="B384" s="15">
        <v>11310</v>
      </c>
      <c r="C384" s="12" t="s">
        <v>405</v>
      </c>
      <c r="D384" s="13" t="s">
        <v>9</v>
      </c>
      <c r="E384" s="12">
        <v>5520769</v>
      </c>
      <c r="F384" s="12">
        <v>10098067</v>
      </c>
      <c r="G384" s="14">
        <f t="shared" si="10"/>
        <v>15618836</v>
      </c>
      <c r="H384" s="14">
        <f t="shared" si="11"/>
        <v>600.72446153846158</v>
      </c>
      <c r="I384" s="11" t="s">
        <v>834</v>
      </c>
      <c r="J384" s="11" t="s">
        <v>424</v>
      </c>
    </row>
    <row r="385" spans="1:10" ht="18" customHeight="1" x14ac:dyDescent="0.25">
      <c r="A385" s="15">
        <f>SUBTOTAL(3,$B$11:B385)</f>
        <v>375</v>
      </c>
      <c r="B385" s="15">
        <v>11340</v>
      </c>
      <c r="C385" s="12" t="s">
        <v>406</v>
      </c>
      <c r="D385" s="13" t="s">
        <v>27</v>
      </c>
      <c r="E385" s="12">
        <v>4596514</v>
      </c>
      <c r="F385" s="12">
        <v>9234529</v>
      </c>
      <c r="G385" s="14">
        <f t="shared" si="10"/>
        <v>13831043</v>
      </c>
      <c r="H385" s="14">
        <f t="shared" si="11"/>
        <v>531.96319230769234</v>
      </c>
      <c r="I385" s="11" t="s">
        <v>835</v>
      </c>
      <c r="J385" s="11" t="s">
        <v>424</v>
      </c>
    </row>
    <row r="386" spans="1:10" ht="18" customHeight="1" x14ac:dyDescent="0.25">
      <c r="A386" s="15">
        <f>SUBTOTAL(3,$B$11:B386)</f>
        <v>376</v>
      </c>
      <c r="B386" s="15">
        <v>11343</v>
      </c>
      <c r="C386" s="12" t="s">
        <v>407</v>
      </c>
      <c r="D386" s="13" t="s">
        <v>13</v>
      </c>
      <c r="E386" s="12">
        <v>3493269</v>
      </c>
      <c r="F386" s="12">
        <v>7738617</v>
      </c>
      <c r="G386" s="14">
        <f t="shared" si="10"/>
        <v>11231886</v>
      </c>
      <c r="H386" s="14">
        <f t="shared" si="11"/>
        <v>431.99561538461541</v>
      </c>
      <c r="I386" s="11" t="s">
        <v>836</v>
      </c>
      <c r="J386" s="11" t="s">
        <v>424</v>
      </c>
    </row>
    <row r="387" spans="1:10" ht="18" customHeight="1" x14ac:dyDescent="0.25">
      <c r="A387" s="15">
        <f>SUBTOTAL(3,$B$11:B387)</f>
        <v>377</v>
      </c>
      <c r="B387" s="15">
        <v>11356</v>
      </c>
      <c r="C387" s="12" t="s">
        <v>408</v>
      </c>
      <c r="D387" s="13" t="s">
        <v>18</v>
      </c>
      <c r="E387" s="12">
        <v>4201875</v>
      </c>
      <c r="F387" s="12">
        <v>8408209</v>
      </c>
      <c r="G387" s="14">
        <f t="shared" si="10"/>
        <v>12610084</v>
      </c>
      <c r="H387" s="14">
        <f t="shared" si="11"/>
        <v>485.00323076923075</v>
      </c>
      <c r="I387" s="11" t="s">
        <v>837</v>
      </c>
      <c r="J387" s="11" t="s">
        <v>424</v>
      </c>
    </row>
    <row r="388" spans="1:10" ht="18" customHeight="1" x14ac:dyDescent="0.25">
      <c r="A388" s="15">
        <f>SUBTOTAL(3,$B$11:B388)</f>
        <v>378</v>
      </c>
      <c r="B388" s="15">
        <v>11363</v>
      </c>
      <c r="C388" s="12" t="s">
        <v>409</v>
      </c>
      <c r="D388" s="13" t="s">
        <v>9</v>
      </c>
      <c r="E388" s="12">
        <v>5503846</v>
      </c>
      <c r="F388" s="12">
        <v>10960336</v>
      </c>
      <c r="G388" s="14">
        <f t="shared" si="10"/>
        <v>16464182</v>
      </c>
      <c r="H388" s="14">
        <f t="shared" si="11"/>
        <v>633.23776923076923</v>
      </c>
      <c r="I388" s="11" t="s">
        <v>838</v>
      </c>
      <c r="J388" s="11" t="s">
        <v>696</v>
      </c>
    </row>
    <row r="389" spans="1:10" ht="18" customHeight="1" x14ac:dyDescent="0.25">
      <c r="A389" s="15">
        <f>SUBTOTAL(3,$B$11:B389)</f>
        <v>379</v>
      </c>
      <c r="B389" s="15">
        <v>11373</v>
      </c>
      <c r="C389" s="12" t="s">
        <v>411</v>
      </c>
      <c r="D389" s="13" t="s">
        <v>9</v>
      </c>
      <c r="E389" s="12">
        <v>4646875</v>
      </c>
      <c r="F389" s="12">
        <v>10348067</v>
      </c>
      <c r="G389" s="14">
        <f t="shared" si="10"/>
        <v>14994942</v>
      </c>
      <c r="H389" s="14">
        <f t="shared" si="11"/>
        <v>576.72853846153851</v>
      </c>
      <c r="I389" s="11" t="s">
        <v>839</v>
      </c>
      <c r="J389" s="11" t="s">
        <v>424</v>
      </c>
    </row>
    <row r="390" spans="1:10" ht="18" customHeight="1" x14ac:dyDescent="0.25">
      <c r="A390" s="15">
        <f>SUBTOTAL(3,$B$11:B390)</f>
        <v>380</v>
      </c>
      <c r="B390" s="15">
        <v>11375</v>
      </c>
      <c r="C390" s="12" t="s">
        <v>412</v>
      </c>
      <c r="D390" s="13" t="s">
        <v>29</v>
      </c>
      <c r="E390" s="12">
        <v>2724880</v>
      </c>
      <c r="F390" s="12">
        <v>4057765</v>
      </c>
      <c r="G390" s="14">
        <f t="shared" si="10"/>
        <v>6782645</v>
      </c>
      <c r="H390" s="14">
        <f t="shared" si="11"/>
        <v>260.87096153846153</v>
      </c>
      <c r="I390" s="11" t="s">
        <v>840</v>
      </c>
      <c r="J390" s="11" t="s">
        <v>424</v>
      </c>
    </row>
    <row r="391" spans="1:10" ht="18" customHeight="1" x14ac:dyDescent="0.25">
      <c r="A391" s="15">
        <f>SUBTOTAL(3,$B$11:B391)</f>
        <v>381</v>
      </c>
      <c r="B391" s="15">
        <v>11397</v>
      </c>
      <c r="C391" s="12" t="s">
        <v>414</v>
      </c>
      <c r="D391" s="13" t="s">
        <v>9</v>
      </c>
      <c r="E391" s="12">
        <v>5070770</v>
      </c>
      <c r="F391" s="12">
        <v>8279077</v>
      </c>
      <c r="G391" s="14">
        <f t="shared" si="10"/>
        <v>13349847</v>
      </c>
      <c r="H391" s="14">
        <f t="shared" si="11"/>
        <v>513.45565384615384</v>
      </c>
      <c r="I391" s="11" t="s">
        <v>842</v>
      </c>
      <c r="J391" s="11" t="s">
        <v>424</v>
      </c>
    </row>
    <row r="392" spans="1:10" ht="18" customHeight="1" x14ac:dyDescent="0.25">
      <c r="A392" s="15">
        <f>SUBTOTAL(3,$B$11:B392)</f>
        <v>382</v>
      </c>
      <c r="B392" s="15">
        <v>11404</v>
      </c>
      <c r="C392" s="12" t="s">
        <v>415</v>
      </c>
      <c r="D392" s="13" t="s">
        <v>13</v>
      </c>
      <c r="E392" s="12">
        <v>5120540</v>
      </c>
      <c r="F392" s="12">
        <v>8557428</v>
      </c>
      <c r="G392" s="14">
        <f t="shared" si="10"/>
        <v>13677968</v>
      </c>
      <c r="H392" s="14">
        <f t="shared" si="11"/>
        <v>526.07569230769229</v>
      </c>
      <c r="I392" s="11" t="s">
        <v>843</v>
      </c>
      <c r="J392" s="11" t="s">
        <v>424</v>
      </c>
    </row>
    <row r="393" spans="1:10" ht="18" customHeight="1" x14ac:dyDescent="0.25">
      <c r="A393" s="15">
        <f>SUBTOTAL(3,$B$11:B393)</f>
        <v>383</v>
      </c>
      <c r="B393" s="15">
        <v>11417</v>
      </c>
      <c r="C393" s="12" t="s">
        <v>416</v>
      </c>
      <c r="D393" s="13" t="s">
        <v>14</v>
      </c>
      <c r="E393" s="12">
        <v>3452596</v>
      </c>
      <c r="F393" s="12">
        <v>9035192</v>
      </c>
      <c r="G393" s="14">
        <f t="shared" si="10"/>
        <v>12487788</v>
      </c>
      <c r="H393" s="14">
        <f t="shared" si="11"/>
        <v>480.29953846153848</v>
      </c>
      <c r="I393" s="11" t="s">
        <v>844</v>
      </c>
      <c r="J393" s="11" t="s">
        <v>424</v>
      </c>
    </row>
    <row r="394" spans="1:10" ht="18" customHeight="1" x14ac:dyDescent="0.25">
      <c r="A394" s="15">
        <f>SUBTOTAL(3,$B$11:B394)</f>
        <v>384</v>
      </c>
      <c r="B394" s="15">
        <v>11419</v>
      </c>
      <c r="C394" s="12" t="s">
        <v>417</v>
      </c>
      <c r="D394" s="13" t="s">
        <v>21</v>
      </c>
      <c r="E394" s="12">
        <v>4836733</v>
      </c>
      <c r="F394" s="12">
        <v>9265447</v>
      </c>
      <c r="G394" s="14">
        <f t="shared" si="10"/>
        <v>14102180</v>
      </c>
      <c r="H394" s="14">
        <f t="shared" si="11"/>
        <v>542.39153846153852</v>
      </c>
      <c r="I394" s="11" t="s">
        <v>845</v>
      </c>
      <c r="J394" s="11" t="s">
        <v>424</v>
      </c>
    </row>
    <row r="395" spans="1:10" ht="18" customHeight="1" x14ac:dyDescent="0.25">
      <c r="A395" s="15">
        <f>SUBTOTAL(3,$B$11:B395)</f>
        <v>385</v>
      </c>
      <c r="B395" s="15">
        <v>11455</v>
      </c>
      <c r="C395" s="12" t="s">
        <v>418</v>
      </c>
      <c r="D395" s="13" t="s">
        <v>14</v>
      </c>
      <c r="E395" s="12">
        <v>4647283</v>
      </c>
      <c r="F395" s="12">
        <v>8013557</v>
      </c>
      <c r="G395" s="14">
        <f t="shared" si="10"/>
        <v>12660840</v>
      </c>
      <c r="H395" s="14">
        <f t="shared" si="11"/>
        <v>486.95538461538462</v>
      </c>
      <c r="I395" s="11" t="s">
        <v>846</v>
      </c>
      <c r="J395" s="11" t="s">
        <v>424</v>
      </c>
    </row>
    <row r="396" spans="1:10" ht="18" customHeight="1" x14ac:dyDescent="0.25">
      <c r="A396" s="15">
        <f>SUBTOTAL(3,$B$11:B396)</f>
        <v>386</v>
      </c>
      <c r="B396" s="15">
        <v>11465</v>
      </c>
      <c r="C396" s="12" t="s">
        <v>400</v>
      </c>
      <c r="D396" s="13" t="s">
        <v>13</v>
      </c>
      <c r="E396" s="12">
        <v>3853846</v>
      </c>
      <c r="F396" s="12">
        <v>7377789</v>
      </c>
      <c r="G396" s="14">
        <f t="shared" ref="G396:G459" si="12">E396+F396</f>
        <v>11231635</v>
      </c>
      <c r="H396" s="14">
        <f t="shared" ref="H396:H459" si="13">G396/$J$1</f>
        <v>431.98596153846154</v>
      </c>
      <c r="I396" s="11" t="s">
        <v>847</v>
      </c>
      <c r="J396" s="11" t="s">
        <v>424</v>
      </c>
    </row>
    <row r="397" spans="1:10" ht="18" customHeight="1" x14ac:dyDescent="0.25">
      <c r="A397" s="15">
        <f>SUBTOTAL(3,$B$11:B397)</f>
        <v>387</v>
      </c>
      <c r="B397" s="15">
        <v>11500</v>
      </c>
      <c r="C397" s="12" t="s">
        <v>861</v>
      </c>
      <c r="D397" s="13" t="s">
        <v>13</v>
      </c>
      <c r="E397" s="12">
        <v>5263918</v>
      </c>
      <c r="F397" s="12">
        <v>8158889</v>
      </c>
      <c r="G397" s="14">
        <f t="shared" si="12"/>
        <v>13422807</v>
      </c>
      <c r="H397" s="14">
        <f t="shared" si="13"/>
        <v>516.26180769230768</v>
      </c>
      <c r="I397" s="11" t="s">
        <v>1014</v>
      </c>
      <c r="J397" s="11" t="s">
        <v>825</v>
      </c>
    </row>
    <row r="398" spans="1:10" ht="18" customHeight="1" x14ac:dyDescent="0.25">
      <c r="A398" s="15">
        <f>SUBTOTAL(3,$B$11:B398)</f>
        <v>388</v>
      </c>
      <c r="B398" s="15">
        <v>11501</v>
      </c>
      <c r="C398" s="12" t="s">
        <v>862</v>
      </c>
      <c r="D398" s="13" t="s">
        <v>13</v>
      </c>
      <c r="E398" s="12">
        <v>5049555</v>
      </c>
      <c r="F398" s="12">
        <v>8035248</v>
      </c>
      <c r="G398" s="14">
        <f t="shared" si="12"/>
        <v>13084803</v>
      </c>
      <c r="H398" s="14">
        <f t="shared" si="13"/>
        <v>503.26165384615382</v>
      </c>
      <c r="I398" s="11" t="s">
        <v>1015</v>
      </c>
      <c r="J398" s="11" t="s">
        <v>825</v>
      </c>
    </row>
    <row r="399" spans="1:10" ht="18" customHeight="1" x14ac:dyDescent="0.25">
      <c r="A399" s="15">
        <f>SUBTOTAL(3,$B$11:B399)</f>
        <v>389</v>
      </c>
      <c r="B399" s="15">
        <v>11506</v>
      </c>
      <c r="C399" s="12" t="s">
        <v>863</v>
      </c>
      <c r="D399" s="13" t="s">
        <v>19</v>
      </c>
      <c r="E399" s="12">
        <v>4362608</v>
      </c>
      <c r="F399" s="12">
        <v>7426995</v>
      </c>
      <c r="G399" s="14">
        <f t="shared" si="12"/>
        <v>11789603</v>
      </c>
      <c r="H399" s="14">
        <f t="shared" si="13"/>
        <v>453.44626923076925</v>
      </c>
      <c r="I399" s="11" t="s">
        <v>1016</v>
      </c>
      <c r="J399" s="11" t="s">
        <v>430</v>
      </c>
    </row>
    <row r="400" spans="1:10" ht="18" customHeight="1" x14ac:dyDescent="0.25">
      <c r="A400" s="15">
        <f>SUBTOTAL(3,$B$11:B400)</f>
        <v>390</v>
      </c>
      <c r="B400" s="15">
        <v>11512</v>
      </c>
      <c r="C400" s="12" t="s">
        <v>864</v>
      </c>
      <c r="D400" s="13" t="s">
        <v>24</v>
      </c>
      <c r="E400" s="12">
        <v>3923077</v>
      </c>
      <c r="F400" s="12">
        <v>7682411</v>
      </c>
      <c r="G400" s="14">
        <f t="shared" si="12"/>
        <v>11605488</v>
      </c>
      <c r="H400" s="14">
        <f t="shared" si="13"/>
        <v>446.36492307692311</v>
      </c>
      <c r="I400" s="11" t="s">
        <v>1017</v>
      </c>
      <c r="J400" s="11" t="s">
        <v>430</v>
      </c>
    </row>
    <row r="401" spans="1:10" ht="18" customHeight="1" x14ac:dyDescent="0.25">
      <c r="A401" s="15">
        <f>SUBTOTAL(3,$B$11:B401)</f>
        <v>391</v>
      </c>
      <c r="B401" s="15">
        <v>11517</v>
      </c>
      <c r="C401" s="12" t="s">
        <v>865</v>
      </c>
      <c r="D401" s="13" t="s">
        <v>13</v>
      </c>
      <c r="E401" s="12">
        <v>3645938</v>
      </c>
      <c r="F401" s="12">
        <v>8710319</v>
      </c>
      <c r="G401" s="14">
        <f t="shared" si="12"/>
        <v>12356257</v>
      </c>
      <c r="H401" s="14">
        <f t="shared" si="13"/>
        <v>475.24065384615386</v>
      </c>
      <c r="I401" s="11" t="s">
        <v>1018</v>
      </c>
      <c r="J401" s="11" t="s">
        <v>430</v>
      </c>
    </row>
    <row r="402" spans="1:10" ht="18" customHeight="1" x14ac:dyDescent="0.25">
      <c r="A402" s="15">
        <f>SUBTOTAL(3,$B$11:B402)</f>
        <v>392</v>
      </c>
      <c r="B402" s="15">
        <v>11523</v>
      </c>
      <c r="C402" s="12" t="s">
        <v>866</v>
      </c>
      <c r="D402" s="13" t="s">
        <v>13</v>
      </c>
      <c r="E402" s="12">
        <v>3660830</v>
      </c>
      <c r="F402" s="12">
        <v>8837026</v>
      </c>
      <c r="G402" s="14">
        <f t="shared" si="12"/>
        <v>12497856</v>
      </c>
      <c r="H402" s="14">
        <f t="shared" si="13"/>
        <v>480.68676923076924</v>
      </c>
      <c r="I402" s="11" t="s">
        <v>1019</v>
      </c>
      <c r="J402" s="11" t="s">
        <v>430</v>
      </c>
    </row>
    <row r="403" spans="1:10" ht="18" customHeight="1" x14ac:dyDescent="0.25">
      <c r="A403" s="15">
        <f>SUBTOTAL(3,$B$11:B403)</f>
        <v>393</v>
      </c>
      <c r="B403" s="15">
        <v>11540</v>
      </c>
      <c r="C403" s="12" t="s">
        <v>868</v>
      </c>
      <c r="D403" s="13" t="s">
        <v>19</v>
      </c>
      <c r="E403" s="12">
        <v>4774327</v>
      </c>
      <c r="F403" s="12">
        <v>8479154</v>
      </c>
      <c r="G403" s="14">
        <f t="shared" si="12"/>
        <v>13253481</v>
      </c>
      <c r="H403" s="14">
        <f t="shared" si="13"/>
        <v>509.74926923076924</v>
      </c>
      <c r="I403" s="11" t="s">
        <v>1021</v>
      </c>
      <c r="J403" s="11" t="s">
        <v>430</v>
      </c>
    </row>
    <row r="404" spans="1:10" ht="18" customHeight="1" x14ac:dyDescent="0.25">
      <c r="A404" s="15">
        <f>SUBTOTAL(3,$B$11:B404)</f>
        <v>394</v>
      </c>
      <c r="B404" s="15">
        <v>11546</v>
      </c>
      <c r="C404" s="12" t="s">
        <v>869</v>
      </c>
      <c r="D404" s="13" t="s">
        <v>19</v>
      </c>
      <c r="E404" s="12">
        <v>4647283</v>
      </c>
      <c r="F404" s="12">
        <v>8899976</v>
      </c>
      <c r="G404" s="14">
        <f t="shared" si="12"/>
        <v>13547259</v>
      </c>
      <c r="H404" s="14">
        <f t="shared" si="13"/>
        <v>521.04842307692309</v>
      </c>
      <c r="I404" s="11" t="s">
        <v>1022</v>
      </c>
      <c r="J404" s="11" t="s">
        <v>430</v>
      </c>
    </row>
    <row r="405" spans="1:10" ht="18" customHeight="1" x14ac:dyDescent="0.25">
      <c r="A405" s="15">
        <f>SUBTOTAL(3,$B$11:B405)</f>
        <v>395</v>
      </c>
      <c r="B405" s="15">
        <v>11548</v>
      </c>
      <c r="C405" s="12" t="s">
        <v>870</v>
      </c>
      <c r="D405" s="13" t="s">
        <v>19</v>
      </c>
      <c r="E405" s="12">
        <v>4185492</v>
      </c>
      <c r="F405" s="12">
        <v>8286995</v>
      </c>
      <c r="G405" s="14">
        <f t="shared" si="12"/>
        <v>12472487</v>
      </c>
      <c r="H405" s="14">
        <f t="shared" si="13"/>
        <v>479.71103846153846</v>
      </c>
      <c r="I405" s="11" t="s">
        <v>1023</v>
      </c>
      <c r="J405" s="11" t="s">
        <v>430</v>
      </c>
    </row>
    <row r="406" spans="1:10" ht="18" customHeight="1" x14ac:dyDescent="0.25">
      <c r="A406" s="15">
        <f>SUBTOTAL(3,$B$11:B406)</f>
        <v>396</v>
      </c>
      <c r="B406" s="15">
        <v>11555</v>
      </c>
      <c r="C406" s="12" t="s">
        <v>871</v>
      </c>
      <c r="D406" s="13" t="s">
        <v>21</v>
      </c>
      <c r="E406" s="12">
        <v>4576478</v>
      </c>
      <c r="F406" s="12">
        <v>7016461</v>
      </c>
      <c r="G406" s="14">
        <f t="shared" si="12"/>
        <v>11592939</v>
      </c>
      <c r="H406" s="14">
        <f t="shared" si="13"/>
        <v>445.88226923076923</v>
      </c>
      <c r="I406" s="11" t="s">
        <v>1024</v>
      </c>
      <c r="J406" s="11" t="s">
        <v>430</v>
      </c>
    </row>
    <row r="407" spans="1:10" ht="18" customHeight="1" x14ac:dyDescent="0.25">
      <c r="A407" s="15">
        <f>SUBTOTAL(3,$B$11:B407)</f>
        <v>397</v>
      </c>
      <c r="B407" s="15">
        <v>11556</v>
      </c>
      <c r="C407" s="12" t="s">
        <v>872</v>
      </c>
      <c r="D407" s="13" t="s">
        <v>21</v>
      </c>
      <c r="E407" s="12">
        <v>4686671</v>
      </c>
      <c r="F407" s="12">
        <v>8762063</v>
      </c>
      <c r="G407" s="14">
        <f t="shared" si="12"/>
        <v>13448734</v>
      </c>
      <c r="H407" s="14">
        <f t="shared" si="13"/>
        <v>517.25900000000001</v>
      </c>
      <c r="I407" s="11" t="s">
        <v>1025</v>
      </c>
      <c r="J407" s="11" t="s">
        <v>430</v>
      </c>
    </row>
    <row r="408" spans="1:10" ht="18" customHeight="1" x14ac:dyDescent="0.25">
      <c r="A408" s="15">
        <f>SUBTOTAL(3,$B$11:B408)</f>
        <v>398</v>
      </c>
      <c r="B408" s="15">
        <v>11562</v>
      </c>
      <c r="C408" s="12" t="s">
        <v>873</v>
      </c>
      <c r="D408" s="13" t="s">
        <v>21</v>
      </c>
      <c r="E408" s="12">
        <v>4708846</v>
      </c>
      <c r="F408" s="12">
        <v>7847495</v>
      </c>
      <c r="G408" s="14">
        <f t="shared" si="12"/>
        <v>12556341</v>
      </c>
      <c r="H408" s="14">
        <f t="shared" si="13"/>
        <v>482.93619230769229</v>
      </c>
      <c r="I408" s="11" t="s">
        <v>1026</v>
      </c>
      <c r="J408" s="11" t="s">
        <v>430</v>
      </c>
    </row>
    <row r="409" spans="1:10" ht="18" customHeight="1" x14ac:dyDescent="0.25">
      <c r="A409" s="15">
        <f>SUBTOTAL(3,$B$11:B409)</f>
        <v>399</v>
      </c>
      <c r="B409" s="15">
        <v>11570</v>
      </c>
      <c r="C409" s="12" t="s">
        <v>875</v>
      </c>
      <c r="D409" s="13" t="s">
        <v>14</v>
      </c>
      <c r="E409" s="12">
        <v>4909110</v>
      </c>
      <c r="F409" s="12">
        <v>8011053</v>
      </c>
      <c r="G409" s="14">
        <f t="shared" si="12"/>
        <v>12920163</v>
      </c>
      <c r="H409" s="14">
        <f t="shared" si="13"/>
        <v>496.92934615384615</v>
      </c>
      <c r="I409" s="11" t="s">
        <v>1029</v>
      </c>
      <c r="J409" s="11" t="s">
        <v>430</v>
      </c>
    </row>
    <row r="410" spans="1:10" ht="18" customHeight="1" x14ac:dyDescent="0.25">
      <c r="A410" s="15">
        <f>SUBTOTAL(3,$B$11:B410)</f>
        <v>400</v>
      </c>
      <c r="B410" s="15">
        <v>11572</v>
      </c>
      <c r="C410" s="12" t="s">
        <v>876</v>
      </c>
      <c r="D410" s="13" t="s">
        <v>14</v>
      </c>
      <c r="E410" s="12">
        <v>4370841</v>
      </c>
      <c r="F410" s="12">
        <v>8895116</v>
      </c>
      <c r="G410" s="14">
        <f t="shared" si="12"/>
        <v>13265957</v>
      </c>
      <c r="H410" s="14">
        <f t="shared" si="13"/>
        <v>510.2291153846154</v>
      </c>
      <c r="I410" s="11" t="s">
        <v>1030</v>
      </c>
      <c r="J410" s="11" t="s">
        <v>430</v>
      </c>
    </row>
    <row r="411" spans="1:10" ht="18" customHeight="1" x14ac:dyDescent="0.25">
      <c r="A411" s="15">
        <f>SUBTOTAL(3,$B$11:B411)</f>
        <v>401</v>
      </c>
      <c r="B411" s="15">
        <v>11573</v>
      </c>
      <c r="C411" s="12" t="s">
        <v>877</v>
      </c>
      <c r="D411" s="13" t="s">
        <v>14</v>
      </c>
      <c r="E411" s="12">
        <v>4776058</v>
      </c>
      <c r="F411" s="12">
        <v>8025837</v>
      </c>
      <c r="G411" s="14">
        <f t="shared" si="12"/>
        <v>12801895</v>
      </c>
      <c r="H411" s="14">
        <f t="shared" si="13"/>
        <v>492.38057692307694</v>
      </c>
      <c r="I411" s="11" t="s">
        <v>1031</v>
      </c>
      <c r="J411" s="11" t="s">
        <v>430</v>
      </c>
    </row>
    <row r="412" spans="1:10" ht="18" customHeight="1" x14ac:dyDescent="0.25">
      <c r="A412" s="15">
        <f>SUBTOTAL(3,$B$11:B412)</f>
        <v>402</v>
      </c>
      <c r="B412" s="15">
        <v>11575</v>
      </c>
      <c r="C412" s="12" t="s">
        <v>878</v>
      </c>
      <c r="D412" s="13" t="s">
        <v>14</v>
      </c>
      <c r="E412" s="12">
        <v>4575794</v>
      </c>
      <c r="F412" s="12">
        <v>8948577</v>
      </c>
      <c r="G412" s="14">
        <f t="shared" si="12"/>
        <v>13524371</v>
      </c>
      <c r="H412" s="14">
        <f t="shared" si="13"/>
        <v>520.16811538461536</v>
      </c>
      <c r="I412" s="11" t="s">
        <v>1032</v>
      </c>
      <c r="J412" s="11" t="s">
        <v>430</v>
      </c>
    </row>
    <row r="413" spans="1:10" ht="18" customHeight="1" x14ac:dyDescent="0.25">
      <c r="A413" s="15">
        <f>SUBTOTAL(3,$B$11:B413)</f>
        <v>403</v>
      </c>
      <c r="B413" s="15">
        <v>11576</v>
      </c>
      <c r="C413" s="12" t="s">
        <v>879</v>
      </c>
      <c r="D413" s="13" t="s">
        <v>14</v>
      </c>
      <c r="E413" s="12">
        <v>4857767</v>
      </c>
      <c r="F413" s="12">
        <v>9256615</v>
      </c>
      <c r="G413" s="14">
        <f t="shared" si="12"/>
        <v>14114382</v>
      </c>
      <c r="H413" s="14">
        <f t="shared" si="13"/>
        <v>542.86084615384618</v>
      </c>
      <c r="I413" s="11" t="s">
        <v>1033</v>
      </c>
      <c r="J413" s="11" t="s">
        <v>430</v>
      </c>
    </row>
    <row r="414" spans="1:10" ht="18" customHeight="1" x14ac:dyDescent="0.25">
      <c r="A414" s="15">
        <f>SUBTOTAL(3,$B$11:B414)</f>
        <v>404</v>
      </c>
      <c r="B414" s="15">
        <v>11578</v>
      </c>
      <c r="C414" s="12" t="s">
        <v>880</v>
      </c>
      <c r="D414" s="13" t="s">
        <v>14</v>
      </c>
      <c r="E414" s="12">
        <v>4644151</v>
      </c>
      <c r="F414" s="12">
        <v>8973326</v>
      </c>
      <c r="G414" s="14">
        <f t="shared" si="12"/>
        <v>13617477</v>
      </c>
      <c r="H414" s="14">
        <f t="shared" si="13"/>
        <v>523.74911538461538</v>
      </c>
      <c r="I414" s="11" t="s">
        <v>1034</v>
      </c>
      <c r="J414" s="11" t="s">
        <v>430</v>
      </c>
    </row>
    <row r="415" spans="1:10" ht="18" customHeight="1" x14ac:dyDescent="0.25">
      <c r="A415" s="15">
        <f>SUBTOTAL(3,$B$11:B415)</f>
        <v>405</v>
      </c>
      <c r="B415" s="15">
        <v>11586</v>
      </c>
      <c r="C415" s="12" t="s">
        <v>881</v>
      </c>
      <c r="D415" s="13" t="s">
        <v>21</v>
      </c>
      <c r="E415" s="12">
        <v>4776058</v>
      </c>
      <c r="F415" s="12">
        <v>8158890</v>
      </c>
      <c r="G415" s="14">
        <f t="shared" si="12"/>
        <v>12934948</v>
      </c>
      <c r="H415" s="14">
        <f t="shared" si="13"/>
        <v>497.49799999999999</v>
      </c>
      <c r="I415" s="11" t="s">
        <v>1035</v>
      </c>
      <c r="J415" s="11" t="s">
        <v>430</v>
      </c>
    </row>
    <row r="416" spans="1:10" ht="18" customHeight="1" x14ac:dyDescent="0.25">
      <c r="A416" s="15">
        <f>SUBTOTAL(3,$B$11:B416)</f>
        <v>406</v>
      </c>
      <c r="B416" s="15">
        <v>11587</v>
      </c>
      <c r="C416" s="12" t="s">
        <v>882</v>
      </c>
      <c r="D416" s="13" t="s">
        <v>20</v>
      </c>
      <c r="E416" s="12">
        <v>5063654</v>
      </c>
      <c r="F416" s="12">
        <v>8762062</v>
      </c>
      <c r="G416" s="14">
        <f t="shared" si="12"/>
        <v>13825716</v>
      </c>
      <c r="H416" s="14">
        <f t="shared" si="13"/>
        <v>531.75830769230765</v>
      </c>
      <c r="I416" s="11" t="s">
        <v>1036</v>
      </c>
      <c r="J416" s="11" t="s">
        <v>430</v>
      </c>
    </row>
    <row r="417" spans="1:10" ht="18" customHeight="1" x14ac:dyDescent="0.25">
      <c r="A417" s="15">
        <f>SUBTOTAL(3,$B$11:B417)</f>
        <v>407</v>
      </c>
      <c r="B417" s="15">
        <v>11595</v>
      </c>
      <c r="C417" s="12" t="s">
        <v>883</v>
      </c>
      <c r="D417" s="13" t="s">
        <v>13</v>
      </c>
      <c r="E417" s="12">
        <v>3492836</v>
      </c>
      <c r="F417" s="12">
        <v>6453807</v>
      </c>
      <c r="G417" s="14">
        <f t="shared" si="12"/>
        <v>9946643</v>
      </c>
      <c r="H417" s="14">
        <f t="shared" si="13"/>
        <v>382.5631923076923</v>
      </c>
      <c r="I417" s="11" t="s">
        <v>1037</v>
      </c>
      <c r="J417" s="11" t="s">
        <v>430</v>
      </c>
    </row>
    <row r="418" spans="1:10" ht="18" customHeight="1" x14ac:dyDescent="0.25">
      <c r="A418" s="15">
        <f>SUBTOTAL(3,$B$11:B418)</f>
        <v>408</v>
      </c>
      <c r="B418" s="15">
        <v>11601</v>
      </c>
      <c r="C418" s="12" t="s">
        <v>884</v>
      </c>
      <c r="D418" s="13" t="s">
        <v>13</v>
      </c>
      <c r="E418" s="12">
        <v>4930601</v>
      </c>
      <c r="F418" s="12">
        <v>8872940</v>
      </c>
      <c r="G418" s="14">
        <f t="shared" si="12"/>
        <v>13803541</v>
      </c>
      <c r="H418" s="14">
        <f t="shared" si="13"/>
        <v>530.90542307692306</v>
      </c>
      <c r="I418" s="11" t="s">
        <v>1038</v>
      </c>
      <c r="J418" s="11" t="s">
        <v>430</v>
      </c>
    </row>
    <row r="419" spans="1:10" ht="18" customHeight="1" x14ac:dyDescent="0.25">
      <c r="A419" s="15">
        <f>SUBTOTAL(3,$B$11:B419)</f>
        <v>409</v>
      </c>
      <c r="B419" s="15">
        <v>11606</v>
      </c>
      <c r="C419" s="12" t="s">
        <v>885</v>
      </c>
      <c r="D419" s="13" t="s">
        <v>13</v>
      </c>
      <c r="E419" s="12">
        <v>5263918</v>
      </c>
      <c r="F419" s="12">
        <v>7191534</v>
      </c>
      <c r="G419" s="14">
        <f t="shared" si="12"/>
        <v>12455452</v>
      </c>
      <c r="H419" s="14">
        <f t="shared" si="13"/>
        <v>479.05584615384618</v>
      </c>
      <c r="I419" s="11" t="s">
        <v>1039</v>
      </c>
      <c r="J419" s="11" t="s">
        <v>430</v>
      </c>
    </row>
    <row r="420" spans="1:10" ht="18" customHeight="1" x14ac:dyDescent="0.25">
      <c r="A420" s="15">
        <f>SUBTOTAL(3,$B$11:B420)</f>
        <v>410</v>
      </c>
      <c r="B420" s="15">
        <v>11608</v>
      </c>
      <c r="C420" s="12" t="s">
        <v>886</v>
      </c>
      <c r="D420" s="13" t="s">
        <v>13</v>
      </c>
      <c r="E420" s="12">
        <v>3761359</v>
      </c>
      <c r="F420" s="12">
        <v>5362639</v>
      </c>
      <c r="G420" s="14">
        <f t="shared" si="12"/>
        <v>9123998</v>
      </c>
      <c r="H420" s="14">
        <f t="shared" si="13"/>
        <v>350.923</v>
      </c>
      <c r="I420" s="11" t="s">
        <v>1040</v>
      </c>
      <c r="J420" s="11" t="s">
        <v>430</v>
      </c>
    </row>
    <row r="421" spans="1:10" ht="18" customHeight="1" x14ac:dyDescent="0.25">
      <c r="A421" s="15">
        <f>SUBTOTAL(3,$B$11:B421)</f>
        <v>411</v>
      </c>
      <c r="B421" s="15">
        <v>11613</v>
      </c>
      <c r="C421" s="12" t="s">
        <v>887</v>
      </c>
      <c r="D421" s="13" t="s">
        <v>9</v>
      </c>
      <c r="E421" s="12">
        <v>5719327</v>
      </c>
      <c r="F421" s="12">
        <v>9496645</v>
      </c>
      <c r="G421" s="14">
        <f t="shared" si="12"/>
        <v>15215972</v>
      </c>
      <c r="H421" s="14">
        <f t="shared" si="13"/>
        <v>585.22969230769229</v>
      </c>
      <c r="I421" s="11" t="s">
        <v>1041</v>
      </c>
      <c r="J421" s="11" t="s">
        <v>430</v>
      </c>
    </row>
    <row r="422" spans="1:10" ht="18" customHeight="1" x14ac:dyDescent="0.25">
      <c r="A422" s="15">
        <f>SUBTOTAL(3,$B$11:B422)</f>
        <v>412</v>
      </c>
      <c r="B422" s="15">
        <v>11629</v>
      </c>
      <c r="C422" s="12" t="s">
        <v>889</v>
      </c>
      <c r="D422" s="13" t="s">
        <v>13</v>
      </c>
      <c r="E422" s="12">
        <v>0</v>
      </c>
      <c r="F422" s="12">
        <v>303846</v>
      </c>
      <c r="G422" s="14">
        <f t="shared" si="12"/>
        <v>303846</v>
      </c>
      <c r="H422" s="14">
        <f t="shared" si="13"/>
        <v>11.686384615384615</v>
      </c>
      <c r="I422" s="11" t="s">
        <v>1043</v>
      </c>
      <c r="J422" s="11" t="s">
        <v>825</v>
      </c>
    </row>
    <row r="423" spans="1:10" ht="18" customHeight="1" x14ac:dyDescent="0.25">
      <c r="A423" s="15">
        <f>SUBTOTAL(3,$B$11:B423)</f>
        <v>413</v>
      </c>
      <c r="B423" s="15">
        <v>11633</v>
      </c>
      <c r="C423" s="12" t="s">
        <v>890</v>
      </c>
      <c r="D423" s="13" t="s">
        <v>23</v>
      </c>
      <c r="E423" s="12">
        <v>4708846</v>
      </c>
      <c r="F423" s="12">
        <v>8834827</v>
      </c>
      <c r="G423" s="14">
        <f t="shared" si="12"/>
        <v>13543673</v>
      </c>
      <c r="H423" s="14">
        <f t="shared" si="13"/>
        <v>520.91049999999996</v>
      </c>
      <c r="I423" s="11" t="s">
        <v>1044</v>
      </c>
      <c r="J423" s="11" t="s">
        <v>430</v>
      </c>
    </row>
    <row r="424" spans="1:10" ht="18" customHeight="1" x14ac:dyDescent="0.25">
      <c r="A424" s="15">
        <f>SUBTOTAL(3,$B$11:B424)</f>
        <v>414</v>
      </c>
      <c r="B424" s="15">
        <v>11654</v>
      </c>
      <c r="C424" s="12" t="s">
        <v>892</v>
      </c>
      <c r="D424" s="13" t="s">
        <v>9</v>
      </c>
      <c r="E424" s="12">
        <v>4585673</v>
      </c>
      <c r="F424" s="12">
        <v>9760154</v>
      </c>
      <c r="G424" s="14">
        <f t="shared" si="12"/>
        <v>14345827</v>
      </c>
      <c r="H424" s="14">
        <f t="shared" si="13"/>
        <v>551.76257692307695</v>
      </c>
      <c r="I424" s="11" t="s">
        <v>1046</v>
      </c>
      <c r="J424" s="11" t="s">
        <v>430</v>
      </c>
    </row>
    <row r="425" spans="1:10" ht="18" customHeight="1" x14ac:dyDescent="0.25">
      <c r="A425" s="15">
        <f>SUBTOTAL(3,$B$11:B425)</f>
        <v>415</v>
      </c>
      <c r="B425" s="15">
        <v>11660</v>
      </c>
      <c r="C425" s="12" t="s">
        <v>893</v>
      </c>
      <c r="D425" s="13" t="s">
        <v>9</v>
      </c>
      <c r="E425" s="12">
        <v>5411250</v>
      </c>
      <c r="F425" s="12">
        <v>8970491</v>
      </c>
      <c r="G425" s="14">
        <f t="shared" si="12"/>
        <v>14381741</v>
      </c>
      <c r="H425" s="14">
        <f t="shared" si="13"/>
        <v>553.14388461538465</v>
      </c>
      <c r="I425" s="11" t="s">
        <v>1047</v>
      </c>
      <c r="J425" s="11" t="s">
        <v>430</v>
      </c>
    </row>
    <row r="426" spans="1:10" ht="18" customHeight="1" x14ac:dyDescent="0.25">
      <c r="A426" s="15">
        <f>SUBTOTAL(3,$B$11:B426)</f>
        <v>416</v>
      </c>
      <c r="B426" s="15">
        <v>11667</v>
      </c>
      <c r="C426" s="12" t="s">
        <v>894</v>
      </c>
      <c r="D426" s="13" t="s">
        <v>20</v>
      </c>
      <c r="E426" s="12">
        <v>3362524</v>
      </c>
      <c r="F426" s="12">
        <v>3873721</v>
      </c>
      <c r="G426" s="14">
        <f t="shared" si="12"/>
        <v>7236245</v>
      </c>
      <c r="H426" s="14">
        <f t="shared" si="13"/>
        <v>278.31711538461536</v>
      </c>
      <c r="I426" s="11" t="s">
        <v>1048</v>
      </c>
      <c r="J426" s="11" t="s">
        <v>430</v>
      </c>
    </row>
    <row r="427" spans="1:10" ht="18" customHeight="1" x14ac:dyDescent="0.25">
      <c r="A427" s="15">
        <f>SUBTOTAL(3,$B$11:B427)</f>
        <v>417</v>
      </c>
      <c r="B427" s="15">
        <v>11673</v>
      </c>
      <c r="C427" s="12" t="s">
        <v>895</v>
      </c>
      <c r="D427" s="13" t="s">
        <v>23</v>
      </c>
      <c r="E427" s="12">
        <v>4708846</v>
      </c>
      <c r="F427" s="12">
        <v>8031990</v>
      </c>
      <c r="G427" s="14">
        <f t="shared" si="12"/>
        <v>12740836</v>
      </c>
      <c r="H427" s="14">
        <f t="shared" si="13"/>
        <v>490.03215384615385</v>
      </c>
      <c r="I427" s="11" t="s">
        <v>1049</v>
      </c>
      <c r="J427" s="11" t="s">
        <v>430</v>
      </c>
    </row>
    <row r="428" spans="1:10" ht="18" customHeight="1" x14ac:dyDescent="0.25">
      <c r="A428" s="15">
        <f>SUBTOTAL(3,$B$11:B428)</f>
        <v>418</v>
      </c>
      <c r="B428" s="15">
        <v>11683</v>
      </c>
      <c r="C428" s="12" t="s">
        <v>897</v>
      </c>
      <c r="D428" s="13" t="s">
        <v>13</v>
      </c>
      <c r="E428" s="12">
        <v>5108690</v>
      </c>
      <c r="F428" s="12">
        <v>8076426</v>
      </c>
      <c r="G428" s="14">
        <f t="shared" si="12"/>
        <v>13185116</v>
      </c>
      <c r="H428" s="14">
        <f t="shared" si="13"/>
        <v>507.11984615384614</v>
      </c>
      <c r="I428" s="11" t="s">
        <v>1051</v>
      </c>
      <c r="J428" s="11" t="s">
        <v>430</v>
      </c>
    </row>
    <row r="429" spans="1:10" ht="18" customHeight="1" x14ac:dyDescent="0.25">
      <c r="A429" s="15">
        <f>SUBTOTAL(3,$B$11:B429)</f>
        <v>419</v>
      </c>
      <c r="B429" s="15">
        <v>11694</v>
      </c>
      <c r="C429" s="12" t="s">
        <v>898</v>
      </c>
      <c r="D429" s="13" t="s">
        <v>21</v>
      </c>
      <c r="E429" s="12">
        <v>4495168</v>
      </c>
      <c r="F429" s="12">
        <v>6621390</v>
      </c>
      <c r="G429" s="14">
        <f t="shared" si="12"/>
        <v>11116558</v>
      </c>
      <c r="H429" s="14">
        <f t="shared" si="13"/>
        <v>427.5599230769231</v>
      </c>
      <c r="I429" s="11" t="s">
        <v>1052</v>
      </c>
      <c r="J429" s="11" t="s">
        <v>430</v>
      </c>
    </row>
    <row r="430" spans="1:10" ht="18" customHeight="1" x14ac:dyDescent="0.25">
      <c r="A430" s="15">
        <f>SUBTOTAL(3,$B$11:B430)</f>
        <v>420</v>
      </c>
      <c r="B430" s="15">
        <v>11698</v>
      </c>
      <c r="C430" s="12" t="s">
        <v>899</v>
      </c>
      <c r="D430" s="13" t="s">
        <v>20</v>
      </c>
      <c r="E430" s="12">
        <v>5263918</v>
      </c>
      <c r="F430" s="12">
        <v>7968721</v>
      </c>
      <c r="G430" s="14">
        <f t="shared" si="12"/>
        <v>13232639</v>
      </c>
      <c r="H430" s="14">
        <f t="shared" si="13"/>
        <v>508.94765384615386</v>
      </c>
      <c r="I430" s="11" t="s">
        <v>1053</v>
      </c>
      <c r="J430" s="11" t="s">
        <v>430</v>
      </c>
    </row>
    <row r="431" spans="1:10" ht="18" customHeight="1" x14ac:dyDescent="0.25">
      <c r="A431" s="15">
        <f>SUBTOTAL(3,$B$11:B431)</f>
        <v>421</v>
      </c>
      <c r="B431" s="15">
        <v>11707</v>
      </c>
      <c r="C431" s="12" t="s">
        <v>901</v>
      </c>
      <c r="D431" s="13" t="s">
        <v>27</v>
      </c>
      <c r="E431" s="12">
        <v>3746791</v>
      </c>
      <c r="F431" s="12">
        <v>8100526</v>
      </c>
      <c r="G431" s="14">
        <f t="shared" si="12"/>
        <v>11847317</v>
      </c>
      <c r="H431" s="14">
        <f t="shared" si="13"/>
        <v>455.66603846153845</v>
      </c>
      <c r="I431" s="11" t="s">
        <v>1055</v>
      </c>
      <c r="J431" s="11" t="s">
        <v>430</v>
      </c>
    </row>
    <row r="432" spans="1:10" ht="18" customHeight="1" x14ac:dyDescent="0.25">
      <c r="A432" s="15">
        <f>SUBTOTAL(3,$B$11:B432)</f>
        <v>422</v>
      </c>
      <c r="B432" s="15">
        <v>11713</v>
      </c>
      <c r="C432" s="12" t="s">
        <v>902</v>
      </c>
      <c r="D432" s="13" t="s">
        <v>14</v>
      </c>
      <c r="E432" s="12">
        <v>4909110</v>
      </c>
      <c r="F432" s="12">
        <v>7671029</v>
      </c>
      <c r="G432" s="14">
        <f t="shared" si="12"/>
        <v>12580139</v>
      </c>
      <c r="H432" s="14">
        <f t="shared" si="13"/>
        <v>483.85149999999999</v>
      </c>
      <c r="I432" s="11" t="s">
        <v>1056</v>
      </c>
      <c r="J432" s="11" t="s">
        <v>430</v>
      </c>
    </row>
    <row r="433" spans="1:10" ht="18" customHeight="1" x14ac:dyDescent="0.25">
      <c r="A433" s="15">
        <f>SUBTOTAL(3,$B$11:B433)</f>
        <v>423</v>
      </c>
      <c r="B433" s="15">
        <v>11715</v>
      </c>
      <c r="C433" s="12" t="s">
        <v>903</v>
      </c>
      <c r="D433" s="13" t="s">
        <v>14</v>
      </c>
      <c r="E433" s="12">
        <v>4575794</v>
      </c>
      <c r="F433" s="12">
        <v>6803769</v>
      </c>
      <c r="G433" s="14">
        <f t="shared" si="12"/>
        <v>11379563</v>
      </c>
      <c r="H433" s="14">
        <f t="shared" si="13"/>
        <v>437.6755</v>
      </c>
      <c r="I433" s="11" t="s">
        <v>1057</v>
      </c>
      <c r="J433" s="11" t="s">
        <v>430</v>
      </c>
    </row>
    <row r="434" spans="1:10" ht="18" customHeight="1" x14ac:dyDescent="0.25">
      <c r="A434" s="15">
        <f>SUBTOTAL(3,$B$11:B434)</f>
        <v>424</v>
      </c>
      <c r="B434" s="15">
        <v>11717</v>
      </c>
      <c r="C434" s="12" t="s">
        <v>904</v>
      </c>
      <c r="D434" s="13" t="s">
        <v>14</v>
      </c>
      <c r="E434" s="12">
        <v>4261586</v>
      </c>
      <c r="F434" s="12">
        <v>8155717</v>
      </c>
      <c r="G434" s="14">
        <f t="shared" si="12"/>
        <v>12417303</v>
      </c>
      <c r="H434" s="14">
        <f t="shared" si="13"/>
        <v>477.58857692307691</v>
      </c>
      <c r="I434" s="11" t="s">
        <v>1058</v>
      </c>
      <c r="J434" s="11" t="s">
        <v>430</v>
      </c>
    </row>
    <row r="435" spans="1:10" ht="18" customHeight="1" x14ac:dyDescent="0.25">
      <c r="A435" s="15">
        <f>SUBTOTAL(3,$B$11:B435)</f>
        <v>425</v>
      </c>
      <c r="B435" s="15">
        <v>11727</v>
      </c>
      <c r="C435" s="12" t="s">
        <v>905</v>
      </c>
      <c r="D435" s="13" t="s">
        <v>14</v>
      </c>
      <c r="E435" s="12">
        <v>4575794</v>
      </c>
      <c r="F435" s="12">
        <v>8895116</v>
      </c>
      <c r="G435" s="14">
        <f t="shared" si="12"/>
        <v>13470910</v>
      </c>
      <c r="H435" s="14">
        <f t="shared" si="13"/>
        <v>518.11192307692306</v>
      </c>
      <c r="I435" s="11" t="s">
        <v>1059</v>
      </c>
      <c r="J435" s="11" t="s">
        <v>430</v>
      </c>
    </row>
    <row r="436" spans="1:10" ht="18" customHeight="1" x14ac:dyDescent="0.25">
      <c r="A436" s="15">
        <f>SUBTOTAL(3,$B$11:B436)</f>
        <v>426</v>
      </c>
      <c r="B436" s="15">
        <v>11740</v>
      </c>
      <c r="C436" s="12" t="s">
        <v>907</v>
      </c>
      <c r="D436" s="13" t="s">
        <v>19</v>
      </c>
      <c r="E436" s="12">
        <v>4782500</v>
      </c>
      <c r="F436" s="12">
        <v>8256947</v>
      </c>
      <c r="G436" s="14">
        <f t="shared" si="12"/>
        <v>13039447</v>
      </c>
      <c r="H436" s="14">
        <f t="shared" si="13"/>
        <v>501.51719230769231</v>
      </c>
      <c r="I436" s="11" t="s">
        <v>1060</v>
      </c>
      <c r="J436" s="11" t="s">
        <v>825</v>
      </c>
    </row>
    <row r="437" spans="1:10" ht="18" customHeight="1" x14ac:dyDescent="0.25">
      <c r="A437" s="15">
        <f>SUBTOTAL(3,$B$11:B437)</f>
        <v>427</v>
      </c>
      <c r="B437" s="15">
        <v>11743</v>
      </c>
      <c r="C437" s="12" t="s">
        <v>908</v>
      </c>
      <c r="D437" s="13" t="s">
        <v>9</v>
      </c>
      <c r="E437" s="12">
        <v>2758979</v>
      </c>
      <c r="F437" s="12">
        <v>9620730</v>
      </c>
      <c r="G437" s="14">
        <f t="shared" si="12"/>
        <v>12379709</v>
      </c>
      <c r="H437" s="14">
        <f t="shared" si="13"/>
        <v>476.14265384615385</v>
      </c>
      <c r="I437" s="11" t="s">
        <v>1061</v>
      </c>
      <c r="J437" s="11" t="s">
        <v>825</v>
      </c>
    </row>
    <row r="438" spans="1:10" ht="18" customHeight="1" x14ac:dyDescent="0.25">
      <c r="A438" s="15">
        <f>SUBTOTAL(3,$B$11:B438)</f>
        <v>428</v>
      </c>
      <c r="B438" s="15">
        <v>11755</v>
      </c>
      <c r="C438" s="12" t="s">
        <v>909</v>
      </c>
      <c r="D438" s="13" t="s">
        <v>9</v>
      </c>
      <c r="E438" s="12">
        <v>4649712</v>
      </c>
      <c r="F438" s="12">
        <v>9504000</v>
      </c>
      <c r="G438" s="14">
        <f t="shared" si="12"/>
        <v>14153712</v>
      </c>
      <c r="H438" s="14">
        <f t="shared" si="13"/>
        <v>544.37353846153849</v>
      </c>
      <c r="I438" s="11" t="s">
        <v>1062</v>
      </c>
      <c r="J438" s="11" t="s">
        <v>430</v>
      </c>
    </row>
    <row r="439" spans="1:10" ht="18" customHeight="1" x14ac:dyDescent="0.25">
      <c r="A439" s="15">
        <f>SUBTOTAL(3,$B$11:B439)</f>
        <v>429</v>
      </c>
      <c r="B439" s="15">
        <v>11764</v>
      </c>
      <c r="C439" s="12" t="s">
        <v>910</v>
      </c>
      <c r="D439" s="13" t="s">
        <v>20</v>
      </c>
      <c r="E439" s="12">
        <v>4708846</v>
      </c>
      <c r="F439" s="12">
        <v>8629009</v>
      </c>
      <c r="G439" s="14">
        <f t="shared" si="12"/>
        <v>13337855</v>
      </c>
      <c r="H439" s="14">
        <f t="shared" si="13"/>
        <v>512.99442307692311</v>
      </c>
      <c r="I439" s="11" t="s">
        <v>1063</v>
      </c>
      <c r="J439" s="11" t="s">
        <v>430</v>
      </c>
    </row>
    <row r="440" spans="1:10" ht="18" customHeight="1" x14ac:dyDescent="0.25">
      <c r="A440" s="15">
        <f>SUBTOTAL(3,$B$11:B440)</f>
        <v>430</v>
      </c>
      <c r="B440" s="15">
        <v>11765</v>
      </c>
      <c r="C440" s="12" t="s">
        <v>911</v>
      </c>
      <c r="D440" s="13" t="s">
        <v>21</v>
      </c>
      <c r="E440" s="12">
        <v>4643005</v>
      </c>
      <c r="F440" s="12">
        <v>6356871</v>
      </c>
      <c r="G440" s="14">
        <f t="shared" si="12"/>
        <v>10999876</v>
      </c>
      <c r="H440" s="14">
        <f t="shared" si="13"/>
        <v>423.07215384615387</v>
      </c>
      <c r="I440" s="11" t="s">
        <v>1064</v>
      </c>
      <c r="J440" s="11" t="s">
        <v>430</v>
      </c>
    </row>
    <row r="441" spans="1:10" ht="18" customHeight="1" x14ac:dyDescent="0.25">
      <c r="A441" s="15">
        <f>SUBTOTAL(3,$B$11:B441)</f>
        <v>431</v>
      </c>
      <c r="B441" s="15">
        <v>11766</v>
      </c>
      <c r="C441" s="12" t="s">
        <v>912</v>
      </c>
      <c r="D441" s="13" t="s">
        <v>29</v>
      </c>
      <c r="E441" s="12">
        <v>4626457</v>
      </c>
      <c r="F441" s="12">
        <v>8433603</v>
      </c>
      <c r="G441" s="14">
        <f t="shared" si="12"/>
        <v>13060060</v>
      </c>
      <c r="H441" s="14">
        <f t="shared" si="13"/>
        <v>502.31</v>
      </c>
      <c r="I441" s="11" t="s">
        <v>1065</v>
      </c>
      <c r="J441" s="11" t="s">
        <v>430</v>
      </c>
    </row>
    <row r="442" spans="1:10" ht="18" customHeight="1" x14ac:dyDescent="0.25">
      <c r="A442" s="15">
        <f>SUBTOTAL(3,$B$11:B442)</f>
        <v>432</v>
      </c>
      <c r="B442" s="15">
        <v>11776</v>
      </c>
      <c r="C442" s="12" t="s">
        <v>914</v>
      </c>
      <c r="D442" s="13" t="s">
        <v>12</v>
      </c>
      <c r="E442" s="12">
        <v>5320871</v>
      </c>
      <c r="F442" s="12">
        <v>8936149</v>
      </c>
      <c r="G442" s="14">
        <f t="shared" si="12"/>
        <v>14257020</v>
      </c>
      <c r="H442" s="14">
        <f t="shared" si="13"/>
        <v>548.34692307692308</v>
      </c>
      <c r="I442" s="11" t="s">
        <v>1067</v>
      </c>
      <c r="J442" s="11" t="s">
        <v>430</v>
      </c>
    </row>
    <row r="443" spans="1:10" ht="18" customHeight="1" x14ac:dyDescent="0.25">
      <c r="A443" s="15">
        <f>SUBTOTAL(3,$B$11:B443)</f>
        <v>433</v>
      </c>
      <c r="B443" s="15">
        <v>11781</v>
      </c>
      <c r="C443" s="12" t="s">
        <v>915</v>
      </c>
      <c r="D443" s="13" t="s">
        <v>1008</v>
      </c>
      <c r="E443" s="12">
        <v>5326442</v>
      </c>
      <c r="F443" s="12">
        <v>9028038</v>
      </c>
      <c r="G443" s="14">
        <f t="shared" si="12"/>
        <v>14354480</v>
      </c>
      <c r="H443" s="14">
        <f t="shared" si="13"/>
        <v>552.09538461538466</v>
      </c>
      <c r="I443" s="11" t="s">
        <v>1068</v>
      </c>
      <c r="J443" s="11" t="s">
        <v>430</v>
      </c>
    </row>
    <row r="444" spans="1:10" ht="18" customHeight="1" x14ac:dyDescent="0.25">
      <c r="A444" s="15">
        <f>SUBTOTAL(3,$B$11:B444)</f>
        <v>434</v>
      </c>
      <c r="B444" s="15">
        <v>11849</v>
      </c>
      <c r="C444" s="12" t="s">
        <v>916</v>
      </c>
      <c r="D444" s="13" t="s">
        <v>9</v>
      </c>
      <c r="E444" s="12">
        <v>5693366</v>
      </c>
      <c r="F444" s="12">
        <v>9192461</v>
      </c>
      <c r="G444" s="14">
        <f t="shared" si="12"/>
        <v>14885827</v>
      </c>
      <c r="H444" s="14">
        <f t="shared" si="13"/>
        <v>572.53180769230767</v>
      </c>
      <c r="I444" s="11" t="s">
        <v>1069</v>
      </c>
      <c r="J444" s="11" t="s">
        <v>825</v>
      </c>
    </row>
    <row r="445" spans="1:10" ht="18" customHeight="1" x14ac:dyDescent="0.25">
      <c r="A445" s="15">
        <f>SUBTOTAL(3,$B$11:B445)</f>
        <v>435</v>
      </c>
      <c r="B445" s="15">
        <v>11862</v>
      </c>
      <c r="C445" s="12" t="s">
        <v>120</v>
      </c>
      <c r="D445" s="13" t="s">
        <v>27</v>
      </c>
      <c r="E445" s="12">
        <v>7149038</v>
      </c>
      <c r="F445" s="12">
        <v>20619919</v>
      </c>
      <c r="G445" s="14">
        <f t="shared" si="12"/>
        <v>27768957</v>
      </c>
      <c r="H445" s="14">
        <f t="shared" si="13"/>
        <v>1068.0368076923078</v>
      </c>
      <c r="I445" s="11" t="s">
        <v>515</v>
      </c>
      <c r="J445" s="11" t="s">
        <v>825</v>
      </c>
    </row>
    <row r="446" spans="1:10" ht="18" customHeight="1" x14ac:dyDescent="0.25">
      <c r="A446" s="15">
        <f>SUBTOTAL(3,$B$11:B446)</f>
        <v>436</v>
      </c>
      <c r="B446" s="15">
        <v>11877</v>
      </c>
      <c r="C446" s="12" t="s">
        <v>917</v>
      </c>
      <c r="D446" s="13" t="s">
        <v>27</v>
      </c>
      <c r="E446" s="12">
        <v>4968149</v>
      </c>
      <c r="F446" s="12">
        <v>9826837</v>
      </c>
      <c r="G446" s="14">
        <f t="shared" si="12"/>
        <v>14794986</v>
      </c>
      <c r="H446" s="14">
        <f t="shared" si="13"/>
        <v>569.03792307692311</v>
      </c>
      <c r="I446" s="11" t="s">
        <v>1070</v>
      </c>
      <c r="J446" s="11" t="s">
        <v>430</v>
      </c>
    </row>
    <row r="447" spans="1:10" ht="18" customHeight="1" x14ac:dyDescent="0.25">
      <c r="A447" s="15">
        <f>SUBTOTAL(3,$B$11:B447)</f>
        <v>437</v>
      </c>
      <c r="B447" s="15">
        <v>11888</v>
      </c>
      <c r="C447" s="12" t="s">
        <v>300</v>
      </c>
      <c r="D447" s="13" t="s">
        <v>28</v>
      </c>
      <c r="E447" s="12">
        <v>3719712</v>
      </c>
      <c r="F447" s="12">
        <v>6323329</v>
      </c>
      <c r="G447" s="14">
        <f t="shared" si="12"/>
        <v>10043041</v>
      </c>
      <c r="H447" s="14">
        <f t="shared" si="13"/>
        <v>386.2708076923077</v>
      </c>
      <c r="I447" s="11" t="s">
        <v>1072</v>
      </c>
      <c r="J447" s="11" t="s">
        <v>430</v>
      </c>
    </row>
    <row r="448" spans="1:10" ht="18" customHeight="1" x14ac:dyDescent="0.25">
      <c r="A448" s="15">
        <f>SUBTOTAL(3,$B$11:B448)</f>
        <v>438</v>
      </c>
      <c r="B448" s="15">
        <v>11911</v>
      </c>
      <c r="C448" s="12" t="s">
        <v>919</v>
      </c>
      <c r="D448" s="13" t="s">
        <v>27</v>
      </c>
      <c r="E448" s="12">
        <v>5174279</v>
      </c>
      <c r="F448" s="12">
        <v>8705941</v>
      </c>
      <c r="G448" s="14">
        <f t="shared" si="12"/>
        <v>13880220</v>
      </c>
      <c r="H448" s="14">
        <f t="shared" si="13"/>
        <v>533.85461538461539</v>
      </c>
      <c r="I448" s="11" t="s">
        <v>1073</v>
      </c>
      <c r="J448" s="11" t="s">
        <v>430</v>
      </c>
    </row>
    <row r="449" spans="1:10" ht="18" customHeight="1" x14ac:dyDescent="0.25">
      <c r="A449" s="15">
        <f>SUBTOTAL(3,$B$11:B449)</f>
        <v>439</v>
      </c>
      <c r="B449" s="15">
        <v>11918</v>
      </c>
      <c r="C449" s="12" t="s">
        <v>920</v>
      </c>
      <c r="D449" s="13" t="s">
        <v>9</v>
      </c>
      <c r="E449" s="12">
        <v>5482211</v>
      </c>
      <c r="F449" s="12">
        <v>10365923</v>
      </c>
      <c r="G449" s="14">
        <f t="shared" si="12"/>
        <v>15848134</v>
      </c>
      <c r="H449" s="14">
        <f t="shared" si="13"/>
        <v>609.54361538461535</v>
      </c>
      <c r="I449" s="11" t="s">
        <v>1074</v>
      </c>
      <c r="J449" s="11" t="s">
        <v>430</v>
      </c>
    </row>
    <row r="450" spans="1:10" ht="18" customHeight="1" x14ac:dyDescent="0.25">
      <c r="A450" s="15">
        <f>SUBTOTAL(3,$B$11:B450)</f>
        <v>440</v>
      </c>
      <c r="B450" s="15">
        <v>11925</v>
      </c>
      <c r="C450" s="12" t="s">
        <v>921</v>
      </c>
      <c r="D450" s="13" t="s">
        <v>9</v>
      </c>
      <c r="E450" s="12">
        <v>4490481</v>
      </c>
      <c r="F450" s="12">
        <v>10336500</v>
      </c>
      <c r="G450" s="14">
        <f t="shared" si="12"/>
        <v>14826981</v>
      </c>
      <c r="H450" s="14">
        <f t="shared" si="13"/>
        <v>570.26850000000002</v>
      </c>
      <c r="I450" s="11" t="s">
        <v>1075</v>
      </c>
      <c r="J450" s="11" t="s">
        <v>430</v>
      </c>
    </row>
    <row r="451" spans="1:10" ht="18" customHeight="1" x14ac:dyDescent="0.25">
      <c r="A451" s="15">
        <f>SUBTOTAL(3,$B$11:B451)</f>
        <v>441</v>
      </c>
      <c r="B451" s="15">
        <v>11929</v>
      </c>
      <c r="C451" s="12" t="s">
        <v>923</v>
      </c>
      <c r="D451" s="13" t="s">
        <v>9</v>
      </c>
      <c r="E451" s="12">
        <v>5584327</v>
      </c>
      <c r="F451" s="12">
        <v>9348230</v>
      </c>
      <c r="G451" s="14">
        <f t="shared" si="12"/>
        <v>14932557</v>
      </c>
      <c r="H451" s="14">
        <f t="shared" si="13"/>
        <v>574.32911538461542</v>
      </c>
      <c r="I451" s="11" t="s">
        <v>1076</v>
      </c>
      <c r="J451" s="11" t="s">
        <v>696</v>
      </c>
    </row>
    <row r="452" spans="1:10" ht="18" customHeight="1" x14ac:dyDescent="0.25">
      <c r="A452" s="15">
        <f>SUBTOTAL(3,$B$11:B452)</f>
        <v>442</v>
      </c>
      <c r="B452" s="15">
        <v>11942</v>
      </c>
      <c r="C452" s="12" t="s">
        <v>924</v>
      </c>
      <c r="D452" s="13" t="s">
        <v>9</v>
      </c>
      <c r="E452" s="12">
        <v>5482211</v>
      </c>
      <c r="F452" s="12">
        <v>10419385</v>
      </c>
      <c r="G452" s="14">
        <f t="shared" si="12"/>
        <v>15901596</v>
      </c>
      <c r="H452" s="14">
        <f t="shared" si="13"/>
        <v>611.5998461538461</v>
      </c>
      <c r="I452" s="11" t="s">
        <v>1077</v>
      </c>
      <c r="J452" s="11" t="s">
        <v>430</v>
      </c>
    </row>
    <row r="453" spans="1:10" ht="18" customHeight="1" x14ac:dyDescent="0.25">
      <c r="A453" s="15">
        <f>SUBTOTAL(3,$B$11:B453)</f>
        <v>443</v>
      </c>
      <c r="B453" s="15">
        <v>11958</v>
      </c>
      <c r="C453" s="12" t="s">
        <v>925</v>
      </c>
      <c r="D453" s="13" t="s">
        <v>13</v>
      </c>
      <c r="E453" s="12">
        <v>5263918</v>
      </c>
      <c r="F453" s="12">
        <v>8212351</v>
      </c>
      <c r="G453" s="14">
        <f t="shared" si="12"/>
        <v>13476269</v>
      </c>
      <c r="H453" s="14">
        <f t="shared" si="13"/>
        <v>518.31803846153844</v>
      </c>
      <c r="I453" s="11" t="s">
        <v>1078</v>
      </c>
      <c r="J453" s="11" t="s">
        <v>430</v>
      </c>
    </row>
    <row r="454" spans="1:10" ht="18" customHeight="1" x14ac:dyDescent="0.25">
      <c r="A454" s="15">
        <f>SUBTOTAL(3,$B$11:B454)</f>
        <v>444</v>
      </c>
      <c r="B454" s="15">
        <v>11960</v>
      </c>
      <c r="C454" s="12" t="s">
        <v>926</v>
      </c>
      <c r="D454" s="13" t="s">
        <v>13</v>
      </c>
      <c r="E454" s="12">
        <v>5263918</v>
      </c>
      <c r="F454" s="12">
        <v>8212351</v>
      </c>
      <c r="G454" s="14">
        <f t="shared" si="12"/>
        <v>13476269</v>
      </c>
      <c r="H454" s="14">
        <f t="shared" si="13"/>
        <v>518.31803846153844</v>
      </c>
      <c r="I454" s="11" t="s">
        <v>1079</v>
      </c>
      <c r="J454" s="11" t="s">
        <v>430</v>
      </c>
    </row>
    <row r="455" spans="1:10" ht="18" customHeight="1" x14ac:dyDescent="0.25">
      <c r="A455" s="15">
        <f>SUBTOTAL(3,$B$11:B455)</f>
        <v>445</v>
      </c>
      <c r="B455" s="15">
        <v>11962</v>
      </c>
      <c r="C455" s="12" t="s">
        <v>927</v>
      </c>
      <c r="D455" s="13" t="s">
        <v>13</v>
      </c>
      <c r="E455" s="12">
        <v>4761274</v>
      </c>
      <c r="F455" s="12">
        <v>8158889</v>
      </c>
      <c r="G455" s="14">
        <f t="shared" si="12"/>
        <v>12920163</v>
      </c>
      <c r="H455" s="14">
        <f t="shared" si="13"/>
        <v>496.92934615384615</v>
      </c>
      <c r="I455" s="11" t="s">
        <v>1080</v>
      </c>
      <c r="J455" s="11" t="s">
        <v>430</v>
      </c>
    </row>
    <row r="456" spans="1:10" ht="18" customHeight="1" x14ac:dyDescent="0.25">
      <c r="A456" s="15">
        <f>SUBTOTAL(3,$B$11:B456)</f>
        <v>446</v>
      </c>
      <c r="B456" s="15">
        <v>11966</v>
      </c>
      <c r="C456" s="12" t="s">
        <v>928</v>
      </c>
      <c r="D456" s="13" t="s">
        <v>13</v>
      </c>
      <c r="E456" s="12">
        <v>4997128</v>
      </c>
      <c r="F456" s="12">
        <v>7956353</v>
      </c>
      <c r="G456" s="14">
        <f t="shared" si="12"/>
        <v>12953481</v>
      </c>
      <c r="H456" s="14">
        <f t="shared" si="13"/>
        <v>498.2108076923077</v>
      </c>
      <c r="I456" s="11" t="s">
        <v>1081</v>
      </c>
      <c r="J456" s="11" t="s">
        <v>430</v>
      </c>
    </row>
    <row r="457" spans="1:10" ht="18" customHeight="1" x14ac:dyDescent="0.25">
      <c r="A457" s="15">
        <f>SUBTOTAL(3,$B$11:B457)</f>
        <v>447</v>
      </c>
      <c r="B457" s="15">
        <v>11970</v>
      </c>
      <c r="C457" s="12" t="s">
        <v>929</v>
      </c>
      <c r="D457" s="13" t="s">
        <v>13</v>
      </c>
      <c r="E457" s="12">
        <v>5116082</v>
      </c>
      <c r="F457" s="12">
        <v>8212351</v>
      </c>
      <c r="G457" s="14">
        <f t="shared" si="12"/>
        <v>13328433</v>
      </c>
      <c r="H457" s="14">
        <f t="shared" si="13"/>
        <v>512.63203846153851</v>
      </c>
      <c r="I457" s="11" t="s">
        <v>1082</v>
      </c>
      <c r="J457" s="11" t="s">
        <v>757</v>
      </c>
    </row>
    <row r="458" spans="1:10" ht="18" customHeight="1" x14ac:dyDescent="0.25">
      <c r="A458" s="15">
        <f>SUBTOTAL(3,$B$11:B458)</f>
        <v>448</v>
      </c>
      <c r="B458" s="15">
        <v>11976</v>
      </c>
      <c r="C458" s="12" t="s">
        <v>930</v>
      </c>
      <c r="D458" s="13" t="s">
        <v>13</v>
      </c>
      <c r="E458" s="12">
        <v>3818077</v>
      </c>
      <c r="F458" s="12">
        <v>7981485</v>
      </c>
      <c r="G458" s="14">
        <f t="shared" si="12"/>
        <v>11799562</v>
      </c>
      <c r="H458" s="14">
        <f t="shared" si="13"/>
        <v>453.82930769230768</v>
      </c>
      <c r="I458" s="11" t="s">
        <v>1083</v>
      </c>
      <c r="J458" s="11" t="s">
        <v>757</v>
      </c>
    </row>
    <row r="459" spans="1:10" ht="18" customHeight="1" x14ac:dyDescent="0.25">
      <c r="A459" s="15">
        <f>SUBTOTAL(3,$B$11:B459)</f>
        <v>449</v>
      </c>
      <c r="B459" s="15">
        <v>11980</v>
      </c>
      <c r="C459" s="12" t="s">
        <v>931</v>
      </c>
      <c r="D459" s="13" t="s">
        <v>11</v>
      </c>
      <c r="E459" s="12">
        <v>7452131</v>
      </c>
      <c r="F459" s="12">
        <v>13890932</v>
      </c>
      <c r="G459" s="14">
        <f t="shared" si="12"/>
        <v>21343063</v>
      </c>
      <c r="H459" s="14">
        <f t="shared" si="13"/>
        <v>820.88703846153851</v>
      </c>
      <c r="I459" s="11" t="s">
        <v>1084</v>
      </c>
      <c r="J459" s="11" t="s">
        <v>825</v>
      </c>
    </row>
    <row r="460" spans="1:10" ht="18" customHeight="1" x14ac:dyDescent="0.25">
      <c r="A460" s="15">
        <f>SUBTOTAL(3,$B$11:B460)</f>
        <v>450</v>
      </c>
      <c r="B460" s="15">
        <v>11998</v>
      </c>
      <c r="C460" s="12" t="s">
        <v>932</v>
      </c>
      <c r="D460" s="13" t="s">
        <v>9</v>
      </c>
      <c r="E460" s="12">
        <v>4957789</v>
      </c>
      <c r="F460" s="12">
        <v>8880274</v>
      </c>
      <c r="G460" s="14">
        <f t="shared" ref="G460:G523" si="14">E460+F460</f>
        <v>13838063</v>
      </c>
      <c r="H460" s="14">
        <f t="shared" ref="H460:H523" si="15">G460/$J$1</f>
        <v>532.23319230769232</v>
      </c>
      <c r="I460" s="11" t="s">
        <v>1085</v>
      </c>
      <c r="J460" s="11" t="s">
        <v>696</v>
      </c>
    </row>
    <row r="461" spans="1:10" ht="18" customHeight="1" x14ac:dyDescent="0.25">
      <c r="A461" s="15">
        <f>SUBTOTAL(3,$B$11:B461)</f>
        <v>451</v>
      </c>
      <c r="B461" s="15">
        <v>12004</v>
      </c>
      <c r="C461" s="12" t="s">
        <v>934</v>
      </c>
      <c r="D461" s="13" t="s">
        <v>22</v>
      </c>
      <c r="E461" s="12">
        <v>2748912</v>
      </c>
      <c r="F461" s="12">
        <v>4997115</v>
      </c>
      <c r="G461" s="14">
        <f t="shared" si="14"/>
        <v>7746027</v>
      </c>
      <c r="H461" s="14">
        <f t="shared" si="15"/>
        <v>297.92411538461539</v>
      </c>
      <c r="I461" s="11" t="s">
        <v>1086</v>
      </c>
      <c r="J461" s="11" t="s">
        <v>430</v>
      </c>
    </row>
    <row r="462" spans="1:10" ht="18" customHeight="1" x14ac:dyDescent="0.25">
      <c r="A462" s="15">
        <f>SUBTOTAL(3,$B$11:B462)</f>
        <v>452</v>
      </c>
      <c r="B462" s="15">
        <v>12013</v>
      </c>
      <c r="C462" s="12" t="s">
        <v>936</v>
      </c>
      <c r="D462" s="13" t="s">
        <v>13</v>
      </c>
      <c r="E462" s="12">
        <v>9244397</v>
      </c>
      <c r="F462" s="12">
        <v>20328798</v>
      </c>
      <c r="G462" s="14">
        <f t="shared" si="14"/>
        <v>29573195</v>
      </c>
      <c r="H462" s="14">
        <f t="shared" si="15"/>
        <v>1137.4305769230768</v>
      </c>
      <c r="I462" s="11" t="s">
        <v>1088</v>
      </c>
      <c r="J462" s="11" t="s">
        <v>430</v>
      </c>
    </row>
    <row r="463" spans="1:10" ht="18" customHeight="1" x14ac:dyDescent="0.25">
      <c r="A463" s="15">
        <f>SUBTOTAL(3,$B$11:B463)</f>
        <v>453</v>
      </c>
      <c r="B463" s="15">
        <v>12020</v>
      </c>
      <c r="C463" s="12" t="s">
        <v>937</v>
      </c>
      <c r="D463" s="13" t="s">
        <v>13</v>
      </c>
      <c r="E463" s="12">
        <v>5241743</v>
      </c>
      <c r="F463" s="12">
        <v>7372832</v>
      </c>
      <c r="G463" s="14">
        <f t="shared" si="14"/>
        <v>12614575</v>
      </c>
      <c r="H463" s="14">
        <f t="shared" si="15"/>
        <v>485.17596153846154</v>
      </c>
      <c r="I463" s="11" t="s">
        <v>1089</v>
      </c>
      <c r="J463" s="11" t="s">
        <v>781</v>
      </c>
    </row>
    <row r="464" spans="1:10" ht="18" customHeight="1" x14ac:dyDescent="0.25">
      <c r="A464" s="15">
        <f>SUBTOTAL(3,$B$11:B464)</f>
        <v>454</v>
      </c>
      <c r="B464" s="15">
        <v>12023</v>
      </c>
      <c r="C464" s="12" t="s">
        <v>938</v>
      </c>
      <c r="D464" s="13" t="s">
        <v>13</v>
      </c>
      <c r="E464" s="12">
        <v>5241743</v>
      </c>
      <c r="F464" s="12">
        <v>8025836</v>
      </c>
      <c r="G464" s="14">
        <f t="shared" si="14"/>
        <v>13267579</v>
      </c>
      <c r="H464" s="14">
        <f t="shared" si="15"/>
        <v>510.29149999999998</v>
      </c>
      <c r="I464" s="11" t="s">
        <v>1090</v>
      </c>
      <c r="J464" s="11" t="s">
        <v>430</v>
      </c>
    </row>
    <row r="465" spans="1:10" ht="18" customHeight="1" x14ac:dyDescent="0.25">
      <c r="A465" s="15">
        <f>SUBTOTAL(3,$B$11:B465)</f>
        <v>455</v>
      </c>
      <c r="B465" s="15">
        <v>12085</v>
      </c>
      <c r="C465" s="12" t="s">
        <v>940</v>
      </c>
      <c r="D465" s="13" t="s">
        <v>13</v>
      </c>
      <c r="E465" s="12">
        <v>5116082</v>
      </c>
      <c r="F465" s="12">
        <v>8158889</v>
      </c>
      <c r="G465" s="14">
        <f t="shared" si="14"/>
        <v>13274971</v>
      </c>
      <c r="H465" s="14">
        <f t="shared" si="15"/>
        <v>510.57580769230771</v>
      </c>
      <c r="I465" s="11" t="s">
        <v>1091</v>
      </c>
      <c r="J465" s="11" t="s">
        <v>696</v>
      </c>
    </row>
    <row r="466" spans="1:10" ht="18" customHeight="1" x14ac:dyDescent="0.25">
      <c r="A466" s="15">
        <f>SUBTOTAL(3,$B$11:B466)</f>
        <v>456</v>
      </c>
      <c r="B466" s="15">
        <v>12086</v>
      </c>
      <c r="C466" s="12" t="s">
        <v>941</v>
      </c>
      <c r="D466" s="13" t="s">
        <v>13</v>
      </c>
      <c r="E466" s="12">
        <v>4983029</v>
      </c>
      <c r="F466" s="12">
        <v>7857543</v>
      </c>
      <c r="G466" s="14">
        <f t="shared" si="14"/>
        <v>12840572</v>
      </c>
      <c r="H466" s="14">
        <f t="shared" si="15"/>
        <v>493.86815384615386</v>
      </c>
      <c r="I466" s="11" t="s">
        <v>1092</v>
      </c>
      <c r="J466" s="11" t="s">
        <v>430</v>
      </c>
    </row>
    <row r="467" spans="1:10" ht="18" customHeight="1" x14ac:dyDescent="0.25">
      <c r="A467" s="15">
        <f>SUBTOTAL(3,$B$11:B467)</f>
        <v>457</v>
      </c>
      <c r="B467" s="15">
        <v>12093</v>
      </c>
      <c r="C467" s="12" t="s">
        <v>942</v>
      </c>
      <c r="D467" s="13" t="s">
        <v>18</v>
      </c>
      <c r="E467" s="12">
        <v>5046827</v>
      </c>
      <c r="F467" s="12">
        <v>8715082</v>
      </c>
      <c r="G467" s="14">
        <f t="shared" si="14"/>
        <v>13761909</v>
      </c>
      <c r="H467" s="14">
        <f t="shared" si="15"/>
        <v>529.30419230769235</v>
      </c>
      <c r="I467" s="11" t="s">
        <v>1093</v>
      </c>
      <c r="J467" s="11" t="s">
        <v>430</v>
      </c>
    </row>
    <row r="468" spans="1:10" ht="18" customHeight="1" x14ac:dyDescent="0.25">
      <c r="A468" s="15">
        <f>SUBTOTAL(3,$B$11:B468)</f>
        <v>458</v>
      </c>
      <c r="B468" s="15">
        <v>12100</v>
      </c>
      <c r="C468" s="12" t="s">
        <v>943</v>
      </c>
      <c r="D468" s="13" t="s">
        <v>13</v>
      </c>
      <c r="E468" s="12">
        <v>5263918</v>
      </c>
      <c r="F468" s="12">
        <v>8212351</v>
      </c>
      <c r="G468" s="14">
        <f t="shared" si="14"/>
        <v>13476269</v>
      </c>
      <c r="H468" s="14">
        <f t="shared" si="15"/>
        <v>518.31803846153844</v>
      </c>
      <c r="I468" s="11" t="s">
        <v>1094</v>
      </c>
      <c r="J468" s="11" t="s">
        <v>825</v>
      </c>
    </row>
    <row r="469" spans="1:10" ht="18" customHeight="1" x14ac:dyDescent="0.25">
      <c r="A469" s="15">
        <f>SUBTOTAL(3,$B$11:B469)</f>
        <v>459</v>
      </c>
      <c r="B469" s="15">
        <v>12109</v>
      </c>
      <c r="C469" s="12" t="s">
        <v>1171</v>
      </c>
      <c r="D469" s="13" t="s">
        <v>20</v>
      </c>
      <c r="E469" s="12">
        <v>5263918</v>
      </c>
      <c r="F469" s="12">
        <v>7547736</v>
      </c>
      <c r="G469" s="14">
        <f t="shared" si="14"/>
        <v>12811654</v>
      </c>
      <c r="H469" s="14">
        <f t="shared" si="15"/>
        <v>492.75592307692307</v>
      </c>
      <c r="I469" s="11" t="s">
        <v>1095</v>
      </c>
      <c r="J469" s="11" t="s">
        <v>430</v>
      </c>
    </row>
    <row r="470" spans="1:10" ht="18" customHeight="1" x14ac:dyDescent="0.25">
      <c r="A470" s="15">
        <f>SUBTOTAL(3,$B$11:B470)</f>
        <v>460</v>
      </c>
      <c r="B470" s="15">
        <v>12118</v>
      </c>
      <c r="C470" s="12" t="s">
        <v>944</v>
      </c>
      <c r="D470" s="13" t="s">
        <v>19</v>
      </c>
      <c r="E470" s="12">
        <v>4042764</v>
      </c>
      <c r="F470" s="12">
        <v>8286995</v>
      </c>
      <c r="G470" s="14">
        <f t="shared" si="14"/>
        <v>12329759</v>
      </c>
      <c r="H470" s="14">
        <f t="shared" si="15"/>
        <v>474.22149999999999</v>
      </c>
      <c r="I470" s="11" t="s">
        <v>1096</v>
      </c>
      <c r="J470" s="11" t="s">
        <v>825</v>
      </c>
    </row>
    <row r="471" spans="1:10" ht="18" customHeight="1" x14ac:dyDescent="0.25">
      <c r="A471" s="15">
        <f>SUBTOTAL(3,$B$11:B471)</f>
        <v>461</v>
      </c>
      <c r="B471" s="15">
        <v>12121</v>
      </c>
      <c r="C471" s="12" t="s">
        <v>945</v>
      </c>
      <c r="D471" s="13" t="s">
        <v>19</v>
      </c>
      <c r="E471" s="12">
        <v>4941202</v>
      </c>
      <c r="F471" s="12">
        <v>8055000</v>
      </c>
      <c r="G471" s="14">
        <f t="shared" si="14"/>
        <v>12996202</v>
      </c>
      <c r="H471" s="14">
        <f t="shared" si="15"/>
        <v>499.85392307692308</v>
      </c>
      <c r="I471" s="11" t="s">
        <v>1098</v>
      </c>
      <c r="J471" s="11" t="s">
        <v>430</v>
      </c>
    </row>
    <row r="472" spans="1:10" ht="18" customHeight="1" x14ac:dyDescent="0.25">
      <c r="A472" s="15">
        <f>SUBTOTAL(3,$B$11:B472)</f>
        <v>462</v>
      </c>
      <c r="B472" s="15">
        <v>12150</v>
      </c>
      <c r="C472" s="12" t="s">
        <v>946</v>
      </c>
      <c r="D472" s="13" t="s">
        <v>13</v>
      </c>
      <c r="E472" s="12">
        <v>4294399</v>
      </c>
      <c r="F472" s="12">
        <v>8311161</v>
      </c>
      <c r="G472" s="14">
        <f t="shared" si="14"/>
        <v>12605560</v>
      </c>
      <c r="H472" s="14">
        <f t="shared" si="15"/>
        <v>484.82923076923078</v>
      </c>
      <c r="I472" s="11" t="s">
        <v>1099</v>
      </c>
      <c r="J472" s="11" t="s">
        <v>1097</v>
      </c>
    </row>
    <row r="473" spans="1:10" ht="18" customHeight="1" x14ac:dyDescent="0.25">
      <c r="A473" s="15">
        <f>SUBTOTAL(3,$B$11:B473)</f>
        <v>463</v>
      </c>
      <c r="B473" s="15">
        <v>12156</v>
      </c>
      <c r="C473" s="12" t="s">
        <v>947</v>
      </c>
      <c r="D473" s="13" t="s">
        <v>13</v>
      </c>
      <c r="E473" s="12">
        <v>5263918</v>
      </c>
      <c r="F473" s="12">
        <v>8158889</v>
      </c>
      <c r="G473" s="14">
        <f t="shared" si="14"/>
        <v>13422807</v>
      </c>
      <c r="H473" s="14">
        <f t="shared" si="15"/>
        <v>516.26180769230768</v>
      </c>
      <c r="I473" s="11" t="s">
        <v>1100</v>
      </c>
      <c r="J473" s="11" t="s">
        <v>430</v>
      </c>
    </row>
    <row r="474" spans="1:10" ht="18" customHeight="1" x14ac:dyDescent="0.25">
      <c r="A474" s="15">
        <f>SUBTOTAL(3,$B$11:B474)</f>
        <v>464</v>
      </c>
      <c r="B474" s="15">
        <v>12161</v>
      </c>
      <c r="C474" s="12" t="s">
        <v>949</v>
      </c>
      <c r="D474" s="13" t="s">
        <v>13</v>
      </c>
      <c r="E474" s="12">
        <v>4613437</v>
      </c>
      <c r="F474" s="12">
        <v>8070043</v>
      </c>
      <c r="G474" s="14">
        <f t="shared" si="14"/>
        <v>12683480</v>
      </c>
      <c r="H474" s="14">
        <f t="shared" si="15"/>
        <v>487.82615384615383</v>
      </c>
      <c r="I474" s="11" t="s">
        <v>1102</v>
      </c>
      <c r="J474" s="11" t="s">
        <v>749</v>
      </c>
    </row>
    <row r="475" spans="1:10" ht="18" customHeight="1" x14ac:dyDescent="0.25">
      <c r="A475" s="15">
        <f>SUBTOTAL(3,$B$11:B475)</f>
        <v>465</v>
      </c>
      <c r="B475" s="15">
        <v>12177</v>
      </c>
      <c r="C475" s="12" t="s">
        <v>951</v>
      </c>
      <c r="D475" s="13" t="s">
        <v>19</v>
      </c>
      <c r="E475" s="12">
        <v>4782500</v>
      </c>
      <c r="F475" s="12">
        <v>8085673</v>
      </c>
      <c r="G475" s="14">
        <f t="shared" si="14"/>
        <v>12868173</v>
      </c>
      <c r="H475" s="14">
        <f t="shared" si="15"/>
        <v>494.92973076923079</v>
      </c>
      <c r="I475" s="11" t="s">
        <v>1104</v>
      </c>
      <c r="J475" s="11" t="s">
        <v>1097</v>
      </c>
    </row>
    <row r="476" spans="1:10" ht="18" customHeight="1" x14ac:dyDescent="0.25">
      <c r="A476" s="15">
        <f>SUBTOTAL(3,$B$11:B476)</f>
        <v>466</v>
      </c>
      <c r="B476" s="15">
        <v>12202</v>
      </c>
      <c r="C476" s="12" t="s">
        <v>952</v>
      </c>
      <c r="D476" s="13" t="s">
        <v>19</v>
      </c>
      <c r="E476" s="12">
        <v>4782500</v>
      </c>
      <c r="F476" s="12">
        <v>8106706</v>
      </c>
      <c r="G476" s="14">
        <f t="shared" si="14"/>
        <v>12889206</v>
      </c>
      <c r="H476" s="14">
        <f t="shared" si="15"/>
        <v>495.7386923076923</v>
      </c>
      <c r="I476" s="11" t="s">
        <v>1105</v>
      </c>
      <c r="J476" s="11" t="s">
        <v>825</v>
      </c>
    </row>
    <row r="477" spans="1:10" ht="18" customHeight="1" x14ac:dyDescent="0.25">
      <c r="A477" s="15">
        <f>SUBTOTAL(3,$B$11:B477)</f>
        <v>467</v>
      </c>
      <c r="B477" s="15">
        <v>12203</v>
      </c>
      <c r="C477" s="12" t="s">
        <v>953</v>
      </c>
      <c r="D477" s="13" t="s">
        <v>29</v>
      </c>
      <c r="E477" s="12">
        <v>7243748</v>
      </c>
      <c r="F477" s="12">
        <v>15651347</v>
      </c>
      <c r="G477" s="14">
        <f t="shared" si="14"/>
        <v>22895095</v>
      </c>
      <c r="H477" s="14">
        <f t="shared" si="15"/>
        <v>880.58057692307693</v>
      </c>
      <c r="I477" s="11" t="s">
        <v>1106</v>
      </c>
      <c r="J477" s="11" t="s">
        <v>430</v>
      </c>
    </row>
    <row r="478" spans="1:10" ht="18" customHeight="1" x14ac:dyDescent="0.25">
      <c r="A478" s="15">
        <f>SUBTOTAL(3,$B$11:B478)</f>
        <v>468</v>
      </c>
      <c r="B478" s="15">
        <v>12205</v>
      </c>
      <c r="C478" s="12" t="s">
        <v>954</v>
      </c>
      <c r="D478" s="13" t="s">
        <v>8</v>
      </c>
      <c r="E478" s="12">
        <v>5933499</v>
      </c>
      <c r="F478" s="12">
        <v>9344140</v>
      </c>
      <c r="G478" s="14">
        <f t="shared" si="14"/>
        <v>15277639</v>
      </c>
      <c r="H478" s="14">
        <f t="shared" si="15"/>
        <v>587.60149999999999</v>
      </c>
      <c r="I478" s="11" t="s">
        <v>1107</v>
      </c>
      <c r="J478" s="11" t="s">
        <v>430</v>
      </c>
    </row>
    <row r="479" spans="1:10" ht="18" customHeight="1" x14ac:dyDescent="0.25">
      <c r="A479" s="15">
        <f>SUBTOTAL(3,$B$11:B479)</f>
        <v>469</v>
      </c>
      <c r="B479" s="15">
        <v>12221</v>
      </c>
      <c r="C479" s="12" t="s">
        <v>955</v>
      </c>
      <c r="D479" s="13" t="s">
        <v>13</v>
      </c>
      <c r="E479" s="12">
        <v>8969411</v>
      </c>
      <c r="F479" s="12">
        <v>14868315</v>
      </c>
      <c r="G479" s="14">
        <f t="shared" si="14"/>
        <v>23837726</v>
      </c>
      <c r="H479" s="14">
        <f t="shared" si="15"/>
        <v>916.83561538461538</v>
      </c>
      <c r="I479" s="11" t="s">
        <v>1109</v>
      </c>
      <c r="J479" s="11" t="s">
        <v>430</v>
      </c>
    </row>
    <row r="480" spans="1:10" ht="18" customHeight="1" x14ac:dyDescent="0.25">
      <c r="A480" s="15">
        <f>SUBTOTAL(3,$B$11:B480)</f>
        <v>470</v>
      </c>
      <c r="B480" s="15">
        <v>12223</v>
      </c>
      <c r="C480" s="12" t="s">
        <v>956</v>
      </c>
      <c r="D480" s="13" t="s">
        <v>27</v>
      </c>
      <c r="E480" s="12">
        <v>6173715</v>
      </c>
      <c r="F480" s="12">
        <v>12615866</v>
      </c>
      <c r="G480" s="14">
        <f t="shared" si="14"/>
        <v>18789581</v>
      </c>
      <c r="H480" s="14">
        <f t="shared" si="15"/>
        <v>722.6761923076923</v>
      </c>
      <c r="I480" s="11" t="s">
        <v>1110</v>
      </c>
      <c r="J480" s="11" t="s">
        <v>430</v>
      </c>
    </row>
    <row r="481" spans="1:10" ht="18" customHeight="1" x14ac:dyDescent="0.25">
      <c r="A481" s="15">
        <f>SUBTOTAL(3,$B$11:B481)</f>
        <v>471</v>
      </c>
      <c r="B481" s="15">
        <v>12230</v>
      </c>
      <c r="C481" s="12" t="s">
        <v>248</v>
      </c>
      <c r="D481" s="13" t="s">
        <v>9</v>
      </c>
      <c r="E481" s="12">
        <v>5968306</v>
      </c>
      <c r="F481" s="12">
        <v>11855288</v>
      </c>
      <c r="G481" s="14">
        <f t="shared" si="14"/>
        <v>17823594</v>
      </c>
      <c r="H481" s="14">
        <f t="shared" si="15"/>
        <v>685.5228461538461</v>
      </c>
      <c r="I481" s="11" t="s">
        <v>654</v>
      </c>
      <c r="J481" s="11" t="s">
        <v>825</v>
      </c>
    </row>
    <row r="482" spans="1:10" ht="18" customHeight="1" x14ac:dyDescent="0.25">
      <c r="A482" s="15">
        <f>SUBTOTAL(3,$B$11:B482)</f>
        <v>472</v>
      </c>
      <c r="B482" s="15">
        <v>12232</v>
      </c>
      <c r="C482" s="12" t="s">
        <v>957</v>
      </c>
      <c r="D482" s="13" t="s">
        <v>13</v>
      </c>
      <c r="E482" s="12">
        <v>3574170</v>
      </c>
      <c r="F482" s="12">
        <v>6837087</v>
      </c>
      <c r="G482" s="14">
        <f t="shared" si="14"/>
        <v>10411257</v>
      </c>
      <c r="H482" s="14">
        <f t="shared" si="15"/>
        <v>400.43296153846154</v>
      </c>
      <c r="I482" s="11" t="s">
        <v>1111</v>
      </c>
      <c r="J482" s="11" t="s">
        <v>430</v>
      </c>
    </row>
    <row r="483" spans="1:10" ht="18" customHeight="1" x14ac:dyDescent="0.25">
      <c r="A483" s="15">
        <f>SUBTOTAL(3,$B$11:B483)</f>
        <v>473</v>
      </c>
      <c r="B483" s="15">
        <v>12241</v>
      </c>
      <c r="C483" s="12" t="s">
        <v>958</v>
      </c>
      <c r="D483" s="13" t="s">
        <v>13</v>
      </c>
      <c r="E483" s="12">
        <v>5263918</v>
      </c>
      <c r="F483" s="12">
        <v>6953625</v>
      </c>
      <c r="G483" s="14">
        <f t="shared" si="14"/>
        <v>12217543</v>
      </c>
      <c r="H483" s="14">
        <f t="shared" si="15"/>
        <v>469.90550000000002</v>
      </c>
      <c r="I483" s="11" t="s">
        <v>1112</v>
      </c>
      <c r="J483" s="11" t="s">
        <v>1097</v>
      </c>
    </row>
    <row r="484" spans="1:10" ht="18" customHeight="1" x14ac:dyDescent="0.25">
      <c r="A484" s="15">
        <f>SUBTOTAL(3,$B$11:B484)</f>
        <v>474</v>
      </c>
      <c r="B484" s="15">
        <v>12249</v>
      </c>
      <c r="C484" s="12" t="s">
        <v>960</v>
      </c>
      <c r="D484" s="13" t="s">
        <v>13</v>
      </c>
      <c r="E484" s="12">
        <v>4610913</v>
      </c>
      <c r="F484" s="12">
        <v>7146786</v>
      </c>
      <c r="G484" s="14">
        <f t="shared" si="14"/>
        <v>11757699</v>
      </c>
      <c r="H484" s="14">
        <f t="shared" si="15"/>
        <v>452.21919230769231</v>
      </c>
      <c r="I484" s="11" t="s">
        <v>1114</v>
      </c>
      <c r="J484" s="11" t="s">
        <v>430</v>
      </c>
    </row>
    <row r="485" spans="1:10" ht="18" customHeight="1" x14ac:dyDescent="0.25">
      <c r="A485" s="15">
        <f>SUBTOTAL(3,$B$11:B485)</f>
        <v>475</v>
      </c>
      <c r="B485" s="15">
        <v>12253</v>
      </c>
      <c r="C485" s="12" t="s">
        <v>962</v>
      </c>
      <c r="D485" s="13" t="s">
        <v>13</v>
      </c>
      <c r="E485" s="12">
        <v>8459500</v>
      </c>
      <c r="F485" s="12">
        <v>11606310</v>
      </c>
      <c r="G485" s="14">
        <f t="shared" si="14"/>
        <v>20065810</v>
      </c>
      <c r="H485" s="14">
        <f t="shared" si="15"/>
        <v>771.76192307692304</v>
      </c>
      <c r="I485" s="11" t="s">
        <v>1116</v>
      </c>
      <c r="J485" s="11" t="s">
        <v>696</v>
      </c>
    </row>
    <row r="486" spans="1:10" ht="18" customHeight="1" x14ac:dyDescent="0.25">
      <c r="A486" s="15">
        <f>SUBTOTAL(3,$B$11:B486)</f>
        <v>476</v>
      </c>
      <c r="B486" s="15">
        <v>12262</v>
      </c>
      <c r="C486" s="12" t="s">
        <v>963</v>
      </c>
      <c r="D486" s="13" t="s">
        <v>20</v>
      </c>
      <c r="E486" s="12">
        <v>5219567</v>
      </c>
      <c r="F486" s="12">
        <v>7655091</v>
      </c>
      <c r="G486" s="14">
        <f t="shared" si="14"/>
        <v>12874658</v>
      </c>
      <c r="H486" s="14">
        <f t="shared" si="15"/>
        <v>495.17915384615384</v>
      </c>
      <c r="I486" s="11" t="s">
        <v>1117</v>
      </c>
      <c r="J486" s="11" t="s">
        <v>430</v>
      </c>
    </row>
    <row r="487" spans="1:10" ht="18" customHeight="1" x14ac:dyDescent="0.25">
      <c r="A487" s="15">
        <f>SUBTOTAL(3,$B$11:B487)</f>
        <v>477</v>
      </c>
      <c r="B487" s="15">
        <v>12266</v>
      </c>
      <c r="C487" s="12" t="s">
        <v>964</v>
      </c>
      <c r="D487" s="13" t="s">
        <v>13</v>
      </c>
      <c r="E487" s="12">
        <v>5219567</v>
      </c>
      <c r="F487" s="12">
        <v>8136714</v>
      </c>
      <c r="G487" s="14">
        <f t="shared" si="14"/>
        <v>13356281</v>
      </c>
      <c r="H487" s="14">
        <f t="shared" si="15"/>
        <v>513.70311538461533</v>
      </c>
      <c r="I487" s="11" t="s">
        <v>1118</v>
      </c>
      <c r="J487" s="11" t="s">
        <v>430</v>
      </c>
    </row>
    <row r="488" spans="1:10" ht="18" customHeight="1" x14ac:dyDescent="0.25">
      <c r="A488" s="15">
        <f>SUBTOTAL(3,$B$11:B488)</f>
        <v>478</v>
      </c>
      <c r="B488" s="15">
        <v>12272</v>
      </c>
      <c r="C488" s="12" t="s">
        <v>965</v>
      </c>
      <c r="D488" s="13" t="s">
        <v>19</v>
      </c>
      <c r="E488" s="12">
        <v>4813497</v>
      </c>
      <c r="F488" s="12">
        <v>7470745</v>
      </c>
      <c r="G488" s="14">
        <f t="shared" si="14"/>
        <v>12284242</v>
      </c>
      <c r="H488" s="14">
        <f t="shared" si="15"/>
        <v>472.47084615384614</v>
      </c>
      <c r="I488" s="11" t="s">
        <v>1119</v>
      </c>
      <c r="J488" s="11" t="s">
        <v>696</v>
      </c>
    </row>
    <row r="489" spans="1:10" ht="18" customHeight="1" x14ac:dyDescent="0.25">
      <c r="A489" s="15">
        <f>SUBTOTAL(3,$B$11:B489)</f>
        <v>479</v>
      </c>
      <c r="B489" s="15">
        <v>12276</v>
      </c>
      <c r="C489" s="12" t="s">
        <v>966</v>
      </c>
      <c r="D489" s="13" t="s">
        <v>9</v>
      </c>
      <c r="E489" s="12">
        <v>5719327</v>
      </c>
      <c r="F489" s="12">
        <v>9504000</v>
      </c>
      <c r="G489" s="14">
        <f t="shared" si="14"/>
        <v>15223327</v>
      </c>
      <c r="H489" s="14">
        <f t="shared" si="15"/>
        <v>585.51257692307695</v>
      </c>
      <c r="I489" s="11" t="s">
        <v>1120</v>
      </c>
      <c r="J489" s="11" t="s">
        <v>1097</v>
      </c>
    </row>
    <row r="490" spans="1:10" ht="18" customHeight="1" x14ac:dyDescent="0.25">
      <c r="A490" s="15">
        <f>SUBTOTAL(3,$B$11:B490)</f>
        <v>480</v>
      </c>
      <c r="B490" s="15">
        <v>12338</v>
      </c>
      <c r="C490" s="12" t="s">
        <v>967</v>
      </c>
      <c r="D490" s="13" t="s">
        <v>13</v>
      </c>
      <c r="E490" s="12">
        <v>5034771</v>
      </c>
      <c r="F490" s="12">
        <v>6639129</v>
      </c>
      <c r="G490" s="14">
        <f t="shared" si="14"/>
        <v>11673900</v>
      </c>
      <c r="H490" s="14">
        <f t="shared" si="15"/>
        <v>448.99615384615385</v>
      </c>
      <c r="I490" s="11" t="s">
        <v>1121</v>
      </c>
      <c r="J490" s="11" t="s">
        <v>1097</v>
      </c>
    </row>
    <row r="491" spans="1:10" ht="18" customHeight="1" x14ac:dyDescent="0.25">
      <c r="A491" s="15">
        <f>SUBTOTAL(3,$B$11:B491)</f>
        <v>481</v>
      </c>
      <c r="B491" s="15">
        <v>12344</v>
      </c>
      <c r="C491" s="12" t="s">
        <v>968</v>
      </c>
      <c r="D491" s="13" t="s">
        <v>16</v>
      </c>
      <c r="E491" s="12">
        <v>8278498</v>
      </c>
      <c r="F491" s="12">
        <v>11613678</v>
      </c>
      <c r="G491" s="14">
        <f t="shared" si="14"/>
        <v>19892176</v>
      </c>
      <c r="H491" s="14">
        <f t="shared" si="15"/>
        <v>765.08369230769233</v>
      </c>
      <c r="I491" s="11" t="s">
        <v>1122</v>
      </c>
      <c r="J491" s="11" t="s">
        <v>1097</v>
      </c>
    </row>
    <row r="492" spans="1:10" ht="18" customHeight="1" x14ac:dyDescent="0.25">
      <c r="A492" s="15">
        <f>SUBTOTAL(3,$B$11:B492)</f>
        <v>482</v>
      </c>
      <c r="B492" s="15">
        <v>12351</v>
      </c>
      <c r="C492" s="12" t="s">
        <v>413</v>
      </c>
      <c r="D492" s="13" t="s">
        <v>14</v>
      </c>
      <c r="E492" s="12">
        <v>4761274</v>
      </c>
      <c r="F492" s="12">
        <v>8025837</v>
      </c>
      <c r="G492" s="14">
        <f t="shared" si="14"/>
        <v>12787111</v>
      </c>
      <c r="H492" s="14">
        <f t="shared" si="15"/>
        <v>491.81196153846156</v>
      </c>
      <c r="I492" s="11" t="s">
        <v>841</v>
      </c>
      <c r="J492" s="11" t="s">
        <v>825</v>
      </c>
    </row>
    <row r="493" spans="1:10" ht="18" customHeight="1" x14ac:dyDescent="0.25">
      <c r="A493" s="15">
        <f>SUBTOTAL(3,$B$11:B493)</f>
        <v>483</v>
      </c>
      <c r="B493" s="15">
        <v>12354</v>
      </c>
      <c r="C493" s="12" t="s">
        <v>969</v>
      </c>
      <c r="D493" s="13" t="s">
        <v>13</v>
      </c>
      <c r="E493" s="12">
        <v>5041479</v>
      </c>
      <c r="F493" s="12">
        <v>8199959</v>
      </c>
      <c r="G493" s="14">
        <f t="shared" si="14"/>
        <v>13241438</v>
      </c>
      <c r="H493" s="14">
        <f t="shared" si="15"/>
        <v>509.28607692307691</v>
      </c>
      <c r="I493" s="11" t="s">
        <v>1123</v>
      </c>
      <c r="J493" s="11" t="s">
        <v>1097</v>
      </c>
    </row>
    <row r="494" spans="1:10" ht="18" customHeight="1" x14ac:dyDescent="0.25">
      <c r="A494" s="15">
        <f>SUBTOTAL(3,$B$11:B494)</f>
        <v>484</v>
      </c>
      <c r="B494" s="15">
        <v>12359</v>
      </c>
      <c r="C494" s="12" t="s">
        <v>970</v>
      </c>
      <c r="D494" s="13" t="s">
        <v>13</v>
      </c>
      <c r="E494" s="12">
        <v>4332548</v>
      </c>
      <c r="F494" s="12">
        <v>8136678</v>
      </c>
      <c r="G494" s="14">
        <f t="shared" si="14"/>
        <v>12469226</v>
      </c>
      <c r="H494" s="14">
        <f t="shared" si="15"/>
        <v>479.58561538461538</v>
      </c>
      <c r="I494" s="11" t="s">
        <v>1124</v>
      </c>
      <c r="J494" s="11" t="s">
        <v>1097</v>
      </c>
    </row>
    <row r="495" spans="1:10" ht="18" customHeight="1" x14ac:dyDescent="0.25">
      <c r="A495" s="15">
        <f>SUBTOTAL(3,$B$11:B495)</f>
        <v>485</v>
      </c>
      <c r="B495" s="15">
        <v>12370</v>
      </c>
      <c r="C495" s="12" t="s">
        <v>971</v>
      </c>
      <c r="D495" s="13" t="s">
        <v>13</v>
      </c>
      <c r="E495" s="12">
        <v>5130865</v>
      </c>
      <c r="F495" s="12">
        <v>7946245</v>
      </c>
      <c r="G495" s="14">
        <f t="shared" si="14"/>
        <v>13077110</v>
      </c>
      <c r="H495" s="14">
        <f t="shared" si="15"/>
        <v>502.96576923076924</v>
      </c>
      <c r="I495" s="11" t="s">
        <v>1125</v>
      </c>
      <c r="J495" s="11" t="s">
        <v>1097</v>
      </c>
    </row>
    <row r="496" spans="1:10" ht="18" customHeight="1" x14ac:dyDescent="0.25">
      <c r="A496" s="15">
        <f>SUBTOTAL(3,$B$11:B496)</f>
        <v>486</v>
      </c>
      <c r="B496" s="15">
        <v>12376</v>
      </c>
      <c r="C496" s="12" t="s">
        <v>410</v>
      </c>
      <c r="D496" s="13" t="s">
        <v>9</v>
      </c>
      <c r="E496" s="12">
        <v>5719327</v>
      </c>
      <c r="F496" s="12">
        <v>9192461</v>
      </c>
      <c r="G496" s="14">
        <f t="shared" si="14"/>
        <v>14911788</v>
      </c>
      <c r="H496" s="14">
        <f t="shared" si="15"/>
        <v>573.5303076923077</v>
      </c>
      <c r="I496" s="11" t="s">
        <v>1126</v>
      </c>
      <c r="J496" s="11" t="s">
        <v>1097</v>
      </c>
    </row>
    <row r="497" spans="1:10" ht="18" customHeight="1" x14ac:dyDescent="0.25">
      <c r="A497" s="15">
        <f>SUBTOTAL(3,$B$11:B497)</f>
        <v>487</v>
      </c>
      <c r="B497" s="15">
        <v>12388</v>
      </c>
      <c r="C497" s="12" t="s">
        <v>56</v>
      </c>
      <c r="D497" s="13" t="s">
        <v>9</v>
      </c>
      <c r="E497" s="12">
        <v>11140097</v>
      </c>
      <c r="F497" s="12">
        <v>19534552</v>
      </c>
      <c r="G497" s="14">
        <f t="shared" si="14"/>
        <v>30674649</v>
      </c>
      <c r="H497" s="14">
        <f t="shared" si="15"/>
        <v>1179.7941923076924</v>
      </c>
      <c r="I497" s="11" t="s">
        <v>450</v>
      </c>
      <c r="J497" s="11" t="s">
        <v>825</v>
      </c>
    </row>
    <row r="498" spans="1:10" ht="18" customHeight="1" x14ac:dyDescent="0.25">
      <c r="A498" s="15">
        <f>SUBTOTAL(3,$B$11:B498)</f>
        <v>488</v>
      </c>
      <c r="B498" s="15">
        <v>12389</v>
      </c>
      <c r="C498" s="12" t="s">
        <v>168</v>
      </c>
      <c r="D498" s="13" t="s">
        <v>9</v>
      </c>
      <c r="E498" s="12">
        <v>12146058</v>
      </c>
      <c r="F498" s="12">
        <v>21550262</v>
      </c>
      <c r="G498" s="14">
        <f t="shared" si="14"/>
        <v>33696320</v>
      </c>
      <c r="H498" s="14">
        <f t="shared" si="15"/>
        <v>1296.0123076923078</v>
      </c>
      <c r="I498" s="11" t="s">
        <v>566</v>
      </c>
      <c r="J498" s="11" t="s">
        <v>825</v>
      </c>
    </row>
    <row r="499" spans="1:10" ht="18" customHeight="1" x14ac:dyDescent="0.25">
      <c r="A499" s="15">
        <f>SUBTOTAL(3,$B$11:B499)</f>
        <v>489</v>
      </c>
      <c r="B499" s="15">
        <v>12396</v>
      </c>
      <c r="C499" s="12" t="s">
        <v>972</v>
      </c>
      <c r="D499" s="13" t="s">
        <v>18</v>
      </c>
      <c r="E499" s="12">
        <v>3864844</v>
      </c>
      <c r="F499" s="12">
        <v>8872940</v>
      </c>
      <c r="G499" s="14">
        <f t="shared" si="14"/>
        <v>12737784</v>
      </c>
      <c r="H499" s="14">
        <f t="shared" si="15"/>
        <v>489.91476923076925</v>
      </c>
      <c r="I499" s="11" t="s">
        <v>1127</v>
      </c>
      <c r="J499" s="11" t="s">
        <v>749</v>
      </c>
    </row>
    <row r="500" spans="1:10" ht="18" customHeight="1" x14ac:dyDescent="0.25">
      <c r="A500" s="15">
        <f>SUBTOTAL(3,$B$11:B500)</f>
        <v>490</v>
      </c>
      <c r="B500" s="15">
        <v>12404</v>
      </c>
      <c r="C500" s="12" t="s">
        <v>973</v>
      </c>
      <c r="D500" s="13" t="s">
        <v>1008</v>
      </c>
      <c r="E500" s="12">
        <v>4024038</v>
      </c>
      <c r="F500" s="12">
        <v>6777366</v>
      </c>
      <c r="G500" s="14">
        <f t="shared" si="14"/>
        <v>10801404</v>
      </c>
      <c r="H500" s="14">
        <f t="shared" si="15"/>
        <v>415.43861538461539</v>
      </c>
      <c r="I500" s="11" t="s">
        <v>1128</v>
      </c>
      <c r="J500" s="11" t="s">
        <v>1129</v>
      </c>
    </row>
    <row r="501" spans="1:10" ht="18" customHeight="1" x14ac:dyDescent="0.25">
      <c r="A501" s="15">
        <f>SUBTOTAL(3,$B$11:B501)</f>
        <v>491</v>
      </c>
      <c r="B501" s="15">
        <v>12414</v>
      </c>
      <c r="C501" s="12" t="s">
        <v>974</v>
      </c>
      <c r="D501" s="13" t="s">
        <v>20</v>
      </c>
      <c r="E501" s="12">
        <v>5197392</v>
      </c>
      <c r="F501" s="12">
        <v>7711293</v>
      </c>
      <c r="G501" s="14">
        <f t="shared" si="14"/>
        <v>12908685</v>
      </c>
      <c r="H501" s="14">
        <f t="shared" si="15"/>
        <v>496.48788461538459</v>
      </c>
      <c r="I501" s="11" t="s">
        <v>1130</v>
      </c>
      <c r="J501" s="11" t="s">
        <v>1097</v>
      </c>
    </row>
    <row r="502" spans="1:10" ht="18" customHeight="1" x14ac:dyDescent="0.25">
      <c r="A502" s="15">
        <f>SUBTOTAL(3,$B$11:B502)</f>
        <v>492</v>
      </c>
      <c r="B502" s="15">
        <v>12418</v>
      </c>
      <c r="C502" s="12" t="s">
        <v>975</v>
      </c>
      <c r="D502" s="13" t="s">
        <v>12</v>
      </c>
      <c r="E502" s="12">
        <v>5254125</v>
      </c>
      <c r="F502" s="12">
        <v>9686550</v>
      </c>
      <c r="G502" s="14">
        <f t="shared" si="14"/>
        <v>14940675</v>
      </c>
      <c r="H502" s="14">
        <f t="shared" si="15"/>
        <v>574.64134615384614</v>
      </c>
      <c r="I502" s="11" t="s">
        <v>1131</v>
      </c>
      <c r="J502" s="11" t="s">
        <v>1097</v>
      </c>
    </row>
    <row r="503" spans="1:10" ht="18" customHeight="1" x14ac:dyDescent="0.25">
      <c r="A503" s="15">
        <f>SUBTOTAL(3,$B$11:B503)</f>
        <v>493</v>
      </c>
      <c r="B503" s="15">
        <v>12423</v>
      </c>
      <c r="C503" s="12" t="s">
        <v>976</v>
      </c>
      <c r="D503" s="13" t="s">
        <v>9</v>
      </c>
      <c r="E503" s="12">
        <v>5584327</v>
      </c>
      <c r="F503" s="12">
        <v>9348230</v>
      </c>
      <c r="G503" s="14">
        <f t="shared" si="14"/>
        <v>14932557</v>
      </c>
      <c r="H503" s="14">
        <f t="shared" si="15"/>
        <v>574.32911538461542</v>
      </c>
      <c r="I503" s="11" t="s">
        <v>1132</v>
      </c>
      <c r="J503" s="11" t="s">
        <v>1097</v>
      </c>
    </row>
    <row r="504" spans="1:10" ht="18" customHeight="1" x14ac:dyDescent="0.25">
      <c r="A504" s="15">
        <f>SUBTOTAL(3,$B$11:B504)</f>
        <v>494</v>
      </c>
      <c r="B504" s="15">
        <v>12424</v>
      </c>
      <c r="C504" s="12" t="s">
        <v>977</v>
      </c>
      <c r="D504" s="13" t="s">
        <v>9</v>
      </c>
      <c r="E504" s="12">
        <v>4822789</v>
      </c>
      <c r="F504" s="12">
        <v>9504000</v>
      </c>
      <c r="G504" s="14">
        <f t="shared" si="14"/>
        <v>14326789</v>
      </c>
      <c r="H504" s="14">
        <f t="shared" si="15"/>
        <v>551.03034615384615</v>
      </c>
      <c r="I504" s="11" t="s">
        <v>1133</v>
      </c>
      <c r="J504" s="11" t="s">
        <v>750</v>
      </c>
    </row>
    <row r="505" spans="1:10" ht="18" customHeight="1" x14ac:dyDescent="0.25">
      <c r="A505" s="15">
        <f>SUBTOTAL(3,$B$11:B505)</f>
        <v>495</v>
      </c>
      <c r="B505" s="15">
        <v>12425</v>
      </c>
      <c r="C505" s="12" t="s">
        <v>978</v>
      </c>
      <c r="D505" s="13" t="s">
        <v>14</v>
      </c>
      <c r="E505" s="12">
        <v>4909110</v>
      </c>
      <c r="F505" s="12">
        <v>7360572</v>
      </c>
      <c r="G505" s="14">
        <f t="shared" si="14"/>
        <v>12269682</v>
      </c>
      <c r="H505" s="14">
        <f t="shared" si="15"/>
        <v>471.91084615384614</v>
      </c>
      <c r="I505" s="11" t="s">
        <v>1134</v>
      </c>
      <c r="J505" s="11" t="s">
        <v>749</v>
      </c>
    </row>
    <row r="506" spans="1:10" ht="18" customHeight="1" x14ac:dyDescent="0.25">
      <c r="A506" s="15">
        <f>SUBTOTAL(3,$B$11:B506)</f>
        <v>496</v>
      </c>
      <c r="B506" s="15">
        <v>12431</v>
      </c>
      <c r="C506" s="12" t="s">
        <v>979</v>
      </c>
      <c r="D506" s="13" t="s">
        <v>9</v>
      </c>
      <c r="E506" s="12">
        <v>4585673</v>
      </c>
      <c r="F506" s="12">
        <v>7897414</v>
      </c>
      <c r="G506" s="14">
        <f t="shared" si="14"/>
        <v>12483087</v>
      </c>
      <c r="H506" s="14">
        <f t="shared" si="15"/>
        <v>480.11873076923075</v>
      </c>
      <c r="I506" s="11" t="s">
        <v>1135</v>
      </c>
      <c r="J506" s="11" t="s">
        <v>696</v>
      </c>
    </row>
    <row r="507" spans="1:10" ht="18" customHeight="1" x14ac:dyDescent="0.25">
      <c r="A507" s="15">
        <f>SUBTOTAL(3,$B$11:B507)</f>
        <v>497</v>
      </c>
      <c r="B507" s="15">
        <v>12437</v>
      </c>
      <c r="C507" s="12" t="s">
        <v>980</v>
      </c>
      <c r="D507" s="13" t="s">
        <v>9</v>
      </c>
      <c r="E507" s="12">
        <v>4006154</v>
      </c>
      <c r="F507" s="12">
        <v>8814721</v>
      </c>
      <c r="G507" s="14">
        <f t="shared" si="14"/>
        <v>12820875</v>
      </c>
      <c r="H507" s="14">
        <f t="shared" si="15"/>
        <v>493.11057692307691</v>
      </c>
      <c r="I507" s="11" t="s">
        <v>1136</v>
      </c>
      <c r="J507" s="11" t="s">
        <v>1097</v>
      </c>
    </row>
    <row r="508" spans="1:10" ht="18" customHeight="1" x14ac:dyDescent="0.25">
      <c r="A508" s="15">
        <f>SUBTOTAL(3,$B$11:B508)</f>
        <v>498</v>
      </c>
      <c r="B508" s="15">
        <v>12452</v>
      </c>
      <c r="C508" s="12" t="s">
        <v>981</v>
      </c>
      <c r="D508" s="13" t="s">
        <v>13</v>
      </c>
      <c r="E508" s="12">
        <v>5019303</v>
      </c>
      <c r="F508" s="12">
        <v>8872940</v>
      </c>
      <c r="G508" s="14">
        <f t="shared" si="14"/>
        <v>13892243</v>
      </c>
      <c r="H508" s="14">
        <f t="shared" si="15"/>
        <v>534.31703846153846</v>
      </c>
      <c r="I508" s="11" t="s">
        <v>1137</v>
      </c>
      <c r="J508" s="11" t="s">
        <v>1097</v>
      </c>
    </row>
    <row r="509" spans="1:10" ht="18" customHeight="1" x14ac:dyDescent="0.25">
      <c r="A509" s="15">
        <f>SUBTOTAL(3,$B$11:B509)</f>
        <v>499</v>
      </c>
      <c r="B509" s="15">
        <v>12461</v>
      </c>
      <c r="C509" s="12" t="s">
        <v>982</v>
      </c>
      <c r="D509" s="13" t="s">
        <v>13</v>
      </c>
      <c r="E509" s="12">
        <v>4531443</v>
      </c>
      <c r="F509" s="12">
        <v>8842846</v>
      </c>
      <c r="G509" s="14">
        <f t="shared" si="14"/>
        <v>13374289</v>
      </c>
      <c r="H509" s="14">
        <f t="shared" si="15"/>
        <v>514.39573076923079</v>
      </c>
      <c r="I509" s="11" t="s">
        <v>1138</v>
      </c>
      <c r="J509" s="11" t="s">
        <v>1097</v>
      </c>
    </row>
    <row r="510" spans="1:10" ht="18" customHeight="1" x14ac:dyDescent="0.25">
      <c r="A510" s="15">
        <f>SUBTOTAL(3,$B$11:B510)</f>
        <v>500</v>
      </c>
      <c r="B510" s="15">
        <v>12469</v>
      </c>
      <c r="C510" s="12" t="s">
        <v>983</v>
      </c>
      <c r="D510" s="13" t="s">
        <v>19</v>
      </c>
      <c r="E510" s="12">
        <v>4851057</v>
      </c>
      <c r="F510" s="12">
        <v>7928534</v>
      </c>
      <c r="G510" s="14">
        <f t="shared" si="14"/>
        <v>12779591</v>
      </c>
      <c r="H510" s="14">
        <f t="shared" si="15"/>
        <v>491.52273076923075</v>
      </c>
      <c r="I510" s="11" t="s">
        <v>1139</v>
      </c>
      <c r="J510" s="11" t="s">
        <v>825</v>
      </c>
    </row>
    <row r="511" spans="1:10" ht="18" customHeight="1" x14ac:dyDescent="0.25">
      <c r="A511" s="15">
        <f>SUBTOTAL(3,$B$11:B511)</f>
        <v>501</v>
      </c>
      <c r="B511" s="15">
        <v>12473</v>
      </c>
      <c r="C511" s="12" t="s">
        <v>984</v>
      </c>
      <c r="D511" s="13" t="s">
        <v>20</v>
      </c>
      <c r="E511" s="12">
        <v>5063654</v>
      </c>
      <c r="F511" s="12">
        <v>8815524</v>
      </c>
      <c r="G511" s="14">
        <f t="shared" si="14"/>
        <v>13879178</v>
      </c>
      <c r="H511" s="14">
        <f t="shared" si="15"/>
        <v>533.81453846153852</v>
      </c>
      <c r="I511" s="11" t="s">
        <v>1140</v>
      </c>
      <c r="J511" s="11" t="s">
        <v>1097</v>
      </c>
    </row>
    <row r="512" spans="1:10" ht="18" customHeight="1" x14ac:dyDescent="0.25">
      <c r="A512" s="15">
        <f>SUBTOTAL(3,$B$11:B512)</f>
        <v>502</v>
      </c>
      <c r="B512" s="15">
        <v>12493</v>
      </c>
      <c r="C512" s="12" t="s">
        <v>985</v>
      </c>
      <c r="D512" s="13" t="s">
        <v>1009</v>
      </c>
      <c r="E512" s="12">
        <v>8826923</v>
      </c>
      <c r="F512" s="12">
        <v>14069242</v>
      </c>
      <c r="G512" s="14">
        <f t="shared" si="14"/>
        <v>22896165</v>
      </c>
      <c r="H512" s="14">
        <f t="shared" si="15"/>
        <v>880.62173076923079</v>
      </c>
      <c r="I512" s="11" t="s">
        <v>1141</v>
      </c>
      <c r="J512" s="11" t="s">
        <v>1097</v>
      </c>
    </row>
    <row r="513" spans="1:10" ht="18" customHeight="1" x14ac:dyDescent="0.25">
      <c r="A513" s="15">
        <f>SUBTOTAL(3,$B$11:B513)</f>
        <v>503</v>
      </c>
      <c r="B513" s="15">
        <v>12494</v>
      </c>
      <c r="C513" s="12" t="s">
        <v>986</v>
      </c>
      <c r="D513" s="13" t="s">
        <v>8</v>
      </c>
      <c r="E513" s="12">
        <v>5291228</v>
      </c>
      <c r="F513" s="12">
        <v>9514447</v>
      </c>
      <c r="G513" s="14">
        <f t="shared" si="14"/>
        <v>14805675</v>
      </c>
      <c r="H513" s="14">
        <f t="shared" si="15"/>
        <v>569.44903846153841</v>
      </c>
      <c r="I513" s="11" t="s">
        <v>1142</v>
      </c>
      <c r="J513" s="11" t="s">
        <v>1097</v>
      </c>
    </row>
    <row r="514" spans="1:10" ht="18" customHeight="1" x14ac:dyDescent="0.25">
      <c r="A514" s="15">
        <f>SUBTOTAL(3,$B$11:B514)</f>
        <v>504</v>
      </c>
      <c r="B514" s="15">
        <v>12529</v>
      </c>
      <c r="C514" s="12" t="s">
        <v>987</v>
      </c>
      <c r="D514" s="13" t="s">
        <v>30</v>
      </c>
      <c r="E514" s="12">
        <v>8120769</v>
      </c>
      <c r="F514" s="12">
        <v>13380162</v>
      </c>
      <c r="G514" s="14">
        <f t="shared" si="14"/>
        <v>21500931</v>
      </c>
      <c r="H514" s="14">
        <f t="shared" si="15"/>
        <v>826.95888461538459</v>
      </c>
      <c r="I514" s="11" t="s">
        <v>1143</v>
      </c>
      <c r="J514" s="11" t="s">
        <v>1097</v>
      </c>
    </row>
    <row r="515" spans="1:10" ht="18" customHeight="1" x14ac:dyDescent="0.25">
      <c r="A515" s="15">
        <f>SUBTOTAL(3,$B$11:B515)</f>
        <v>505</v>
      </c>
      <c r="B515" s="15">
        <v>12537</v>
      </c>
      <c r="C515" s="12" t="s">
        <v>988</v>
      </c>
      <c r="D515" s="13" t="s">
        <v>13</v>
      </c>
      <c r="E515" s="12">
        <v>10368431</v>
      </c>
      <c r="F515" s="12">
        <v>16915574</v>
      </c>
      <c r="G515" s="14">
        <f t="shared" si="14"/>
        <v>27284005</v>
      </c>
      <c r="H515" s="14">
        <f t="shared" si="15"/>
        <v>1049.3848076923077</v>
      </c>
      <c r="I515" s="11" t="s">
        <v>1144</v>
      </c>
      <c r="J515" s="11" t="s">
        <v>1097</v>
      </c>
    </row>
    <row r="516" spans="1:10" ht="18" customHeight="1" x14ac:dyDescent="0.25">
      <c r="A516" s="15">
        <f>SUBTOTAL(3,$B$11:B516)</f>
        <v>506</v>
      </c>
      <c r="B516" s="15">
        <v>12538</v>
      </c>
      <c r="C516" s="12" t="s">
        <v>220</v>
      </c>
      <c r="D516" s="13" t="s">
        <v>1007</v>
      </c>
      <c r="E516" s="12">
        <v>8080529</v>
      </c>
      <c r="F516" s="12">
        <v>11560877</v>
      </c>
      <c r="G516" s="14">
        <f t="shared" si="14"/>
        <v>19641406</v>
      </c>
      <c r="H516" s="14">
        <f t="shared" si="15"/>
        <v>755.43869230769235</v>
      </c>
      <c r="I516" s="11" t="s">
        <v>1145</v>
      </c>
      <c r="J516" s="11" t="s">
        <v>1097</v>
      </c>
    </row>
    <row r="517" spans="1:10" ht="18" customHeight="1" x14ac:dyDescent="0.25">
      <c r="A517" s="15">
        <f>SUBTOTAL(3,$B$11:B517)</f>
        <v>507</v>
      </c>
      <c r="B517" s="15">
        <v>12540</v>
      </c>
      <c r="C517" s="12" t="s">
        <v>167</v>
      </c>
      <c r="D517" s="13" t="s">
        <v>11</v>
      </c>
      <c r="E517" s="12">
        <v>7887476</v>
      </c>
      <c r="F517" s="12">
        <v>13228111</v>
      </c>
      <c r="G517" s="14">
        <f t="shared" si="14"/>
        <v>21115587</v>
      </c>
      <c r="H517" s="14">
        <f t="shared" si="15"/>
        <v>812.13796153846158</v>
      </c>
      <c r="I517" s="11" t="s">
        <v>1146</v>
      </c>
      <c r="J517" s="11" t="s">
        <v>749</v>
      </c>
    </row>
    <row r="518" spans="1:10" ht="18" customHeight="1" x14ac:dyDescent="0.25">
      <c r="A518" s="15">
        <f>SUBTOTAL(3,$B$11:B518)</f>
        <v>508</v>
      </c>
      <c r="B518" s="15">
        <v>12541</v>
      </c>
      <c r="C518" s="12" t="s">
        <v>989</v>
      </c>
      <c r="D518" s="13" t="s">
        <v>11</v>
      </c>
      <c r="E518" s="12">
        <v>8191693</v>
      </c>
      <c r="F518" s="12">
        <v>15883563</v>
      </c>
      <c r="G518" s="14">
        <f t="shared" si="14"/>
        <v>24075256</v>
      </c>
      <c r="H518" s="14">
        <f t="shared" si="15"/>
        <v>925.97138461538464</v>
      </c>
      <c r="I518" s="11" t="s">
        <v>1147</v>
      </c>
      <c r="J518" s="11" t="s">
        <v>825</v>
      </c>
    </row>
    <row r="519" spans="1:10" ht="18" customHeight="1" x14ac:dyDescent="0.25">
      <c r="A519" s="15">
        <f>SUBTOTAL(3,$B$11:B519)</f>
        <v>509</v>
      </c>
      <c r="B519" s="15">
        <v>12542</v>
      </c>
      <c r="C519" s="12" t="s">
        <v>990</v>
      </c>
      <c r="D519" s="13" t="s">
        <v>11</v>
      </c>
      <c r="E519" s="12">
        <v>4455745</v>
      </c>
      <c r="F519" s="12">
        <v>7541019</v>
      </c>
      <c r="G519" s="14">
        <f t="shared" si="14"/>
        <v>11996764</v>
      </c>
      <c r="H519" s="14">
        <f t="shared" si="15"/>
        <v>461.41399999999999</v>
      </c>
      <c r="I519" s="11" t="s">
        <v>1148</v>
      </c>
      <c r="J519" s="11" t="s">
        <v>750</v>
      </c>
    </row>
    <row r="520" spans="1:10" ht="18" customHeight="1" x14ac:dyDescent="0.25">
      <c r="A520" s="15">
        <f>SUBTOTAL(3,$B$11:B520)</f>
        <v>510</v>
      </c>
      <c r="B520" s="15">
        <v>12574</v>
      </c>
      <c r="C520" s="12" t="s">
        <v>992</v>
      </c>
      <c r="D520" s="13" t="s">
        <v>19</v>
      </c>
      <c r="E520" s="12">
        <v>4813497</v>
      </c>
      <c r="F520" s="12">
        <v>8286995</v>
      </c>
      <c r="G520" s="14">
        <f t="shared" si="14"/>
        <v>13100492</v>
      </c>
      <c r="H520" s="14">
        <f t="shared" si="15"/>
        <v>503.86507692307691</v>
      </c>
      <c r="I520" s="11" t="s">
        <v>1149</v>
      </c>
      <c r="J520" s="11" t="s">
        <v>1108</v>
      </c>
    </row>
    <row r="521" spans="1:10" ht="18" customHeight="1" x14ac:dyDescent="0.25">
      <c r="A521" s="15">
        <f>SUBTOTAL(3,$B$11:B521)</f>
        <v>511</v>
      </c>
      <c r="B521" s="15">
        <v>12575</v>
      </c>
      <c r="C521" s="12" t="s">
        <v>993</v>
      </c>
      <c r="D521" s="13" t="s">
        <v>19</v>
      </c>
      <c r="E521" s="12">
        <v>4143558</v>
      </c>
      <c r="F521" s="12">
        <v>7864106</v>
      </c>
      <c r="G521" s="14">
        <f t="shared" si="14"/>
        <v>12007664</v>
      </c>
      <c r="H521" s="14">
        <f t="shared" si="15"/>
        <v>461.83323076923079</v>
      </c>
      <c r="I521" s="11" t="s">
        <v>1150</v>
      </c>
      <c r="J521" s="11" t="s">
        <v>749</v>
      </c>
    </row>
    <row r="522" spans="1:10" ht="18" customHeight="1" x14ac:dyDescent="0.25">
      <c r="A522" s="15">
        <f>SUBTOTAL(3,$B$11:B522)</f>
        <v>512</v>
      </c>
      <c r="B522" s="15">
        <v>12588</v>
      </c>
      <c r="C522" s="12" t="s">
        <v>994</v>
      </c>
      <c r="D522" s="13" t="s">
        <v>9</v>
      </c>
      <c r="E522" s="12">
        <v>3685096</v>
      </c>
      <c r="F522" s="12">
        <v>2891484</v>
      </c>
      <c r="G522" s="14">
        <f t="shared" si="14"/>
        <v>6576580</v>
      </c>
      <c r="H522" s="14">
        <f t="shared" si="15"/>
        <v>252.94538461538463</v>
      </c>
      <c r="I522" s="11" t="s">
        <v>1151</v>
      </c>
      <c r="J522" s="11" t="s">
        <v>696</v>
      </c>
    </row>
    <row r="523" spans="1:10" ht="18" customHeight="1" x14ac:dyDescent="0.25">
      <c r="A523" s="15">
        <f>SUBTOTAL(3,$B$11:B523)</f>
        <v>513</v>
      </c>
      <c r="B523" s="15">
        <v>12601</v>
      </c>
      <c r="C523" s="12" t="s">
        <v>996</v>
      </c>
      <c r="D523" s="13" t="s">
        <v>1166</v>
      </c>
      <c r="E523" s="12">
        <v>6134784</v>
      </c>
      <c r="F523" s="12">
        <v>10971245</v>
      </c>
      <c r="G523" s="14">
        <f t="shared" si="14"/>
        <v>17106029</v>
      </c>
      <c r="H523" s="14">
        <f t="shared" si="15"/>
        <v>657.92419230769235</v>
      </c>
      <c r="I523" s="11" t="s">
        <v>1153</v>
      </c>
      <c r="J523" s="11" t="s">
        <v>696</v>
      </c>
    </row>
    <row r="524" spans="1:10" ht="18" customHeight="1" x14ac:dyDescent="0.25">
      <c r="A524" s="15">
        <f>SUBTOTAL(3,$B$11:B524)</f>
        <v>514</v>
      </c>
      <c r="B524" s="15">
        <v>12602</v>
      </c>
      <c r="C524" s="12" t="s">
        <v>997</v>
      </c>
      <c r="D524" s="13" t="s">
        <v>29</v>
      </c>
      <c r="E524" s="12">
        <v>6643269</v>
      </c>
      <c r="F524" s="12">
        <v>11011425</v>
      </c>
      <c r="G524" s="14">
        <f t="shared" ref="G524:G587" si="16">E524+F524</f>
        <v>17654694</v>
      </c>
      <c r="H524" s="14">
        <f t="shared" ref="H524:H587" si="17">G524/$J$1</f>
        <v>679.02669230769231</v>
      </c>
      <c r="I524" s="11" t="s">
        <v>1154</v>
      </c>
      <c r="J524" s="11" t="s">
        <v>749</v>
      </c>
    </row>
    <row r="525" spans="1:10" ht="18" customHeight="1" x14ac:dyDescent="0.25">
      <c r="A525" s="15">
        <f>SUBTOTAL(3,$B$11:B525)</f>
        <v>515</v>
      </c>
      <c r="B525" s="15">
        <v>12609</v>
      </c>
      <c r="C525" s="12" t="s">
        <v>998</v>
      </c>
      <c r="D525" s="13" t="s">
        <v>13</v>
      </c>
      <c r="E525" s="12">
        <v>5116082</v>
      </c>
      <c r="F525" s="12">
        <v>8158889</v>
      </c>
      <c r="G525" s="14">
        <f t="shared" si="16"/>
        <v>13274971</v>
      </c>
      <c r="H525" s="14">
        <f t="shared" si="17"/>
        <v>510.57580769230771</v>
      </c>
      <c r="I525" s="11" t="s">
        <v>1155</v>
      </c>
      <c r="J525" s="11" t="s">
        <v>696</v>
      </c>
    </row>
    <row r="526" spans="1:10" ht="18" customHeight="1" x14ac:dyDescent="0.25">
      <c r="A526" s="15">
        <f>SUBTOTAL(3,$B$11:B526)</f>
        <v>516</v>
      </c>
      <c r="B526" s="15">
        <v>12623</v>
      </c>
      <c r="C526" s="12" t="s">
        <v>999</v>
      </c>
      <c r="D526" s="13" t="s">
        <v>13</v>
      </c>
      <c r="E526" s="12">
        <v>4316574</v>
      </c>
      <c r="F526" s="12">
        <v>7846233</v>
      </c>
      <c r="G526" s="14">
        <f t="shared" si="16"/>
        <v>12162807</v>
      </c>
      <c r="H526" s="14">
        <f t="shared" si="17"/>
        <v>467.80026923076923</v>
      </c>
      <c r="I526" s="11" t="s">
        <v>1157</v>
      </c>
      <c r="J526" s="11" t="s">
        <v>696</v>
      </c>
    </row>
    <row r="527" spans="1:10" ht="18" customHeight="1" x14ac:dyDescent="0.25">
      <c r="A527" s="15">
        <f>SUBTOTAL(3,$B$11:B527)</f>
        <v>517</v>
      </c>
      <c r="B527" s="15">
        <v>12651</v>
      </c>
      <c r="C527" s="12" t="s">
        <v>1000</v>
      </c>
      <c r="D527" s="13" t="s">
        <v>13</v>
      </c>
      <c r="E527" s="12">
        <v>3322824</v>
      </c>
      <c r="F527" s="12">
        <v>6387807</v>
      </c>
      <c r="G527" s="14">
        <f t="shared" si="16"/>
        <v>9710631</v>
      </c>
      <c r="H527" s="14">
        <f t="shared" si="17"/>
        <v>373.48580769230767</v>
      </c>
      <c r="I527" s="11" t="s">
        <v>1158</v>
      </c>
      <c r="J527" s="11" t="s">
        <v>696</v>
      </c>
    </row>
    <row r="528" spans="1:10" ht="18" customHeight="1" x14ac:dyDescent="0.25">
      <c r="A528" s="15">
        <f>SUBTOTAL(3,$B$11:B528)</f>
        <v>518</v>
      </c>
      <c r="B528" s="15">
        <v>12669</v>
      </c>
      <c r="C528" s="12" t="s">
        <v>1001</v>
      </c>
      <c r="D528" s="13" t="s">
        <v>28</v>
      </c>
      <c r="E528" s="12">
        <v>4226875</v>
      </c>
      <c r="F528" s="12">
        <v>5330261</v>
      </c>
      <c r="G528" s="14">
        <f t="shared" si="16"/>
        <v>9557136</v>
      </c>
      <c r="H528" s="14">
        <f t="shared" si="17"/>
        <v>367.58215384615386</v>
      </c>
      <c r="I528" s="11" t="s">
        <v>1159</v>
      </c>
      <c r="J528" s="11" t="s">
        <v>749</v>
      </c>
    </row>
    <row r="529" spans="1:10" ht="18" customHeight="1" x14ac:dyDescent="0.25">
      <c r="A529" s="15">
        <f>SUBTOTAL(3,$B$11:B529)</f>
        <v>519</v>
      </c>
      <c r="B529" s="15">
        <v>12689</v>
      </c>
      <c r="C529" s="12" t="s">
        <v>52</v>
      </c>
      <c r="D529" s="13" t="s">
        <v>14</v>
      </c>
      <c r="E529" s="12">
        <v>4234399</v>
      </c>
      <c r="F529" s="12">
        <v>8747279</v>
      </c>
      <c r="G529" s="14">
        <f t="shared" si="16"/>
        <v>12981678</v>
      </c>
      <c r="H529" s="14">
        <f t="shared" si="17"/>
        <v>499.29530769230769</v>
      </c>
      <c r="I529" s="11" t="s">
        <v>1162</v>
      </c>
      <c r="J529" s="11" t="s">
        <v>696</v>
      </c>
    </row>
    <row r="530" spans="1:10" ht="18" customHeight="1" x14ac:dyDescent="0.25">
      <c r="A530" s="15">
        <f>SUBTOTAL(3,$B$11:B530)</f>
        <v>520</v>
      </c>
      <c r="B530" s="15">
        <v>12706</v>
      </c>
      <c r="C530" s="12" t="s">
        <v>1004</v>
      </c>
      <c r="D530" s="13" t="s">
        <v>13</v>
      </c>
      <c r="E530" s="12">
        <v>4754627</v>
      </c>
      <c r="F530" s="12">
        <v>8825416</v>
      </c>
      <c r="G530" s="14">
        <f t="shared" si="16"/>
        <v>13580043</v>
      </c>
      <c r="H530" s="14">
        <f t="shared" si="17"/>
        <v>522.30934615384615</v>
      </c>
      <c r="I530" s="11" t="s">
        <v>1163</v>
      </c>
      <c r="J530" s="11" t="s">
        <v>696</v>
      </c>
    </row>
    <row r="531" spans="1:10" ht="18" customHeight="1" x14ac:dyDescent="0.25">
      <c r="A531" s="15">
        <f>SUBTOTAL(3,$B$11:B531)</f>
        <v>521</v>
      </c>
      <c r="B531" s="15">
        <v>12709</v>
      </c>
      <c r="C531" s="12" t="s">
        <v>1005</v>
      </c>
      <c r="D531" s="13" t="s">
        <v>17</v>
      </c>
      <c r="E531" s="12">
        <v>5423077</v>
      </c>
      <c r="F531" s="12">
        <v>7376238</v>
      </c>
      <c r="G531" s="14">
        <f t="shared" si="16"/>
        <v>12799315</v>
      </c>
      <c r="H531" s="14">
        <f t="shared" si="17"/>
        <v>492.28134615384613</v>
      </c>
      <c r="I531" s="11" t="s">
        <v>1164</v>
      </c>
      <c r="J531" s="11" t="s">
        <v>696</v>
      </c>
    </row>
    <row r="532" spans="1:10" ht="18" customHeight="1" x14ac:dyDescent="0.25">
      <c r="A532" s="15">
        <f>SUBTOTAL(3,$B$11:B532)</f>
        <v>522</v>
      </c>
      <c r="B532" s="15">
        <v>12710</v>
      </c>
      <c r="C532" s="12" t="s">
        <v>1006</v>
      </c>
      <c r="D532" s="13" t="s">
        <v>11</v>
      </c>
      <c r="E532" s="12">
        <v>8736779</v>
      </c>
      <c r="F532" s="12">
        <v>15782408</v>
      </c>
      <c r="G532" s="14">
        <f t="shared" si="16"/>
        <v>24519187</v>
      </c>
      <c r="H532" s="14">
        <f t="shared" si="17"/>
        <v>943.04565384615387</v>
      </c>
      <c r="I532" s="11" t="s">
        <v>1165</v>
      </c>
      <c r="J532" s="11" t="s">
        <v>696</v>
      </c>
    </row>
    <row r="533" spans="1:10" ht="18" customHeight="1" x14ac:dyDescent="0.25">
      <c r="A533" s="15">
        <f>SUBTOTAL(3,$B$11:B533)</f>
        <v>523</v>
      </c>
      <c r="B533" s="15">
        <v>12720</v>
      </c>
      <c r="C533" s="12" t="s">
        <v>1174</v>
      </c>
      <c r="D533" s="13" t="s">
        <v>14</v>
      </c>
      <c r="E533" s="12">
        <v>4432812</v>
      </c>
      <c r="F533" s="12">
        <v>8614961</v>
      </c>
      <c r="G533" s="14">
        <f t="shared" si="16"/>
        <v>13047773</v>
      </c>
      <c r="H533" s="14">
        <f t="shared" si="17"/>
        <v>501.83742307692307</v>
      </c>
      <c r="I533" s="11" t="s">
        <v>1320</v>
      </c>
      <c r="J533" s="11" t="s">
        <v>757</v>
      </c>
    </row>
    <row r="534" spans="1:10" ht="18" customHeight="1" x14ac:dyDescent="0.25">
      <c r="A534" s="15">
        <f>SUBTOTAL(3,$B$11:B534)</f>
        <v>524</v>
      </c>
      <c r="B534" s="15">
        <v>12724</v>
      </c>
      <c r="C534" s="12" t="s">
        <v>1175</v>
      </c>
      <c r="D534" s="13" t="s">
        <v>13</v>
      </c>
      <c r="E534" s="12">
        <v>3617068</v>
      </c>
      <c r="F534" s="12">
        <v>7559409</v>
      </c>
      <c r="G534" s="14">
        <f t="shared" si="16"/>
        <v>11176477</v>
      </c>
      <c r="H534" s="14">
        <f t="shared" si="17"/>
        <v>429.86450000000002</v>
      </c>
      <c r="I534" s="11" t="s">
        <v>1321</v>
      </c>
      <c r="J534" s="11" t="s">
        <v>696</v>
      </c>
    </row>
    <row r="535" spans="1:10" ht="18" customHeight="1" x14ac:dyDescent="0.25">
      <c r="A535" s="15">
        <f>SUBTOTAL(3,$B$11:B535)</f>
        <v>525</v>
      </c>
      <c r="B535" s="15">
        <v>12726</v>
      </c>
      <c r="C535" s="12" t="s">
        <v>263</v>
      </c>
      <c r="D535" s="13" t="s">
        <v>13</v>
      </c>
      <c r="E535" s="12">
        <v>4411358</v>
      </c>
      <c r="F535" s="12">
        <v>7992787</v>
      </c>
      <c r="G535" s="14">
        <f t="shared" si="16"/>
        <v>12404145</v>
      </c>
      <c r="H535" s="14">
        <f t="shared" si="17"/>
        <v>477.08249999999998</v>
      </c>
      <c r="I535" s="11" t="s">
        <v>1322</v>
      </c>
      <c r="J535" s="11" t="s">
        <v>696</v>
      </c>
    </row>
    <row r="536" spans="1:10" ht="18" customHeight="1" x14ac:dyDescent="0.25">
      <c r="A536" s="15">
        <f>SUBTOTAL(3,$B$11:B536)</f>
        <v>526</v>
      </c>
      <c r="B536" s="15">
        <v>12737</v>
      </c>
      <c r="C536" s="12" t="s">
        <v>1176</v>
      </c>
      <c r="D536" s="13" t="s">
        <v>10</v>
      </c>
      <c r="E536" s="12">
        <v>4257692</v>
      </c>
      <c r="F536" s="12">
        <v>7527047</v>
      </c>
      <c r="G536" s="14">
        <f t="shared" si="16"/>
        <v>11784739</v>
      </c>
      <c r="H536" s="14">
        <f t="shared" si="17"/>
        <v>453.25919230769233</v>
      </c>
      <c r="I536" s="11" t="s">
        <v>1323</v>
      </c>
      <c r="J536" s="11" t="s">
        <v>696</v>
      </c>
    </row>
    <row r="537" spans="1:10" ht="18" customHeight="1" x14ac:dyDescent="0.25">
      <c r="A537" s="15">
        <f>SUBTOTAL(3,$B$11:B537)</f>
        <v>527</v>
      </c>
      <c r="B537" s="15">
        <v>12743</v>
      </c>
      <c r="C537" s="12" t="s">
        <v>1177</v>
      </c>
      <c r="D537" s="13" t="s">
        <v>20</v>
      </c>
      <c r="E537" s="12">
        <v>5076599</v>
      </c>
      <c r="F537" s="12">
        <v>7773952</v>
      </c>
      <c r="G537" s="14">
        <f t="shared" si="16"/>
        <v>12850551</v>
      </c>
      <c r="H537" s="14">
        <f t="shared" si="17"/>
        <v>494.25196153846156</v>
      </c>
      <c r="I537" s="11" t="s">
        <v>1324</v>
      </c>
      <c r="J537" s="11" t="s">
        <v>696</v>
      </c>
    </row>
    <row r="538" spans="1:10" ht="18" customHeight="1" x14ac:dyDescent="0.25">
      <c r="A538" s="15">
        <f>SUBTOTAL(3,$B$11:B538)</f>
        <v>528</v>
      </c>
      <c r="B538" s="15">
        <v>12747</v>
      </c>
      <c r="C538" s="12" t="s">
        <v>1178</v>
      </c>
      <c r="D538" s="13" t="s">
        <v>13</v>
      </c>
      <c r="E538" s="12">
        <v>5098053</v>
      </c>
      <c r="F538" s="12">
        <v>7902678</v>
      </c>
      <c r="G538" s="14">
        <f t="shared" si="16"/>
        <v>13000731</v>
      </c>
      <c r="H538" s="14">
        <f t="shared" si="17"/>
        <v>500.02811538461538</v>
      </c>
      <c r="I538" s="11" t="s">
        <v>1325</v>
      </c>
      <c r="J538" s="11" t="s">
        <v>696</v>
      </c>
    </row>
    <row r="539" spans="1:10" ht="18" customHeight="1" x14ac:dyDescent="0.25">
      <c r="A539" s="15">
        <f>SUBTOTAL(3,$B$11:B539)</f>
        <v>529</v>
      </c>
      <c r="B539" s="15">
        <v>12751</v>
      </c>
      <c r="C539" s="12" t="s">
        <v>1179</v>
      </c>
      <c r="D539" s="13" t="s">
        <v>9</v>
      </c>
      <c r="E539" s="12">
        <v>5032740</v>
      </c>
      <c r="F539" s="12">
        <v>8947885</v>
      </c>
      <c r="G539" s="14">
        <f t="shared" si="16"/>
        <v>13980625</v>
      </c>
      <c r="H539" s="14">
        <f t="shared" si="17"/>
        <v>537.71634615384619</v>
      </c>
      <c r="I539" s="11" t="s">
        <v>1326</v>
      </c>
      <c r="J539" s="11" t="s">
        <v>696</v>
      </c>
    </row>
    <row r="540" spans="1:10" ht="18" customHeight="1" x14ac:dyDescent="0.25">
      <c r="A540" s="15">
        <f>SUBTOTAL(3,$B$11:B540)</f>
        <v>530</v>
      </c>
      <c r="B540" s="15">
        <v>12752</v>
      </c>
      <c r="C540" s="12" t="s">
        <v>1180</v>
      </c>
      <c r="D540" s="13" t="s">
        <v>19</v>
      </c>
      <c r="E540" s="12">
        <v>4078606</v>
      </c>
      <c r="F540" s="12">
        <v>8030784</v>
      </c>
      <c r="G540" s="14">
        <f t="shared" si="16"/>
        <v>12109390</v>
      </c>
      <c r="H540" s="14">
        <f t="shared" si="17"/>
        <v>465.74576923076921</v>
      </c>
      <c r="I540" s="11" t="s">
        <v>1327</v>
      </c>
      <c r="J540" s="11" t="s">
        <v>750</v>
      </c>
    </row>
    <row r="541" spans="1:10" ht="18" customHeight="1" x14ac:dyDescent="0.25">
      <c r="A541" s="15">
        <f>SUBTOTAL(3,$B$11:B541)</f>
        <v>531</v>
      </c>
      <c r="B541" s="15">
        <v>12765</v>
      </c>
      <c r="C541" s="12" t="s">
        <v>1181</v>
      </c>
      <c r="D541" s="13" t="s">
        <v>13</v>
      </c>
      <c r="E541" s="12">
        <v>5055144</v>
      </c>
      <c r="F541" s="12">
        <v>8338315</v>
      </c>
      <c r="G541" s="14">
        <f t="shared" si="16"/>
        <v>13393459</v>
      </c>
      <c r="H541" s="14">
        <f t="shared" si="17"/>
        <v>515.13303846153849</v>
      </c>
      <c r="I541" s="11" t="s">
        <v>1328</v>
      </c>
      <c r="J541" s="11" t="s">
        <v>696</v>
      </c>
    </row>
    <row r="542" spans="1:10" ht="18" customHeight="1" x14ac:dyDescent="0.25">
      <c r="A542" s="15">
        <f>SUBTOTAL(3,$B$11:B542)</f>
        <v>532</v>
      </c>
      <c r="B542" s="15">
        <v>12773</v>
      </c>
      <c r="C542" s="12" t="s">
        <v>978</v>
      </c>
      <c r="D542" s="13" t="s">
        <v>19</v>
      </c>
      <c r="E542" s="12">
        <v>3544351</v>
      </c>
      <c r="F542" s="12">
        <v>8030784</v>
      </c>
      <c r="G542" s="14">
        <f t="shared" si="16"/>
        <v>11575135</v>
      </c>
      <c r="H542" s="14">
        <f t="shared" si="17"/>
        <v>445.19749999999999</v>
      </c>
      <c r="I542" s="11" t="s">
        <v>1329</v>
      </c>
      <c r="J542" s="11" t="s">
        <v>750</v>
      </c>
    </row>
    <row r="543" spans="1:10" ht="18" customHeight="1" x14ac:dyDescent="0.25">
      <c r="A543" s="15">
        <f>SUBTOTAL(3,$B$11:B543)</f>
        <v>533</v>
      </c>
      <c r="B543" s="15">
        <v>12774</v>
      </c>
      <c r="C543" s="12" t="s">
        <v>1182</v>
      </c>
      <c r="D543" s="13" t="s">
        <v>19</v>
      </c>
      <c r="E543" s="12">
        <v>4667608</v>
      </c>
      <c r="F543" s="12">
        <v>8030784</v>
      </c>
      <c r="G543" s="14">
        <f t="shared" si="16"/>
        <v>12698392</v>
      </c>
      <c r="H543" s="14">
        <f t="shared" si="17"/>
        <v>488.39969230769231</v>
      </c>
      <c r="I543" s="11" t="s">
        <v>1330</v>
      </c>
      <c r="J543" s="11" t="s">
        <v>696</v>
      </c>
    </row>
    <row r="544" spans="1:10" ht="18" customHeight="1" x14ac:dyDescent="0.25">
      <c r="A544" s="15">
        <f>SUBTOTAL(3,$B$11:B544)</f>
        <v>534</v>
      </c>
      <c r="B544" s="15">
        <v>12780</v>
      </c>
      <c r="C544" s="12" t="s">
        <v>1183</v>
      </c>
      <c r="D544" s="13" t="s">
        <v>13</v>
      </c>
      <c r="E544" s="12">
        <v>2972596</v>
      </c>
      <c r="F544" s="12">
        <v>7044361</v>
      </c>
      <c r="G544" s="14">
        <f t="shared" si="16"/>
        <v>10016957</v>
      </c>
      <c r="H544" s="14">
        <f t="shared" si="17"/>
        <v>385.26757692307694</v>
      </c>
      <c r="I544" s="11" t="s">
        <v>1632</v>
      </c>
      <c r="J544" s="11" t="s">
        <v>763</v>
      </c>
    </row>
    <row r="545" spans="1:10" ht="18" customHeight="1" x14ac:dyDescent="0.25">
      <c r="A545" s="15">
        <f>SUBTOTAL(3,$B$11:B545)</f>
        <v>535</v>
      </c>
      <c r="B545" s="15">
        <v>12781</v>
      </c>
      <c r="C545" s="12" t="s">
        <v>1184</v>
      </c>
      <c r="D545" s="13" t="s">
        <v>27</v>
      </c>
      <c r="E545" s="12">
        <v>3806130</v>
      </c>
      <c r="F545" s="12">
        <v>7677212</v>
      </c>
      <c r="G545" s="14">
        <f t="shared" si="16"/>
        <v>11483342</v>
      </c>
      <c r="H545" s="14">
        <f t="shared" si="17"/>
        <v>441.66699999999997</v>
      </c>
      <c r="I545" s="11" t="s">
        <v>1331</v>
      </c>
      <c r="J545" s="11" t="s">
        <v>1332</v>
      </c>
    </row>
    <row r="546" spans="1:10" ht="18" customHeight="1" x14ac:dyDescent="0.25">
      <c r="A546" s="15">
        <f>SUBTOTAL(3,$B$11:B546)</f>
        <v>536</v>
      </c>
      <c r="B546" s="15">
        <v>12784</v>
      </c>
      <c r="C546" s="12" t="s">
        <v>1185</v>
      </c>
      <c r="D546" s="13" t="s">
        <v>13</v>
      </c>
      <c r="E546" s="12">
        <v>7726775</v>
      </c>
      <c r="F546" s="12">
        <v>9970866</v>
      </c>
      <c r="G546" s="14">
        <f t="shared" si="16"/>
        <v>17697641</v>
      </c>
      <c r="H546" s="14">
        <f t="shared" si="17"/>
        <v>680.67849999999999</v>
      </c>
      <c r="I546" s="11" t="s">
        <v>1333</v>
      </c>
      <c r="J546" s="11" t="s">
        <v>696</v>
      </c>
    </row>
    <row r="547" spans="1:10" ht="18" customHeight="1" x14ac:dyDescent="0.25">
      <c r="A547" s="15">
        <f>SUBTOTAL(3,$B$11:B547)</f>
        <v>537</v>
      </c>
      <c r="B547" s="15">
        <v>12785</v>
      </c>
      <c r="C547" s="12" t="s">
        <v>1186</v>
      </c>
      <c r="D547" s="13" t="s">
        <v>13</v>
      </c>
      <c r="E547" s="12">
        <v>5055144</v>
      </c>
      <c r="F547" s="12">
        <v>7881224</v>
      </c>
      <c r="G547" s="14">
        <f t="shared" si="16"/>
        <v>12936368</v>
      </c>
      <c r="H547" s="14">
        <f t="shared" si="17"/>
        <v>497.55261538461536</v>
      </c>
      <c r="I547" s="11" t="s">
        <v>1334</v>
      </c>
      <c r="J547" s="11" t="s">
        <v>757</v>
      </c>
    </row>
    <row r="548" spans="1:10" ht="18" customHeight="1" x14ac:dyDescent="0.25">
      <c r="A548" s="15">
        <f>SUBTOTAL(3,$B$11:B548)</f>
        <v>538</v>
      </c>
      <c r="B548" s="15">
        <v>12786</v>
      </c>
      <c r="C548" s="12" t="s">
        <v>1187</v>
      </c>
      <c r="D548" s="13" t="s">
        <v>20</v>
      </c>
      <c r="E548" s="12">
        <v>4904807</v>
      </c>
      <c r="F548" s="12">
        <v>8188279</v>
      </c>
      <c r="G548" s="14">
        <f t="shared" si="16"/>
        <v>13093086</v>
      </c>
      <c r="H548" s="14">
        <f t="shared" si="17"/>
        <v>503.58023076923075</v>
      </c>
      <c r="I548" s="11" t="s">
        <v>1335</v>
      </c>
      <c r="J548" s="11" t="s">
        <v>696</v>
      </c>
    </row>
    <row r="549" spans="1:10" ht="18" customHeight="1" x14ac:dyDescent="0.25">
      <c r="A549" s="15">
        <f>SUBTOTAL(3,$B$11:B549)</f>
        <v>539</v>
      </c>
      <c r="B549" s="15">
        <v>12803</v>
      </c>
      <c r="C549" s="12" t="s">
        <v>1188</v>
      </c>
      <c r="D549" s="13" t="s">
        <v>13</v>
      </c>
      <c r="E549" s="12">
        <v>5098053</v>
      </c>
      <c r="F549" s="12">
        <v>7859770</v>
      </c>
      <c r="G549" s="14">
        <f t="shared" si="16"/>
        <v>12957823</v>
      </c>
      <c r="H549" s="14">
        <f t="shared" si="17"/>
        <v>498.37780769230767</v>
      </c>
      <c r="I549" s="11" t="s">
        <v>1336</v>
      </c>
      <c r="J549" s="11" t="s">
        <v>750</v>
      </c>
    </row>
    <row r="550" spans="1:10" ht="18" customHeight="1" x14ac:dyDescent="0.25">
      <c r="A550" s="15">
        <f>SUBTOTAL(3,$B$11:B550)</f>
        <v>540</v>
      </c>
      <c r="B550" s="15">
        <v>12804</v>
      </c>
      <c r="C550" s="12" t="s">
        <v>1189</v>
      </c>
      <c r="D550" s="13" t="s">
        <v>13</v>
      </c>
      <c r="E550" s="12">
        <v>5098053</v>
      </c>
      <c r="F550" s="12">
        <v>7902678</v>
      </c>
      <c r="G550" s="14">
        <f t="shared" si="16"/>
        <v>13000731</v>
      </c>
      <c r="H550" s="14">
        <f t="shared" si="17"/>
        <v>500.02811538461538</v>
      </c>
      <c r="I550" s="11" t="s">
        <v>1337</v>
      </c>
      <c r="J550" s="11" t="s">
        <v>749</v>
      </c>
    </row>
    <row r="551" spans="1:10" ht="18" customHeight="1" x14ac:dyDescent="0.25">
      <c r="A551" s="15">
        <f>SUBTOTAL(3,$B$11:B551)</f>
        <v>541</v>
      </c>
      <c r="B551" s="15">
        <v>12805</v>
      </c>
      <c r="C551" s="12" t="s">
        <v>1190</v>
      </c>
      <c r="D551" s="13" t="s">
        <v>13</v>
      </c>
      <c r="E551" s="12">
        <v>4754627</v>
      </c>
      <c r="F551" s="12">
        <v>7859770</v>
      </c>
      <c r="G551" s="14">
        <f t="shared" si="16"/>
        <v>12614397</v>
      </c>
      <c r="H551" s="14">
        <f t="shared" si="17"/>
        <v>485.1691153846154</v>
      </c>
      <c r="I551" s="11" t="s">
        <v>1338</v>
      </c>
      <c r="J551" s="11" t="s">
        <v>749</v>
      </c>
    </row>
    <row r="552" spans="1:10" ht="18" customHeight="1" x14ac:dyDescent="0.25">
      <c r="A552" s="15">
        <f>SUBTOTAL(3,$B$11:B552)</f>
        <v>542</v>
      </c>
      <c r="B552" s="15">
        <v>12809</v>
      </c>
      <c r="C552" s="12" t="s">
        <v>1191</v>
      </c>
      <c r="D552" s="13" t="s">
        <v>14</v>
      </c>
      <c r="E552" s="12">
        <v>4754784</v>
      </c>
      <c r="F552" s="12">
        <v>7902678</v>
      </c>
      <c r="G552" s="14">
        <f t="shared" si="16"/>
        <v>12657462</v>
      </c>
      <c r="H552" s="14">
        <f t="shared" si="17"/>
        <v>486.82546153846152</v>
      </c>
      <c r="I552" s="11" t="s">
        <v>1339</v>
      </c>
      <c r="J552" s="11" t="s">
        <v>749</v>
      </c>
    </row>
    <row r="553" spans="1:10" ht="18" customHeight="1" x14ac:dyDescent="0.25">
      <c r="A553" s="15">
        <f>SUBTOTAL(3,$B$11:B553)</f>
        <v>543</v>
      </c>
      <c r="B553" s="15">
        <v>12817</v>
      </c>
      <c r="C553" s="12" t="s">
        <v>1193</v>
      </c>
      <c r="D553" s="13" t="s">
        <v>9</v>
      </c>
      <c r="E553" s="12">
        <v>5334904</v>
      </c>
      <c r="F553" s="12">
        <v>9647789</v>
      </c>
      <c r="G553" s="14">
        <f t="shared" si="16"/>
        <v>14982693</v>
      </c>
      <c r="H553" s="14">
        <f t="shared" si="17"/>
        <v>576.25742307692303</v>
      </c>
      <c r="I553" s="11" t="s">
        <v>1341</v>
      </c>
      <c r="J553" s="11" t="s">
        <v>750</v>
      </c>
    </row>
    <row r="554" spans="1:10" ht="18" customHeight="1" x14ac:dyDescent="0.25">
      <c r="A554" s="15">
        <f>SUBTOTAL(3,$B$11:B554)</f>
        <v>544</v>
      </c>
      <c r="B554" s="15">
        <v>12818</v>
      </c>
      <c r="C554" s="12" t="s">
        <v>1194</v>
      </c>
      <c r="D554" s="13" t="s">
        <v>9</v>
      </c>
      <c r="E554" s="12">
        <v>5565000</v>
      </c>
      <c r="F554" s="12">
        <v>9247788</v>
      </c>
      <c r="G554" s="14">
        <f t="shared" si="16"/>
        <v>14812788</v>
      </c>
      <c r="H554" s="14">
        <f t="shared" si="17"/>
        <v>569.72261538461544</v>
      </c>
      <c r="I554" s="11" t="s">
        <v>1342</v>
      </c>
      <c r="J554" s="11" t="s">
        <v>696</v>
      </c>
    </row>
    <row r="555" spans="1:10" ht="18" customHeight="1" x14ac:dyDescent="0.25">
      <c r="A555" s="15">
        <f>SUBTOTAL(3,$B$11:B555)</f>
        <v>545</v>
      </c>
      <c r="B555" s="15">
        <v>12823</v>
      </c>
      <c r="C555" s="12" t="s">
        <v>1195</v>
      </c>
      <c r="D555" s="13" t="s">
        <v>14</v>
      </c>
      <c r="E555" s="12">
        <v>4611755</v>
      </c>
      <c r="F555" s="12">
        <v>7956140</v>
      </c>
      <c r="G555" s="14">
        <f t="shared" si="16"/>
        <v>12567895</v>
      </c>
      <c r="H555" s="14">
        <f t="shared" si="17"/>
        <v>483.38057692307694</v>
      </c>
      <c r="I555" s="11" t="s">
        <v>1343</v>
      </c>
      <c r="J555" s="11" t="s">
        <v>749</v>
      </c>
    </row>
    <row r="556" spans="1:10" ht="18" customHeight="1" x14ac:dyDescent="0.25">
      <c r="A556" s="15">
        <f>SUBTOTAL(3,$B$11:B556)</f>
        <v>546</v>
      </c>
      <c r="B556" s="15">
        <v>12825</v>
      </c>
      <c r="C556" s="12" t="s">
        <v>344</v>
      </c>
      <c r="D556" s="13" t="s">
        <v>9</v>
      </c>
      <c r="E556" s="12">
        <v>5565000</v>
      </c>
      <c r="F556" s="12">
        <v>7801802</v>
      </c>
      <c r="G556" s="14">
        <f t="shared" si="16"/>
        <v>13366802</v>
      </c>
      <c r="H556" s="14">
        <f t="shared" si="17"/>
        <v>514.10776923076924</v>
      </c>
      <c r="I556" s="11" t="s">
        <v>1344</v>
      </c>
      <c r="J556" s="11" t="s">
        <v>749</v>
      </c>
    </row>
    <row r="557" spans="1:10" ht="18" customHeight="1" x14ac:dyDescent="0.25">
      <c r="A557" s="15">
        <f>SUBTOTAL(3,$B$11:B557)</f>
        <v>547</v>
      </c>
      <c r="B557" s="15">
        <v>12830</v>
      </c>
      <c r="C557" s="12" t="s">
        <v>1196</v>
      </c>
      <c r="D557" s="13" t="s">
        <v>13</v>
      </c>
      <c r="E557" s="12">
        <v>4861899</v>
      </c>
      <c r="F557" s="12">
        <v>8416548</v>
      </c>
      <c r="G557" s="14">
        <f t="shared" si="16"/>
        <v>13278447</v>
      </c>
      <c r="H557" s="14">
        <f t="shared" si="17"/>
        <v>510.70949999999999</v>
      </c>
      <c r="I557" s="11" t="s">
        <v>1345</v>
      </c>
      <c r="J557" s="11" t="s">
        <v>696</v>
      </c>
    </row>
    <row r="558" spans="1:10" ht="18" customHeight="1" x14ac:dyDescent="0.25">
      <c r="A558" s="15">
        <f>SUBTOTAL(3,$B$11:B558)</f>
        <v>548</v>
      </c>
      <c r="B558" s="15">
        <v>12831</v>
      </c>
      <c r="C558" s="12" t="s">
        <v>1197</v>
      </c>
      <c r="D558" s="13" t="s">
        <v>13</v>
      </c>
      <c r="E558" s="12">
        <v>3927920</v>
      </c>
      <c r="F558" s="12">
        <v>7716741</v>
      </c>
      <c r="G558" s="14">
        <f t="shared" si="16"/>
        <v>11644661</v>
      </c>
      <c r="H558" s="14">
        <f t="shared" si="17"/>
        <v>447.87157692307693</v>
      </c>
      <c r="I558" s="11" t="s">
        <v>1346</v>
      </c>
      <c r="J558" s="11" t="s">
        <v>757</v>
      </c>
    </row>
    <row r="559" spans="1:10" ht="18" customHeight="1" x14ac:dyDescent="0.25">
      <c r="A559" s="15">
        <f>SUBTOTAL(3,$B$11:B559)</f>
        <v>549</v>
      </c>
      <c r="B559" s="15">
        <v>12841</v>
      </c>
      <c r="C559" s="12" t="s">
        <v>1198</v>
      </c>
      <c r="D559" s="13" t="s">
        <v>13</v>
      </c>
      <c r="E559" s="12">
        <v>2820914</v>
      </c>
      <c r="F559" s="12">
        <v>1400635</v>
      </c>
      <c r="G559" s="14">
        <f t="shared" si="16"/>
        <v>4221549</v>
      </c>
      <c r="H559" s="14">
        <f t="shared" si="17"/>
        <v>162.36726923076924</v>
      </c>
      <c r="I559" s="11" t="s">
        <v>1347</v>
      </c>
      <c r="J559" s="11" t="s">
        <v>757</v>
      </c>
    </row>
    <row r="560" spans="1:10" ht="18" customHeight="1" x14ac:dyDescent="0.25">
      <c r="A560" s="15">
        <f>SUBTOTAL(3,$B$11:B560)</f>
        <v>550</v>
      </c>
      <c r="B560" s="15">
        <v>12853</v>
      </c>
      <c r="C560" s="12" t="s">
        <v>1199</v>
      </c>
      <c r="D560" s="13" t="s">
        <v>22</v>
      </c>
      <c r="E560" s="12">
        <v>4501623</v>
      </c>
      <c r="F560" s="12">
        <v>6493843</v>
      </c>
      <c r="G560" s="14">
        <f t="shared" si="16"/>
        <v>10995466</v>
      </c>
      <c r="H560" s="14">
        <f t="shared" si="17"/>
        <v>422.90253846153848</v>
      </c>
      <c r="I560" s="11" t="s">
        <v>1348</v>
      </c>
      <c r="J560" s="11" t="s">
        <v>757</v>
      </c>
    </row>
    <row r="561" spans="1:10" ht="18" customHeight="1" x14ac:dyDescent="0.25">
      <c r="A561" s="15">
        <f>SUBTOTAL(3,$B$11:B561)</f>
        <v>551</v>
      </c>
      <c r="B561" s="15">
        <v>12875</v>
      </c>
      <c r="C561" s="12" t="s">
        <v>1202</v>
      </c>
      <c r="D561" s="13" t="s">
        <v>13</v>
      </c>
      <c r="E561" s="12">
        <v>4568690</v>
      </c>
      <c r="F561" s="12">
        <v>8656043</v>
      </c>
      <c r="G561" s="14">
        <f t="shared" si="16"/>
        <v>13224733</v>
      </c>
      <c r="H561" s="14">
        <f t="shared" si="17"/>
        <v>508.64357692307692</v>
      </c>
      <c r="I561" s="11" t="s">
        <v>1351</v>
      </c>
      <c r="J561" s="11" t="s">
        <v>1108</v>
      </c>
    </row>
    <row r="562" spans="1:10" ht="18" customHeight="1" x14ac:dyDescent="0.25">
      <c r="A562" s="15">
        <f>SUBTOTAL(3,$B$11:B562)</f>
        <v>552</v>
      </c>
      <c r="B562" s="15">
        <v>12879</v>
      </c>
      <c r="C562" s="12" t="s">
        <v>1203</v>
      </c>
      <c r="D562" s="13" t="s">
        <v>9</v>
      </c>
      <c r="E562" s="12">
        <v>2578846</v>
      </c>
      <c r="F562" s="12">
        <v>10085769</v>
      </c>
      <c r="G562" s="14">
        <f t="shared" si="16"/>
        <v>12664615</v>
      </c>
      <c r="H562" s="14">
        <f t="shared" si="17"/>
        <v>487.10057692307691</v>
      </c>
      <c r="I562" s="11" t="s">
        <v>1352</v>
      </c>
      <c r="J562" s="11" t="s">
        <v>1108</v>
      </c>
    </row>
    <row r="563" spans="1:10" ht="18" customHeight="1" x14ac:dyDescent="0.25">
      <c r="A563" s="15">
        <f>SUBTOTAL(3,$B$11:B563)</f>
        <v>553</v>
      </c>
      <c r="B563" s="15">
        <v>12909</v>
      </c>
      <c r="C563" s="12" t="s">
        <v>1204</v>
      </c>
      <c r="D563" s="13" t="s">
        <v>29</v>
      </c>
      <c r="E563" s="12">
        <v>5170049</v>
      </c>
      <c r="F563" s="12">
        <v>6467546</v>
      </c>
      <c r="G563" s="14">
        <f t="shared" si="16"/>
        <v>11637595</v>
      </c>
      <c r="H563" s="14">
        <f t="shared" si="17"/>
        <v>447.59980769230771</v>
      </c>
      <c r="I563" s="11" t="s">
        <v>1353</v>
      </c>
      <c r="J563" s="11" t="s">
        <v>750</v>
      </c>
    </row>
    <row r="564" spans="1:10" ht="18" customHeight="1" x14ac:dyDescent="0.25">
      <c r="A564" s="15">
        <f>SUBTOTAL(3,$B$11:B564)</f>
        <v>554</v>
      </c>
      <c r="B564" s="15">
        <v>12911</v>
      </c>
      <c r="C564" s="12" t="s">
        <v>1205</v>
      </c>
      <c r="D564" s="13" t="s">
        <v>13</v>
      </c>
      <c r="E564" s="12">
        <v>5076599</v>
      </c>
      <c r="F564" s="12">
        <v>7902678</v>
      </c>
      <c r="G564" s="14">
        <f t="shared" si="16"/>
        <v>12979277</v>
      </c>
      <c r="H564" s="14">
        <f t="shared" si="17"/>
        <v>499.20296153846152</v>
      </c>
      <c r="I564" s="11" t="s">
        <v>1354</v>
      </c>
      <c r="J564" s="11" t="s">
        <v>696</v>
      </c>
    </row>
    <row r="565" spans="1:10" ht="18" customHeight="1" x14ac:dyDescent="0.25">
      <c r="A565" s="15">
        <f>SUBTOTAL(3,$B$11:B565)</f>
        <v>555</v>
      </c>
      <c r="B565" s="15">
        <v>12915</v>
      </c>
      <c r="C565" s="12" t="s">
        <v>1206</v>
      </c>
      <c r="D565" s="13" t="s">
        <v>14</v>
      </c>
      <c r="E565" s="12">
        <v>3481827</v>
      </c>
      <c r="F565" s="12">
        <v>7968678</v>
      </c>
      <c r="G565" s="14">
        <f t="shared" si="16"/>
        <v>11450505</v>
      </c>
      <c r="H565" s="14">
        <f t="shared" si="17"/>
        <v>440.40403846153845</v>
      </c>
      <c r="I565" s="11" t="s">
        <v>1355</v>
      </c>
      <c r="J565" s="11" t="s">
        <v>696</v>
      </c>
    </row>
    <row r="566" spans="1:10" ht="18" customHeight="1" x14ac:dyDescent="0.25">
      <c r="A566" s="15">
        <f>SUBTOTAL(3,$B$11:B566)</f>
        <v>556</v>
      </c>
      <c r="B566" s="15">
        <v>12917</v>
      </c>
      <c r="C566" s="12" t="s">
        <v>1207</v>
      </c>
      <c r="D566" s="13" t="s">
        <v>13</v>
      </c>
      <c r="E566" s="12">
        <v>3127608</v>
      </c>
      <c r="F566" s="12">
        <v>7290515</v>
      </c>
      <c r="G566" s="14">
        <f t="shared" si="16"/>
        <v>10418123</v>
      </c>
      <c r="H566" s="14">
        <f t="shared" si="17"/>
        <v>400.69703846153845</v>
      </c>
      <c r="I566" s="11" t="s">
        <v>1356</v>
      </c>
      <c r="J566" s="11" t="s">
        <v>749</v>
      </c>
    </row>
    <row r="567" spans="1:10" ht="18" customHeight="1" x14ac:dyDescent="0.25">
      <c r="A567" s="15">
        <f>SUBTOTAL(3,$B$11:B567)</f>
        <v>557</v>
      </c>
      <c r="B567" s="15">
        <v>12926</v>
      </c>
      <c r="C567" s="12" t="s">
        <v>1209</v>
      </c>
      <c r="D567" s="13" t="s">
        <v>19</v>
      </c>
      <c r="E567" s="12">
        <v>4745674</v>
      </c>
      <c r="F567" s="12">
        <v>6377847</v>
      </c>
      <c r="G567" s="14">
        <f t="shared" si="16"/>
        <v>11123521</v>
      </c>
      <c r="H567" s="14">
        <f t="shared" si="17"/>
        <v>427.82773076923075</v>
      </c>
      <c r="I567" s="11" t="s">
        <v>1358</v>
      </c>
      <c r="J567" s="11" t="s">
        <v>750</v>
      </c>
    </row>
    <row r="568" spans="1:10" ht="18" customHeight="1" x14ac:dyDescent="0.25">
      <c r="A568" s="15">
        <f>SUBTOTAL(3,$B$11:B568)</f>
        <v>558</v>
      </c>
      <c r="B568" s="15">
        <v>12939</v>
      </c>
      <c r="C568" s="12" t="s">
        <v>305</v>
      </c>
      <c r="D568" s="13" t="s">
        <v>19</v>
      </c>
      <c r="E568" s="12">
        <v>3593329</v>
      </c>
      <c r="F568" s="12">
        <v>7439572</v>
      </c>
      <c r="G568" s="14">
        <f t="shared" si="16"/>
        <v>11032901</v>
      </c>
      <c r="H568" s="14">
        <f t="shared" si="17"/>
        <v>424.34234615384617</v>
      </c>
      <c r="I568" s="11" t="s">
        <v>1359</v>
      </c>
      <c r="J568" s="11" t="s">
        <v>750</v>
      </c>
    </row>
    <row r="569" spans="1:10" ht="18" customHeight="1" x14ac:dyDescent="0.25">
      <c r="A569" s="15">
        <f>SUBTOTAL(3,$B$11:B569)</f>
        <v>559</v>
      </c>
      <c r="B569" s="15">
        <v>12944</v>
      </c>
      <c r="C569" s="12" t="s">
        <v>1210</v>
      </c>
      <c r="D569" s="13" t="s">
        <v>19</v>
      </c>
      <c r="E569" s="12">
        <v>4635192</v>
      </c>
      <c r="F569" s="12">
        <v>6956072</v>
      </c>
      <c r="G569" s="14">
        <f t="shared" si="16"/>
        <v>11591264</v>
      </c>
      <c r="H569" s="14">
        <f t="shared" si="17"/>
        <v>445.81784615384618</v>
      </c>
      <c r="I569" s="11" t="s">
        <v>1360</v>
      </c>
      <c r="J569" s="11" t="s">
        <v>757</v>
      </c>
    </row>
    <row r="570" spans="1:10" ht="18" customHeight="1" x14ac:dyDescent="0.25">
      <c r="A570" s="15">
        <f>SUBTOTAL(3,$B$11:B570)</f>
        <v>560</v>
      </c>
      <c r="B570" s="15">
        <v>12946</v>
      </c>
      <c r="C570" s="12" t="s">
        <v>1211</v>
      </c>
      <c r="D570" s="13" t="s">
        <v>13</v>
      </c>
      <c r="E570" s="12">
        <v>4561538</v>
      </c>
      <c r="F570" s="12">
        <v>6998591</v>
      </c>
      <c r="G570" s="14">
        <f t="shared" si="16"/>
        <v>11560129</v>
      </c>
      <c r="H570" s="14">
        <f t="shared" si="17"/>
        <v>444.62034615384613</v>
      </c>
      <c r="I570" s="11" t="s">
        <v>1361</v>
      </c>
      <c r="J570" s="11" t="s">
        <v>749</v>
      </c>
    </row>
    <row r="571" spans="1:10" ht="18" customHeight="1" x14ac:dyDescent="0.25">
      <c r="A571" s="15">
        <f>SUBTOTAL(3,$B$11:B571)</f>
        <v>561</v>
      </c>
      <c r="B571" s="15">
        <v>12948</v>
      </c>
      <c r="C571" s="12" t="s">
        <v>1212</v>
      </c>
      <c r="D571" s="13" t="s">
        <v>19</v>
      </c>
      <c r="E571" s="12">
        <v>4056791</v>
      </c>
      <c r="F571" s="12">
        <v>7249293</v>
      </c>
      <c r="G571" s="14">
        <f t="shared" si="16"/>
        <v>11306084</v>
      </c>
      <c r="H571" s="14">
        <f t="shared" si="17"/>
        <v>434.84938461538462</v>
      </c>
      <c r="I571" s="11" t="s">
        <v>1362</v>
      </c>
      <c r="J571" s="11" t="s">
        <v>696</v>
      </c>
    </row>
    <row r="572" spans="1:10" ht="18" customHeight="1" x14ac:dyDescent="0.25">
      <c r="A572" s="15">
        <f>SUBTOTAL(3,$B$11:B572)</f>
        <v>562</v>
      </c>
      <c r="B572" s="15">
        <v>12949</v>
      </c>
      <c r="C572" s="12" t="s">
        <v>1213</v>
      </c>
      <c r="D572" s="13" t="s">
        <v>19</v>
      </c>
      <c r="E572" s="12">
        <v>4810132</v>
      </c>
      <c r="F572" s="12">
        <v>8030784</v>
      </c>
      <c r="G572" s="14">
        <f t="shared" si="16"/>
        <v>12840916</v>
      </c>
      <c r="H572" s="14">
        <f t="shared" si="17"/>
        <v>493.8813846153846</v>
      </c>
      <c r="I572" s="11" t="s">
        <v>1363</v>
      </c>
      <c r="J572" s="11" t="s">
        <v>696</v>
      </c>
    </row>
    <row r="573" spans="1:10" ht="18" customHeight="1" x14ac:dyDescent="0.25">
      <c r="A573" s="15">
        <f>SUBTOTAL(3,$B$11:B573)</f>
        <v>563</v>
      </c>
      <c r="B573" s="15">
        <v>12956</v>
      </c>
      <c r="C573" s="12" t="s">
        <v>1214</v>
      </c>
      <c r="D573" s="13" t="s">
        <v>13</v>
      </c>
      <c r="E573" s="12">
        <v>4904807</v>
      </c>
      <c r="F573" s="12">
        <v>8614962</v>
      </c>
      <c r="G573" s="14">
        <f t="shared" si="16"/>
        <v>13519769</v>
      </c>
      <c r="H573" s="14">
        <f t="shared" si="17"/>
        <v>519.99111538461534</v>
      </c>
      <c r="I573" s="11" t="s">
        <v>1364</v>
      </c>
      <c r="J573" s="11" t="s">
        <v>750</v>
      </c>
    </row>
    <row r="574" spans="1:10" ht="18" customHeight="1" x14ac:dyDescent="0.25">
      <c r="A574" s="15">
        <f>SUBTOTAL(3,$B$11:B574)</f>
        <v>564</v>
      </c>
      <c r="B574" s="15">
        <v>12957</v>
      </c>
      <c r="C574" s="12" t="s">
        <v>1215</v>
      </c>
      <c r="D574" s="13" t="s">
        <v>13</v>
      </c>
      <c r="E574" s="12">
        <v>4904807</v>
      </c>
      <c r="F574" s="12">
        <v>8586356</v>
      </c>
      <c r="G574" s="14">
        <f t="shared" si="16"/>
        <v>13491163</v>
      </c>
      <c r="H574" s="14">
        <f t="shared" si="17"/>
        <v>518.89088461538461</v>
      </c>
      <c r="I574" s="11">
        <v>1048008184</v>
      </c>
      <c r="J574" s="11" t="s">
        <v>696</v>
      </c>
    </row>
    <row r="575" spans="1:10" ht="18" customHeight="1" x14ac:dyDescent="0.25">
      <c r="A575" s="15">
        <f>SUBTOTAL(3,$B$11:B575)</f>
        <v>565</v>
      </c>
      <c r="B575" s="15">
        <v>12968</v>
      </c>
      <c r="C575" s="12" t="s">
        <v>1216</v>
      </c>
      <c r="D575" s="13" t="s">
        <v>9</v>
      </c>
      <c r="E575" s="12">
        <v>5334904</v>
      </c>
      <c r="F575" s="12">
        <v>10085769</v>
      </c>
      <c r="G575" s="14">
        <f t="shared" si="16"/>
        <v>15420673</v>
      </c>
      <c r="H575" s="14">
        <f t="shared" si="17"/>
        <v>593.10280769230769</v>
      </c>
      <c r="I575" s="11" t="s">
        <v>1365</v>
      </c>
      <c r="J575" s="11" t="s">
        <v>696</v>
      </c>
    </row>
    <row r="576" spans="1:10" ht="18" customHeight="1" x14ac:dyDescent="0.25">
      <c r="A576" s="15">
        <f>SUBTOTAL(3,$B$11:B576)</f>
        <v>566</v>
      </c>
      <c r="B576" s="15">
        <v>12975</v>
      </c>
      <c r="C576" s="12" t="s">
        <v>1217</v>
      </c>
      <c r="D576" s="13" t="s">
        <v>20</v>
      </c>
      <c r="E576" s="12">
        <v>5098053</v>
      </c>
      <c r="F576" s="12">
        <v>7847293</v>
      </c>
      <c r="G576" s="14">
        <f t="shared" si="16"/>
        <v>12945346</v>
      </c>
      <c r="H576" s="14">
        <f t="shared" si="17"/>
        <v>497.89792307692306</v>
      </c>
      <c r="I576" s="11" t="s">
        <v>1366</v>
      </c>
      <c r="J576" s="11" t="s">
        <v>754</v>
      </c>
    </row>
    <row r="577" spans="1:10" ht="18" customHeight="1" x14ac:dyDescent="0.25">
      <c r="A577" s="15">
        <f>SUBTOTAL(3,$B$11:B577)</f>
        <v>567</v>
      </c>
      <c r="B577" s="15">
        <v>12978</v>
      </c>
      <c r="C577" s="12" t="s">
        <v>1218</v>
      </c>
      <c r="D577" s="13" t="s">
        <v>27</v>
      </c>
      <c r="E577" s="12">
        <v>4531250</v>
      </c>
      <c r="F577" s="12">
        <v>12557617</v>
      </c>
      <c r="G577" s="14">
        <f t="shared" si="16"/>
        <v>17088867</v>
      </c>
      <c r="H577" s="14">
        <f t="shared" si="17"/>
        <v>657.26411538461537</v>
      </c>
      <c r="I577" s="11" t="s">
        <v>1367</v>
      </c>
      <c r="J577" s="11" t="s">
        <v>749</v>
      </c>
    </row>
    <row r="578" spans="1:10" ht="18" customHeight="1" x14ac:dyDescent="0.25">
      <c r="A578" s="15">
        <f>SUBTOTAL(3,$B$11:B578)</f>
        <v>568</v>
      </c>
      <c r="B578" s="15">
        <v>12983</v>
      </c>
      <c r="C578" s="12" t="s">
        <v>1219</v>
      </c>
      <c r="D578" s="13" t="s">
        <v>13</v>
      </c>
      <c r="E578" s="12">
        <v>5098053</v>
      </c>
      <c r="F578" s="12">
        <v>7902678</v>
      </c>
      <c r="G578" s="14">
        <f t="shared" si="16"/>
        <v>13000731</v>
      </c>
      <c r="H578" s="14">
        <f t="shared" si="17"/>
        <v>500.02811538461538</v>
      </c>
      <c r="I578" s="11" t="s">
        <v>1368</v>
      </c>
      <c r="J578" s="11" t="s">
        <v>696</v>
      </c>
    </row>
    <row r="579" spans="1:10" ht="18" customHeight="1" x14ac:dyDescent="0.25">
      <c r="A579" s="15">
        <f>SUBTOTAL(3,$B$11:B579)</f>
        <v>569</v>
      </c>
      <c r="B579" s="15">
        <v>12985</v>
      </c>
      <c r="C579" s="12" t="s">
        <v>1220</v>
      </c>
      <c r="D579" s="13" t="s">
        <v>13</v>
      </c>
      <c r="E579" s="12">
        <v>4776081</v>
      </c>
      <c r="F579" s="12">
        <v>7273351</v>
      </c>
      <c r="G579" s="14">
        <f t="shared" si="16"/>
        <v>12049432</v>
      </c>
      <c r="H579" s="14">
        <f t="shared" si="17"/>
        <v>463.43969230769233</v>
      </c>
      <c r="I579" s="11" t="s">
        <v>1369</v>
      </c>
      <c r="J579" s="11" t="s">
        <v>696</v>
      </c>
    </row>
    <row r="580" spans="1:10" ht="18" customHeight="1" x14ac:dyDescent="0.25">
      <c r="A580" s="15">
        <f>SUBTOTAL(3,$B$11:B580)</f>
        <v>570</v>
      </c>
      <c r="B580" s="15">
        <v>12986</v>
      </c>
      <c r="C580" s="12" t="s">
        <v>1221</v>
      </c>
      <c r="D580" s="13" t="s">
        <v>20</v>
      </c>
      <c r="E580" s="12">
        <v>5076599</v>
      </c>
      <c r="F580" s="12">
        <v>7458111</v>
      </c>
      <c r="G580" s="14">
        <f t="shared" si="16"/>
        <v>12534710</v>
      </c>
      <c r="H580" s="14">
        <f t="shared" si="17"/>
        <v>482.10423076923075</v>
      </c>
      <c r="I580" s="11" t="s">
        <v>1370</v>
      </c>
      <c r="J580" s="11" t="s">
        <v>1108</v>
      </c>
    </row>
    <row r="581" spans="1:10" ht="18" customHeight="1" x14ac:dyDescent="0.25">
      <c r="A581" s="15">
        <f>SUBTOTAL(3,$B$11:B581)</f>
        <v>571</v>
      </c>
      <c r="B581" s="15">
        <v>12988</v>
      </c>
      <c r="C581" s="12" t="s">
        <v>1222</v>
      </c>
      <c r="D581" s="13" t="s">
        <v>13</v>
      </c>
      <c r="E581" s="12">
        <v>4518630</v>
      </c>
      <c r="F581" s="12">
        <v>8251235</v>
      </c>
      <c r="G581" s="14">
        <f t="shared" si="16"/>
        <v>12769865</v>
      </c>
      <c r="H581" s="14">
        <f t="shared" si="17"/>
        <v>491.14865384615382</v>
      </c>
      <c r="I581" s="11" t="s">
        <v>1371</v>
      </c>
      <c r="J581" s="11" t="s">
        <v>696</v>
      </c>
    </row>
    <row r="582" spans="1:10" ht="18" customHeight="1" x14ac:dyDescent="0.25">
      <c r="A582" s="15">
        <f>SUBTOTAL(3,$B$11:B582)</f>
        <v>572</v>
      </c>
      <c r="B582" s="15">
        <v>12997</v>
      </c>
      <c r="C582" s="12" t="s">
        <v>1224</v>
      </c>
      <c r="D582" s="13" t="s">
        <v>19</v>
      </c>
      <c r="E582" s="12">
        <v>4056791</v>
      </c>
      <c r="F582" s="12">
        <v>8030784</v>
      </c>
      <c r="G582" s="14">
        <f t="shared" si="16"/>
        <v>12087575</v>
      </c>
      <c r="H582" s="14">
        <f t="shared" si="17"/>
        <v>464.90673076923076</v>
      </c>
      <c r="I582" s="11" t="s">
        <v>1372</v>
      </c>
      <c r="J582" s="11" t="s">
        <v>1373</v>
      </c>
    </row>
    <row r="583" spans="1:10" ht="18" customHeight="1" x14ac:dyDescent="0.25">
      <c r="A583" s="15">
        <f>SUBTOTAL(3,$B$11:B583)</f>
        <v>573</v>
      </c>
      <c r="B583" s="15">
        <v>13006</v>
      </c>
      <c r="C583" s="12" t="s">
        <v>1225</v>
      </c>
      <c r="D583" s="13" t="s">
        <v>19</v>
      </c>
      <c r="E583" s="12">
        <v>4810132</v>
      </c>
      <c r="F583" s="12">
        <v>8030784</v>
      </c>
      <c r="G583" s="14">
        <f t="shared" si="16"/>
        <v>12840916</v>
      </c>
      <c r="H583" s="14">
        <f t="shared" si="17"/>
        <v>493.8813846153846</v>
      </c>
      <c r="I583" s="11" t="s">
        <v>1374</v>
      </c>
      <c r="J583" s="11" t="s">
        <v>757</v>
      </c>
    </row>
    <row r="584" spans="1:10" ht="18" customHeight="1" x14ac:dyDescent="0.25">
      <c r="A584" s="15">
        <f>SUBTOTAL(3,$B$11:B584)</f>
        <v>574</v>
      </c>
      <c r="B584" s="15">
        <v>13025</v>
      </c>
      <c r="C584" s="12" t="s">
        <v>1226</v>
      </c>
      <c r="D584" s="13" t="s">
        <v>13</v>
      </c>
      <c r="E584" s="12">
        <v>4747632</v>
      </c>
      <c r="F584" s="12">
        <v>7822846</v>
      </c>
      <c r="G584" s="14">
        <f t="shared" si="16"/>
        <v>12570478</v>
      </c>
      <c r="H584" s="14">
        <f t="shared" si="17"/>
        <v>483.47992307692306</v>
      </c>
      <c r="I584" s="11" t="s">
        <v>1375</v>
      </c>
      <c r="J584" s="11" t="s">
        <v>1332</v>
      </c>
    </row>
    <row r="585" spans="1:10" ht="18" customHeight="1" x14ac:dyDescent="0.25">
      <c r="A585" s="15">
        <f>SUBTOTAL(3,$B$11:B585)</f>
        <v>575</v>
      </c>
      <c r="B585" s="15">
        <v>13033</v>
      </c>
      <c r="C585" s="12" t="s">
        <v>1227</v>
      </c>
      <c r="D585" s="13" t="s">
        <v>19</v>
      </c>
      <c r="E585" s="12">
        <v>4635192</v>
      </c>
      <c r="F585" s="12">
        <v>8001697</v>
      </c>
      <c r="G585" s="14">
        <f t="shared" si="16"/>
        <v>12636889</v>
      </c>
      <c r="H585" s="14">
        <f t="shared" si="17"/>
        <v>486.03419230769231</v>
      </c>
      <c r="I585" s="11" t="s">
        <v>1376</v>
      </c>
      <c r="J585" s="11" t="s">
        <v>1377</v>
      </c>
    </row>
    <row r="586" spans="1:10" ht="18" customHeight="1" x14ac:dyDescent="0.25">
      <c r="A586" s="15">
        <f>SUBTOTAL(3,$B$11:B586)</f>
        <v>576</v>
      </c>
      <c r="B586" s="15">
        <v>13048</v>
      </c>
      <c r="C586" s="12" t="s">
        <v>86</v>
      </c>
      <c r="D586" s="13" t="s">
        <v>1008</v>
      </c>
      <c r="E586" s="12">
        <v>5183461</v>
      </c>
      <c r="F586" s="12">
        <v>10248990</v>
      </c>
      <c r="G586" s="14">
        <f t="shared" si="16"/>
        <v>15432451</v>
      </c>
      <c r="H586" s="14">
        <f t="shared" si="17"/>
        <v>593.55580769230767</v>
      </c>
      <c r="I586" s="11" t="s">
        <v>1378</v>
      </c>
      <c r="J586" s="11" t="s">
        <v>750</v>
      </c>
    </row>
    <row r="587" spans="1:10" ht="18" customHeight="1" x14ac:dyDescent="0.25">
      <c r="A587" s="15">
        <f>SUBTOTAL(3,$B$11:B587)</f>
        <v>577</v>
      </c>
      <c r="B587" s="15">
        <v>13049</v>
      </c>
      <c r="C587" s="12" t="s">
        <v>1228</v>
      </c>
      <c r="D587" s="13" t="s">
        <v>20</v>
      </c>
      <c r="E587" s="12">
        <v>4826298</v>
      </c>
      <c r="F587" s="12">
        <v>7847293</v>
      </c>
      <c r="G587" s="14">
        <f t="shared" si="16"/>
        <v>12673591</v>
      </c>
      <c r="H587" s="14">
        <f t="shared" si="17"/>
        <v>487.44580769230771</v>
      </c>
      <c r="I587" s="11" t="s">
        <v>1379</v>
      </c>
      <c r="J587" s="11" t="s">
        <v>749</v>
      </c>
    </row>
    <row r="588" spans="1:10" ht="18" customHeight="1" x14ac:dyDescent="0.25">
      <c r="A588" s="15">
        <f>SUBTOTAL(3,$B$11:B588)</f>
        <v>578</v>
      </c>
      <c r="B588" s="15">
        <v>13074</v>
      </c>
      <c r="C588" s="12" t="s">
        <v>1229</v>
      </c>
      <c r="D588" s="13" t="s">
        <v>14</v>
      </c>
      <c r="E588" s="12">
        <v>4583149</v>
      </c>
      <c r="F588" s="12">
        <v>7612870</v>
      </c>
      <c r="G588" s="14">
        <f t="shared" ref="G588:G651" si="18">E588+F588</f>
        <v>12196019</v>
      </c>
      <c r="H588" s="14">
        <f t="shared" ref="H588:H651" si="19">G588/$J$1</f>
        <v>469.07765384615385</v>
      </c>
      <c r="I588" s="11" t="s">
        <v>1380</v>
      </c>
      <c r="J588" s="11" t="s">
        <v>696</v>
      </c>
    </row>
    <row r="589" spans="1:10" ht="18" customHeight="1" x14ac:dyDescent="0.25">
      <c r="A589" s="15">
        <f>SUBTOTAL(3,$B$11:B589)</f>
        <v>579</v>
      </c>
      <c r="B589" s="15">
        <v>13077</v>
      </c>
      <c r="C589" s="12" t="s">
        <v>1230</v>
      </c>
      <c r="D589" s="13" t="s">
        <v>14</v>
      </c>
      <c r="E589" s="12">
        <v>4959267</v>
      </c>
      <c r="F589" s="12">
        <v>8210114</v>
      </c>
      <c r="G589" s="14">
        <f t="shared" si="18"/>
        <v>13169381</v>
      </c>
      <c r="H589" s="14">
        <f t="shared" si="19"/>
        <v>506.51465384615386</v>
      </c>
      <c r="I589" s="11" t="s">
        <v>1381</v>
      </c>
      <c r="J589" s="11" t="s">
        <v>696</v>
      </c>
    </row>
    <row r="590" spans="1:10" ht="18" customHeight="1" x14ac:dyDescent="0.25">
      <c r="A590" s="15">
        <f>SUBTOTAL(3,$B$11:B590)</f>
        <v>580</v>
      </c>
      <c r="B590" s="15">
        <v>13078</v>
      </c>
      <c r="C590" s="12" t="s">
        <v>1231</v>
      </c>
      <c r="D590" s="13" t="s">
        <v>14</v>
      </c>
      <c r="E590" s="12">
        <v>4432812</v>
      </c>
      <c r="F590" s="12">
        <v>8614961</v>
      </c>
      <c r="G590" s="14">
        <f t="shared" si="18"/>
        <v>13047773</v>
      </c>
      <c r="H590" s="14">
        <f t="shared" si="19"/>
        <v>501.83742307692307</v>
      </c>
      <c r="I590" s="11" t="s">
        <v>1382</v>
      </c>
      <c r="J590" s="11" t="s">
        <v>696</v>
      </c>
    </row>
    <row r="591" spans="1:10" ht="18" customHeight="1" x14ac:dyDescent="0.25">
      <c r="A591" s="15">
        <f>SUBTOTAL(3,$B$11:B591)</f>
        <v>581</v>
      </c>
      <c r="B591" s="15">
        <v>13081</v>
      </c>
      <c r="C591" s="12" t="s">
        <v>1232</v>
      </c>
      <c r="D591" s="13" t="s">
        <v>19</v>
      </c>
      <c r="E591" s="12">
        <v>4078606</v>
      </c>
      <c r="F591" s="12">
        <v>8084246</v>
      </c>
      <c r="G591" s="14">
        <f t="shared" si="18"/>
        <v>12162852</v>
      </c>
      <c r="H591" s="14">
        <f t="shared" si="19"/>
        <v>467.80200000000002</v>
      </c>
      <c r="I591" s="11" t="s">
        <v>1383</v>
      </c>
      <c r="J591" s="11" t="s">
        <v>696</v>
      </c>
    </row>
    <row r="592" spans="1:10" ht="18" customHeight="1" x14ac:dyDescent="0.25">
      <c r="A592" s="15">
        <f>SUBTOTAL(3,$B$11:B592)</f>
        <v>582</v>
      </c>
      <c r="B592" s="15">
        <v>13090</v>
      </c>
      <c r="C592" s="12" t="s">
        <v>1233</v>
      </c>
      <c r="D592" s="13" t="s">
        <v>13</v>
      </c>
      <c r="E592" s="12">
        <v>4132452</v>
      </c>
      <c r="F592" s="12">
        <v>8593508</v>
      </c>
      <c r="G592" s="14">
        <f t="shared" si="18"/>
        <v>12725960</v>
      </c>
      <c r="H592" s="14">
        <f t="shared" si="19"/>
        <v>489.46</v>
      </c>
      <c r="I592" s="11" t="s">
        <v>1384</v>
      </c>
      <c r="J592" s="11" t="s">
        <v>749</v>
      </c>
    </row>
    <row r="593" spans="1:10" ht="18" customHeight="1" x14ac:dyDescent="0.25">
      <c r="A593" s="15">
        <f>SUBTOTAL(3,$B$11:B593)</f>
        <v>583</v>
      </c>
      <c r="B593" s="15">
        <v>13099</v>
      </c>
      <c r="C593" s="12" t="s">
        <v>1234</v>
      </c>
      <c r="D593" s="13" t="s">
        <v>30</v>
      </c>
      <c r="E593" s="12">
        <v>5302884</v>
      </c>
      <c r="F593" s="12">
        <v>10162154</v>
      </c>
      <c r="G593" s="14">
        <f t="shared" si="18"/>
        <v>15465038</v>
      </c>
      <c r="H593" s="14">
        <f t="shared" si="19"/>
        <v>594.80915384615389</v>
      </c>
      <c r="I593" s="11" t="s">
        <v>1385</v>
      </c>
      <c r="J593" s="11" t="s">
        <v>781</v>
      </c>
    </row>
    <row r="594" spans="1:10" ht="18" customHeight="1" x14ac:dyDescent="0.25">
      <c r="A594" s="15">
        <f>SUBTOTAL(3,$B$11:B594)</f>
        <v>584</v>
      </c>
      <c r="B594" s="15">
        <v>13100</v>
      </c>
      <c r="C594" s="12" t="s">
        <v>1235</v>
      </c>
      <c r="D594" s="13" t="s">
        <v>9</v>
      </c>
      <c r="E594" s="12">
        <v>1635818</v>
      </c>
      <c r="F594" s="12">
        <v>0</v>
      </c>
      <c r="G594" s="14">
        <f t="shared" si="18"/>
        <v>1635818</v>
      </c>
      <c r="H594" s="14">
        <f t="shared" si="19"/>
        <v>62.916076923076922</v>
      </c>
      <c r="I594" s="11" t="s">
        <v>1386</v>
      </c>
      <c r="J594" s="11" t="s">
        <v>696</v>
      </c>
    </row>
    <row r="595" spans="1:10" ht="18" customHeight="1" x14ac:dyDescent="0.25">
      <c r="A595" s="15">
        <f>SUBTOTAL(3,$B$11:B595)</f>
        <v>585</v>
      </c>
      <c r="B595" s="15">
        <v>13104</v>
      </c>
      <c r="C595" s="12" t="s">
        <v>1236</v>
      </c>
      <c r="D595" s="13" t="s">
        <v>9</v>
      </c>
      <c r="E595" s="12">
        <v>5565000</v>
      </c>
      <c r="F595" s="12">
        <v>9247788</v>
      </c>
      <c r="G595" s="14">
        <f t="shared" si="18"/>
        <v>14812788</v>
      </c>
      <c r="H595" s="14">
        <f t="shared" si="19"/>
        <v>569.72261538461544</v>
      </c>
      <c r="I595" s="11" t="s">
        <v>1387</v>
      </c>
      <c r="J595" s="11" t="s">
        <v>696</v>
      </c>
    </row>
    <row r="596" spans="1:10" ht="18" customHeight="1" x14ac:dyDescent="0.25">
      <c r="A596" s="15">
        <f>SUBTOTAL(3,$B$11:B596)</f>
        <v>586</v>
      </c>
      <c r="B596" s="15">
        <v>13114</v>
      </c>
      <c r="C596" s="12" t="s">
        <v>1237</v>
      </c>
      <c r="D596" s="13" t="s">
        <v>9</v>
      </c>
      <c r="E596" s="12">
        <v>5334904</v>
      </c>
      <c r="F596" s="12">
        <v>6953029</v>
      </c>
      <c r="G596" s="14">
        <f t="shared" si="18"/>
        <v>12287933</v>
      </c>
      <c r="H596" s="14">
        <f t="shared" si="19"/>
        <v>472.61280769230768</v>
      </c>
      <c r="I596" s="11" t="s">
        <v>1388</v>
      </c>
      <c r="J596" s="11" t="s">
        <v>1108</v>
      </c>
    </row>
    <row r="597" spans="1:10" ht="18" customHeight="1" x14ac:dyDescent="0.25">
      <c r="A597" s="15">
        <f>SUBTOTAL(3,$B$11:B597)</f>
        <v>587</v>
      </c>
      <c r="B597" s="15">
        <v>13146</v>
      </c>
      <c r="C597" s="12" t="s">
        <v>1239</v>
      </c>
      <c r="D597" s="13" t="s">
        <v>21</v>
      </c>
      <c r="E597" s="12">
        <v>4561538</v>
      </c>
      <c r="F597" s="12">
        <v>8539697</v>
      </c>
      <c r="G597" s="14">
        <f t="shared" si="18"/>
        <v>13101235</v>
      </c>
      <c r="H597" s="14">
        <f t="shared" si="19"/>
        <v>503.89365384615382</v>
      </c>
      <c r="I597" s="11" t="s">
        <v>1390</v>
      </c>
      <c r="J597" s="11" t="s">
        <v>725</v>
      </c>
    </row>
    <row r="598" spans="1:10" ht="18" customHeight="1" x14ac:dyDescent="0.25">
      <c r="A598" s="15">
        <f>SUBTOTAL(3,$B$11:B598)</f>
        <v>588</v>
      </c>
      <c r="B598" s="15">
        <v>13148</v>
      </c>
      <c r="C598" s="12" t="s">
        <v>1240</v>
      </c>
      <c r="D598" s="13" t="s">
        <v>21</v>
      </c>
      <c r="E598" s="12">
        <v>4583149</v>
      </c>
      <c r="F598" s="12">
        <v>7559408</v>
      </c>
      <c r="G598" s="14">
        <f t="shared" si="18"/>
        <v>12142557</v>
      </c>
      <c r="H598" s="14">
        <f t="shared" si="19"/>
        <v>467.0214230769231</v>
      </c>
      <c r="I598" s="11" t="s">
        <v>1391</v>
      </c>
      <c r="J598" s="11" t="s">
        <v>696</v>
      </c>
    </row>
    <row r="599" spans="1:10" ht="18" customHeight="1" x14ac:dyDescent="0.25">
      <c r="A599" s="15">
        <f>SUBTOTAL(3,$B$11:B599)</f>
        <v>589</v>
      </c>
      <c r="B599" s="15">
        <v>13161</v>
      </c>
      <c r="C599" s="12" t="s">
        <v>1241</v>
      </c>
      <c r="D599" s="13" t="s">
        <v>14</v>
      </c>
      <c r="E599" s="12">
        <v>4756721</v>
      </c>
      <c r="F599" s="12">
        <v>8836767</v>
      </c>
      <c r="G599" s="14">
        <f t="shared" si="18"/>
        <v>13593488</v>
      </c>
      <c r="H599" s="14">
        <f t="shared" si="19"/>
        <v>522.82646153846156</v>
      </c>
      <c r="I599" s="11" t="s">
        <v>1392</v>
      </c>
      <c r="J599" s="11" t="s">
        <v>757</v>
      </c>
    </row>
    <row r="600" spans="1:10" ht="18" customHeight="1" x14ac:dyDescent="0.25">
      <c r="A600" s="15">
        <f>SUBTOTAL(3,$B$11:B600)</f>
        <v>590</v>
      </c>
      <c r="B600" s="15">
        <v>13163</v>
      </c>
      <c r="C600" s="12" t="s">
        <v>1242</v>
      </c>
      <c r="D600" s="13" t="s">
        <v>13</v>
      </c>
      <c r="E600" s="12">
        <v>4733329</v>
      </c>
      <c r="F600" s="12">
        <v>6721680</v>
      </c>
      <c r="G600" s="14">
        <f t="shared" si="18"/>
        <v>11455009</v>
      </c>
      <c r="H600" s="14">
        <f t="shared" si="19"/>
        <v>440.57726923076922</v>
      </c>
      <c r="I600" s="11" t="s">
        <v>1393</v>
      </c>
      <c r="J600" s="11" t="s">
        <v>749</v>
      </c>
    </row>
    <row r="601" spans="1:10" ht="18" customHeight="1" x14ac:dyDescent="0.25">
      <c r="A601" s="15">
        <f>SUBTOTAL(3,$B$11:B601)</f>
        <v>591</v>
      </c>
      <c r="B601" s="15">
        <v>13165</v>
      </c>
      <c r="C601" s="12" t="s">
        <v>1243</v>
      </c>
      <c r="D601" s="13" t="s">
        <v>13</v>
      </c>
      <c r="E601" s="12">
        <v>5076599</v>
      </c>
      <c r="F601" s="12">
        <v>7902678</v>
      </c>
      <c r="G601" s="14">
        <f t="shared" si="18"/>
        <v>12979277</v>
      </c>
      <c r="H601" s="14">
        <f t="shared" si="19"/>
        <v>499.20296153846152</v>
      </c>
      <c r="I601" s="11" t="s">
        <v>1394</v>
      </c>
      <c r="J601" s="11" t="s">
        <v>1395</v>
      </c>
    </row>
    <row r="602" spans="1:10" ht="18" customHeight="1" x14ac:dyDescent="0.25">
      <c r="A602" s="15">
        <f>SUBTOTAL(3,$B$11:B602)</f>
        <v>592</v>
      </c>
      <c r="B602" s="15">
        <v>13174</v>
      </c>
      <c r="C602" s="12" t="s">
        <v>1244</v>
      </c>
      <c r="D602" s="13" t="s">
        <v>12</v>
      </c>
      <c r="E602" s="12">
        <v>5049808</v>
      </c>
      <c r="F602" s="12">
        <v>8626476</v>
      </c>
      <c r="G602" s="14">
        <f t="shared" si="18"/>
        <v>13676284</v>
      </c>
      <c r="H602" s="14">
        <f t="shared" si="19"/>
        <v>526.01092307692306</v>
      </c>
      <c r="I602" s="11" t="s">
        <v>1396</v>
      </c>
      <c r="J602" s="11" t="s">
        <v>754</v>
      </c>
    </row>
    <row r="603" spans="1:10" ht="18" customHeight="1" x14ac:dyDescent="0.25">
      <c r="A603" s="15">
        <f>SUBTOTAL(3,$B$11:B603)</f>
        <v>593</v>
      </c>
      <c r="B603" s="15">
        <v>13175</v>
      </c>
      <c r="C603" s="12" t="s">
        <v>1245</v>
      </c>
      <c r="D603" s="13" t="s">
        <v>16</v>
      </c>
      <c r="E603" s="12">
        <v>4861899</v>
      </c>
      <c r="F603" s="12">
        <v>8754241</v>
      </c>
      <c r="G603" s="14">
        <f t="shared" si="18"/>
        <v>13616140</v>
      </c>
      <c r="H603" s="14">
        <f t="shared" si="19"/>
        <v>523.69769230769236</v>
      </c>
      <c r="I603" s="11" t="s">
        <v>1397</v>
      </c>
      <c r="J603" s="11" t="s">
        <v>696</v>
      </c>
    </row>
    <row r="604" spans="1:10" ht="18" customHeight="1" x14ac:dyDescent="0.25">
      <c r="A604" s="15">
        <f>SUBTOTAL(3,$B$11:B604)</f>
        <v>594</v>
      </c>
      <c r="B604" s="15">
        <v>13178</v>
      </c>
      <c r="C604" s="12" t="s">
        <v>933</v>
      </c>
      <c r="D604" s="13" t="s">
        <v>13</v>
      </c>
      <c r="E604" s="12">
        <v>4932067</v>
      </c>
      <c r="F604" s="12">
        <v>7511176</v>
      </c>
      <c r="G604" s="14">
        <f t="shared" si="18"/>
        <v>12443243</v>
      </c>
      <c r="H604" s="14">
        <f t="shared" si="19"/>
        <v>478.58626923076923</v>
      </c>
      <c r="I604" s="11" t="s">
        <v>1398</v>
      </c>
      <c r="J604" s="11" t="s">
        <v>1108</v>
      </c>
    </row>
    <row r="605" spans="1:10" ht="18" customHeight="1" x14ac:dyDescent="0.25">
      <c r="A605" s="15">
        <f>SUBTOTAL(3,$B$11:B605)</f>
        <v>595</v>
      </c>
      <c r="B605" s="15">
        <v>13182</v>
      </c>
      <c r="C605" s="12" t="s">
        <v>1246</v>
      </c>
      <c r="D605" s="13" t="s">
        <v>14</v>
      </c>
      <c r="E605" s="12">
        <v>4626058</v>
      </c>
      <c r="F605" s="12">
        <v>7511140</v>
      </c>
      <c r="G605" s="14">
        <f t="shared" si="18"/>
        <v>12137198</v>
      </c>
      <c r="H605" s="14">
        <f t="shared" si="19"/>
        <v>466.81530769230767</v>
      </c>
      <c r="I605" s="11" t="s">
        <v>1399</v>
      </c>
      <c r="J605" s="11" t="s">
        <v>749</v>
      </c>
    </row>
    <row r="606" spans="1:10" ht="18" customHeight="1" x14ac:dyDescent="0.25">
      <c r="A606" s="15">
        <f>SUBTOTAL(3,$B$11:B606)</f>
        <v>596</v>
      </c>
      <c r="B606" s="15">
        <v>13200</v>
      </c>
      <c r="C606" s="12" t="s">
        <v>1247</v>
      </c>
      <c r="D606" s="13" t="s">
        <v>27</v>
      </c>
      <c r="E606" s="12">
        <v>5756250</v>
      </c>
      <c r="F606" s="12">
        <v>12635192</v>
      </c>
      <c r="G606" s="14">
        <f t="shared" si="18"/>
        <v>18391442</v>
      </c>
      <c r="H606" s="14">
        <f t="shared" si="19"/>
        <v>707.36315384615386</v>
      </c>
      <c r="I606" s="11" t="s">
        <v>1400</v>
      </c>
      <c r="J606" s="11" t="s">
        <v>757</v>
      </c>
    </row>
    <row r="607" spans="1:10" ht="18" customHeight="1" x14ac:dyDescent="0.25">
      <c r="A607" s="15">
        <f>SUBTOTAL(3,$B$11:B607)</f>
        <v>597</v>
      </c>
      <c r="B607" s="15">
        <v>13208</v>
      </c>
      <c r="C607" s="12" t="s">
        <v>1248</v>
      </c>
      <c r="D607" s="13" t="s">
        <v>20</v>
      </c>
      <c r="E607" s="12">
        <v>4776081</v>
      </c>
      <c r="F607" s="12">
        <v>8164817</v>
      </c>
      <c r="G607" s="14">
        <f t="shared" si="18"/>
        <v>12940898</v>
      </c>
      <c r="H607" s="14">
        <f t="shared" si="19"/>
        <v>497.72684615384617</v>
      </c>
      <c r="I607" s="11" t="s">
        <v>1401</v>
      </c>
      <c r="J607" s="11" t="s">
        <v>696</v>
      </c>
    </row>
    <row r="608" spans="1:10" ht="18" customHeight="1" x14ac:dyDescent="0.25">
      <c r="A608" s="15">
        <f>SUBTOTAL(3,$B$11:B608)</f>
        <v>598</v>
      </c>
      <c r="B608" s="15">
        <v>13209</v>
      </c>
      <c r="C608" s="12" t="s">
        <v>1249</v>
      </c>
      <c r="D608" s="13" t="s">
        <v>20</v>
      </c>
      <c r="E608" s="12">
        <v>4125457</v>
      </c>
      <c r="F608" s="12">
        <v>5542101</v>
      </c>
      <c r="G608" s="14">
        <f t="shared" si="18"/>
        <v>9667558</v>
      </c>
      <c r="H608" s="14">
        <f t="shared" si="19"/>
        <v>371.82915384615387</v>
      </c>
      <c r="I608" s="11" t="s">
        <v>1402</v>
      </c>
      <c r="J608" s="11" t="s">
        <v>750</v>
      </c>
    </row>
    <row r="609" spans="1:10" ht="18" customHeight="1" x14ac:dyDescent="0.25">
      <c r="A609" s="15">
        <f>SUBTOTAL(3,$B$11:B609)</f>
        <v>599</v>
      </c>
      <c r="B609" s="15">
        <v>13228</v>
      </c>
      <c r="C609" s="12" t="s">
        <v>1250</v>
      </c>
      <c r="D609" s="13" t="s">
        <v>20</v>
      </c>
      <c r="E609" s="12">
        <v>5098053</v>
      </c>
      <c r="F609" s="12">
        <v>7847293</v>
      </c>
      <c r="G609" s="14">
        <f t="shared" si="18"/>
        <v>12945346</v>
      </c>
      <c r="H609" s="14">
        <f t="shared" si="19"/>
        <v>497.89792307692306</v>
      </c>
      <c r="I609" s="11" t="s">
        <v>1403</v>
      </c>
      <c r="J609" s="11" t="s">
        <v>749</v>
      </c>
    </row>
    <row r="610" spans="1:10" ht="18" customHeight="1" x14ac:dyDescent="0.25">
      <c r="A610" s="15">
        <f>SUBTOTAL(3,$B$11:B610)</f>
        <v>600</v>
      </c>
      <c r="B610" s="15">
        <v>13236</v>
      </c>
      <c r="C610" s="12" t="s">
        <v>1251</v>
      </c>
      <c r="D610" s="13" t="s">
        <v>17</v>
      </c>
      <c r="E610" s="12">
        <v>7668462</v>
      </c>
      <c r="F610" s="12">
        <v>11000693</v>
      </c>
      <c r="G610" s="14">
        <f t="shared" si="18"/>
        <v>18669155</v>
      </c>
      <c r="H610" s="14">
        <f t="shared" si="19"/>
        <v>718.04442307692307</v>
      </c>
      <c r="I610" s="11" t="s">
        <v>1404</v>
      </c>
      <c r="J610" s="11" t="s">
        <v>696</v>
      </c>
    </row>
    <row r="611" spans="1:10" ht="18" customHeight="1" x14ac:dyDescent="0.25">
      <c r="A611" s="15">
        <f>SUBTOTAL(3,$B$11:B611)</f>
        <v>601</v>
      </c>
      <c r="B611" s="15">
        <v>13238</v>
      </c>
      <c r="C611" s="12" t="s">
        <v>1252</v>
      </c>
      <c r="D611" s="13" t="s">
        <v>14</v>
      </c>
      <c r="E611" s="12">
        <v>4754784</v>
      </c>
      <c r="F611" s="12">
        <v>6736356</v>
      </c>
      <c r="G611" s="14">
        <f t="shared" si="18"/>
        <v>11491140</v>
      </c>
      <c r="H611" s="14">
        <f t="shared" si="19"/>
        <v>441.96692307692308</v>
      </c>
      <c r="I611" s="11" t="s">
        <v>1405</v>
      </c>
      <c r="J611" s="11" t="s">
        <v>696</v>
      </c>
    </row>
    <row r="612" spans="1:10" ht="18" customHeight="1" x14ac:dyDescent="0.25">
      <c r="A612" s="15">
        <f>SUBTOTAL(3,$B$11:B612)</f>
        <v>602</v>
      </c>
      <c r="B612" s="15">
        <v>13253</v>
      </c>
      <c r="C612" s="12" t="s">
        <v>1254</v>
      </c>
      <c r="D612" s="13" t="s">
        <v>13</v>
      </c>
      <c r="E612" s="12">
        <v>4411358</v>
      </c>
      <c r="F612" s="12">
        <v>8332894</v>
      </c>
      <c r="G612" s="14">
        <f t="shared" si="18"/>
        <v>12744252</v>
      </c>
      <c r="H612" s="14">
        <f t="shared" si="19"/>
        <v>490.16353846153845</v>
      </c>
      <c r="I612" s="11" t="s">
        <v>1407</v>
      </c>
      <c r="J612" s="11" t="s">
        <v>750</v>
      </c>
    </row>
    <row r="613" spans="1:10" ht="18" customHeight="1" x14ac:dyDescent="0.25">
      <c r="A613" s="15">
        <f>SUBTOTAL(3,$B$11:B613)</f>
        <v>603</v>
      </c>
      <c r="B613" s="15">
        <v>13262</v>
      </c>
      <c r="C613" s="12" t="s">
        <v>1255</v>
      </c>
      <c r="D613" s="13" t="s">
        <v>19</v>
      </c>
      <c r="E613" s="12">
        <v>4635192</v>
      </c>
      <c r="F613" s="12">
        <v>8638692</v>
      </c>
      <c r="G613" s="14">
        <f t="shared" si="18"/>
        <v>13273884</v>
      </c>
      <c r="H613" s="14">
        <f t="shared" si="19"/>
        <v>510.53399999999999</v>
      </c>
      <c r="I613" s="11" t="s">
        <v>1408</v>
      </c>
      <c r="J613" s="11" t="s">
        <v>725</v>
      </c>
    </row>
    <row r="614" spans="1:10" ht="18" customHeight="1" x14ac:dyDescent="0.25">
      <c r="A614" s="15">
        <f>SUBTOTAL(3,$B$11:B614)</f>
        <v>604</v>
      </c>
      <c r="B614" s="15">
        <v>13263</v>
      </c>
      <c r="C614" s="12" t="s">
        <v>1256</v>
      </c>
      <c r="D614" s="13" t="s">
        <v>13</v>
      </c>
      <c r="E614" s="12">
        <v>3752248</v>
      </c>
      <c r="F614" s="12">
        <v>7354841</v>
      </c>
      <c r="G614" s="14">
        <f t="shared" si="18"/>
        <v>11107089</v>
      </c>
      <c r="H614" s="14">
        <f t="shared" si="19"/>
        <v>427.19573076923075</v>
      </c>
      <c r="I614" s="11" t="s">
        <v>1409</v>
      </c>
      <c r="J614" s="11" t="s">
        <v>749</v>
      </c>
    </row>
    <row r="615" spans="1:10" ht="18" customHeight="1" x14ac:dyDescent="0.25">
      <c r="A615" s="15">
        <f>SUBTOTAL(3,$B$11:B615)</f>
        <v>605</v>
      </c>
      <c r="B615" s="15">
        <v>13264</v>
      </c>
      <c r="C615" s="12" t="s">
        <v>1257</v>
      </c>
      <c r="D615" s="13" t="s">
        <v>18</v>
      </c>
      <c r="E615" s="12">
        <v>5076599</v>
      </c>
      <c r="F615" s="12">
        <v>7537955</v>
      </c>
      <c r="G615" s="14">
        <f t="shared" si="18"/>
        <v>12614554</v>
      </c>
      <c r="H615" s="14">
        <f t="shared" si="19"/>
        <v>485.17515384615382</v>
      </c>
      <c r="I615" s="11" t="s">
        <v>1410</v>
      </c>
      <c r="J615" s="11" t="s">
        <v>757</v>
      </c>
    </row>
    <row r="616" spans="1:10" ht="18" customHeight="1" x14ac:dyDescent="0.25">
      <c r="A616" s="15">
        <f>SUBTOTAL(3,$B$11:B616)</f>
        <v>606</v>
      </c>
      <c r="B616" s="15">
        <v>13276</v>
      </c>
      <c r="C616" s="12" t="s">
        <v>1258</v>
      </c>
      <c r="D616" s="13" t="s">
        <v>13</v>
      </c>
      <c r="E616" s="12">
        <v>3394206</v>
      </c>
      <c r="F616" s="12">
        <v>6206608</v>
      </c>
      <c r="G616" s="14">
        <f t="shared" si="18"/>
        <v>9600814</v>
      </c>
      <c r="H616" s="14">
        <f t="shared" si="19"/>
        <v>369.2620769230769</v>
      </c>
      <c r="I616" s="11" t="s">
        <v>1411</v>
      </c>
      <c r="J616" s="11" t="s">
        <v>749</v>
      </c>
    </row>
    <row r="617" spans="1:10" ht="18" customHeight="1" x14ac:dyDescent="0.25">
      <c r="A617" s="15">
        <f>SUBTOTAL(3,$B$11:B617)</f>
        <v>607</v>
      </c>
      <c r="B617" s="15">
        <v>13305</v>
      </c>
      <c r="C617" s="12" t="s">
        <v>1259</v>
      </c>
      <c r="D617" s="13" t="s">
        <v>13</v>
      </c>
      <c r="E617" s="12">
        <v>4325697</v>
      </c>
      <c r="F617" s="12">
        <v>7859770</v>
      </c>
      <c r="G617" s="14">
        <f t="shared" si="18"/>
        <v>12185467</v>
      </c>
      <c r="H617" s="14">
        <f t="shared" si="19"/>
        <v>468.67180769230771</v>
      </c>
      <c r="I617" s="11" t="s">
        <v>1412</v>
      </c>
      <c r="J617" s="11" t="s">
        <v>696</v>
      </c>
    </row>
    <row r="618" spans="1:10" ht="18" customHeight="1" x14ac:dyDescent="0.25">
      <c r="A618" s="15">
        <f>SUBTOTAL(3,$B$11:B618)</f>
        <v>608</v>
      </c>
      <c r="B618" s="15">
        <v>13306</v>
      </c>
      <c r="C618" s="12" t="s">
        <v>1260</v>
      </c>
      <c r="D618" s="13" t="s">
        <v>20</v>
      </c>
      <c r="E618" s="12">
        <v>4776081</v>
      </c>
      <c r="F618" s="12">
        <v>7013279</v>
      </c>
      <c r="G618" s="14">
        <f t="shared" si="18"/>
        <v>11789360</v>
      </c>
      <c r="H618" s="14">
        <f t="shared" si="19"/>
        <v>453.43692307692305</v>
      </c>
      <c r="I618" s="11" t="s">
        <v>1413</v>
      </c>
      <c r="J618" s="11" t="s">
        <v>696</v>
      </c>
    </row>
    <row r="619" spans="1:10" ht="18" customHeight="1" x14ac:dyDescent="0.25">
      <c r="A619" s="15">
        <f>SUBTOTAL(3,$B$11:B619)</f>
        <v>609</v>
      </c>
      <c r="B619" s="15">
        <v>13325</v>
      </c>
      <c r="C619" s="12" t="s">
        <v>300</v>
      </c>
      <c r="D619" s="13" t="s">
        <v>20</v>
      </c>
      <c r="E619" s="12">
        <v>4540084</v>
      </c>
      <c r="F619" s="12">
        <v>6770395</v>
      </c>
      <c r="G619" s="14">
        <f t="shared" si="18"/>
        <v>11310479</v>
      </c>
      <c r="H619" s="14">
        <f t="shared" si="19"/>
        <v>435.01842307692306</v>
      </c>
      <c r="I619" s="11" t="s">
        <v>1414</v>
      </c>
      <c r="J619" s="11" t="s">
        <v>754</v>
      </c>
    </row>
    <row r="620" spans="1:10" ht="18" customHeight="1" x14ac:dyDescent="0.25">
      <c r="A620" s="15">
        <f>SUBTOTAL(3,$B$11:B620)</f>
        <v>610</v>
      </c>
      <c r="B620" s="15">
        <v>13331</v>
      </c>
      <c r="C620" s="12" t="s">
        <v>1261</v>
      </c>
      <c r="D620" s="13" t="s">
        <v>16</v>
      </c>
      <c r="E620" s="12">
        <v>4983630</v>
      </c>
      <c r="F620" s="12">
        <v>7280322</v>
      </c>
      <c r="G620" s="14">
        <f t="shared" si="18"/>
        <v>12263952</v>
      </c>
      <c r="H620" s="14">
        <f t="shared" si="19"/>
        <v>471.69046153846153</v>
      </c>
      <c r="I620" s="11" t="s">
        <v>1415</v>
      </c>
      <c r="J620" s="11" t="s">
        <v>749</v>
      </c>
    </row>
    <row r="621" spans="1:10" ht="18" customHeight="1" x14ac:dyDescent="0.25">
      <c r="A621" s="15">
        <f>SUBTOTAL(3,$B$11:B621)</f>
        <v>611</v>
      </c>
      <c r="B621" s="15">
        <v>13377</v>
      </c>
      <c r="C621" s="12" t="s">
        <v>1262</v>
      </c>
      <c r="D621" s="13" t="s">
        <v>19</v>
      </c>
      <c r="E621" s="12">
        <v>4810132</v>
      </c>
      <c r="F621" s="12">
        <v>7200015</v>
      </c>
      <c r="G621" s="14">
        <f t="shared" si="18"/>
        <v>12010147</v>
      </c>
      <c r="H621" s="14">
        <f t="shared" si="19"/>
        <v>461.92873076923075</v>
      </c>
      <c r="I621" s="11" t="s">
        <v>1416</v>
      </c>
      <c r="J621" s="11" t="s">
        <v>757</v>
      </c>
    </row>
    <row r="622" spans="1:10" ht="18" customHeight="1" x14ac:dyDescent="0.25">
      <c r="A622" s="15">
        <f>SUBTOTAL(3,$B$11:B622)</f>
        <v>612</v>
      </c>
      <c r="B622" s="15">
        <v>13410</v>
      </c>
      <c r="C622" s="12" t="s">
        <v>94</v>
      </c>
      <c r="D622" s="13" t="s">
        <v>29</v>
      </c>
      <c r="E622" s="12">
        <v>5698919</v>
      </c>
      <c r="F622" s="12">
        <v>10097837</v>
      </c>
      <c r="G622" s="14">
        <f t="shared" si="18"/>
        <v>15796756</v>
      </c>
      <c r="H622" s="14">
        <f t="shared" si="19"/>
        <v>607.56753846153845</v>
      </c>
      <c r="I622" s="11" t="s">
        <v>1417</v>
      </c>
      <c r="J622" s="11" t="s">
        <v>696</v>
      </c>
    </row>
    <row r="623" spans="1:10" ht="18" customHeight="1" x14ac:dyDescent="0.25">
      <c r="A623" s="15">
        <f>SUBTOTAL(3,$B$11:B623)</f>
        <v>613</v>
      </c>
      <c r="B623" s="15">
        <v>13413</v>
      </c>
      <c r="C623" s="12" t="s">
        <v>1223</v>
      </c>
      <c r="D623" s="13" t="s">
        <v>13</v>
      </c>
      <c r="E623" s="12">
        <v>3867872</v>
      </c>
      <c r="F623" s="12">
        <v>5587125</v>
      </c>
      <c r="G623" s="14">
        <f t="shared" si="18"/>
        <v>9454997</v>
      </c>
      <c r="H623" s="14">
        <f t="shared" si="19"/>
        <v>363.65373076923078</v>
      </c>
      <c r="I623" s="11" t="s">
        <v>1418</v>
      </c>
      <c r="J623" s="11" t="s">
        <v>749</v>
      </c>
    </row>
    <row r="624" spans="1:10" ht="18" customHeight="1" x14ac:dyDescent="0.25">
      <c r="A624" s="15">
        <f>SUBTOTAL(3,$B$11:B624)</f>
        <v>614</v>
      </c>
      <c r="B624" s="15">
        <v>13415</v>
      </c>
      <c r="C624" s="12" t="s">
        <v>1263</v>
      </c>
      <c r="D624" s="13" t="s">
        <v>13</v>
      </c>
      <c r="E624" s="12">
        <v>5098053</v>
      </c>
      <c r="F624" s="12">
        <v>6694481</v>
      </c>
      <c r="G624" s="14">
        <f t="shared" si="18"/>
        <v>11792534</v>
      </c>
      <c r="H624" s="14">
        <f t="shared" si="19"/>
        <v>453.55900000000003</v>
      </c>
      <c r="I624" s="11" t="s">
        <v>1419</v>
      </c>
      <c r="J624" s="11" t="s">
        <v>696</v>
      </c>
    </row>
    <row r="625" spans="1:10" ht="18" customHeight="1" x14ac:dyDescent="0.25">
      <c r="A625" s="15">
        <f>SUBTOTAL(3,$B$11:B625)</f>
        <v>615</v>
      </c>
      <c r="B625" s="15">
        <v>13426</v>
      </c>
      <c r="C625" s="12" t="s">
        <v>1003</v>
      </c>
      <c r="D625" s="13" t="s">
        <v>20</v>
      </c>
      <c r="E625" s="12">
        <v>3592392</v>
      </c>
      <c r="F625" s="12">
        <v>4511656</v>
      </c>
      <c r="G625" s="14">
        <f t="shared" si="18"/>
        <v>8104048</v>
      </c>
      <c r="H625" s="14">
        <f t="shared" si="19"/>
        <v>311.69415384615382</v>
      </c>
      <c r="I625" s="11" t="s">
        <v>1161</v>
      </c>
      <c r="J625" s="11" t="s">
        <v>696</v>
      </c>
    </row>
    <row r="626" spans="1:10" ht="18" customHeight="1" x14ac:dyDescent="0.25">
      <c r="A626" s="15">
        <f>SUBTOTAL(3,$B$11:B626)</f>
        <v>616</v>
      </c>
      <c r="B626" s="15">
        <v>13452</v>
      </c>
      <c r="C626" s="12" t="s">
        <v>1264</v>
      </c>
      <c r="D626" s="13" t="s">
        <v>9</v>
      </c>
      <c r="E626" s="12">
        <v>5334904</v>
      </c>
      <c r="F626" s="12">
        <v>9782885</v>
      </c>
      <c r="G626" s="14">
        <f t="shared" si="18"/>
        <v>15117789</v>
      </c>
      <c r="H626" s="14">
        <f t="shared" si="19"/>
        <v>581.45342307692306</v>
      </c>
      <c r="I626" s="11" t="s">
        <v>1420</v>
      </c>
      <c r="J626" s="11" t="s">
        <v>430</v>
      </c>
    </row>
    <row r="627" spans="1:10" ht="18" customHeight="1" x14ac:dyDescent="0.25">
      <c r="A627" s="15">
        <f>SUBTOTAL(3,$B$11:B627)</f>
        <v>617</v>
      </c>
      <c r="B627" s="15">
        <v>13467</v>
      </c>
      <c r="C627" s="12" t="s">
        <v>218</v>
      </c>
      <c r="D627" s="13" t="s">
        <v>27</v>
      </c>
      <c r="E627" s="12">
        <v>4095348</v>
      </c>
      <c r="F627" s="12">
        <v>8405490</v>
      </c>
      <c r="G627" s="14">
        <f t="shared" si="18"/>
        <v>12500838</v>
      </c>
      <c r="H627" s="14">
        <f t="shared" si="19"/>
        <v>480.80146153846152</v>
      </c>
      <c r="I627" s="11" t="s">
        <v>1421</v>
      </c>
      <c r="J627" s="11" t="s">
        <v>750</v>
      </c>
    </row>
    <row r="628" spans="1:10" ht="18" customHeight="1" x14ac:dyDescent="0.25">
      <c r="A628" s="15">
        <f>SUBTOTAL(3,$B$11:B628)</f>
        <v>618</v>
      </c>
      <c r="B628" s="15">
        <v>13471</v>
      </c>
      <c r="C628" s="12" t="s">
        <v>292</v>
      </c>
      <c r="D628" s="13" t="s">
        <v>13</v>
      </c>
      <c r="E628" s="12">
        <v>4840444</v>
      </c>
      <c r="F628" s="12">
        <v>7961716</v>
      </c>
      <c r="G628" s="14">
        <f t="shared" si="18"/>
        <v>12802160</v>
      </c>
      <c r="H628" s="14">
        <f t="shared" si="19"/>
        <v>492.39076923076925</v>
      </c>
      <c r="I628" s="11" t="s">
        <v>703</v>
      </c>
      <c r="J628" s="11" t="s">
        <v>757</v>
      </c>
    </row>
    <row r="629" spans="1:10" ht="18" customHeight="1" x14ac:dyDescent="0.25">
      <c r="A629" s="15">
        <f>SUBTOTAL(3,$B$11:B629)</f>
        <v>619</v>
      </c>
      <c r="B629" s="15">
        <v>13474</v>
      </c>
      <c r="C629" s="12" t="s">
        <v>1265</v>
      </c>
      <c r="D629" s="13" t="s">
        <v>9</v>
      </c>
      <c r="E629" s="12">
        <v>4386635</v>
      </c>
      <c r="F629" s="12">
        <v>8076153</v>
      </c>
      <c r="G629" s="14">
        <f t="shared" si="18"/>
        <v>12462788</v>
      </c>
      <c r="H629" s="14">
        <f t="shared" si="19"/>
        <v>479.33800000000002</v>
      </c>
      <c r="I629" s="11" t="s">
        <v>1422</v>
      </c>
      <c r="J629" s="11" t="s">
        <v>757</v>
      </c>
    </row>
    <row r="630" spans="1:10" ht="18" customHeight="1" x14ac:dyDescent="0.25">
      <c r="A630" s="15">
        <f>SUBTOTAL(3,$B$11:B630)</f>
        <v>620</v>
      </c>
      <c r="B630" s="15">
        <v>13476</v>
      </c>
      <c r="C630" s="12" t="s">
        <v>961</v>
      </c>
      <c r="D630" s="13" t="s">
        <v>13</v>
      </c>
      <c r="E630" s="12">
        <v>4711718</v>
      </c>
      <c r="F630" s="12">
        <v>8486236</v>
      </c>
      <c r="G630" s="14">
        <f t="shared" si="18"/>
        <v>13197954</v>
      </c>
      <c r="H630" s="14">
        <f t="shared" si="19"/>
        <v>507.6136153846154</v>
      </c>
      <c r="I630" s="11" t="s">
        <v>1115</v>
      </c>
      <c r="J630" s="11" t="s">
        <v>696</v>
      </c>
    </row>
    <row r="631" spans="1:10" ht="18" customHeight="1" x14ac:dyDescent="0.25">
      <c r="A631" s="15">
        <f>SUBTOTAL(3,$B$11:B631)</f>
        <v>621</v>
      </c>
      <c r="B631" s="15">
        <v>13482</v>
      </c>
      <c r="C631" s="12" t="s">
        <v>1002</v>
      </c>
      <c r="D631" s="13" t="s">
        <v>18</v>
      </c>
      <c r="E631" s="12">
        <v>4304183</v>
      </c>
      <c r="F631" s="12">
        <v>7919760</v>
      </c>
      <c r="G631" s="14">
        <f t="shared" si="18"/>
        <v>12223943</v>
      </c>
      <c r="H631" s="14">
        <f t="shared" si="19"/>
        <v>470.15165384615386</v>
      </c>
      <c r="I631" s="11" t="s">
        <v>1160</v>
      </c>
      <c r="J631" s="11" t="s">
        <v>696</v>
      </c>
    </row>
    <row r="632" spans="1:10" ht="18" customHeight="1" x14ac:dyDescent="0.25">
      <c r="A632" s="15">
        <f>SUBTOTAL(3,$B$11:B632)</f>
        <v>622</v>
      </c>
      <c r="B632" s="15">
        <v>13489</v>
      </c>
      <c r="C632" s="12" t="s">
        <v>1266</v>
      </c>
      <c r="D632" s="13" t="s">
        <v>27</v>
      </c>
      <c r="E632" s="12">
        <v>3838990</v>
      </c>
      <c r="F632" s="12">
        <v>9406039</v>
      </c>
      <c r="G632" s="14">
        <f t="shared" si="18"/>
        <v>13245029</v>
      </c>
      <c r="H632" s="14">
        <f t="shared" si="19"/>
        <v>509.42419230769229</v>
      </c>
      <c r="I632" s="11" t="s">
        <v>1424</v>
      </c>
      <c r="J632" s="11" t="s">
        <v>749</v>
      </c>
    </row>
    <row r="633" spans="1:10" ht="18" customHeight="1" x14ac:dyDescent="0.25">
      <c r="A633" s="15">
        <f>SUBTOTAL(3,$B$11:B633)</f>
        <v>623</v>
      </c>
      <c r="B633" s="15">
        <v>13495</v>
      </c>
      <c r="C633" s="12" t="s">
        <v>1267</v>
      </c>
      <c r="D633" s="13" t="s">
        <v>27</v>
      </c>
      <c r="E633" s="12">
        <v>4331778</v>
      </c>
      <c r="F633" s="12">
        <v>7332968</v>
      </c>
      <c r="G633" s="14">
        <f t="shared" si="18"/>
        <v>11664746</v>
      </c>
      <c r="H633" s="14">
        <f t="shared" si="19"/>
        <v>448.64407692307691</v>
      </c>
      <c r="I633" s="11" t="s">
        <v>1425</v>
      </c>
      <c r="J633" s="11" t="s">
        <v>749</v>
      </c>
    </row>
    <row r="634" spans="1:10" ht="18" customHeight="1" x14ac:dyDescent="0.25">
      <c r="A634" s="15">
        <f>SUBTOTAL(3,$B$11:B634)</f>
        <v>624</v>
      </c>
      <c r="B634" s="15">
        <v>13509</v>
      </c>
      <c r="C634" s="12" t="s">
        <v>1269</v>
      </c>
      <c r="D634" s="13" t="s">
        <v>20</v>
      </c>
      <c r="E634" s="12">
        <v>4840601</v>
      </c>
      <c r="F634" s="12">
        <v>7847293</v>
      </c>
      <c r="G634" s="14">
        <f t="shared" si="18"/>
        <v>12687894</v>
      </c>
      <c r="H634" s="14">
        <f t="shared" si="19"/>
        <v>487.99592307692308</v>
      </c>
      <c r="I634" s="11" t="s">
        <v>1426</v>
      </c>
      <c r="J634" s="11" t="s">
        <v>696</v>
      </c>
    </row>
    <row r="635" spans="1:10" ht="18" customHeight="1" x14ac:dyDescent="0.25">
      <c r="A635" s="15">
        <f>SUBTOTAL(3,$B$11:B635)</f>
        <v>625</v>
      </c>
      <c r="B635" s="15">
        <v>13514</v>
      </c>
      <c r="C635" s="12" t="s">
        <v>1270</v>
      </c>
      <c r="D635" s="13" t="s">
        <v>13</v>
      </c>
      <c r="E635" s="12">
        <v>5098053</v>
      </c>
      <c r="F635" s="12">
        <v>7645226</v>
      </c>
      <c r="G635" s="14">
        <f t="shared" si="18"/>
        <v>12743279</v>
      </c>
      <c r="H635" s="14">
        <f t="shared" si="19"/>
        <v>490.12611538461539</v>
      </c>
      <c r="I635" s="11" t="s">
        <v>1427</v>
      </c>
      <c r="J635" s="11" t="s">
        <v>754</v>
      </c>
    </row>
    <row r="636" spans="1:10" ht="18" customHeight="1" x14ac:dyDescent="0.25">
      <c r="A636" s="15">
        <f>SUBTOTAL(3,$B$11:B636)</f>
        <v>626</v>
      </c>
      <c r="B636" s="15">
        <v>13519</v>
      </c>
      <c r="C636" s="12" t="s">
        <v>1271</v>
      </c>
      <c r="D636" s="13" t="s">
        <v>22</v>
      </c>
      <c r="E636" s="12">
        <v>6576923</v>
      </c>
      <c r="F636" s="12">
        <v>752692</v>
      </c>
      <c r="G636" s="14">
        <f t="shared" si="18"/>
        <v>7329615</v>
      </c>
      <c r="H636" s="14">
        <f t="shared" si="19"/>
        <v>281.90826923076924</v>
      </c>
      <c r="I636" s="11" t="s">
        <v>1428</v>
      </c>
      <c r="J636" s="11" t="s">
        <v>725</v>
      </c>
    </row>
    <row r="637" spans="1:10" ht="18" customHeight="1" x14ac:dyDescent="0.25">
      <c r="A637" s="15">
        <f>SUBTOTAL(3,$B$11:B637)</f>
        <v>627</v>
      </c>
      <c r="B637" s="15">
        <v>13527</v>
      </c>
      <c r="C637" s="12" t="s">
        <v>1272</v>
      </c>
      <c r="D637" s="13" t="s">
        <v>9</v>
      </c>
      <c r="E637" s="12">
        <v>5334904</v>
      </c>
      <c r="F637" s="12">
        <v>10085769</v>
      </c>
      <c r="G637" s="14">
        <f t="shared" si="18"/>
        <v>15420673</v>
      </c>
      <c r="H637" s="14">
        <f t="shared" si="19"/>
        <v>593.10280769230769</v>
      </c>
      <c r="I637" s="11" t="s">
        <v>1429</v>
      </c>
      <c r="J637" s="11" t="s">
        <v>750</v>
      </c>
    </row>
    <row r="638" spans="1:10" ht="18" customHeight="1" x14ac:dyDescent="0.25">
      <c r="A638" s="15">
        <f>SUBTOTAL(3,$B$11:B638)</f>
        <v>628</v>
      </c>
      <c r="B638" s="15">
        <v>13529</v>
      </c>
      <c r="C638" s="12" t="s">
        <v>1273</v>
      </c>
      <c r="D638" s="13" t="s">
        <v>13</v>
      </c>
      <c r="E638" s="12">
        <v>5076599</v>
      </c>
      <c r="F638" s="12">
        <v>7902678</v>
      </c>
      <c r="G638" s="14">
        <f t="shared" si="18"/>
        <v>12979277</v>
      </c>
      <c r="H638" s="14">
        <f t="shared" si="19"/>
        <v>499.20296153846152</v>
      </c>
      <c r="I638" s="11" t="s">
        <v>1430</v>
      </c>
      <c r="J638" s="11" t="s">
        <v>1108</v>
      </c>
    </row>
    <row r="639" spans="1:10" ht="18" customHeight="1" x14ac:dyDescent="0.25">
      <c r="A639" s="15">
        <f>SUBTOTAL(3,$B$11:B639)</f>
        <v>629</v>
      </c>
      <c r="B639" s="15">
        <v>13538</v>
      </c>
      <c r="C639" s="12" t="s">
        <v>1274</v>
      </c>
      <c r="D639" s="13" t="s">
        <v>13</v>
      </c>
      <c r="E639" s="12">
        <v>5098053</v>
      </c>
      <c r="F639" s="12">
        <v>7902678</v>
      </c>
      <c r="G639" s="14">
        <f t="shared" si="18"/>
        <v>13000731</v>
      </c>
      <c r="H639" s="14">
        <f t="shared" si="19"/>
        <v>500.02811538461538</v>
      </c>
      <c r="I639" s="11" t="s">
        <v>1431</v>
      </c>
      <c r="J639" s="11" t="s">
        <v>696</v>
      </c>
    </row>
    <row r="640" spans="1:10" ht="18" customHeight="1" x14ac:dyDescent="0.25">
      <c r="A640" s="15">
        <f>SUBTOTAL(3,$B$11:B640)</f>
        <v>630</v>
      </c>
      <c r="B640" s="15">
        <v>13540</v>
      </c>
      <c r="C640" s="12" t="s">
        <v>1275</v>
      </c>
      <c r="D640" s="13" t="s">
        <v>13</v>
      </c>
      <c r="E640" s="12">
        <v>5098053</v>
      </c>
      <c r="F640" s="12">
        <v>7956139</v>
      </c>
      <c r="G640" s="14">
        <f t="shared" si="18"/>
        <v>13054192</v>
      </c>
      <c r="H640" s="14">
        <f t="shared" si="19"/>
        <v>502.08430769230768</v>
      </c>
      <c r="I640" s="11" t="s">
        <v>1432</v>
      </c>
      <c r="J640" s="11" t="s">
        <v>696</v>
      </c>
    </row>
    <row r="641" spans="1:10" ht="18" customHeight="1" x14ac:dyDescent="0.25">
      <c r="A641" s="15">
        <f>SUBTOTAL(3,$B$11:B641)</f>
        <v>631</v>
      </c>
      <c r="B641" s="15">
        <v>13542</v>
      </c>
      <c r="C641" s="12" t="s">
        <v>1276</v>
      </c>
      <c r="D641" s="13" t="s">
        <v>9</v>
      </c>
      <c r="E641" s="12">
        <v>4824615</v>
      </c>
      <c r="F641" s="12">
        <v>8843942</v>
      </c>
      <c r="G641" s="14">
        <f t="shared" si="18"/>
        <v>13668557</v>
      </c>
      <c r="H641" s="14">
        <f t="shared" si="19"/>
        <v>525.71373076923078</v>
      </c>
      <c r="I641" s="11" t="s">
        <v>1433</v>
      </c>
      <c r="J641" s="11" t="s">
        <v>750</v>
      </c>
    </row>
    <row r="642" spans="1:10" ht="18" customHeight="1" x14ac:dyDescent="0.25">
      <c r="A642" s="15">
        <f>SUBTOTAL(3,$B$11:B642)</f>
        <v>632</v>
      </c>
      <c r="B642" s="15">
        <v>13565</v>
      </c>
      <c r="C642" s="12" t="s">
        <v>939</v>
      </c>
      <c r="D642" s="13" t="s">
        <v>13</v>
      </c>
      <c r="E642" s="12">
        <v>2282067</v>
      </c>
      <c r="F642" s="12">
        <v>8378964</v>
      </c>
      <c r="G642" s="14">
        <f t="shared" si="18"/>
        <v>10661031</v>
      </c>
      <c r="H642" s="14">
        <f t="shared" si="19"/>
        <v>410.03965384615384</v>
      </c>
      <c r="I642" s="11" t="s">
        <v>1434</v>
      </c>
      <c r="J642" s="11" t="s">
        <v>757</v>
      </c>
    </row>
    <row r="643" spans="1:10" ht="18" customHeight="1" x14ac:dyDescent="0.25">
      <c r="A643" s="15">
        <f>SUBTOTAL(3,$B$11:B643)</f>
        <v>633</v>
      </c>
      <c r="B643" s="15">
        <v>13573</v>
      </c>
      <c r="C643" s="12" t="s">
        <v>1277</v>
      </c>
      <c r="D643" s="13" t="s">
        <v>29</v>
      </c>
      <c r="E643" s="12">
        <v>2800132</v>
      </c>
      <c r="F643" s="12">
        <v>8107699</v>
      </c>
      <c r="G643" s="14">
        <f t="shared" si="18"/>
        <v>10907831</v>
      </c>
      <c r="H643" s="14">
        <f t="shared" si="19"/>
        <v>419.53196153846153</v>
      </c>
      <c r="I643" s="11" t="s">
        <v>1435</v>
      </c>
      <c r="J643" s="11" t="s">
        <v>757</v>
      </c>
    </row>
    <row r="644" spans="1:10" ht="18" customHeight="1" x14ac:dyDescent="0.25">
      <c r="A644" s="15">
        <f>SUBTOTAL(3,$B$11:B644)</f>
        <v>634</v>
      </c>
      <c r="B644" s="15">
        <v>13580</v>
      </c>
      <c r="C644" s="12" t="s">
        <v>1278</v>
      </c>
      <c r="D644" s="13" t="s">
        <v>9</v>
      </c>
      <c r="E644" s="12">
        <v>4230529</v>
      </c>
      <c r="F644" s="12">
        <v>8577548</v>
      </c>
      <c r="G644" s="14">
        <f t="shared" si="18"/>
        <v>12808077</v>
      </c>
      <c r="H644" s="14">
        <f t="shared" si="19"/>
        <v>492.61834615384618</v>
      </c>
      <c r="I644" s="11" t="s">
        <v>1436</v>
      </c>
      <c r="J644" s="11" t="s">
        <v>1108</v>
      </c>
    </row>
    <row r="645" spans="1:10" ht="18" customHeight="1" x14ac:dyDescent="0.25">
      <c r="A645" s="15">
        <f>SUBTOTAL(3,$B$11:B645)</f>
        <v>635</v>
      </c>
      <c r="B645" s="15">
        <v>13581</v>
      </c>
      <c r="C645" s="12" t="s">
        <v>1279</v>
      </c>
      <c r="D645" s="13" t="s">
        <v>9</v>
      </c>
      <c r="E645" s="12">
        <v>5433750</v>
      </c>
      <c r="F645" s="12">
        <v>7295865</v>
      </c>
      <c r="G645" s="14">
        <f t="shared" si="18"/>
        <v>12729615</v>
      </c>
      <c r="H645" s="14">
        <f t="shared" si="19"/>
        <v>489.60057692307691</v>
      </c>
      <c r="I645" s="11" t="s">
        <v>1437</v>
      </c>
      <c r="J645" s="11" t="s">
        <v>1108</v>
      </c>
    </row>
    <row r="646" spans="1:10" ht="18" customHeight="1" x14ac:dyDescent="0.25">
      <c r="A646" s="15">
        <f>SUBTOTAL(3,$B$11:B646)</f>
        <v>636</v>
      </c>
      <c r="B646" s="15">
        <v>13590</v>
      </c>
      <c r="C646" s="12" t="s">
        <v>1281</v>
      </c>
      <c r="D646" s="13" t="s">
        <v>9</v>
      </c>
      <c r="E646" s="12">
        <v>3789904</v>
      </c>
      <c r="F646" s="12">
        <v>8482332</v>
      </c>
      <c r="G646" s="14">
        <f t="shared" si="18"/>
        <v>12272236</v>
      </c>
      <c r="H646" s="14">
        <f t="shared" si="19"/>
        <v>472.00907692307692</v>
      </c>
      <c r="I646" s="11" t="s">
        <v>1438</v>
      </c>
      <c r="J646" s="11" t="s">
        <v>749</v>
      </c>
    </row>
    <row r="647" spans="1:10" ht="18" customHeight="1" x14ac:dyDescent="0.25">
      <c r="A647" s="15">
        <f>SUBTOTAL(3,$B$11:B647)</f>
        <v>637</v>
      </c>
      <c r="B647" s="15">
        <v>13626</v>
      </c>
      <c r="C647" s="12" t="s">
        <v>1284</v>
      </c>
      <c r="D647" s="13" t="s">
        <v>18</v>
      </c>
      <c r="E647" s="12">
        <v>5055144</v>
      </c>
      <c r="F647" s="12">
        <v>7140335</v>
      </c>
      <c r="G647" s="14">
        <f t="shared" si="18"/>
        <v>12195479</v>
      </c>
      <c r="H647" s="14">
        <f t="shared" si="19"/>
        <v>469.0568846153846</v>
      </c>
      <c r="I647" s="11" t="s">
        <v>1440</v>
      </c>
      <c r="J647" s="11" t="s">
        <v>750</v>
      </c>
    </row>
    <row r="648" spans="1:10" ht="18" customHeight="1" x14ac:dyDescent="0.25">
      <c r="A648" s="15">
        <f>SUBTOTAL(3,$B$11:B648)</f>
        <v>638</v>
      </c>
      <c r="B648" s="15">
        <v>13631</v>
      </c>
      <c r="C648" s="12" t="s">
        <v>1285</v>
      </c>
      <c r="D648" s="13" t="s">
        <v>22</v>
      </c>
      <c r="E648" s="12">
        <v>3513137</v>
      </c>
      <c r="F648" s="12">
        <v>7871211</v>
      </c>
      <c r="G648" s="14">
        <f t="shared" si="18"/>
        <v>11384348</v>
      </c>
      <c r="H648" s="14">
        <f t="shared" si="19"/>
        <v>437.85953846153848</v>
      </c>
      <c r="I648" s="11" t="s">
        <v>1441</v>
      </c>
      <c r="J648" s="11" t="s">
        <v>750</v>
      </c>
    </row>
    <row r="649" spans="1:10" ht="18" customHeight="1" x14ac:dyDescent="0.25">
      <c r="A649" s="15">
        <f>SUBTOTAL(3,$B$11:B649)</f>
        <v>639</v>
      </c>
      <c r="B649" s="15">
        <v>13637</v>
      </c>
      <c r="C649" s="12" t="s">
        <v>358</v>
      </c>
      <c r="D649" s="13" t="s">
        <v>13</v>
      </c>
      <c r="E649" s="12">
        <v>2687873</v>
      </c>
      <c r="F649" s="12">
        <v>6921464</v>
      </c>
      <c r="G649" s="14">
        <f t="shared" si="18"/>
        <v>9609337</v>
      </c>
      <c r="H649" s="14">
        <f t="shared" si="19"/>
        <v>369.58988461538462</v>
      </c>
      <c r="I649" s="11" t="s">
        <v>785</v>
      </c>
      <c r="J649" s="11" t="s">
        <v>757</v>
      </c>
    </row>
    <row r="650" spans="1:10" ht="18" customHeight="1" x14ac:dyDescent="0.25">
      <c r="A650" s="15">
        <f>SUBTOTAL(3,$B$11:B650)</f>
        <v>640</v>
      </c>
      <c r="B650" s="15">
        <v>13638</v>
      </c>
      <c r="C650" s="12" t="s">
        <v>1286</v>
      </c>
      <c r="D650" s="13" t="s">
        <v>13</v>
      </c>
      <c r="E650" s="12">
        <v>3756442</v>
      </c>
      <c r="F650" s="12">
        <v>6801356</v>
      </c>
      <c r="G650" s="14">
        <f t="shared" si="18"/>
        <v>10557798</v>
      </c>
      <c r="H650" s="14">
        <f t="shared" si="19"/>
        <v>406.06915384615382</v>
      </c>
      <c r="I650" s="11" t="s">
        <v>1442</v>
      </c>
      <c r="J650" s="11" t="s">
        <v>772</v>
      </c>
    </row>
    <row r="651" spans="1:10" ht="18" customHeight="1" x14ac:dyDescent="0.25">
      <c r="A651" s="15">
        <f>SUBTOTAL(3,$B$11:B651)</f>
        <v>641</v>
      </c>
      <c r="B651" s="15">
        <v>13639</v>
      </c>
      <c r="C651" s="12" t="s">
        <v>365</v>
      </c>
      <c r="D651" s="13" t="s">
        <v>13</v>
      </c>
      <c r="E651" s="12">
        <v>4425817</v>
      </c>
      <c r="F651" s="12">
        <v>7280503</v>
      </c>
      <c r="G651" s="14">
        <f t="shared" si="18"/>
        <v>11706320</v>
      </c>
      <c r="H651" s="14">
        <f t="shared" si="19"/>
        <v>450.2430769230769</v>
      </c>
      <c r="I651" s="11" t="s">
        <v>793</v>
      </c>
      <c r="J651" s="11" t="s">
        <v>772</v>
      </c>
    </row>
    <row r="652" spans="1:10" ht="18" customHeight="1" x14ac:dyDescent="0.25">
      <c r="A652" s="15">
        <f>SUBTOTAL(3,$B$11:B652)</f>
        <v>642</v>
      </c>
      <c r="B652" s="15">
        <v>13640</v>
      </c>
      <c r="C652" s="12" t="s">
        <v>1287</v>
      </c>
      <c r="D652" s="13" t="s">
        <v>13</v>
      </c>
      <c r="E652" s="12">
        <v>1436430</v>
      </c>
      <c r="F652" s="12">
        <v>426532</v>
      </c>
      <c r="G652" s="14">
        <f t="shared" ref="G652:G715" si="20">E652+F652</f>
        <v>1862962</v>
      </c>
      <c r="H652" s="14">
        <f t="shared" ref="H652:H715" si="21">G652/$J$1</f>
        <v>71.652384615384619</v>
      </c>
      <c r="I652" s="11" t="s">
        <v>1443</v>
      </c>
      <c r="J652" s="11" t="s">
        <v>772</v>
      </c>
    </row>
    <row r="653" spans="1:10" ht="18" customHeight="1" x14ac:dyDescent="0.25">
      <c r="A653" s="15">
        <f>SUBTOTAL(3,$B$11:B653)</f>
        <v>643</v>
      </c>
      <c r="B653" s="15">
        <v>13645</v>
      </c>
      <c r="C653" s="12" t="s">
        <v>1288</v>
      </c>
      <c r="D653" s="13" t="s">
        <v>13</v>
      </c>
      <c r="E653" s="12">
        <v>2143198</v>
      </c>
      <c r="F653" s="12">
        <v>6993110</v>
      </c>
      <c r="G653" s="14">
        <f t="shared" si="20"/>
        <v>9136308</v>
      </c>
      <c r="H653" s="14">
        <f t="shared" si="21"/>
        <v>351.39646153846155</v>
      </c>
      <c r="I653" s="11" t="s">
        <v>1444</v>
      </c>
      <c r="J653" s="11" t="s">
        <v>757</v>
      </c>
    </row>
    <row r="654" spans="1:10" ht="18" customHeight="1" x14ac:dyDescent="0.25">
      <c r="A654" s="15">
        <f>SUBTOTAL(3,$B$11:B654)</f>
        <v>644</v>
      </c>
      <c r="B654" s="15">
        <v>13665</v>
      </c>
      <c r="C654" s="12" t="s">
        <v>991</v>
      </c>
      <c r="D654" s="13" t="s">
        <v>13</v>
      </c>
      <c r="E654" s="12">
        <v>4861899</v>
      </c>
      <c r="F654" s="12">
        <v>7952738</v>
      </c>
      <c r="G654" s="14">
        <f t="shared" si="20"/>
        <v>12814637</v>
      </c>
      <c r="H654" s="14">
        <f t="shared" si="21"/>
        <v>492.87065384615386</v>
      </c>
      <c r="I654" s="11" t="s">
        <v>1445</v>
      </c>
      <c r="J654" s="11" t="s">
        <v>750</v>
      </c>
    </row>
    <row r="655" spans="1:10" ht="18" customHeight="1" x14ac:dyDescent="0.25">
      <c r="A655" s="15">
        <f>SUBTOTAL(3,$B$11:B655)</f>
        <v>645</v>
      </c>
      <c r="B655" s="15">
        <v>13668</v>
      </c>
      <c r="C655" s="12" t="s">
        <v>1289</v>
      </c>
      <c r="D655" s="13" t="s">
        <v>9</v>
      </c>
      <c r="E655" s="12">
        <v>7403846</v>
      </c>
      <c r="F655" s="12">
        <v>18030851</v>
      </c>
      <c r="G655" s="14">
        <f t="shared" si="20"/>
        <v>25434697</v>
      </c>
      <c r="H655" s="14">
        <f t="shared" si="21"/>
        <v>978.25757692307695</v>
      </c>
      <c r="I655" s="11" t="s">
        <v>1446</v>
      </c>
      <c r="J655" s="11" t="s">
        <v>725</v>
      </c>
    </row>
    <row r="656" spans="1:10" ht="18" customHeight="1" x14ac:dyDescent="0.25">
      <c r="A656" s="15">
        <f>SUBTOTAL(3,$B$11:B656)</f>
        <v>646</v>
      </c>
      <c r="B656" s="15">
        <v>13680</v>
      </c>
      <c r="C656" s="12" t="s">
        <v>1290</v>
      </c>
      <c r="D656" s="13" t="s">
        <v>14</v>
      </c>
      <c r="E656" s="12">
        <v>4682022</v>
      </c>
      <c r="F656" s="12">
        <v>7719262</v>
      </c>
      <c r="G656" s="14">
        <f t="shared" si="20"/>
        <v>12401284</v>
      </c>
      <c r="H656" s="14">
        <f t="shared" si="21"/>
        <v>476.97246153846152</v>
      </c>
      <c r="I656" s="11" t="s">
        <v>1447</v>
      </c>
      <c r="J656" s="11" t="s">
        <v>750</v>
      </c>
    </row>
    <row r="657" spans="1:10" ht="18" customHeight="1" x14ac:dyDescent="0.25">
      <c r="A657" s="15">
        <f>SUBTOTAL(3,$B$11:B657)</f>
        <v>647</v>
      </c>
      <c r="B657" s="15">
        <v>13688</v>
      </c>
      <c r="C657" s="12" t="s">
        <v>1291</v>
      </c>
      <c r="D657" s="13" t="s">
        <v>13</v>
      </c>
      <c r="E657" s="12">
        <v>6373077</v>
      </c>
      <c r="F657" s="12">
        <v>10974423</v>
      </c>
      <c r="G657" s="14">
        <f t="shared" si="20"/>
        <v>17347500</v>
      </c>
      <c r="H657" s="14">
        <f t="shared" si="21"/>
        <v>667.21153846153845</v>
      </c>
      <c r="I657" s="11" t="s">
        <v>1448</v>
      </c>
      <c r="J657" s="11" t="s">
        <v>763</v>
      </c>
    </row>
    <row r="658" spans="1:10" ht="18" customHeight="1" x14ac:dyDescent="0.25">
      <c r="A658" s="15">
        <f>SUBTOTAL(3,$B$11:B658)</f>
        <v>648</v>
      </c>
      <c r="B658" s="15">
        <v>13694</v>
      </c>
      <c r="C658" s="12" t="s">
        <v>1292</v>
      </c>
      <c r="D658" s="13" t="s">
        <v>29</v>
      </c>
      <c r="E658" s="12">
        <v>4520034</v>
      </c>
      <c r="F658" s="12">
        <v>7802603</v>
      </c>
      <c r="G658" s="14">
        <f t="shared" si="20"/>
        <v>12322637</v>
      </c>
      <c r="H658" s="14">
        <f t="shared" si="21"/>
        <v>473.94757692307689</v>
      </c>
      <c r="I658" s="11" t="s">
        <v>1449</v>
      </c>
      <c r="J658" s="11" t="s">
        <v>696</v>
      </c>
    </row>
    <row r="659" spans="1:10" ht="18" customHeight="1" x14ac:dyDescent="0.25">
      <c r="A659" s="15">
        <f>SUBTOTAL(3,$B$11:B659)</f>
        <v>649</v>
      </c>
      <c r="B659" s="15">
        <v>13698</v>
      </c>
      <c r="C659" s="12" t="s">
        <v>1293</v>
      </c>
      <c r="D659" s="13" t="s">
        <v>13</v>
      </c>
      <c r="E659" s="12">
        <v>4861899</v>
      </c>
      <c r="F659" s="12">
        <v>7360082</v>
      </c>
      <c r="G659" s="14">
        <f t="shared" si="20"/>
        <v>12221981</v>
      </c>
      <c r="H659" s="14">
        <f t="shared" si="21"/>
        <v>470.07619230769228</v>
      </c>
      <c r="I659" s="11" t="s">
        <v>1633</v>
      </c>
      <c r="J659" s="11" t="s">
        <v>749</v>
      </c>
    </row>
    <row r="660" spans="1:10" ht="18" customHeight="1" x14ac:dyDescent="0.25">
      <c r="A660" s="15">
        <f>SUBTOTAL(3,$B$11:B660)</f>
        <v>650</v>
      </c>
      <c r="B660" s="15">
        <v>13700</v>
      </c>
      <c r="C660" s="12" t="s">
        <v>1294</v>
      </c>
      <c r="D660" s="13" t="s">
        <v>27</v>
      </c>
      <c r="E660" s="12">
        <v>4707813</v>
      </c>
      <c r="F660" s="12">
        <v>8162255</v>
      </c>
      <c r="G660" s="14">
        <f t="shared" si="20"/>
        <v>12870068</v>
      </c>
      <c r="H660" s="14">
        <f t="shared" si="21"/>
        <v>495.00261538461541</v>
      </c>
      <c r="I660" s="11" t="s">
        <v>1450</v>
      </c>
      <c r="J660" s="11" t="s">
        <v>696</v>
      </c>
    </row>
    <row r="661" spans="1:10" ht="18" customHeight="1" x14ac:dyDescent="0.25">
      <c r="A661" s="15">
        <f>SUBTOTAL(3,$B$11:B661)</f>
        <v>651</v>
      </c>
      <c r="B661" s="15">
        <v>13716</v>
      </c>
      <c r="C661" s="12" t="s">
        <v>1295</v>
      </c>
      <c r="D661" s="13" t="s">
        <v>11</v>
      </c>
      <c r="E661" s="12">
        <v>6344231</v>
      </c>
      <c r="F661" s="12">
        <v>12012884</v>
      </c>
      <c r="G661" s="14">
        <f t="shared" si="20"/>
        <v>18357115</v>
      </c>
      <c r="H661" s="14">
        <f t="shared" si="21"/>
        <v>706.04288461538465</v>
      </c>
      <c r="I661" s="11" t="s">
        <v>1451</v>
      </c>
      <c r="J661" s="11" t="s">
        <v>696</v>
      </c>
    </row>
    <row r="662" spans="1:10" ht="18" customHeight="1" x14ac:dyDescent="0.25">
      <c r="A662" s="15">
        <f>SUBTOTAL(3,$B$11:B662)</f>
        <v>652</v>
      </c>
      <c r="B662" s="15">
        <v>13719</v>
      </c>
      <c r="C662" s="12" t="s">
        <v>419</v>
      </c>
      <c r="D662" s="13" t="s">
        <v>27</v>
      </c>
      <c r="E662" s="12">
        <v>10406731</v>
      </c>
      <c r="F662" s="12">
        <v>20301480</v>
      </c>
      <c r="G662" s="14">
        <f t="shared" si="20"/>
        <v>30708211</v>
      </c>
      <c r="H662" s="14">
        <f t="shared" si="21"/>
        <v>1181.0850384615385</v>
      </c>
      <c r="I662" s="11" t="s">
        <v>848</v>
      </c>
      <c r="J662" s="11" t="s">
        <v>763</v>
      </c>
    </row>
    <row r="663" spans="1:10" ht="18" customHeight="1" x14ac:dyDescent="0.25">
      <c r="A663" s="15">
        <f>SUBTOTAL(3,$B$11:B663)</f>
        <v>653</v>
      </c>
      <c r="B663" s="15">
        <v>13723</v>
      </c>
      <c r="C663" s="12" t="s">
        <v>1297</v>
      </c>
      <c r="D663" s="13" t="s">
        <v>13</v>
      </c>
      <c r="E663" s="12">
        <v>6050961</v>
      </c>
      <c r="F663" s="12">
        <v>12017328</v>
      </c>
      <c r="G663" s="14">
        <f t="shared" si="20"/>
        <v>18068289</v>
      </c>
      <c r="H663" s="14">
        <f t="shared" si="21"/>
        <v>694.93419230769234</v>
      </c>
      <c r="I663" s="11" t="s">
        <v>1452</v>
      </c>
      <c r="J663" s="11" t="s">
        <v>754</v>
      </c>
    </row>
    <row r="664" spans="1:10" ht="18" customHeight="1" x14ac:dyDescent="0.25">
      <c r="A664" s="15">
        <f>SUBTOTAL(3,$B$11:B664)</f>
        <v>654</v>
      </c>
      <c r="B664" s="15">
        <v>13729</v>
      </c>
      <c r="C664" s="12" t="s">
        <v>1298</v>
      </c>
      <c r="D664" s="13" t="s">
        <v>20</v>
      </c>
      <c r="E664" s="12">
        <v>8990385</v>
      </c>
      <c r="F664" s="12">
        <v>17065206</v>
      </c>
      <c r="G664" s="14">
        <f t="shared" si="20"/>
        <v>26055591</v>
      </c>
      <c r="H664" s="14">
        <f t="shared" si="21"/>
        <v>1002.1381153846154</v>
      </c>
      <c r="I664" s="11" t="s">
        <v>1453</v>
      </c>
      <c r="J664" s="11" t="s">
        <v>1156</v>
      </c>
    </row>
    <row r="665" spans="1:10" ht="18" customHeight="1" x14ac:dyDescent="0.25">
      <c r="A665" s="15">
        <f>SUBTOTAL(3,$B$11:B665)</f>
        <v>655</v>
      </c>
      <c r="B665" s="15">
        <v>13735</v>
      </c>
      <c r="C665" s="12" t="s">
        <v>1299</v>
      </c>
      <c r="D665" s="13" t="s">
        <v>1009</v>
      </c>
      <c r="E665" s="12">
        <v>3807692</v>
      </c>
      <c r="F665" s="12">
        <v>6484038</v>
      </c>
      <c r="G665" s="14">
        <f t="shared" si="20"/>
        <v>10291730</v>
      </c>
      <c r="H665" s="14">
        <f t="shared" si="21"/>
        <v>395.83576923076924</v>
      </c>
      <c r="I665" s="11" t="s">
        <v>1454</v>
      </c>
      <c r="J665" s="11" t="s">
        <v>749</v>
      </c>
    </row>
    <row r="666" spans="1:10" ht="18" customHeight="1" x14ac:dyDescent="0.25">
      <c r="A666" s="15">
        <f>SUBTOTAL(3,$B$11:B666)</f>
        <v>656</v>
      </c>
      <c r="B666" s="15">
        <v>13736</v>
      </c>
      <c r="C666" s="12" t="s">
        <v>1300</v>
      </c>
      <c r="D666" s="13" t="s">
        <v>1166</v>
      </c>
      <c r="E666" s="12">
        <v>8044471</v>
      </c>
      <c r="F666" s="12">
        <v>12793497</v>
      </c>
      <c r="G666" s="14">
        <f t="shared" si="20"/>
        <v>20837968</v>
      </c>
      <c r="H666" s="14">
        <f t="shared" si="21"/>
        <v>801.46030769230765</v>
      </c>
      <c r="I666" s="11" t="s">
        <v>1455</v>
      </c>
      <c r="J666" s="11" t="s">
        <v>696</v>
      </c>
    </row>
    <row r="667" spans="1:10" ht="18" customHeight="1" x14ac:dyDescent="0.25">
      <c r="A667" s="15">
        <f>SUBTOTAL(3,$B$11:B667)</f>
        <v>657</v>
      </c>
      <c r="B667" s="15">
        <v>13737</v>
      </c>
      <c r="C667" s="12" t="s">
        <v>1301</v>
      </c>
      <c r="D667" s="13" t="s">
        <v>27</v>
      </c>
      <c r="E667" s="12">
        <v>11365384</v>
      </c>
      <c r="F667" s="12">
        <v>27952496</v>
      </c>
      <c r="G667" s="14">
        <f t="shared" si="20"/>
        <v>39317880</v>
      </c>
      <c r="H667" s="14">
        <f t="shared" si="21"/>
        <v>1512.2261538461539</v>
      </c>
      <c r="I667" s="11" t="s">
        <v>1456</v>
      </c>
      <c r="J667" s="11" t="s">
        <v>754</v>
      </c>
    </row>
    <row r="668" spans="1:10" ht="18" customHeight="1" x14ac:dyDescent="0.25">
      <c r="A668" s="15">
        <f>SUBTOTAL(3,$B$11:B668)</f>
        <v>658</v>
      </c>
      <c r="B668" s="15">
        <v>13738</v>
      </c>
      <c r="C668" s="12" t="s">
        <v>1302</v>
      </c>
      <c r="D668" s="13" t="s">
        <v>27</v>
      </c>
      <c r="E668" s="12">
        <v>8451322</v>
      </c>
      <c r="F668" s="12">
        <v>9578459</v>
      </c>
      <c r="G668" s="14">
        <f t="shared" si="20"/>
        <v>18029781</v>
      </c>
      <c r="H668" s="14">
        <f t="shared" si="21"/>
        <v>693.45311538461533</v>
      </c>
      <c r="I668" s="11" t="s">
        <v>1457</v>
      </c>
      <c r="J668" s="11" t="s">
        <v>757</v>
      </c>
    </row>
    <row r="669" spans="1:10" ht="18" customHeight="1" x14ac:dyDescent="0.25">
      <c r="A669" s="15">
        <f>SUBTOTAL(3,$B$11:B669)</f>
        <v>659</v>
      </c>
      <c r="B669" s="15">
        <v>13741</v>
      </c>
      <c r="C669" s="12" t="s">
        <v>106</v>
      </c>
      <c r="D669" s="13" t="s">
        <v>27</v>
      </c>
      <c r="E669" s="12">
        <v>9892307</v>
      </c>
      <c r="F669" s="12">
        <v>12596452</v>
      </c>
      <c r="G669" s="14">
        <f t="shared" si="20"/>
        <v>22488759</v>
      </c>
      <c r="H669" s="14">
        <f t="shared" si="21"/>
        <v>864.95226923076928</v>
      </c>
      <c r="I669" s="11" t="s">
        <v>1458</v>
      </c>
      <c r="J669" s="11" t="s">
        <v>750</v>
      </c>
    </row>
    <row r="670" spans="1:10" ht="18" customHeight="1" x14ac:dyDescent="0.25">
      <c r="A670" s="15">
        <f>SUBTOTAL(3,$B$11:B670)</f>
        <v>660</v>
      </c>
      <c r="B670" s="15">
        <v>13745</v>
      </c>
      <c r="C670" s="12" t="s">
        <v>1465</v>
      </c>
      <c r="D670" s="13" t="s">
        <v>14</v>
      </c>
      <c r="E670" s="12">
        <v>4361323</v>
      </c>
      <c r="F670" s="12">
        <v>8401784</v>
      </c>
      <c r="G670" s="14">
        <f t="shared" si="20"/>
        <v>12763107</v>
      </c>
      <c r="H670" s="14">
        <f t="shared" si="21"/>
        <v>490.88873076923079</v>
      </c>
      <c r="I670" s="11" t="s">
        <v>1634</v>
      </c>
      <c r="J670" s="11" t="s">
        <v>750</v>
      </c>
    </row>
    <row r="671" spans="1:10" ht="18" customHeight="1" x14ac:dyDescent="0.25">
      <c r="A671" s="15">
        <f>SUBTOTAL(3,$B$11:B671)</f>
        <v>661</v>
      </c>
      <c r="B671" s="15">
        <v>13747</v>
      </c>
      <c r="C671" s="12" t="s">
        <v>1466</v>
      </c>
      <c r="D671" s="13" t="s">
        <v>14</v>
      </c>
      <c r="E671" s="12">
        <v>4677621</v>
      </c>
      <c r="F671" s="12">
        <v>7437073</v>
      </c>
      <c r="G671" s="14">
        <f t="shared" si="20"/>
        <v>12114694</v>
      </c>
      <c r="H671" s="14">
        <f t="shared" si="21"/>
        <v>465.94976923076922</v>
      </c>
      <c r="I671" s="11" t="s">
        <v>1635</v>
      </c>
      <c r="J671" s="11" t="s">
        <v>749</v>
      </c>
    </row>
    <row r="672" spans="1:10" ht="18" customHeight="1" x14ac:dyDescent="0.25">
      <c r="A672" s="15">
        <f>SUBTOTAL(3,$B$11:B672)</f>
        <v>662</v>
      </c>
      <c r="B672" s="15">
        <v>13749</v>
      </c>
      <c r="C672" s="12" t="s">
        <v>1467</v>
      </c>
      <c r="D672" s="13" t="s">
        <v>13</v>
      </c>
      <c r="E672" s="12">
        <v>4994027</v>
      </c>
      <c r="F672" s="12">
        <v>7774573</v>
      </c>
      <c r="G672" s="14">
        <f t="shared" si="20"/>
        <v>12768600</v>
      </c>
      <c r="H672" s="14">
        <f t="shared" si="21"/>
        <v>491.1</v>
      </c>
      <c r="I672" s="11" t="s">
        <v>1636</v>
      </c>
      <c r="J672" s="11" t="s">
        <v>772</v>
      </c>
    </row>
    <row r="673" spans="1:10" ht="18" customHeight="1" x14ac:dyDescent="0.25">
      <c r="A673" s="15">
        <f>SUBTOTAL(3,$B$11:B673)</f>
        <v>663</v>
      </c>
      <c r="B673" s="15">
        <v>13752</v>
      </c>
      <c r="C673" s="12" t="s">
        <v>1468</v>
      </c>
      <c r="D673" s="13" t="s">
        <v>13</v>
      </c>
      <c r="E673" s="12">
        <v>4164448</v>
      </c>
      <c r="F673" s="12">
        <v>6611724</v>
      </c>
      <c r="G673" s="14">
        <f t="shared" si="20"/>
        <v>10776172</v>
      </c>
      <c r="H673" s="14">
        <f t="shared" si="21"/>
        <v>414.46815384615383</v>
      </c>
      <c r="I673" s="11" t="s">
        <v>1637</v>
      </c>
      <c r="J673" s="11" t="s">
        <v>763</v>
      </c>
    </row>
    <row r="674" spans="1:10" ht="18" customHeight="1" x14ac:dyDescent="0.25">
      <c r="A674" s="15">
        <f>SUBTOTAL(3,$B$11:B674)</f>
        <v>664</v>
      </c>
      <c r="B674" s="15">
        <v>13754</v>
      </c>
      <c r="C674" s="12" t="s">
        <v>1469</v>
      </c>
      <c r="D674" s="13" t="s">
        <v>13</v>
      </c>
      <c r="E674" s="12">
        <v>4361323</v>
      </c>
      <c r="F674" s="12">
        <v>7743094</v>
      </c>
      <c r="G674" s="14">
        <f t="shared" si="20"/>
        <v>12104417</v>
      </c>
      <c r="H674" s="14">
        <f t="shared" si="21"/>
        <v>465.55450000000002</v>
      </c>
      <c r="I674" s="11" t="s">
        <v>1638</v>
      </c>
      <c r="J674" s="11" t="s">
        <v>1156</v>
      </c>
    </row>
    <row r="675" spans="1:10" ht="18" customHeight="1" x14ac:dyDescent="0.25">
      <c r="A675" s="15">
        <f>SUBTOTAL(3,$B$11:B675)</f>
        <v>665</v>
      </c>
      <c r="B675" s="15">
        <v>13759</v>
      </c>
      <c r="C675" s="12" t="s">
        <v>1470</v>
      </c>
      <c r="D675" s="13" t="s">
        <v>13</v>
      </c>
      <c r="E675" s="12">
        <v>4075854</v>
      </c>
      <c r="F675" s="12">
        <v>7299260</v>
      </c>
      <c r="G675" s="14">
        <f t="shared" si="20"/>
        <v>11375114</v>
      </c>
      <c r="H675" s="14">
        <f t="shared" si="21"/>
        <v>437.50438461538459</v>
      </c>
      <c r="I675" s="11" t="s">
        <v>1639</v>
      </c>
      <c r="J675" s="11" t="s">
        <v>772</v>
      </c>
    </row>
    <row r="676" spans="1:10" ht="18" customHeight="1" x14ac:dyDescent="0.25">
      <c r="A676" s="15">
        <f>SUBTOTAL(3,$B$11:B676)</f>
        <v>666</v>
      </c>
      <c r="B676" s="15">
        <v>13761</v>
      </c>
      <c r="C676" s="12" t="s">
        <v>1471</v>
      </c>
      <c r="D676" s="13" t="s">
        <v>9</v>
      </c>
      <c r="E676" s="12">
        <v>4402067</v>
      </c>
      <c r="F676" s="12">
        <v>9066605</v>
      </c>
      <c r="G676" s="14">
        <f t="shared" si="20"/>
        <v>13468672</v>
      </c>
      <c r="H676" s="14">
        <f t="shared" si="21"/>
        <v>518.02584615384615</v>
      </c>
      <c r="I676" s="11" t="s">
        <v>1640</v>
      </c>
      <c r="J676" s="11" t="s">
        <v>696</v>
      </c>
    </row>
    <row r="677" spans="1:10" ht="18" customHeight="1" x14ac:dyDescent="0.25">
      <c r="A677" s="15">
        <f>SUBTOTAL(3,$B$11:B677)</f>
        <v>667</v>
      </c>
      <c r="B677" s="15">
        <v>13773</v>
      </c>
      <c r="C677" s="12" t="s">
        <v>1472</v>
      </c>
      <c r="D677" s="13" t="s">
        <v>14</v>
      </c>
      <c r="E677" s="12">
        <v>4677621</v>
      </c>
      <c r="F677" s="12">
        <v>7774573</v>
      </c>
      <c r="G677" s="14">
        <f t="shared" si="20"/>
        <v>12452194</v>
      </c>
      <c r="H677" s="14">
        <f t="shared" si="21"/>
        <v>478.93053846153845</v>
      </c>
      <c r="I677" s="11" t="s">
        <v>1641</v>
      </c>
      <c r="J677" s="11" t="s">
        <v>772</v>
      </c>
    </row>
    <row r="678" spans="1:10" ht="18" customHeight="1" x14ac:dyDescent="0.25">
      <c r="A678" s="15">
        <f>SUBTOTAL(3,$B$11:B678)</f>
        <v>668</v>
      </c>
      <c r="B678" s="15">
        <v>13774</v>
      </c>
      <c r="C678" s="12" t="s">
        <v>1473</v>
      </c>
      <c r="D678" s="13" t="s">
        <v>22</v>
      </c>
      <c r="E678" s="12">
        <v>4159856</v>
      </c>
      <c r="F678" s="12">
        <v>6515683</v>
      </c>
      <c r="G678" s="14">
        <f t="shared" si="20"/>
        <v>10675539</v>
      </c>
      <c r="H678" s="14">
        <f t="shared" si="21"/>
        <v>410.59765384615383</v>
      </c>
      <c r="I678" s="11" t="s">
        <v>1642</v>
      </c>
      <c r="J678" s="11" t="s">
        <v>750</v>
      </c>
    </row>
    <row r="679" spans="1:10" ht="18" customHeight="1" x14ac:dyDescent="0.25">
      <c r="A679" s="15">
        <f>SUBTOTAL(3,$B$11:B679)</f>
        <v>669</v>
      </c>
      <c r="B679" s="15">
        <v>13778</v>
      </c>
      <c r="C679" s="12" t="s">
        <v>1474</v>
      </c>
      <c r="D679" s="13" t="s">
        <v>13</v>
      </c>
      <c r="E679" s="12">
        <v>4551166</v>
      </c>
      <c r="F679" s="12">
        <v>8228791</v>
      </c>
      <c r="G679" s="14">
        <f t="shared" si="20"/>
        <v>12779957</v>
      </c>
      <c r="H679" s="14">
        <f t="shared" si="21"/>
        <v>491.53680769230772</v>
      </c>
      <c r="I679" s="11" t="s">
        <v>1643</v>
      </c>
      <c r="J679" s="11" t="s">
        <v>696</v>
      </c>
    </row>
    <row r="680" spans="1:10" ht="18" customHeight="1" x14ac:dyDescent="0.25">
      <c r="A680" s="15">
        <f>SUBTOTAL(3,$B$11:B680)</f>
        <v>670</v>
      </c>
      <c r="B680" s="15">
        <v>13779</v>
      </c>
      <c r="C680" s="12" t="s">
        <v>1475</v>
      </c>
      <c r="D680" s="13" t="s">
        <v>13</v>
      </c>
      <c r="E680" s="12">
        <v>4054760</v>
      </c>
      <c r="F680" s="12">
        <v>8027698</v>
      </c>
      <c r="G680" s="14">
        <f t="shared" si="20"/>
        <v>12082458</v>
      </c>
      <c r="H680" s="14">
        <f t="shared" si="21"/>
        <v>464.70992307692308</v>
      </c>
      <c r="I680" s="11" t="s">
        <v>1644</v>
      </c>
      <c r="J680" s="11" t="s">
        <v>754</v>
      </c>
    </row>
    <row r="681" spans="1:10" ht="18" customHeight="1" x14ac:dyDescent="0.25">
      <c r="A681" s="15">
        <f>SUBTOTAL(3,$B$11:B681)</f>
        <v>671</v>
      </c>
      <c r="B681" s="15">
        <v>13780</v>
      </c>
      <c r="C681" s="12" t="s">
        <v>867</v>
      </c>
      <c r="D681" s="13" t="s">
        <v>21</v>
      </c>
      <c r="E681" s="12">
        <v>2180781</v>
      </c>
      <c r="F681" s="12">
        <v>6216200</v>
      </c>
      <c r="G681" s="14">
        <f t="shared" si="20"/>
        <v>8396981</v>
      </c>
      <c r="H681" s="14">
        <f t="shared" si="21"/>
        <v>322.9608076923077</v>
      </c>
      <c r="I681" s="11" t="s">
        <v>1020</v>
      </c>
      <c r="J681" s="11" t="s">
        <v>763</v>
      </c>
    </row>
    <row r="682" spans="1:10" ht="18" customHeight="1" x14ac:dyDescent="0.25">
      <c r="A682" s="15">
        <f>SUBTOTAL(3,$B$11:B682)</f>
        <v>672</v>
      </c>
      <c r="B682" s="15">
        <v>13781</v>
      </c>
      <c r="C682" s="12" t="s">
        <v>874</v>
      </c>
      <c r="D682" s="13" t="s">
        <v>21</v>
      </c>
      <c r="E682" s="12">
        <v>4626058</v>
      </c>
      <c r="F682" s="12">
        <v>7549842</v>
      </c>
      <c r="G682" s="14">
        <f t="shared" si="20"/>
        <v>12175900</v>
      </c>
      <c r="H682" s="14">
        <f t="shared" si="21"/>
        <v>468.30384615384617</v>
      </c>
      <c r="I682" s="11" t="s">
        <v>1027</v>
      </c>
      <c r="J682" s="11" t="s">
        <v>763</v>
      </c>
    </row>
    <row r="683" spans="1:10" ht="18" customHeight="1" x14ac:dyDescent="0.25">
      <c r="A683" s="15">
        <f>SUBTOTAL(3,$B$11:B683)</f>
        <v>673</v>
      </c>
      <c r="B683" s="15">
        <v>13782</v>
      </c>
      <c r="C683" s="12" t="s">
        <v>1476</v>
      </c>
      <c r="D683" s="13" t="s">
        <v>14</v>
      </c>
      <c r="E683" s="12">
        <v>4361323</v>
      </c>
      <c r="F683" s="12">
        <v>8474885</v>
      </c>
      <c r="G683" s="14">
        <f t="shared" si="20"/>
        <v>12836208</v>
      </c>
      <c r="H683" s="14">
        <f t="shared" si="21"/>
        <v>493.70030769230772</v>
      </c>
      <c r="I683" s="11" t="s">
        <v>1645</v>
      </c>
      <c r="J683" s="11" t="s">
        <v>757</v>
      </c>
    </row>
    <row r="684" spans="1:10" ht="18" customHeight="1" x14ac:dyDescent="0.25">
      <c r="A684" s="15">
        <f>SUBTOTAL(3,$B$11:B684)</f>
        <v>674</v>
      </c>
      <c r="B684" s="15">
        <v>13783</v>
      </c>
      <c r="C684" s="12" t="s">
        <v>65</v>
      </c>
      <c r="D684" s="13" t="s">
        <v>13</v>
      </c>
      <c r="E684" s="12">
        <v>5041479</v>
      </c>
      <c r="F684" s="12">
        <v>8872940</v>
      </c>
      <c r="G684" s="14">
        <f t="shared" si="20"/>
        <v>13914419</v>
      </c>
      <c r="H684" s="14">
        <f t="shared" si="21"/>
        <v>535.16996153846151</v>
      </c>
      <c r="I684" s="11" t="s">
        <v>776</v>
      </c>
      <c r="J684" s="11" t="s">
        <v>749</v>
      </c>
    </row>
    <row r="685" spans="1:10" ht="18" customHeight="1" x14ac:dyDescent="0.25">
      <c r="A685" s="15">
        <f>SUBTOTAL(3,$B$11:B685)</f>
        <v>675</v>
      </c>
      <c r="B685" s="15">
        <v>13784</v>
      </c>
      <c r="C685" s="12" t="s">
        <v>404</v>
      </c>
      <c r="D685" s="13" t="s">
        <v>12</v>
      </c>
      <c r="E685" s="12">
        <v>5034147</v>
      </c>
      <c r="F685" s="12">
        <v>8626476</v>
      </c>
      <c r="G685" s="14">
        <f t="shared" si="20"/>
        <v>13660623</v>
      </c>
      <c r="H685" s="14">
        <f t="shared" si="21"/>
        <v>525.40857692307691</v>
      </c>
      <c r="I685" s="11" t="s">
        <v>1028</v>
      </c>
      <c r="J685" s="11" t="s">
        <v>763</v>
      </c>
    </row>
    <row r="686" spans="1:10" ht="18" customHeight="1" x14ac:dyDescent="0.25">
      <c r="A686" s="15">
        <f>SUBTOTAL(3,$B$11:B686)</f>
        <v>676</v>
      </c>
      <c r="B686" s="15">
        <v>13791</v>
      </c>
      <c r="C686" s="12" t="s">
        <v>1477</v>
      </c>
      <c r="D686" s="13" t="s">
        <v>19</v>
      </c>
      <c r="E686" s="12">
        <v>3445769</v>
      </c>
      <c r="F686" s="12">
        <v>7731043</v>
      </c>
      <c r="G686" s="14">
        <f t="shared" si="20"/>
        <v>11176812</v>
      </c>
      <c r="H686" s="14">
        <f t="shared" si="21"/>
        <v>429.87738461538464</v>
      </c>
      <c r="I686" s="11" t="s">
        <v>1646</v>
      </c>
      <c r="J686" s="11" t="s">
        <v>750</v>
      </c>
    </row>
    <row r="687" spans="1:10" ht="18" customHeight="1" x14ac:dyDescent="0.25">
      <c r="A687" s="15">
        <f>SUBTOTAL(3,$B$11:B687)</f>
        <v>677</v>
      </c>
      <c r="B687" s="15">
        <v>13792</v>
      </c>
      <c r="C687" s="12" t="s">
        <v>1478</v>
      </c>
      <c r="D687" s="13" t="s">
        <v>19</v>
      </c>
      <c r="E687" s="12">
        <v>4561538</v>
      </c>
      <c r="F687" s="12">
        <v>7557053</v>
      </c>
      <c r="G687" s="14">
        <f t="shared" si="20"/>
        <v>12118591</v>
      </c>
      <c r="H687" s="14">
        <f t="shared" si="21"/>
        <v>466.09965384615384</v>
      </c>
      <c r="I687" s="11" t="s">
        <v>1647</v>
      </c>
      <c r="J687" s="11" t="s">
        <v>763</v>
      </c>
    </row>
    <row r="688" spans="1:10" ht="18" customHeight="1" x14ac:dyDescent="0.25">
      <c r="A688" s="15">
        <f>SUBTOTAL(3,$B$11:B688)</f>
        <v>678</v>
      </c>
      <c r="B688" s="15">
        <v>13793</v>
      </c>
      <c r="C688" s="12" t="s">
        <v>1479</v>
      </c>
      <c r="D688" s="13" t="s">
        <v>19</v>
      </c>
      <c r="E688" s="12">
        <v>4672019</v>
      </c>
      <c r="F688" s="12">
        <v>8702577</v>
      </c>
      <c r="G688" s="14">
        <f t="shared" si="20"/>
        <v>13374596</v>
      </c>
      <c r="H688" s="14">
        <f t="shared" si="21"/>
        <v>514.40753846153848</v>
      </c>
      <c r="I688" s="11" t="s">
        <v>1648</v>
      </c>
      <c r="J688" s="11" t="s">
        <v>763</v>
      </c>
    </row>
    <row r="689" spans="1:10" ht="18" customHeight="1" x14ac:dyDescent="0.25">
      <c r="A689" s="15">
        <f>SUBTOTAL(3,$B$11:B689)</f>
        <v>679</v>
      </c>
      <c r="B689" s="15">
        <v>13794</v>
      </c>
      <c r="C689" s="12" t="s">
        <v>1480</v>
      </c>
      <c r="D689" s="13" t="s">
        <v>9</v>
      </c>
      <c r="E689" s="12">
        <v>848077</v>
      </c>
      <c r="F689" s="12">
        <v>7103433</v>
      </c>
      <c r="G689" s="14">
        <f t="shared" si="20"/>
        <v>7951510</v>
      </c>
      <c r="H689" s="14">
        <f t="shared" si="21"/>
        <v>305.82730769230767</v>
      </c>
      <c r="I689" s="11" t="s">
        <v>1649</v>
      </c>
      <c r="J689" s="11" t="s">
        <v>1129</v>
      </c>
    </row>
    <row r="690" spans="1:10" ht="18" customHeight="1" x14ac:dyDescent="0.25">
      <c r="A690" s="15">
        <f>SUBTOTAL(3,$B$11:B690)</f>
        <v>680</v>
      </c>
      <c r="B690" s="15">
        <v>13795</v>
      </c>
      <c r="C690" s="12" t="s">
        <v>265</v>
      </c>
      <c r="D690" s="13" t="s">
        <v>21</v>
      </c>
      <c r="E690" s="12">
        <v>4776058</v>
      </c>
      <c r="F690" s="12">
        <v>7804082</v>
      </c>
      <c r="G690" s="14">
        <f t="shared" si="20"/>
        <v>12580140</v>
      </c>
      <c r="H690" s="14">
        <f t="shared" si="21"/>
        <v>483.85153846153844</v>
      </c>
      <c r="I690" s="11" t="s">
        <v>672</v>
      </c>
      <c r="J690" s="11" t="s">
        <v>763</v>
      </c>
    </row>
    <row r="691" spans="1:10" ht="18" customHeight="1" x14ac:dyDescent="0.25">
      <c r="A691" s="15">
        <f>SUBTOTAL(3,$B$11:B691)</f>
        <v>681</v>
      </c>
      <c r="B691" s="15">
        <v>13801</v>
      </c>
      <c r="C691" s="12" t="s">
        <v>1201</v>
      </c>
      <c r="D691" s="13" t="s">
        <v>23</v>
      </c>
      <c r="E691" s="12">
        <v>4361323</v>
      </c>
      <c r="F691" s="12">
        <v>7408948</v>
      </c>
      <c r="G691" s="14">
        <f t="shared" si="20"/>
        <v>11770271</v>
      </c>
      <c r="H691" s="14">
        <f t="shared" si="21"/>
        <v>452.70273076923075</v>
      </c>
      <c r="I691" s="11" t="s">
        <v>1350</v>
      </c>
      <c r="J691" s="11" t="s">
        <v>696</v>
      </c>
    </row>
    <row r="692" spans="1:10" ht="18" customHeight="1" x14ac:dyDescent="0.25">
      <c r="A692" s="15">
        <f>SUBTOTAL(3,$B$11:B692)</f>
        <v>682</v>
      </c>
      <c r="B692" s="15">
        <v>13806</v>
      </c>
      <c r="C692" s="12" t="s">
        <v>1481</v>
      </c>
      <c r="D692" s="13" t="s">
        <v>16</v>
      </c>
      <c r="E692" s="12">
        <v>4951948</v>
      </c>
      <c r="F692" s="12">
        <v>7167096</v>
      </c>
      <c r="G692" s="14">
        <f t="shared" si="20"/>
        <v>12119044</v>
      </c>
      <c r="H692" s="14">
        <f t="shared" si="21"/>
        <v>466.11707692307692</v>
      </c>
      <c r="I692" s="11" t="s">
        <v>1650</v>
      </c>
      <c r="J692" s="11" t="s">
        <v>749</v>
      </c>
    </row>
    <row r="693" spans="1:10" ht="18" customHeight="1" x14ac:dyDescent="0.25">
      <c r="A693" s="15">
        <f>SUBTOTAL(3,$B$11:B693)</f>
        <v>683</v>
      </c>
      <c r="B693" s="15">
        <v>13809</v>
      </c>
      <c r="C693" s="12" t="s">
        <v>1482</v>
      </c>
      <c r="D693" s="13" t="s">
        <v>19</v>
      </c>
      <c r="E693" s="12">
        <v>3547872</v>
      </c>
      <c r="F693" s="12">
        <v>7773952</v>
      </c>
      <c r="G693" s="14">
        <f t="shared" si="20"/>
        <v>11321824</v>
      </c>
      <c r="H693" s="14">
        <f t="shared" si="21"/>
        <v>435.45476923076922</v>
      </c>
      <c r="I693" s="11" t="s">
        <v>1651</v>
      </c>
      <c r="J693" s="11" t="s">
        <v>763</v>
      </c>
    </row>
    <row r="694" spans="1:10" ht="18" customHeight="1" x14ac:dyDescent="0.25">
      <c r="A694" s="15">
        <f>SUBTOTAL(3,$B$11:B694)</f>
        <v>684</v>
      </c>
      <c r="B694" s="15">
        <v>13811</v>
      </c>
      <c r="C694" s="12" t="s">
        <v>1483</v>
      </c>
      <c r="D694" s="13" t="s">
        <v>14</v>
      </c>
      <c r="E694" s="12">
        <v>3296250</v>
      </c>
      <c r="F694" s="12">
        <v>5271332</v>
      </c>
      <c r="G694" s="14">
        <f t="shared" si="20"/>
        <v>8567582</v>
      </c>
      <c r="H694" s="14">
        <f t="shared" si="21"/>
        <v>329.52238461538462</v>
      </c>
      <c r="I694" s="11" t="s">
        <v>1652</v>
      </c>
      <c r="J694" s="11" t="s">
        <v>696</v>
      </c>
    </row>
    <row r="695" spans="1:10" ht="18" customHeight="1" x14ac:dyDescent="0.25">
      <c r="A695" s="15">
        <f>SUBTOTAL(3,$B$11:B695)</f>
        <v>685</v>
      </c>
      <c r="B695" s="15">
        <v>13828</v>
      </c>
      <c r="C695" s="12" t="s">
        <v>1484</v>
      </c>
      <c r="D695" s="13" t="s">
        <v>14</v>
      </c>
      <c r="E695" s="12">
        <v>4361323</v>
      </c>
      <c r="F695" s="12">
        <v>8474885</v>
      </c>
      <c r="G695" s="14">
        <f t="shared" si="20"/>
        <v>12836208</v>
      </c>
      <c r="H695" s="14">
        <f t="shared" si="21"/>
        <v>493.70030769230772</v>
      </c>
      <c r="I695" s="11" t="s">
        <v>1653</v>
      </c>
      <c r="J695" s="11" t="s">
        <v>749</v>
      </c>
    </row>
    <row r="696" spans="1:10" ht="18" customHeight="1" x14ac:dyDescent="0.25">
      <c r="A696" s="15">
        <f>SUBTOTAL(3,$B$11:B696)</f>
        <v>686</v>
      </c>
      <c r="B696" s="15">
        <v>13841</v>
      </c>
      <c r="C696" s="12" t="s">
        <v>1485</v>
      </c>
      <c r="D696" s="13" t="s">
        <v>16</v>
      </c>
      <c r="E696" s="12">
        <v>5262621</v>
      </c>
      <c r="F696" s="12">
        <v>8137409</v>
      </c>
      <c r="G696" s="14">
        <f t="shared" si="20"/>
        <v>13400030</v>
      </c>
      <c r="H696" s="14">
        <f t="shared" si="21"/>
        <v>515.38576923076926</v>
      </c>
      <c r="I696" s="11" t="s">
        <v>1654</v>
      </c>
      <c r="J696" s="11" t="s">
        <v>749</v>
      </c>
    </row>
    <row r="697" spans="1:10" ht="18" customHeight="1" x14ac:dyDescent="0.25">
      <c r="A697" s="15">
        <f>SUBTOTAL(3,$B$11:B697)</f>
        <v>687</v>
      </c>
      <c r="B697" s="15">
        <v>13850</v>
      </c>
      <c r="C697" s="12" t="s">
        <v>1486</v>
      </c>
      <c r="D697" s="13" t="s">
        <v>20</v>
      </c>
      <c r="E697" s="12">
        <v>4994027</v>
      </c>
      <c r="F697" s="12">
        <v>7673346</v>
      </c>
      <c r="G697" s="14">
        <f t="shared" si="20"/>
        <v>12667373</v>
      </c>
      <c r="H697" s="14">
        <f t="shared" si="21"/>
        <v>487.20665384615387</v>
      </c>
      <c r="I697" s="11" t="s">
        <v>1655</v>
      </c>
      <c r="J697" s="11" t="s">
        <v>696</v>
      </c>
    </row>
    <row r="698" spans="1:10" ht="18" customHeight="1" x14ac:dyDescent="0.25">
      <c r="A698" s="15">
        <f>SUBTOTAL(3,$B$11:B698)</f>
        <v>688</v>
      </c>
      <c r="B698" s="15">
        <v>13851</v>
      </c>
      <c r="C698" s="12" t="s">
        <v>1200</v>
      </c>
      <c r="D698" s="13" t="s">
        <v>12</v>
      </c>
      <c r="E698" s="12">
        <v>4904029</v>
      </c>
      <c r="F698" s="12">
        <v>9236615</v>
      </c>
      <c r="G698" s="14">
        <f t="shared" si="20"/>
        <v>14140644</v>
      </c>
      <c r="H698" s="14">
        <f t="shared" si="21"/>
        <v>543.87092307692308</v>
      </c>
      <c r="I698" s="11" t="s">
        <v>1349</v>
      </c>
      <c r="J698" s="11" t="s">
        <v>750</v>
      </c>
    </row>
    <row r="699" spans="1:10" ht="18" customHeight="1" x14ac:dyDescent="0.25">
      <c r="A699" s="15">
        <f>SUBTOTAL(3,$B$11:B699)</f>
        <v>689</v>
      </c>
      <c r="B699" s="15">
        <v>13855</v>
      </c>
      <c r="C699" s="12" t="s">
        <v>256</v>
      </c>
      <c r="D699" s="13" t="s">
        <v>13</v>
      </c>
      <c r="E699" s="12">
        <v>4509267</v>
      </c>
      <c r="F699" s="12">
        <v>8221954</v>
      </c>
      <c r="G699" s="14">
        <f t="shared" si="20"/>
        <v>12731221</v>
      </c>
      <c r="H699" s="14">
        <f t="shared" si="21"/>
        <v>489.66234615384616</v>
      </c>
      <c r="I699" s="11" t="s">
        <v>1311</v>
      </c>
      <c r="J699" s="11" t="s">
        <v>749</v>
      </c>
    </row>
    <row r="700" spans="1:10" ht="18" customHeight="1" x14ac:dyDescent="0.25">
      <c r="A700" s="15">
        <f>SUBTOTAL(3,$B$11:B700)</f>
        <v>690</v>
      </c>
      <c r="B700" s="15">
        <v>13857</v>
      </c>
      <c r="C700" s="12" t="s">
        <v>1487</v>
      </c>
      <c r="D700" s="13" t="s">
        <v>19</v>
      </c>
      <c r="E700" s="12">
        <v>4635192</v>
      </c>
      <c r="F700" s="12">
        <v>8755038</v>
      </c>
      <c r="G700" s="14">
        <f t="shared" si="20"/>
        <v>13390230</v>
      </c>
      <c r="H700" s="14">
        <f t="shared" si="21"/>
        <v>515.00884615384621</v>
      </c>
      <c r="I700" s="11" t="s">
        <v>1013</v>
      </c>
      <c r="J700" s="11" t="s">
        <v>763</v>
      </c>
    </row>
    <row r="701" spans="1:10" ht="18" customHeight="1" x14ac:dyDescent="0.25">
      <c r="A701" s="15">
        <f>SUBTOTAL(3,$B$11:B701)</f>
        <v>691</v>
      </c>
      <c r="B701" s="15">
        <v>13858</v>
      </c>
      <c r="C701" s="12" t="s">
        <v>1488</v>
      </c>
      <c r="D701" s="13" t="s">
        <v>1008</v>
      </c>
      <c r="E701" s="12">
        <v>4628654</v>
      </c>
      <c r="F701" s="12">
        <v>8721605</v>
      </c>
      <c r="G701" s="14">
        <f t="shared" si="20"/>
        <v>13350259</v>
      </c>
      <c r="H701" s="14">
        <f t="shared" si="21"/>
        <v>513.47149999999999</v>
      </c>
      <c r="I701" s="11" t="s">
        <v>1656</v>
      </c>
      <c r="J701" s="11" t="s">
        <v>750</v>
      </c>
    </row>
    <row r="702" spans="1:10" ht="18" customHeight="1" x14ac:dyDescent="0.25">
      <c r="A702" s="15">
        <f>SUBTOTAL(3,$B$11:B702)</f>
        <v>692</v>
      </c>
      <c r="B702" s="15">
        <v>13860</v>
      </c>
      <c r="C702" s="12" t="s">
        <v>1489</v>
      </c>
      <c r="D702" s="13" t="s">
        <v>11</v>
      </c>
      <c r="E702" s="12">
        <v>4832692</v>
      </c>
      <c r="F702" s="12">
        <v>8116217</v>
      </c>
      <c r="G702" s="14">
        <f t="shared" si="20"/>
        <v>12948909</v>
      </c>
      <c r="H702" s="14">
        <f t="shared" si="21"/>
        <v>498.03496153846152</v>
      </c>
      <c r="I702" s="11" t="s">
        <v>1657</v>
      </c>
      <c r="J702" s="11" t="s">
        <v>763</v>
      </c>
    </row>
    <row r="703" spans="1:10" ht="18" customHeight="1" x14ac:dyDescent="0.25">
      <c r="A703" s="15">
        <f>SUBTOTAL(3,$B$11:B703)</f>
        <v>693</v>
      </c>
      <c r="B703" s="15">
        <v>13865</v>
      </c>
      <c r="C703" s="12" t="s">
        <v>1490</v>
      </c>
      <c r="D703" s="13" t="s">
        <v>14</v>
      </c>
      <c r="E703" s="12">
        <v>4361323</v>
      </c>
      <c r="F703" s="12">
        <v>8474885</v>
      </c>
      <c r="G703" s="14">
        <f t="shared" si="20"/>
        <v>12836208</v>
      </c>
      <c r="H703" s="14">
        <f t="shared" si="21"/>
        <v>493.70030769230772</v>
      </c>
      <c r="I703" s="11" t="s">
        <v>1658</v>
      </c>
      <c r="J703" s="11" t="s">
        <v>750</v>
      </c>
    </row>
    <row r="704" spans="1:10" ht="18" customHeight="1" x14ac:dyDescent="0.25">
      <c r="A704" s="15">
        <f>SUBTOTAL(3,$B$11:B704)</f>
        <v>694</v>
      </c>
      <c r="B704" s="15">
        <v>13866</v>
      </c>
      <c r="C704" s="12" t="s">
        <v>1491</v>
      </c>
      <c r="D704" s="13" t="s">
        <v>14</v>
      </c>
      <c r="E704" s="12">
        <v>3632885</v>
      </c>
      <c r="F704" s="12">
        <v>8474885</v>
      </c>
      <c r="G704" s="14">
        <f t="shared" si="20"/>
        <v>12107770</v>
      </c>
      <c r="H704" s="14">
        <f t="shared" si="21"/>
        <v>465.68346153846153</v>
      </c>
      <c r="I704" s="11" t="s">
        <v>1659</v>
      </c>
      <c r="J704" s="11" t="s">
        <v>757</v>
      </c>
    </row>
    <row r="705" spans="1:10" ht="18" customHeight="1" x14ac:dyDescent="0.25">
      <c r="A705" s="15">
        <f>SUBTOTAL(3,$B$11:B705)</f>
        <v>695</v>
      </c>
      <c r="B705" s="15">
        <v>13868</v>
      </c>
      <c r="C705" s="12" t="s">
        <v>1492</v>
      </c>
      <c r="D705" s="13" t="s">
        <v>14</v>
      </c>
      <c r="E705" s="12">
        <v>3621419</v>
      </c>
      <c r="F705" s="12">
        <v>7334323</v>
      </c>
      <c r="G705" s="14">
        <f t="shared" si="20"/>
        <v>10955742</v>
      </c>
      <c r="H705" s="14">
        <f t="shared" si="21"/>
        <v>421.37469230769233</v>
      </c>
      <c r="I705" s="11" t="s">
        <v>1660</v>
      </c>
      <c r="J705" s="11" t="s">
        <v>696</v>
      </c>
    </row>
    <row r="706" spans="1:10" ht="18" customHeight="1" x14ac:dyDescent="0.25">
      <c r="A706" s="15">
        <f>SUBTOTAL(3,$B$11:B706)</f>
        <v>696</v>
      </c>
      <c r="B706" s="15">
        <v>13879</v>
      </c>
      <c r="C706" s="12" t="s">
        <v>1493</v>
      </c>
      <c r="D706" s="13" t="s">
        <v>12</v>
      </c>
      <c r="E706" s="12">
        <v>2215385</v>
      </c>
      <c r="F706" s="12">
        <v>1723077</v>
      </c>
      <c r="G706" s="14">
        <f t="shared" si="20"/>
        <v>3938462</v>
      </c>
      <c r="H706" s="14">
        <f t="shared" si="21"/>
        <v>151.47930769230769</v>
      </c>
      <c r="I706" s="11" t="s">
        <v>1661</v>
      </c>
      <c r="J706" s="11" t="s">
        <v>696</v>
      </c>
    </row>
    <row r="707" spans="1:10" ht="18" customHeight="1" x14ac:dyDescent="0.25">
      <c r="A707" s="15">
        <f>SUBTOTAL(3,$B$11:B707)</f>
        <v>697</v>
      </c>
      <c r="B707" s="15">
        <v>13880</v>
      </c>
      <c r="C707" s="12" t="s">
        <v>1494</v>
      </c>
      <c r="D707" s="13" t="s">
        <v>12</v>
      </c>
      <c r="E707" s="12">
        <v>4138101</v>
      </c>
      <c r="F707" s="12">
        <v>4258603</v>
      </c>
      <c r="G707" s="14">
        <f t="shared" si="20"/>
        <v>8396704</v>
      </c>
      <c r="H707" s="14">
        <f t="shared" si="21"/>
        <v>322.95015384615385</v>
      </c>
      <c r="I707" s="11" t="s">
        <v>1662</v>
      </c>
      <c r="J707" s="11" t="s">
        <v>696</v>
      </c>
    </row>
    <row r="708" spans="1:10" ht="18" customHeight="1" x14ac:dyDescent="0.25">
      <c r="A708" s="15">
        <f>SUBTOTAL(3,$B$11:B708)</f>
        <v>698</v>
      </c>
      <c r="B708" s="15">
        <v>13886</v>
      </c>
      <c r="C708" s="12" t="s">
        <v>913</v>
      </c>
      <c r="D708" s="13" t="s">
        <v>13</v>
      </c>
      <c r="E708" s="12">
        <v>5098053</v>
      </c>
      <c r="F708" s="12">
        <v>7859770</v>
      </c>
      <c r="G708" s="14">
        <f t="shared" si="20"/>
        <v>12957823</v>
      </c>
      <c r="H708" s="14">
        <f t="shared" si="21"/>
        <v>498.37780769230767</v>
      </c>
      <c r="I708" s="11" t="s">
        <v>1066</v>
      </c>
      <c r="J708" s="11" t="s">
        <v>763</v>
      </c>
    </row>
    <row r="709" spans="1:10" ht="18" customHeight="1" x14ac:dyDescent="0.25">
      <c r="A709" s="15">
        <f>SUBTOTAL(3,$B$11:B709)</f>
        <v>699</v>
      </c>
      <c r="B709" s="15">
        <v>13891</v>
      </c>
      <c r="C709" s="12" t="s">
        <v>959</v>
      </c>
      <c r="D709" s="13" t="s">
        <v>13</v>
      </c>
      <c r="E709" s="12">
        <v>5076599</v>
      </c>
      <c r="F709" s="12">
        <v>7559409</v>
      </c>
      <c r="G709" s="14">
        <f t="shared" si="20"/>
        <v>12636008</v>
      </c>
      <c r="H709" s="14">
        <f t="shared" si="21"/>
        <v>486.00030769230767</v>
      </c>
      <c r="I709" s="11" t="s">
        <v>1113</v>
      </c>
      <c r="J709" s="11" t="s">
        <v>430</v>
      </c>
    </row>
    <row r="710" spans="1:10" ht="18" customHeight="1" x14ac:dyDescent="0.25">
      <c r="A710" s="15">
        <f>SUBTOTAL(3,$B$11:B710)</f>
        <v>700</v>
      </c>
      <c r="B710" s="15">
        <v>13892</v>
      </c>
      <c r="C710" s="12" t="s">
        <v>904</v>
      </c>
      <c r="D710" s="13" t="s">
        <v>1008</v>
      </c>
      <c r="E710" s="12">
        <v>5111971</v>
      </c>
      <c r="F710" s="12">
        <v>9069923</v>
      </c>
      <c r="G710" s="14">
        <f t="shared" si="20"/>
        <v>14181894</v>
      </c>
      <c r="H710" s="14">
        <f t="shared" si="21"/>
        <v>545.45746153846153</v>
      </c>
      <c r="I710" s="11" t="s">
        <v>1663</v>
      </c>
      <c r="J710" s="11" t="s">
        <v>696</v>
      </c>
    </row>
    <row r="711" spans="1:10" ht="18" customHeight="1" x14ac:dyDescent="0.25">
      <c r="A711" s="15">
        <f>SUBTOTAL(3,$B$11:B711)</f>
        <v>701</v>
      </c>
      <c r="B711" s="15">
        <v>13896</v>
      </c>
      <c r="C711" s="12" t="s">
        <v>1495</v>
      </c>
      <c r="D711" s="13" t="s">
        <v>13</v>
      </c>
      <c r="E711" s="12">
        <v>2708113</v>
      </c>
      <c r="F711" s="12">
        <v>5660979</v>
      </c>
      <c r="G711" s="14">
        <f t="shared" si="20"/>
        <v>8369092</v>
      </c>
      <c r="H711" s="14">
        <f t="shared" si="21"/>
        <v>321.88815384615384</v>
      </c>
      <c r="I711" s="11" t="s">
        <v>1664</v>
      </c>
      <c r="J711" s="11" t="s">
        <v>749</v>
      </c>
    </row>
    <row r="712" spans="1:10" ht="18" customHeight="1" x14ac:dyDescent="0.25">
      <c r="A712" s="15">
        <f>SUBTOTAL(3,$B$11:B712)</f>
        <v>702</v>
      </c>
      <c r="B712" s="15">
        <v>13899</v>
      </c>
      <c r="C712" s="12" t="s">
        <v>1496</v>
      </c>
      <c r="D712" s="13" t="s">
        <v>9</v>
      </c>
      <c r="E712" s="12">
        <v>5261250</v>
      </c>
      <c r="F712" s="12">
        <v>8618769</v>
      </c>
      <c r="G712" s="14">
        <f t="shared" si="20"/>
        <v>13880019</v>
      </c>
      <c r="H712" s="14">
        <f t="shared" si="21"/>
        <v>533.84688461538462</v>
      </c>
      <c r="I712" s="11" t="s">
        <v>1665</v>
      </c>
      <c r="J712" s="11" t="s">
        <v>749</v>
      </c>
    </row>
    <row r="713" spans="1:10" ht="18" customHeight="1" x14ac:dyDescent="0.25">
      <c r="A713" s="15">
        <f>SUBTOTAL(3,$B$11:B713)</f>
        <v>703</v>
      </c>
      <c r="B713" s="15">
        <v>13900</v>
      </c>
      <c r="C713" s="12" t="s">
        <v>1497</v>
      </c>
      <c r="D713" s="13" t="s">
        <v>27</v>
      </c>
      <c r="E713" s="12">
        <v>4660745</v>
      </c>
      <c r="F713" s="12">
        <v>6062568</v>
      </c>
      <c r="G713" s="14">
        <f t="shared" si="20"/>
        <v>10723313</v>
      </c>
      <c r="H713" s="14">
        <f t="shared" si="21"/>
        <v>412.43511538461536</v>
      </c>
      <c r="I713" s="11" t="s">
        <v>1666</v>
      </c>
      <c r="J713" s="11" t="s">
        <v>750</v>
      </c>
    </row>
    <row r="714" spans="1:10" ht="18" customHeight="1" x14ac:dyDescent="0.25">
      <c r="A714" s="15">
        <f>SUBTOTAL(3,$B$11:B714)</f>
        <v>704</v>
      </c>
      <c r="B714" s="15">
        <v>13910</v>
      </c>
      <c r="C714" s="12" t="s">
        <v>1498</v>
      </c>
      <c r="D714" s="13" t="s">
        <v>13</v>
      </c>
      <c r="E714" s="12">
        <v>2766419</v>
      </c>
      <c r="F714" s="12">
        <v>5914500</v>
      </c>
      <c r="G714" s="14">
        <f t="shared" si="20"/>
        <v>8680919</v>
      </c>
      <c r="H714" s="14">
        <f t="shared" si="21"/>
        <v>333.88150000000002</v>
      </c>
      <c r="I714" s="11" t="s">
        <v>1667</v>
      </c>
      <c r="J714" s="11" t="s">
        <v>696</v>
      </c>
    </row>
    <row r="715" spans="1:10" ht="18" customHeight="1" x14ac:dyDescent="0.25">
      <c r="A715" s="15">
        <f>SUBTOTAL(3,$B$11:B715)</f>
        <v>705</v>
      </c>
      <c r="B715" s="15">
        <v>13922</v>
      </c>
      <c r="C715" s="12" t="s">
        <v>950</v>
      </c>
      <c r="D715" s="13" t="s">
        <v>19</v>
      </c>
      <c r="E715" s="12">
        <v>3528558</v>
      </c>
      <c r="F715" s="12">
        <v>8825077</v>
      </c>
      <c r="G715" s="14">
        <f t="shared" si="20"/>
        <v>12353635</v>
      </c>
      <c r="H715" s="14">
        <f t="shared" si="21"/>
        <v>475.13980769230767</v>
      </c>
      <c r="I715" s="11" t="s">
        <v>1103</v>
      </c>
      <c r="J715" s="11" t="s">
        <v>763</v>
      </c>
    </row>
    <row r="716" spans="1:10" ht="18" customHeight="1" x14ac:dyDescent="0.25">
      <c r="A716" s="15">
        <f>SUBTOTAL(3,$B$11:B716)</f>
        <v>706</v>
      </c>
      <c r="B716" s="15">
        <v>13924</v>
      </c>
      <c r="C716" s="12" t="s">
        <v>1253</v>
      </c>
      <c r="D716" s="13" t="s">
        <v>13</v>
      </c>
      <c r="E716" s="12">
        <v>4551166</v>
      </c>
      <c r="F716" s="12">
        <v>8115642</v>
      </c>
      <c r="G716" s="14">
        <f t="shared" ref="G716:G779" si="22">E716+F716</f>
        <v>12666808</v>
      </c>
      <c r="H716" s="14">
        <f t="shared" ref="H716:H779" si="23">G716/$J$1</f>
        <v>487.1849230769231</v>
      </c>
      <c r="I716" s="11" t="s">
        <v>1406</v>
      </c>
      <c r="J716" s="11" t="s">
        <v>696</v>
      </c>
    </row>
    <row r="717" spans="1:10" ht="18" customHeight="1" x14ac:dyDescent="0.25">
      <c r="A717" s="15">
        <f>SUBTOTAL(3,$B$11:B717)</f>
        <v>707</v>
      </c>
      <c r="B717" s="15">
        <v>13926</v>
      </c>
      <c r="C717" s="12" t="s">
        <v>1499</v>
      </c>
      <c r="D717" s="13" t="s">
        <v>29</v>
      </c>
      <c r="E717" s="12">
        <v>3374459</v>
      </c>
      <c r="F717" s="12">
        <v>6687433</v>
      </c>
      <c r="G717" s="14">
        <f t="shared" si="22"/>
        <v>10061892</v>
      </c>
      <c r="H717" s="14">
        <f t="shared" si="23"/>
        <v>386.99584615384617</v>
      </c>
      <c r="I717" s="11" t="s">
        <v>1668</v>
      </c>
      <c r="J717" s="11" t="s">
        <v>757</v>
      </c>
    </row>
    <row r="718" spans="1:10" ht="18" customHeight="1" x14ac:dyDescent="0.25">
      <c r="A718" s="15">
        <f>SUBTOTAL(3,$B$11:B718)</f>
        <v>708</v>
      </c>
      <c r="B718" s="15">
        <v>13932</v>
      </c>
      <c r="C718" s="12" t="s">
        <v>1500</v>
      </c>
      <c r="D718" s="13" t="s">
        <v>20</v>
      </c>
      <c r="E718" s="12">
        <v>4825385</v>
      </c>
      <c r="F718" s="12">
        <v>8053010</v>
      </c>
      <c r="G718" s="14">
        <f t="shared" si="22"/>
        <v>12878395</v>
      </c>
      <c r="H718" s="14">
        <f t="shared" si="23"/>
        <v>495.32288461538462</v>
      </c>
      <c r="I718" s="11" t="s">
        <v>1669</v>
      </c>
      <c r="J718" s="11" t="s">
        <v>696</v>
      </c>
    </row>
    <row r="719" spans="1:10" ht="18" customHeight="1" x14ac:dyDescent="0.25">
      <c r="A719" s="15">
        <f>SUBTOTAL(3,$B$11:B719)</f>
        <v>709</v>
      </c>
      <c r="B719" s="15">
        <v>13933</v>
      </c>
      <c r="C719" s="12" t="s">
        <v>888</v>
      </c>
      <c r="D719" s="13" t="s">
        <v>20</v>
      </c>
      <c r="E719" s="12">
        <v>3949183</v>
      </c>
      <c r="F719" s="12">
        <v>7753479</v>
      </c>
      <c r="G719" s="14">
        <f t="shared" si="22"/>
        <v>11702662</v>
      </c>
      <c r="H719" s="14">
        <f t="shared" si="23"/>
        <v>450.10238461538461</v>
      </c>
      <c r="I719" s="11" t="s">
        <v>1042</v>
      </c>
      <c r="J719" s="11" t="s">
        <v>763</v>
      </c>
    </row>
    <row r="720" spans="1:10" ht="18" customHeight="1" x14ac:dyDescent="0.25">
      <c r="A720" s="15">
        <f>SUBTOTAL(3,$B$11:B720)</f>
        <v>710</v>
      </c>
      <c r="B720" s="15">
        <v>13935</v>
      </c>
      <c r="C720" s="12" t="s">
        <v>324</v>
      </c>
      <c r="D720" s="13" t="s">
        <v>14</v>
      </c>
      <c r="E720" s="12">
        <v>797602</v>
      </c>
      <c r="F720" s="12">
        <v>0</v>
      </c>
      <c r="G720" s="14">
        <f t="shared" si="22"/>
        <v>797602</v>
      </c>
      <c r="H720" s="14">
        <f t="shared" si="23"/>
        <v>30.677</v>
      </c>
      <c r="I720" s="11" t="s">
        <v>735</v>
      </c>
      <c r="J720" s="11" t="s">
        <v>763</v>
      </c>
    </row>
    <row r="721" spans="1:10" ht="18" customHeight="1" x14ac:dyDescent="0.25">
      <c r="A721" s="15">
        <f>SUBTOTAL(3,$B$11:B721)</f>
        <v>711</v>
      </c>
      <c r="B721" s="15">
        <v>13936</v>
      </c>
      <c r="C721" s="12" t="s">
        <v>1501</v>
      </c>
      <c r="D721" s="13" t="s">
        <v>19</v>
      </c>
      <c r="E721" s="12">
        <v>4604604</v>
      </c>
      <c r="F721" s="12">
        <v>7902678</v>
      </c>
      <c r="G721" s="14">
        <f t="shared" si="22"/>
        <v>12507282</v>
      </c>
      <c r="H721" s="14">
        <f t="shared" si="23"/>
        <v>481.04930769230771</v>
      </c>
      <c r="I721" s="11" t="s">
        <v>1670</v>
      </c>
      <c r="J721" s="11" t="s">
        <v>772</v>
      </c>
    </row>
    <row r="722" spans="1:10" ht="18" customHeight="1" x14ac:dyDescent="0.25">
      <c r="A722" s="15">
        <f>SUBTOTAL(3,$B$11:B722)</f>
        <v>712</v>
      </c>
      <c r="B722" s="15">
        <v>13941</v>
      </c>
      <c r="C722" s="12" t="s">
        <v>1173</v>
      </c>
      <c r="D722" s="13" t="s">
        <v>13</v>
      </c>
      <c r="E722" s="12">
        <v>4783198</v>
      </c>
      <c r="F722" s="12">
        <v>8474885</v>
      </c>
      <c r="G722" s="14">
        <f t="shared" si="22"/>
        <v>13258083</v>
      </c>
      <c r="H722" s="14">
        <f t="shared" si="23"/>
        <v>509.92626923076921</v>
      </c>
      <c r="I722" s="11" t="s">
        <v>1319</v>
      </c>
      <c r="J722" s="11" t="s">
        <v>696</v>
      </c>
    </row>
    <row r="723" spans="1:10" ht="18" customHeight="1" x14ac:dyDescent="0.25">
      <c r="A723" s="15">
        <f>SUBTOTAL(3,$B$11:B723)</f>
        <v>713</v>
      </c>
      <c r="B723" s="15">
        <v>13942</v>
      </c>
      <c r="C723" s="12" t="s">
        <v>1280</v>
      </c>
      <c r="D723" s="13" t="s">
        <v>9</v>
      </c>
      <c r="E723" s="12">
        <v>3954230</v>
      </c>
      <c r="F723" s="12">
        <v>9513721</v>
      </c>
      <c r="G723" s="14">
        <f t="shared" si="22"/>
        <v>13467951</v>
      </c>
      <c r="H723" s="14">
        <f t="shared" si="23"/>
        <v>517.9981153846154</v>
      </c>
      <c r="I723" s="11" t="s">
        <v>1671</v>
      </c>
      <c r="J723" s="11" t="s">
        <v>696</v>
      </c>
    </row>
    <row r="724" spans="1:10" ht="18" customHeight="1" x14ac:dyDescent="0.25">
      <c r="A724" s="15">
        <f>SUBTOTAL(3,$B$11:B724)</f>
        <v>714</v>
      </c>
      <c r="B724" s="15">
        <v>13944</v>
      </c>
      <c r="C724" s="12" t="s">
        <v>1502</v>
      </c>
      <c r="D724" s="13" t="s">
        <v>20</v>
      </c>
      <c r="E724" s="12">
        <v>2180769</v>
      </c>
      <c r="F724" s="12">
        <v>3338827</v>
      </c>
      <c r="G724" s="14">
        <f t="shared" si="22"/>
        <v>5519596</v>
      </c>
      <c r="H724" s="14">
        <f t="shared" si="23"/>
        <v>212.29215384615384</v>
      </c>
      <c r="I724" s="11" t="s">
        <v>1672</v>
      </c>
      <c r="J724" s="11" t="s">
        <v>696</v>
      </c>
    </row>
    <row r="725" spans="1:10" ht="18" customHeight="1" x14ac:dyDescent="0.25">
      <c r="A725" s="15">
        <f>SUBTOTAL(3,$B$11:B725)</f>
        <v>715</v>
      </c>
      <c r="B725" s="15">
        <v>13947</v>
      </c>
      <c r="C725" s="12" t="s">
        <v>1503</v>
      </c>
      <c r="D725" s="13" t="s">
        <v>15</v>
      </c>
      <c r="E725" s="12">
        <v>3432693</v>
      </c>
      <c r="F725" s="12">
        <v>5505641</v>
      </c>
      <c r="G725" s="14">
        <f t="shared" si="22"/>
        <v>8938334</v>
      </c>
      <c r="H725" s="14">
        <f t="shared" si="23"/>
        <v>343.78207692307694</v>
      </c>
      <c r="I725" s="11" t="s">
        <v>1673</v>
      </c>
      <c r="J725" s="11" t="s">
        <v>1674</v>
      </c>
    </row>
    <row r="726" spans="1:10" ht="18" customHeight="1" x14ac:dyDescent="0.25">
      <c r="A726" s="15">
        <f>SUBTOTAL(3,$B$11:B726)</f>
        <v>716</v>
      </c>
      <c r="B726" s="15">
        <v>13964</v>
      </c>
      <c r="C726" s="12" t="s">
        <v>1504</v>
      </c>
      <c r="D726" s="13" t="s">
        <v>18</v>
      </c>
      <c r="E726" s="12">
        <v>5332789</v>
      </c>
      <c r="F726" s="12">
        <v>6330163</v>
      </c>
      <c r="G726" s="14">
        <f t="shared" si="22"/>
        <v>11662952</v>
      </c>
      <c r="H726" s="14">
        <f t="shared" si="23"/>
        <v>448.57507692307695</v>
      </c>
      <c r="I726" s="11" t="s">
        <v>1675</v>
      </c>
      <c r="J726" s="11" t="s">
        <v>725</v>
      </c>
    </row>
    <row r="727" spans="1:10" ht="18" customHeight="1" x14ac:dyDescent="0.25">
      <c r="A727" s="15">
        <f>SUBTOTAL(3,$B$11:B727)</f>
        <v>717</v>
      </c>
      <c r="B727" s="15">
        <v>13981</v>
      </c>
      <c r="C727" s="12" t="s">
        <v>1505</v>
      </c>
      <c r="D727" s="13" t="s">
        <v>14</v>
      </c>
      <c r="E727" s="12">
        <v>4361323</v>
      </c>
      <c r="F727" s="12">
        <v>8453683</v>
      </c>
      <c r="G727" s="14">
        <f t="shared" si="22"/>
        <v>12815006</v>
      </c>
      <c r="H727" s="14">
        <f t="shared" si="23"/>
        <v>492.88484615384613</v>
      </c>
      <c r="I727" s="11" t="s">
        <v>1676</v>
      </c>
      <c r="J727" s="11" t="s">
        <v>725</v>
      </c>
    </row>
    <row r="728" spans="1:10" ht="18" customHeight="1" x14ac:dyDescent="0.25">
      <c r="A728" s="15">
        <f>SUBTOTAL(3,$B$11:B728)</f>
        <v>718</v>
      </c>
      <c r="B728" s="15">
        <v>13984</v>
      </c>
      <c r="C728" s="12" t="s">
        <v>1506</v>
      </c>
      <c r="D728" s="13" t="s">
        <v>14</v>
      </c>
      <c r="E728" s="12">
        <v>4361323</v>
      </c>
      <c r="F728" s="12">
        <v>8474885</v>
      </c>
      <c r="G728" s="14">
        <f t="shared" si="22"/>
        <v>12836208</v>
      </c>
      <c r="H728" s="14">
        <f t="shared" si="23"/>
        <v>493.70030769230772</v>
      </c>
      <c r="I728" s="11" t="s">
        <v>1677</v>
      </c>
      <c r="J728" s="11" t="s">
        <v>757</v>
      </c>
    </row>
    <row r="729" spans="1:10" ht="18" customHeight="1" x14ac:dyDescent="0.25">
      <c r="A729" s="15">
        <f>SUBTOTAL(3,$B$11:B729)</f>
        <v>719</v>
      </c>
      <c r="B729" s="15">
        <v>13985</v>
      </c>
      <c r="C729" s="12" t="s">
        <v>1296</v>
      </c>
      <c r="D729" s="13" t="s">
        <v>14</v>
      </c>
      <c r="E729" s="12">
        <v>3992452</v>
      </c>
      <c r="F729" s="12">
        <v>8474885</v>
      </c>
      <c r="G729" s="14">
        <f t="shared" si="22"/>
        <v>12467337</v>
      </c>
      <c r="H729" s="14">
        <f t="shared" si="23"/>
        <v>479.51296153846152</v>
      </c>
      <c r="I729" s="11" t="s">
        <v>1678</v>
      </c>
      <c r="J729" s="11" t="s">
        <v>757</v>
      </c>
    </row>
    <row r="730" spans="1:10" ht="18" customHeight="1" x14ac:dyDescent="0.25">
      <c r="A730" s="15">
        <f>SUBTOTAL(3,$B$11:B730)</f>
        <v>720</v>
      </c>
      <c r="B730" s="15">
        <v>13990</v>
      </c>
      <c r="C730" s="12" t="s">
        <v>1507</v>
      </c>
      <c r="D730" s="13" t="s">
        <v>11</v>
      </c>
      <c r="E730" s="12">
        <v>4786635</v>
      </c>
      <c r="F730" s="12">
        <v>5799394</v>
      </c>
      <c r="G730" s="14">
        <f t="shared" si="22"/>
        <v>10586029</v>
      </c>
      <c r="H730" s="14">
        <f t="shared" si="23"/>
        <v>407.15496153846152</v>
      </c>
      <c r="I730" s="11" t="s">
        <v>1679</v>
      </c>
      <c r="J730" s="11" t="s">
        <v>772</v>
      </c>
    </row>
    <row r="731" spans="1:10" ht="18" customHeight="1" x14ac:dyDescent="0.25">
      <c r="A731" s="15">
        <f>SUBTOTAL(3,$B$11:B731)</f>
        <v>721</v>
      </c>
      <c r="B731" s="15">
        <v>13994</v>
      </c>
      <c r="C731" s="12" t="s">
        <v>1508</v>
      </c>
      <c r="D731" s="13" t="s">
        <v>21</v>
      </c>
      <c r="E731" s="12">
        <v>1696154</v>
      </c>
      <c r="F731" s="12">
        <v>0</v>
      </c>
      <c r="G731" s="14">
        <f t="shared" si="22"/>
        <v>1696154</v>
      </c>
      <c r="H731" s="14">
        <f t="shared" si="23"/>
        <v>65.236692307692309</v>
      </c>
      <c r="I731" s="11" t="s">
        <v>1680</v>
      </c>
      <c r="J731" s="11" t="s">
        <v>763</v>
      </c>
    </row>
    <row r="732" spans="1:10" ht="18" customHeight="1" x14ac:dyDescent="0.25">
      <c r="A732" s="15">
        <f>SUBTOTAL(3,$B$11:B732)</f>
        <v>722</v>
      </c>
      <c r="B732" s="15">
        <v>13995</v>
      </c>
      <c r="C732" s="12" t="s">
        <v>1509</v>
      </c>
      <c r="D732" s="13" t="s">
        <v>21</v>
      </c>
      <c r="E732" s="12">
        <v>4466791</v>
      </c>
      <c r="F732" s="12">
        <v>8348323</v>
      </c>
      <c r="G732" s="14">
        <f t="shared" si="22"/>
        <v>12815114</v>
      </c>
      <c r="H732" s="14">
        <f t="shared" si="23"/>
        <v>492.88900000000001</v>
      </c>
      <c r="I732" s="11" t="s">
        <v>1681</v>
      </c>
      <c r="J732" s="11" t="s">
        <v>750</v>
      </c>
    </row>
    <row r="733" spans="1:10" ht="18" customHeight="1" x14ac:dyDescent="0.25">
      <c r="A733" s="15">
        <f>SUBTOTAL(3,$B$11:B733)</f>
        <v>723</v>
      </c>
      <c r="B733" s="15">
        <v>13996</v>
      </c>
      <c r="C733" s="12" t="s">
        <v>1510</v>
      </c>
      <c r="D733" s="13" t="s">
        <v>21</v>
      </c>
      <c r="E733" s="12">
        <v>3543209</v>
      </c>
      <c r="F733" s="12">
        <v>8293803</v>
      </c>
      <c r="G733" s="14">
        <f t="shared" si="22"/>
        <v>11837012</v>
      </c>
      <c r="H733" s="14">
        <f t="shared" si="23"/>
        <v>455.26969230769231</v>
      </c>
      <c r="I733" s="11" t="s">
        <v>1682</v>
      </c>
      <c r="J733" s="11" t="s">
        <v>750</v>
      </c>
    </row>
    <row r="734" spans="1:10" ht="18" customHeight="1" x14ac:dyDescent="0.25">
      <c r="A734" s="15">
        <f>SUBTOTAL(3,$B$11:B734)</f>
        <v>724</v>
      </c>
      <c r="B734" s="15">
        <v>13997</v>
      </c>
      <c r="C734" s="12" t="s">
        <v>1511</v>
      </c>
      <c r="D734" s="13" t="s">
        <v>11</v>
      </c>
      <c r="E734" s="12">
        <v>7907452</v>
      </c>
      <c r="F734" s="12">
        <v>13834641</v>
      </c>
      <c r="G734" s="14">
        <f t="shared" si="22"/>
        <v>21742093</v>
      </c>
      <c r="H734" s="14">
        <f t="shared" si="23"/>
        <v>836.2343461538461</v>
      </c>
      <c r="I734" s="11" t="s">
        <v>1683</v>
      </c>
      <c r="J734" s="11" t="s">
        <v>757</v>
      </c>
    </row>
    <row r="735" spans="1:10" ht="18" customHeight="1" x14ac:dyDescent="0.25">
      <c r="A735" s="15">
        <f>SUBTOTAL(3,$B$11:B735)</f>
        <v>725</v>
      </c>
      <c r="B735" s="15">
        <v>13998</v>
      </c>
      <c r="C735" s="12" t="s">
        <v>1512</v>
      </c>
      <c r="D735" s="13" t="s">
        <v>9</v>
      </c>
      <c r="E735" s="12">
        <v>5261250</v>
      </c>
      <c r="F735" s="12">
        <v>9945692</v>
      </c>
      <c r="G735" s="14">
        <f t="shared" si="22"/>
        <v>15206942</v>
      </c>
      <c r="H735" s="14">
        <f t="shared" si="23"/>
        <v>584.88238461538458</v>
      </c>
      <c r="I735" s="11" t="s">
        <v>1684</v>
      </c>
      <c r="J735" s="11" t="s">
        <v>757</v>
      </c>
    </row>
    <row r="736" spans="1:10" ht="18" customHeight="1" x14ac:dyDescent="0.25">
      <c r="A736" s="15">
        <f>SUBTOTAL(3,$B$11:B736)</f>
        <v>726</v>
      </c>
      <c r="B736" s="15">
        <v>14013</v>
      </c>
      <c r="C736" s="12" t="s">
        <v>1513</v>
      </c>
      <c r="D736" s="13" t="s">
        <v>19</v>
      </c>
      <c r="E736" s="12">
        <v>4561538</v>
      </c>
      <c r="F736" s="12">
        <v>8614961</v>
      </c>
      <c r="G736" s="14">
        <f t="shared" si="22"/>
        <v>13176499</v>
      </c>
      <c r="H736" s="14">
        <f t="shared" si="23"/>
        <v>506.7884230769231</v>
      </c>
      <c r="I736" s="11" t="s">
        <v>1685</v>
      </c>
      <c r="J736" s="11" t="s">
        <v>1129</v>
      </c>
    </row>
    <row r="737" spans="1:10" ht="18" customHeight="1" x14ac:dyDescent="0.25">
      <c r="A737" s="15">
        <f>SUBTOTAL(3,$B$11:B737)</f>
        <v>727</v>
      </c>
      <c r="B737" s="15">
        <v>14015</v>
      </c>
      <c r="C737" s="12" t="s">
        <v>1208</v>
      </c>
      <c r="D737" s="13" t="s">
        <v>11</v>
      </c>
      <c r="E737" s="12">
        <v>4774327</v>
      </c>
      <c r="F737" s="12">
        <v>7566029</v>
      </c>
      <c r="G737" s="14">
        <f t="shared" si="22"/>
        <v>12340356</v>
      </c>
      <c r="H737" s="14">
        <f t="shared" si="23"/>
        <v>474.62907692307692</v>
      </c>
      <c r="I737" s="11" t="s">
        <v>1357</v>
      </c>
      <c r="J737" s="11" t="s">
        <v>757</v>
      </c>
    </row>
    <row r="738" spans="1:10" ht="18" customHeight="1" x14ac:dyDescent="0.25">
      <c r="A738" s="15">
        <f>SUBTOTAL(3,$B$11:B738)</f>
        <v>728</v>
      </c>
      <c r="B738" s="15">
        <v>14016</v>
      </c>
      <c r="C738" s="12" t="s">
        <v>1514</v>
      </c>
      <c r="D738" s="13" t="s">
        <v>8</v>
      </c>
      <c r="E738" s="12">
        <v>5149038</v>
      </c>
      <c r="F738" s="12">
        <v>8777307</v>
      </c>
      <c r="G738" s="14">
        <f t="shared" si="22"/>
        <v>13926345</v>
      </c>
      <c r="H738" s="14">
        <f t="shared" si="23"/>
        <v>535.62865384615384</v>
      </c>
      <c r="I738" s="11" t="s">
        <v>1686</v>
      </c>
      <c r="J738" s="11" t="s">
        <v>696</v>
      </c>
    </row>
    <row r="739" spans="1:10" ht="18" customHeight="1" x14ac:dyDescent="0.25">
      <c r="A739" s="15">
        <f>SUBTOTAL(3,$B$11:B739)</f>
        <v>729</v>
      </c>
      <c r="B739" s="15">
        <v>14021</v>
      </c>
      <c r="C739" s="12" t="s">
        <v>1515</v>
      </c>
      <c r="D739" s="13" t="s">
        <v>19</v>
      </c>
      <c r="E739" s="12">
        <v>4561538</v>
      </c>
      <c r="F739" s="12">
        <v>7470730</v>
      </c>
      <c r="G739" s="14">
        <f t="shared" si="22"/>
        <v>12032268</v>
      </c>
      <c r="H739" s="14">
        <f t="shared" si="23"/>
        <v>462.77953846153844</v>
      </c>
      <c r="I739" s="11" t="s">
        <v>1687</v>
      </c>
      <c r="J739" s="11" t="s">
        <v>750</v>
      </c>
    </row>
    <row r="740" spans="1:10" ht="18" customHeight="1" x14ac:dyDescent="0.25">
      <c r="A740" s="15">
        <f>SUBTOTAL(3,$B$11:B740)</f>
        <v>730</v>
      </c>
      <c r="B740" s="15">
        <v>14022</v>
      </c>
      <c r="C740" s="12" t="s">
        <v>1516</v>
      </c>
      <c r="D740" s="13" t="s">
        <v>1166</v>
      </c>
      <c r="E740" s="12">
        <v>5410456</v>
      </c>
      <c r="F740" s="12">
        <v>9672285</v>
      </c>
      <c r="G740" s="14">
        <f t="shared" si="22"/>
        <v>15082741</v>
      </c>
      <c r="H740" s="14">
        <f t="shared" si="23"/>
        <v>580.1054230769231</v>
      </c>
      <c r="I740" s="11" t="s">
        <v>1688</v>
      </c>
      <c r="J740" s="11" t="s">
        <v>749</v>
      </c>
    </row>
    <row r="741" spans="1:10" ht="18" customHeight="1" x14ac:dyDescent="0.25">
      <c r="A741" s="15">
        <f>SUBTOTAL(3,$B$11:B741)</f>
        <v>731</v>
      </c>
      <c r="B741" s="15">
        <v>14023</v>
      </c>
      <c r="C741" s="12" t="s">
        <v>1517</v>
      </c>
      <c r="D741" s="13" t="s">
        <v>19</v>
      </c>
      <c r="E741" s="12">
        <v>4561538</v>
      </c>
      <c r="F741" s="12">
        <v>8586355</v>
      </c>
      <c r="G741" s="14">
        <f t="shared" si="22"/>
        <v>13147893</v>
      </c>
      <c r="H741" s="14">
        <f t="shared" si="23"/>
        <v>505.6881923076923</v>
      </c>
      <c r="I741" s="11" t="s">
        <v>1689</v>
      </c>
      <c r="J741" s="11" t="s">
        <v>725</v>
      </c>
    </row>
    <row r="742" spans="1:10" ht="18" customHeight="1" x14ac:dyDescent="0.25">
      <c r="A742" s="15">
        <f>SUBTOTAL(3,$B$11:B742)</f>
        <v>732</v>
      </c>
      <c r="B742" s="15">
        <v>14024</v>
      </c>
      <c r="C742" s="12" t="s">
        <v>891</v>
      </c>
      <c r="D742" s="13" t="s">
        <v>19</v>
      </c>
      <c r="E742" s="12">
        <v>4561538</v>
      </c>
      <c r="F742" s="12">
        <v>8592433</v>
      </c>
      <c r="G742" s="14">
        <f t="shared" si="22"/>
        <v>13153971</v>
      </c>
      <c r="H742" s="14">
        <f t="shared" si="23"/>
        <v>505.92196153846152</v>
      </c>
      <c r="I742" s="11" t="s">
        <v>1045</v>
      </c>
      <c r="J742" s="11" t="s">
        <v>763</v>
      </c>
    </row>
    <row r="743" spans="1:10" ht="18" customHeight="1" x14ac:dyDescent="0.25">
      <c r="A743" s="15">
        <f>SUBTOTAL(3,$B$11:B743)</f>
        <v>733</v>
      </c>
      <c r="B743" s="15">
        <v>14036</v>
      </c>
      <c r="C743" s="12" t="s">
        <v>1518</v>
      </c>
      <c r="D743" s="13" t="s">
        <v>9</v>
      </c>
      <c r="E743" s="12">
        <v>5228077</v>
      </c>
      <c r="F743" s="12">
        <v>9066605</v>
      </c>
      <c r="G743" s="14">
        <f t="shared" si="22"/>
        <v>14294682</v>
      </c>
      <c r="H743" s="14">
        <f t="shared" si="23"/>
        <v>549.7954615384615</v>
      </c>
      <c r="I743" s="11" t="s">
        <v>1690</v>
      </c>
      <c r="J743" s="11" t="s">
        <v>750</v>
      </c>
    </row>
    <row r="744" spans="1:10" ht="18" customHeight="1" x14ac:dyDescent="0.25">
      <c r="A744" s="15">
        <f>SUBTOTAL(3,$B$11:B744)</f>
        <v>734</v>
      </c>
      <c r="B744" s="15">
        <v>14042</v>
      </c>
      <c r="C744" s="12" t="s">
        <v>1519</v>
      </c>
      <c r="D744" s="13" t="s">
        <v>9</v>
      </c>
      <c r="E744" s="12">
        <v>4733149</v>
      </c>
      <c r="F744" s="12">
        <v>8775067</v>
      </c>
      <c r="G744" s="14">
        <f t="shared" si="22"/>
        <v>13508216</v>
      </c>
      <c r="H744" s="14">
        <f t="shared" si="23"/>
        <v>519.5467692307692</v>
      </c>
      <c r="I744" s="11" t="s">
        <v>1691</v>
      </c>
      <c r="J744" s="11" t="s">
        <v>750</v>
      </c>
    </row>
    <row r="745" spans="1:10" ht="18" customHeight="1" x14ac:dyDescent="0.25">
      <c r="A745" s="15">
        <f>SUBTOTAL(3,$B$11:B745)</f>
        <v>735</v>
      </c>
      <c r="B745" s="15">
        <v>14043</v>
      </c>
      <c r="C745" s="12" t="s">
        <v>1520</v>
      </c>
      <c r="D745" s="13" t="s">
        <v>9</v>
      </c>
      <c r="E745" s="12">
        <v>4550770</v>
      </c>
      <c r="F745" s="12">
        <v>9223096</v>
      </c>
      <c r="G745" s="14">
        <f t="shared" si="22"/>
        <v>13773866</v>
      </c>
      <c r="H745" s="14">
        <f t="shared" si="23"/>
        <v>529.76407692307691</v>
      </c>
      <c r="I745" s="11" t="s">
        <v>1692</v>
      </c>
      <c r="J745" s="11" t="s">
        <v>750</v>
      </c>
    </row>
    <row r="746" spans="1:10" ht="18" customHeight="1" x14ac:dyDescent="0.25">
      <c r="A746" s="15">
        <f>SUBTOTAL(3,$B$11:B746)</f>
        <v>736</v>
      </c>
      <c r="B746" s="15">
        <v>14044</v>
      </c>
      <c r="C746" s="12" t="s">
        <v>370</v>
      </c>
      <c r="D746" s="13" t="s">
        <v>1008</v>
      </c>
      <c r="E746" s="12">
        <v>4233318</v>
      </c>
      <c r="F746" s="12">
        <v>7958625</v>
      </c>
      <c r="G746" s="14">
        <f t="shared" si="22"/>
        <v>12191943</v>
      </c>
      <c r="H746" s="14">
        <f t="shared" si="23"/>
        <v>468.92088461538464</v>
      </c>
      <c r="I746" s="11" t="s">
        <v>1693</v>
      </c>
      <c r="J746" s="11" t="s">
        <v>750</v>
      </c>
    </row>
    <row r="747" spans="1:10" ht="18" customHeight="1" x14ac:dyDescent="0.25">
      <c r="A747" s="15">
        <f>SUBTOTAL(3,$B$11:B747)</f>
        <v>737</v>
      </c>
      <c r="B747" s="15">
        <v>14045</v>
      </c>
      <c r="C747" s="12" t="s">
        <v>1521</v>
      </c>
      <c r="D747" s="13" t="s">
        <v>14</v>
      </c>
      <c r="E747" s="12">
        <v>8299579</v>
      </c>
      <c r="F747" s="12">
        <v>14315423</v>
      </c>
      <c r="G747" s="14">
        <f t="shared" si="22"/>
        <v>22615002</v>
      </c>
      <c r="H747" s="14">
        <f t="shared" si="23"/>
        <v>869.80776923076928</v>
      </c>
      <c r="I747" s="11" t="s">
        <v>1694</v>
      </c>
      <c r="J747" s="11" t="s">
        <v>696</v>
      </c>
    </row>
    <row r="748" spans="1:10" ht="18" customHeight="1" x14ac:dyDescent="0.25">
      <c r="A748" s="15">
        <f>SUBTOTAL(3,$B$11:B748)</f>
        <v>738</v>
      </c>
      <c r="B748" s="15">
        <v>14048</v>
      </c>
      <c r="C748" s="12" t="s">
        <v>1522</v>
      </c>
      <c r="D748" s="13" t="s">
        <v>20</v>
      </c>
      <c r="E748" s="12">
        <v>4456515</v>
      </c>
      <c r="F748" s="12">
        <v>6290621</v>
      </c>
      <c r="G748" s="14">
        <f t="shared" si="22"/>
        <v>10747136</v>
      </c>
      <c r="H748" s="14">
        <f t="shared" si="23"/>
        <v>413.35138461538463</v>
      </c>
      <c r="I748" s="11" t="s">
        <v>1695</v>
      </c>
      <c r="J748" s="11" t="s">
        <v>696</v>
      </c>
    </row>
    <row r="749" spans="1:10" ht="18" customHeight="1" x14ac:dyDescent="0.25">
      <c r="A749" s="15">
        <f>SUBTOTAL(3,$B$11:B749)</f>
        <v>739</v>
      </c>
      <c r="B749" s="15">
        <v>14050</v>
      </c>
      <c r="C749" s="12" t="s">
        <v>1523</v>
      </c>
      <c r="D749" s="13" t="s">
        <v>1008</v>
      </c>
      <c r="E749" s="12">
        <v>4962692</v>
      </c>
      <c r="F749" s="12">
        <v>8663553</v>
      </c>
      <c r="G749" s="14">
        <f t="shared" si="22"/>
        <v>13626245</v>
      </c>
      <c r="H749" s="14">
        <f t="shared" si="23"/>
        <v>524.08634615384619</v>
      </c>
      <c r="I749" s="11" t="s">
        <v>1696</v>
      </c>
      <c r="J749" s="11" t="s">
        <v>696</v>
      </c>
    </row>
    <row r="750" spans="1:10" ht="18" customHeight="1" x14ac:dyDescent="0.25">
      <c r="A750" s="15">
        <f>SUBTOTAL(3,$B$11:B750)</f>
        <v>740</v>
      </c>
      <c r="B750" s="15">
        <v>14052</v>
      </c>
      <c r="C750" s="12" t="s">
        <v>1524</v>
      </c>
      <c r="D750" s="13" t="s">
        <v>31</v>
      </c>
      <c r="E750" s="12">
        <v>8502404</v>
      </c>
      <c r="F750" s="12">
        <v>12942279</v>
      </c>
      <c r="G750" s="14">
        <f t="shared" si="22"/>
        <v>21444683</v>
      </c>
      <c r="H750" s="14">
        <f t="shared" si="23"/>
        <v>824.79549999999995</v>
      </c>
      <c r="I750" s="11" t="s">
        <v>1697</v>
      </c>
      <c r="J750" s="11" t="s">
        <v>754</v>
      </c>
    </row>
    <row r="751" spans="1:10" ht="18" customHeight="1" x14ac:dyDescent="0.25">
      <c r="A751" s="15">
        <f>SUBTOTAL(3,$B$11:B751)</f>
        <v>741</v>
      </c>
      <c r="B751" s="15">
        <v>14053</v>
      </c>
      <c r="C751" s="12" t="s">
        <v>922</v>
      </c>
      <c r="D751" s="13" t="s">
        <v>9</v>
      </c>
      <c r="E751" s="12">
        <v>5261250</v>
      </c>
      <c r="F751" s="12">
        <v>9917423</v>
      </c>
      <c r="G751" s="14">
        <f t="shared" si="22"/>
        <v>15178673</v>
      </c>
      <c r="H751" s="14">
        <f t="shared" si="23"/>
        <v>583.79511538461543</v>
      </c>
      <c r="I751" s="11" t="s">
        <v>1698</v>
      </c>
      <c r="J751" s="11" t="s">
        <v>696</v>
      </c>
    </row>
    <row r="752" spans="1:10" ht="18" customHeight="1" x14ac:dyDescent="0.25">
      <c r="A752" s="15">
        <f>SUBTOTAL(3,$B$11:B752)</f>
        <v>742</v>
      </c>
      <c r="B752" s="15">
        <v>14054</v>
      </c>
      <c r="C752" s="12" t="s">
        <v>1525</v>
      </c>
      <c r="D752" s="13" t="s">
        <v>8</v>
      </c>
      <c r="E752" s="12">
        <v>4397836</v>
      </c>
      <c r="F752" s="12">
        <v>6866231</v>
      </c>
      <c r="G752" s="14">
        <f t="shared" si="22"/>
        <v>11264067</v>
      </c>
      <c r="H752" s="14">
        <f t="shared" si="23"/>
        <v>433.23334615384613</v>
      </c>
      <c r="I752" s="11" t="s">
        <v>1699</v>
      </c>
      <c r="J752" s="11" t="s">
        <v>696</v>
      </c>
    </row>
    <row r="753" spans="1:10" ht="18" customHeight="1" x14ac:dyDescent="0.25">
      <c r="A753" s="15">
        <f>SUBTOTAL(3,$B$11:B753)</f>
        <v>743</v>
      </c>
      <c r="B753" s="15">
        <v>14055</v>
      </c>
      <c r="C753" s="12" t="s">
        <v>1526</v>
      </c>
      <c r="D753" s="13" t="s">
        <v>9</v>
      </c>
      <c r="E753" s="12">
        <v>9926202</v>
      </c>
      <c r="F753" s="12">
        <v>16959842</v>
      </c>
      <c r="G753" s="14">
        <f t="shared" si="22"/>
        <v>26886044</v>
      </c>
      <c r="H753" s="14">
        <f t="shared" si="23"/>
        <v>1034.0786153846154</v>
      </c>
      <c r="I753" s="11" t="s">
        <v>1700</v>
      </c>
      <c r="J753" s="11" t="s">
        <v>1129</v>
      </c>
    </row>
    <row r="754" spans="1:10" ht="18" customHeight="1" x14ac:dyDescent="0.25">
      <c r="A754" s="15">
        <f>SUBTOTAL(3,$B$11:B754)</f>
        <v>744</v>
      </c>
      <c r="B754" s="15">
        <v>14059</v>
      </c>
      <c r="C754" s="12" t="s">
        <v>1187</v>
      </c>
      <c r="D754" s="13" t="s">
        <v>18</v>
      </c>
      <c r="E754" s="12">
        <v>3558894</v>
      </c>
      <c r="F754" s="12">
        <v>6691760</v>
      </c>
      <c r="G754" s="14">
        <f t="shared" si="22"/>
        <v>10250654</v>
      </c>
      <c r="H754" s="14">
        <f t="shared" si="23"/>
        <v>394.25592307692307</v>
      </c>
      <c r="I754" s="11" t="s">
        <v>1701</v>
      </c>
      <c r="J754" s="11" t="s">
        <v>749</v>
      </c>
    </row>
    <row r="755" spans="1:10" ht="18" customHeight="1" x14ac:dyDescent="0.25">
      <c r="A755" s="15">
        <f>SUBTOTAL(3,$B$11:B755)</f>
        <v>745</v>
      </c>
      <c r="B755" s="15">
        <v>14060</v>
      </c>
      <c r="C755" s="12" t="s">
        <v>309</v>
      </c>
      <c r="D755" s="13" t="s">
        <v>20</v>
      </c>
      <c r="E755" s="12">
        <v>4874496</v>
      </c>
      <c r="F755" s="12">
        <v>7581375</v>
      </c>
      <c r="G755" s="14">
        <f t="shared" si="22"/>
        <v>12455871</v>
      </c>
      <c r="H755" s="14">
        <f t="shared" si="23"/>
        <v>479.07196153846155</v>
      </c>
      <c r="I755" s="11" t="s">
        <v>717</v>
      </c>
      <c r="J755" s="11" t="s">
        <v>696</v>
      </c>
    </row>
    <row r="756" spans="1:10" ht="18" customHeight="1" x14ac:dyDescent="0.25">
      <c r="A756" s="15">
        <f>SUBTOTAL(3,$B$11:B756)</f>
        <v>746</v>
      </c>
      <c r="B756" s="15">
        <v>14062</v>
      </c>
      <c r="C756" s="12" t="s">
        <v>1527</v>
      </c>
      <c r="D756" s="13" t="s">
        <v>18</v>
      </c>
      <c r="E756" s="12">
        <v>3907104</v>
      </c>
      <c r="F756" s="12">
        <v>7088323</v>
      </c>
      <c r="G756" s="14">
        <f t="shared" si="22"/>
        <v>10995427</v>
      </c>
      <c r="H756" s="14">
        <f t="shared" si="23"/>
        <v>422.90103846153846</v>
      </c>
      <c r="I756" s="11" t="s">
        <v>1702</v>
      </c>
      <c r="J756" s="11" t="s">
        <v>749</v>
      </c>
    </row>
    <row r="757" spans="1:10" ht="18" customHeight="1" x14ac:dyDescent="0.25">
      <c r="A757" s="15">
        <f>SUBTOTAL(3,$B$11:B757)</f>
        <v>747</v>
      </c>
      <c r="B757" s="15">
        <v>14073</v>
      </c>
      <c r="C757" s="12" t="s">
        <v>1528</v>
      </c>
      <c r="D757" s="13" t="s">
        <v>14</v>
      </c>
      <c r="E757" s="12">
        <v>4372765</v>
      </c>
      <c r="F757" s="12">
        <v>7708479</v>
      </c>
      <c r="G757" s="14">
        <f t="shared" si="22"/>
        <v>12081244</v>
      </c>
      <c r="H757" s="14">
        <f t="shared" si="23"/>
        <v>464.66323076923078</v>
      </c>
      <c r="I757" s="11" t="s">
        <v>1703</v>
      </c>
      <c r="J757" s="11" t="s">
        <v>696</v>
      </c>
    </row>
    <row r="758" spans="1:10" ht="18" customHeight="1" x14ac:dyDescent="0.25">
      <c r="A758" s="15">
        <f>SUBTOTAL(3,$B$11:B758)</f>
        <v>748</v>
      </c>
      <c r="B758" s="15">
        <v>14074</v>
      </c>
      <c r="C758" s="12" t="s">
        <v>1529</v>
      </c>
      <c r="D758" s="13" t="s">
        <v>19</v>
      </c>
      <c r="E758" s="12">
        <v>4487885</v>
      </c>
      <c r="F758" s="12">
        <v>8614961</v>
      </c>
      <c r="G758" s="14">
        <f t="shared" si="22"/>
        <v>13102846</v>
      </c>
      <c r="H758" s="14">
        <f t="shared" si="23"/>
        <v>503.95561538461538</v>
      </c>
      <c r="I758" s="11" t="s">
        <v>1704</v>
      </c>
      <c r="J758" s="11" t="s">
        <v>749</v>
      </c>
    </row>
    <row r="759" spans="1:10" ht="18" customHeight="1" x14ac:dyDescent="0.25">
      <c r="A759" s="15">
        <f>SUBTOTAL(3,$B$11:B759)</f>
        <v>749</v>
      </c>
      <c r="B759" s="15">
        <v>14075</v>
      </c>
      <c r="C759" s="12" t="s">
        <v>896</v>
      </c>
      <c r="D759" s="13" t="s">
        <v>14</v>
      </c>
      <c r="E759" s="12">
        <v>4476058</v>
      </c>
      <c r="F759" s="12">
        <v>7268323</v>
      </c>
      <c r="G759" s="14">
        <f t="shared" si="22"/>
        <v>11744381</v>
      </c>
      <c r="H759" s="14">
        <f t="shared" si="23"/>
        <v>451.70696153846154</v>
      </c>
      <c r="I759" s="11" t="s">
        <v>1050</v>
      </c>
      <c r="J759" s="11" t="s">
        <v>763</v>
      </c>
    </row>
    <row r="760" spans="1:10" ht="18" customHeight="1" x14ac:dyDescent="0.25">
      <c r="A760" s="15">
        <f>SUBTOTAL(3,$B$11:B760)</f>
        <v>750</v>
      </c>
      <c r="B760" s="15">
        <v>14076</v>
      </c>
      <c r="C760" s="12" t="s">
        <v>906</v>
      </c>
      <c r="D760" s="13" t="s">
        <v>14</v>
      </c>
      <c r="E760" s="12">
        <v>4600457</v>
      </c>
      <c r="F760" s="12">
        <v>7648010</v>
      </c>
      <c r="G760" s="14">
        <f t="shared" si="22"/>
        <v>12248467</v>
      </c>
      <c r="H760" s="14">
        <f t="shared" si="23"/>
        <v>471.09488461538461</v>
      </c>
      <c r="I760" s="11" t="s">
        <v>1705</v>
      </c>
      <c r="J760" s="11" t="s">
        <v>750</v>
      </c>
    </row>
    <row r="761" spans="1:10" ht="18" customHeight="1" x14ac:dyDescent="0.25">
      <c r="A761" s="15">
        <f>SUBTOTAL(3,$B$11:B761)</f>
        <v>751</v>
      </c>
      <c r="B761" s="15">
        <v>14079</v>
      </c>
      <c r="C761" s="12" t="s">
        <v>1530</v>
      </c>
      <c r="D761" s="13" t="s">
        <v>14</v>
      </c>
      <c r="E761" s="12">
        <v>4056490</v>
      </c>
      <c r="F761" s="12">
        <v>4902577</v>
      </c>
      <c r="G761" s="14">
        <f t="shared" si="22"/>
        <v>8959067</v>
      </c>
      <c r="H761" s="14">
        <f t="shared" si="23"/>
        <v>344.5795</v>
      </c>
      <c r="I761" s="11" t="s">
        <v>1706</v>
      </c>
      <c r="J761" s="11" t="s">
        <v>757</v>
      </c>
    </row>
    <row r="762" spans="1:10" ht="18" customHeight="1" x14ac:dyDescent="0.25">
      <c r="A762" s="15">
        <f>SUBTOTAL(3,$B$11:B762)</f>
        <v>752</v>
      </c>
      <c r="B762" s="15">
        <v>14085</v>
      </c>
      <c r="C762" s="12" t="s">
        <v>1531</v>
      </c>
      <c r="D762" s="13" t="s">
        <v>14</v>
      </c>
      <c r="E762" s="12">
        <v>3817053</v>
      </c>
      <c r="F762" s="12">
        <v>7555471</v>
      </c>
      <c r="G762" s="14">
        <f t="shared" si="22"/>
        <v>11372524</v>
      </c>
      <c r="H762" s="14">
        <f t="shared" si="23"/>
        <v>437.4047692307692</v>
      </c>
      <c r="I762" s="11" t="s">
        <v>1707</v>
      </c>
      <c r="J762" s="11" t="s">
        <v>754</v>
      </c>
    </row>
    <row r="763" spans="1:10" ht="18" customHeight="1" x14ac:dyDescent="0.25">
      <c r="A763" s="15">
        <f>SUBTOTAL(3,$B$11:B763)</f>
        <v>753</v>
      </c>
      <c r="B763" s="15">
        <v>14088</v>
      </c>
      <c r="C763" s="12" t="s">
        <v>272</v>
      </c>
      <c r="D763" s="13" t="s">
        <v>12</v>
      </c>
      <c r="E763" s="12">
        <v>3717260</v>
      </c>
      <c r="F763" s="12">
        <v>8593507</v>
      </c>
      <c r="G763" s="14">
        <f t="shared" si="22"/>
        <v>12310767</v>
      </c>
      <c r="H763" s="14">
        <f t="shared" si="23"/>
        <v>473.49103846153844</v>
      </c>
      <c r="I763" s="11" t="s">
        <v>1708</v>
      </c>
      <c r="J763" s="11" t="s">
        <v>696</v>
      </c>
    </row>
    <row r="764" spans="1:10" ht="18" customHeight="1" x14ac:dyDescent="0.25">
      <c r="A764" s="15">
        <f>SUBTOTAL(3,$B$11:B764)</f>
        <v>754</v>
      </c>
      <c r="B764" s="15">
        <v>14089</v>
      </c>
      <c r="C764" s="12" t="s">
        <v>1192</v>
      </c>
      <c r="D764" s="13" t="s">
        <v>14</v>
      </c>
      <c r="E764" s="12">
        <v>4289832</v>
      </c>
      <c r="F764" s="12">
        <v>7708371</v>
      </c>
      <c r="G764" s="14">
        <f t="shared" si="22"/>
        <v>11998203</v>
      </c>
      <c r="H764" s="14">
        <f t="shared" si="23"/>
        <v>461.46934615384617</v>
      </c>
      <c r="I764" s="11" t="s">
        <v>1340</v>
      </c>
      <c r="J764" s="11" t="s">
        <v>750</v>
      </c>
    </row>
    <row r="765" spans="1:10" ht="18" customHeight="1" x14ac:dyDescent="0.25">
      <c r="A765" s="15">
        <f>SUBTOTAL(3,$B$11:B765)</f>
        <v>755</v>
      </c>
      <c r="B765" s="15">
        <v>14092</v>
      </c>
      <c r="C765" s="12" t="s">
        <v>1532</v>
      </c>
      <c r="D765" s="13" t="s">
        <v>19</v>
      </c>
      <c r="E765" s="12">
        <v>3033750</v>
      </c>
      <c r="F765" s="12">
        <v>7962866</v>
      </c>
      <c r="G765" s="14">
        <f t="shared" si="22"/>
        <v>10996616</v>
      </c>
      <c r="H765" s="14">
        <f t="shared" si="23"/>
        <v>422.94676923076923</v>
      </c>
      <c r="I765" s="11" t="s">
        <v>1709</v>
      </c>
      <c r="J765" s="11" t="s">
        <v>696</v>
      </c>
    </row>
    <row r="766" spans="1:10" ht="18" customHeight="1" x14ac:dyDescent="0.25">
      <c r="A766" s="15">
        <f>SUBTOTAL(3,$B$11:B766)</f>
        <v>756</v>
      </c>
      <c r="B766" s="15">
        <v>14096</v>
      </c>
      <c r="C766" s="12" t="s">
        <v>1533</v>
      </c>
      <c r="D766" s="13" t="s">
        <v>20</v>
      </c>
      <c r="E766" s="12">
        <v>6892308</v>
      </c>
      <c r="F766" s="12">
        <v>10324747</v>
      </c>
      <c r="G766" s="14">
        <f t="shared" si="22"/>
        <v>17217055</v>
      </c>
      <c r="H766" s="14">
        <f t="shared" si="23"/>
        <v>662.19442307692304</v>
      </c>
      <c r="I766" s="11" t="s">
        <v>1710</v>
      </c>
      <c r="J766" s="11" t="s">
        <v>696</v>
      </c>
    </row>
    <row r="767" spans="1:10" ht="18" customHeight="1" x14ac:dyDescent="0.25">
      <c r="A767" s="15">
        <f>SUBTOTAL(3,$B$11:B767)</f>
        <v>757</v>
      </c>
      <c r="B767" s="15">
        <v>14098</v>
      </c>
      <c r="C767" s="12" t="s">
        <v>1534</v>
      </c>
      <c r="D767" s="13" t="s">
        <v>27</v>
      </c>
      <c r="E767" s="12">
        <v>7849039</v>
      </c>
      <c r="F767" s="12">
        <v>12348033</v>
      </c>
      <c r="G767" s="14">
        <f t="shared" si="22"/>
        <v>20197072</v>
      </c>
      <c r="H767" s="14">
        <f t="shared" si="23"/>
        <v>776.81046153846148</v>
      </c>
      <c r="I767" s="11" t="s">
        <v>1711</v>
      </c>
      <c r="J767" s="11" t="s">
        <v>696</v>
      </c>
    </row>
    <row r="768" spans="1:10" ht="18" customHeight="1" x14ac:dyDescent="0.25">
      <c r="A768" s="15">
        <f>SUBTOTAL(3,$B$11:B768)</f>
        <v>758</v>
      </c>
      <c r="B768" s="15">
        <v>14099</v>
      </c>
      <c r="C768" s="12" t="s">
        <v>1535</v>
      </c>
      <c r="D768" s="13" t="s">
        <v>11</v>
      </c>
      <c r="E768" s="12">
        <v>5448461</v>
      </c>
      <c r="F768" s="12">
        <v>9822847</v>
      </c>
      <c r="G768" s="14">
        <f t="shared" si="22"/>
        <v>15271308</v>
      </c>
      <c r="H768" s="14">
        <f t="shared" si="23"/>
        <v>587.35799999999995</v>
      </c>
      <c r="I768" s="11" t="s">
        <v>1712</v>
      </c>
      <c r="J768" s="11" t="s">
        <v>696</v>
      </c>
    </row>
    <row r="769" spans="1:10" ht="18" customHeight="1" x14ac:dyDescent="0.25">
      <c r="A769" s="15">
        <f>SUBTOTAL(3,$B$11:B769)</f>
        <v>759</v>
      </c>
      <c r="B769" s="15">
        <v>14104</v>
      </c>
      <c r="C769" s="12" t="s">
        <v>1536</v>
      </c>
      <c r="D769" s="13" t="s">
        <v>9</v>
      </c>
      <c r="E769" s="12">
        <v>4563942</v>
      </c>
      <c r="F769" s="12">
        <v>7599057</v>
      </c>
      <c r="G769" s="14">
        <f t="shared" si="22"/>
        <v>12162999</v>
      </c>
      <c r="H769" s="14">
        <f t="shared" si="23"/>
        <v>467.80765384615387</v>
      </c>
      <c r="I769" s="11" t="s">
        <v>1713</v>
      </c>
      <c r="J769" s="11" t="s">
        <v>1156</v>
      </c>
    </row>
    <row r="770" spans="1:10" ht="18" customHeight="1" x14ac:dyDescent="0.25">
      <c r="A770" s="15">
        <f>SUBTOTAL(3,$B$11:B770)</f>
        <v>760</v>
      </c>
      <c r="B770" s="15">
        <v>14105</v>
      </c>
      <c r="C770" s="12" t="s">
        <v>1537</v>
      </c>
      <c r="D770" s="13" t="s">
        <v>9</v>
      </c>
      <c r="E770" s="12">
        <v>5410673</v>
      </c>
      <c r="F770" s="12">
        <v>7256221</v>
      </c>
      <c r="G770" s="14">
        <f t="shared" si="22"/>
        <v>12666894</v>
      </c>
      <c r="H770" s="14">
        <f t="shared" si="23"/>
        <v>487.18823076923076</v>
      </c>
      <c r="I770" s="11" t="s">
        <v>1714</v>
      </c>
      <c r="J770" s="11" t="s">
        <v>725</v>
      </c>
    </row>
    <row r="771" spans="1:10" ht="18" customHeight="1" x14ac:dyDescent="0.25">
      <c r="A771" s="15">
        <f>SUBTOTAL(3,$B$11:B771)</f>
        <v>761</v>
      </c>
      <c r="B771" s="15">
        <v>14113</v>
      </c>
      <c r="C771" s="12" t="s">
        <v>1538</v>
      </c>
      <c r="D771" s="13" t="s">
        <v>22</v>
      </c>
      <c r="E771" s="12">
        <v>3729808</v>
      </c>
      <c r="F771" s="12">
        <v>5429770</v>
      </c>
      <c r="G771" s="14">
        <f t="shared" si="22"/>
        <v>9159578</v>
      </c>
      <c r="H771" s="14">
        <f t="shared" si="23"/>
        <v>352.29146153846153</v>
      </c>
      <c r="I771" s="11" t="s">
        <v>1715</v>
      </c>
      <c r="J771" s="11" t="s">
        <v>749</v>
      </c>
    </row>
    <row r="772" spans="1:10" ht="18" customHeight="1" x14ac:dyDescent="0.25">
      <c r="A772" s="15">
        <f>SUBTOTAL(3,$B$11:B772)</f>
        <v>762</v>
      </c>
      <c r="B772" s="15">
        <v>14116</v>
      </c>
      <c r="C772" s="12" t="s">
        <v>1539</v>
      </c>
      <c r="D772" s="13" t="s">
        <v>13</v>
      </c>
      <c r="E772" s="12">
        <v>4704123</v>
      </c>
      <c r="F772" s="12">
        <v>7619885</v>
      </c>
      <c r="G772" s="14">
        <f t="shared" si="22"/>
        <v>12324008</v>
      </c>
      <c r="H772" s="14">
        <f t="shared" si="23"/>
        <v>474.00030769230767</v>
      </c>
      <c r="I772" s="11" t="s">
        <v>1716</v>
      </c>
      <c r="J772" s="11" t="s">
        <v>749</v>
      </c>
    </row>
    <row r="773" spans="1:10" ht="18" customHeight="1" x14ac:dyDescent="0.25">
      <c r="A773" s="15">
        <f>SUBTOTAL(3,$B$11:B773)</f>
        <v>763</v>
      </c>
      <c r="B773" s="15">
        <v>14119</v>
      </c>
      <c r="C773" s="12" t="s">
        <v>935</v>
      </c>
      <c r="D773" s="13" t="s">
        <v>9</v>
      </c>
      <c r="E773" s="12">
        <v>5187596</v>
      </c>
      <c r="F773" s="12">
        <v>9945692</v>
      </c>
      <c r="G773" s="14">
        <f t="shared" si="22"/>
        <v>15133288</v>
      </c>
      <c r="H773" s="14">
        <f t="shared" si="23"/>
        <v>582.04953846153842</v>
      </c>
      <c r="I773" s="11" t="s">
        <v>1087</v>
      </c>
      <c r="J773" s="11" t="s">
        <v>763</v>
      </c>
    </row>
    <row r="774" spans="1:10" ht="18" customHeight="1" x14ac:dyDescent="0.25">
      <c r="A774" s="15">
        <f>SUBTOTAL(3,$B$11:B774)</f>
        <v>764</v>
      </c>
      <c r="B774" s="15">
        <v>14121</v>
      </c>
      <c r="C774" s="12" t="s">
        <v>246</v>
      </c>
      <c r="D774" s="13" t="s">
        <v>13</v>
      </c>
      <c r="E774" s="12">
        <v>3646382</v>
      </c>
      <c r="F774" s="12">
        <v>8162928</v>
      </c>
      <c r="G774" s="14">
        <f t="shared" si="22"/>
        <v>11809310</v>
      </c>
      <c r="H774" s="14">
        <f t="shared" si="23"/>
        <v>454.20423076923078</v>
      </c>
      <c r="I774" s="11" t="s">
        <v>1423</v>
      </c>
      <c r="J774" s="11" t="s">
        <v>696</v>
      </c>
    </row>
    <row r="775" spans="1:10" ht="18" customHeight="1" x14ac:dyDescent="0.25">
      <c r="A775" s="15">
        <f>SUBTOTAL(3,$B$11:B775)</f>
        <v>765</v>
      </c>
      <c r="B775" s="15">
        <v>14131</v>
      </c>
      <c r="C775" s="12" t="s">
        <v>1540</v>
      </c>
      <c r="D775" s="13" t="s">
        <v>18</v>
      </c>
      <c r="E775" s="12">
        <v>4009243</v>
      </c>
      <c r="F775" s="12">
        <v>7012925</v>
      </c>
      <c r="G775" s="14">
        <f t="shared" si="22"/>
        <v>11022168</v>
      </c>
      <c r="H775" s="14">
        <f t="shared" si="23"/>
        <v>423.92953846153847</v>
      </c>
      <c r="I775" s="11" t="s">
        <v>1717</v>
      </c>
      <c r="J775" s="11" t="s">
        <v>750</v>
      </c>
    </row>
    <row r="776" spans="1:10" ht="18" customHeight="1" x14ac:dyDescent="0.25">
      <c r="A776" s="15">
        <f>SUBTOTAL(3,$B$11:B776)</f>
        <v>766</v>
      </c>
      <c r="B776" s="15">
        <v>14133</v>
      </c>
      <c r="C776" s="12" t="s">
        <v>1541</v>
      </c>
      <c r="D776" s="13" t="s">
        <v>20</v>
      </c>
      <c r="E776" s="12">
        <v>2387500</v>
      </c>
      <c r="F776" s="12">
        <v>595385</v>
      </c>
      <c r="G776" s="14">
        <f t="shared" si="22"/>
        <v>2982885</v>
      </c>
      <c r="H776" s="14">
        <f t="shared" si="23"/>
        <v>114.72634615384615</v>
      </c>
      <c r="I776" s="11" t="s">
        <v>1718</v>
      </c>
      <c r="J776" s="11" t="s">
        <v>696</v>
      </c>
    </row>
    <row r="777" spans="1:10" ht="18" customHeight="1" x14ac:dyDescent="0.25">
      <c r="A777" s="15">
        <f>SUBTOTAL(3,$B$11:B777)</f>
        <v>767</v>
      </c>
      <c r="B777" s="15">
        <v>14137</v>
      </c>
      <c r="C777" s="12" t="s">
        <v>1542</v>
      </c>
      <c r="D777" s="13" t="s">
        <v>16</v>
      </c>
      <c r="E777" s="12">
        <v>3988510</v>
      </c>
      <c r="F777" s="12">
        <v>8139115</v>
      </c>
      <c r="G777" s="14">
        <f t="shared" si="22"/>
        <v>12127625</v>
      </c>
      <c r="H777" s="14">
        <f t="shared" si="23"/>
        <v>466.44711538461536</v>
      </c>
      <c r="I777" s="11" t="s">
        <v>1719</v>
      </c>
      <c r="J777" s="11" t="s">
        <v>757</v>
      </c>
    </row>
    <row r="778" spans="1:10" ht="18" customHeight="1" x14ac:dyDescent="0.25">
      <c r="A778" s="15">
        <f>SUBTOTAL(3,$B$11:B778)</f>
        <v>768</v>
      </c>
      <c r="B778" s="15">
        <v>14143</v>
      </c>
      <c r="C778" s="12" t="s">
        <v>1283</v>
      </c>
      <c r="D778" s="13" t="s">
        <v>13</v>
      </c>
      <c r="E778" s="12">
        <v>4096322</v>
      </c>
      <c r="F778" s="12">
        <v>8299104</v>
      </c>
      <c r="G778" s="14">
        <f t="shared" si="22"/>
        <v>12395426</v>
      </c>
      <c r="H778" s="14">
        <f t="shared" si="23"/>
        <v>476.74715384615382</v>
      </c>
      <c r="I778" s="11" t="s">
        <v>1439</v>
      </c>
      <c r="J778" s="11" t="s">
        <v>757</v>
      </c>
    </row>
    <row r="779" spans="1:10" ht="18" customHeight="1" x14ac:dyDescent="0.25">
      <c r="A779" s="15">
        <f>SUBTOTAL(3,$B$11:B779)</f>
        <v>769</v>
      </c>
      <c r="B779" s="15">
        <v>14144</v>
      </c>
      <c r="C779" s="12" t="s">
        <v>1282</v>
      </c>
      <c r="D779" s="13" t="s">
        <v>13</v>
      </c>
      <c r="E779" s="12">
        <v>4600829</v>
      </c>
      <c r="F779" s="12">
        <v>8383479</v>
      </c>
      <c r="G779" s="14">
        <f t="shared" si="22"/>
        <v>12984308</v>
      </c>
      <c r="H779" s="14">
        <f t="shared" si="23"/>
        <v>499.39646153846155</v>
      </c>
      <c r="I779" s="11" t="s">
        <v>1720</v>
      </c>
      <c r="J779" s="11" t="s">
        <v>757</v>
      </c>
    </row>
    <row r="780" spans="1:10" ht="18" customHeight="1" x14ac:dyDescent="0.25">
      <c r="A780" s="15">
        <f>SUBTOTAL(3,$B$11:B780)</f>
        <v>770</v>
      </c>
      <c r="B780" s="15">
        <v>14147</v>
      </c>
      <c r="C780" s="12" t="s">
        <v>900</v>
      </c>
      <c r="D780" s="13" t="s">
        <v>1626</v>
      </c>
      <c r="E780" s="12">
        <v>4351659</v>
      </c>
      <c r="F780" s="12">
        <v>6844933</v>
      </c>
      <c r="G780" s="14">
        <f t="shared" ref="G780:G843" si="24">E780+F780</f>
        <v>11196592</v>
      </c>
      <c r="H780" s="14">
        <f t="shared" ref="H780:H843" si="25">G780/$J$1</f>
        <v>430.63815384615384</v>
      </c>
      <c r="I780" s="11" t="s">
        <v>1054</v>
      </c>
      <c r="J780" s="11" t="s">
        <v>763</v>
      </c>
    </row>
    <row r="781" spans="1:10" ht="18" customHeight="1" x14ac:dyDescent="0.25">
      <c r="A781" s="15">
        <f>SUBTOTAL(3,$B$11:B781)</f>
        <v>771</v>
      </c>
      <c r="B781" s="15">
        <v>14148</v>
      </c>
      <c r="C781" s="12" t="s">
        <v>1543</v>
      </c>
      <c r="D781" s="13" t="s">
        <v>20</v>
      </c>
      <c r="E781" s="12">
        <v>4745962</v>
      </c>
      <c r="F781" s="12">
        <v>8156755</v>
      </c>
      <c r="G781" s="14">
        <f t="shared" si="24"/>
        <v>12902717</v>
      </c>
      <c r="H781" s="14">
        <f t="shared" si="25"/>
        <v>496.25834615384616</v>
      </c>
      <c r="I781" s="11" t="s">
        <v>1721</v>
      </c>
      <c r="J781" s="11" t="s">
        <v>696</v>
      </c>
    </row>
    <row r="782" spans="1:10" ht="18" customHeight="1" x14ac:dyDescent="0.25">
      <c r="A782" s="15">
        <f>SUBTOTAL(3,$B$11:B782)</f>
        <v>772</v>
      </c>
      <c r="B782" s="15">
        <v>14162</v>
      </c>
      <c r="C782" s="12" t="s">
        <v>1544</v>
      </c>
      <c r="D782" s="13" t="s">
        <v>1627</v>
      </c>
      <c r="E782" s="12">
        <v>8600000</v>
      </c>
      <c r="F782" s="12">
        <v>11304625</v>
      </c>
      <c r="G782" s="14">
        <f t="shared" si="24"/>
        <v>19904625</v>
      </c>
      <c r="H782" s="14">
        <f t="shared" si="25"/>
        <v>765.5625</v>
      </c>
      <c r="I782" s="11" t="s">
        <v>1722</v>
      </c>
      <c r="J782" s="11" t="s">
        <v>757</v>
      </c>
    </row>
    <row r="783" spans="1:10" ht="18" customHeight="1" x14ac:dyDescent="0.25">
      <c r="A783" s="15">
        <f>SUBTOTAL(3,$B$11:B783)</f>
        <v>773</v>
      </c>
      <c r="B783" s="15">
        <v>14163</v>
      </c>
      <c r="C783" s="12" t="s">
        <v>1545</v>
      </c>
      <c r="D783" s="13" t="s">
        <v>13</v>
      </c>
      <c r="E783" s="12">
        <v>4559363</v>
      </c>
      <c r="F783" s="12">
        <v>8179135</v>
      </c>
      <c r="G783" s="14">
        <f t="shared" si="24"/>
        <v>12738498</v>
      </c>
      <c r="H783" s="14">
        <f t="shared" si="25"/>
        <v>489.94223076923078</v>
      </c>
      <c r="I783" s="11" t="s">
        <v>1723</v>
      </c>
      <c r="J783" s="11" t="s">
        <v>763</v>
      </c>
    </row>
    <row r="784" spans="1:10" ht="18" customHeight="1" x14ac:dyDescent="0.25">
      <c r="A784" s="15">
        <f>SUBTOTAL(3,$B$11:B784)</f>
        <v>774</v>
      </c>
      <c r="B784" s="15">
        <v>14169</v>
      </c>
      <c r="C784" s="12" t="s">
        <v>931</v>
      </c>
      <c r="D784" s="13" t="s">
        <v>8</v>
      </c>
      <c r="E784" s="12">
        <v>3429087</v>
      </c>
      <c r="F784" s="12">
        <v>4198149</v>
      </c>
      <c r="G784" s="14">
        <f t="shared" si="24"/>
        <v>7627236</v>
      </c>
      <c r="H784" s="14">
        <f t="shared" si="25"/>
        <v>293.35523076923079</v>
      </c>
      <c r="I784" s="11" t="s">
        <v>1724</v>
      </c>
      <c r="J784" s="11" t="s">
        <v>749</v>
      </c>
    </row>
    <row r="785" spans="1:10" ht="18" customHeight="1" x14ac:dyDescent="0.25">
      <c r="A785" s="15">
        <f>SUBTOTAL(3,$B$11:B785)</f>
        <v>775</v>
      </c>
      <c r="B785" s="15">
        <v>14170</v>
      </c>
      <c r="C785" s="12" t="s">
        <v>1546</v>
      </c>
      <c r="D785" s="13" t="s">
        <v>13</v>
      </c>
      <c r="E785" s="12">
        <v>3844038</v>
      </c>
      <c r="F785" s="12">
        <v>6294664</v>
      </c>
      <c r="G785" s="14">
        <f t="shared" si="24"/>
        <v>10138702</v>
      </c>
      <c r="H785" s="14">
        <f t="shared" si="25"/>
        <v>389.95007692307695</v>
      </c>
      <c r="I785" s="11" t="s">
        <v>1725</v>
      </c>
      <c r="J785" s="11" t="s">
        <v>757</v>
      </c>
    </row>
    <row r="786" spans="1:10" ht="18" customHeight="1" x14ac:dyDescent="0.25">
      <c r="A786" s="15">
        <f>SUBTOTAL(3,$B$11:B786)</f>
        <v>776</v>
      </c>
      <c r="B786" s="15">
        <v>14171</v>
      </c>
      <c r="C786" s="12" t="s">
        <v>1547</v>
      </c>
      <c r="D786" s="13" t="s">
        <v>14</v>
      </c>
      <c r="E786" s="12">
        <v>4289832</v>
      </c>
      <c r="F786" s="12">
        <v>8334808</v>
      </c>
      <c r="G786" s="14">
        <f t="shared" si="24"/>
        <v>12624640</v>
      </c>
      <c r="H786" s="14">
        <f t="shared" si="25"/>
        <v>485.56307692307695</v>
      </c>
      <c r="I786" s="11" t="s">
        <v>1726</v>
      </c>
      <c r="J786" s="11" t="s">
        <v>1727</v>
      </c>
    </row>
    <row r="787" spans="1:10" ht="18" customHeight="1" x14ac:dyDescent="0.25">
      <c r="A787" s="15">
        <f>SUBTOTAL(3,$B$11:B787)</f>
        <v>777</v>
      </c>
      <c r="B787" s="15">
        <v>14172</v>
      </c>
      <c r="C787" s="12" t="s">
        <v>1548</v>
      </c>
      <c r="D787" s="13" t="s">
        <v>13</v>
      </c>
      <c r="E787" s="12">
        <v>3822644</v>
      </c>
      <c r="F787" s="12">
        <v>7766231</v>
      </c>
      <c r="G787" s="14">
        <f t="shared" si="24"/>
        <v>11588875</v>
      </c>
      <c r="H787" s="14">
        <f t="shared" si="25"/>
        <v>445.72596153846155</v>
      </c>
      <c r="I787" s="11" t="s">
        <v>1728</v>
      </c>
      <c r="J787" s="11" t="s">
        <v>696</v>
      </c>
    </row>
    <row r="788" spans="1:10" ht="18" customHeight="1" x14ac:dyDescent="0.25">
      <c r="A788" s="15">
        <f>SUBTOTAL(3,$B$11:B788)</f>
        <v>778</v>
      </c>
      <c r="B788" s="15">
        <v>14173</v>
      </c>
      <c r="C788" s="12" t="s">
        <v>1549</v>
      </c>
      <c r="D788" s="13" t="s">
        <v>13</v>
      </c>
      <c r="E788" s="12">
        <v>3967777</v>
      </c>
      <c r="F788" s="12">
        <v>7490673</v>
      </c>
      <c r="G788" s="14">
        <f t="shared" si="24"/>
        <v>11458450</v>
      </c>
      <c r="H788" s="14">
        <f t="shared" si="25"/>
        <v>440.7096153846154</v>
      </c>
      <c r="I788" s="11" t="s">
        <v>1729</v>
      </c>
      <c r="J788" s="11" t="s">
        <v>472</v>
      </c>
    </row>
    <row r="789" spans="1:10" ht="18" customHeight="1" x14ac:dyDescent="0.25">
      <c r="A789" s="15">
        <f>SUBTOTAL(3,$B$11:B789)</f>
        <v>779</v>
      </c>
      <c r="B789" s="15">
        <v>14181</v>
      </c>
      <c r="C789" s="12" t="s">
        <v>1550</v>
      </c>
      <c r="D789" s="13" t="s">
        <v>13</v>
      </c>
      <c r="E789" s="12">
        <v>4580096</v>
      </c>
      <c r="F789" s="12">
        <v>7234387</v>
      </c>
      <c r="G789" s="14">
        <f t="shared" si="24"/>
        <v>11814483</v>
      </c>
      <c r="H789" s="14">
        <f t="shared" si="25"/>
        <v>454.40319230769228</v>
      </c>
      <c r="I789" s="11" t="s">
        <v>1730</v>
      </c>
      <c r="J789" s="11" t="s">
        <v>757</v>
      </c>
    </row>
    <row r="790" spans="1:10" ht="18" customHeight="1" x14ac:dyDescent="0.25">
      <c r="A790" s="15">
        <f>SUBTOTAL(3,$B$11:B790)</f>
        <v>780</v>
      </c>
      <c r="B790" s="15">
        <v>14188</v>
      </c>
      <c r="C790" s="12" t="s">
        <v>1551</v>
      </c>
      <c r="D790" s="13" t="s">
        <v>16</v>
      </c>
      <c r="E790" s="12">
        <v>4178883</v>
      </c>
      <c r="F790" s="12">
        <v>6949267</v>
      </c>
      <c r="G790" s="14">
        <f t="shared" si="24"/>
        <v>11128150</v>
      </c>
      <c r="H790" s="14">
        <f t="shared" si="25"/>
        <v>428.0057692307692</v>
      </c>
      <c r="I790" s="11" t="s">
        <v>1731</v>
      </c>
      <c r="J790" s="11" t="s">
        <v>696</v>
      </c>
    </row>
    <row r="791" spans="1:10" ht="18" customHeight="1" x14ac:dyDescent="0.25">
      <c r="A791" s="15">
        <f>SUBTOTAL(3,$B$11:B791)</f>
        <v>781</v>
      </c>
      <c r="B791" s="15">
        <v>14190</v>
      </c>
      <c r="C791" s="12" t="s">
        <v>1552</v>
      </c>
      <c r="D791" s="13" t="s">
        <v>27</v>
      </c>
      <c r="E791" s="12">
        <v>3947716</v>
      </c>
      <c r="F791" s="12">
        <v>7136995</v>
      </c>
      <c r="G791" s="14">
        <f t="shared" si="24"/>
        <v>11084711</v>
      </c>
      <c r="H791" s="14">
        <f t="shared" si="25"/>
        <v>426.33503846153849</v>
      </c>
      <c r="I791" s="11" t="s">
        <v>1732</v>
      </c>
      <c r="J791" s="11" t="s">
        <v>696</v>
      </c>
    </row>
    <row r="792" spans="1:10" ht="18" customHeight="1" x14ac:dyDescent="0.25">
      <c r="A792" s="15">
        <f>SUBTOTAL(3,$B$11:B792)</f>
        <v>782</v>
      </c>
      <c r="B792" s="15">
        <v>14191</v>
      </c>
      <c r="C792" s="12" t="s">
        <v>1553</v>
      </c>
      <c r="D792" s="13" t="s">
        <v>11</v>
      </c>
      <c r="E792" s="12">
        <v>4667884</v>
      </c>
      <c r="F792" s="12">
        <v>7971601</v>
      </c>
      <c r="G792" s="14">
        <f t="shared" si="24"/>
        <v>12639485</v>
      </c>
      <c r="H792" s="14">
        <f t="shared" si="25"/>
        <v>486.13403846153847</v>
      </c>
      <c r="I792" s="11" t="s">
        <v>1733</v>
      </c>
      <c r="J792" s="11" t="s">
        <v>696</v>
      </c>
    </row>
    <row r="793" spans="1:10" ht="18" customHeight="1" x14ac:dyDescent="0.25">
      <c r="A793" s="15">
        <f>SUBTOTAL(3,$B$11:B793)</f>
        <v>783</v>
      </c>
      <c r="B793" s="15">
        <v>14192</v>
      </c>
      <c r="C793" s="12" t="s">
        <v>1554</v>
      </c>
      <c r="D793" s="13" t="s">
        <v>13</v>
      </c>
      <c r="E793" s="12">
        <v>6510000</v>
      </c>
      <c r="F793" s="12">
        <v>8399529</v>
      </c>
      <c r="G793" s="14">
        <f t="shared" si="24"/>
        <v>14909529</v>
      </c>
      <c r="H793" s="14">
        <f t="shared" si="25"/>
        <v>573.44342307692307</v>
      </c>
      <c r="I793" s="11" t="s">
        <v>1734</v>
      </c>
      <c r="J793" s="11" t="s">
        <v>696</v>
      </c>
    </row>
    <row r="794" spans="1:10" ht="18" customHeight="1" x14ac:dyDescent="0.25">
      <c r="A794" s="15">
        <f>SUBTOTAL(3,$B$11:B794)</f>
        <v>784</v>
      </c>
      <c r="B794" s="15">
        <v>14195</v>
      </c>
      <c r="C794" s="12" t="s">
        <v>1180</v>
      </c>
      <c r="D794" s="13" t="s">
        <v>20</v>
      </c>
      <c r="E794" s="12">
        <v>4745962</v>
      </c>
      <c r="F794" s="12">
        <v>8062164</v>
      </c>
      <c r="G794" s="14">
        <f t="shared" si="24"/>
        <v>12808126</v>
      </c>
      <c r="H794" s="14">
        <f t="shared" si="25"/>
        <v>492.62023076923077</v>
      </c>
      <c r="I794" s="11" t="s">
        <v>1735</v>
      </c>
      <c r="J794" s="11" t="s">
        <v>696</v>
      </c>
    </row>
    <row r="795" spans="1:10" ht="18" customHeight="1" x14ac:dyDescent="0.25">
      <c r="A795" s="15">
        <f>SUBTOTAL(3,$B$11:B795)</f>
        <v>785</v>
      </c>
      <c r="B795" s="15">
        <v>14201</v>
      </c>
      <c r="C795" s="12" t="s">
        <v>1555</v>
      </c>
      <c r="D795" s="13" t="s">
        <v>14</v>
      </c>
      <c r="E795" s="12">
        <v>4804940</v>
      </c>
      <c r="F795" s="12">
        <v>7985946</v>
      </c>
      <c r="G795" s="14">
        <f t="shared" si="24"/>
        <v>12790886</v>
      </c>
      <c r="H795" s="14">
        <f t="shared" si="25"/>
        <v>491.95715384615386</v>
      </c>
      <c r="I795" s="11" t="s">
        <v>1736</v>
      </c>
      <c r="J795" s="11" t="s">
        <v>749</v>
      </c>
    </row>
    <row r="796" spans="1:10" ht="18" customHeight="1" x14ac:dyDescent="0.25">
      <c r="A796" s="15">
        <f>SUBTOTAL(3,$B$11:B796)</f>
        <v>786</v>
      </c>
      <c r="B796" s="15">
        <v>14209</v>
      </c>
      <c r="C796" s="12" t="s">
        <v>1556</v>
      </c>
      <c r="D796" s="13" t="s">
        <v>9</v>
      </c>
      <c r="E796" s="12">
        <v>7419471</v>
      </c>
      <c r="F796" s="12">
        <v>16639500</v>
      </c>
      <c r="G796" s="14">
        <f t="shared" si="24"/>
        <v>24058971</v>
      </c>
      <c r="H796" s="14">
        <f t="shared" si="25"/>
        <v>925.34503846153848</v>
      </c>
      <c r="I796" s="11" t="s">
        <v>1737</v>
      </c>
      <c r="J796" s="11" t="s">
        <v>696</v>
      </c>
    </row>
    <row r="797" spans="1:10" ht="18" customHeight="1" x14ac:dyDescent="0.25">
      <c r="A797" s="15">
        <f>SUBTOTAL(3,$B$11:B797)</f>
        <v>787</v>
      </c>
      <c r="B797" s="15">
        <v>14210</v>
      </c>
      <c r="C797" s="12" t="s">
        <v>1557</v>
      </c>
      <c r="D797" s="13" t="s">
        <v>21</v>
      </c>
      <c r="E797" s="12">
        <v>3411755</v>
      </c>
      <c r="F797" s="12">
        <v>7480601</v>
      </c>
      <c r="G797" s="14">
        <f t="shared" si="24"/>
        <v>10892356</v>
      </c>
      <c r="H797" s="14">
        <f t="shared" si="25"/>
        <v>418.93676923076924</v>
      </c>
      <c r="I797" s="11" t="s">
        <v>1738</v>
      </c>
      <c r="J797" s="11" t="s">
        <v>696</v>
      </c>
    </row>
    <row r="798" spans="1:10" ht="18" customHeight="1" x14ac:dyDescent="0.25">
      <c r="A798" s="15">
        <f>SUBTOTAL(3,$B$11:B798)</f>
        <v>788</v>
      </c>
      <c r="B798" s="15">
        <v>14213</v>
      </c>
      <c r="C798" s="12" t="s">
        <v>1558</v>
      </c>
      <c r="D798" s="13" t="s">
        <v>14</v>
      </c>
      <c r="E798" s="12">
        <v>668798</v>
      </c>
      <c r="F798" s="12">
        <v>7064087</v>
      </c>
      <c r="G798" s="14">
        <f t="shared" si="24"/>
        <v>7732885</v>
      </c>
      <c r="H798" s="14">
        <f t="shared" si="25"/>
        <v>297.41865384615386</v>
      </c>
      <c r="I798" s="11" t="s">
        <v>1739</v>
      </c>
      <c r="J798" s="11" t="s">
        <v>754</v>
      </c>
    </row>
    <row r="799" spans="1:10" ht="18" customHeight="1" x14ac:dyDescent="0.25">
      <c r="A799" s="15">
        <f>SUBTOTAL(3,$B$11:B799)</f>
        <v>789</v>
      </c>
      <c r="B799" s="15">
        <v>14219</v>
      </c>
      <c r="C799" s="12" t="s">
        <v>1559</v>
      </c>
      <c r="D799" s="13" t="s">
        <v>18</v>
      </c>
      <c r="E799" s="12">
        <v>5160072</v>
      </c>
      <c r="F799" s="12">
        <v>7848043</v>
      </c>
      <c r="G799" s="14">
        <f t="shared" si="24"/>
        <v>13008115</v>
      </c>
      <c r="H799" s="14">
        <f t="shared" si="25"/>
        <v>500.31211538461537</v>
      </c>
      <c r="I799" s="11" t="s">
        <v>1740</v>
      </c>
      <c r="J799" s="11" t="s">
        <v>750</v>
      </c>
    </row>
    <row r="800" spans="1:10" ht="18" customHeight="1" x14ac:dyDescent="0.25">
      <c r="A800" s="15">
        <f>SUBTOTAL(3,$B$11:B800)</f>
        <v>790</v>
      </c>
      <c r="B800" s="15">
        <v>14222</v>
      </c>
      <c r="C800" s="12" t="s">
        <v>1560</v>
      </c>
      <c r="D800" s="13" t="s">
        <v>13</v>
      </c>
      <c r="E800" s="12">
        <v>4793967</v>
      </c>
      <c r="F800" s="12">
        <v>7294003</v>
      </c>
      <c r="G800" s="14">
        <f t="shared" si="24"/>
        <v>12087970</v>
      </c>
      <c r="H800" s="14">
        <f t="shared" si="25"/>
        <v>464.92192307692306</v>
      </c>
      <c r="I800" s="11" t="s">
        <v>1741</v>
      </c>
      <c r="J800" s="11" t="s">
        <v>749</v>
      </c>
    </row>
    <row r="801" spans="1:10" ht="18" customHeight="1" x14ac:dyDescent="0.25">
      <c r="A801" s="15">
        <f>SUBTOTAL(3,$B$11:B801)</f>
        <v>791</v>
      </c>
      <c r="B801" s="15">
        <v>14224</v>
      </c>
      <c r="C801" s="12" t="s">
        <v>1561</v>
      </c>
      <c r="D801" s="13" t="s">
        <v>1626</v>
      </c>
      <c r="E801" s="12">
        <v>4393498</v>
      </c>
      <c r="F801" s="12">
        <v>7892404</v>
      </c>
      <c r="G801" s="14">
        <f t="shared" si="24"/>
        <v>12285902</v>
      </c>
      <c r="H801" s="14">
        <f t="shared" si="25"/>
        <v>472.5346923076923</v>
      </c>
      <c r="I801" s="11" t="s">
        <v>1742</v>
      </c>
      <c r="J801" s="11" t="s">
        <v>757</v>
      </c>
    </row>
    <row r="802" spans="1:10" ht="18" customHeight="1" x14ac:dyDescent="0.25">
      <c r="A802" s="15">
        <f>SUBTOTAL(3,$B$11:B802)</f>
        <v>792</v>
      </c>
      <c r="B802" s="15">
        <v>14225</v>
      </c>
      <c r="C802" s="12" t="s">
        <v>1562</v>
      </c>
      <c r="D802" s="13" t="s">
        <v>1626</v>
      </c>
      <c r="E802" s="12">
        <v>4289832</v>
      </c>
      <c r="F802" s="12">
        <v>7323943</v>
      </c>
      <c r="G802" s="14">
        <f t="shared" si="24"/>
        <v>11613775</v>
      </c>
      <c r="H802" s="14">
        <f t="shared" si="25"/>
        <v>446.68365384615385</v>
      </c>
      <c r="I802" s="11" t="s">
        <v>1743</v>
      </c>
      <c r="J802" s="11" t="s">
        <v>725</v>
      </c>
    </row>
    <row r="803" spans="1:10" ht="18" customHeight="1" x14ac:dyDescent="0.25">
      <c r="A803" s="15">
        <f>SUBTOTAL(3,$B$11:B803)</f>
        <v>793</v>
      </c>
      <c r="B803" s="15">
        <v>14229</v>
      </c>
      <c r="C803" s="12" t="s">
        <v>1563</v>
      </c>
      <c r="D803" s="13" t="s">
        <v>9</v>
      </c>
      <c r="E803" s="12">
        <v>5187596</v>
      </c>
      <c r="F803" s="12">
        <v>8645039</v>
      </c>
      <c r="G803" s="14">
        <f t="shared" si="24"/>
        <v>13832635</v>
      </c>
      <c r="H803" s="14">
        <f t="shared" si="25"/>
        <v>532.02442307692309</v>
      </c>
      <c r="I803" s="11" t="s">
        <v>1744</v>
      </c>
      <c r="J803" s="11" t="s">
        <v>772</v>
      </c>
    </row>
    <row r="804" spans="1:10" ht="18" customHeight="1" x14ac:dyDescent="0.25">
      <c r="A804" s="15">
        <f>SUBTOTAL(3,$B$11:B804)</f>
        <v>794</v>
      </c>
      <c r="B804" s="15">
        <v>14231</v>
      </c>
      <c r="C804" s="12" t="s">
        <v>1564</v>
      </c>
      <c r="D804" s="13" t="s">
        <v>1628</v>
      </c>
      <c r="E804" s="12">
        <v>4310565</v>
      </c>
      <c r="F804" s="12">
        <v>7501334</v>
      </c>
      <c r="G804" s="14">
        <f t="shared" si="24"/>
        <v>11811899</v>
      </c>
      <c r="H804" s="14">
        <f t="shared" si="25"/>
        <v>454.30380769230771</v>
      </c>
      <c r="I804" s="11" t="s">
        <v>1745</v>
      </c>
      <c r="J804" s="11" t="s">
        <v>757</v>
      </c>
    </row>
    <row r="805" spans="1:10" ht="18" customHeight="1" x14ac:dyDescent="0.25">
      <c r="A805" s="15">
        <f>SUBTOTAL(3,$B$11:B805)</f>
        <v>795</v>
      </c>
      <c r="B805" s="15">
        <v>14235</v>
      </c>
      <c r="C805" s="12" t="s">
        <v>1565</v>
      </c>
      <c r="D805" s="13" t="s">
        <v>9</v>
      </c>
      <c r="E805" s="12">
        <v>10668269</v>
      </c>
      <c r="F805" s="12">
        <v>12292197</v>
      </c>
      <c r="G805" s="14">
        <f t="shared" si="24"/>
        <v>22960466</v>
      </c>
      <c r="H805" s="14">
        <f t="shared" si="25"/>
        <v>883.09484615384611</v>
      </c>
      <c r="I805" s="11" t="s">
        <v>1746</v>
      </c>
      <c r="J805" s="11" t="s">
        <v>696</v>
      </c>
    </row>
    <row r="806" spans="1:10" ht="18" customHeight="1" x14ac:dyDescent="0.25">
      <c r="A806" s="15">
        <f>SUBTOTAL(3,$B$11:B806)</f>
        <v>796</v>
      </c>
      <c r="B806" s="15">
        <v>14237</v>
      </c>
      <c r="C806" s="12" t="s">
        <v>1566</v>
      </c>
      <c r="D806" s="13" t="s">
        <v>13</v>
      </c>
      <c r="E806" s="12">
        <v>7672741</v>
      </c>
      <c r="F806" s="12">
        <v>12571284</v>
      </c>
      <c r="G806" s="14">
        <f t="shared" si="24"/>
        <v>20244025</v>
      </c>
      <c r="H806" s="14">
        <f t="shared" si="25"/>
        <v>778.61634615384617</v>
      </c>
      <c r="I806" s="11" t="s">
        <v>1747</v>
      </c>
      <c r="J806" s="11" t="s">
        <v>757</v>
      </c>
    </row>
    <row r="807" spans="1:10" ht="18" customHeight="1" x14ac:dyDescent="0.25">
      <c r="A807" s="15">
        <f>SUBTOTAL(3,$B$11:B807)</f>
        <v>797</v>
      </c>
      <c r="B807" s="15">
        <v>14239</v>
      </c>
      <c r="C807" s="12" t="s">
        <v>1567</v>
      </c>
      <c r="D807" s="13" t="s">
        <v>1007</v>
      </c>
      <c r="E807" s="12">
        <v>4451322</v>
      </c>
      <c r="F807" s="12">
        <v>6121370</v>
      </c>
      <c r="G807" s="14">
        <f t="shared" si="24"/>
        <v>10572692</v>
      </c>
      <c r="H807" s="14">
        <f t="shared" si="25"/>
        <v>406.642</v>
      </c>
      <c r="I807" s="11" t="s">
        <v>1748</v>
      </c>
      <c r="J807" s="11" t="s">
        <v>696</v>
      </c>
    </row>
    <row r="808" spans="1:10" ht="18" customHeight="1" x14ac:dyDescent="0.25">
      <c r="A808" s="15">
        <f>SUBTOTAL(3,$B$11:B808)</f>
        <v>798</v>
      </c>
      <c r="B808" s="15">
        <v>14240</v>
      </c>
      <c r="C808" s="12" t="s">
        <v>1568</v>
      </c>
      <c r="D808" s="13" t="s">
        <v>8</v>
      </c>
      <c r="E808" s="12">
        <v>3804086</v>
      </c>
      <c r="F808" s="12">
        <v>7243438</v>
      </c>
      <c r="G808" s="14">
        <f t="shared" si="24"/>
        <v>11047524</v>
      </c>
      <c r="H808" s="14">
        <f t="shared" si="25"/>
        <v>424.9047692307692</v>
      </c>
      <c r="I808" s="11" t="s">
        <v>1749</v>
      </c>
      <c r="J808" s="11" t="s">
        <v>696</v>
      </c>
    </row>
    <row r="809" spans="1:10" ht="18" customHeight="1" x14ac:dyDescent="0.25">
      <c r="A809" s="15">
        <f>SUBTOTAL(3,$B$11:B809)</f>
        <v>799</v>
      </c>
      <c r="B809" s="15">
        <v>14241</v>
      </c>
      <c r="C809" s="12" t="s">
        <v>1569</v>
      </c>
      <c r="D809" s="13" t="s">
        <v>13</v>
      </c>
      <c r="E809" s="12">
        <v>4911455</v>
      </c>
      <c r="F809" s="12">
        <v>7059027</v>
      </c>
      <c r="G809" s="14">
        <f t="shared" si="24"/>
        <v>11970482</v>
      </c>
      <c r="H809" s="14">
        <f t="shared" si="25"/>
        <v>460.40315384615383</v>
      </c>
      <c r="I809" s="11" t="s">
        <v>1750</v>
      </c>
      <c r="J809" s="11" t="s">
        <v>757</v>
      </c>
    </row>
    <row r="810" spans="1:10" ht="18" customHeight="1" x14ac:dyDescent="0.25">
      <c r="A810" s="15">
        <f>SUBTOTAL(3,$B$11:B810)</f>
        <v>800</v>
      </c>
      <c r="B810" s="15">
        <v>14242</v>
      </c>
      <c r="C810" s="12" t="s">
        <v>1570</v>
      </c>
      <c r="D810" s="13" t="s">
        <v>13</v>
      </c>
      <c r="E810" s="12">
        <v>3110433</v>
      </c>
      <c r="F810" s="12">
        <v>5875385</v>
      </c>
      <c r="G810" s="14">
        <f t="shared" si="24"/>
        <v>8985818</v>
      </c>
      <c r="H810" s="14">
        <f t="shared" si="25"/>
        <v>345.60838461538464</v>
      </c>
      <c r="I810" s="11" t="s">
        <v>1751</v>
      </c>
      <c r="J810" s="11" t="s">
        <v>754</v>
      </c>
    </row>
    <row r="811" spans="1:10" ht="18" customHeight="1" x14ac:dyDescent="0.25">
      <c r="A811" s="15">
        <f>SUBTOTAL(3,$B$11:B811)</f>
        <v>801</v>
      </c>
      <c r="B811" s="15">
        <v>14243</v>
      </c>
      <c r="C811" s="12" t="s">
        <v>1571</v>
      </c>
      <c r="D811" s="13" t="s">
        <v>1627</v>
      </c>
      <c r="E811" s="12">
        <v>3750962</v>
      </c>
      <c r="F811" s="12">
        <v>7820375</v>
      </c>
      <c r="G811" s="14">
        <f t="shared" si="24"/>
        <v>11571337</v>
      </c>
      <c r="H811" s="14">
        <f t="shared" si="25"/>
        <v>445.05142307692307</v>
      </c>
      <c r="I811" s="11" t="s">
        <v>1752</v>
      </c>
      <c r="J811" s="11" t="s">
        <v>696</v>
      </c>
    </row>
    <row r="812" spans="1:10" ht="18" customHeight="1" x14ac:dyDescent="0.25">
      <c r="A812" s="15">
        <f>SUBTOTAL(3,$B$11:B812)</f>
        <v>802</v>
      </c>
      <c r="B812" s="15">
        <v>14245</v>
      </c>
      <c r="C812" s="12" t="s">
        <v>1572</v>
      </c>
      <c r="D812" s="13" t="s">
        <v>9</v>
      </c>
      <c r="E812" s="12">
        <v>2090385</v>
      </c>
      <c r="F812" s="12">
        <v>5325255</v>
      </c>
      <c r="G812" s="14">
        <f t="shared" si="24"/>
        <v>7415640</v>
      </c>
      <c r="H812" s="14">
        <f t="shared" si="25"/>
        <v>285.21692307692308</v>
      </c>
      <c r="I812" s="11" t="s">
        <v>1753</v>
      </c>
      <c r="J812" s="11" t="s">
        <v>749</v>
      </c>
    </row>
    <row r="813" spans="1:10" ht="18" customHeight="1" x14ac:dyDescent="0.25">
      <c r="A813" s="15">
        <f>SUBTOTAL(3,$B$11:B813)</f>
        <v>803</v>
      </c>
      <c r="B813" s="15">
        <v>14246</v>
      </c>
      <c r="C813" s="12" t="s">
        <v>1573</v>
      </c>
      <c r="D813" s="13" t="s">
        <v>1628</v>
      </c>
      <c r="E813" s="12">
        <v>1772356</v>
      </c>
      <c r="F813" s="12">
        <v>4809543</v>
      </c>
      <c r="G813" s="14">
        <f t="shared" si="24"/>
        <v>6581899</v>
      </c>
      <c r="H813" s="14">
        <f t="shared" si="25"/>
        <v>253.14996153846153</v>
      </c>
      <c r="I813" s="11" t="s">
        <v>1754</v>
      </c>
      <c r="J813" s="11" t="s">
        <v>750</v>
      </c>
    </row>
    <row r="814" spans="1:10" ht="18" customHeight="1" x14ac:dyDescent="0.25">
      <c r="A814" s="15">
        <f>SUBTOTAL(3,$B$11:B814)</f>
        <v>804</v>
      </c>
      <c r="B814" s="15">
        <v>14249</v>
      </c>
      <c r="C814" s="12" t="s">
        <v>1574</v>
      </c>
      <c r="D814" s="13" t="s">
        <v>14</v>
      </c>
      <c r="E814" s="12">
        <v>3766774</v>
      </c>
      <c r="F814" s="12">
        <v>7070683</v>
      </c>
      <c r="G814" s="14">
        <f t="shared" si="24"/>
        <v>10837457</v>
      </c>
      <c r="H814" s="14">
        <f t="shared" si="25"/>
        <v>416.82526923076921</v>
      </c>
      <c r="I814" s="11" t="s">
        <v>1755</v>
      </c>
      <c r="J814" s="11" t="s">
        <v>754</v>
      </c>
    </row>
    <row r="815" spans="1:10" ht="18" customHeight="1" x14ac:dyDescent="0.25">
      <c r="A815" s="15">
        <f>SUBTOTAL(3,$B$11:B815)</f>
        <v>805</v>
      </c>
      <c r="B815" s="15">
        <v>14252</v>
      </c>
      <c r="C815" s="12" t="s">
        <v>1575</v>
      </c>
      <c r="D815" s="13" t="s">
        <v>9</v>
      </c>
      <c r="E815" s="12">
        <v>10144038</v>
      </c>
      <c r="F815" s="12">
        <v>14742471</v>
      </c>
      <c r="G815" s="14">
        <f t="shared" si="24"/>
        <v>24886509</v>
      </c>
      <c r="H815" s="14">
        <f t="shared" si="25"/>
        <v>957.17342307692309</v>
      </c>
      <c r="I815" s="11" t="s">
        <v>1756</v>
      </c>
      <c r="J815" s="11" t="s">
        <v>696</v>
      </c>
    </row>
    <row r="816" spans="1:10" ht="18" customHeight="1" x14ac:dyDescent="0.25">
      <c r="A816" s="15">
        <f>SUBTOTAL(3,$B$11:B816)</f>
        <v>806</v>
      </c>
      <c r="B816" s="15">
        <v>14253</v>
      </c>
      <c r="C816" s="12" t="s">
        <v>1576</v>
      </c>
      <c r="D816" s="13" t="s">
        <v>1626</v>
      </c>
      <c r="E816" s="12">
        <v>4393498</v>
      </c>
      <c r="F816" s="12">
        <v>7114976</v>
      </c>
      <c r="G816" s="14">
        <f t="shared" si="24"/>
        <v>11508474</v>
      </c>
      <c r="H816" s="14">
        <f t="shared" si="25"/>
        <v>442.63361538461538</v>
      </c>
      <c r="I816" s="11" t="s">
        <v>1757</v>
      </c>
      <c r="J816" s="11" t="s">
        <v>696</v>
      </c>
    </row>
    <row r="817" spans="1:10" ht="18" customHeight="1" x14ac:dyDescent="0.25">
      <c r="A817" s="15">
        <f>SUBTOTAL(3,$B$11:B817)</f>
        <v>807</v>
      </c>
      <c r="B817" s="15">
        <v>14254</v>
      </c>
      <c r="C817" s="12" t="s">
        <v>1577</v>
      </c>
      <c r="D817" s="13" t="s">
        <v>14</v>
      </c>
      <c r="E817" s="12">
        <v>2390145</v>
      </c>
      <c r="F817" s="12">
        <v>5434886</v>
      </c>
      <c r="G817" s="14">
        <f t="shared" si="24"/>
        <v>7825031</v>
      </c>
      <c r="H817" s="14">
        <f t="shared" si="25"/>
        <v>300.96273076923075</v>
      </c>
      <c r="I817" s="11" t="s">
        <v>1758</v>
      </c>
      <c r="J817" s="11" t="s">
        <v>696</v>
      </c>
    </row>
    <row r="818" spans="1:10" ht="18" customHeight="1" x14ac:dyDescent="0.25">
      <c r="A818" s="15">
        <f>SUBTOTAL(3,$B$11:B818)</f>
        <v>808</v>
      </c>
      <c r="B818" s="15">
        <v>14255</v>
      </c>
      <c r="C818" s="12" t="s">
        <v>1578</v>
      </c>
      <c r="D818" s="13" t="s">
        <v>14</v>
      </c>
      <c r="E818" s="12">
        <v>4289832</v>
      </c>
      <c r="F818" s="12">
        <v>8334808</v>
      </c>
      <c r="G818" s="14">
        <f t="shared" si="24"/>
        <v>12624640</v>
      </c>
      <c r="H818" s="14">
        <f t="shared" si="25"/>
        <v>485.56307692307695</v>
      </c>
      <c r="I818" s="11" t="s">
        <v>1759</v>
      </c>
      <c r="J818" s="11" t="s">
        <v>750</v>
      </c>
    </row>
    <row r="819" spans="1:10" ht="18" customHeight="1" x14ac:dyDescent="0.25">
      <c r="A819" s="15">
        <f>SUBTOTAL(3,$B$11:B819)</f>
        <v>809</v>
      </c>
      <c r="B819" s="15">
        <v>14259</v>
      </c>
      <c r="C819" s="12" t="s">
        <v>1579</v>
      </c>
      <c r="D819" s="13" t="s">
        <v>1628</v>
      </c>
      <c r="E819" s="12">
        <v>5721899</v>
      </c>
      <c r="F819" s="12">
        <v>10564193</v>
      </c>
      <c r="G819" s="14">
        <f t="shared" si="24"/>
        <v>16286092</v>
      </c>
      <c r="H819" s="14">
        <f t="shared" si="25"/>
        <v>626.38815384615384</v>
      </c>
      <c r="I819" s="11" t="s">
        <v>1760</v>
      </c>
      <c r="J819" s="11" t="s">
        <v>696</v>
      </c>
    </row>
    <row r="820" spans="1:10" ht="18" customHeight="1" x14ac:dyDescent="0.25">
      <c r="A820" s="15">
        <f>SUBTOTAL(3,$B$11:B820)</f>
        <v>810</v>
      </c>
      <c r="B820" s="15">
        <v>14260</v>
      </c>
      <c r="C820" s="12" t="s">
        <v>1580</v>
      </c>
      <c r="D820" s="13" t="s">
        <v>9</v>
      </c>
      <c r="E820" s="12">
        <v>5187596</v>
      </c>
      <c r="F820" s="12">
        <v>9379654</v>
      </c>
      <c r="G820" s="14">
        <f t="shared" si="24"/>
        <v>14567250</v>
      </c>
      <c r="H820" s="14">
        <f t="shared" si="25"/>
        <v>560.27884615384619</v>
      </c>
      <c r="I820" s="11" t="s">
        <v>1761</v>
      </c>
      <c r="J820" s="11" t="s">
        <v>749</v>
      </c>
    </row>
    <row r="821" spans="1:10" ht="18" customHeight="1" x14ac:dyDescent="0.25">
      <c r="A821" s="15">
        <f>SUBTOTAL(3,$B$11:B821)</f>
        <v>811</v>
      </c>
      <c r="B821" s="15">
        <v>14261</v>
      </c>
      <c r="C821" s="12" t="s">
        <v>1581</v>
      </c>
      <c r="D821" s="13" t="s">
        <v>28</v>
      </c>
      <c r="E821" s="12">
        <v>3535277</v>
      </c>
      <c r="F821" s="12">
        <v>7061046</v>
      </c>
      <c r="G821" s="14">
        <f t="shared" si="24"/>
        <v>10596323</v>
      </c>
      <c r="H821" s="14">
        <f t="shared" si="25"/>
        <v>407.55088461538463</v>
      </c>
      <c r="I821" s="11" t="s">
        <v>1762</v>
      </c>
      <c r="J821" s="11" t="s">
        <v>696</v>
      </c>
    </row>
    <row r="822" spans="1:10" ht="18" customHeight="1" x14ac:dyDescent="0.25">
      <c r="A822" s="15">
        <f>SUBTOTAL(3,$B$11:B822)</f>
        <v>812</v>
      </c>
      <c r="B822" s="15">
        <v>14262</v>
      </c>
      <c r="C822" s="12" t="s">
        <v>1582</v>
      </c>
      <c r="D822" s="13" t="s">
        <v>1626</v>
      </c>
      <c r="E822" s="12">
        <v>4132260</v>
      </c>
      <c r="F822" s="12">
        <v>7981476</v>
      </c>
      <c r="G822" s="14">
        <f t="shared" si="24"/>
        <v>12113736</v>
      </c>
      <c r="H822" s="14">
        <f t="shared" si="25"/>
        <v>465.91292307692305</v>
      </c>
      <c r="I822" s="11" t="s">
        <v>1763</v>
      </c>
      <c r="J822" s="11" t="s">
        <v>750</v>
      </c>
    </row>
    <row r="823" spans="1:10" ht="18" customHeight="1" x14ac:dyDescent="0.25">
      <c r="A823" s="15">
        <f>SUBTOTAL(3,$B$11:B823)</f>
        <v>813</v>
      </c>
      <c r="B823" s="15">
        <v>14266</v>
      </c>
      <c r="C823" s="12" t="s">
        <v>1583</v>
      </c>
      <c r="D823" s="13" t="s">
        <v>13</v>
      </c>
      <c r="E823" s="12">
        <v>3314651</v>
      </c>
      <c r="F823" s="12">
        <v>8355541</v>
      </c>
      <c r="G823" s="14">
        <f t="shared" si="24"/>
        <v>11670192</v>
      </c>
      <c r="H823" s="14">
        <f t="shared" si="25"/>
        <v>448.85353846153845</v>
      </c>
      <c r="I823" s="11" t="s">
        <v>1764</v>
      </c>
      <c r="J823" s="11" t="s">
        <v>757</v>
      </c>
    </row>
    <row r="824" spans="1:10" ht="18" customHeight="1" x14ac:dyDescent="0.25">
      <c r="A824" s="15">
        <f>SUBTOTAL(3,$B$11:B824)</f>
        <v>814</v>
      </c>
      <c r="B824" s="15">
        <v>14267</v>
      </c>
      <c r="C824" s="12" t="s">
        <v>1584</v>
      </c>
      <c r="D824" s="13" t="s">
        <v>1627</v>
      </c>
      <c r="E824" s="12">
        <v>6466971</v>
      </c>
      <c r="F824" s="12">
        <v>11678375</v>
      </c>
      <c r="G824" s="14">
        <f t="shared" si="24"/>
        <v>18145346</v>
      </c>
      <c r="H824" s="14">
        <f t="shared" si="25"/>
        <v>697.89792307692312</v>
      </c>
      <c r="I824" s="11" t="s">
        <v>1765</v>
      </c>
      <c r="J824" s="11" t="s">
        <v>696</v>
      </c>
    </row>
    <row r="825" spans="1:10" ht="18" customHeight="1" x14ac:dyDescent="0.25">
      <c r="A825" s="15">
        <f>SUBTOTAL(3,$B$11:B825)</f>
        <v>815</v>
      </c>
      <c r="B825" s="15">
        <v>14269</v>
      </c>
      <c r="C825" s="12" t="s">
        <v>948</v>
      </c>
      <c r="D825" s="13" t="s">
        <v>1627</v>
      </c>
      <c r="E825" s="12">
        <v>4497031</v>
      </c>
      <c r="F825" s="12">
        <v>7187274</v>
      </c>
      <c r="G825" s="14">
        <f t="shared" si="24"/>
        <v>11684305</v>
      </c>
      <c r="H825" s="14">
        <f t="shared" si="25"/>
        <v>449.39634615384614</v>
      </c>
      <c r="I825" s="11" t="s">
        <v>1101</v>
      </c>
      <c r="J825" s="11" t="s">
        <v>763</v>
      </c>
    </row>
    <row r="826" spans="1:10" ht="18" customHeight="1" x14ac:dyDescent="0.25">
      <c r="A826" s="15">
        <f>SUBTOTAL(3,$B$11:B826)</f>
        <v>816</v>
      </c>
      <c r="B826" s="15">
        <v>14270</v>
      </c>
      <c r="C826" s="12" t="s">
        <v>212</v>
      </c>
      <c r="D826" s="13" t="s">
        <v>30</v>
      </c>
      <c r="E826" s="12">
        <v>3470193</v>
      </c>
      <c r="F826" s="12">
        <v>6102173</v>
      </c>
      <c r="G826" s="14">
        <f t="shared" si="24"/>
        <v>9572366</v>
      </c>
      <c r="H826" s="14">
        <f t="shared" si="25"/>
        <v>368.1679230769231</v>
      </c>
      <c r="I826" s="11" t="s">
        <v>1766</v>
      </c>
      <c r="J826" s="11" t="s">
        <v>754</v>
      </c>
    </row>
    <row r="827" spans="1:10" ht="18" customHeight="1" x14ac:dyDescent="0.25">
      <c r="A827" s="15">
        <f>SUBTOTAL(3,$B$11:B827)</f>
        <v>817</v>
      </c>
      <c r="B827" s="15">
        <v>14271</v>
      </c>
      <c r="C827" s="12" t="s">
        <v>1585</v>
      </c>
      <c r="D827" s="13" t="s">
        <v>32</v>
      </c>
      <c r="E827" s="12">
        <v>4236779</v>
      </c>
      <c r="F827" s="12">
        <v>6587885</v>
      </c>
      <c r="G827" s="14">
        <f t="shared" si="24"/>
        <v>10824664</v>
      </c>
      <c r="H827" s="14">
        <f t="shared" si="25"/>
        <v>416.33323076923079</v>
      </c>
      <c r="I827" s="11" t="s">
        <v>1767</v>
      </c>
      <c r="J827" s="11" t="s">
        <v>696</v>
      </c>
    </row>
    <row r="828" spans="1:10" ht="18" customHeight="1" x14ac:dyDescent="0.25">
      <c r="A828" s="15">
        <f>SUBTOTAL(3,$B$11:B828)</f>
        <v>818</v>
      </c>
      <c r="B828" s="15">
        <v>14276</v>
      </c>
      <c r="C828" s="12" t="s">
        <v>1586</v>
      </c>
      <c r="D828" s="13" t="s">
        <v>14</v>
      </c>
      <c r="E828" s="12">
        <v>4289832</v>
      </c>
      <c r="F828" s="12">
        <v>8334808</v>
      </c>
      <c r="G828" s="14">
        <f t="shared" si="24"/>
        <v>12624640</v>
      </c>
      <c r="H828" s="14">
        <f t="shared" si="25"/>
        <v>485.56307692307695</v>
      </c>
      <c r="I828" s="11" t="s">
        <v>1768</v>
      </c>
      <c r="J828" s="11" t="s">
        <v>772</v>
      </c>
    </row>
    <row r="829" spans="1:10" ht="18" customHeight="1" x14ac:dyDescent="0.25">
      <c r="A829" s="15">
        <f>SUBTOTAL(3,$B$11:B829)</f>
        <v>819</v>
      </c>
      <c r="B829" s="15">
        <v>14277</v>
      </c>
      <c r="C829" s="12" t="s">
        <v>1587</v>
      </c>
      <c r="D829" s="13" t="s">
        <v>14</v>
      </c>
      <c r="E829" s="12">
        <v>4372765</v>
      </c>
      <c r="F829" s="12">
        <v>8994808</v>
      </c>
      <c r="G829" s="14">
        <f t="shared" si="24"/>
        <v>13367573</v>
      </c>
      <c r="H829" s="14">
        <f t="shared" si="25"/>
        <v>514.13742307692303</v>
      </c>
      <c r="I829" s="11" t="s">
        <v>1769</v>
      </c>
      <c r="J829" s="11" t="s">
        <v>750</v>
      </c>
    </row>
    <row r="830" spans="1:10" ht="18" customHeight="1" x14ac:dyDescent="0.25">
      <c r="A830" s="15">
        <f>SUBTOTAL(3,$B$11:B830)</f>
        <v>820</v>
      </c>
      <c r="B830" s="15">
        <v>14283</v>
      </c>
      <c r="C830" s="12" t="s">
        <v>1588</v>
      </c>
      <c r="D830" s="13" t="s">
        <v>1626</v>
      </c>
      <c r="E830" s="12">
        <v>4476058</v>
      </c>
      <c r="F830" s="12">
        <v>6727080</v>
      </c>
      <c r="G830" s="14">
        <f t="shared" si="24"/>
        <v>11203138</v>
      </c>
      <c r="H830" s="14">
        <f t="shared" si="25"/>
        <v>430.88992307692308</v>
      </c>
      <c r="I830" s="11" t="s">
        <v>1770</v>
      </c>
      <c r="J830" s="11" t="s">
        <v>696</v>
      </c>
    </row>
    <row r="831" spans="1:10" ht="18" customHeight="1" x14ac:dyDescent="0.25">
      <c r="A831" s="15">
        <f>SUBTOTAL(3,$B$11:B831)</f>
        <v>821</v>
      </c>
      <c r="B831" s="15">
        <v>14286</v>
      </c>
      <c r="C831" s="12" t="s">
        <v>1589</v>
      </c>
      <c r="D831" s="13" t="s">
        <v>9</v>
      </c>
      <c r="E831" s="12">
        <v>4340866</v>
      </c>
      <c r="F831" s="12">
        <v>9085424</v>
      </c>
      <c r="G831" s="14">
        <f t="shared" si="24"/>
        <v>13426290</v>
      </c>
      <c r="H831" s="14">
        <f t="shared" si="25"/>
        <v>516.39576923076925</v>
      </c>
      <c r="I831" s="11" t="s">
        <v>1771</v>
      </c>
      <c r="J831" s="11" t="s">
        <v>749</v>
      </c>
    </row>
    <row r="832" spans="1:10" ht="18" customHeight="1" x14ac:dyDescent="0.25">
      <c r="A832" s="15">
        <f>SUBTOTAL(3,$B$11:B832)</f>
        <v>822</v>
      </c>
      <c r="B832" s="15">
        <v>14298</v>
      </c>
      <c r="C832" s="12" t="s">
        <v>918</v>
      </c>
      <c r="D832" s="13" t="s">
        <v>1627</v>
      </c>
      <c r="E832" s="12">
        <v>4667308</v>
      </c>
      <c r="F832" s="12">
        <v>8525529</v>
      </c>
      <c r="G832" s="14">
        <f t="shared" si="24"/>
        <v>13192837</v>
      </c>
      <c r="H832" s="14">
        <f t="shared" si="25"/>
        <v>507.41680769230771</v>
      </c>
      <c r="I832" s="11" t="s">
        <v>1071</v>
      </c>
      <c r="J832" s="11" t="s">
        <v>763</v>
      </c>
    </row>
    <row r="833" spans="1:10" ht="18" customHeight="1" x14ac:dyDescent="0.25">
      <c r="A833" s="15">
        <f>SUBTOTAL(3,$B$11:B833)</f>
        <v>823</v>
      </c>
      <c r="B833" s="15">
        <v>14299</v>
      </c>
      <c r="C833" s="12" t="s">
        <v>1590</v>
      </c>
      <c r="D833" s="13" t="s">
        <v>13</v>
      </c>
      <c r="E833" s="12">
        <v>4807789</v>
      </c>
      <c r="F833" s="12">
        <v>7646467</v>
      </c>
      <c r="G833" s="14">
        <f t="shared" si="24"/>
        <v>12454256</v>
      </c>
      <c r="H833" s="14">
        <f t="shared" si="25"/>
        <v>479.00984615384613</v>
      </c>
      <c r="I833" s="11" t="s">
        <v>1772</v>
      </c>
      <c r="J833" s="11" t="s">
        <v>725</v>
      </c>
    </row>
    <row r="834" spans="1:10" ht="18" customHeight="1" x14ac:dyDescent="0.25">
      <c r="A834" s="15">
        <f>SUBTOTAL(3,$B$11:B834)</f>
        <v>824</v>
      </c>
      <c r="B834" s="15">
        <v>14306</v>
      </c>
      <c r="C834" s="12" t="s">
        <v>332</v>
      </c>
      <c r="D834" s="13" t="s">
        <v>14</v>
      </c>
      <c r="E834" s="12">
        <v>4476058</v>
      </c>
      <c r="F834" s="12">
        <v>6655938</v>
      </c>
      <c r="G834" s="14">
        <f t="shared" si="24"/>
        <v>11131996</v>
      </c>
      <c r="H834" s="14">
        <f t="shared" si="25"/>
        <v>428.15369230769232</v>
      </c>
      <c r="I834" s="11" t="s">
        <v>1773</v>
      </c>
      <c r="J834" s="11" t="s">
        <v>696</v>
      </c>
    </row>
    <row r="835" spans="1:10" ht="18" customHeight="1" x14ac:dyDescent="0.25">
      <c r="A835" s="15">
        <f>SUBTOTAL(3,$B$11:B835)</f>
        <v>825</v>
      </c>
      <c r="B835" s="15">
        <v>14314</v>
      </c>
      <c r="C835" s="12" t="s">
        <v>1238</v>
      </c>
      <c r="D835" s="13" t="s">
        <v>9</v>
      </c>
      <c r="E835" s="12">
        <v>3406731</v>
      </c>
      <c r="F835" s="12">
        <v>3143884</v>
      </c>
      <c r="G835" s="14">
        <f t="shared" si="24"/>
        <v>6550615</v>
      </c>
      <c r="H835" s="14">
        <f t="shared" si="25"/>
        <v>251.94673076923078</v>
      </c>
      <c r="I835" s="11" t="s">
        <v>1389</v>
      </c>
      <c r="J835" s="11" t="s">
        <v>696</v>
      </c>
    </row>
    <row r="836" spans="1:10" ht="18" customHeight="1" x14ac:dyDescent="0.25">
      <c r="A836" s="15">
        <f>SUBTOTAL(3,$B$11:B836)</f>
        <v>826</v>
      </c>
      <c r="B836" s="15">
        <v>14315</v>
      </c>
      <c r="C836" s="12" t="s">
        <v>1591</v>
      </c>
      <c r="D836" s="13" t="s">
        <v>1626</v>
      </c>
      <c r="E836" s="12">
        <v>3760073</v>
      </c>
      <c r="F836" s="12">
        <v>5990577</v>
      </c>
      <c r="G836" s="14">
        <f t="shared" si="24"/>
        <v>9750650</v>
      </c>
      <c r="H836" s="14">
        <f t="shared" si="25"/>
        <v>375.02499999999998</v>
      </c>
      <c r="I836" s="11" t="s">
        <v>1774</v>
      </c>
      <c r="J836" s="11" t="s">
        <v>696</v>
      </c>
    </row>
    <row r="837" spans="1:10" ht="18" customHeight="1" x14ac:dyDescent="0.25">
      <c r="A837" s="15">
        <f>SUBTOTAL(3,$B$11:B837)</f>
        <v>827</v>
      </c>
      <c r="B837" s="15">
        <v>14316</v>
      </c>
      <c r="C837" s="12" t="s">
        <v>1592</v>
      </c>
      <c r="D837" s="13" t="s">
        <v>1626</v>
      </c>
      <c r="E837" s="12">
        <v>4476058</v>
      </c>
      <c r="F837" s="12">
        <v>7646466</v>
      </c>
      <c r="G837" s="14">
        <f t="shared" si="24"/>
        <v>12122524</v>
      </c>
      <c r="H837" s="14">
        <f t="shared" si="25"/>
        <v>466.25092307692307</v>
      </c>
      <c r="I837" s="11" t="s">
        <v>1775</v>
      </c>
      <c r="J837" s="11" t="s">
        <v>772</v>
      </c>
    </row>
    <row r="838" spans="1:10" ht="18" customHeight="1" x14ac:dyDescent="0.25">
      <c r="A838" s="15">
        <f>SUBTOTAL(3,$B$11:B838)</f>
        <v>828</v>
      </c>
      <c r="B838" s="15">
        <v>14321</v>
      </c>
      <c r="C838" s="12" t="s">
        <v>1593</v>
      </c>
      <c r="D838" s="13" t="s">
        <v>14</v>
      </c>
      <c r="E838" s="12">
        <v>2475673</v>
      </c>
      <c r="F838" s="12">
        <v>4104453</v>
      </c>
      <c r="G838" s="14">
        <f t="shared" si="24"/>
        <v>6580126</v>
      </c>
      <c r="H838" s="14">
        <f t="shared" si="25"/>
        <v>253.08176923076923</v>
      </c>
      <c r="I838" s="11" t="s">
        <v>1776</v>
      </c>
      <c r="J838" s="11" t="s">
        <v>749</v>
      </c>
    </row>
    <row r="839" spans="1:10" ht="18" customHeight="1" x14ac:dyDescent="0.25">
      <c r="A839" s="15">
        <f>SUBTOTAL(3,$B$11:B839)</f>
        <v>829</v>
      </c>
      <c r="B839" s="15">
        <v>14322</v>
      </c>
      <c r="C839" s="12" t="s">
        <v>1172</v>
      </c>
      <c r="D839" s="13" t="s">
        <v>14</v>
      </c>
      <c r="E839" s="12">
        <v>4600457</v>
      </c>
      <c r="F839" s="12">
        <v>6309831</v>
      </c>
      <c r="G839" s="14">
        <f t="shared" si="24"/>
        <v>10910288</v>
      </c>
      <c r="H839" s="14">
        <f t="shared" si="25"/>
        <v>419.62646153846151</v>
      </c>
      <c r="I839" s="11" t="s">
        <v>1777</v>
      </c>
      <c r="J839" s="11" t="s">
        <v>749</v>
      </c>
    </row>
    <row r="840" spans="1:10" ht="18" customHeight="1" x14ac:dyDescent="0.25">
      <c r="A840" s="15">
        <f>SUBTOTAL(3,$B$11:B840)</f>
        <v>830</v>
      </c>
      <c r="B840" s="15">
        <v>14323</v>
      </c>
      <c r="C840" s="12" t="s">
        <v>1594</v>
      </c>
      <c r="D840" s="13" t="s">
        <v>14</v>
      </c>
      <c r="E840" s="12">
        <v>4600457</v>
      </c>
      <c r="F840" s="12">
        <v>6429904</v>
      </c>
      <c r="G840" s="14">
        <f t="shared" si="24"/>
        <v>11030361</v>
      </c>
      <c r="H840" s="14">
        <f t="shared" si="25"/>
        <v>424.24465384615382</v>
      </c>
      <c r="I840" s="11" t="s">
        <v>1778</v>
      </c>
      <c r="J840" s="11" t="s">
        <v>749</v>
      </c>
    </row>
    <row r="841" spans="1:10" ht="18" customHeight="1" x14ac:dyDescent="0.25">
      <c r="A841" s="15">
        <f>SUBTOTAL(3,$B$11:B841)</f>
        <v>831</v>
      </c>
      <c r="B841" s="15">
        <v>14324</v>
      </c>
      <c r="C841" s="12" t="s">
        <v>1595</v>
      </c>
      <c r="D841" s="13" t="s">
        <v>1627</v>
      </c>
      <c r="E841" s="12">
        <v>8204712</v>
      </c>
      <c r="F841" s="12">
        <v>13524962</v>
      </c>
      <c r="G841" s="14">
        <f t="shared" si="24"/>
        <v>21729674</v>
      </c>
      <c r="H841" s="14">
        <f t="shared" si="25"/>
        <v>835.75669230769233</v>
      </c>
      <c r="I841" s="11" t="s">
        <v>1779</v>
      </c>
      <c r="J841" s="11" t="s">
        <v>763</v>
      </c>
    </row>
    <row r="842" spans="1:10" ht="18" customHeight="1" x14ac:dyDescent="0.25">
      <c r="A842" s="15">
        <f>SUBTOTAL(3,$B$11:B842)</f>
        <v>832</v>
      </c>
      <c r="B842" s="15">
        <v>14325</v>
      </c>
      <c r="C842" s="12" t="s">
        <v>1596</v>
      </c>
      <c r="D842" s="13" t="s">
        <v>14</v>
      </c>
      <c r="E842" s="12">
        <v>4222356</v>
      </c>
      <c r="F842" s="12">
        <v>8210409</v>
      </c>
      <c r="G842" s="14">
        <f t="shared" si="24"/>
        <v>12432765</v>
      </c>
      <c r="H842" s="14">
        <f t="shared" si="25"/>
        <v>478.18326923076921</v>
      </c>
      <c r="I842" s="11" t="s">
        <v>1780</v>
      </c>
      <c r="J842" s="11" t="s">
        <v>750</v>
      </c>
    </row>
    <row r="843" spans="1:10" ht="18" customHeight="1" x14ac:dyDescent="0.25">
      <c r="A843" s="15">
        <f>SUBTOTAL(3,$B$11:B843)</f>
        <v>833</v>
      </c>
      <c r="B843" s="15">
        <v>14327</v>
      </c>
      <c r="C843" s="12" t="s">
        <v>1597</v>
      </c>
      <c r="D843" s="13" t="s">
        <v>14</v>
      </c>
      <c r="E843" s="12">
        <v>0</v>
      </c>
      <c r="F843" s="12">
        <v>7601754</v>
      </c>
      <c r="G843" s="14">
        <f t="shared" si="24"/>
        <v>7601754</v>
      </c>
      <c r="H843" s="14">
        <f t="shared" si="25"/>
        <v>292.37515384615386</v>
      </c>
      <c r="I843" s="11" t="s">
        <v>1781</v>
      </c>
      <c r="J843" s="11" t="s">
        <v>757</v>
      </c>
    </row>
    <row r="844" spans="1:10" ht="18" customHeight="1" x14ac:dyDescent="0.25">
      <c r="A844" s="15">
        <f>SUBTOTAL(3,$B$11:B844)</f>
        <v>834</v>
      </c>
      <c r="B844" s="15">
        <v>14328</v>
      </c>
      <c r="C844" s="12" t="s">
        <v>1598</v>
      </c>
      <c r="D844" s="13" t="s">
        <v>14</v>
      </c>
      <c r="E844" s="12">
        <v>4600457</v>
      </c>
      <c r="F844" s="12">
        <v>7522067</v>
      </c>
      <c r="G844" s="14">
        <f t="shared" ref="G844:G877" si="26">E844+F844</f>
        <v>12122524</v>
      </c>
      <c r="H844" s="14">
        <f t="shared" ref="H844:H877" si="27">G844/$J$1</f>
        <v>466.25092307692307</v>
      </c>
      <c r="I844" s="11" t="s">
        <v>1782</v>
      </c>
      <c r="J844" s="11" t="s">
        <v>757</v>
      </c>
    </row>
    <row r="845" spans="1:10" ht="18" customHeight="1" x14ac:dyDescent="0.25">
      <c r="A845" s="15">
        <f>SUBTOTAL(3,$B$11:B845)</f>
        <v>835</v>
      </c>
      <c r="B845" s="15">
        <v>14329</v>
      </c>
      <c r="C845" s="12" t="s">
        <v>1599</v>
      </c>
      <c r="D845" s="13" t="s">
        <v>14</v>
      </c>
      <c r="E845" s="12">
        <v>4504075</v>
      </c>
      <c r="F845" s="12">
        <v>8210409</v>
      </c>
      <c r="G845" s="14">
        <f t="shared" si="26"/>
        <v>12714484</v>
      </c>
      <c r="H845" s="14">
        <f t="shared" si="27"/>
        <v>489.01861538461537</v>
      </c>
      <c r="I845" s="11" t="s">
        <v>1783</v>
      </c>
      <c r="J845" s="11" t="s">
        <v>757</v>
      </c>
    </row>
    <row r="846" spans="1:10" ht="18" customHeight="1" x14ac:dyDescent="0.25">
      <c r="A846" s="15">
        <f>SUBTOTAL(3,$B$11:B846)</f>
        <v>836</v>
      </c>
      <c r="B846" s="15">
        <v>14331</v>
      </c>
      <c r="C846" s="12" t="s">
        <v>1600</v>
      </c>
      <c r="D846" s="13" t="s">
        <v>14</v>
      </c>
      <c r="E846" s="12">
        <v>4462236</v>
      </c>
      <c r="F846" s="12">
        <v>6843367</v>
      </c>
      <c r="G846" s="14">
        <f t="shared" si="26"/>
        <v>11305603</v>
      </c>
      <c r="H846" s="14">
        <f t="shared" si="27"/>
        <v>434.8308846153846</v>
      </c>
      <c r="I846" s="11" t="s">
        <v>1784</v>
      </c>
      <c r="J846" s="11" t="s">
        <v>772</v>
      </c>
    </row>
    <row r="847" spans="1:10" ht="18" customHeight="1" x14ac:dyDescent="0.25">
      <c r="A847" s="15">
        <f>SUBTOTAL(3,$B$11:B847)</f>
        <v>837</v>
      </c>
      <c r="B847" s="15">
        <v>14332</v>
      </c>
      <c r="C847" s="12" t="s">
        <v>1601</v>
      </c>
      <c r="D847" s="13" t="s">
        <v>1627</v>
      </c>
      <c r="E847" s="12">
        <v>5909519</v>
      </c>
      <c r="F847" s="12">
        <v>8888952</v>
      </c>
      <c r="G847" s="14">
        <f t="shared" si="26"/>
        <v>14798471</v>
      </c>
      <c r="H847" s="14">
        <f t="shared" si="27"/>
        <v>569.17196153846157</v>
      </c>
      <c r="I847" s="11" t="s">
        <v>1785</v>
      </c>
      <c r="J847" s="11" t="s">
        <v>749</v>
      </c>
    </row>
    <row r="848" spans="1:10" ht="18" customHeight="1" x14ac:dyDescent="0.25">
      <c r="A848" s="15">
        <f>SUBTOTAL(3,$B$11:B848)</f>
        <v>838</v>
      </c>
      <c r="B848" s="15">
        <v>14336</v>
      </c>
      <c r="C848" s="12" t="s">
        <v>1602</v>
      </c>
      <c r="D848" s="13" t="s">
        <v>14</v>
      </c>
      <c r="E848" s="12">
        <v>4462236</v>
      </c>
      <c r="F848" s="12">
        <v>2728461</v>
      </c>
      <c r="G848" s="14">
        <f t="shared" si="26"/>
        <v>7190697</v>
      </c>
      <c r="H848" s="14">
        <f t="shared" si="27"/>
        <v>276.56526923076922</v>
      </c>
      <c r="I848" s="11" t="s">
        <v>1786</v>
      </c>
      <c r="J848" s="11" t="s">
        <v>750</v>
      </c>
    </row>
    <row r="849" spans="1:10" ht="18" customHeight="1" x14ac:dyDescent="0.25">
      <c r="A849" s="15">
        <f>SUBTOTAL(3,$B$11:B849)</f>
        <v>839</v>
      </c>
      <c r="B849" s="15">
        <v>14340</v>
      </c>
      <c r="C849" s="12" t="s">
        <v>243</v>
      </c>
      <c r="D849" s="13" t="s">
        <v>19</v>
      </c>
      <c r="E849" s="12">
        <v>3453750</v>
      </c>
      <c r="F849" s="12">
        <v>5644500</v>
      </c>
      <c r="G849" s="14">
        <f t="shared" si="26"/>
        <v>9098250</v>
      </c>
      <c r="H849" s="14">
        <f t="shared" si="27"/>
        <v>349.93269230769232</v>
      </c>
      <c r="I849" s="11" t="s">
        <v>651</v>
      </c>
      <c r="J849" s="11" t="s">
        <v>763</v>
      </c>
    </row>
    <row r="850" spans="1:10" ht="18" customHeight="1" x14ac:dyDescent="0.25">
      <c r="A850" s="15">
        <f>SUBTOTAL(3,$B$11:B850)</f>
        <v>840</v>
      </c>
      <c r="B850" s="15">
        <v>14341</v>
      </c>
      <c r="C850" s="12" t="s">
        <v>1603</v>
      </c>
      <c r="D850" s="13" t="s">
        <v>9</v>
      </c>
      <c r="E850" s="12">
        <v>4508991</v>
      </c>
      <c r="F850" s="12">
        <v>9499245</v>
      </c>
      <c r="G850" s="14">
        <f t="shared" si="26"/>
        <v>14008236</v>
      </c>
      <c r="H850" s="14">
        <f t="shared" si="27"/>
        <v>538.77830769230775</v>
      </c>
      <c r="I850" s="11" t="s">
        <v>1787</v>
      </c>
      <c r="J850" s="11" t="s">
        <v>750</v>
      </c>
    </row>
    <row r="851" spans="1:10" ht="18" customHeight="1" x14ac:dyDescent="0.25">
      <c r="A851" s="15">
        <f>SUBTOTAL(3,$B$11:B851)</f>
        <v>841</v>
      </c>
      <c r="B851" s="15">
        <v>14344</v>
      </c>
      <c r="C851" s="12" t="s">
        <v>1604</v>
      </c>
      <c r="D851" s="13" t="s">
        <v>14</v>
      </c>
      <c r="E851" s="12">
        <v>913155</v>
      </c>
      <c r="F851" s="12">
        <v>0</v>
      </c>
      <c r="G851" s="14">
        <f t="shared" si="26"/>
        <v>913155</v>
      </c>
      <c r="H851" s="14">
        <f t="shared" si="27"/>
        <v>35.121346153846154</v>
      </c>
      <c r="I851" s="11" t="s">
        <v>1788</v>
      </c>
      <c r="J851" s="11" t="s">
        <v>750</v>
      </c>
    </row>
    <row r="852" spans="1:10" ht="18" customHeight="1" x14ac:dyDescent="0.25">
      <c r="A852" s="15">
        <f>SUBTOTAL(3,$B$11:B852)</f>
        <v>842</v>
      </c>
      <c r="B852" s="15">
        <v>14347</v>
      </c>
      <c r="C852" s="12" t="s">
        <v>1605</v>
      </c>
      <c r="D852" s="13" t="s">
        <v>9</v>
      </c>
      <c r="E852" s="12">
        <v>5187596</v>
      </c>
      <c r="F852" s="12">
        <v>7798308</v>
      </c>
      <c r="G852" s="14">
        <f t="shared" si="26"/>
        <v>12985904</v>
      </c>
      <c r="H852" s="14">
        <f t="shared" si="27"/>
        <v>499.45784615384616</v>
      </c>
      <c r="I852" s="11" t="s">
        <v>1789</v>
      </c>
      <c r="J852" s="11" t="s">
        <v>1727</v>
      </c>
    </row>
    <row r="853" spans="1:10" ht="18" customHeight="1" x14ac:dyDescent="0.25">
      <c r="A853" s="15">
        <f>SUBTOTAL(3,$B$11:B853)</f>
        <v>843</v>
      </c>
      <c r="B853" s="15">
        <v>14348</v>
      </c>
      <c r="C853" s="12" t="s">
        <v>1606</v>
      </c>
      <c r="D853" s="13" t="s">
        <v>14</v>
      </c>
      <c r="E853" s="12">
        <v>3995049</v>
      </c>
      <c r="F853" s="12">
        <v>7077909</v>
      </c>
      <c r="G853" s="14">
        <f t="shared" si="26"/>
        <v>11072958</v>
      </c>
      <c r="H853" s="14">
        <f t="shared" si="27"/>
        <v>425.88299999999998</v>
      </c>
      <c r="I853" s="11" t="s">
        <v>1790</v>
      </c>
      <c r="J853" s="11" t="s">
        <v>749</v>
      </c>
    </row>
    <row r="854" spans="1:10" ht="18" customHeight="1" x14ac:dyDescent="0.25">
      <c r="A854" s="15">
        <f>SUBTOTAL(3,$B$11:B854)</f>
        <v>844</v>
      </c>
      <c r="B854" s="15">
        <v>14350</v>
      </c>
      <c r="C854" s="12" t="s">
        <v>1607</v>
      </c>
      <c r="D854" s="13" t="s">
        <v>14</v>
      </c>
      <c r="E854" s="12">
        <v>4442885</v>
      </c>
      <c r="F854" s="12">
        <v>7646466</v>
      </c>
      <c r="G854" s="14">
        <f t="shared" si="26"/>
        <v>12089351</v>
      </c>
      <c r="H854" s="14">
        <f t="shared" si="27"/>
        <v>464.97503846153847</v>
      </c>
      <c r="I854" s="11" t="s">
        <v>1791</v>
      </c>
      <c r="J854" s="11" t="s">
        <v>696</v>
      </c>
    </row>
    <row r="855" spans="1:10" ht="18" customHeight="1" x14ac:dyDescent="0.25">
      <c r="A855" s="15">
        <f>SUBTOTAL(3,$B$11:B855)</f>
        <v>845</v>
      </c>
      <c r="B855" s="15">
        <v>14352</v>
      </c>
      <c r="C855" s="12" t="s">
        <v>1608</v>
      </c>
      <c r="D855" s="13" t="s">
        <v>19</v>
      </c>
      <c r="E855" s="12">
        <v>4361323</v>
      </c>
      <c r="F855" s="12">
        <v>8348323</v>
      </c>
      <c r="G855" s="14">
        <f t="shared" si="26"/>
        <v>12709646</v>
      </c>
      <c r="H855" s="14">
        <f t="shared" si="27"/>
        <v>488.83253846153843</v>
      </c>
      <c r="I855" s="11" t="s">
        <v>1792</v>
      </c>
      <c r="J855" s="11" t="s">
        <v>1727</v>
      </c>
    </row>
    <row r="856" spans="1:10" ht="18" customHeight="1" x14ac:dyDescent="0.25">
      <c r="A856" s="15">
        <f>SUBTOTAL(3,$B$11:B856)</f>
        <v>846</v>
      </c>
      <c r="B856" s="15">
        <v>14353</v>
      </c>
      <c r="C856" s="12" t="s">
        <v>1609</v>
      </c>
      <c r="D856" s="13" t="s">
        <v>19</v>
      </c>
      <c r="E856" s="12">
        <v>2002019</v>
      </c>
      <c r="F856" s="12">
        <v>8348323</v>
      </c>
      <c r="G856" s="14">
        <f t="shared" si="26"/>
        <v>10350342</v>
      </c>
      <c r="H856" s="14">
        <f t="shared" si="27"/>
        <v>398.09007692307694</v>
      </c>
      <c r="I856" s="11" t="s">
        <v>1793</v>
      </c>
      <c r="J856" s="11" t="s">
        <v>696</v>
      </c>
    </row>
    <row r="857" spans="1:10" ht="18" customHeight="1" x14ac:dyDescent="0.25">
      <c r="A857" s="15">
        <f>SUBTOTAL(3,$B$11:B857)</f>
        <v>847</v>
      </c>
      <c r="B857" s="15">
        <v>14357</v>
      </c>
      <c r="C857" s="12" t="s">
        <v>1610</v>
      </c>
      <c r="D857" s="13" t="s">
        <v>14</v>
      </c>
      <c r="E857" s="12">
        <v>4566036</v>
      </c>
      <c r="F857" s="12">
        <v>8631553</v>
      </c>
      <c r="G857" s="14">
        <f t="shared" si="26"/>
        <v>13197589</v>
      </c>
      <c r="H857" s="14">
        <f t="shared" si="27"/>
        <v>507.59957692307694</v>
      </c>
      <c r="I857" s="11" t="s">
        <v>1794</v>
      </c>
      <c r="J857" s="11" t="s">
        <v>749</v>
      </c>
    </row>
    <row r="858" spans="1:10" ht="18" customHeight="1" x14ac:dyDescent="0.25">
      <c r="A858" s="15">
        <f>SUBTOTAL(3,$B$11:B858)</f>
        <v>848</v>
      </c>
      <c r="B858" s="15">
        <v>14360</v>
      </c>
      <c r="C858" s="12" t="s">
        <v>1611</v>
      </c>
      <c r="D858" s="13" t="s">
        <v>14</v>
      </c>
      <c r="E858" s="12">
        <v>4289832</v>
      </c>
      <c r="F858" s="12">
        <v>8334808</v>
      </c>
      <c r="G858" s="14">
        <f t="shared" si="26"/>
        <v>12624640</v>
      </c>
      <c r="H858" s="14">
        <f t="shared" si="27"/>
        <v>485.56307692307695</v>
      </c>
      <c r="I858" s="11" t="s">
        <v>1795</v>
      </c>
      <c r="J858" s="11" t="s">
        <v>763</v>
      </c>
    </row>
    <row r="859" spans="1:10" ht="18" customHeight="1" x14ac:dyDescent="0.25">
      <c r="A859" s="15">
        <f>SUBTOTAL(3,$B$11:B859)</f>
        <v>849</v>
      </c>
      <c r="B859" s="15">
        <v>14361</v>
      </c>
      <c r="C859" s="12" t="s">
        <v>1268</v>
      </c>
      <c r="D859" s="13" t="s">
        <v>24</v>
      </c>
      <c r="E859" s="12">
        <v>7723558</v>
      </c>
      <c r="F859" s="12">
        <v>12344875</v>
      </c>
      <c r="G859" s="14">
        <f t="shared" si="26"/>
        <v>20068433</v>
      </c>
      <c r="H859" s="14">
        <f t="shared" si="27"/>
        <v>771.86280769230768</v>
      </c>
      <c r="I859" s="11" t="s">
        <v>1796</v>
      </c>
      <c r="J859" s="11" t="s">
        <v>749</v>
      </c>
    </row>
    <row r="860" spans="1:10" ht="18" customHeight="1" x14ac:dyDescent="0.25">
      <c r="A860" s="15">
        <f>SUBTOTAL(3,$B$11:B860)</f>
        <v>850</v>
      </c>
      <c r="B860" s="15">
        <v>14362</v>
      </c>
      <c r="C860" s="12" t="s">
        <v>1612</v>
      </c>
      <c r="D860" s="13" t="s">
        <v>14</v>
      </c>
      <c r="E860" s="12">
        <v>1369790</v>
      </c>
      <c r="F860" s="12">
        <v>0</v>
      </c>
      <c r="G860" s="14">
        <f t="shared" si="26"/>
        <v>1369790</v>
      </c>
      <c r="H860" s="14">
        <f t="shared" si="27"/>
        <v>52.684230769230773</v>
      </c>
      <c r="I860" s="11" t="s">
        <v>1797</v>
      </c>
      <c r="J860" s="11" t="s">
        <v>750</v>
      </c>
    </row>
    <row r="861" spans="1:10" ht="18" customHeight="1" x14ac:dyDescent="0.25">
      <c r="A861" s="15">
        <f>SUBTOTAL(3,$B$11:B861)</f>
        <v>851</v>
      </c>
      <c r="B861" s="15">
        <v>14366</v>
      </c>
      <c r="C861" s="12" t="s">
        <v>1613</v>
      </c>
      <c r="D861" s="13" t="s">
        <v>14</v>
      </c>
      <c r="E861" s="12">
        <v>4476058</v>
      </c>
      <c r="F861" s="12">
        <v>6637235</v>
      </c>
      <c r="G861" s="14">
        <f t="shared" si="26"/>
        <v>11113293</v>
      </c>
      <c r="H861" s="14">
        <f t="shared" si="27"/>
        <v>427.43434615384615</v>
      </c>
      <c r="I861" s="11" t="s">
        <v>1798</v>
      </c>
      <c r="J861" s="11" t="s">
        <v>754</v>
      </c>
    </row>
    <row r="862" spans="1:10" ht="18" customHeight="1" x14ac:dyDescent="0.25">
      <c r="A862" s="15">
        <f>SUBTOTAL(3,$B$11:B862)</f>
        <v>852</v>
      </c>
      <c r="B862" s="15">
        <v>14367</v>
      </c>
      <c r="C862" s="12" t="s">
        <v>101</v>
      </c>
      <c r="D862" s="13" t="s">
        <v>13</v>
      </c>
      <c r="E862" s="12">
        <v>4600829</v>
      </c>
      <c r="F862" s="12">
        <v>8286431</v>
      </c>
      <c r="G862" s="14">
        <f t="shared" si="26"/>
        <v>12887260</v>
      </c>
      <c r="H862" s="14">
        <f t="shared" si="27"/>
        <v>495.66384615384618</v>
      </c>
      <c r="I862" s="11" t="s">
        <v>1317</v>
      </c>
      <c r="J862" s="11" t="s">
        <v>1318</v>
      </c>
    </row>
    <row r="863" spans="1:10" ht="18" customHeight="1" x14ac:dyDescent="0.25">
      <c r="A863" s="15">
        <f>SUBTOTAL(3,$B$11:B863)</f>
        <v>853</v>
      </c>
      <c r="B863" s="15">
        <v>14368</v>
      </c>
      <c r="C863" s="12" t="s">
        <v>1614</v>
      </c>
      <c r="D863" s="13" t="s">
        <v>14</v>
      </c>
      <c r="E863" s="12">
        <v>4462236</v>
      </c>
      <c r="F863" s="12">
        <v>3945505</v>
      </c>
      <c r="G863" s="14">
        <f t="shared" si="26"/>
        <v>8407741</v>
      </c>
      <c r="H863" s="14">
        <f t="shared" si="27"/>
        <v>323.37465384615382</v>
      </c>
      <c r="I863" s="11" t="s">
        <v>1799</v>
      </c>
      <c r="J863" s="11" t="s">
        <v>750</v>
      </c>
    </row>
    <row r="864" spans="1:10" ht="18" customHeight="1" x14ac:dyDescent="0.25">
      <c r="A864" s="15">
        <f>SUBTOTAL(3,$B$11:B864)</f>
        <v>854</v>
      </c>
      <c r="B864" s="15">
        <v>14371</v>
      </c>
      <c r="C864" s="12" t="s">
        <v>995</v>
      </c>
      <c r="D864" s="13" t="s">
        <v>9</v>
      </c>
      <c r="E864" s="12">
        <v>5283173</v>
      </c>
      <c r="F864" s="12">
        <v>8935807</v>
      </c>
      <c r="G864" s="14">
        <f t="shared" si="26"/>
        <v>14218980</v>
      </c>
      <c r="H864" s="14">
        <f t="shared" si="27"/>
        <v>546.88384615384621</v>
      </c>
      <c r="I864" s="11" t="s">
        <v>1152</v>
      </c>
      <c r="J864" s="11" t="s">
        <v>696</v>
      </c>
    </row>
    <row r="865" spans="1:10" ht="18" customHeight="1" x14ac:dyDescent="0.25">
      <c r="A865" s="15">
        <f>SUBTOTAL(3,$B$11:B865)</f>
        <v>855</v>
      </c>
      <c r="B865" s="15">
        <v>14383</v>
      </c>
      <c r="C865" s="12" t="s">
        <v>1615</v>
      </c>
      <c r="D865" s="13" t="s">
        <v>1627</v>
      </c>
      <c r="E865" s="12">
        <v>5153942</v>
      </c>
      <c r="F865" s="12">
        <v>10836652</v>
      </c>
      <c r="G865" s="14">
        <f t="shared" si="26"/>
        <v>15990594</v>
      </c>
      <c r="H865" s="14">
        <f t="shared" si="27"/>
        <v>615.0228461538461</v>
      </c>
      <c r="I865" s="11" t="s">
        <v>1800</v>
      </c>
      <c r="J865" s="11" t="s">
        <v>750</v>
      </c>
    </row>
    <row r="866" spans="1:10" ht="18" customHeight="1" x14ac:dyDescent="0.25">
      <c r="A866" s="15">
        <f>SUBTOTAL(3,$B$11:B866)</f>
        <v>856</v>
      </c>
      <c r="B866" s="15">
        <v>14384</v>
      </c>
      <c r="C866" s="12" t="s">
        <v>219</v>
      </c>
      <c r="D866" s="13" t="s">
        <v>22</v>
      </c>
      <c r="E866" s="12">
        <v>5296154</v>
      </c>
      <c r="F866" s="12">
        <v>9753749</v>
      </c>
      <c r="G866" s="14">
        <f t="shared" si="26"/>
        <v>15049903</v>
      </c>
      <c r="H866" s="14">
        <f t="shared" si="27"/>
        <v>578.84242307692307</v>
      </c>
      <c r="I866" s="11" t="s">
        <v>1801</v>
      </c>
      <c r="J866" s="11" t="s">
        <v>725</v>
      </c>
    </row>
    <row r="867" spans="1:10" ht="18" customHeight="1" x14ac:dyDescent="0.25">
      <c r="A867" s="15">
        <f>SUBTOTAL(3,$B$11:B867)</f>
        <v>857</v>
      </c>
      <c r="B867" s="15">
        <v>14386</v>
      </c>
      <c r="C867" s="12" t="s">
        <v>1616</v>
      </c>
      <c r="D867" s="13" t="s">
        <v>9</v>
      </c>
      <c r="E867" s="12">
        <v>5410673</v>
      </c>
      <c r="F867" s="12">
        <v>9491577</v>
      </c>
      <c r="G867" s="14">
        <f t="shared" si="26"/>
        <v>14902250</v>
      </c>
      <c r="H867" s="14">
        <f t="shared" si="27"/>
        <v>573.16346153846155</v>
      </c>
      <c r="I867" s="11" t="s">
        <v>1802</v>
      </c>
      <c r="J867" s="11" t="s">
        <v>1318</v>
      </c>
    </row>
    <row r="868" spans="1:10" ht="18" customHeight="1" x14ac:dyDescent="0.25">
      <c r="A868" s="15">
        <f>SUBTOTAL(3,$B$11:B868)</f>
        <v>858</v>
      </c>
      <c r="B868" s="15">
        <v>14387</v>
      </c>
      <c r="C868" s="12" t="s">
        <v>1617</v>
      </c>
      <c r="D868" s="13" t="s">
        <v>1628</v>
      </c>
      <c r="E868" s="12">
        <v>4867092</v>
      </c>
      <c r="F868" s="12">
        <v>6124952</v>
      </c>
      <c r="G868" s="14">
        <f t="shared" si="26"/>
        <v>10992044</v>
      </c>
      <c r="H868" s="14">
        <f t="shared" si="27"/>
        <v>422.77092307692305</v>
      </c>
      <c r="I868" s="11" t="s">
        <v>1803</v>
      </c>
      <c r="J868" s="11" t="s">
        <v>757</v>
      </c>
    </row>
    <row r="869" spans="1:10" ht="18" customHeight="1" x14ac:dyDescent="0.25">
      <c r="A869" s="15">
        <f>SUBTOTAL(3,$B$11:B869)</f>
        <v>859</v>
      </c>
      <c r="B869" s="15">
        <v>14392</v>
      </c>
      <c r="C869" s="12" t="s">
        <v>1618</v>
      </c>
      <c r="D869" s="13" t="s">
        <v>18</v>
      </c>
      <c r="E869" s="12">
        <v>3485637</v>
      </c>
      <c r="F869" s="12">
        <v>8314075</v>
      </c>
      <c r="G869" s="14">
        <f t="shared" si="26"/>
        <v>11799712</v>
      </c>
      <c r="H869" s="14">
        <f t="shared" si="27"/>
        <v>453.83507692307694</v>
      </c>
      <c r="I869" s="11" t="s">
        <v>1804</v>
      </c>
      <c r="J869" s="11" t="s">
        <v>750</v>
      </c>
    </row>
    <row r="870" spans="1:10" ht="18" customHeight="1" x14ac:dyDescent="0.25">
      <c r="A870" s="15">
        <f>SUBTOTAL(3,$B$11:B870)</f>
        <v>860</v>
      </c>
      <c r="B870" s="15">
        <v>14394</v>
      </c>
      <c r="C870" s="12" t="s">
        <v>267</v>
      </c>
      <c r="D870" s="13" t="s">
        <v>9</v>
      </c>
      <c r="E870" s="12">
        <v>2761683</v>
      </c>
      <c r="F870" s="12">
        <v>4509759</v>
      </c>
      <c r="G870" s="14">
        <f t="shared" si="26"/>
        <v>7271442</v>
      </c>
      <c r="H870" s="14">
        <f t="shared" si="27"/>
        <v>279.67084615384613</v>
      </c>
      <c r="I870" s="11" t="s">
        <v>1805</v>
      </c>
      <c r="J870" s="11" t="s">
        <v>750</v>
      </c>
    </row>
    <row r="871" spans="1:10" ht="18" customHeight="1" x14ac:dyDescent="0.25">
      <c r="A871" s="15">
        <f>SUBTOTAL(3,$B$11:B871)</f>
        <v>861</v>
      </c>
      <c r="B871" s="15">
        <v>14396</v>
      </c>
      <c r="C871" s="12" t="s">
        <v>1619</v>
      </c>
      <c r="D871" s="13" t="s">
        <v>1627</v>
      </c>
      <c r="E871" s="12">
        <v>3707308</v>
      </c>
      <c r="F871" s="12">
        <v>9583750</v>
      </c>
      <c r="G871" s="14">
        <f t="shared" si="26"/>
        <v>13291058</v>
      </c>
      <c r="H871" s="14">
        <f t="shared" si="27"/>
        <v>511.19453846153846</v>
      </c>
      <c r="I871" s="11" t="s">
        <v>1806</v>
      </c>
      <c r="J871" s="11" t="s">
        <v>696</v>
      </c>
    </row>
    <row r="872" spans="1:10" ht="18" customHeight="1" x14ac:dyDescent="0.25">
      <c r="A872" s="15">
        <f>SUBTOTAL(3,$B$11:B872)</f>
        <v>862</v>
      </c>
      <c r="B872" s="15">
        <v>14397</v>
      </c>
      <c r="C872" s="12" t="s">
        <v>1620</v>
      </c>
      <c r="D872" s="13" t="s">
        <v>18</v>
      </c>
      <c r="E872" s="12">
        <v>1306310</v>
      </c>
      <c r="F872" s="12">
        <v>6527947</v>
      </c>
      <c r="G872" s="14">
        <f t="shared" si="26"/>
        <v>7834257</v>
      </c>
      <c r="H872" s="14">
        <f t="shared" si="27"/>
        <v>301.3175769230769</v>
      </c>
      <c r="I872" s="11" t="s">
        <v>1807</v>
      </c>
      <c r="J872" s="11" t="s">
        <v>696</v>
      </c>
    </row>
    <row r="873" spans="1:10" ht="18" customHeight="1" x14ac:dyDescent="0.25">
      <c r="A873" s="15">
        <f>SUBTOTAL(3,$B$11:B873)</f>
        <v>863</v>
      </c>
      <c r="B873" s="15">
        <v>14398</v>
      </c>
      <c r="C873" s="12" t="s">
        <v>1621</v>
      </c>
      <c r="D873" s="13" t="s">
        <v>19</v>
      </c>
      <c r="E873" s="12">
        <v>0</v>
      </c>
      <c r="F873" s="12">
        <v>6110221</v>
      </c>
      <c r="G873" s="14">
        <f t="shared" si="26"/>
        <v>6110221</v>
      </c>
      <c r="H873" s="14">
        <f t="shared" si="27"/>
        <v>235.0085</v>
      </c>
      <c r="I873" s="11" t="s">
        <v>1808</v>
      </c>
      <c r="J873" s="11" t="s">
        <v>725</v>
      </c>
    </row>
    <row r="874" spans="1:10" ht="18" customHeight="1" x14ac:dyDescent="0.25">
      <c r="A874" s="15">
        <f>SUBTOTAL(3,$B$11:B874)</f>
        <v>864</v>
      </c>
      <c r="B874" s="15">
        <v>14399</v>
      </c>
      <c r="C874" s="12" t="s">
        <v>1622</v>
      </c>
      <c r="D874" s="13" t="s">
        <v>19</v>
      </c>
      <c r="E874" s="12">
        <v>0</v>
      </c>
      <c r="F874" s="12">
        <v>5745246</v>
      </c>
      <c r="G874" s="14">
        <f t="shared" si="26"/>
        <v>5745246</v>
      </c>
      <c r="H874" s="14">
        <f t="shared" si="27"/>
        <v>220.971</v>
      </c>
      <c r="I874" s="11" t="s">
        <v>1809</v>
      </c>
      <c r="J874" s="11" t="s">
        <v>1318</v>
      </c>
    </row>
    <row r="875" spans="1:10" ht="18" customHeight="1" x14ac:dyDescent="0.25">
      <c r="A875" s="15">
        <f>SUBTOTAL(3,$B$11:B875)</f>
        <v>865</v>
      </c>
      <c r="B875" s="15">
        <v>14400</v>
      </c>
      <c r="C875" s="12" t="s">
        <v>1623</v>
      </c>
      <c r="D875" s="13" t="s">
        <v>1007</v>
      </c>
      <c r="E875" s="12">
        <v>0</v>
      </c>
      <c r="F875" s="12">
        <v>2059615</v>
      </c>
      <c r="G875" s="14">
        <f t="shared" si="26"/>
        <v>2059615</v>
      </c>
      <c r="H875" s="14">
        <f t="shared" si="27"/>
        <v>79.215961538461542</v>
      </c>
      <c r="I875" s="11" t="s">
        <v>1810</v>
      </c>
      <c r="J875" s="11" t="s">
        <v>757</v>
      </c>
    </row>
    <row r="876" spans="1:10" ht="18" customHeight="1" x14ac:dyDescent="0.25">
      <c r="A876" s="15">
        <f>SUBTOTAL(3,$B$11:B876)</f>
        <v>866</v>
      </c>
      <c r="B876" s="15">
        <v>14401</v>
      </c>
      <c r="C876" s="12" t="s">
        <v>1624</v>
      </c>
      <c r="D876" s="13" t="s">
        <v>24</v>
      </c>
      <c r="E876" s="12">
        <v>0</v>
      </c>
      <c r="F876" s="12">
        <v>3023798</v>
      </c>
      <c r="G876" s="14">
        <f t="shared" si="26"/>
        <v>3023798</v>
      </c>
      <c r="H876" s="14">
        <f t="shared" si="27"/>
        <v>116.29992307692308</v>
      </c>
      <c r="I876" s="11" t="s">
        <v>1811</v>
      </c>
      <c r="J876" s="11" t="s">
        <v>696</v>
      </c>
    </row>
    <row r="877" spans="1:10" ht="18" customHeight="1" x14ac:dyDescent="0.25">
      <c r="A877" s="15">
        <f>SUBTOTAL(3,$B$11:B877)</f>
        <v>867</v>
      </c>
      <c r="B877" s="15">
        <v>14402</v>
      </c>
      <c r="C877" s="12" t="s">
        <v>1625</v>
      </c>
      <c r="D877" s="13" t="s">
        <v>14</v>
      </c>
      <c r="E877" s="12">
        <v>0</v>
      </c>
      <c r="F877" s="12">
        <v>2785336</v>
      </c>
      <c r="G877" s="14">
        <f t="shared" si="26"/>
        <v>2785336</v>
      </c>
      <c r="H877" s="14">
        <f t="shared" si="27"/>
        <v>107.12830769230769</v>
      </c>
      <c r="I877" s="11" t="s">
        <v>1812</v>
      </c>
      <c r="J877" s="11" t="s">
        <v>696</v>
      </c>
    </row>
    <row r="878" spans="1:10" x14ac:dyDescent="0.25">
      <c r="D878" s="5" t="s">
        <v>853</v>
      </c>
      <c r="E878" s="4">
        <f>SUM(E11:E877)</f>
        <v>4576490087</v>
      </c>
      <c r="F878" s="4">
        <f>SUM(F11:F877)</f>
        <v>8116927584</v>
      </c>
      <c r="G878" s="4">
        <f>SUM(G11:G877)</f>
        <v>12693417671</v>
      </c>
      <c r="H878" s="4">
        <f>SUM(H11:H877)</f>
        <v>488208.37196153926</v>
      </c>
    </row>
    <row r="879" spans="1:10" x14ac:dyDescent="0.25">
      <c r="D879" s="5" t="s">
        <v>852</v>
      </c>
      <c r="E879" s="20">
        <f>E878/26000</f>
        <v>176018.84950000001</v>
      </c>
      <c r="F879" s="4">
        <f>F878/26000</f>
        <v>312189.52246153844</v>
      </c>
      <c r="G879" s="4">
        <f>G878/26000</f>
        <v>488208.37196153845</v>
      </c>
    </row>
    <row r="880" spans="1:10" x14ac:dyDescent="0.25">
      <c r="G880" s="2"/>
    </row>
    <row r="881" spans="3:9" x14ac:dyDescent="0.25">
      <c r="C881" s="10" t="s">
        <v>858</v>
      </c>
      <c r="H881" s="10"/>
      <c r="I881" s="10" t="s">
        <v>859</v>
      </c>
    </row>
    <row r="882" spans="3:9" x14ac:dyDescent="0.25">
      <c r="G882" s="9"/>
    </row>
    <row r="884" spans="3:9" x14ac:dyDescent="0.25">
      <c r="G884" s="9"/>
    </row>
    <row r="886" spans="3:9" x14ac:dyDescent="0.25">
      <c r="G886" s="9"/>
    </row>
  </sheetData>
  <autoFilter ref="B10:J879"/>
  <mergeCells count="8">
    <mergeCell ref="A7:I7"/>
    <mergeCell ref="A8:I8"/>
    <mergeCell ref="A1:I1"/>
    <mergeCell ref="A2:I2"/>
    <mergeCell ref="A3:I3"/>
    <mergeCell ref="A4:I4"/>
    <mergeCell ref="A5:I5"/>
    <mergeCell ref="A6:I6"/>
  </mergeCells>
  <pageMargins left="0.25" right="0.25" top="0.75" bottom="0.75" header="0.3" footer="0.3"/>
  <pageSetup paperSize="9" scale="8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Nguyen Dieu Tien</cp:lastModifiedBy>
  <cp:lastPrinted>2023-01-31T01:31:23Z</cp:lastPrinted>
  <dcterms:created xsi:type="dcterms:W3CDTF">2022-01-25T06:46:22Z</dcterms:created>
  <dcterms:modified xsi:type="dcterms:W3CDTF">2026-01-27T06:44:18Z</dcterms:modified>
</cp:coreProperties>
</file>